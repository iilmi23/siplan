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10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8" autoFilterDateGrouping="true" firstSheet="0" minimized="false" showHorizontalScroll="true" showSheetTabs="true" showVerticalScroll="true" tabRatio="600" visibility="visible"/>
  </bookViews>
  <sheets>
    <sheet name="Sheet1" sheetId="1" state="veryHidden" r:id="rId4"/>
    <sheet name="XXXXXX" sheetId="2" state="veryHidden" r:id="rId5"/>
    <sheet name="XXXXXXXX" sheetId="3" state="veryHidden" r:id="rId6"/>
    <sheet name="XXXXXXXXXX" sheetId="4" state="veryHidden" r:id="rId7"/>
    <sheet name="XXXXXXXXX0" sheetId="5" state="veryHidden" r:id="rId8"/>
    <sheet name="Qty &amp; UMH GUM" sheetId="6" r:id="rId9"/>
    <sheet name="Summ Qty&amp;UMH GUM " sheetId="7" state="hidden" r:id="rId10"/>
    <sheet name="AS400 JEMBATAN" sheetId="8" r:id="rId11"/>
    <sheet name="AS400 TRANSFER" sheetId="9" r:id="rId12"/>
    <sheet name="Summ Qty &amp; UMH" sheetId="10" state="hidden" r:id="rId13"/>
    <sheet name="WEEK" sheetId="11" r:id="rId14"/>
  </sheets>
  <definedNames>
    <definedName name="Z_5A09EF62_2088_41CB_8AC0_E952E61C3F91_.wvu.PrintArea" localSheetId="5">'Qty &amp; UMH GUM'!$B$1:$AE$234</definedName>
    <definedName name="Z_5A09EF62_2088_41CB_8AC0_E952E61C3F91_.wvu.PrintArea" localSheetId="9">'Summ Qty &amp; UMH'!$B$1:$AD$135</definedName>
    <definedName name="Z_5A09EF62_2088_41CB_8AC0_E952E61C3F91_.wvu.PrintArea" localSheetId="6">'Summ Qty&amp;UMH GUM '!$B$1:$AE$85</definedName>
    <definedName name="Z_5A09EF62_2088_41CB_8AC0_E952E61C3F91_.wvu.PrintTitles" localSheetId="5">'Qty &amp; UMH GUM'!$A$6:$IV$8</definedName>
    <definedName name="Z_5A09EF62_2088_41CB_8AC0_E952E61C3F91_.wvu.PrintTitles" localSheetId="9">'Summ Qty &amp; UMH'!$A$6:$IV$8</definedName>
    <definedName name="Z_5A09EF62_2088_41CB_8AC0_E952E61C3F91_.wvu.PrintTitles" localSheetId="6">'Summ Qty&amp;UMH GUM '!$A$6:$IV$8</definedName>
    <definedName name="Z_D6C13563_5D10_42C9_9394_960CAA966088_.wvu.PrintArea" localSheetId="5">'Qty &amp; UMH GUM'!$B$1:$AE$234</definedName>
    <definedName name="Z_D6C13563_5D10_42C9_9394_960CAA966088_.wvu.PrintArea" localSheetId="9">'Summ Qty &amp; UMH'!$B$1:$AD$135</definedName>
    <definedName name="Z_D6C13563_5D10_42C9_9394_960CAA966088_.wvu.PrintArea" localSheetId="6">'Summ Qty&amp;UMH GUM '!$B$1:$AE$85</definedName>
    <definedName name="_xlnm.Print_Titles" localSheetId="5">'Qty &amp; UMH GUM'!$6:$8</definedName>
    <definedName name="_xlnm.Print_Area" localSheetId="5">'Qty &amp; UMH GUM'!$A$1:$AE$204</definedName>
    <definedName name="_xlnm.Print_Area" localSheetId="6">'Summ Qty&amp;UMH GUM '!$A$1:$AE$52</definedName>
    <definedName name="_xlnm.Print_Area" localSheetId="7">'AS400 JEMBATAN'!$A$6:$L$94</definedName>
    <definedName name="_xlnm.Print_Area" localSheetId="9">'Summ Qty &amp; UMH'!$A$1:$AD$102</definedName>
  </definedNames>
  <calcPr calcId="999999" calcMode="auto" calcCompleted="1" fullCalcOnLoad="0" forceFullCalc="0"/>
</workbook>
</file>

<file path=xl/comments6.xml><?xml version="1.0" encoding="utf-8"?>
<comments xmlns="http://schemas.openxmlformats.org/spreadsheetml/2006/main">
  <authors>
    <author>Lilik Suryati</author>
    <author>as400</author>
  </authors>
  <commentList>
    <comment ref="B10" authorId="0">
      <text>
        <r>
          <t xml:space="preserve">PHV
</t>
        </r>
      </text>
    </comment>
    <comment ref="B11" authorId="0">
      <text>
        <r>
          <t xml:space="preserve">PHV
</t>
        </r>
      </text>
    </comment>
    <comment ref="B22" authorId="0">
      <text>
        <r>
          <t xml:space="preserve">PHV
</t>
        </r>
      </text>
    </comment>
    <comment ref="B23" authorId="0">
      <text>
        <r>
          <t xml:space="preserve">PHV
</t>
        </r>
      </text>
    </comment>
    <comment ref="C34" authorId="0">
      <text>
        <r>
          <t xml:space="preserve">Blm vix GAS/HV
</t>
        </r>
      </text>
    </comment>
    <comment ref="B45" authorId="0">
      <text>
        <r>
          <t xml:space="preserve">PHV
</t>
        </r>
      </text>
    </comment>
    <comment ref="B46" authorId="0">
      <text>
        <r>
          <t xml:space="preserve">PHV
</t>
        </r>
      </text>
    </comment>
    <comment ref="B53" authorId="0">
      <text>
        <r>
          <t xml:space="preserve">PHV
</t>
        </r>
      </text>
    </comment>
    <comment ref="B54" authorId="0">
      <text>
        <r>
          <t xml:space="preserve">PHV
</t>
        </r>
      </text>
    </comment>
    <comment ref="J243" authorId="1">
      <text>
        <r>
          <t xml:space="preserve">as400:
</t>
        </r>
      </text>
    </comment>
  </commentList>
</comments>
</file>

<file path=xl/comments7.xml><?xml version="1.0" encoding="utf-8"?>
<comments xmlns="http://schemas.openxmlformats.org/spreadsheetml/2006/main">
  <authors>
    <author>as400</author>
  </authors>
  <commentList>
    <comment ref="J94" authorId="0">
      <text>
        <r>
          <t xml:space="preserve">as400:
</t>
        </r>
      </text>
    </comment>
  </commentList>
</comments>
</file>

<file path=xl/comments10.xml><?xml version="1.0" encoding="utf-8"?>
<comments xmlns="http://schemas.openxmlformats.org/spreadsheetml/2006/main">
  <authors>
    <author>as400</author>
  </authors>
  <commentList>
    <comment ref="I144" authorId="0">
      <text>
        <r>
          <t xml:space="preserve">as400:
</t>
        </r>
      </text>
    </comment>
  </commentList>
</comments>
</file>

<file path=xl/sharedStrings.xml><?xml version="1.0" encoding="utf-8"?>
<sst xmlns="http://schemas.openxmlformats.org/spreadsheetml/2006/main" uniqueCount="221">
  <si>
    <t>SIX MONTH PRODUCTION PLAN ( QTY ) ACTUAL</t>
  </si>
  <si>
    <t>PREPARED</t>
  </si>
  <si>
    <t xml:space="preserve">S/R NO     : </t>
  </si>
  <si>
    <t>202603-10</t>
  </si>
  <si>
    <t>900B-486D</t>
  </si>
  <si>
    <t>FAX NO   :</t>
  </si>
  <si>
    <t>EMAIL</t>
  </si>
  <si>
    <t xml:space="preserve">DATE        :  </t>
  </si>
  <si>
    <t>AZ</t>
  </si>
  <si>
    <t>LSR</t>
  </si>
  <si>
    <t>Cutting Qty</t>
  </si>
  <si>
    <t>AQ</t>
  </si>
  <si>
    <t>AT</t>
  </si>
  <si>
    <t>AW</t>
  </si>
  <si>
    <t>BC</t>
  </si>
  <si>
    <t>BF</t>
  </si>
  <si>
    <t>BG</t>
  </si>
  <si>
    <t>DEST</t>
  </si>
  <si>
    <t>TYPE</t>
  </si>
  <si>
    <t>HARNESS No.</t>
  </si>
  <si>
    <t>LEVEL</t>
  </si>
  <si>
    <t>ASSY CODE</t>
  </si>
  <si>
    <t>CCT</t>
  </si>
  <si>
    <t>Std Pack</t>
  </si>
  <si>
    <t>UMH</t>
  </si>
  <si>
    <t>FEB</t>
  </si>
  <si>
    <t>MAR</t>
  </si>
  <si>
    <t>APR</t>
  </si>
  <si>
    <t>MAY</t>
  </si>
  <si>
    <t>JUN</t>
  </si>
  <si>
    <t>JUL</t>
  </si>
  <si>
    <t>AUG</t>
  </si>
  <si>
    <t>JAN</t>
  </si>
  <si>
    <t>27/DEC ~ 23/JAN</t>
  </si>
  <si>
    <t>24/JAN ~ 20/FEB</t>
  </si>
  <si>
    <t>21/FEB ~ 27/MAR</t>
  </si>
  <si>
    <t>28/MAR ~ 24/APR</t>
  </si>
  <si>
    <t>25/APR ~ 22/MAY</t>
  </si>
  <si>
    <t>23/MAY ~ 26/JUN</t>
  </si>
  <si>
    <t>27/JUN ~ 24/JUL</t>
  </si>
  <si>
    <t>BAL</t>
  </si>
  <si>
    <t>DEL</t>
  </si>
  <si>
    <t>PROD</t>
  </si>
  <si>
    <t>613D</t>
  </si>
  <si>
    <t>HEV-LHD</t>
  </si>
  <si>
    <t>82111-4DT30</t>
  </si>
  <si>
    <t>82111-4DT40</t>
  </si>
  <si>
    <t>82111-4DT50</t>
  </si>
  <si>
    <t>GAS-LHD</t>
  </si>
  <si>
    <t>82111-4DT60</t>
  </si>
  <si>
    <t>82111-4DT70</t>
  </si>
  <si>
    <t>82111-4DT80</t>
  </si>
  <si>
    <t>82111-4DT90</t>
  </si>
  <si>
    <t>82111-4DU00</t>
  </si>
  <si>
    <t>82111-4DU10</t>
  </si>
  <si>
    <t>82111-4DU20</t>
  </si>
  <si>
    <t>82111-4DU30</t>
  </si>
  <si>
    <t>82111-4DU40</t>
  </si>
  <si>
    <t>HEV-RHD</t>
  </si>
  <si>
    <t>82111-4DU60</t>
  </si>
  <si>
    <t>82111-4DU70</t>
  </si>
  <si>
    <t>82111-4DU80</t>
  </si>
  <si>
    <t>82111-4DU90</t>
  </si>
  <si>
    <t>82111-4DV00</t>
  </si>
  <si>
    <t>82111-4DV10</t>
  </si>
  <si>
    <t>82111-4DV30</t>
  </si>
  <si>
    <t>486D</t>
  </si>
  <si>
    <t>82111-4DG90</t>
  </si>
  <si>
    <t>82111-4DJ00</t>
  </si>
  <si>
    <t>82111-4DL51</t>
  </si>
  <si>
    <t>82111-4DL61</t>
  </si>
  <si>
    <t>82111-4DL71</t>
  </si>
  <si>
    <t>82111-4DL81</t>
  </si>
  <si>
    <t>82111-4DL91</t>
  </si>
  <si>
    <t>82111-4DM01</t>
  </si>
  <si>
    <t>82111-4DM11</t>
  </si>
  <si>
    <t>82111-4DM31</t>
  </si>
  <si>
    <t>82111-4DM41</t>
  </si>
  <si>
    <t>82111-4DM51</t>
  </si>
  <si>
    <t>82111-4DM61</t>
  </si>
  <si>
    <t>82111-4DM71</t>
  </si>
  <si>
    <t>82111-4DM81</t>
  </si>
  <si>
    <t>82111-4DM91</t>
  </si>
  <si>
    <t>82111-4DN31</t>
  </si>
  <si>
    <t>82111-4DN41</t>
  </si>
  <si>
    <t>82111-4DN51</t>
  </si>
  <si>
    <t>82111-4DN61</t>
  </si>
  <si>
    <t>82111-4DN71</t>
  </si>
  <si>
    <t>82111-4DQ01</t>
  </si>
  <si>
    <t>82111-4DQ11</t>
  </si>
  <si>
    <t>82111-4DQ21</t>
  </si>
  <si>
    <t>82111-4DQ41</t>
  </si>
  <si>
    <t>82111-4DR50</t>
  </si>
  <si>
    <t>82111-4DM21</t>
  </si>
  <si>
    <t>82111-4D590</t>
  </si>
  <si>
    <t>694D</t>
  </si>
  <si>
    <t>82111-4DV80</t>
  </si>
  <si>
    <t>82111-4DV90</t>
  </si>
  <si>
    <t>82111-4DW00</t>
  </si>
  <si>
    <t>82111-4DW10</t>
  </si>
  <si>
    <t>82111-4DW20</t>
  </si>
  <si>
    <t>82111-4DW30</t>
  </si>
  <si>
    <t>82111-4DW50</t>
  </si>
  <si>
    <t>82111-4DW60</t>
  </si>
  <si>
    <t>82111-4DW70</t>
  </si>
  <si>
    <t>82111-4DW80</t>
  </si>
  <si>
    <t>82111-4DW90</t>
  </si>
  <si>
    <t>82111-4DX00</t>
  </si>
  <si>
    <t>82111-4DX10</t>
  </si>
  <si>
    <t>82111-4DX20</t>
  </si>
  <si>
    <t>82111-4DX30</t>
  </si>
  <si>
    <t>82111-4DX50</t>
  </si>
  <si>
    <t>82111-4DX60</t>
  </si>
  <si>
    <t>82111-4DX70</t>
  </si>
  <si>
    <t>82111-4DX80</t>
  </si>
  <si>
    <t>82111-4DX90</t>
  </si>
  <si>
    <t>82111-4DY10</t>
  </si>
  <si>
    <t>TOTAL GAS-LHD</t>
  </si>
  <si>
    <t>TOTAL HV-RHD</t>
  </si>
  <si>
    <t>TOTAL HV-LHD</t>
  </si>
  <si>
    <t>TOTAL 900B</t>
  </si>
  <si>
    <t>Working Days</t>
  </si>
  <si>
    <t>Working Days Normal</t>
  </si>
  <si>
    <t>SIX MONTH PRODUCTION PLAN ( UMH )</t>
  </si>
  <si>
    <t>900B</t>
  </si>
  <si>
    <t>TOTAL</t>
  </si>
  <si>
    <t>PHV RHD+LHD</t>
  </si>
  <si>
    <t>(PCS)</t>
  </si>
  <si>
    <t>SIX MONTH PRODUCTION PLAN ( QTY )</t>
  </si>
  <si>
    <t>UMH GUM JUL-DEC</t>
  </si>
  <si>
    <t>UMH GUM JAN - JUN</t>
  </si>
  <si>
    <t>NASHVILLE &amp; CANTON TK09</t>
  </si>
  <si>
    <t>GCC</t>
  </si>
  <si>
    <t>TOTAL ALL</t>
  </si>
  <si>
    <t>Joined MY11 to 3 assy terbesar MY10</t>
  </si>
  <si>
    <t>UMH GUM JAN - JUL</t>
  </si>
  <si>
    <t>Qty Altima 7A,7B, 8A</t>
  </si>
  <si>
    <t>UMH Altima 7A,7B,8A</t>
  </si>
  <si>
    <t xml:space="preserve">Qty HEV </t>
  </si>
  <si>
    <t>UMH HEV</t>
  </si>
  <si>
    <t>Printed :</t>
  </si>
  <si>
    <t>Q</t>
  </si>
  <si>
    <t>T</t>
  </si>
  <si>
    <t>W</t>
  </si>
  <si>
    <t>Z</t>
  </si>
  <si>
    <t>AC</t>
  </si>
  <si>
    <t>SR</t>
  </si>
  <si>
    <t>SPP</t>
  </si>
  <si>
    <t>VALUE</t>
  </si>
  <si>
    <t>REAR</t>
  </si>
  <si>
    <t>YPR</t>
  </si>
  <si>
    <t>UMH OCS</t>
  </si>
  <si>
    <t>SUB TOTAL</t>
  </si>
  <si>
    <t>KOREA</t>
  </si>
  <si>
    <t>HEV</t>
  </si>
  <si>
    <t>NASH</t>
  </si>
  <si>
    <t>OTHER</t>
  </si>
  <si>
    <t>NASHVILLE &amp; CANTON MY10</t>
  </si>
  <si>
    <t>24012 ZX00A</t>
  </si>
  <si>
    <t>24012 ZX00C</t>
  </si>
  <si>
    <t>24012 ZX01A</t>
  </si>
  <si>
    <t>24012 ZX01C</t>
  </si>
  <si>
    <t>24012 ZX02C</t>
  </si>
  <si>
    <t>24012 ZX03A</t>
  </si>
  <si>
    <t>24012 ZX05A</t>
  </si>
  <si>
    <t>24012 ZX05B</t>
  </si>
  <si>
    <t>24012 ZX20A</t>
  </si>
  <si>
    <t>24012 ZX21A</t>
  </si>
  <si>
    <t>24012 ZX22A</t>
  </si>
  <si>
    <t>24012 ZX23A</t>
  </si>
  <si>
    <t>24012 ZX24A</t>
  </si>
  <si>
    <t>24012 ZX30A</t>
  </si>
  <si>
    <t>24012 ZX07A</t>
  </si>
  <si>
    <t>NASHVILLE MY10</t>
  </si>
  <si>
    <t>03/JAN~ 28/JAN</t>
  </si>
  <si>
    <t>02/FEB ~ 25/FEB</t>
  </si>
  <si>
    <t>01/MAR ~ 31/MAR</t>
  </si>
  <si>
    <t>01/APR ~ 29/APR</t>
  </si>
  <si>
    <t>09/MAY ~ 31/MAY</t>
  </si>
  <si>
    <t>02/JUN ~ 30/JUN</t>
  </si>
  <si>
    <t>01/JUL ~ 29/JUL</t>
  </si>
  <si>
    <t>01/AUG ~ 31/AUG</t>
  </si>
  <si>
    <t>SEP</t>
  </si>
  <si>
    <t>01/SEP ~ 30/SEP</t>
  </si>
  <si>
    <t>OCT</t>
  </si>
  <si>
    <t>03/OCT ~ 31/OCT</t>
  </si>
  <si>
    <t>NOV</t>
  </si>
  <si>
    <t>01/NOV ~ 30/NOV</t>
  </si>
  <si>
    <t>DEC</t>
  </si>
  <si>
    <t>01/DEC ~ 30/DEC</t>
  </si>
  <si>
    <t>03/JAN~ 31/JAN</t>
  </si>
  <si>
    <t>01/FEB ~ 28/FEB</t>
  </si>
  <si>
    <t>03/APR ~ 29/APR</t>
  </si>
  <si>
    <t>02/MAY ~ 31/MAY</t>
  </si>
  <si>
    <t>03/JUL ~ 31/JUL</t>
  </si>
  <si>
    <t>01/SEP ~ 29/SEP</t>
  </si>
  <si>
    <t>02/OCT ~ 31/OCT</t>
  </si>
  <si>
    <t>01/DEC ~ 29/DEC</t>
  </si>
  <si>
    <t>01/FEB ~ 29/FEB</t>
  </si>
  <si>
    <t>01/MAR ~ 28/MAR</t>
  </si>
  <si>
    <t>01/APR ~ 30/APR</t>
  </si>
  <si>
    <t>03/JUN ~ 28/JUN</t>
  </si>
  <si>
    <t>01/JUL ~ 31/JUL</t>
  </si>
  <si>
    <t>01/AUG ~ 30/AUG</t>
  </si>
  <si>
    <t>02/SEP ~ 30/SEP</t>
  </si>
  <si>
    <t>01/OCT ~ 31/OCT</t>
  </si>
  <si>
    <t>01/NOV ~ 29/NOV</t>
  </si>
  <si>
    <t>02/DEC ~ 31/DEC</t>
  </si>
  <si>
    <t>03/FEB ~ 28/FEB</t>
  </si>
  <si>
    <t>03/MAR ~ 31/MAR</t>
  </si>
  <si>
    <t>07/APR ~ 30/APR</t>
  </si>
  <si>
    <t>02/MAY ~ 30/MAY</t>
  </si>
  <si>
    <t>01/AUG ~ 29/AUG</t>
  </si>
  <si>
    <t>03/NOV ~ 28/NOV</t>
  </si>
  <si>
    <t>01/DEC ~ 31/DEC</t>
  </si>
  <si>
    <t>05/JAN~ 30/JAN</t>
  </si>
  <si>
    <t>02/FEB ~ 27/FEB</t>
  </si>
  <si>
    <t>02/MAR ~ 31/MAR</t>
  </si>
  <si>
    <t>03/AUG ~ 31/AUG</t>
  </si>
  <si>
    <t>01/OCT ~ 30/OCT</t>
  </si>
  <si>
    <t>02/NOV ~ 30/NOV</t>
  </si>
</sst>
</file>

<file path=xl/styles.xml><?xml version="1.0" encoding="utf-8"?>
<styleSheet xmlns="http://schemas.openxmlformats.org/spreadsheetml/2006/main" xml:space="preserve">
  <numFmts count="6">
    <numFmt numFmtId="164" formatCode="mmm\.\ d\ \'yy\ \a\t\ h:mm"/>
    <numFmt numFmtId="165" formatCode="General_)"/>
    <numFmt numFmtId="166" formatCode="0.0000"/>
    <numFmt numFmtId="167" formatCode="####0000"/>
    <numFmt numFmtId="168" formatCode="0.0"/>
    <numFmt numFmtId="169" formatCode="0_);[Red]\(0\)"/>
  </numFmts>
  <fonts count="21">
    <font>
      <b val="0"/>
      <i val="0"/>
      <strike val="0"/>
      <u val="none"/>
      <sz val="10"/>
      <color rgb="FF000000"/>
      <name val="Arial"/>
    </font>
    <font>
      <b val="0"/>
      <i val="1"/>
      <strike val="0"/>
      <u val="none"/>
      <sz val="8"/>
      <color rgb="FF000000"/>
      <name val="Comic Sans MS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1"/>
      <strike val="0"/>
      <u val="none"/>
      <sz val="10"/>
      <color rgb="FF000000"/>
      <name val="Arial"/>
    </font>
    <font>
      <b val="1"/>
      <i val="0"/>
      <strike val="0"/>
      <u val="none"/>
      <sz val="7"/>
      <color rgb="FF000000"/>
      <name val="Arial"/>
    </font>
    <font>
      <b val="0"/>
      <i val="0"/>
      <strike val="0"/>
      <u val="none"/>
      <sz val="7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1"/>
      <strike val="0"/>
      <u val="none"/>
      <sz val="12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Helv"/>
    </font>
    <font>
      <b val="1"/>
      <i val="0"/>
      <strike val="0"/>
      <u val="none"/>
      <sz val="14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Arial"/>
    </font>
    <font>
      <b val="0"/>
      <i val="1"/>
      <strike val="0"/>
      <u val="none"/>
      <sz val="12"/>
      <color rgb="FF000000"/>
      <name val="Comic Sans MS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FF0000"/>
      <name val="Arial"/>
    </font>
    <font>
      <b val="0"/>
      <i val="0"/>
      <strike val="0"/>
      <u val="none"/>
      <sz val="10"/>
      <color rgb="FFFF0000"/>
      <name val="Arial"/>
    </font>
    <font>
      <b val="1"/>
      <i val="0"/>
      <strike val="0"/>
      <u val="none"/>
      <sz val="10"/>
      <color rgb="FFFF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69696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99CCFF"/>
        <bgColor rgb="FF000000"/>
      </patternFill>
    </fill>
  </fills>
  <borders count="11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 style="double">
        <color rgb="FF000000"/>
      </left>
      <right/>
      <top style="thin">
        <color rgb="FF000000"/>
      </top>
      <bottom style="medium">
        <color rgb="FF000000"/>
      </bottom>
      <diagonal/>
    </border>
    <border>
      <left style="double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68">
    <xf xfId="0" fontId="0" numFmtId="0" fillId="0" borderId="0" applyFont="0" applyNumberFormat="0" applyFill="0" applyBorder="0" applyAlignment="0" applyProtection="true">
      <protection hidden="false"/>
    </xf>
    <xf xfId="0" fontId="1" numFmtId="0" fillId="0" borderId="0" applyFont="1" applyNumberFormat="0" applyFill="0" applyBorder="0" applyAlignment="1" applyProtection="true">
      <alignment horizontal="right" vertical="center" textRotation="0" wrapText="false" shrinkToFit="false"/>
      <protection hidden="true"/>
    </xf>
    <xf xfId="0" fontId="1" numFmtId="164" fillId="0" borderId="0" applyFont="1" applyNumberFormat="1" applyFill="0" applyBorder="0" applyAlignment="1" applyProtection="true">
      <alignment horizontal="left" vertical="center" textRotation="0" wrapText="false" shrinkToFit="false"/>
      <protection hidden="true"/>
    </xf>
    <xf xfId="0" fontId="1" numFmtId="164" fillId="0" borderId="0" applyFont="1" applyNumberFormat="1" applyFill="0" applyBorder="0" applyAlignment="1" applyProtection="true">
      <alignment horizontal="center" vertical="center" textRotation="0" wrapText="false" shrinkToFit="false"/>
      <protection hidden="true"/>
    </xf>
    <xf xfId="0" fontId="0" numFmtId="0" fillId="0" borderId="0" applyFont="0" applyNumberFormat="0" applyFill="0" applyBorder="0" applyAlignment="1" applyProtection="true">
      <alignment vertical="center" textRotation="0" wrapText="false" shrinkToFit="false"/>
      <protection hidden="true"/>
    </xf>
    <xf xfId="0" fontId="0" numFmtId="165" fillId="0" borderId="0" applyFont="0" applyNumberFormat="1" applyFill="0" applyBorder="0" applyAlignment="1" applyProtection="true">
      <alignment vertical="center" textRotation="0" wrapText="false" shrinkToFit="false"/>
      <protection hidden="true"/>
    </xf>
    <xf xfId="0" fontId="0" numFmtId="0" fillId="0" borderId="0" applyFont="0" applyNumberFormat="0" applyFill="0" applyBorder="0" applyAlignment="1" applyProtection="true">
      <alignment vertical="center" textRotation="0" wrapText="false" shrinkToFit="false"/>
      <protection hidden="tru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hidden="true"/>
    </xf>
    <xf xfId="0" fontId="0" numFmtId="165" fillId="0" borderId="0" applyFont="0" applyNumberFormat="1" applyFill="0" applyBorder="0" applyAlignment="1" applyProtection="true">
      <alignment vertical="center" textRotation="0" wrapText="false" shrinkToFit="false"/>
      <protection hidden="true"/>
    </xf>
    <xf xfId="0" fontId="0" numFmtId="0" fillId="0" borderId="0" applyFont="0" applyNumberFormat="0" applyFill="0" applyBorder="0" applyAlignment="1" applyProtection="true">
      <alignment vertical="center" textRotation="0" wrapText="false" shrinkToFit="false"/>
      <protection hidden="true"/>
    </xf>
    <xf xfId="0" fontId="0" numFmtId="0" fillId="0" borderId="0" applyFont="0" applyNumberFormat="0" applyFill="0" applyBorder="0" applyAlignment="1" applyProtection="true">
      <alignment vertical="center" textRotation="0" wrapText="false" shrinkToFit="false"/>
      <protection hidden="true"/>
    </xf>
    <xf xfId="0" fontId="0" numFmtId="165" fillId="0" borderId="0" applyFont="0" applyNumberFormat="1" applyFill="0" applyBorder="0" applyAlignment="1" applyProtection="true">
      <alignment vertical="center" textRotation="0" wrapText="false" shrinkToFit="false"/>
      <protection hidden="true"/>
    </xf>
    <xf xfId="0" fontId="0" numFmtId="0" fillId="0" borderId="0" applyFont="0" applyNumberFormat="0" applyFill="0" applyBorder="0" applyAlignment="1" applyProtection="true">
      <alignment vertical="center" textRotation="0" wrapText="false" shrinkToFit="false"/>
      <protection hidden="true"/>
    </xf>
    <xf xfId="0" fontId="3" numFmtId="0" fillId="0" borderId="0" applyFont="1" applyNumberFormat="0" applyFill="0" applyBorder="0" applyAlignment="1" applyProtection="true">
      <alignment horizontal="right" vertical="center" textRotation="0" wrapText="false" shrinkToFit="false"/>
      <protection hidden="true"/>
    </xf>
    <xf xfId="0" fontId="3" numFmtId="15" fillId="0" borderId="0" applyFont="1" applyNumberFormat="1" applyFill="0" applyBorder="0" applyAlignment="1" applyProtection="true">
      <alignment horizontal="center" vertical="center" textRotation="0" wrapText="false" shrinkToFit="false"/>
      <protection hidden="true"/>
    </xf>
    <xf xfId="0" fontId="3" numFmtId="0" fillId="0" borderId="0" applyFont="1" applyNumberFormat="0" applyFill="0" applyBorder="0" applyAlignment="1" applyProtection="true">
      <alignment horizontal="left" vertical="center" textRotation="0" wrapText="false" shrinkToFit="false"/>
      <protection hidden="true"/>
    </xf>
    <xf xfId="0" fontId="3" numFmtId="21" fillId="0" borderId="0" applyFont="1" applyNumberFormat="1" applyFill="0" applyBorder="0" applyAlignment="1" applyProtection="true">
      <alignment horizontal="left" vertical="center" textRotation="0" wrapText="false" shrinkToFit="false"/>
      <protection hidden="true"/>
    </xf>
    <xf xfId="0" fontId="3" numFmtId="164" fillId="0" borderId="0" applyFont="1" applyNumberFormat="1" applyFill="0" applyBorder="0" applyAlignment="1" applyProtection="true">
      <alignment horizontal="left" vertical="center" textRotation="0" wrapText="false" shrinkToFit="false"/>
      <protection hidden="true"/>
    </xf>
    <xf xfId="0" fontId="0" numFmtId="0" fillId="0" borderId="0" applyFont="0" applyNumberFormat="0" applyFill="0" applyBorder="0" applyAlignment="1" applyProtection="true">
      <alignment horizontal="center" vertical="center" textRotation="0" wrapText="false" shrinkToFit="false"/>
      <protection hidden="true"/>
    </xf>
    <xf xfId="0" fontId="4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true"/>
    </xf>
    <xf xfId="0" fontId="4" numFmtId="0" fillId="0" borderId="0" applyFont="1" applyNumberFormat="0" applyFill="0" applyBorder="0" applyAlignment="1" applyProtection="true">
      <alignment horizontal="right" vertical="center" textRotation="0" wrapText="false" shrinkToFit="false"/>
      <protection hidden="true"/>
    </xf>
    <xf xfId="0" fontId="0" numFmtId="0" fillId="0" borderId="0" applyFont="0" applyNumberFormat="0" applyFill="0" applyBorder="0" applyAlignment="1" applyProtection="true">
      <alignment horizontal="center" vertical="center" textRotation="0" wrapText="false" shrinkToFit="false"/>
      <protection hidden="true"/>
    </xf>
    <xf xfId="0" fontId="0" numFmtId="165" fillId="0" borderId="1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5" fillId="0" borderId="2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5" fillId="0" borderId="3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5" fillId="0" borderId="4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5" fillId="0" borderId="5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5" fillId="0" borderId="6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6" fillId="0" borderId="6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0" fillId="0" borderId="0" applyFont="0" applyNumberFormat="0" applyFill="0" applyBorder="0" applyAlignment="1" applyProtection="true">
      <alignment vertical="center" textRotation="0" wrapText="false" shrinkToFit="false"/>
      <protection hidden="true"/>
    </xf>
    <xf xfId="0" fontId="5" numFmtId="0" fillId="0" borderId="0" applyFont="1" applyNumberFormat="0" applyFill="0" applyBorder="0" applyAlignment="1" applyProtection="true">
      <alignment vertical="center" textRotation="0" wrapText="false" shrinkToFit="false"/>
      <protection hidden="tru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hidden="true"/>
    </xf>
    <xf xfId="0" fontId="0" numFmtId="165" fillId="0" borderId="0" applyFont="0" applyNumberFormat="1" applyFill="0" applyBorder="0" applyAlignment="1" applyProtection="true">
      <alignment vertical="center" textRotation="0" wrapText="false" shrinkToFit="false"/>
      <protection hidden="true"/>
    </xf>
    <xf xfId="0" fontId="2" numFmtId="165" fillId="0" borderId="0" applyFont="1" applyNumberFormat="1" applyFill="0" applyBorder="0" applyAlignment="1" applyProtection="true">
      <alignment vertical="center" textRotation="0" wrapText="false" shrinkToFit="false"/>
      <protection hidden="true"/>
    </xf>
    <xf xfId="0" fontId="0" numFmtId="165" fillId="0" borderId="0" applyFont="0" applyNumberFormat="1" applyFill="0" applyBorder="0" applyAlignment="1" applyProtection="true">
      <alignment horizontal="right" vertical="center" textRotation="0" wrapText="false" shrinkToFit="false"/>
      <protection hidden="true"/>
    </xf>
    <xf xfId="0" fontId="0" numFmtId="165" fillId="0" borderId="0" applyFont="0" applyNumberFormat="1" applyFill="0" applyBorder="0" applyAlignment="1" applyProtection="true">
      <alignment horizontal="center" vertical="center" textRotation="0" wrapText="false" shrinkToFit="false"/>
      <protection hidden="true"/>
    </xf>
    <xf xfId="0" fontId="0" numFmtId="165" fillId="0" borderId="0" applyFont="0" applyNumberFormat="1" applyFill="0" applyBorder="0" applyAlignment="1" applyProtection="true">
      <alignment horizontal="left" vertical="center" textRotation="0" wrapText="false" shrinkToFit="false"/>
      <protection hidden="true"/>
    </xf>
    <xf xfId="0" fontId="0" numFmtId="165" fillId="0" borderId="7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6" fillId="0" borderId="7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3" fillId="0" borderId="8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9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10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11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12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13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14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15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16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17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9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10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14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15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6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167" fillId="0" borderId="18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7" fillId="0" borderId="19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3" fillId="0" borderId="7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0" fillId="0" borderId="0" applyFont="0" applyNumberFormat="0" applyFill="0" applyBorder="0" applyAlignment="1" applyProtection="true">
      <alignment vertical="center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vertical="center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center" vertical="center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center" vertical="center" textRotation="0" wrapText="false" shrinkToFit="false"/>
      <protection hidden="false"/>
    </xf>
    <xf xfId="0" fontId="3" numFmtId="165" fillId="0" borderId="0" applyFont="1" applyNumberFormat="1" applyFill="0" applyBorder="0" applyAlignment="1" applyProtection="true">
      <alignment horizontal="left" vertical="center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center" vertical="center" textRotation="0" wrapText="false" shrinkToFit="false"/>
      <protection hidden="false"/>
    </xf>
    <xf xfId="0" fontId="3" numFmtId="168" fillId="0" borderId="0" applyFont="1" applyNumberFormat="1" applyFill="0" applyBorder="0" applyAlignment="1" applyProtection="true">
      <alignment horizontal="center" vertical="center" textRotation="0" wrapText="false" shrinkToFit="false"/>
      <protection hidden="false"/>
    </xf>
    <xf xfId="0" fontId="0" numFmtId="168" fillId="0" borderId="0" applyFont="0" applyNumberFormat="1" applyFill="0" applyBorder="0" applyAlignment="1" applyProtection="true">
      <alignment horizontal="center" vertical="center" textRotation="0" wrapText="false" shrinkToFit="false"/>
      <protection hidden="false"/>
    </xf>
    <xf xfId="0" fontId="4" numFmtId="165" fillId="0" borderId="0" applyFont="1" applyNumberFormat="1" applyFill="0" applyBorder="0" applyAlignment="1" applyProtection="true">
      <alignment horizontal="left" vertical="center" textRotation="0" wrapText="false" shrinkToFit="false"/>
      <protection hidden="true"/>
    </xf>
    <xf xfId="0" fontId="0" numFmtId="0" fillId="0" borderId="0" applyFont="0" applyNumberFormat="0" applyFill="0" applyBorder="0" applyAlignment="1" applyProtection="true">
      <alignment horizontal="center" vertical="center" textRotation="0" wrapText="false" shrinkToFit="false"/>
      <protection hidden="true"/>
    </xf>
    <xf xfId="0" fontId="7" numFmtId="0" fillId="0" borderId="0" applyFont="1" applyNumberFormat="0" applyFill="0" applyBorder="0" applyAlignment="1" applyProtection="true">
      <alignment vertical="center" textRotation="0" wrapText="false" shrinkToFit="false"/>
      <protection hidden="true"/>
    </xf>
    <xf xfId="0" fontId="0" numFmtId="3" fillId="0" borderId="0" applyFont="0" applyNumberFormat="1" applyFill="0" applyBorder="0" applyAlignment="1" applyProtection="true">
      <alignment horizontal="center" vertical="center" textRotation="0" wrapText="false" shrinkToFit="false"/>
      <protection hidden="true"/>
    </xf>
    <xf xfId="0" fontId="0" numFmtId="0" fillId="0" borderId="0" applyFont="0" applyNumberFormat="0" applyFill="0" applyBorder="0" applyAlignment="0" applyProtection="true">
      <protection hidden="false"/>
    </xf>
    <xf xfId="0" fontId="0" numFmtId="0" fillId="0" borderId="0" applyFont="0" applyNumberFormat="0" applyFill="0" applyBorder="0" applyAlignment="0" applyProtection="true">
      <protection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hidden="false"/>
    </xf>
    <xf xfId="0" fontId="2" numFmtId="14" fillId="0" borderId="0" applyFont="1" applyNumberFormat="1" applyFill="0" applyBorder="0" applyAlignment="1" applyProtection="true">
      <alignment horizontal="left" vertical="center" textRotation="0" wrapText="false" shrinkToFit="false"/>
      <protection hidden="true"/>
    </xf>
    <xf xfId="0" fontId="0" numFmtId="167" fillId="0" borderId="18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7" fillId="0" borderId="7" applyFont="0" applyNumberFormat="1" applyFill="0" applyBorder="1" applyAlignment="1" applyProtection="true">
      <alignment horizontal="left" vertical="center" textRotation="0" wrapText="false" shrinkToFit="false"/>
      <protection hidden="true"/>
    </xf>
    <xf xfId="0" fontId="0" numFmtId="165" fillId="0" borderId="20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4" numFmtId="165" fillId="0" borderId="21" applyFont="1" applyNumberFormat="1" applyFill="0" applyBorder="1" applyAlignment="1" applyProtection="true">
      <alignment horizontal="left" vertical="center" textRotation="0" wrapText="false" shrinkToFit="false"/>
      <protection hidden="true"/>
    </xf>
    <xf xfId="0" fontId="4" numFmtId="165" fillId="0" borderId="22" applyFont="1" applyNumberFormat="1" applyFill="0" applyBorder="1" applyAlignment="1" applyProtection="true">
      <alignment horizontal="left" vertical="center" textRotation="0" wrapText="false" shrinkToFit="false"/>
      <protection hidden="true"/>
    </xf>
    <xf xfId="0" fontId="4" numFmtId="165" fillId="0" borderId="23" applyFont="1" applyNumberFormat="1" applyFill="0" applyBorder="1" applyAlignment="1" applyProtection="true">
      <alignment horizontal="left" vertical="center" textRotation="0" wrapText="false" shrinkToFit="false"/>
      <protection hidden="true"/>
    </xf>
    <xf xfId="0" fontId="4" numFmtId="165" fillId="0" borderId="24" applyFont="1" applyNumberFormat="1" applyFill="0" applyBorder="1" applyAlignment="1" applyProtection="true">
      <alignment horizontal="left" vertical="center" textRotation="0" wrapText="false" shrinkToFit="false"/>
      <protection hidden="true"/>
    </xf>
    <xf xfId="0" fontId="0" numFmtId="165" fillId="0" borderId="0" applyFont="0" applyNumberFormat="1" applyFill="0" applyBorder="0" applyAlignment="1" applyProtection="true">
      <alignment horizontal="center" vertical="center" textRotation="0" wrapText="false" shrinkToFit="false"/>
      <protection hidden="true"/>
    </xf>
    <xf xfId="0" fontId="7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true"/>
    </xf>
    <xf xfId="0" fontId="7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tru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true"/>
    </xf>
    <xf xfId="0" fontId="7" numFmtId="3" fillId="2" borderId="4" applyFont="1" applyNumberFormat="1" applyFill="1" applyBorder="1" applyAlignment="1" applyProtection="true">
      <alignment vertical="center" textRotation="0" wrapText="false" shrinkToFit="false"/>
      <protection hidden="true"/>
    </xf>
    <xf xfId="0" fontId="7" numFmtId="3" fillId="2" borderId="2" applyFont="1" applyNumberFormat="1" applyFill="1" applyBorder="1" applyAlignment="1" applyProtection="true">
      <alignment vertical="center" textRotation="0" wrapText="false" shrinkToFit="false"/>
      <protection hidden="true"/>
    </xf>
    <xf xfId="0" fontId="7" numFmtId="3" fillId="2" borderId="3" applyFont="1" applyNumberFormat="1" applyFill="1" applyBorder="1" applyAlignment="1" applyProtection="true">
      <alignment vertical="center" textRotation="0" wrapText="false" shrinkToFit="false"/>
      <protection hidden="true"/>
    </xf>
    <xf xfId="0" fontId="7" numFmtId="3" fillId="2" borderId="25" applyFont="1" applyNumberFormat="1" applyFill="1" applyBorder="1" applyAlignment="1" applyProtection="true">
      <alignment vertical="center" textRotation="0" wrapText="false" shrinkToFit="false"/>
      <protection hidden="true"/>
    </xf>
    <xf xfId="0" fontId="7" numFmtId="3" fillId="2" borderId="1" applyFont="1" applyNumberFormat="1" applyFill="1" applyBorder="1" applyAlignment="1" applyProtection="true">
      <alignment vertical="center" textRotation="0" wrapText="false" shrinkToFit="false"/>
      <protection hidden="true"/>
    </xf>
    <xf xfId="0" fontId="7" numFmtId="3" fillId="3" borderId="26" applyFont="1" applyNumberFormat="1" applyFill="1" applyBorder="1" applyAlignment="1" applyProtection="true">
      <alignment vertical="center" textRotation="0" wrapText="false" shrinkToFit="false"/>
      <protection hidden="true"/>
    </xf>
    <xf xfId="0" fontId="7" numFmtId="3" fillId="3" borderId="27" applyFont="1" applyNumberFormat="1" applyFill="1" applyBorder="1" applyAlignment="1" applyProtection="true">
      <alignment vertical="center" textRotation="0" wrapText="false" shrinkToFit="false"/>
      <protection hidden="true"/>
    </xf>
    <xf xfId="0" fontId="7" numFmtId="3" fillId="3" borderId="28" applyFont="1" applyNumberFormat="1" applyFill="1" applyBorder="1" applyAlignment="1" applyProtection="true">
      <alignment vertical="center" textRotation="0" wrapText="false" shrinkToFit="false"/>
      <protection hidden="true"/>
    </xf>
    <xf xfId="0" fontId="7" numFmtId="3" fillId="3" borderId="29" applyFont="1" applyNumberFormat="1" applyFill="1" applyBorder="1" applyAlignment="1" applyProtection="true">
      <alignment vertical="center" textRotation="0" wrapText="false" shrinkToFit="false"/>
      <protection hidden="true"/>
    </xf>
    <xf xfId="0" fontId="3" numFmtId="15" fillId="0" borderId="0" applyFont="1" applyNumberFormat="1" applyFill="0" applyBorder="0" applyAlignment="1" applyProtection="true">
      <alignment horizontal="center" vertical="center" textRotation="0" wrapText="false" shrinkToFit="false"/>
      <protection hidden="true"/>
    </xf>
    <xf xfId="0" fontId="4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true"/>
    </xf>
    <xf xfId="0" fontId="4" numFmtId="0" fillId="0" borderId="0" applyFont="1" applyNumberFormat="0" applyFill="0" applyBorder="0" applyAlignment="1" applyProtection="true">
      <alignment horizontal="right" vertical="center" textRotation="0" wrapText="false" shrinkToFit="false"/>
      <protection hidden="true"/>
    </xf>
    <xf xfId="0" fontId="0" numFmtId="165" fillId="0" borderId="0" applyFont="0" applyNumberFormat="1" applyFill="0" applyBorder="0" applyAlignment="1" applyProtection="true">
      <alignment horizontal="center" vertical="center" textRotation="0" wrapText="true" shrinkToFit="false"/>
      <protection hidden="true"/>
    </xf>
    <xf xfId="0" fontId="2" numFmtId="165" fillId="0" borderId="0" applyFont="1" applyNumberFormat="1" applyFill="0" applyBorder="0" applyAlignment="1" applyProtection="true">
      <alignment horizontal="center" vertical="center" textRotation="0" wrapText="true" shrinkToFit="false"/>
      <protection hidden="true"/>
    </xf>
    <xf xfId="0" fontId="0" numFmtId="167" fillId="0" borderId="0" applyFont="0" applyNumberFormat="1" applyFill="0" applyBorder="0" applyAlignment="1" applyProtection="true">
      <alignment horizontal="center" vertical="center" textRotation="0" wrapText="false" shrinkToFit="false"/>
      <protection hidden="true"/>
    </xf>
    <xf xfId="0" fontId="0" numFmtId="166" fillId="0" borderId="0" applyFont="0" applyNumberFormat="1" applyFill="0" applyBorder="0" applyAlignment="1" applyProtection="true">
      <alignment horizontal="center" vertical="center" textRotation="0" wrapText="false" shrinkToFit="false"/>
      <protection hidden="true"/>
    </xf>
    <xf xfId="0" fontId="0" numFmtId="3" fillId="0" borderId="0" applyFont="0" applyNumberFormat="1" applyFill="0" applyBorder="0" applyAlignment="1" applyProtection="true">
      <alignment vertical="center" textRotation="0" wrapText="false" shrinkToFit="false"/>
      <protection hidden="true"/>
    </xf>
    <xf xfId="0" fontId="7" numFmtId="3" fillId="0" borderId="0" applyFont="1" applyNumberFormat="1" applyFill="0" applyBorder="0" applyAlignment="1" applyProtection="true">
      <alignment vertical="center" textRotation="0" wrapText="false" shrinkToFit="false"/>
      <protection hidden="true"/>
    </xf>
    <xf xfId="0" fontId="7" numFmtId="3" fillId="0" borderId="0" applyFont="1" applyNumberFormat="1" applyFill="0" applyBorder="0" applyAlignment="1" applyProtection="true">
      <alignment vertical="center" textRotation="0" wrapText="false" shrinkToFit="false"/>
      <protection hidden="true"/>
    </xf>
    <xf xfId="0" fontId="2" numFmtId="0" fillId="0" borderId="0" applyFont="1" applyNumberFormat="0" applyFill="0" applyBorder="0" applyAlignment="1" applyProtection="true">
      <alignment vertical="center" textRotation="0" wrapText="true" shrinkToFit="false"/>
      <protection hidden="true"/>
    </xf>
    <xf xfId="0" fontId="2" numFmtId="0" fillId="0" borderId="0" applyFont="1" applyNumberFormat="0" applyFill="0" applyBorder="0" applyAlignment="1" applyProtection="true">
      <alignment horizontal="center" vertical="center" textRotation="0" wrapText="true" shrinkToFit="false"/>
      <protection hidden="true"/>
    </xf>
    <xf xfId="0" fontId="7" numFmtId="165" fillId="0" borderId="0" applyFont="1" applyNumberFormat="1" applyFill="0" applyBorder="0" applyAlignment="1" applyProtection="true">
      <alignment horizontal="center" vertical="center" textRotation="0" wrapText="false" shrinkToFit="false"/>
      <protection hidden="true"/>
    </xf>
    <xf xfId="0" fontId="8" numFmtId="3" fillId="0" borderId="0" applyFont="1" applyNumberFormat="1" applyFill="0" applyBorder="0" applyAlignment="1" applyProtection="true">
      <alignment vertical="center" textRotation="0" wrapText="false" shrinkToFit="false"/>
      <protection hidden="true"/>
    </xf>
    <xf xfId="0" fontId="0" numFmtId="0" fillId="0" borderId="0" applyFont="0" applyNumberFormat="0" applyFill="0" applyBorder="0" applyAlignment="1" applyProtection="true">
      <alignment horizontal="right" vertical="center" textRotation="0" wrapText="false" shrinkToFit="false"/>
      <protection hidden="true"/>
    </xf>
    <xf xfId="0" fontId="9" numFmtId="165" fillId="0" borderId="0" applyFont="1" applyNumberFormat="1" applyFill="0" applyBorder="0" applyAlignment="1" applyProtection="true">
      <alignment horizontal="center" vertical="center" textRotation="0" wrapText="false" shrinkToFit="false"/>
      <protection hidden="false"/>
    </xf>
    <xf xfId="0" fontId="0" numFmtId="165" fillId="0" borderId="0" applyFont="0" applyNumberFormat="1" applyFill="0" applyBorder="0" applyAlignment="1" applyProtection="true">
      <alignment horizontal="center" vertical="center" textRotation="0" wrapText="false" shrinkToFit="false"/>
      <protection hidden="false"/>
    </xf>
    <xf xfId="0" fontId="0" numFmtId="165" fillId="0" borderId="0" applyFont="0" applyNumberFormat="1" applyFill="0" applyBorder="0" applyAlignment="1" applyProtection="true">
      <alignment horizontal="center" vertical="center" textRotation="0" wrapText="false" shrinkToFit="false"/>
      <protection hidden="false"/>
    </xf>
    <xf xfId="0" fontId="0" numFmtId="2" fillId="0" borderId="0" applyFont="0" applyNumberFormat="1" applyFill="0" applyBorder="0" applyAlignment="1" applyProtection="true">
      <alignment horizontal="center" vertical="center" textRotation="0" wrapText="false" shrinkToFit="false"/>
      <protection hidden="false"/>
    </xf>
    <xf xfId="0" fontId="0" numFmtId="2" fillId="0" borderId="0" applyFont="0" applyNumberFormat="1" applyFill="0" applyBorder="0" applyAlignment="1" applyProtection="true">
      <alignment horizontal="center" vertical="center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center" vertical="center" textRotation="0" wrapText="false" shrinkToFit="false"/>
      <protection hidden="false"/>
    </xf>
    <xf xfId="0" fontId="0" numFmtId="2" fillId="0" borderId="0" applyFont="0" applyNumberFormat="1" applyFill="0" applyBorder="0" applyAlignment="1" applyProtection="true">
      <alignment horizontal="center" vertical="center" textRotation="0" wrapText="false" shrinkToFit="false"/>
      <protection hidden="false"/>
    </xf>
    <xf xfId="0" fontId="0" numFmtId="165" fillId="4" borderId="0" applyFont="0" applyNumberFormat="1" applyFill="1" applyBorder="0" applyAlignment="1" applyProtection="true">
      <alignment horizontal="center" vertical="center" textRotation="0" wrapText="false" shrinkToFit="false"/>
      <protection hidden="false"/>
    </xf>
    <xf xfId="0" fontId="0" numFmtId="165" fillId="0" borderId="0" applyFont="0" applyNumberFormat="1" applyFill="0" applyBorder="0" applyAlignment="1" applyProtection="true">
      <alignment horizontal="center" vertical="center" textRotation="0" wrapText="false" shrinkToFit="false"/>
      <protection hidden="false"/>
    </xf>
    <xf xfId="0" fontId="6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0" numFmtId="2" fillId="0" borderId="0" applyFont="0" applyNumberFormat="1" applyFill="0" applyBorder="0" applyAlignment="1" applyProtection="true">
      <alignment horizontal="center" vertical="center" textRotation="0" wrapText="false" shrinkToFit="false"/>
      <protection hidden="false"/>
    </xf>
    <xf xfId="0" fontId="6" numFmtId="2" fillId="0" borderId="0" applyFont="1" applyNumberFormat="1" applyFill="0" applyBorder="0" applyAlignment="1" applyProtection="true">
      <alignment horizontal="center" vertical="center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center" vertical="center" textRotation="0" wrapText="false" shrinkToFit="false"/>
      <protection hidden="false"/>
    </xf>
    <xf xfId="0" fontId="0" numFmtId="2" fillId="0" borderId="0" applyFont="0" applyNumberFormat="1" applyFill="0" applyBorder="0" applyAlignment="1" applyProtection="true">
      <alignment vertical="center" textRotation="0" wrapText="false" shrinkToFit="false"/>
      <protection hidden="false"/>
    </xf>
    <xf xfId="0" fontId="0" numFmtId="165" fillId="4" borderId="0" applyFont="0" applyNumberFormat="1" applyFill="1" applyBorder="0" applyAlignment="1" applyProtection="true">
      <alignment horizontal="center" vertical="center" textRotation="0" wrapText="false" shrinkToFit="false"/>
      <protection hidden="false"/>
    </xf>
    <xf xfId="0" fontId="7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0" numFmtId="2" fillId="0" borderId="0" applyFont="0" applyNumberFormat="1" applyFill="0" applyBorder="0" applyAlignment="1" applyProtection="true">
      <alignment horizontal="center" vertical="center" textRotation="0" wrapText="false" shrinkToFit="false"/>
      <protection hidden="false"/>
    </xf>
    <xf xfId="0" fontId="0" numFmtId="3" fillId="0" borderId="0" applyFont="0" applyNumberFormat="1" applyFill="0" applyBorder="0" applyAlignment="1" applyProtection="true">
      <alignment vertical="center" textRotation="0" wrapText="false" shrinkToFit="false"/>
      <protection hidden="true"/>
    </xf>
    <xf xfId="0" fontId="10" numFmtId="165" fillId="0" borderId="0" applyFont="1" applyNumberFormat="1" applyFill="0" applyBorder="0" applyAlignment="1" applyProtection="true">
      <alignment vertical="center" textRotation="0" wrapText="false" shrinkToFit="false"/>
      <protection hidden="true"/>
    </xf>
    <xf xfId="0" fontId="11" numFmtId="165" fillId="0" borderId="0" applyFont="1" applyNumberFormat="1" applyFill="0" applyBorder="0" applyAlignment="1" applyProtection="true">
      <alignment vertical="center" textRotation="0" wrapText="false" shrinkToFit="false"/>
      <protection hidden="tru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hidden="true"/>
    </xf>
    <xf xfId="0" fontId="13" numFmtId="0" fillId="0" borderId="0" applyFont="1" applyNumberFormat="0" applyFill="0" applyBorder="0" applyAlignment="1" applyProtection="true">
      <alignment vertical="center" textRotation="0" wrapText="false" shrinkToFit="false"/>
      <protection hidden="true"/>
    </xf>
    <xf xfId="0" fontId="0" numFmtId="165" fillId="0" borderId="30" applyFont="0" applyNumberFormat="1" applyFill="0" applyBorder="1" applyAlignment="1" applyProtection="true">
      <alignment vertical="center" textRotation="0" wrapText="false" shrinkToFit="false"/>
      <protection hidden="true"/>
    </xf>
    <xf xfId="0" fontId="2" numFmtId="165" fillId="0" borderId="31" applyFont="1" applyNumberFormat="1" applyFill="0" applyBorder="1" applyAlignment="1" applyProtection="true">
      <alignment vertical="center" textRotation="0" wrapText="false" shrinkToFit="false"/>
      <protection hidden="true"/>
    </xf>
    <xf xfId="0" fontId="2" numFmtId="165" fillId="0" borderId="32" applyFont="1" applyNumberFormat="1" applyFill="0" applyBorder="1" applyAlignment="1" applyProtection="true">
      <alignment vertical="center" textRotation="0" wrapText="false" shrinkToFit="false"/>
      <protection hidden="true"/>
    </xf>
    <xf xfId="0" fontId="2" numFmtId="0" fillId="0" borderId="32" applyFont="1" applyNumberFormat="0" applyFill="0" applyBorder="1" applyAlignment="1" applyProtection="true">
      <alignment vertical="center" textRotation="0" wrapText="false" shrinkToFit="false"/>
      <protection hidden="true"/>
    </xf>
    <xf xfId="0" fontId="2" numFmtId="0" fillId="0" borderId="31" applyFont="1" applyNumberFormat="0" applyFill="0" applyBorder="1" applyAlignment="1" applyProtection="true">
      <alignment vertical="center" textRotation="0" wrapText="false" shrinkToFit="false"/>
      <protection hidden="true"/>
    </xf>
    <xf xfId="0" fontId="0" numFmtId="165" fillId="0" borderId="33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165" fillId="0" borderId="34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165" fillId="0" borderId="35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165" fillId="0" borderId="36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0" fillId="0" borderId="34" applyFont="0" applyNumberFormat="0" applyFill="0" applyBorder="1" applyAlignment="1" applyProtection="true">
      <alignment vertical="center" textRotation="0" wrapText="false" shrinkToFit="false"/>
      <protection hidden="true"/>
    </xf>
    <xf xfId="0" fontId="0" numFmtId="0" fillId="0" borderId="35" applyFont="0" applyNumberFormat="0" applyFill="0" applyBorder="1" applyAlignment="1" applyProtection="true">
      <alignment vertical="center" textRotation="0" wrapText="false" shrinkToFit="false"/>
      <protection hidden="true"/>
    </xf>
    <xf xfId="0" fontId="0" numFmtId="1" fillId="0" borderId="0" applyFont="0" applyNumberFormat="1" applyFill="0" applyBorder="0" applyAlignment="1" applyProtection="true">
      <alignment vertical="center" textRotation="0" wrapText="false" shrinkToFit="false"/>
      <protection hidden="true"/>
    </xf>
    <xf xfId="0" fontId="3" numFmtId="1" fillId="0" borderId="0" applyFont="1" applyNumberFormat="1" applyFill="0" applyBorder="0" applyAlignment="1" applyProtection="true">
      <alignment horizontal="left" vertical="center" textRotation="0" wrapText="false" shrinkToFit="false"/>
      <protection hidden="true"/>
    </xf>
    <xf xfId="0" fontId="0" numFmtId="3" fillId="0" borderId="0" applyFont="0" applyNumberFormat="1" applyFill="0" applyBorder="0" applyAlignment="1" applyProtection="true">
      <alignment vertical="center" textRotation="0" wrapText="false" shrinkToFit="false"/>
      <protection hidden="true"/>
    </xf>
    <xf xfId="0" fontId="0" numFmtId="165" fillId="0" borderId="0" applyFont="0" applyNumberFormat="1" applyFill="0" applyBorder="0" applyAlignment="1" applyProtection="true">
      <alignment vertical="center" textRotation="0" wrapText="false" shrinkToFit="false"/>
      <protection hidden="true"/>
    </xf>
    <xf xfId="0" fontId="0" numFmtId="166" fillId="0" borderId="20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3" fillId="0" borderId="37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38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39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40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41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39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38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20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167" fillId="0" borderId="20" applyFont="0" applyNumberFormat="1" applyFill="0" applyBorder="1" applyAlignment="1" applyProtection="true">
      <alignment horizontal="left" vertical="center" textRotation="0" wrapText="false" shrinkToFit="false"/>
      <protection hidden="true"/>
    </xf>
    <xf xfId="0" fontId="0" numFmtId="166" fillId="0" borderId="6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7" fillId="0" borderId="20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7" fillId="0" borderId="7" applyFont="0" applyNumberFormat="1" applyFill="0" applyBorder="1" applyAlignment="1" applyProtection="true">
      <alignment horizontal="left" vertical="center" textRotation="0" wrapText="false" shrinkToFit="false"/>
      <protection hidden="true"/>
    </xf>
    <xf xfId="0" fontId="0" numFmtId="167" fillId="0" borderId="6" applyFont="0" applyNumberFormat="1" applyFill="0" applyBorder="1" applyAlignment="1" applyProtection="true">
      <alignment horizontal="left" vertical="center" textRotation="0" wrapText="false" shrinkToFit="false"/>
      <protection hidden="true"/>
    </xf>
    <xf xfId="0" fontId="0" numFmtId="167" fillId="0" borderId="6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7" fillId="0" borderId="6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7" fillId="0" borderId="42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7" numFmtId="3" fillId="3" borderId="43" applyFont="1" applyNumberFormat="1" applyFill="1" applyBorder="1" applyAlignment="1" applyProtection="true">
      <alignment vertical="center" textRotation="0" wrapText="false" shrinkToFit="false"/>
      <protection hidden="true"/>
    </xf>
    <xf xfId="0" fontId="7" numFmtId="3" fillId="2" borderId="44" applyFont="1" applyNumberFormat="1" applyFill="1" applyBorder="1" applyAlignment="1" applyProtection="true">
      <alignment vertical="center" textRotation="0" wrapText="false" shrinkToFit="false"/>
      <protection hidden="true"/>
    </xf>
    <xf xfId="0" fontId="7" numFmtId="3" fillId="2" borderId="45" applyFont="1" applyNumberFormat="1" applyFill="1" applyBorder="1" applyAlignment="1" applyProtection="true">
      <alignment vertical="center" textRotation="0" wrapText="false" shrinkToFit="false"/>
      <protection hidden="true"/>
    </xf>
    <xf xfId="0" fontId="7" numFmtId="3" fillId="2" borderId="46" applyFont="1" applyNumberFormat="1" applyFill="1" applyBorder="1" applyAlignment="1" applyProtection="true">
      <alignment vertical="center" textRotation="0" wrapText="false" shrinkToFit="false"/>
      <protection hidden="true"/>
    </xf>
    <xf xfId="0" fontId="6" numFmtId="3" fillId="0" borderId="0" applyFont="1" applyNumberFormat="1" applyFill="0" applyBorder="0" applyAlignment="1" applyProtection="true">
      <alignment vertical="center" textRotation="0" wrapText="false" shrinkToFit="false"/>
      <protection hidden="true"/>
    </xf>
    <xf xfId="0" fontId="12" numFmtId="3" fillId="0" borderId="0" applyFont="1" applyNumberFormat="1" applyFill="0" applyBorder="0" applyAlignment="1" applyProtection="true">
      <alignment vertical="center" textRotation="0" wrapText="false" shrinkToFit="false"/>
      <protection hidden="true"/>
    </xf>
    <xf xfId="0" fontId="0" numFmtId="3" fillId="0" borderId="0" applyFont="0" applyNumberFormat="1" applyFill="0" applyBorder="0" applyAlignment="1" applyProtection="true">
      <alignment vertical="center" textRotation="0" wrapText="false" shrinkToFit="false"/>
      <protection hidden="true"/>
    </xf>
    <xf xfId="0" fontId="0" numFmtId="3" fillId="0" borderId="47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30" applyFont="0" applyNumberFormat="1" applyFill="0" applyBorder="1" applyAlignment="1" applyProtection="true">
      <alignment vertical="center" textRotation="0" wrapText="false" shrinkToFit="false"/>
      <protection hidden="true"/>
    </xf>
    <xf xfId="0" fontId="2" numFmtId="3" fillId="0" borderId="31" applyFont="1" applyNumberFormat="1" applyFill="0" applyBorder="1" applyAlignment="1" applyProtection="true">
      <alignment vertical="center" textRotation="0" wrapText="false" shrinkToFit="false"/>
      <protection hidden="true"/>
    </xf>
    <xf xfId="0" fontId="2" numFmtId="3" fillId="0" borderId="32" applyFont="1" applyNumberFormat="1" applyFill="0" applyBorder="1" applyAlignment="1" applyProtection="true">
      <alignment vertical="center" textRotation="0" wrapText="false" shrinkToFit="false"/>
      <protection hidden="true"/>
    </xf>
    <xf xfId="0" fontId="2" numFmtId="3" fillId="0" borderId="0" applyFont="1" applyNumberFormat="1" applyFill="0" applyBorder="0" applyAlignment="1" applyProtection="true">
      <alignment vertical="center" textRotation="0" wrapText="false" shrinkToFit="false"/>
      <protection hidden="true"/>
    </xf>
    <xf xfId="0" fontId="0" numFmtId="3" fillId="0" borderId="33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34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35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36" applyFont="0" applyNumberFormat="1" applyFill="0" applyBorder="1" applyAlignment="1" applyProtection="true">
      <alignment vertical="center" textRotation="0" wrapText="false" shrinkToFit="false"/>
      <protection hidden="true"/>
    </xf>
    <xf xfId="0" fontId="7" numFmtId="3" fillId="2" borderId="5" applyFont="1" applyNumberFormat="1" applyFill="1" applyBorder="1" applyAlignment="1" applyProtection="true">
      <alignment vertical="center" textRotation="0" wrapText="false" shrinkToFit="false"/>
      <protection hidden="true"/>
    </xf>
    <xf xfId="0" fontId="7" numFmtId="3" fillId="2" borderId="22" applyFont="1" applyNumberFormat="1" applyFill="1" applyBorder="1" applyAlignment="1" applyProtection="true">
      <alignment vertical="center" textRotation="0" wrapText="false" shrinkToFit="false"/>
      <protection hidden="true"/>
    </xf>
    <xf xfId="0" fontId="0" numFmtId="0" fillId="0" borderId="48" applyFont="0" applyNumberFormat="0" applyFill="0" applyBorder="1" applyAlignment="1" applyProtection="true">
      <alignment vertical="center" textRotation="0" wrapText="false" shrinkToFit="false"/>
      <protection hidden="true"/>
    </xf>
    <xf xfId="0" fontId="0" numFmtId="0" fillId="0" borderId="48" applyFont="0" applyNumberFormat="0" applyFill="0" applyBorder="1" applyAlignment="1" applyProtection="true">
      <alignment vertical="center" textRotation="0" wrapText="false" shrinkToFit="false"/>
      <protection hidden="true"/>
    </xf>
    <xf xfId="0" fontId="7" numFmtId="3" fillId="2" borderId="49" applyFont="1" applyNumberFormat="1" applyFill="1" applyBorder="1" applyAlignment="1" applyProtection="true">
      <alignment vertical="center" textRotation="0" wrapText="false" shrinkToFit="false"/>
      <protection hidden="true"/>
    </xf>
    <xf xfId="0" fontId="7" numFmtId="3" fillId="3" borderId="50" applyFont="1" applyNumberFormat="1" applyFill="1" applyBorder="1" applyAlignment="1" applyProtection="true">
      <alignment vertical="center" textRotation="0" wrapText="false" shrinkToFit="false"/>
      <protection hidden="true"/>
    </xf>
    <xf xfId="0" fontId="0" numFmtId="3" fillId="0" borderId="12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17" applyFont="0" applyNumberFormat="1" applyFill="0" applyBorder="1" applyAlignment="1" applyProtection="true">
      <alignment vertical="center" textRotation="0" wrapText="false" shrinkToFit="false"/>
      <protection hidden="true"/>
    </xf>
    <xf xfId="0" fontId="7" numFmtId="3" fillId="3" borderId="51" applyFont="1" applyNumberFormat="1" applyFill="1" applyBorder="1" applyAlignment="1" applyProtection="true">
      <alignment vertical="center" textRotation="0" wrapText="false" shrinkToFit="false"/>
      <protection hidden="true"/>
    </xf>
    <xf xfId="0" fontId="7" numFmtId="3" fillId="2" borderId="52" applyFont="1" applyNumberFormat="1" applyFill="1" applyBorder="1" applyAlignment="1" applyProtection="true">
      <alignment vertical="center" textRotation="0" wrapText="false" shrinkToFit="false"/>
      <protection hidden="true"/>
    </xf>
    <xf xfId="0" fontId="7" numFmtId="3" fillId="2" borderId="53" applyFont="1" applyNumberFormat="1" applyFill="1" applyBorder="1" applyAlignment="1" applyProtection="true">
      <alignment vertical="center" textRotation="0" wrapText="false" shrinkToFit="false"/>
      <protection hidden="true"/>
    </xf>
    <xf xfId="0" fontId="7" numFmtId="3" fillId="3" borderId="54" applyFont="1" applyNumberFormat="1" applyFill="1" applyBorder="1" applyAlignment="1" applyProtection="true">
      <alignment vertical="center" textRotation="0" wrapText="false" shrinkToFit="false"/>
      <protection hidden="true"/>
    </xf>
    <xf xfId="0" fontId="7" numFmtId="3" fillId="3" borderId="55" applyFont="1" applyNumberFormat="1" applyFill="1" applyBorder="1" applyAlignment="1" applyProtection="true">
      <alignment vertical="center" textRotation="0" wrapText="false" shrinkToFit="false"/>
      <protection hidden="true"/>
    </xf>
    <xf xfId="0" fontId="7" numFmtId="3" fillId="3" borderId="33" applyFont="1" applyNumberFormat="1" applyFill="1" applyBorder="1" applyAlignment="1" applyProtection="true">
      <alignment vertical="center" textRotation="0" wrapText="false" shrinkToFit="false"/>
      <protection hidden="true"/>
    </xf>
    <xf xfId="0" fontId="14" numFmtId="0" fillId="0" borderId="0" applyFont="1" applyNumberFormat="0" applyFill="0" applyBorder="0" applyAlignment="1" applyProtection="true">
      <alignment vertical="center" textRotation="0" wrapText="false" shrinkToFit="false"/>
      <protection hidden="true"/>
    </xf>
    <xf xfId="0" fontId="14" numFmtId="164" fillId="0" borderId="0" applyFont="1" applyNumberFormat="1" applyFill="0" applyBorder="0" applyAlignment="1" applyProtection="true">
      <alignment horizontal="left" vertical="center" textRotation="0" wrapText="false" shrinkToFit="false"/>
      <protection hidden="true"/>
    </xf>
    <xf xfId="0" fontId="14" numFmtId="3" fillId="0" borderId="0" applyFont="1" applyNumberFormat="1" applyFill="0" applyBorder="0" applyAlignment="1" applyProtection="true">
      <alignment vertical="center" textRotation="0" wrapText="false" shrinkToFit="false"/>
      <protection hidden="true"/>
    </xf>
    <xf xfId="0" fontId="14" numFmtId="3" fillId="0" borderId="0" applyFont="1" applyNumberFormat="1" applyFill="0" applyBorder="0" applyAlignment="1" applyProtection="true">
      <alignment horizontal="center" vertical="center" textRotation="0" wrapText="false" shrinkToFit="false"/>
      <protection hidden="true"/>
    </xf>
    <xf xfId="0" fontId="14" numFmtId="0" fillId="0" borderId="0" applyFont="1" applyNumberFormat="0" applyFill="0" applyBorder="0" applyAlignment="1" applyProtection="true">
      <alignment horizontal="right" vertical="center" textRotation="0" wrapText="false" shrinkToFit="false"/>
      <protection hidden="true"/>
    </xf>
    <xf xfId="0" fontId="14" numFmtId="164" fillId="0" borderId="0" applyFont="1" applyNumberFormat="1" applyFill="0" applyBorder="0" applyAlignment="1" applyProtection="true">
      <alignment horizontal="center" vertical="center" textRotation="0" wrapText="false" shrinkToFit="false"/>
      <protection hidden="true"/>
    </xf>
    <xf xfId="0" fontId="14" numFmtId="3" fillId="0" borderId="0" applyFont="1" applyNumberFormat="1" applyFill="0" applyBorder="0" applyAlignment="1" applyProtection="true">
      <alignment horizontal="center" vertical="center" textRotation="0" wrapText="false" shrinkToFit="false"/>
      <protection hidden="true"/>
    </xf>
    <xf xfId="0" fontId="14" numFmtId="3" fillId="0" borderId="56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" fillId="0" borderId="0" applyFont="0" applyNumberFormat="1" applyFill="0" applyBorder="0" applyAlignment="1" applyProtection="true">
      <alignment horizontal="center" vertical="center" textRotation="0" wrapText="false" shrinkToFit="false"/>
      <protection hidden="true"/>
    </xf>
    <xf xfId="0" fontId="10" numFmtId="165" fillId="0" borderId="26" applyFont="1" applyNumberFormat="1" applyFill="0" applyBorder="1" applyAlignment="1" applyProtection="true">
      <alignment vertical="center" textRotation="0" wrapText="false" shrinkToFit="false"/>
      <protection hidden="true"/>
    </xf>
    <xf xfId="0" fontId="0" numFmtId="0" fillId="0" borderId="26" applyFont="0" applyNumberFormat="0" applyFill="0" applyBorder="1" applyAlignment="1" applyProtection="true">
      <alignment vertical="center" textRotation="0" wrapText="false" shrinkToFit="false"/>
      <protection hidden="true"/>
    </xf>
    <xf xfId="0" fontId="0" numFmtId="0" fillId="0" borderId="26" applyFont="0" applyNumberFormat="0" applyFill="0" applyBorder="1" applyAlignment="1" applyProtection="true">
      <alignment vertical="center" textRotation="0" wrapText="false" shrinkToFit="false"/>
      <protection hidden="true"/>
    </xf>
    <xf xfId="0" fontId="0" numFmtId="165" fillId="0" borderId="26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0" fillId="0" borderId="7" applyFont="0" applyNumberFormat="0" applyFill="0" applyBorder="1" applyAlignment="0" applyProtection="true">
      <protection hidden="false"/>
    </xf>
    <xf xfId="0" fontId="0" numFmtId="0" fillId="0" borderId="6" applyFont="0" applyNumberFormat="0" applyFill="0" applyBorder="1" applyAlignment="0" applyProtection="true">
      <protection hidden="false"/>
    </xf>
    <xf xfId="0" fontId="0" numFmtId="0" fillId="0" borderId="57" applyFont="0" applyNumberFormat="0" applyFill="0" applyBorder="1" applyAlignment="0" applyProtection="true">
      <protection hidden="false"/>
    </xf>
    <xf xfId="0" fontId="7" numFmtId="0" fillId="0" borderId="7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7" numFmtId="0" fillId="0" borderId="6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7" numFmtId="0" fillId="0" borderId="57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7" numFmtId="3" fillId="2" borderId="33" applyFont="1" applyNumberFormat="1" applyFill="1" applyBorder="1" applyAlignment="1" applyProtection="true">
      <alignment vertical="center" textRotation="0" wrapText="false" shrinkToFit="false"/>
      <protection hidden="true"/>
    </xf>
    <xf xfId="0" fontId="7" numFmtId="3" fillId="2" borderId="34" applyFont="1" applyNumberFormat="1" applyFill="1" applyBorder="1" applyAlignment="1" applyProtection="true">
      <alignment vertical="center" textRotation="0" wrapText="false" shrinkToFit="false"/>
      <protection hidden="true"/>
    </xf>
    <xf xfId="0" fontId="7" numFmtId="3" fillId="2" borderId="27" applyFont="1" applyNumberFormat="1" applyFill="1" applyBorder="1" applyAlignment="1" applyProtection="true">
      <alignment vertical="center" textRotation="0" wrapText="false" shrinkToFit="false"/>
      <protection hidden="true"/>
    </xf>
    <xf xfId="0" fontId="0" numFmtId="3" fillId="0" borderId="8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9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58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59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13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14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17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60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61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62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0" fillId="0" borderId="7" applyFont="0" applyNumberFormat="0" applyFill="0" applyBorder="1" applyAlignment="1" applyProtection="true">
      <alignment horizontal="center" vertical="center" textRotation="0" wrapText="false" shrinkToFit="false"/>
      <protection hidden="true"/>
    </xf>
    <xf xfId="0" fontId="0" numFmtId="0" fillId="0" borderId="6" applyFont="0" applyNumberFormat="0" applyFill="0" applyBorder="1" applyAlignment="1" applyProtection="true">
      <alignment horizontal="center" vertical="center" textRotation="0" wrapText="false" shrinkToFit="false"/>
      <protection hidden="true"/>
    </xf>
    <xf xfId="0" fontId="0" numFmtId="0" fillId="0" borderId="57" applyFont="0" applyNumberFormat="0" applyFill="0" applyBorder="1" applyAlignment="1" applyProtection="true">
      <alignment horizontal="center" vertical="center" textRotation="0" wrapText="false" shrinkToFit="false"/>
      <protection hidden="true"/>
    </xf>
    <xf xfId="0" fontId="0" numFmtId="3" fillId="2" borderId="33" applyFont="0" applyNumberFormat="1" applyFill="1" applyBorder="1" applyAlignment="1" applyProtection="true">
      <alignment vertical="center" textRotation="0" wrapText="false" shrinkToFit="false"/>
      <protection hidden="true"/>
    </xf>
    <xf xfId="0" fontId="0" numFmtId="3" fillId="2" borderId="34" applyFont="0" applyNumberFormat="1" applyFill="1" applyBorder="1" applyAlignment="1" applyProtection="true">
      <alignment vertical="center" textRotation="0" wrapText="false" shrinkToFit="false"/>
      <protection hidden="true"/>
    </xf>
    <xf xfId="0" fontId="0" numFmtId="3" fillId="2" borderId="27" applyFont="0" applyNumberFormat="1" applyFill="1" applyBorder="1" applyAlignment="1" applyProtection="true">
      <alignment vertical="center" textRotation="0" wrapText="false" shrinkToFit="false"/>
      <protection hidden="true"/>
    </xf>
    <xf xfId="0" fontId="7" numFmtId="0" fillId="0" borderId="30" applyFont="1" applyNumberFormat="0" applyFill="0" applyBorder="1" applyAlignment="1" applyProtection="true">
      <alignment vertical="center" textRotation="0" wrapText="false" shrinkToFit="false"/>
      <protection hidden="true"/>
    </xf>
    <xf xfId="0" fontId="6" numFmtId="0" fillId="0" borderId="30" applyFont="1" applyNumberFormat="0" applyFill="0" applyBorder="1" applyAlignment="1" applyProtection="true">
      <alignment vertical="center" textRotation="0" wrapText="false" shrinkToFit="false"/>
      <protection hidden="true"/>
    </xf>
    <xf xfId="0" fontId="6" numFmtId="0" fillId="0" borderId="63" applyFont="1" applyNumberFormat="0" applyFill="0" applyBorder="1" applyAlignment="1" applyProtection="true">
      <alignment vertical="center" textRotation="0" wrapText="false" shrinkToFit="false"/>
      <protection hidden="true"/>
    </xf>
    <xf xfId="0" fontId="6" numFmtId="0" fillId="0" borderId="64" applyFont="1" applyNumberFormat="0" applyFill="0" applyBorder="1" applyAlignment="1" applyProtection="true">
      <alignment vertical="center" textRotation="0" wrapText="false" shrinkToFit="false"/>
      <protection hidden="true"/>
    </xf>
    <xf xfId="0" fontId="0" numFmtId="165" fillId="0" borderId="65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18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19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165" fillId="0" borderId="66" applyFont="0" applyNumberFormat="1" applyFill="0" applyBorder="1" applyAlignment="1" applyProtection="true">
      <alignment vertical="center" textRotation="0" wrapText="false" shrinkToFit="false"/>
      <protection hidden="tru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tru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hidden="true"/>
    </xf>
    <xf xfId="0" fontId="2" numFmtId="0" fillId="0" borderId="67" applyFont="1" applyNumberFormat="0" applyFill="0" applyBorder="1" applyAlignment="1" applyProtection="true">
      <alignment horizontal="left" vertical="center" textRotation="0" wrapText="false" shrinkToFit="false"/>
      <protection hidden="true"/>
    </xf>
    <xf xfId="0" fontId="2" numFmtId="0" fillId="0" borderId="68" applyFont="1" applyNumberFormat="0" applyFill="0" applyBorder="1" applyAlignment="1" applyProtection="true">
      <alignment horizontal="left" vertical="center" textRotation="0" wrapText="false" shrinkToFit="false"/>
      <protection hidden="true"/>
    </xf>
    <xf xfId="0" fontId="2" numFmtId="0" fillId="0" borderId="69" applyFont="1" applyNumberFormat="0" applyFill="0" applyBorder="1" applyAlignment="1" applyProtection="true">
      <alignment horizontal="left" vertical="center" textRotation="0" wrapText="false" shrinkToFit="false"/>
      <protection hidden="true"/>
    </xf>
    <xf xfId="0" fontId="2" numFmtId="15" fillId="0" borderId="68" applyFont="1" applyNumberFormat="1" applyFill="0" applyBorder="1" applyAlignment="1" applyProtection="true">
      <alignment horizontal="left" vertical="center" textRotation="0" wrapText="false" shrinkToFit="false"/>
      <protection hidden="true"/>
    </xf>
    <xf xfId="0" fontId="15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true"/>
    </xf>
    <xf xfId="0" fontId="1" numFmtId="10" fillId="0" borderId="0" applyFont="1" applyNumberFormat="1" applyFill="0" applyBorder="0" applyAlignment="1" applyProtection="true">
      <alignment horizontal="right" vertical="center" textRotation="0" wrapText="false" shrinkToFit="false"/>
      <protection hidden="true"/>
    </xf>
    <xf xfId="0" fontId="1" numFmtId="10" fillId="0" borderId="0" applyFont="1" applyNumberFormat="1" applyFill="0" applyBorder="0" applyAlignment="1" applyProtection="true">
      <alignment horizontal="left" vertical="center" textRotation="0" wrapText="false" shrinkToFit="false"/>
      <protection hidden="true"/>
    </xf>
    <xf xfId="0" fontId="1" numFmtId="10" fillId="0" borderId="0" applyFont="1" applyNumberFormat="1" applyFill="0" applyBorder="0" applyAlignment="1" applyProtection="true">
      <alignment horizontal="center" vertical="center" textRotation="0" wrapText="false" shrinkToFit="false"/>
      <protection hidden="true"/>
    </xf>
    <xf xfId="0" fontId="0" numFmtId="10" fillId="0" borderId="0" applyFont="0" applyNumberFormat="1" applyFill="0" applyBorder="0" applyAlignment="1" applyProtection="true">
      <alignment vertical="center" textRotation="0" wrapText="false" shrinkToFit="false"/>
      <protection hidden="true"/>
    </xf>
    <xf xfId="0" fontId="0" numFmtId="10" fillId="0" borderId="0" applyFont="0" applyNumberFormat="1" applyFill="0" applyBorder="0" applyAlignment="1" applyProtection="true">
      <alignment vertical="center" textRotation="0" wrapText="false" shrinkToFit="false"/>
      <protection hidden="true"/>
    </xf>
    <xf xfId="0" fontId="12" numFmtId="10" fillId="0" borderId="0" applyFont="1" applyNumberFormat="1" applyFill="0" applyBorder="0" applyAlignment="1" applyProtection="true">
      <alignment horizontal="center" vertical="center" textRotation="0" wrapText="false" shrinkToFit="false"/>
      <protection hidden="true"/>
    </xf>
    <xf xfId="0" fontId="10" numFmtId="10" fillId="0" borderId="0" applyFont="1" applyNumberFormat="1" applyFill="0" applyBorder="0" applyAlignment="1" applyProtection="true">
      <alignment horizontal="center" vertical="center" textRotation="0" wrapText="false" shrinkToFit="false"/>
      <protection hidden="true"/>
    </xf>
    <xf xfId="0" fontId="11" numFmtId="10" fillId="0" borderId="0" applyFont="1" applyNumberFormat="1" applyFill="0" applyBorder="0" applyAlignment="1" applyProtection="true">
      <alignment horizontal="center" vertical="center" textRotation="0" wrapText="false" shrinkToFit="false"/>
      <protection hidden="true"/>
    </xf>
    <xf xfId="0" fontId="0" numFmtId="10" fillId="0" borderId="0" applyFont="0" applyNumberFormat="1" applyFill="0" applyBorder="0" applyAlignment="1" applyProtection="true">
      <alignment vertical="center" textRotation="0" wrapText="false" shrinkToFit="false"/>
      <protection hidden="true"/>
    </xf>
    <xf xfId="0" fontId="2" numFmtId="0" fillId="0" borderId="67" applyFont="1" applyNumberFormat="0" applyFill="0" applyBorder="1" applyAlignment="1" applyProtection="true">
      <alignment vertical="center" textRotation="0" wrapText="false" shrinkToFit="false"/>
      <protection hidden="true"/>
    </xf>
    <xf xfId="0" fontId="2" numFmtId="0" fillId="0" borderId="68" applyFont="1" applyNumberFormat="0" applyFill="0" applyBorder="1" applyAlignment="1" applyProtection="true">
      <alignment vertical="center" textRotation="0" wrapText="false" shrinkToFit="false"/>
      <protection hidden="true"/>
    </xf>
    <xf xfId="0" fontId="2" numFmtId="0" fillId="0" borderId="69" applyFont="1" applyNumberFormat="0" applyFill="0" applyBorder="1" applyAlignment="1" applyProtection="true">
      <alignment vertical="center" textRotation="0" wrapText="false" shrinkToFit="false"/>
      <protection hidden="true"/>
    </xf>
    <xf xfId="0" fontId="2" numFmtId="15" fillId="0" borderId="68" applyFont="1" applyNumberFormat="1" applyFill="0" applyBorder="1" applyAlignment="1" applyProtection="true">
      <alignment vertical="center" textRotation="0" wrapText="false" shrinkToFit="false"/>
      <protection hidden="true"/>
    </xf>
    <xf xfId="0" fontId="0" numFmtId="165" fillId="4" borderId="0" applyFont="0" applyNumberFormat="1" applyFill="1" applyBorder="0" applyAlignment="1" applyProtection="true">
      <alignment vertical="center" textRotation="0" wrapText="false" shrinkToFit="false"/>
      <protection hidden="true"/>
    </xf>
    <xf xfId="0" fontId="7" numFmtId="165" fillId="3" borderId="36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7" numFmtId="165" fillId="3" borderId="64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0" numFmtId="166" fillId="0" borderId="70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6" fillId="0" borderId="71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6" fillId="0" borderId="72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6" fillId="0" borderId="71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6" fillId="0" borderId="73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1" numFmtId="164" fillId="0" borderId="30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hidden="true"/>
    </xf>
    <xf xfId="0" fontId="12" numFmtId="3" fillId="0" borderId="0" applyFont="1" applyNumberFormat="1" applyFill="0" applyBorder="0" applyAlignment="1" applyProtection="true">
      <alignment vertical="center" textRotation="0" wrapText="false" shrinkToFit="false"/>
      <protection hidden="true"/>
    </xf>
    <xf xfId="0" fontId="11" numFmtId="165" fillId="0" borderId="32" applyFont="1" applyNumberFormat="1" applyFill="0" applyBorder="1" applyAlignment="1" applyProtection="true">
      <alignment vertical="center" textRotation="0" wrapText="false" shrinkToFit="false"/>
      <protection hidden="true"/>
    </xf>
    <xf xfId="0" fontId="0" numFmtId="0" fillId="0" borderId="30" applyFont="0" applyNumberFormat="0" applyFill="0" applyBorder="1" applyAlignment="1" applyProtection="true">
      <alignment vertical="center" textRotation="0" wrapText="false" shrinkToFit="false"/>
      <protection hidden="true"/>
    </xf>
    <xf xfId="0" fontId="0" numFmtId="0" fillId="0" borderId="32" applyFont="0" applyNumberFormat="0" applyFill="0" applyBorder="1" applyAlignment="1" applyProtection="true">
      <alignment vertical="center" textRotation="0" wrapText="false" shrinkToFit="false"/>
      <protection hidden="true"/>
    </xf>
    <xf xfId="0" fontId="0" numFmtId="0" fillId="0" borderId="32" applyFont="0" applyNumberFormat="0" applyFill="0" applyBorder="1" applyAlignment="1" applyProtection="true">
      <alignment vertical="center" textRotation="0" wrapText="false" shrinkToFit="false"/>
      <protection hidden="true"/>
    </xf>
    <xf xfId="0" fontId="0" numFmtId="3" fillId="0" borderId="74" applyFont="0" applyNumberFormat="1" applyFill="0" applyBorder="1" applyAlignment="1" applyProtection="true">
      <alignment vertical="center" textRotation="0" wrapText="false" shrinkToFit="false"/>
      <protection hidden="true"/>
    </xf>
    <xf xfId="0" fontId="7" numFmtId="3" fillId="3" borderId="75" applyFont="1" applyNumberFormat="1" applyFill="1" applyBorder="1" applyAlignment="1" applyProtection="true">
      <alignment vertical="center" textRotation="0" wrapText="false" shrinkToFit="false"/>
      <protection hidden="true"/>
    </xf>
    <xf xfId="0" fontId="0" numFmtId="0" fillId="0" borderId="0" applyFont="0" applyNumberFormat="0" applyFill="0" applyBorder="0" applyAlignment="1" applyProtection="true">
      <alignment vertical="center" textRotation="0" wrapText="false" shrinkToFit="false"/>
      <protection hidden="true"/>
    </xf>
    <xf xfId="0" fontId="7" numFmtId="0" fillId="4" borderId="0" applyFont="1" applyNumberFormat="0" applyFill="1" applyBorder="0" applyAlignment="1" applyProtection="true">
      <alignment vertical="center" textRotation="0" wrapText="false" shrinkToFit="false"/>
      <protection hidden="true"/>
    </xf>
    <xf xfId="0" fontId="0" numFmtId="167" fillId="0" borderId="76" applyFont="0" applyNumberFormat="1" applyFill="0" applyBorder="1" applyAlignment="1" applyProtection="true">
      <alignment horizontal="left" vertical="center" textRotation="0" wrapText="false" shrinkToFit="false"/>
      <protection hidden="true"/>
    </xf>
    <xf xfId="0" fontId="0" numFmtId="166" fillId="0" borderId="76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7" fillId="0" borderId="19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0" fillId="0" borderId="68" applyFont="0" applyNumberFormat="0" applyFill="0" applyBorder="1" applyAlignment="1" applyProtection="true">
      <alignment horizontal="center" vertical="center" textRotation="0" wrapText="false" shrinkToFit="false"/>
      <protection hidden="true"/>
    </xf>
    <xf xfId="0" fontId="16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true"/>
    </xf>
    <xf xfId="0" fontId="16" numFmtId="164" fillId="0" borderId="0" applyFont="1" applyNumberFormat="1" applyFill="0" applyBorder="0" applyAlignment="1" applyProtection="true">
      <alignment horizontal="center" vertical="center" textRotation="0" wrapText="false" shrinkToFit="false"/>
      <protection hidden="true"/>
    </xf>
    <xf xfId="0" fontId="17" numFmtId="0" fillId="0" borderId="0" applyFont="1" applyNumberFormat="0" applyFill="0" applyBorder="0" applyAlignment="1" applyProtection="true">
      <alignment vertical="center" textRotation="0" wrapText="false" shrinkToFit="false"/>
      <protection hidden="true"/>
    </xf>
    <xf xfId="0" fontId="17" numFmtId="0" fillId="0" borderId="67" applyFont="1" applyNumberFormat="0" applyFill="0" applyBorder="1" applyAlignment="1" applyProtection="true">
      <alignment horizontal="left" vertical="center" textRotation="0" wrapText="false" shrinkToFit="false"/>
      <protection hidden="true"/>
    </xf>
    <xf xfId="0" fontId="17" numFmtId="0" fillId="0" borderId="68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17" numFmtId="0" fillId="0" borderId="69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13" numFmtId="0" fillId="5" borderId="77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3" numFmtId="0" fillId="5" borderId="0" applyFont="1" applyNumberFormat="0" applyFill="1" applyBorder="0" applyAlignment="1" applyProtection="true">
      <alignment horizontal="center" vertical="center" textRotation="0" wrapText="false" shrinkToFit="false"/>
      <protection hidden="true"/>
    </xf>
    <xf xfId="0" fontId="17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true"/>
    </xf>
    <xf xfId="0" fontId="17" numFmtId="15" fillId="0" borderId="68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17" numFmtId="1" fillId="0" borderId="0" applyFont="1" applyNumberFormat="1" applyFill="0" applyBorder="0" applyAlignment="1" applyProtection="true">
      <alignment vertical="center" textRotation="0" wrapText="false" shrinkToFit="false"/>
      <protection hidden="true"/>
    </xf>
    <xf xfId="0" fontId="17" numFmtId="1" fillId="0" borderId="0" applyFont="1" applyNumberFormat="1" applyFill="0" applyBorder="0" applyAlignment="1" applyProtection="true">
      <alignment horizontal="center" vertical="center" textRotation="0" wrapText="false" shrinkToFit="false"/>
      <protection hidden="true"/>
    </xf>
    <xf xfId="0" fontId="17" numFmtId="15" fillId="0" borderId="0" applyFont="1" applyNumberFormat="1" applyFill="0" applyBorder="0" applyAlignment="1" applyProtection="true">
      <alignment horizontal="center" vertical="center" textRotation="0" wrapText="false" shrinkToFit="false"/>
      <protection hidden="true"/>
    </xf>
    <xf xfId="0" fontId="17" numFmtId="0" fillId="5" borderId="0" applyFont="1" applyNumberFormat="0" applyFill="1" applyBorder="0" applyAlignment="1" applyProtection="true">
      <alignment horizontal="center" vertical="center" textRotation="0" wrapText="false" shrinkToFit="false"/>
      <protection hidden="true"/>
    </xf>
    <xf xfId="0" fontId="17" numFmtId="3" fillId="0" borderId="0" applyFont="1" applyNumberFormat="1" applyFill="0" applyBorder="0" applyAlignment="1" applyProtection="true">
      <alignment vertical="center" textRotation="0" wrapText="false" shrinkToFit="false"/>
      <protection hidden="true"/>
    </xf>
    <xf xfId="0" fontId="18" numFmtId="1" fillId="5" borderId="45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3" numFmtId="1" fillId="5" borderId="45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3" numFmtId="165" fillId="5" borderId="45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3" numFmtId="165" fillId="5" borderId="46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8" numFmtId="1" fillId="5" borderId="53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0" numFmtId="0" fillId="0" borderId="22" applyFont="0" applyNumberFormat="0" applyFill="0" applyBorder="1" applyAlignment="1" applyProtection="true">
      <alignment horizontal="center" vertical="center" textRotation="0" wrapText="false" shrinkToFit="false"/>
      <protection hidden="true"/>
    </xf>
    <xf xfId="0" fontId="17" numFmtId="167" fillId="0" borderId="68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17" numFmtId="3" fillId="0" borderId="78" applyFont="1" applyNumberFormat="1" applyFill="0" applyBorder="1" applyAlignment="1" applyProtection="true">
      <alignment vertical="center" textRotation="0" wrapText="false" shrinkToFit="false"/>
      <protection hidden="true"/>
    </xf>
    <xf xfId="0" fontId="17" numFmtId="3" fillId="0" borderId="78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17" numFmtId="3" fillId="0" borderId="67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17" numFmtId="3" fillId="0" borderId="79" applyFont="1" applyNumberFormat="1" applyFill="0" applyBorder="1" applyAlignment="1" applyProtection="true">
      <alignment vertical="center" textRotation="0" wrapText="false" shrinkToFit="false"/>
      <protection hidden="true"/>
    </xf>
    <xf xfId="0" fontId="17" numFmtId="3" fillId="0" borderId="80" applyFont="1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68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79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81" applyFont="0" applyNumberFormat="1" applyFill="0" applyBorder="1" applyAlignment="1" applyProtection="true">
      <alignment vertical="center" textRotation="0" wrapText="false" shrinkToFit="false"/>
      <protection hidden="true"/>
    </xf>
    <xf xfId="0" fontId="17" numFmtId="3" fillId="0" borderId="2" applyFont="1" applyNumberFormat="1" applyFill="0" applyBorder="1" applyAlignment="1" applyProtection="true">
      <alignment vertical="center" textRotation="0" wrapText="false" shrinkToFit="false"/>
      <protection hidden="true"/>
    </xf>
    <xf xfId="0" fontId="17" numFmtId="3" fillId="0" borderId="2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17" numFmtId="3" fillId="0" borderId="5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17" numFmtId="3" fillId="0" borderId="3" applyFont="1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22" applyFont="0" applyNumberFormat="1" applyFill="0" applyBorder="1" applyAlignment="1" applyProtection="true">
      <alignment vertical="center" textRotation="0" wrapText="false" shrinkToFit="false"/>
      <protection hidden="true"/>
    </xf>
    <xf xfId="0" fontId="17" numFmtId="3" fillId="0" borderId="1" applyFont="1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49" applyFont="0" applyNumberFormat="1" applyFill="0" applyBorder="1" applyAlignment="1" applyProtection="true">
      <alignment vertical="center" textRotation="0" wrapText="false" shrinkToFit="false"/>
      <protection hidden="true"/>
    </xf>
    <xf xfId="0" fontId="17" numFmtId="3" fillId="0" borderId="82" applyFont="1" applyNumberFormat="1" applyFill="0" applyBorder="1" applyAlignment="1" applyProtection="true">
      <alignment vertical="center" textRotation="0" wrapText="false" shrinkToFit="false"/>
      <protection hidden="true"/>
    </xf>
    <xf xfId="0" fontId="16" numFmtId="1" fillId="0" borderId="0" applyFont="1" applyNumberFormat="1" applyFill="0" applyBorder="0" applyAlignment="1" applyProtection="true">
      <alignment horizontal="center" vertical="center" textRotation="0" wrapText="false" shrinkToFit="false"/>
      <protection hidden="true"/>
    </xf>
    <xf xfId="0" fontId="2" numFmtId="16" fillId="0" borderId="69" applyFont="1" applyNumberFormat="1" applyFill="0" applyBorder="1" applyAlignment="1" applyProtection="true">
      <alignment horizontal="left" vertical="center" textRotation="0" wrapText="false" shrinkToFit="false"/>
      <protection hidden="true"/>
    </xf>
    <xf xfId="0" fontId="2" numFmtId="15" fillId="0" borderId="69" applyFont="1" applyNumberFormat="1" applyFill="0" applyBorder="1" applyAlignment="1" applyProtection="true">
      <alignment horizontal="left" vertical="center" textRotation="0" wrapText="false" shrinkToFit="false"/>
      <protection hidden="true"/>
    </xf>
    <xf xfId="0" fontId="0" numFmtId="167" fillId="0" borderId="74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17" numFmtId="169" fillId="0" borderId="78" applyFont="1" applyNumberFormat="1" applyFill="0" applyBorder="1" applyAlignment="1" applyProtection="true">
      <alignment vertical="center" textRotation="0" wrapText="false" shrinkToFit="false"/>
      <protection hidden="true"/>
    </xf>
    <xf xfId="0" fontId="0" numFmtId="0" fillId="0" borderId="0" applyFont="0" applyNumberFormat="0" applyFill="0" applyBorder="0" applyAlignment="1" applyProtection="true">
      <alignment vertical="center" textRotation="0" wrapText="false" shrinkToFit="false"/>
      <protection hidden="true"/>
    </xf>
    <xf xfId="0" fontId="0" numFmtId="166" fillId="0" borderId="76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6" fillId="0" borderId="19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" fillId="0" borderId="32" applyFont="0" applyNumberFormat="1" applyFill="0" applyBorder="1" applyAlignment="1" applyProtection="true">
      <alignment vertical="center" textRotation="0" wrapText="false" shrinkToFit="false"/>
      <protection hidden="true"/>
    </xf>
    <xf xfId="0" fontId="7" numFmtId="165" fillId="3" borderId="63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7" numFmtId="165" fillId="3" borderId="65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7" numFmtId="167" fillId="0" borderId="83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17" numFmtId="0" fillId="0" borderId="83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0" numFmtId="0" fillId="6" borderId="22" applyFont="0" applyNumberFormat="0" applyFill="1" applyBorder="1" applyAlignment="1" applyProtection="true">
      <alignment horizontal="center" vertical="center" textRotation="0" wrapText="false" shrinkToFit="false"/>
      <protection hidden="true"/>
    </xf>
    <xf xfId="0" fontId="17" numFmtId="3" fillId="6" borderId="2" applyFont="1" applyNumberFormat="1" applyFill="1" applyBorder="1" applyAlignment="1" applyProtection="true">
      <alignment vertical="center" textRotation="0" wrapText="false" shrinkToFit="false"/>
      <protection hidden="true"/>
    </xf>
    <xf xfId="0" fontId="17" numFmtId="3" fillId="6" borderId="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7" numFmtId="3" fillId="6" borderId="5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7" numFmtId="3" fillId="6" borderId="3" applyFont="1" applyNumberFormat="1" applyFill="1" applyBorder="1" applyAlignment="1" applyProtection="true">
      <alignment vertical="center" textRotation="0" wrapText="false" shrinkToFit="false"/>
      <protection hidden="true"/>
    </xf>
    <xf xfId="0" fontId="0" numFmtId="3" fillId="6" borderId="22" applyFont="0" applyNumberFormat="1" applyFill="1" applyBorder="1" applyAlignment="1" applyProtection="true">
      <alignment vertical="center" textRotation="0" wrapText="false" shrinkToFit="false"/>
      <protection hidden="true"/>
    </xf>
    <xf xfId="0" fontId="17" numFmtId="3" fillId="6" borderId="1" applyFont="1" applyNumberFormat="1" applyFill="1" applyBorder="1" applyAlignment="1" applyProtection="true">
      <alignment vertical="center" textRotation="0" wrapText="false" shrinkToFit="false"/>
      <protection hidden="true"/>
    </xf>
    <xf xfId="0" fontId="0" numFmtId="3" fillId="6" borderId="49" applyFont="0" applyNumberFormat="1" applyFill="1" applyBorder="1" applyAlignment="1" applyProtection="true">
      <alignment vertical="center" textRotation="0" wrapText="false" shrinkToFit="false"/>
      <protection hidden="true"/>
    </xf>
    <xf xfId="0" fontId="0" numFmtId="3" fillId="0" borderId="84" applyFont="0" applyNumberFormat="1" applyFill="0" applyBorder="1" applyAlignment="1" applyProtection="true">
      <alignment vertical="center" textRotation="0" wrapText="false" shrinkToFit="false"/>
      <protection hidden="true"/>
    </xf>
    <xf xfId="0" fontId="17" numFmtId="167" fillId="0" borderId="80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17" numFmtId="0" fillId="0" borderId="80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0" numFmtId="0" fillId="0" borderId="0" applyFont="0" applyNumberFormat="0" applyFill="0" applyBorder="0" applyAlignment="1" applyProtection="true">
      <alignment horizontal="center" vertical="center" textRotation="0" wrapText="false" shrinkToFit="false"/>
      <protection hidden="true"/>
    </xf>
    <xf xfId="0" fontId="0" numFmtId="169" fillId="0" borderId="0" applyFont="0" applyNumberFormat="1" applyFill="0" applyBorder="0" applyAlignment="1" applyProtection="true">
      <alignment vertical="center" textRotation="0" wrapText="false" shrinkToFit="false"/>
      <protection hidden="true"/>
    </xf>
    <xf xfId="0" fontId="17" numFmtId="169" fillId="6" borderId="2" applyFont="1" applyNumberFormat="1" applyFill="1" applyBorder="1" applyAlignment="1" applyProtection="true">
      <alignment vertical="center" textRotation="0" wrapText="false" shrinkToFit="false"/>
      <protection hidden="true"/>
    </xf>
    <xf xfId="0" fontId="0" numFmtId="3" fillId="0" borderId="85" applyFont="0" applyNumberFormat="1" applyFill="0" applyBorder="1" applyAlignment="1" applyProtection="true">
      <alignment vertical="center" textRotation="0" wrapText="false" shrinkToFit="false"/>
      <protection hidden="true"/>
    </xf>
    <xf xfId="0" fontId="17" numFmtId="0" fillId="6" borderId="86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0" numFmtId="0" fillId="0" borderId="87" applyFont="0" applyNumberFormat="0" applyFill="0" applyBorder="1" applyAlignment="1" applyProtection="true">
      <alignment vertical="center" textRotation="0" wrapText="false" shrinkToFit="false"/>
      <protection hidden="true"/>
    </xf>
    <xf xfId="0" fontId="12" numFmtId="1" fillId="0" borderId="0" applyFont="1" applyNumberFormat="1" applyFill="0" applyBorder="0" applyAlignment="1" applyProtection="true">
      <alignment horizontal="center" vertical="center" textRotation="0" wrapText="false" shrinkToFit="false"/>
      <protection hidden="true"/>
    </xf>
    <xf xfId="0" fontId="12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true"/>
    </xf>
    <xf xfId="0" fontId="17" numFmtId="3" fillId="4" borderId="79" applyFont="1" applyNumberFormat="1" applyFill="1" applyBorder="1" applyAlignment="1" applyProtection="true">
      <alignment vertical="center" textRotation="0" wrapText="false" shrinkToFit="false"/>
      <protection hidden="true"/>
    </xf>
    <xf xfId="0" fontId="7" numFmtId="3" fillId="0" borderId="28" applyFont="1" applyNumberFormat="1" applyFill="0" applyBorder="1" applyAlignment="1" applyProtection="true">
      <alignment vertical="center" textRotation="0" wrapText="false" shrinkToFit="false"/>
      <protection hidden="true"/>
    </xf>
    <xf xfId="0" fontId="0" numFmtId="2" fillId="0" borderId="0" applyFont="0" applyNumberFormat="1" applyFill="0" applyBorder="0" applyAlignment="1" applyProtection="true">
      <alignment horizontal="center" vertical="center" textRotation="0" wrapText="false" shrinkToFit="false"/>
      <protection hidden="false"/>
    </xf>
    <xf xfId="0" fontId="0" numFmtId="167" fillId="0" borderId="6" applyFont="0" applyNumberFormat="1" applyFill="0" applyBorder="1" applyAlignment="1" applyProtection="true">
      <alignment horizontal="left" vertical="center" textRotation="0" wrapText="false" shrinkToFit="false"/>
      <protection hidden="true"/>
    </xf>
    <xf xfId="0" fontId="17" numFmtId="14" fillId="0" borderId="1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6" fillId="0" borderId="7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7" fillId="0" borderId="18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5" fillId="0" borderId="7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3" fillId="0" borderId="8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167" fillId="0" borderId="19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5" fillId="0" borderId="6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3" fillId="0" borderId="13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16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167" fillId="0" borderId="6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5" fillId="0" borderId="76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3" fillId="0" borderId="88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89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90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165" fillId="0" borderId="91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6" fillId="0" borderId="91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3" fillId="0" borderId="92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58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59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93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94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167" fillId="0" borderId="74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7" fillId="0" borderId="91" applyFont="0" applyNumberFormat="1" applyFill="0" applyBorder="1" applyAlignment="1" applyProtection="true">
      <alignment horizontal="left" vertical="center" textRotation="0" wrapText="false" shrinkToFit="false"/>
      <protection hidden="true"/>
    </xf>
    <xf xfId="0" fontId="0" numFmtId="167" fillId="0" borderId="95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7" fillId="0" borderId="95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7" numFmtId="167" fillId="0" borderId="91" applyFont="1" applyNumberFormat="1" applyFill="0" applyBorder="1" applyAlignment="1" applyProtection="true">
      <alignment horizontal="left" vertical="center" textRotation="0" wrapText="false" shrinkToFit="false"/>
      <protection hidden="true"/>
    </xf>
    <xf xfId="0" fontId="7" numFmtId="167" fillId="0" borderId="76" applyFont="1" applyNumberFormat="1" applyFill="0" applyBorder="1" applyAlignment="1" applyProtection="true">
      <alignment horizontal="left" vertical="center" textRotation="0" wrapText="false" shrinkToFit="false"/>
      <protection hidden="true"/>
    </xf>
    <xf xfId="0" fontId="0" numFmtId="166" fillId="0" borderId="96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6" fillId="0" borderId="72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7" fillId="0" borderId="6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7" fillId="0" borderId="19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5" fillId="0" borderId="91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3" fillId="0" borderId="92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58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59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93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94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95" applyFont="0" applyNumberFormat="1" applyFill="0" applyBorder="1" applyAlignment="1" applyProtection="true">
      <alignment vertical="center" textRotation="0" wrapText="false" shrinkToFit="false"/>
      <protection hidden="true"/>
    </xf>
    <xf xfId="0" fontId="2" numFmtId="0" fillId="0" borderId="97" applyFont="1" applyNumberFormat="0" applyFill="0" applyBorder="1" applyAlignment="1" applyProtection="true">
      <alignment vertical="center" textRotation="0" wrapText="true" shrinkToFit="false"/>
      <protection hidden="tru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hidden="true"/>
    </xf>
    <xf xfId="0" fontId="2" numFmtId="0" fillId="0" borderId="6" applyFont="1" applyNumberFormat="0" applyFill="0" applyBorder="1" applyAlignment="1" applyProtection="true">
      <alignment vertical="center" textRotation="0" wrapText="true" shrinkToFit="false"/>
      <protection hidden="true"/>
    </xf>
    <xf xfId="0" fontId="2" numFmtId="0" fillId="0" borderId="48" applyFont="1" applyNumberFormat="0" applyFill="0" applyBorder="1" applyAlignment="1" applyProtection="true">
      <alignment vertical="center" textRotation="0" wrapText="false" shrinkToFit="false"/>
      <protection hidden="true"/>
    </xf>
    <xf xfId="0" fontId="2" numFmtId="0" fillId="0" borderId="43" applyFont="1" applyNumberFormat="0" applyFill="0" applyBorder="1" applyAlignment="1" applyProtection="true">
      <alignment vertical="center" textRotation="0" wrapText="false" shrinkToFit="false"/>
      <protection hidden="true"/>
    </xf>
    <xf xfId="0" fontId="2" numFmtId="0" fillId="0" borderId="48" applyFont="1" applyNumberFormat="0" applyFill="0" applyBorder="1" applyAlignment="1" applyProtection="true">
      <alignment vertical="center" textRotation="0" wrapText="true" shrinkToFit="false"/>
      <protection hidden="true"/>
    </xf>
    <xf xfId="0" fontId="13" numFmtId="0" fillId="0" borderId="6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0" numFmtId="0" fillId="0" borderId="0" applyFont="0" applyNumberFormat="0" applyFill="0" applyBorder="0" applyAlignment="1" applyProtection="true">
      <alignment vertical="center" textRotation="0" wrapText="false" shrinkToFit="false"/>
      <protection hidden="true"/>
    </xf>
    <xf xfId="0" fontId="0" numFmtId="0" fillId="0" borderId="0" applyFont="0" applyNumberFormat="0" applyFill="0" applyBorder="0" applyAlignment="1" applyProtection="true">
      <alignment vertical="center" textRotation="0" wrapText="false" shrinkToFit="false"/>
      <protection hidden="true"/>
    </xf>
    <xf xfId="0" fontId="0" numFmtId="0" fillId="0" borderId="0" applyFont="0" applyNumberFormat="0" applyFill="0" applyBorder="0" applyAlignment="1" applyProtection="true">
      <alignment horizontal="center" vertical="center" textRotation="0" wrapText="false" shrinkToFit="false"/>
      <protection hidden="true"/>
    </xf>
    <xf xfId="0" fontId="4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true"/>
    </xf>
    <xf xfId="0" fontId="4" numFmtId="0" fillId="0" borderId="0" applyFont="1" applyNumberFormat="0" applyFill="0" applyBorder="0" applyAlignment="1" applyProtection="true">
      <alignment horizontal="right" vertical="center" textRotation="0" wrapText="false" shrinkToFit="false"/>
      <protection hidden="true"/>
    </xf>
    <xf xfId="0" fontId="0" numFmtId="0" fillId="0" borderId="0" applyFont="0" applyNumberFormat="0" applyFill="0" applyBorder="0" applyAlignment="1" applyProtection="true">
      <alignment horizontal="center" vertical="center" textRotation="0" wrapText="false" shrinkToFit="false"/>
      <protection hidden="true"/>
    </xf>
    <xf xfId="0" fontId="0" numFmtId="3" fillId="0" borderId="30" applyFont="0" applyNumberFormat="1" applyFill="0" applyBorder="1" applyAlignment="1" applyProtection="true">
      <alignment vertical="center" textRotation="0" wrapText="false" shrinkToFit="false"/>
      <protection hidden="true"/>
    </xf>
    <xf xfId="0" fontId="3" numFmtId="3" fillId="0" borderId="30" applyFont="1" applyNumberFormat="1" applyFill="0" applyBorder="1" applyAlignment="1" applyProtection="true">
      <alignment horizontal="left" vertical="center" textRotation="0" wrapText="false" shrinkToFit="false"/>
      <protection hidden="true"/>
    </xf>
    <xf xfId="0" fontId="17" numFmtId="3" fillId="0" borderId="68" applyFont="1" applyNumberFormat="1" applyFill="0" applyBorder="1" applyAlignment="1" applyProtection="true">
      <alignment vertical="center" textRotation="0" wrapText="false" shrinkToFit="false"/>
      <protection hidden="true"/>
    </xf>
    <xf xfId="0" fontId="13" numFmtId="0" fillId="0" borderId="98" applyFont="1" applyNumberFormat="0" applyFill="0" applyBorder="1" applyAlignment="1" applyProtection="true">
      <alignment vertical="center" textRotation="0" wrapText="false" shrinkToFit="false"/>
      <protection hidden="true"/>
    </xf>
    <xf xfId="0" fontId="13" numFmtId="0" fillId="0" borderId="48" applyFont="1" applyNumberFormat="0" applyFill="0" applyBorder="1" applyAlignment="1" applyProtection="true">
      <alignment vertical="center" textRotation="0" wrapText="false" shrinkToFit="false"/>
      <protection hidden="true"/>
    </xf>
    <xf xfId="0" fontId="2" numFmtId="0" fillId="0" borderId="76" applyFont="1" applyNumberFormat="0" applyFill="0" applyBorder="1" applyAlignment="1" applyProtection="true">
      <alignment vertical="center" textRotation="0" wrapText="true" shrinkToFit="false"/>
      <protection hidden="true"/>
    </xf>
    <xf xfId="0" fontId="13" numFmtId="0" fillId="4" borderId="48" applyFont="1" applyNumberFormat="0" applyFill="1" applyBorder="1" applyAlignment="1" applyProtection="true">
      <alignment vertical="center" textRotation="0" wrapText="false" shrinkToFit="false"/>
      <protection hidden="true"/>
    </xf>
    <xf xfId="0" fontId="19" numFmtId="165" fillId="0" borderId="0" applyFont="1" applyNumberFormat="1" applyFill="0" applyBorder="0" applyAlignment="1" applyProtection="true">
      <alignment vertical="center" textRotation="0" wrapText="false" shrinkToFit="false"/>
      <protection hidden="true"/>
    </xf>
    <xf xfId="0" fontId="2" numFmtId="0" fillId="0" borderId="43" applyFont="1" applyNumberFormat="0" applyFill="0" applyBorder="1" applyAlignment="1" applyProtection="true">
      <alignment vertical="center" textRotation="0" wrapText="true" shrinkToFit="false"/>
      <protection hidden="true"/>
    </xf>
    <xf xfId="0" fontId="13" numFmtId="0" fillId="0" borderId="7" applyFont="1" applyNumberFormat="0" applyFill="0" applyBorder="1" applyAlignment="1" applyProtection="true">
      <alignment vertical="center" textRotation="0" wrapText="false" shrinkToFit="false"/>
      <protection hidden="true"/>
    </xf>
    <xf xfId="0" fontId="13" numFmtId="0" fillId="0" borderId="6" applyFont="1" applyNumberFormat="0" applyFill="0" applyBorder="1" applyAlignment="1" applyProtection="true">
      <alignment vertical="center" textRotation="0" wrapText="false" shrinkToFit="false"/>
      <protection hidden="true"/>
    </xf>
    <xf xfId="0" fontId="17" numFmtId="167" fillId="4" borderId="80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7" numFmtId="167" fillId="4" borderId="68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7" numFmtId="3" fillId="4" borderId="78" applyFont="1" applyNumberFormat="1" applyFill="1" applyBorder="1" applyAlignment="1" applyProtection="true">
      <alignment vertical="center" textRotation="0" wrapText="false" shrinkToFit="false"/>
      <protection hidden="true"/>
    </xf>
    <xf xfId="0" fontId="17" numFmtId="3" fillId="4" borderId="78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7" numFmtId="3" fillId="4" borderId="67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7" numFmtId="3" fillId="4" borderId="80" applyFont="1" applyNumberFormat="1" applyFill="1" applyBorder="1" applyAlignment="1" applyProtection="true">
      <alignment vertical="center" textRotation="0" wrapText="false" shrinkToFit="false"/>
      <protection hidden="true"/>
    </xf>
    <xf xfId="0" fontId="17" numFmtId="3" fillId="4" borderId="0" applyFont="1" applyNumberFormat="1" applyFill="1" applyBorder="0" applyAlignment="1" applyProtection="true">
      <alignment vertical="center" textRotation="0" wrapText="false" shrinkToFit="false"/>
      <protection hidden="true"/>
    </xf>
    <xf xfId="0" fontId="0" numFmtId="0" fillId="4" borderId="0" applyFont="0" applyNumberFormat="0" applyFill="1" applyBorder="0" applyAlignment="1" applyProtection="true">
      <alignment vertical="center" textRotation="0" wrapText="false" shrinkToFit="false"/>
      <protection hidden="true"/>
    </xf>
    <xf xfId="0" fontId="0" numFmtId="3" fillId="0" borderId="19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3" fillId="0" borderId="74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165" fillId="0" borderId="0" applyFont="0" applyNumberFormat="1" applyFill="0" applyBorder="0" applyAlignment="1" applyProtection="true">
      <alignment horizontal="center" vertical="center" textRotation="0" wrapText="false" shrinkToFit="false"/>
      <protection hidden="true"/>
    </xf>
    <xf xfId="0" fontId="0" numFmtId="0" fillId="4" borderId="0" applyFont="0" applyNumberFormat="0" applyFill="1" applyBorder="0" applyAlignment="1" applyProtection="true">
      <alignment horizontal="center" vertical="center" textRotation="0" wrapText="false" shrinkToFit="false"/>
      <protection hidden="true"/>
    </xf>
    <xf xfId="0" fontId="0" numFmtId="165" fillId="4" borderId="0" applyFont="0" applyNumberFormat="1" applyFill="1" applyBorder="0" applyAlignment="1" applyProtection="true">
      <alignment horizontal="center" vertical="center" textRotation="0" wrapText="false" shrinkToFit="false"/>
      <protection hidden="true"/>
    </xf>
    <xf xfId="0" fontId="0" numFmtId="165" fillId="4" borderId="0" applyFont="0" applyNumberFormat="1" applyFill="1" applyBorder="0" applyAlignment="1" applyProtection="true">
      <alignment horizontal="center" vertical="center" textRotation="0" wrapText="true" shrinkToFit="false"/>
      <protection hidden="true"/>
    </xf>
    <xf xfId="0" fontId="2" numFmtId="165" fillId="4" borderId="0" applyFont="1" applyNumberFormat="1" applyFill="1" applyBorder="0" applyAlignment="1" applyProtection="true">
      <alignment horizontal="center" vertical="center" textRotation="0" wrapText="true" shrinkToFit="false"/>
      <protection hidden="true"/>
    </xf>
    <xf xfId="0" fontId="0" numFmtId="3" fillId="4" borderId="0" applyFont="0" applyNumberFormat="1" applyFill="1" applyBorder="0" applyAlignment="1" applyProtection="true">
      <alignment vertical="center" textRotation="0" wrapText="false" shrinkToFit="false"/>
      <protection hidden="true"/>
    </xf>
    <xf xfId="0" fontId="19" numFmtId="0" fillId="4" borderId="0" applyFont="1" applyNumberFormat="0" applyFill="1" applyBorder="0" applyAlignment="1" applyProtection="true">
      <alignment vertical="center" textRotation="0" wrapText="false" shrinkToFit="false"/>
      <protection hidden="true"/>
    </xf>
    <xf xfId="0" fontId="0" numFmtId="0" fillId="4" borderId="0" applyFont="0" applyNumberFormat="0" applyFill="1" applyBorder="0" applyAlignment="1" applyProtection="true">
      <alignment vertical="center" textRotation="0" wrapText="false" shrinkToFit="false"/>
      <protection hidden="true"/>
    </xf>
    <xf xfId="0" fontId="7" numFmtId="165" fillId="4" borderId="0" applyFont="1" applyNumberFormat="1" applyFill="1" applyBorder="0" applyAlignment="1" applyProtection="true">
      <alignment horizontal="center" vertical="center" textRotation="0" wrapText="false" shrinkToFit="false"/>
      <protection hidden="true"/>
    </xf>
    <xf xfId="0" fontId="0" numFmtId="166" fillId="4" borderId="6" applyFont="0" applyNumberFormat="1" applyFill="1" applyBorder="1" applyAlignment="1" applyProtection="true">
      <alignment horizontal="center" vertical="center" textRotation="0" wrapText="false" shrinkToFit="false"/>
      <protection hidden="true"/>
    </xf>
    <xf xfId="0" fontId="15" numFmtId="0" fillId="0" borderId="6" applyFont="1" applyNumberFormat="0" applyFill="0" applyBorder="1" applyAlignment="1" applyProtection="true">
      <alignment vertical="center" textRotation="0" wrapText="false" shrinkToFit="false"/>
      <protection hidden="true"/>
    </xf>
    <xf xfId="0" fontId="0" numFmtId="166" fillId="0" borderId="6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6" fillId="0" borderId="76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12" numFmtId="0" fillId="0" borderId="57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12" numFmtId="0" fillId="0" borderId="48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12" numFmtId="0" fillId="0" borderId="91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2" numFmtId="0" fillId="0" borderId="57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2" numFmtId="0" fillId="0" borderId="48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2" numFmtId="0" fillId="0" borderId="91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0" numFmtId="165" fillId="0" borderId="98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5" fillId="0" borderId="48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5" fillId="0" borderId="43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5" fillId="0" borderId="23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5" fillId="0" borderId="24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5" fillId="0" borderId="99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12" numFmtId="0" fillId="0" borderId="98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15" numFmtId="0" fillId="0" borderId="98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15" numFmtId="0" fillId="0" borderId="48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15" numFmtId="0" fillId="0" borderId="91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3" numFmtId="165" fillId="0" borderId="100" applyFont="1" applyNumberFormat="1" applyFill="0" applyBorder="1" applyAlignment="1" applyProtection="true">
      <alignment horizontal="center" vertical="center" textRotation="0" wrapText="true" shrinkToFit="false"/>
      <protection hidden="true"/>
    </xf>
    <xf xfId="0" fontId="3" numFmtId="165" fillId="0" borderId="30" applyFont="1" applyNumberFormat="1" applyFill="0" applyBorder="1" applyAlignment="1" applyProtection="true">
      <alignment horizontal="center" vertical="center" textRotation="0" wrapText="true" shrinkToFit="false"/>
      <protection hidden="true"/>
    </xf>
    <xf xfId="0" fontId="3" numFmtId="165" fillId="0" borderId="63" applyFont="1" applyNumberFormat="1" applyFill="0" applyBorder="1" applyAlignment="1" applyProtection="true">
      <alignment horizontal="center" vertical="center" textRotation="0" wrapText="true" shrinkToFit="false"/>
      <protection hidden="true"/>
    </xf>
    <xf xfId="0" fontId="0" numFmtId="0" fillId="0" borderId="98" applyFont="0" applyNumberFormat="0" applyFill="0" applyBorder="1" applyAlignment="1" applyProtection="true">
      <alignment horizontal="center" vertical="center" textRotation="0" wrapText="false" shrinkToFit="false"/>
      <protection hidden="true"/>
    </xf>
    <xf xfId="0" fontId="0" numFmtId="0" fillId="0" borderId="48" applyFont="0" applyNumberFormat="0" applyFill="0" applyBorder="1" applyAlignment="1" applyProtection="true">
      <alignment horizontal="center" vertical="center" textRotation="0" wrapText="false" shrinkToFit="false"/>
      <protection hidden="true"/>
    </xf>
    <xf xfId="0" fontId="0" numFmtId="0" fillId="0" borderId="43" applyFont="0" applyNumberFormat="0" applyFill="0" applyBorder="1" applyAlignment="1" applyProtection="true">
      <alignment horizontal="center" vertical="center" textRotation="0" wrapText="false" shrinkToFit="false"/>
      <protection hidden="true"/>
    </xf>
    <xf xfId="0" fontId="7" numFmtId="165" fillId="0" borderId="101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7" numFmtId="165" fillId="0" borderId="23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5" fillId="0" borderId="23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5" fillId="0" borderId="24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5" fillId="0" borderId="99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0" fillId="0" borderId="102" applyFont="0" applyNumberFormat="0" applyFill="0" applyBorder="1" applyAlignment="1" applyProtection="true">
      <alignment horizontal="center" vertical="center" textRotation="0" wrapText="false" shrinkToFit="false"/>
      <protection hidden="true"/>
    </xf>
    <xf xfId="0" fontId="0" numFmtId="0" fillId="0" borderId="68" applyFont="0" applyNumberFormat="0" applyFill="0" applyBorder="1" applyAlignment="1" applyProtection="true">
      <alignment horizontal="center" vertical="center" textRotation="0" wrapText="false" shrinkToFit="false"/>
      <protection hidden="true"/>
    </xf>
    <xf xfId="0" fontId="0" numFmtId="0" fillId="0" borderId="81" applyFont="0" applyNumberFormat="0" applyFill="0" applyBorder="1" applyAlignment="1" applyProtection="true">
      <alignment horizontal="center" vertical="center" textRotation="0" wrapText="false" shrinkToFit="false"/>
      <protection hidden="true"/>
    </xf>
    <xf xfId="0" fontId="0" numFmtId="165" fillId="0" borderId="21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5" fillId="0" borderId="22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5" fillId="0" borderId="49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15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true"/>
    </xf>
    <xf xfId="0" fontId="7" numFmtId="17" fillId="0" borderId="0" applyFont="1" applyNumberFormat="1" applyFill="0" applyBorder="0" applyAlignment="1" applyProtection="true">
      <alignment horizontal="center" vertical="center" textRotation="0" wrapText="false" shrinkToFit="false"/>
      <protection hidden="true"/>
    </xf>
    <xf xfId="0" fontId="7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true"/>
    </xf>
    <xf xfId="0" fontId="0" numFmtId="2" fillId="0" borderId="0" applyFont="0" applyNumberFormat="1" applyFill="0" applyBorder="0" applyAlignment="1" applyProtection="true">
      <alignment horizontal="center" vertical="center" textRotation="0" wrapText="false" shrinkToFit="false"/>
      <protection hidden="true"/>
    </xf>
    <xf xfId="0" fontId="0" numFmtId="2" fillId="0" borderId="0" applyFont="0" applyNumberFormat="1" applyFill="0" applyBorder="0" applyAlignment="1" applyProtection="true">
      <alignment horizontal="center" vertical="center" textRotation="0" wrapText="false" shrinkToFit="false"/>
      <protection hidden="true"/>
    </xf>
    <xf xfId="0" fontId="0" numFmtId="165" fillId="0" borderId="0" applyFont="0" applyNumberFormat="1" applyFill="0" applyBorder="0" applyAlignment="1" applyProtection="true">
      <alignment horizontal="center" vertical="center" textRotation="0" wrapText="false" shrinkToFit="false"/>
      <protection hidden="true"/>
    </xf>
    <xf xfId="0" fontId="0" numFmtId="0" fillId="0" borderId="69" applyFont="0" applyNumberFormat="0" applyFill="0" applyBorder="1" applyAlignment="1" applyProtection="true">
      <alignment horizontal="center" vertical="center" textRotation="0" wrapText="false" shrinkToFit="false"/>
      <protection hidden="true"/>
    </xf>
    <xf xfId="0" fontId="0" numFmtId="0" fillId="0" borderId="78" applyFont="0" applyNumberFormat="0" applyFill="0" applyBorder="1" applyAlignment="1" applyProtection="true">
      <alignment horizontal="center" vertical="center" textRotation="0" wrapText="false" shrinkToFit="false"/>
      <protection hidden="true"/>
    </xf>
    <xf xfId="0" fontId="0" numFmtId="165" fillId="0" borderId="32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12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true"/>
    </xf>
    <xf xfId="0" fontId="0" numFmtId="0" fillId="0" borderId="69" applyFont="0" applyNumberFormat="0" applyFill="0" applyBorder="1" applyAlignment="1" applyProtection="true">
      <alignment horizontal="center" vertical="center" textRotation="0" wrapText="false" shrinkToFit="false"/>
      <protection hidden="true"/>
    </xf>
    <xf xfId="0" fontId="0" numFmtId="0" fillId="0" borderId="69" applyFont="0" applyNumberFormat="0" applyFill="0" applyBorder="1" applyAlignment="1" applyProtection="true">
      <alignment horizontal="center" vertical="center" textRotation="0" wrapText="false" shrinkToFit="false"/>
      <protection hidden="true"/>
    </xf>
    <xf xfId="0" fontId="0" numFmtId="0" fillId="0" borderId="78" applyFont="0" applyNumberFormat="0" applyFill="0" applyBorder="1" applyAlignment="1" applyProtection="true">
      <alignment horizontal="center" vertical="center" textRotation="0" wrapText="false" shrinkToFit="false"/>
      <protection hidden="true"/>
    </xf>
    <xf xfId="0" fontId="0" numFmtId="165" fillId="0" borderId="26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15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true"/>
    </xf>
    <xf xfId="0" fontId="10" numFmtId="165" fillId="0" borderId="0" applyFont="1" applyNumberFormat="1" applyFill="0" applyBorder="0" applyAlignment="1" applyProtection="true">
      <alignment horizontal="center" vertical="center" textRotation="0" wrapText="false" shrinkToFit="false"/>
      <protection hidden="true"/>
    </xf>
    <xf xfId="0" fontId="11" numFmtId="165" fillId="0" borderId="69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11" numFmtId="165" fillId="0" borderId="78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0" fillId="0" borderId="0" applyFont="0" applyNumberFormat="0" applyFill="0" applyBorder="0" applyAlignment="1" applyProtection="true">
      <alignment horizontal="center" vertical="center" textRotation="0" wrapText="false" shrinkToFit="false"/>
      <protection hidden="true"/>
    </xf>
    <xf xfId="0" fontId="0" numFmtId="0" fillId="0" borderId="26" applyFont="0" applyNumberFormat="0" applyFill="0" applyBorder="1" applyAlignment="1" applyProtection="true">
      <alignment horizontal="center" vertical="center" textRotation="0" wrapText="false" shrinkToFit="false"/>
      <protection hidden="true"/>
    </xf>
    <xf xfId="0" fontId="0" numFmtId="0" fillId="0" borderId="0" applyFont="0" applyNumberFormat="0" applyFill="0" applyBorder="0" applyAlignment="1" applyProtection="true">
      <alignment horizontal="center" vertical="center" textRotation="0" wrapText="false" shrinkToFit="false"/>
      <protection hidden="true"/>
    </xf>
    <xf xfId="0" fontId="0" numFmtId="0" fillId="0" borderId="26" applyFont="0" applyNumberFormat="0" applyFill="0" applyBorder="1" applyAlignment="1" applyProtection="true">
      <alignment horizontal="center" vertical="center" textRotation="0" wrapText="false" shrinkToFit="false"/>
      <protection hidden="true"/>
    </xf>
    <xf xfId="0" fontId="10" numFmtId="165" fillId="0" borderId="26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7" numFmtId="165" fillId="0" borderId="0" applyFont="1" applyNumberFormat="1" applyFill="0" applyBorder="0" applyAlignment="1" applyProtection="true">
      <alignment horizontal="center" vertical="center" textRotation="0" wrapText="false" shrinkToFit="false"/>
      <protection hidden="true"/>
    </xf>
    <xf xfId="0" fontId="0" numFmtId="165" fillId="0" borderId="0" applyFont="0" applyNumberFormat="1" applyFill="0" applyBorder="0" applyAlignment="1" applyProtection="true">
      <alignment horizontal="center" vertical="center" textRotation="0" wrapText="false" shrinkToFit="false"/>
      <protection hidden="true"/>
    </xf>
    <xf xfId="0" fontId="7" numFmtId="165" fillId="3" borderId="63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7" numFmtId="165" fillId="3" borderId="64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7" numFmtId="165" fillId="3" borderId="65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7" numFmtId="165" fillId="0" borderId="0" applyFont="1" applyNumberFormat="1" applyFill="0" applyBorder="0" applyAlignment="1" applyProtection="true">
      <alignment horizontal="center" vertical="center" textRotation="0" wrapText="false" shrinkToFit="false"/>
      <protection hidden="false"/>
    </xf>
    <xf xfId="0" fontId="7" numFmtId="165" fillId="0" borderId="99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19" numFmtId="165" fillId="0" borderId="0" applyFont="1" applyNumberFormat="1" applyFill="0" applyBorder="0" applyAlignment="1" applyProtection="true">
      <alignment horizontal="center" vertical="center" textRotation="0" wrapText="false" shrinkToFit="false"/>
      <protection hidden="true"/>
    </xf>
    <xf xfId="0" fontId="20" numFmtId="165" fillId="0" borderId="0" applyFont="1" applyNumberFormat="1" applyFill="0" applyBorder="0" applyAlignment="1" applyProtection="true">
      <alignment horizontal="center" vertical="center" textRotation="0" wrapText="false" shrinkToFit="false"/>
      <protection hidden="true"/>
    </xf>
    <xf xfId="0" fontId="0" numFmtId="165" fillId="0" borderId="25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0" fillId="0" borderId="68" applyFont="0" applyNumberFormat="0" applyFill="0" applyBorder="1" applyAlignment="1" applyProtection="true">
      <alignment horizontal="center" vertical="center" textRotation="0" wrapText="false" shrinkToFit="false"/>
      <protection hidden="true"/>
    </xf>
    <xf xfId="0" fontId="0" numFmtId="0" fillId="0" borderId="32" applyFont="0" applyNumberFormat="0" applyFill="0" applyBorder="1" applyAlignment="0" applyProtection="true">
      <protection hidden="false"/>
    </xf>
    <xf xfId="0" fontId="0" numFmtId="0" fillId="0" borderId="65" applyFont="0" applyNumberFormat="0" applyFill="0" applyBorder="1" applyAlignment="0" applyProtection="true">
      <protection hidden="false"/>
    </xf>
    <xf xfId="0" fontId="0" numFmtId="165" fillId="0" borderId="24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2" numFmtId="165" fillId="0" borderId="100" applyFont="1" applyNumberFormat="1" applyFill="0" applyBorder="1" applyAlignment="1" applyProtection="true">
      <alignment horizontal="center" vertical="center" textRotation="0" wrapText="true" shrinkToFit="false"/>
      <protection hidden="true"/>
    </xf>
    <xf xfId="0" fontId="2" numFmtId="165" fillId="0" borderId="30" applyFont="1" applyNumberFormat="1" applyFill="0" applyBorder="1" applyAlignment="1" applyProtection="true">
      <alignment horizontal="center" vertical="center" textRotation="0" wrapText="true" shrinkToFit="false"/>
      <protection hidden="true"/>
    </xf>
    <xf xfId="0" fontId="2" numFmtId="165" fillId="0" borderId="63" applyFont="1" applyNumberFormat="1" applyFill="0" applyBorder="1" applyAlignment="1" applyProtection="true">
      <alignment horizontal="center" vertical="center" textRotation="0" wrapText="true" shrinkToFit="false"/>
      <protection hidden="true"/>
    </xf>
    <xf xfId="0" fontId="0" numFmtId="165" fillId="0" borderId="66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5" fillId="0" borderId="65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5" fillId="0" borderId="98" applyFont="0" applyNumberFormat="1" applyFill="0" applyBorder="1" applyAlignment="1" applyProtection="true">
      <alignment horizontal="center" vertical="center" textRotation="0" wrapText="true" shrinkToFit="false"/>
      <protection hidden="true"/>
    </xf>
    <xf xfId="0" fontId="0" numFmtId="165" fillId="0" borderId="48" applyFont="0" applyNumberFormat="1" applyFill="0" applyBorder="1" applyAlignment="1" applyProtection="true">
      <alignment horizontal="center" vertical="center" textRotation="0" wrapText="true" shrinkToFit="false"/>
      <protection hidden="true"/>
    </xf>
    <xf xfId="0" fontId="0" numFmtId="165" fillId="0" borderId="43" applyFont="0" applyNumberFormat="1" applyFill="0" applyBorder="1" applyAlignment="1" applyProtection="true">
      <alignment horizontal="center" vertical="center" textRotation="0" wrapText="true" shrinkToFit="false"/>
      <protection hidden="true"/>
    </xf>
    <xf xfId="0" fontId="19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true"/>
    </xf>
    <xf xfId="0" fontId="2" numFmtId="0" fillId="0" borderId="98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2" numFmtId="0" fillId="7" borderId="98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2" numFmtId="0" fillId="7" borderId="48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2" numFmtId="0" fillId="7" borderId="43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2" numFmtId="0" fillId="0" borderId="98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2" numFmtId="0" fillId="0" borderId="48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7" numFmtId="165" fillId="3" borderId="103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7" numFmtId="165" fillId="3" borderId="36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7" numFmtId="165" fillId="3" borderId="35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0" numFmtId="165" fillId="0" borderId="101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5" fillId="0" borderId="25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3" numFmtId="165" fillId="0" borderId="98" applyFont="1" applyNumberFormat="1" applyFill="0" applyBorder="1" applyAlignment="1" applyProtection="true">
      <alignment horizontal="center" vertical="center" textRotation="0" wrapText="true" shrinkToFit="false"/>
      <protection hidden="true"/>
    </xf>
    <xf xfId="0" fontId="3" numFmtId="165" fillId="0" borderId="48" applyFont="1" applyNumberFormat="1" applyFill="0" applyBorder="1" applyAlignment="1" applyProtection="true">
      <alignment horizontal="center" vertical="center" textRotation="0" wrapText="true" shrinkToFit="false"/>
      <protection hidden="true"/>
    </xf>
    <xf xfId="0" fontId="3" numFmtId="165" fillId="0" borderId="43" applyFont="1" applyNumberFormat="1" applyFill="0" applyBorder="1" applyAlignment="1" applyProtection="true">
      <alignment horizontal="center" vertical="center" textRotation="0" wrapText="true" shrinkToFit="false"/>
      <protection hidden="true"/>
    </xf>
    <xf xfId="0" fontId="2" numFmtId="165" fillId="0" borderId="98" applyFont="1" applyNumberFormat="1" applyFill="0" applyBorder="1" applyAlignment="1" applyProtection="true">
      <alignment horizontal="center" vertical="center" textRotation="0" wrapText="true" shrinkToFit="false"/>
      <protection hidden="true"/>
    </xf>
    <xf xfId="0" fontId="2" numFmtId="165" fillId="0" borderId="48" applyFont="1" applyNumberFormat="1" applyFill="0" applyBorder="1" applyAlignment="1" applyProtection="true">
      <alignment horizontal="center" vertical="center" textRotation="0" wrapText="true" shrinkToFit="false"/>
      <protection hidden="true"/>
    </xf>
    <xf xfId="0" fontId="2" numFmtId="165" fillId="0" borderId="43" applyFont="1" applyNumberFormat="1" applyFill="0" applyBorder="1" applyAlignment="1" applyProtection="true">
      <alignment horizontal="center" vertical="center" textRotation="0" wrapText="true" shrinkToFit="false"/>
      <protection hidden="true"/>
    </xf>
    <xf xfId="0" fontId="2" numFmtId="0" fillId="0" borderId="30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2" numFmtId="0" fillId="0" borderId="63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17" numFmtId="1" fillId="5" borderId="53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7" numFmtId="1" fillId="5" borderId="45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7" numFmtId="1" fillId="5" borderId="46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7" numFmtId="1" fillId="5" borderId="104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7" numFmtId="1" fillId="5" borderId="8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7" numFmtId="1" fillId="5" borderId="105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7" numFmtId="1" fillId="5" borderId="5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7" numFmtId="1" fillId="5" borderId="106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7" numFmtId="1" fillId="5" borderId="80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7" numFmtId="1" fillId="5" borderId="78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7" numFmtId="0" fillId="5" borderId="107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7" numFmtId="0" fillId="5" borderId="108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7" numFmtId="165" fillId="5" borderId="109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7" numFmtId="165" fillId="5" borderId="110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7" numFmtId="165" fillId="5" borderId="111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7" numFmtId="165" fillId="5" borderId="11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2" numFmtId="0" fillId="0" borderId="43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7" numFmtId="0" fillId="2" borderId="21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7" numFmtId="0" fillId="2" borderId="22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7" numFmtId="0" fillId="2" borderId="49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7" numFmtId="0" fillId="2" borderId="103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7" numFmtId="0" fillId="2" borderId="3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7" numFmtId="0" fillId="2" borderId="35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2" numFmtId="0" fillId="0" borderId="68" applyFont="1" applyNumberFormat="0" applyFill="0" applyBorder="1" applyAlignment="1" applyProtection="true">
      <alignment horizontal="left" vertical="center" textRotation="0" wrapText="false" shrinkToFit="false"/>
      <protection hidden="true"/>
    </xf>
    <xf xfId="0" fontId="2" numFmtId="0" fillId="0" borderId="69" applyFont="1" applyNumberFormat="0" applyFill="0" applyBorder="1" applyAlignment="1" applyProtection="true">
      <alignment horizontal="left" vertical="center" textRotation="0" wrapText="false" shrinkToFit="false"/>
      <protection hidden="true"/>
    </xf>
    <xf xfId="0" fontId="2" numFmtId="0" fillId="0" borderId="43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7" numFmtId="0" fillId="2" borderId="113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7" numFmtId="0" fillId="2" borderId="114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7" numFmtId="0" fillId="2" borderId="115" applyFont="1" applyNumberFormat="0" applyFill="1" applyBorder="1" applyAlignment="1" applyProtection="true">
      <alignment horizontal="center" vertical="center" textRotation="0" wrapText="false" shrinkToFit="false"/>
      <protection hidden="true"/>
    </xf>
  </cellXfs>
  <cellStyles count="1">
    <cellStyle name="Normal" xfId="0" builtinId="0"/>
  </cellStyles>
  <dxfs count="2">
    <dxf>
      <font>
        <b val="0"/>
        <color rgb="FF800080"/>
      </font>
      <fill>
        <patternFill patternType="solid">
          <fgColor rgb="FF000000"/>
          <bgColor rgb="FFFF99CC"/>
        </patternFill>
      </fill>
      <border/>
    </dxf>
    <dxf>
      <font>
        <b val="0"/>
        <color rgb="FF800080"/>
      </font>
      <fill>
        <patternFill patternType="solid">
          <fgColor rgb="FF000000"/>
          <bgColor rgb="FFFF99CC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drawings/_rels/vmlDrawing6.vml.rels><?xml version="1.0" encoding="UTF-8" standalone="yes"?>
<Relationships xmlns="http://schemas.openxmlformats.org/package/2006/relationships"/>
</file>

<file path=xl/drawings/_rels/vmlDrawing7.vml.rels><?xml version="1.0" encoding="UTF-8" standalone="yes"?>
<Relationships xmlns="http://schemas.openxmlformats.org/package/2006/relationships"/>
</file>

<file path=xl/drawings/_rels/vmlDrawing10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6.vml"/><Relationship Id="rId_comments1" Type="http://schemas.openxmlformats.org/officeDocument/2006/relationships/comments" Target="../comments6.xml"/></Relationships>
</file>

<file path=xl/worksheets/_rels/sheet7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7.vml"/><Relationship Id="rId_comments1" Type="http://schemas.openxmlformats.org/officeDocument/2006/relationships/comments" Target="../comments7.xml"/></Relationships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0.vml"/><Relationship Id="rId_comments1" Type="http://schemas.openxmlformats.org/officeDocument/2006/relationships/comments" Target="../comments10.xml"/></Relationships>
</file>

<file path=xl/worksheets/_rels/sheet1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customHeight="true" defaultRowHeight="12.75" outlineLevelRow="0" outlineLevelCol="0"/>
  <sheetData/>
  <sheetProtection objects="1" scenarios="1" formatCells="1" formatColumns="1" formatRows="1" insertColumns="1" insertRows="1" insertHyperlinks="1" deleteColumns="1" deleteRows="1" sort="1" autoFilter="1" pivotTables="1" selectLockedCells="1" selectUnlockedCells="1"/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customHeight="true" defaultRowHeight="12.75" outlineLevelRow="0" outlineLevelCol="0"/>
  <sheetData/>
  <sheetProtection objects="1" scenarios="1" formatCells="1" formatColumns="1" formatRows="1" insertColumns="1" insertRows="1" insertHyperlinks="1" deleteColumns="1" deleteRows="1" sort="1" autoFilter="1" pivotTables="1" selectLockedCells="1" selectUnlockedCells="1"/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customHeight="true" defaultRowHeight="12.75" outlineLevelRow="0" outlineLevelCol="0"/>
  <sheetData/>
  <sheetProtection objects="1" scenarios="1" formatCells="1" formatColumns="1" formatRows="1" insertColumns="1" insertRows="1" insertHyperlinks="1" deleteColumns="1" deleteRows="1" sort="1" autoFilter="1" pivotTables="1" selectLockedCells="1" selectUnlockedCells="1"/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customHeight="true" defaultRowHeight="12.75" outlineLevelRow="0" outlineLevelCol="0"/>
  <sheetData/>
  <sheetProtection objects="1" scenarios="1" formatCells="1" formatColumns="1" formatRows="1" insertColumns="1" insertRows="1" insertHyperlinks="1" deleteColumns="1" deleteRows="1" sort="1" autoFilter="1" pivotTables="1" selectLockedCells="1" selectUnlockedCells="1"/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customHeight="true" defaultRowHeight="12.75" outlineLevelRow="0" outlineLevelCol="0"/>
  <sheetData/>
  <sheetProtection objects="1" scenarios="1" formatCells="1" formatColumns="1" formatRows="1" insertColumns="1" insertRows="1" insertHyperlinks="1" deleteColumns="1" deleteRows="1" sort="1" autoFilter="1" pivotTables="1" selectLockedCells="1" selectUnlockedCells="1"/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B323"/>
  <sheetViews>
    <sheetView tabSelected="0" workbookViewId="0" zoomScale="90" showGridLines="true" showRowColHeaders="1">
      <pane xSplit="9" ySplit="8" topLeftCell="J66" activePane="bottomRight" state="frozen"/>
      <selection pane="topRight"/>
      <selection pane="bottomLeft"/>
      <selection pane="bottomRight" activeCell="AC209" sqref="AC209"/>
    </sheetView>
  </sheetViews>
  <sheetFormatPr customHeight="true" defaultRowHeight="12.75" defaultColWidth="9.140625" outlineLevelRow="0" outlineLevelCol="0"/>
  <cols>
    <col min="1" max="1" width="10.42578125" customWidth="true" style="4"/>
    <col min="2" max="2" width="12.7109375" customWidth="true" style="4"/>
    <col min="3" max="3" width="18.140625" customWidth="true" style="4"/>
    <col min="4" max="4" width="8.7109375" hidden="true" customWidth="true" style="4"/>
    <col min="5" max="5" width="7" hidden="true" customWidth="true" style="4"/>
    <col min="6" max="6" width="5.140625" hidden="true" customWidth="true" style="4"/>
    <col min="7" max="7" width="6.7109375" hidden="true" customWidth="true" style="4"/>
    <col min="8" max="8" width="8.7109375" hidden="true" customWidth="true" style="4"/>
    <col min="9" max="9" width="8.5703125" customWidth="true" style="4"/>
    <col min="10" max="10" width="7.140625" customWidth="true" style="4"/>
    <col min="11" max="11" width="8.5703125" customWidth="true" style="4"/>
    <col min="12" max="12" width="8.5703125" customWidth="true" style="4"/>
    <col min="13" max="13" width="7.85546875" customWidth="true" style="4"/>
    <col min="14" max="14" width="9.42578125" customWidth="true" style="4"/>
    <col min="15" max="15" width="9.7109375" customWidth="true" style="4"/>
    <col min="16" max="16" width="7.85546875" customWidth="true" style="4"/>
    <col min="17" max="17" width="8.5703125" customWidth="true" style="4"/>
    <col min="18" max="18" width="8.7109375" customWidth="true" style="4"/>
    <col min="19" max="19" width="7.85546875" customWidth="true" style="4"/>
    <col min="20" max="20" width="8.7109375" customWidth="true" style="4"/>
    <col min="21" max="21" width="8.5703125" customWidth="true" style="4"/>
    <col min="22" max="22" width="7.85546875" customWidth="true" style="4"/>
    <col min="23" max="23" width="9" customWidth="true" style="4"/>
    <col min="24" max="24" width="9.7109375" customWidth="true" style="4"/>
    <col min="25" max="25" width="7.85546875" customWidth="true" style="4"/>
    <col min="26" max="26" width="9" customWidth="true" style="4"/>
    <col min="27" max="27" width="9.5703125" customWidth="true" style="4"/>
    <col min="28" max="28" width="7.140625" customWidth="true" style="4"/>
    <col min="29" max="29" width="9" customWidth="true" style="4"/>
    <col min="30" max="30" width="9.28515625" customWidth="true" style="4"/>
    <col min="31" max="31" width="7.140625" customWidth="true" style="4"/>
    <col min="32" max="32" width="9.140625" style="9"/>
    <col min="33" max="33" width="9.5703125" hidden="true" customWidth="true" style="12"/>
    <col min="34" max="34" width="0" hidden="true" customWidth="true" style="12"/>
    <col min="35" max="35" width="0" hidden="true" customWidth="true" style="12"/>
    <col min="36" max="36" width="9.5703125" hidden="true" customWidth="true" style="12"/>
    <col min="37" max="37" width="0" hidden="true" customWidth="true" style="12"/>
    <col min="38" max="38" width="0" hidden="true" customWidth="true" style="12"/>
    <col min="39" max="39" width="9.5703125" hidden="true" customWidth="true" style="12"/>
    <col min="40" max="40" width="0" hidden="true" customWidth="true" style="12"/>
    <col min="41" max="41" width="0" hidden="true" customWidth="true" style="12"/>
    <col min="42" max="42" width="0" hidden="true" customWidth="true" style="12"/>
    <col min="43" max="43" width="0" hidden="true" customWidth="true" style="12"/>
    <col min="44" max="44" width="0" hidden="true" customWidth="true" style="12"/>
    <col min="45" max="45" width="9.5703125" hidden="true" customWidth="true" style="12"/>
    <col min="46" max="46" width="0" hidden="true" customWidth="true" style="12"/>
    <col min="47" max="47" width="0" hidden="true" customWidth="true" style="12"/>
    <col min="48" max="48" width="0" hidden="true" customWidth="true" style="12"/>
    <col min="49" max="49" width="0" hidden="true" customWidth="true" style="12"/>
    <col min="50" max="50" width="0" hidden="true" customWidth="true" style="12"/>
    <col min="51" max="51" width="9.5703125" hidden="true" customWidth="true" style="12"/>
    <col min="52" max="52" width="0" hidden="true" customWidth="true" style="9"/>
    <col min="53" max="53" width="10.140625" hidden="true" customWidth="true" style="9"/>
    <col min="54" max="54" width="0" hidden="true" customWidth="true" style="9"/>
  </cols>
  <sheetData>
    <row r="1" spans="1:54" customHeight="1" ht="17.25" s="6" customFormat="1">
      <c r="A1" s="1"/>
      <c r="B1" s="1"/>
      <c r="C1" s="2"/>
      <c r="D1" s="2"/>
      <c r="E1" s="2"/>
      <c r="F1" s="2"/>
      <c r="G1" s="2"/>
      <c r="H1" s="3"/>
      <c r="I1" s="3"/>
      <c r="J1" s="3"/>
      <c r="K1" s="4"/>
      <c r="L1" s="483" t="s">
        <v>0</v>
      </c>
      <c r="M1" s="483"/>
      <c r="N1" s="483"/>
      <c r="O1" s="483"/>
      <c r="P1" s="483"/>
      <c r="Q1" s="483"/>
      <c r="R1" s="483"/>
      <c r="S1" s="483"/>
      <c r="T1" s="483"/>
      <c r="U1" s="5"/>
      <c r="V1" s="5"/>
      <c r="W1" s="4"/>
      <c r="X1" s="4"/>
      <c r="Y1" s="4"/>
      <c r="Z1" s="489"/>
      <c r="AA1" s="489"/>
      <c r="AB1" s="489"/>
      <c r="AC1" s="496"/>
      <c r="AD1" s="490" t="s">
        <v>1</v>
      </c>
      <c r="AE1" s="491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</row>
    <row r="2" spans="1:54" customHeight="1" ht="18">
      <c r="A2" s="241" t="s">
        <v>2</v>
      </c>
      <c r="B2" s="242" t="s">
        <v>3</v>
      </c>
      <c r="C2" s="321"/>
      <c r="D2" s="7"/>
      <c r="E2" s="7"/>
      <c r="F2" s="7"/>
      <c r="G2" s="7"/>
      <c r="K2" s="8"/>
      <c r="L2" s="8"/>
      <c r="O2" s="488" t="s">
        <v>4</v>
      </c>
      <c r="P2" s="488"/>
      <c r="Q2" s="488"/>
      <c r="U2" s="145"/>
      <c r="V2" s="8"/>
      <c r="W2" s="8"/>
      <c r="Z2" s="477"/>
      <c r="AA2" s="477"/>
      <c r="AB2" s="492"/>
      <c r="AC2" s="493"/>
      <c r="AD2" s="484"/>
      <c r="AE2" s="481"/>
    </row>
    <row r="3" spans="1:54" customHeight="1" ht="14.25" s="12" customFormat="1">
      <c r="A3" s="241" t="s">
        <v>5</v>
      </c>
      <c r="B3" s="242" t="s">
        <v>6</v>
      </c>
      <c r="C3" s="243"/>
      <c r="D3" s="7"/>
      <c r="E3" s="7"/>
      <c r="F3" s="7"/>
      <c r="G3" s="7"/>
      <c r="H3" s="4"/>
      <c r="I3" s="4"/>
      <c r="J3" s="4"/>
      <c r="K3" s="325"/>
      <c r="L3" s="4"/>
      <c r="M3" s="4"/>
      <c r="N3" s="4"/>
      <c r="O3" s="475">
        <v>46082</v>
      </c>
      <c r="P3" s="476"/>
      <c r="Q3" s="476"/>
      <c r="R3" s="169"/>
      <c r="S3" s="10"/>
      <c r="T3" s="10"/>
      <c r="U3" s="11"/>
      <c r="V3" s="11"/>
      <c r="W3" s="10"/>
      <c r="X3" s="10"/>
      <c r="Y3" s="10"/>
      <c r="Z3" s="478"/>
      <c r="AA3" s="478"/>
      <c r="AB3" s="494"/>
      <c r="AC3" s="495"/>
      <c r="AD3" s="485"/>
      <c r="AE3" s="486"/>
    </row>
    <row r="4" spans="1:54" customHeight="1" ht="12">
      <c r="A4" s="241" t="s">
        <v>7</v>
      </c>
      <c r="B4" s="244">
        <v>46092</v>
      </c>
      <c r="C4" s="322"/>
      <c r="D4" s="73"/>
      <c r="E4" s="7"/>
      <c r="F4" s="7"/>
      <c r="G4" s="7"/>
      <c r="O4" s="144"/>
      <c r="R4" s="144"/>
      <c r="T4" s="239" t="s">
        <v>8</v>
      </c>
      <c r="U4" s="144"/>
      <c r="X4" s="144"/>
      <c r="Z4" s="479"/>
      <c r="AA4" s="479"/>
      <c r="AB4" s="479"/>
      <c r="AC4" s="487"/>
      <c r="AD4" s="480" t="s">
        <v>9</v>
      </c>
      <c r="AE4" s="481"/>
      <c r="AG4" s="130" t="s">
        <v>10</v>
      </c>
    </row>
    <row r="5" spans="1:54" customHeight="1" ht="11.25" s="12" customFormat="1">
      <c r="A5" s="13"/>
      <c r="B5" s="13"/>
      <c r="C5" s="14"/>
      <c r="D5" s="14"/>
      <c r="E5" s="14"/>
      <c r="F5" s="14"/>
      <c r="G5" s="14"/>
      <c r="H5" s="15"/>
      <c r="I5" s="15"/>
      <c r="J5" s="16"/>
      <c r="K5" s="143" t="s">
        <v>11</v>
      </c>
      <c r="L5" s="143"/>
      <c r="M5" s="143"/>
      <c r="N5" s="143" t="s">
        <v>12</v>
      </c>
      <c r="O5" s="143"/>
      <c r="P5" s="4"/>
      <c r="Q5" s="239" t="s">
        <v>13</v>
      </c>
      <c r="R5" s="10"/>
      <c r="S5" s="10"/>
      <c r="T5" s="19"/>
      <c r="U5" s="20"/>
      <c r="V5" s="10"/>
      <c r="W5" s="239" t="s">
        <v>14</v>
      </c>
      <c r="X5" s="10"/>
      <c r="Y5" s="10"/>
      <c r="Z5" s="239" t="s">
        <v>15</v>
      </c>
      <c r="AA5" s="240"/>
      <c r="AB5" s="240"/>
      <c r="AC5" s="239" t="s">
        <v>16</v>
      </c>
      <c r="AD5" s="10"/>
      <c r="AE5" s="10"/>
    </row>
    <row r="6" spans="1:54" customHeight="1" ht="12.75" s="12" customFormat="1">
      <c r="A6" s="460" t="s">
        <v>17</v>
      </c>
      <c r="B6" s="460" t="s">
        <v>18</v>
      </c>
      <c r="C6" s="447" t="s">
        <v>19</v>
      </c>
      <c r="D6" s="514" t="s">
        <v>20</v>
      </c>
      <c r="E6" s="516" t="s">
        <v>21</v>
      </c>
      <c r="F6" s="447" t="s">
        <v>22</v>
      </c>
      <c r="G6" s="516" t="s">
        <v>23</v>
      </c>
      <c r="H6" s="511"/>
      <c r="I6" s="511" t="s">
        <v>24</v>
      </c>
      <c r="J6" s="450" t="s">
        <v>25</v>
      </c>
      <c r="K6" s="451"/>
      <c r="L6" s="452"/>
      <c r="M6" s="450" t="s">
        <v>26</v>
      </c>
      <c r="N6" s="451"/>
      <c r="O6" s="452"/>
      <c r="P6" s="450" t="s">
        <v>27</v>
      </c>
      <c r="Q6" s="451"/>
      <c r="R6" s="452"/>
      <c r="S6" s="450" t="s">
        <v>28</v>
      </c>
      <c r="T6" s="451"/>
      <c r="U6" s="452"/>
      <c r="V6" s="450" t="s">
        <v>29</v>
      </c>
      <c r="W6" s="451"/>
      <c r="X6" s="452"/>
      <c r="Y6" s="450" t="s">
        <v>30</v>
      </c>
      <c r="Z6" s="451"/>
      <c r="AA6" s="452"/>
      <c r="AB6" s="450" t="s">
        <v>31</v>
      </c>
      <c r="AC6" s="451"/>
      <c r="AD6" s="452"/>
      <c r="AE6" s="467"/>
      <c r="AG6" s="465" t="s">
        <v>32</v>
      </c>
      <c r="AH6" s="466"/>
      <c r="AI6" s="467"/>
      <c r="AJ6" s="465" t="s">
        <v>25</v>
      </c>
      <c r="AK6" s="466"/>
      <c r="AL6" s="467"/>
      <c r="AM6" s="465" t="s">
        <v>26</v>
      </c>
      <c r="AN6" s="466"/>
      <c r="AO6" s="467"/>
      <c r="AP6" s="465" t="s">
        <v>27</v>
      </c>
      <c r="AQ6" s="466"/>
      <c r="AR6" s="467"/>
      <c r="AS6" s="465" t="s">
        <v>28</v>
      </c>
      <c r="AT6" s="466"/>
      <c r="AU6" s="467"/>
      <c r="AV6" s="465" t="s">
        <v>29</v>
      </c>
      <c r="AW6" s="466"/>
      <c r="AX6" s="467"/>
      <c r="AY6" s="465" t="s">
        <v>30</v>
      </c>
      <c r="AZ6" s="466"/>
      <c r="BA6" s="467"/>
    </row>
    <row r="7" spans="1:54" customHeight="1" ht="12.75" s="12" customFormat="1">
      <c r="A7" s="461"/>
      <c r="B7" s="461"/>
      <c r="C7" s="448"/>
      <c r="D7" s="482"/>
      <c r="E7" s="517"/>
      <c r="F7" s="448"/>
      <c r="G7" s="517"/>
      <c r="H7" s="512"/>
      <c r="I7" s="512"/>
      <c r="J7" s="468" t="str">
        <f>VLOOKUP(J$6,WEEK!$A$55:$D$66,2,0)</f>
        <v>02/FEB ~ 27/FEB</v>
      </c>
      <c r="K7" s="469"/>
      <c r="L7" s="470"/>
      <c r="M7" s="468" t="str">
        <f>VLOOKUP(M$6,WEEK!$A$55:$D$66,2,0)</f>
        <v>02/MAR ~ 31/MAR</v>
      </c>
      <c r="N7" s="469"/>
      <c r="O7" s="470"/>
      <c r="P7" s="468" t="str">
        <f>VLOOKUP(P$6,WEEK!$A$55:$D$66,2,0)</f>
        <v>01/APR ~ 30/APR</v>
      </c>
      <c r="Q7" s="469"/>
      <c r="R7" s="470"/>
      <c r="S7" s="468" t="str">
        <f>VLOOKUP(S$6,WEEK!$A$55:$D$66,2,0)</f>
        <v>02/MAY ~ 30/MAY</v>
      </c>
      <c r="T7" s="469"/>
      <c r="U7" s="470"/>
      <c r="V7" s="468" t="str">
        <f>VLOOKUP(V$6,WEEK!$A$55:$D$66,2,0)</f>
        <v>02/JUN ~ 30/JUN</v>
      </c>
      <c r="W7" s="469"/>
      <c r="X7" s="470"/>
      <c r="Y7" s="468" t="str">
        <f>VLOOKUP(Y$6,WEEK!$A$55:$D$66,2,0)</f>
        <v>01/JUL ~ 31/JUL</v>
      </c>
      <c r="Z7" s="469"/>
      <c r="AA7" s="470"/>
      <c r="AB7" s="468" t="str">
        <f>VLOOKUP(AB$6,WEEK!$A$55:$D$66,2,0)</f>
        <v>03/AUG ~ 31/AUG</v>
      </c>
      <c r="AC7" s="469"/>
      <c r="AD7" s="470"/>
      <c r="AE7" s="482"/>
      <c r="AG7" s="468" t="s">
        <v>33</v>
      </c>
      <c r="AH7" s="469"/>
      <c r="AI7" s="470"/>
      <c r="AJ7" s="468" t="s">
        <v>34</v>
      </c>
      <c r="AK7" s="469"/>
      <c r="AL7" s="470"/>
      <c r="AM7" s="468" t="s">
        <v>35</v>
      </c>
      <c r="AN7" s="469"/>
      <c r="AO7" s="470"/>
      <c r="AP7" s="468" t="s">
        <v>36</v>
      </c>
      <c r="AQ7" s="469"/>
      <c r="AR7" s="470"/>
      <c r="AS7" s="468" t="s">
        <v>37</v>
      </c>
      <c r="AT7" s="469"/>
      <c r="AU7" s="470"/>
      <c r="AV7" s="468" t="s">
        <v>38</v>
      </c>
      <c r="AW7" s="469"/>
      <c r="AX7" s="470"/>
      <c r="AY7" s="468" t="s">
        <v>39</v>
      </c>
      <c r="AZ7" s="469"/>
      <c r="BA7" s="470"/>
    </row>
    <row r="8" spans="1:54" customHeight="1" ht="13.5" s="12" customFormat="1">
      <c r="A8" s="462"/>
      <c r="B8" s="462"/>
      <c r="C8" s="449"/>
      <c r="D8" s="515"/>
      <c r="E8" s="518"/>
      <c r="F8" s="449"/>
      <c r="G8" s="518"/>
      <c r="H8" s="513"/>
      <c r="I8" s="513"/>
      <c r="J8" s="22" t="s">
        <v>40</v>
      </c>
      <c r="K8" s="23" t="s">
        <v>41</v>
      </c>
      <c r="L8" s="24" t="s">
        <v>42</v>
      </c>
      <c r="M8" s="22" t="s">
        <v>40</v>
      </c>
      <c r="N8" s="23" t="s">
        <v>41</v>
      </c>
      <c r="O8" s="24" t="s">
        <v>42</v>
      </c>
      <c r="P8" s="25" t="s">
        <v>40</v>
      </c>
      <c r="Q8" s="23" t="s">
        <v>41</v>
      </c>
      <c r="R8" s="26" t="s">
        <v>42</v>
      </c>
      <c r="S8" s="22" t="s">
        <v>40</v>
      </c>
      <c r="T8" s="23" t="s">
        <v>41</v>
      </c>
      <c r="U8" s="24" t="s">
        <v>42</v>
      </c>
      <c r="V8" s="22" t="s">
        <v>40</v>
      </c>
      <c r="W8" s="23" t="s">
        <v>41</v>
      </c>
      <c r="X8" s="24" t="s">
        <v>42</v>
      </c>
      <c r="Y8" s="22" t="s">
        <v>40</v>
      </c>
      <c r="Z8" s="23" t="s">
        <v>41</v>
      </c>
      <c r="AA8" s="24" t="s">
        <v>42</v>
      </c>
      <c r="AB8" s="22" t="s">
        <v>40</v>
      </c>
      <c r="AC8" s="23" t="s">
        <v>41</v>
      </c>
      <c r="AD8" s="24" t="s">
        <v>42</v>
      </c>
      <c r="AE8" s="473"/>
      <c r="AG8" s="22" t="s">
        <v>40</v>
      </c>
      <c r="AH8" s="23" t="s">
        <v>41</v>
      </c>
      <c r="AI8" s="24" t="s">
        <v>42</v>
      </c>
      <c r="AJ8" s="25" t="s">
        <v>40</v>
      </c>
      <c r="AK8" s="23" t="s">
        <v>41</v>
      </c>
      <c r="AL8" s="26" t="s">
        <v>42</v>
      </c>
      <c r="AM8" s="22" t="s">
        <v>40</v>
      </c>
      <c r="AN8" s="23" t="s">
        <v>41</v>
      </c>
      <c r="AO8" s="24" t="s">
        <v>42</v>
      </c>
      <c r="AP8" s="25" t="s">
        <v>40</v>
      </c>
      <c r="AQ8" s="23" t="s">
        <v>41</v>
      </c>
      <c r="AR8" s="26" t="s">
        <v>42</v>
      </c>
      <c r="AS8" s="22" t="s">
        <v>40</v>
      </c>
      <c r="AT8" s="23" t="s">
        <v>41</v>
      </c>
      <c r="AU8" s="24" t="s">
        <v>42</v>
      </c>
      <c r="AV8" s="25" t="s">
        <v>40</v>
      </c>
      <c r="AW8" s="23" t="s">
        <v>41</v>
      </c>
      <c r="AX8" s="26" t="s">
        <v>42</v>
      </c>
      <c r="AY8" s="22" t="s">
        <v>40</v>
      </c>
      <c r="AZ8" s="23" t="s">
        <v>41</v>
      </c>
      <c r="BA8" s="24" t="s">
        <v>42</v>
      </c>
    </row>
    <row r="9" spans="1:54" customHeight="1" ht="15.75">
      <c r="A9" s="453" t="s">
        <v>43</v>
      </c>
      <c r="B9" s="410" t="s">
        <v>44</v>
      </c>
      <c r="C9" s="158" t="s">
        <v>45</v>
      </c>
      <c r="D9" s="358"/>
      <c r="E9" s="359"/>
      <c r="F9" s="359"/>
      <c r="G9" s="359"/>
      <c r="H9" s="357"/>
      <c r="I9" s="156">
        <v>5.69724</v>
      </c>
      <c r="J9" s="360">
        <v>0.0</v>
      </c>
      <c r="K9" s="40" t="e">
        <f>VLOOKUP($C9,#REF!,9,0)</f>
        <v>#REF!</v>
      </c>
      <c r="L9" s="48">
        <f>IF(J9&gt;K9,0,K9-J9)</f>
        <v>0</v>
      </c>
      <c r="M9" s="39" t="e">
        <f>J9+L9-K9</f>
        <v>#REF!</v>
      </c>
      <c r="N9" s="40" t="e">
        <f>VLOOKUP($C9,#REF!,9,0)</f>
        <v>#REF!</v>
      </c>
      <c r="O9" s="48" t="e">
        <f>IF(M9&gt;N9,0,N9-M9)</f>
        <v>#REF!</v>
      </c>
      <c r="P9" s="39" t="e">
        <f>M9+O9-N9</f>
        <v>#REF!</v>
      </c>
      <c r="Q9" s="40" t="e">
        <f>VLOOKUP($C9,#REF!,15,0)</f>
        <v>#REF!</v>
      </c>
      <c r="R9" s="41" t="e">
        <f>IF(P9&gt;Q9,0,Q9-P9)</f>
        <v>#REF!</v>
      </c>
      <c r="S9" s="42" t="e">
        <f>P9+R9-Q9</f>
        <v>#REF!</v>
      </c>
      <c r="T9" s="40" t="e">
        <f>VLOOKUP($C9,#REF!,21,0)</f>
        <v>#REF!</v>
      </c>
      <c r="U9" s="43" t="e">
        <f>IF(S9&gt;T9,0,T9-S9)</f>
        <v>#REF!</v>
      </c>
      <c r="V9" s="39" t="e">
        <f>S9+U9-T9</f>
        <v>#REF!</v>
      </c>
      <c r="W9" s="40" t="e">
        <f>VLOOKUP($C9,#REF!,27,0)</f>
        <v>#REF!</v>
      </c>
      <c r="X9" s="48" t="e">
        <f>IF(V9&gt;W9,0,W9-V9)</f>
        <v>#REF!</v>
      </c>
      <c r="Y9" s="39" t="e">
        <f>V9+X9-W9</f>
        <v>#REF!</v>
      </c>
      <c r="Z9" s="40" t="e">
        <f>VLOOKUP($C9,#REF!,33,0)</f>
        <v>#REF!</v>
      </c>
      <c r="AA9" s="41" t="e">
        <f>IF(Y9&gt;Z9,0,Z9-Y9)</f>
        <v>#REF!</v>
      </c>
      <c r="AB9" s="39" t="e">
        <f>Y9+AA9-Z9</f>
        <v>#REF!</v>
      </c>
      <c r="AC9" s="40" t="e">
        <f>VLOOKUP($C9,#REF!,39,0)</f>
        <v>#REF!</v>
      </c>
      <c r="AD9" s="41" t="e">
        <f>IF(AB9&gt;AC9,0,AC9-AB9)</f>
        <v>#REF!</v>
      </c>
      <c r="AE9" s="236"/>
      <c r="AG9" s="171">
        <f>J9*F9</f>
        <v>0</v>
      </c>
      <c r="AH9" s="172" t="e">
        <f>K9*F9</f>
        <v>#REF!</v>
      </c>
      <c r="AI9" s="173">
        <f>L9*F9</f>
        <v>0</v>
      </c>
      <c r="AJ9" s="174" t="e">
        <f>M9*F9</f>
        <v>#REF!</v>
      </c>
      <c r="AK9" s="172" t="e">
        <f>N9*F9</f>
        <v>#REF!</v>
      </c>
      <c r="AL9" s="173" t="e">
        <f>O9*F9</f>
        <v>#REF!</v>
      </c>
      <c r="AM9" s="174" t="e">
        <f>P9*F9</f>
        <v>#REF!</v>
      </c>
      <c r="AN9" s="172" t="e">
        <f>Q9*F9</f>
        <v>#REF!</v>
      </c>
      <c r="AO9" s="173" t="e">
        <f>R9*F9</f>
        <v>#REF!</v>
      </c>
      <c r="AP9" s="174" t="e">
        <f>S9*F9</f>
        <v>#REF!</v>
      </c>
      <c r="AQ9" s="172" t="e">
        <f>T9*F9</f>
        <v>#REF!</v>
      </c>
      <c r="AR9" s="173" t="e">
        <f>U9*F9</f>
        <v>#REF!</v>
      </c>
      <c r="AS9" s="174" t="e">
        <f>V9*F9</f>
        <v>#REF!</v>
      </c>
      <c r="AT9" s="172" t="e">
        <f>W9*F9</f>
        <v>#REF!</v>
      </c>
      <c r="AU9" s="173" t="e">
        <f>X9*F9</f>
        <v>#REF!</v>
      </c>
      <c r="AV9" s="174" t="e">
        <f>Y9*F9</f>
        <v>#REF!</v>
      </c>
      <c r="AW9" s="172" t="e">
        <f>Z9*F9</f>
        <v>#REF!</v>
      </c>
      <c r="AX9" s="173" t="e">
        <f>AA9*F9</f>
        <v>#REF!</v>
      </c>
      <c r="AY9" s="174" t="e">
        <f>AB9*F9</f>
        <v>#REF!</v>
      </c>
      <c r="AZ9" s="172" t="e">
        <f>AC9*F9</f>
        <v>#REF!</v>
      </c>
      <c r="BA9" s="173" t="e">
        <f>AD9*F9</f>
        <v>#REF!</v>
      </c>
    </row>
    <row r="10" spans="1:54" customHeight="1" ht="15.75">
      <c r="A10" s="442"/>
      <c r="B10" s="411" t="s">
        <v>44</v>
      </c>
      <c r="C10" s="159" t="s">
        <v>46</v>
      </c>
      <c r="D10" s="361"/>
      <c r="E10" s="362"/>
      <c r="F10" s="362"/>
      <c r="G10" s="362"/>
      <c r="H10" s="156"/>
      <c r="I10" s="156">
        <v>6.6366733333333</v>
      </c>
      <c r="J10" s="363">
        <v>0.0</v>
      </c>
      <c r="K10" s="45" t="e">
        <f>VLOOKUP($C10,#REF!,9,0)</f>
        <v>#REF!</v>
      </c>
      <c r="L10" s="48">
        <f>IF(J10&gt;K10,0,K10-J10)</f>
        <v>0</v>
      </c>
      <c r="M10" s="44" t="e">
        <f>J10+L10-K10</f>
        <v>#REF!</v>
      </c>
      <c r="N10" s="45" t="e">
        <f>VLOOKUP($C10,#REF!,9,0)</f>
        <v>#REF!</v>
      </c>
      <c r="O10" s="48" t="e">
        <f>IF(M10&gt;N10,0,N10-M10)</f>
        <v>#REF!</v>
      </c>
      <c r="P10" s="44" t="e">
        <f>M10+O10-N10</f>
        <v>#REF!</v>
      </c>
      <c r="Q10" s="45" t="e">
        <f>VLOOKUP($C10,#REF!,15,0)</f>
        <v>#REF!</v>
      </c>
      <c r="R10" s="46" t="e">
        <f>IF(P10&gt;Q10,0,Q10-P10)</f>
        <v>#REF!</v>
      </c>
      <c r="S10" s="47" t="e">
        <f>P10+R10-Q10</f>
        <v>#REF!</v>
      </c>
      <c r="T10" s="45" t="e">
        <f>VLOOKUP($C10,#REF!,21,0)</f>
        <v>#REF!</v>
      </c>
      <c r="U10" s="48" t="e">
        <f>IF(S10&gt;T10,0,T10-S10)</f>
        <v>#REF!</v>
      </c>
      <c r="V10" s="44" t="e">
        <f>S10+U10-T10</f>
        <v>#REF!</v>
      </c>
      <c r="W10" s="45" t="e">
        <f>VLOOKUP($C10,#REF!,27,0)</f>
        <v>#REF!</v>
      </c>
      <c r="X10" s="48" t="e">
        <f>IF(V10&gt;W10,0,W10-V10)</f>
        <v>#REF!</v>
      </c>
      <c r="Y10" s="44" t="e">
        <f>V10+X10-W10</f>
        <v>#REF!</v>
      </c>
      <c r="Z10" s="45" t="e">
        <f>VLOOKUP($C10,#REF!,33,0)</f>
        <v>#REF!</v>
      </c>
      <c r="AA10" s="46" t="e">
        <f>IF(Y10&gt;Z10,0,Z10-Y10)</f>
        <v>#REF!</v>
      </c>
      <c r="AB10" s="44" t="e">
        <f>Y10+AA10-Z10</f>
        <v>#REF!</v>
      </c>
      <c r="AC10" s="45" t="e">
        <f>VLOOKUP($C10,#REF!,39,0)</f>
        <v>#REF!</v>
      </c>
      <c r="AD10" s="46" t="e">
        <f>IF(AB10&gt;AC10,0,AC10-AB10)</f>
        <v>#REF!</v>
      </c>
      <c r="AE10" s="237"/>
      <c r="AG10" s="171">
        <f>J10*F10</f>
        <v>0</v>
      </c>
      <c r="AH10" s="172" t="e">
        <f>K10*F10</f>
        <v>#REF!</v>
      </c>
      <c r="AI10" s="173">
        <f>L10*F10</f>
        <v>0</v>
      </c>
      <c r="AJ10" s="174" t="e">
        <f>M10*F10</f>
        <v>#REF!</v>
      </c>
      <c r="AK10" s="172" t="e">
        <f>N10*F10</f>
        <v>#REF!</v>
      </c>
      <c r="AL10" s="173" t="e">
        <f>O10*F10</f>
        <v>#REF!</v>
      </c>
      <c r="AM10" s="174" t="e">
        <f>P10*F10</f>
        <v>#REF!</v>
      </c>
      <c r="AN10" s="172" t="e">
        <f>Q10*F10</f>
        <v>#REF!</v>
      </c>
      <c r="AO10" s="173" t="e">
        <f>R10*F10</f>
        <v>#REF!</v>
      </c>
      <c r="AP10" s="174" t="e">
        <f>S10*F10</f>
        <v>#REF!</v>
      </c>
      <c r="AQ10" s="172" t="e">
        <f>T10*F10</f>
        <v>#REF!</v>
      </c>
      <c r="AR10" s="173" t="e">
        <f>U10*F10</f>
        <v>#REF!</v>
      </c>
      <c r="AS10" s="174" t="e">
        <f>V10*F10</f>
        <v>#REF!</v>
      </c>
      <c r="AT10" s="172" t="e">
        <f>W10*F10</f>
        <v>#REF!</v>
      </c>
      <c r="AU10" s="173" t="e">
        <f>X10*F10</f>
        <v>#REF!</v>
      </c>
      <c r="AV10" s="174" t="e">
        <f>Y10*F10</f>
        <v>#REF!</v>
      </c>
      <c r="AW10" s="172" t="e">
        <f>Z10*F10</f>
        <v>#REF!</v>
      </c>
      <c r="AX10" s="173" t="e">
        <f>AA10*F10</f>
        <v>#REF!</v>
      </c>
      <c r="AY10" s="174" t="e">
        <f>AB10*F10</f>
        <v>#REF!</v>
      </c>
      <c r="AZ10" s="172" t="e">
        <f>AC10*F10</f>
        <v>#REF!</v>
      </c>
      <c r="BA10" s="173" t="e">
        <f>AD10*F10</f>
        <v>#REF!</v>
      </c>
    </row>
    <row r="11" spans="1:54" customHeight="1" ht="15.75">
      <c r="A11" s="442"/>
      <c r="B11" s="411" t="s">
        <v>44</v>
      </c>
      <c r="C11" s="159" t="s">
        <v>47</v>
      </c>
      <c r="D11" s="365"/>
      <c r="E11" s="362"/>
      <c r="F11" s="362"/>
      <c r="G11" s="362"/>
      <c r="H11" s="156"/>
      <c r="I11" s="156">
        <v>6.63118</v>
      </c>
      <c r="J11" s="363">
        <v>0.0</v>
      </c>
      <c r="K11" s="45" t="e">
        <f>VLOOKUP($C11,#REF!,9,0)</f>
        <v>#REF!</v>
      </c>
      <c r="L11" s="48">
        <f>IF(J11&gt;K11,0,K11-J11)</f>
        <v>0</v>
      </c>
      <c r="M11" s="44" t="e">
        <f>J11+L11-K11</f>
        <v>#REF!</v>
      </c>
      <c r="N11" s="45" t="e">
        <f>VLOOKUP($C11,#REF!,9,0)</f>
        <v>#REF!</v>
      </c>
      <c r="O11" s="48" t="e">
        <f>IF(M11&gt;N11,0,N11-M11)</f>
        <v>#REF!</v>
      </c>
      <c r="P11" s="44" t="e">
        <f>M11+O11-N11</f>
        <v>#REF!</v>
      </c>
      <c r="Q11" s="45" t="e">
        <f>VLOOKUP($C11,#REF!,15,0)</f>
        <v>#REF!</v>
      </c>
      <c r="R11" s="46" t="e">
        <f>IF(P11&gt;Q11,0,Q11-P11)</f>
        <v>#REF!</v>
      </c>
      <c r="S11" s="47" t="e">
        <f>P11+R11-Q11</f>
        <v>#REF!</v>
      </c>
      <c r="T11" s="45" t="e">
        <f>VLOOKUP($C11,#REF!,21,0)</f>
        <v>#REF!</v>
      </c>
      <c r="U11" s="48" t="e">
        <f>IF(S11&gt;T11,0,T11-S11)</f>
        <v>#REF!</v>
      </c>
      <c r="V11" s="44" t="e">
        <f>S11+U11-T11</f>
        <v>#REF!</v>
      </c>
      <c r="W11" s="45" t="e">
        <f>VLOOKUP($C11,#REF!,27,0)</f>
        <v>#REF!</v>
      </c>
      <c r="X11" s="46" t="e">
        <f>IF(V11&gt;W11,0,W11-V11)</f>
        <v>#REF!</v>
      </c>
      <c r="Y11" s="44" t="e">
        <f>V11+X11-W11</f>
        <v>#REF!</v>
      </c>
      <c r="Z11" s="45" t="e">
        <f>VLOOKUP($C11,#REF!,33,0)</f>
        <v>#REF!</v>
      </c>
      <c r="AA11" s="46" t="e">
        <f>IF(Y11&gt;Z11,0,Z11-Y11)</f>
        <v>#REF!</v>
      </c>
      <c r="AB11" s="44" t="e">
        <f>Y11+AA11-Z11</f>
        <v>#REF!</v>
      </c>
      <c r="AC11" s="45" t="e">
        <f>VLOOKUP($C11,#REF!,39,0)</f>
        <v>#REF!</v>
      </c>
      <c r="AD11" s="46" t="e">
        <f>IF(AB11&gt;AC11,0,AC11-AB11)</f>
        <v>#REF!</v>
      </c>
      <c r="AE11" s="237"/>
      <c r="AG11" s="171">
        <f>J11*F11</f>
        <v>0</v>
      </c>
      <c r="AH11" s="172" t="e">
        <f>K11*F11</f>
        <v>#REF!</v>
      </c>
      <c r="AI11" s="173">
        <f>L11*F11</f>
        <v>0</v>
      </c>
      <c r="AJ11" s="174" t="e">
        <f>M11*F11</f>
        <v>#REF!</v>
      </c>
      <c r="AK11" s="172" t="e">
        <f>N11*F11</f>
        <v>#REF!</v>
      </c>
      <c r="AL11" s="173" t="e">
        <f>O11*F11</f>
        <v>#REF!</v>
      </c>
      <c r="AM11" s="174" t="e">
        <f>P11*F11</f>
        <v>#REF!</v>
      </c>
      <c r="AN11" s="172" t="e">
        <f>Q11*F11</f>
        <v>#REF!</v>
      </c>
      <c r="AO11" s="173" t="e">
        <f>R11*F11</f>
        <v>#REF!</v>
      </c>
      <c r="AP11" s="174" t="e">
        <f>S11*F11</f>
        <v>#REF!</v>
      </c>
      <c r="AQ11" s="172" t="e">
        <f>T11*F11</f>
        <v>#REF!</v>
      </c>
      <c r="AR11" s="173" t="e">
        <f>U11*F11</f>
        <v>#REF!</v>
      </c>
      <c r="AS11" s="174" t="e">
        <f>V11*F11</f>
        <v>#REF!</v>
      </c>
      <c r="AT11" s="172" t="e">
        <f>W11*F11</f>
        <v>#REF!</v>
      </c>
      <c r="AU11" s="173" t="e">
        <f>X11*F11</f>
        <v>#REF!</v>
      </c>
      <c r="AV11" s="174" t="e">
        <f>Y11*F11</f>
        <v>#REF!</v>
      </c>
      <c r="AW11" s="172" t="e">
        <f>Z11*F11</f>
        <v>#REF!</v>
      </c>
      <c r="AX11" s="173" t="e">
        <f>AA11*F11</f>
        <v>#REF!</v>
      </c>
      <c r="AY11" s="174" t="e">
        <f>AB11*F11</f>
        <v>#REF!</v>
      </c>
      <c r="AZ11" s="172" t="e">
        <f>AC11*F11</f>
        <v>#REF!</v>
      </c>
      <c r="BA11" s="173" t="e">
        <f>AD11*F11</f>
        <v>#REF!</v>
      </c>
    </row>
    <row r="12" spans="1:54" customHeight="1" ht="15.75">
      <c r="A12" s="442"/>
      <c r="B12" s="411" t="s">
        <v>48</v>
      </c>
      <c r="C12" s="159" t="s">
        <v>49</v>
      </c>
      <c r="D12" s="365"/>
      <c r="E12" s="362"/>
      <c r="F12" s="362"/>
      <c r="G12" s="362"/>
      <c r="H12" s="156"/>
      <c r="I12" s="156">
        <v>5.3516666666667</v>
      </c>
      <c r="J12" s="363">
        <v>0.0</v>
      </c>
      <c r="K12" s="45" t="e">
        <f>VLOOKUP($C12,#REF!,9,0)</f>
        <v>#REF!</v>
      </c>
      <c r="L12" s="48">
        <f>IF(J12&gt;K12,0,K12-J12)</f>
        <v>0</v>
      </c>
      <c r="M12" s="44" t="e">
        <f>J12+L12-K12</f>
        <v>#REF!</v>
      </c>
      <c r="N12" s="45" t="e">
        <f>VLOOKUP($C12,#REF!,9,0)</f>
        <v>#REF!</v>
      </c>
      <c r="O12" s="48" t="e">
        <f>IF(M12&gt;N12,0,N12-M12)</f>
        <v>#REF!</v>
      </c>
      <c r="P12" s="44" t="e">
        <f>M12+O12-N12</f>
        <v>#REF!</v>
      </c>
      <c r="Q12" s="45" t="e">
        <f>VLOOKUP($C12,#REF!,15,0)</f>
        <v>#REF!</v>
      </c>
      <c r="R12" s="46" t="e">
        <f>IF(P12&gt;Q12,0,Q12-P12)</f>
        <v>#REF!</v>
      </c>
      <c r="S12" s="47" t="e">
        <f>P12+R12-Q12</f>
        <v>#REF!</v>
      </c>
      <c r="T12" s="45" t="e">
        <f>VLOOKUP($C12,#REF!,21,0)</f>
        <v>#REF!</v>
      </c>
      <c r="U12" s="48" t="e">
        <f>IF(S12&gt;T12,0,T12-S12)</f>
        <v>#REF!</v>
      </c>
      <c r="V12" s="44" t="e">
        <f>S12+U12-T12</f>
        <v>#REF!</v>
      </c>
      <c r="W12" s="45" t="e">
        <f>VLOOKUP($C12,#REF!,27,0)</f>
        <v>#REF!</v>
      </c>
      <c r="X12" s="46" t="e">
        <f>IF(V12&gt;W12,0,W12-V12)</f>
        <v>#REF!</v>
      </c>
      <c r="Y12" s="44" t="e">
        <f>V12+X12-W12</f>
        <v>#REF!</v>
      </c>
      <c r="Z12" s="45" t="e">
        <f>VLOOKUP($C12,#REF!,33,0)</f>
        <v>#REF!</v>
      </c>
      <c r="AA12" s="46" t="e">
        <f>IF(Y12&gt;Z12,0,Z12-Y12)</f>
        <v>#REF!</v>
      </c>
      <c r="AB12" s="44" t="e">
        <f>Y12+AA12-Z12</f>
        <v>#REF!</v>
      </c>
      <c r="AC12" s="45" t="e">
        <f>VLOOKUP($C12,#REF!,39,0)</f>
        <v>#REF!</v>
      </c>
      <c r="AD12" s="46" t="e">
        <f>IF(AB12&gt;AC12,0,AC12-AB12)</f>
        <v>#REF!</v>
      </c>
      <c r="AE12" s="237"/>
      <c r="AG12" s="171">
        <f>J12*F12</f>
        <v>0</v>
      </c>
      <c r="AH12" s="172" t="e">
        <f>K12*F12</f>
        <v>#REF!</v>
      </c>
      <c r="AI12" s="173">
        <f>L12*F12</f>
        <v>0</v>
      </c>
      <c r="AJ12" s="174" t="e">
        <f>M12*F12</f>
        <v>#REF!</v>
      </c>
      <c r="AK12" s="172" t="e">
        <f>N12*F12</f>
        <v>#REF!</v>
      </c>
      <c r="AL12" s="173" t="e">
        <f>O12*F12</f>
        <v>#REF!</v>
      </c>
      <c r="AM12" s="174" t="e">
        <f>P12*F12</f>
        <v>#REF!</v>
      </c>
      <c r="AN12" s="172" t="e">
        <f>Q12*F12</f>
        <v>#REF!</v>
      </c>
      <c r="AO12" s="173" t="e">
        <f>R12*F12</f>
        <v>#REF!</v>
      </c>
      <c r="AP12" s="174" t="e">
        <f>S12*F12</f>
        <v>#REF!</v>
      </c>
      <c r="AQ12" s="172" t="e">
        <f>T12*F12</f>
        <v>#REF!</v>
      </c>
      <c r="AR12" s="173" t="e">
        <f>U12*F12</f>
        <v>#REF!</v>
      </c>
      <c r="AS12" s="174" t="e">
        <f>V12*F12</f>
        <v>#REF!</v>
      </c>
      <c r="AT12" s="172" t="e">
        <f>W12*F12</f>
        <v>#REF!</v>
      </c>
      <c r="AU12" s="173" t="e">
        <f>X12*F12</f>
        <v>#REF!</v>
      </c>
      <c r="AV12" s="174" t="e">
        <f>Y12*F12</f>
        <v>#REF!</v>
      </c>
      <c r="AW12" s="172" t="e">
        <f>Z12*F12</f>
        <v>#REF!</v>
      </c>
      <c r="AX12" s="173" t="e">
        <f>AA12*F12</f>
        <v>#REF!</v>
      </c>
      <c r="AY12" s="174" t="e">
        <f>AB12*F12</f>
        <v>#REF!</v>
      </c>
      <c r="AZ12" s="172" t="e">
        <f>AC12*F12</f>
        <v>#REF!</v>
      </c>
      <c r="BA12" s="173" t="e">
        <f>AD12*F12</f>
        <v>#REF!</v>
      </c>
    </row>
    <row r="13" spans="1:54" customHeight="1" ht="15.75">
      <c r="A13" s="442"/>
      <c r="B13" s="411" t="s">
        <v>44</v>
      </c>
      <c r="C13" s="159" t="s">
        <v>50</v>
      </c>
      <c r="D13" s="161"/>
      <c r="E13" s="362"/>
      <c r="F13" s="362"/>
      <c r="G13" s="362"/>
      <c r="H13" s="156"/>
      <c r="I13" s="156">
        <v>6.03334</v>
      </c>
      <c r="J13" s="363">
        <v>0.0</v>
      </c>
      <c r="K13" s="45" t="e">
        <f>VLOOKUP($C13,#REF!,9,0)</f>
        <v>#REF!</v>
      </c>
      <c r="L13" s="48">
        <f>IF(J13&gt;K13,0,K13-J13)</f>
        <v>0</v>
      </c>
      <c r="M13" s="44" t="e">
        <f>J13+L13-K13</f>
        <v>#REF!</v>
      </c>
      <c r="N13" s="45" t="e">
        <f>VLOOKUP($C13,#REF!,9,0)</f>
        <v>#REF!</v>
      </c>
      <c r="O13" s="48" t="e">
        <f>IF(M13&gt;N13,0,N13-M13)</f>
        <v>#REF!</v>
      </c>
      <c r="P13" s="44" t="e">
        <f>M13+O13-N13</f>
        <v>#REF!</v>
      </c>
      <c r="Q13" s="45" t="e">
        <f>VLOOKUP($C13,#REF!,15,0)</f>
        <v>#REF!</v>
      </c>
      <c r="R13" s="46" t="e">
        <f>IF(P13&gt;Q13,0,Q13-P13)</f>
        <v>#REF!</v>
      </c>
      <c r="S13" s="47" t="e">
        <f>P13+R13-Q13</f>
        <v>#REF!</v>
      </c>
      <c r="T13" s="45" t="e">
        <f>VLOOKUP($C13,#REF!,21,0)</f>
        <v>#REF!</v>
      </c>
      <c r="U13" s="48" t="e">
        <f>IF(S13&gt;T13,0,T13-S13)</f>
        <v>#REF!</v>
      </c>
      <c r="V13" s="44" t="e">
        <f>S13+U13-T13</f>
        <v>#REF!</v>
      </c>
      <c r="W13" s="45" t="e">
        <f>VLOOKUP($C13,#REF!,27,0)</f>
        <v>#REF!</v>
      </c>
      <c r="X13" s="46" t="e">
        <f>IF(V13&gt;W13,0,W13-V13)</f>
        <v>#REF!</v>
      </c>
      <c r="Y13" s="44" t="e">
        <f>V13+X13-W13</f>
        <v>#REF!</v>
      </c>
      <c r="Z13" s="45" t="e">
        <f>VLOOKUP($C13,#REF!,33,0)</f>
        <v>#REF!</v>
      </c>
      <c r="AA13" s="46" t="e">
        <f>IF(Y13&gt;Z13,0,Z13-Y13)</f>
        <v>#REF!</v>
      </c>
      <c r="AB13" s="44" t="e">
        <f>Y13+AA13-Z13</f>
        <v>#REF!</v>
      </c>
      <c r="AC13" s="45" t="e">
        <f>VLOOKUP($C13,#REF!,39,0)</f>
        <v>#REF!</v>
      </c>
      <c r="AD13" s="46" t="e">
        <f>IF(AB13&gt;AC13,0,AC13-AB13)</f>
        <v>#REF!</v>
      </c>
      <c r="AE13" s="237"/>
      <c r="AG13" s="171">
        <f>J13*F13</f>
        <v>0</v>
      </c>
      <c r="AH13" s="172" t="e">
        <f>K13*F13</f>
        <v>#REF!</v>
      </c>
      <c r="AI13" s="173">
        <f>L13*F13</f>
        <v>0</v>
      </c>
      <c r="AJ13" s="174" t="e">
        <f>M13*F13</f>
        <v>#REF!</v>
      </c>
      <c r="AK13" s="172" t="e">
        <f>N13*F13</f>
        <v>#REF!</v>
      </c>
      <c r="AL13" s="173" t="e">
        <f>O13*F13</f>
        <v>#REF!</v>
      </c>
      <c r="AM13" s="174" t="e">
        <f>P13*F13</f>
        <v>#REF!</v>
      </c>
      <c r="AN13" s="172" t="e">
        <f>Q13*F13</f>
        <v>#REF!</v>
      </c>
      <c r="AO13" s="173" t="e">
        <f>R13*F13</f>
        <v>#REF!</v>
      </c>
      <c r="AP13" s="174" t="e">
        <f>S13*F13</f>
        <v>#REF!</v>
      </c>
      <c r="AQ13" s="172" t="e">
        <f>T13*F13</f>
        <v>#REF!</v>
      </c>
      <c r="AR13" s="173" t="e">
        <f>U13*F13</f>
        <v>#REF!</v>
      </c>
      <c r="AS13" s="174" t="e">
        <f>V13*F13</f>
        <v>#REF!</v>
      </c>
      <c r="AT13" s="172" t="e">
        <f>W13*F13</f>
        <v>#REF!</v>
      </c>
      <c r="AU13" s="173" t="e">
        <f>X13*F13</f>
        <v>#REF!</v>
      </c>
      <c r="AV13" s="174" t="e">
        <f>Y13*F13</f>
        <v>#REF!</v>
      </c>
      <c r="AW13" s="172" t="e">
        <f>Z13*F13</f>
        <v>#REF!</v>
      </c>
      <c r="AX13" s="173" t="e">
        <f>AA13*F13</f>
        <v>#REF!</v>
      </c>
      <c r="AY13" s="174" t="e">
        <f>AB13*F13</f>
        <v>#REF!</v>
      </c>
      <c r="AZ13" s="172" t="e">
        <f>AC13*F13</f>
        <v>#REF!</v>
      </c>
      <c r="BA13" s="173" t="e">
        <f>AD13*F13</f>
        <v>#REF!</v>
      </c>
    </row>
    <row r="14" spans="1:54" customHeight="1" ht="15.75" s="12" customFormat="1">
      <c r="A14" s="442"/>
      <c r="B14" s="411" t="s">
        <v>44</v>
      </c>
      <c r="C14" s="159" t="s">
        <v>51</v>
      </c>
      <c r="D14" s="361"/>
      <c r="E14" s="362"/>
      <c r="F14" s="362"/>
      <c r="G14" s="362"/>
      <c r="H14" s="156"/>
      <c r="I14" s="156">
        <v>5.962445</v>
      </c>
      <c r="J14" s="363">
        <v>0.0</v>
      </c>
      <c r="K14" s="45" t="e">
        <f>VLOOKUP($C14,#REF!,9,0)</f>
        <v>#REF!</v>
      </c>
      <c r="L14" s="48">
        <f>IF(J14&gt;K14,0,K14-J14)</f>
        <v>0</v>
      </c>
      <c r="M14" s="44" t="e">
        <f>J14+L14-K14</f>
        <v>#REF!</v>
      </c>
      <c r="N14" s="45" t="e">
        <f>VLOOKUP($C14,#REF!,9,0)</f>
        <v>#REF!</v>
      </c>
      <c r="O14" s="48" t="e">
        <f>IF(M14&gt;N14,0,N14-M14)</f>
        <v>#REF!</v>
      </c>
      <c r="P14" s="44" t="e">
        <f>M14+O14-N14</f>
        <v>#REF!</v>
      </c>
      <c r="Q14" s="45" t="e">
        <f>VLOOKUP($C14,#REF!,15,0)</f>
        <v>#REF!</v>
      </c>
      <c r="R14" s="46" t="e">
        <f>IF(P14&gt;Q14,0,Q14-P14)</f>
        <v>#REF!</v>
      </c>
      <c r="S14" s="47" t="e">
        <f>P14+R14-Q14</f>
        <v>#REF!</v>
      </c>
      <c r="T14" s="45" t="e">
        <f>VLOOKUP($C14,#REF!,21,0)</f>
        <v>#REF!</v>
      </c>
      <c r="U14" s="48" t="e">
        <f>IF(S14&gt;T14,0,T14-S14)</f>
        <v>#REF!</v>
      </c>
      <c r="V14" s="44" t="e">
        <f>S14+U14-T14</f>
        <v>#REF!</v>
      </c>
      <c r="W14" s="45" t="e">
        <f>VLOOKUP($C14,#REF!,27,0)</f>
        <v>#REF!</v>
      </c>
      <c r="X14" s="46" t="e">
        <f>IF(V14&gt;W14,0,W14-V14)</f>
        <v>#REF!</v>
      </c>
      <c r="Y14" s="44" t="e">
        <f>V14+X14-W14</f>
        <v>#REF!</v>
      </c>
      <c r="Z14" s="45" t="e">
        <f>VLOOKUP($C14,#REF!,33,0)</f>
        <v>#REF!</v>
      </c>
      <c r="AA14" s="46" t="e">
        <f>IF(Y14&gt;Z14,0,Z14-Y14)</f>
        <v>#REF!</v>
      </c>
      <c r="AB14" s="44" t="e">
        <f>Y14+AA14-Z14</f>
        <v>#REF!</v>
      </c>
      <c r="AC14" s="45" t="e">
        <f>VLOOKUP($C14,#REF!,39,0)</f>
        <v>#REF!</v>
      </c>
      <c r="AD14" s="46" t="e">
        <f>IF(AB14&gt;AC14,0,AC14-AB14)</f>
        <v>#REF!</v>
      </c>
      <c r="AE14" s="237"/>
      <c r="AG14" s="171">
        <f>J14*F14</f>
        <v>0</v>
      </c>
      <c r="AH14" s="172" t="e">
        <f>K14*F14</f>
        <v>#REF!</v>
      </c>
      <c r="AI14" s="173">
        <f>L14*F14</f>
        <v>0</v>
      </c>
      <c r="AJ14" s="174" t="e">
        <f>M14*F14</f>
        <v>#REF!</v>
      </c>
      <c r="AK14" s="172" t="e">
        <f>N14*F14</f>
        <v>#REF!</v>
      </c>
      <c r="AL14" s="173" t="e">
        <f>O14*F14</f>
        <v>#REF!</v>
      </c>
      <c r="AM14" s="174" t="e">
        <f>P14*F14</f>
        <v>#REF!</v>
      </c>
      <c r="AN14" s="172" t="e">
        <f>Q14*F14</f>
        <v>#REF!</v>
      </c>
      <c r="AO14" s="173" t="e">
        <f>R14*F14</f>
        <v>#REF!</v>
      </c>
      <c r="AP14" s="174" t="e">
        <f>S14*F14</f>
        <v>#REF!</v>
      </c>
      <c r="AQ14" s="172" t="e">
        <f>T14*F14</f>
        <v>#REF!</v>
      </c>
      <c r="AR14" s="173" t="e">
        <f>U14*F14</f>
        <v>#REF!</v>
      </c>
      <c r="AS14" s="174" t="e">
        <f>V14*F14</f>
        <v>#REF!</v>
      </c>
      <c r="AT14" s="172" t="e">
        <f>W14*F14</f>
        <v>#REF!</v>
      </c>
      <c r="AU14" s="173" t="e">
        <f>X14*F14</f>
        <v>#REF!</v>
      </c>
      <c r="AV14" s="174" t="e">
        <f>Y14*F14</f>
        <v>#REF!</v>
      </c>
      <c r="AW14" s="172" t="e">
        <f>Z14*F14</f>
        <v>#REF!</v>
      </c>
      <c r="AX14" s="173" t="e">
        <f>AA14*F14</f>
        <v>#REF!</v>
      </c>
      <c r="AY14" s="174" t="e">
        <f>AB14*F14</f>
        <v>#REF!</v>
      </c>
      <c r="AZ14" s="172" t="e">
        <f>AC14*F14</f>
        <v>#REF!</v>
      </c>
      <c r="BA14" s="173" t="e">
        <f>AD14*F14</f>
        <v>#REF!</v>
      </c>
    </row>
    <row r="15" spans="1:54" customHeight="1" ht="15.75" s="12" customFormat="1">
      <c r="A15" s="442"/>
      <c r="B15" s="411" t="s">
        <v>44</v>
      </c>
      <c r="C15" s="159" t="s">
        <v>52</v>
      </c>
      <c r="D15" s="361"/>
      <c r="E15" s="362"/>
      <c r="F15" s="362"/>
      <c r="G15" s="362"/>
      <c r="H15" s="156"/>
      <c r="I15" s="156">
        <v>5.9974266666667</v>
      </c>
      <c r="J15" s="363">
        <v>0.0</v>
      </c>
      <c r="K15" s="45" t="e">
        <f>VLOOKUP($C15,#REF!,9,0)</f>
        <v>#REF!</v>
      </c>
      <c r="L15" s="48">
        <f>IF(J15&gt;K15,0,K15-J15)</f>
        <v>0</v>
      </c>
      <c r="M15" s="44" t="e">
        <f>J15+L15-K15</f>
        <v>#REF!</v>
      </c>
      <c r="N15" s="45" t="e">
        <f>VLOOKUP($C15,#REF!,9,0)</f>
        <v>#REF!</v>
      </c>
      <c r="O15" s="48" t="e">
        <f>IF(M15&gt;N15,0,N15-M15)</f>
        <v>#REF!</v>
      </c>
      <c r="P15" s="44" t="e">
        <f>M15+O15-N15</f>
        <v>#REF!</v>
      </c>
      <c r="Q15" s="45" t="e">
        <f>VLOOKUP($C15,#REF!,15,0)</f>
        <v>#REF!</v>
      </c>
      <c r="R15" s="46" t="e">
        <f>IF(P15&gt;Q15,0,Q15-P15)</f>
        <v>#REF!</v>
      </c>
      <c r="S15" s="47" t="e">
        <f>P15+R15-Q15</f>
        <v>#REF!</v>
      </c>
      <c r="T15" s="45" t="e">
        <f>VLOOKUP($C15,#REF!,21,0)</f>
        <v>#REF!</v>
      </c>
      <c r="U15" s="48" t="e">
        <f>IF(S15&gt;T15,0,T15-S15)</f>
        <v>#REF!</v>
      </c>
      <c r="V15" s="44" t="e">
        <f>S15+U15-T15</f>
        <v>#REF!</v>
      </c>
      <c r="W15" s="45" t="e">
        <f>VLOOKUP($C15,#REF!,27,0)</f>
        <v>#REF!</v>
      </c>
      <c r="X15" s="46" t="e">
        <f>IF(V15&gt;W15,0,W15-V15)</f>
        <v>#REF!</v>
      </c>
      <c r="Y15" s="44" t="e">
        <f>V15+X15-W15</f>
        <v>#REF!</v>
      </c>
      <c r="Z15" s="45" t="e">
        <f>VLOOKUP($C15,#REF!,33,0)</f>
        <v>#REF!</v>
      </c>
      <c r="AA15" s="46" t="e">
        <f>IF(Y15&gt;Z15,0,Z15-Y15)</f>
        <v>#REF!</v>
      </c>
      <c r="AB15" s="44" t="e">
        <f>Y15+AA15-Z15</f>
        <v>#REF!</v>
      </c>
      <c r="AC15" s="45" t="e">
        <f>VLOOKUP($C15,#REF!,39,0)</f>
        <v>#REF!</v>
      </c>
      <c r="AD15" s="46" t="e">
        <f>IF(AB15&gt;AC15,0,AC15-AB15)</f>
        <v>#REF!</v>
      </c>
      <c r="AE15" s="237"/>
      <c r="AG15" s="171">
        <f>J15*F15</f>
        <v>0</v>
      </c>
      <c r="AH15" s="172" t="e">
        <f>K15*F15</f>
        <v>#REF!</v>
      </c>
      <c r="AI15" s="173">
        <f>L15*F15</f>
        <v>0</v>
      </c>
      <c r="AJ15" s="174" t="e">
        <f>M15*F15</f>
        <v>#REF!</v>
      </c>
      <c r="AK15" s="172" t="e">
        <f>N15*F15</f>
        <v>#REF!</v>
      </c>
      <c r="AL15" s="173" t="e">
        <f>O15*F15</f>
        <v>#REF!</v>
      </c>
      <c r="AM15" s="174" t="e">
        <f>P15*F15</f>
        <v>#REF!</v>
      </c>
      <c r="AN15" s="172" t="e">
        <f>Q15*F15</f>
        <v>#REF!</v>
      </c>
      <c r="AO15" s="173" t="e">
        <f>R15*F15</f>
        <v>#REF!</v>
      </c>
      <c r="AP15" s="174" t="e">
        <f>S15*F15</f>
        <v>#REF!</v>
      </c>
      <c r="AQ15" s="172" t="e">
        <f>T15*F15</f>
        <v>#REF!</v>
      </c>
      <c r="AR15" s="173" t="e">
        <f>U15*F15</f>
        <v>#REF!</v>
      </c>
      <c r="AS15" s="174" t="e">
        <f>V15*F15</f>
        <v>#REF!</v>
      </c>
      <c r="AT15" s="172" t="e">
        <f>W15*F15</f>
        <v>#REF!</v>
      </c>
      <c r="AU15" s="173" t="e">
        <f>X15*F15</f>
        <v>#REF!</v>
      </c>
      <c r="AV15" s="174" t="e">
        <f>Y15*F15</f>
        <v>#REF!</v>
      </c>
      <c r="AW15" s="172" t="e">
        <f>Z15*F15</f>
        <v>#REF!</v>
      </c>
      <c r="AX15" s="173" t="e">
        <f>AA15*F15</f>
        <v>#REF!</v>
      </c>
      <c r="AY15" s="174" t="e">
        <f>AB15*F15</f>
        <v>#REF!</v>
      </c>
      <c r="AZ15" s="172" t="e">
        <f>AC15*F15</f>
        <v>#REF!</v>
      </c>
      <c r="BA15" s="173" t="e">
        <f>AD15*F15</f>
        <v>#REF!</v>
      </c>
    </row>
    <row r="16" spans="1:54" customHeight="1" ht="15.75">
      <c r="A16" s="442"/>
      <c r="B16" s="411" t="s">
        <v>44</v>
      </c>
      <c r="C16" s="159" t="s">
        <v>53</v>
      </c>
      <c r="D16" s="161"/>
      <c r="E16" s="362"/>
      <c r="F16" s="362"/>
      <c r="G16" s="362"/>
      <c r="H16" s="156"/>
      <c r="I16" s="156">
        <v>5.96211</v>
      </c>
      <c r="J16" s="363">
        <v>0.0</v>
      </c>
      <c r="K16" s="45" t="e">
        <f>VLOOKUP($C16,#REF!,9,0)</f>
        <v>#REF!</v>
      </c>
      <c r="L16" s="48">
        <f>IF(J16&gt;K16,0,K16-J16)</f>
        <v>0</v>
      </c>
      <c r="M16" s="44" t="e">
        <f>J16+L16-K16</f>
        <v>#REF!</v>
      </c>
      <c r="N16" s="45" t="e">
        <f>VLOOKUP($C16,#REF!,9,0)</f>
        <v>#REF!</v>
      </c>
      <c r="O16" s="48" t="e">
        <f>IF(M16&gt;N16,0,N16-M16)</f>
        <v>#REF!</v>
      </c>
      <c r="P16" s="44" t="e">
        <f>M16+O16-N16</f>
        <v>#REF!</v>
      </c>
      <c r="Q16" s="45" t="e">
        <f>VLOOKUP($C16,#REF!,15,0)</f>
        <v>#REF!</v>
      </c>
      <c r="R16" s="46" t="e">
        <f>IF(P16&gt;Q16,0,Q16-P16)</f>
        <v>#REF!</v>
      </c>
      <c r="S16" s="47" t="e">
        <f>P16+R16-Q16</f>
        <v>#REF!</v>
      </c>
      <c r="T16" s="45" t="e">
        <f>VLOOKUP($C16,#REF!,21,0)</f>
        <v>#REF!</v>
      </c>
      <c r="U16" s="48" t="e">
        <f>IF(S16&gt;T16,0,T16-S16)</f>
        <v>#REF!</v>
      </c>
      <c r="V16" s="44" t="e">
        <f>S16+U16-T16</f>
        <v>#REF!</v>
      </c>
      <c r="W16" s="45" t="e">
        <f>VLOOKUP($C16,#REF!,27,0)</f>
        <v>#REF!</v>
      </c>
      <c r="X16" s="46" t="e">
        <f>IF(V16&gt;W16,0,W16-V16)</f>
        <v>#REF!</v>
      </c>
      <c r="Y16" s="44" t="e">
        <f>V16+X16-W16</f>
        <v>#REF!</v>
      </c>
      <c r="Z16" s="45" t="e">
        <f>VLOOKUP($C16,#REF!,33,0)</f>
        <v>#REF!</v>
      </c>
      <c r="AA16" s="46" t="e">
        <f>IF(Y16&gt;Z16,0,Z16-Y16)</f>
        <v>#REF!</v>
      </c>
      <c r="AB16" s="44" t="e">
        <f>Y16+AA16-Z16</f>
        <v>#REF!</v>
      </c>
      <c r="AC16" s="45" t="e">
        <f>VLOOKUP($C16,#REF!,39,0)</f>
        <v>#REF!</v>
      </c>
      <c r="AD16" s="46" t="e">
        <f>IF(AB16&gt;AC16,0,AC16-AB16)</f>
        <v>#REF!</v>
      </c>
      <c r="AE16" s="237"/>
      <c r="AG16" s="171">
        <f>J16*F16</f>
        <v>0</v>
      </c>
      <c r="AH16" s="172" t="e">
        <f>K16*F16</f>
        <v>#REF!</v>
      </c>
      <c r="AI16" s="173">
        <f>L16*F16</f>
        <v>0</v>
      </c>
      <c r="AJ16" s="174" t="e">
        <f>M16*F16</f>
        <v>#REF!</v>
      </c>
      <c r="AK16" s="172" t="e">
        <f>N16*F16</f>
        <v>#REF!</v>
      </c>
      <c r="AL16" s="173" t="e">
        <f>O16*F16</f>
        <v>#REF!</v>
      </c>
      <c r="AM16" s="174" t="e">
        <f>P16*F16</f>
        <v>#REF!</v>
      </c>
      <c r="AN16" s="172" t="e">
        <f>Q16*F16</f>
        <v>#REF!</v>
      </c>
      <c r="AO16" s="173" t="e">
        <f>R16*F16</f>
        <v>#REF!</v>
      </c>
      <c r="AP16" s="174" t="e">
        <f>S16*F16</f>
        <v>#REF!</v>
      </c>
      <c r="AQ16" s="172" t="e">
        <f>T16*F16</f>
        <v>#REF!</v>
      </c>
      <c r="AR16" s="173" t="e">
        <f>U16*F16</f>
        <v>#REF!</v>
      </c>
      <c r="AS16" s="174" t="e">
        <f>V16*F16</f>
        <v>#REF!</v>
      </c>
      <c r="AT16" s="172" t="e">
        <f>W16*F16</f>
        <v>#REF!</v>
      </c>
      <c r="AU16" s="173" t="e">
        <f>X16*F16</f>
        <v>#REF!</v>
      </c>
      <c r="AV16" s="174" t="e">
        <f>Y16*F16</f>
        <v>#REF!</v>
      </c>
      <c r="AW16" s="172" t="e">
        <f>Z16*F16</f>
        <v>#REF!</v>
      </c>
      <c r="AX16" s="173" t="e">
        <f>AA16*F16</f>
        <v>#REF!</v>
      </c>
      <c r="AY16" s="174" t="e">
        <f>AB16*F16</f>
        <v>#REF!</v>
      </c>
      <c r="AZ16" s="172" t="e">
        <f>AC16*F16</f>
        <v>#REF!</v>
      </c>
      <c r="BA16" s="173" t="e">
        <f>AD16*F16</f>
        <v>#REF!</v>
      </c>
    </row>
    <row r="17" spans="1:54" customHeight="1" ht="15.75" s="12" customFormat="1">
      <c r="A17" s="442"/>
      <c r="B17" s="411" t="s">
        <v>44</v>
      </c>
      <c r="C17" s="159" t="s">
        <v>54</v>
      </c>
      <c r="D17" s="361"/>
      <c r="E17" s="362"/>
      <c r="F17" s="362"/>
      <c r="G17" s="362"/>
      <c r="H17" s="156"/>
      <c r="I17" s="156">
        <v>5.8925216666667</v>
      </c>
      <c r="J17" s="363">
        <v>0.0</v>
      </c>
      <c r="K17" s="45" t="e">
        <f>VLOOKUP($C17,#REF!,9,0)</f>
        <v>#REF!</v>
      </c>
      <c r="L17" s="48">
        <f>IF(J17&gt;K17,0,K17-J17)</f>
        <v>0</v>
      </c>
      <c r="M17" s="44" t="e">
        <f>J17+L17-K17</f>
        <v>#REF!</v>
      </c>
      <c r="N17" s="45" t="e">
        <f>VLOOKUP($C17,#REF!,9,0)</f>
        <v>#REF!</v>
      </c>
      <c r="O17" s="48" t="e">
        <f>IF(M17&gt;N17,0,N17-M17)</f>
        <v>#REF!</v>
      </c>
      <c r="P17" s="44" t="e">
        <f>M17+O17-N17</f>
        <v>#REF!</v>
      </c>
      <c r="Q17" s="45" t="e">
        <f>VLOOKUP($C17,#REF!,15,0)</f>
        <v>#REF!</v>
      </c>
      <c r="R17" s="46" t="e">
        <f>IF(P17&gt;Q17,0,Q17-P17)</f>
        <v>#REF!</v>
      </c>
      <c r="S17" s="47" t="e">
        <f>P17+R17-Q17</f>
        <v>#REF!</v>
      </c>
      <c r="T17" s="45" t="e">
        <f>VLOOKUP($C17,#REF!,21,0)</f>
        <v>#REF!</v>
      </c>
      <c r="U17" s="48" t="e">
        <f>IF(S17&gt;T17,0,T17-S17)</f>
        <v>#REF!</v>
      </c>
      <c r="V17" s="44" t="e">
        <f>S17+U17-T17</f>
        <v>#REF!</v>
      </c>
      <c r="W17" s="45" t="e">
        <f>VLOOKUP($C17,#REF!,27,0)</f>
        <v>#REF!</v>
      </c>
      <c r="X17" s="46" t="e">
        <f>IF(V17&gt;W17,0,W17-V17)</f>
        <v>#REF!</v>
      </c>
      <c r="Y17" s="44" t="e">
        <f>V17+X17-W17</f>
        <v>#REF!</v>
      </c>
      <c r="Z17" s="45" t="e">
        <f>VLOOKUP($C17,#REF!,33,0)</f>
        <v>#REF!</v>
      </c>
      <c r="AA17" s="46" t="e">
        <f>IF(Y17&gt;Z17,0,Z17-Y17)</f>
        <v>#REF!</v>
      </c>
      <c r="AB17" s="44" t="e">
        <f>Y17+AA17-Z17</f>
        <v>#REF!</v>
      </c>
      <c r="AC17" s="45" t="e">
        <f>VLOOKUP($C17,#REF!,39,0)</f>
        <v>#REF!</v>
      </c>
      <c r="AD17" s="46" t="e">
        <f>IF(AB17&gt;AC17,0,AC17-AB17)</f>
        <v>#REF!</v>
      </c>
      <c r="AE17" s="237"/>
      <c r="AG17" s="171">
        <f>J17*F17</f>
        <v>0</v>
      </c>
      <c r="AH17" s="172" t="e">
        <f>K17*F17</f>
        <v>#REF!</v>
      </c>
      <c r="AI17" s="173">
        <f>L17*F17</f>
        <v>0</v>
      </c>
      <c r="AJ17" s="174" t="e">
        <f>M17*F17</f>
        <v>#REF!</v>
      </c>
      <c r="AK17" s="172" t="e">
        <f>N17*F17</f>
        <v>#REF!</v>
      </c>
      <c r="AL17" s="173" t="e">
        <f>O17*F17</f>
        <v>#REF!</v>
      </c>
      <c r="AM17" s="174" t="e">
        <f>P17*F17</f>
        <v>#REF!</v>
      </c>
      <c r="AN17" s="172" t="e">
        <f>Q17*F17</f>
        <v>#REF!</v>
      </c>
      <c r="AO17" s="173" t="e">
        <f>R17*F17</f>
        <v>#REF!</v>
      </c>
      <c r="AP17" s="174" t="e">
        <f>S17*F17</f>
        <v>#REF!</v>
      </c>
      <c r="AQ17" s="172" t="e">
        <f>T17*F17</f>
        <v>#REF!</v>
      </c>
      <c r="AR17" s="173" t="e">
        <f>U17*F17</f>
        <v>#REF!</v>
      </c>
      <c r="AS17" s="174" t="e">
        <f>V17*F17</f>
        <v>#REF!</v>
      </c>
      <c r="AT17" s="172" t="e">
        <f>W17*F17</f>
        <v>#REF!</v>
      </c>
      <c r="AU17" s="173" t="e">
        <f>X17*F17</f>
        <v>#REF!</v>
      </c>
      <c r="AV17" s="174" t="e">
        <f>Y17*F17</f>
        <v>#REF!</v>
      </c>
      <c r="AW17" s="172" t="e">
        <f>Z17*F17</f>
        <v>#REF!</v>
      </c>
      <c r="AX17" s="173" t="e">
        <f>AA17*F17</f>
        <v>#REF!</v>
      </c>
      <c r="AY17" s="174" t="e">
        <f>AB17*F17</f>
        <v>#REF!</v>
      </c>
      <c r="AZ17" s="172" t="e">
        <f>AC17*F17</f>
        <v>#REF!</v>
      </c>
      <c r="BA17" s="173" t="e">
        <f>AD17*F17</f>
        <v>#REF!</v>
      </c>
    </row>
    <row r="18" spans="1:54" customHeight="1" ht="15.75" s="12" customFormat="1">
      <c r="A18" s="442"/>
      <c r="B18" s="411" t="s">
        <v>44</v>
      </c>
      <c r="C18" s="159" t="s">
        <v>55</v>
      </c>
      <c r="D18" s="361"/>
      <c r="E18" s="362"/>
      <c r="F18" s="362"/>
      <c r="G18" s="362"/>
      <c r="H18" s="156"/>
      <c r="I18" s="28" t="e">
        <f>VLOOKUP(C18,#REF!,18,0)</f>
        <v>#REF!</v>
      </c>
      <c r="J18" s="363">
        <v>0.0</v>
      </c>
      <c r="K18" s="45" t="e">
        <f>VLOOKUP($C18,#REF!,9,0)</f>
        <v>#REF!</v>
      </c>
      <c r="L18" s="48">
        <f>IF(J18&gt;K18,0,K18-J18)</f>
        <v>0</v>
      </c>
      <c r="M18" s="44" t="e">
        <f>J18+L18-K18</f>
        <v>#REF!</v>
      </c>
      <c r="N18" s="45" t="e">
        <f>VLOOKUP($C18,#REF!,9,0)</f>
        <v>#REF!</v>
      </c>
      <c r="O18" s="48" t="e">
        <f>IF(M18&gt;N18,0,N18-M18)</f>
        <v>#REF!</v>
      </c>
      <c r="P18" s="44" t="e">
        <f>M18+O18-N18</f>
        <v>#REF!</v>
      </c>
      <c r="Q18" s="45" t="e">
        <f>VLOOKUP($C18,#REF!,15,0)</f>
        <v>#REF!</v>
      </c>
      <c r="R18" s="46" t="e">
        <f>IF(P18&gt;Q18,0,Q18-P18)</f>
        <v>#REF!</v>
      </c>
      <c r="S18" s="47" t="e">
        <f>P18+R18-Q18</f>
        <v>#REF!</v>
      </c>
      <c r="T18" s="45" t="e">
        <f>VLOOKUP($C18,#REF!,21,0)</f>
        <v>#REF!</v>
      </c>
      <c r="U18" s="48" t="e">
        <f>IF(S18&gt;T18,0,T18-S18)</f>
        <v>#REF!</v>
      </c>
      <c r="V18" s="44" t="e">
        <f>S18+U18-T18</f>
        <v>#REF!</v>
      </c>
      <c r="W18" s="45" t="e">
        <f>VLOOKUP($C18,#REF!,27,0)</f>
        <v>#REF!</v>
      </c>
      <c r="X18" s="46" t="e">
        <f>IF(V18&gt;W18,0,W18-V18)</f>
        <v>#REF!</v>
      </c>
      <c r="Y18" s="44" t="e">
        <f>V18+X18-W18</f>
        <v>#REF!</v>
      </c>
      <c r="Z18" s="45" t="e">
        <f>VLOOKUP($C18,#REF!,33,0)</f>
        <v>#REF!</v>
      </c>
      <c r="AA18" s="46" t="e">
        <f>IF(Y18&gt;Z18,0,Z18-Y18)</f>
        <v>#REF!</v>
      </c>
      <c r="AB18" s="44" t="e">
        <f>Y18+AA18-Z18</f>
        <v>#REF!</v>
      </c>
      <c r="AC18" s="45" t="e">
        <f>VLOOKUP($C18,#REF!,39,0)</f>
        <v>#REF!</v>
      </c>
      <c r="AD18" s="46" t="e">
        <f>IF(AB18&gt;AC18,0,AC18-AB18)</f>
        <v>#REF!</v>
      </c>
      <c r="AE18" s="237"/>
      <c r="AG18" s="171">
        <f>J18*F18</f>
        <v>0</v>
      </c>
      <c r="AH18" s="172" t="e">
        <f>K18*F18</f>
        <v>#REF!</v>
      </c>
      <c r="AI18" s="173">
        <f>L18*F18</f>
        <v>0</v>
      </c>
      <c r="AJ18" s="174" t="e">
        <f>M18*F18</f>
        <v>#REF!</v>
      </c>
      <c r="AK18" s="172" t="e">
        <f>N18*F18</f>
        <v>#REF!</v>
      </c>
      <c r="AL18" s="173" t="e">
        <f>O18*F18</f>
        <v>#REF!</v>
      </c>
      <c r="AM18" s="174" t="e">
        <f>P18*F18</f>
        <v>#REF!</v>
      </c>
      <c r="AN18" s="172" t="e">
        <f>Q18*F18</f>
        <v>#REF!</v>
      </c>
      <c r="AO18" s="173" t="e">
        <f>R18*F18</f>
        <v>#REF!</v>
      </c>
      <c r="AP18" s="174" t="e">
        <f>S18*F18</f>
        <v>#REF!</v>
      </c>
      <c r="AQ18" s="172" t="e">
        <f>T18*F18</f>
        <v>#REF!</v>
      </c>
      <c r="AR18" s="173" t="e">
        <f>U18*F18</f>
        <v>#REF!</v>
      </c>
      <c r="AS18" s="174" t="e">
        <f>V18*F18</f>
        <v>#REF!</v>
      </c>
      <c r="AT18" s="172" t="e">
        <f>W18*F18</f>
        <v>#REF!</v>
      </c>
      <c r="AU18" s="173" t="e">
        <f>X18*F18</f>
        <v>#REF!</v>
      </c>
      <c r="AV18" s="174" t="e">
        <f>Y18*F18</f>
        <v>#REF!</v>
      </c>
      <c r="AW18" s="172" t="e">
        <f>Z18*F18</f>
        <v>#REF!</v>
      </c>
      <c r="AX18" s="173" t="e">
        <f>AA18*F18</f>
        <v>#REF!</v>
      </c>
      <c r="AY18" s="174" t="e">
        <f>AB18*F18</f>
        <v>#REF!</v>
      </c>
      <c r="AZ18" s="172" t="e">
        <f>AC18*F18</f>
        <v>#REF!</v>
      </c>
      <c r="BA18" s="173" t="e">
        <f>AD18*F18</f>
        <v>#REF!</v>
      </c>
    </row>
    <row r="19" spans="1:54" customHeight="1" ht="15.75" s="12" customFormat="1">
      <c r="A19" s="442"/>
      <c r="B19" s="411" t="s">
        <v>44</v>
      </c>
      <c r="C19" s="159" t="s">
        <v>56</v>
      </c>
      <c r="D19" s="280"/>
      <c r="E19" s="362"/>
      <c r="F19" s="362"/>
      <c r="G19" s="362"/>
      <c r="H19" s="156"/>
      <c r="I19" s="28" t="e">
        <f>VLOOKUP(C19,#REF!,18,0)</f>
        <v>#REF!</v>
      </c>
      <c r="J19" s="363">
        <v>0.0</v>
      </c>
      <c r="K19" s="45" t="e">
        <f>VLOOKUP($C19,#REF!,9,0)</f>
        <v>#REF!</v>
      </c>
      <c r="L19" s="48">
        <f>IF(J19&gt;K19,0,K19-J19)</f>
        <v>0</v>
      </c>
      <c r="M19" s="44" t="e">
        <f>J19+L19-K19</f>
        <v>#REF!</v>
      </c>
      <c r="N19" s="45" t="e">
        <f>VLOOKUP($C19,#REF!,9,0)</f>
        <v>#REF!</v>
      </c>
      <c r="O19" s="48" t="e">
        <f>IF(M19&gt;N19,0,N19-M19)</f>
        <v>#REF!</v>
      </c>
      <c r="P19" s="44" t="e">
        <f>M19+O19-N19</f>
        <v>#REF!</v>
      </c>
      <c r="Q19" s="45" t="e">
        <f>VLOOKUP($C19,#REF!,15,0)</f>
        <v>#REF!</v>
      </c>
      <c r="R19" s="46" t="e">
        <f>IF(P19&gt;Q19,0,Q19-P19)</f>
        <v>#REF!</v>
      </c>
      <c r="S19" s="47" t="e">
        <f>P19+R19-Q19</f>
        <v>#REF!</v>
      </c>
      <c r="T19" s="45" t="e">
        <f>VLOOKUP($C19,#REF!,21,0)</f>
        <v>#REF!</v>
      </c>
      <c r="U19" s="48" t="e">
        <f>IF(S19&gt;T19,0,T19-S19)</f>
        <v>#REF!</v>
      </c>
      <c r="V19" s="44" t="e">
        <f>S19+U19-T19</f>
        <v>#REF!</v>
      </c>
      <c r="W19" s="45" t="e">
        <f>VLOOKUP($C19,#REF!,27,0)</f>
        <v>#REF!</v>
      </c>
      <c r="X19" s="46" t="e">
        <f>IF(V19&gt;W19,0,W19-V19)</f>
        <v>#REF!</v>
      </c>
      <c r="Y19" s="44" t="e">
        <f>V19+X19-W19</f>
        <v>#REF!</v>
      </c>
      <c r="Z19" s="45" t="e">
        <f>VLOOKUP($C19,#REF!,33,0)</f>
        <v>#REF!</v>
      </c>
      <c r="AA19" s="46" t="e">
        <f>IF(Y19&gt;Z19,0,Z19-Y19)</f>
        <v>#REF!</v>
      </c>
      <c r="AB19" s="44" t="e">
        <f>Y19+AA19-Z19</f>
        <v>#REF!</v>
      </c>
      <c r="AC19" s="45" t="e">
        <f>VLOOKUP($C19,#REF!,39,0)</f>
        <v>#REF!</v>
      </c>
      <c r="AD19" s="46" t="e">
        <f>IF(AB19&gt;AC19,0,AC19-AB19)</f>
        <v>#REF!</v>
      </c>
      <c r="AE19" s="237"/>
      <c r="AG19" s="171">
        <f>J19*F19</f>
        <v>0</v>
      </c>
      <c r="AH19" s="172" t="e">
        <f>K19*F19</f>
        <v>#REF!</v>
      </c>
      <c r="AI19" s="173">
        <f>L19*F19</f>
        <v>0</v>
      </c>
      <c r="AJ19" s="174" t="e">
        <f>M19*F19</f>
        <v>#REF!</v>
      </c>
      <c r="AK19" s="172" t="e">
        <f>N19*F19</f>
        <v>#REF!</v>
      </c>
      <c r="AL19" s="173" t="e">
        <f>O19*F19</f>
        <v>#REF!</v>
      </c>
      <c r="AM19" s="174" t="e">
        <f>P19*F19</f>
        <v>#REF!</v>
      </c>
      <c r="AN19" s="172" t="e">
        <f>Q19*F19</f>
        <v>#REF!</v>
      </c>
      <c r="AO19" s="173" t="e">
        <f>R19*F19</f>
        <v>#REF!</v>
      </c>
      <c r="AP19" s="174" t="e">
        <f>S19*F19</f>
        <v>#REF!</v>
      </c>
      <c r="AQ19" s="172" t="e">
        <f>T19*F19</f>
        <v>#REF!</v>
      </c>
      <c r="AR19" s="173" t="e">
        <f>U19*F19</f>
        <v>#REF!</v>
      </c>
      <c r="AS19" s="174" t="e">
        <f>V19*F19</f>
        <v>#REF!</v>
      </c>
      <c r="AT19" s="172" t="e">
        <f>W19*F19</f>
        <v>#REF!</v>
      </c>
      <c r="AU19" s="173" t="e">
        <f>X19*F19</f>
        <v>#REF!</v>
      </c>
      <c r="AV19" s="174" t="e">
        <f>Y19*F19</f>
        <v>#REF!</v>
      </c>
      <c r="AW19" s="172" t="e">
        <f>Z19*F19</f>
        <v>#REF!</v>
      </c>
      <c r="AX19" s="173" t="e">
        <f>AA19*F19</f>
        <v>#REF!</v>
      </c>
      <c r="AY19" s="174" t="e">
        <f>AB19*F19</f>
        <v>#REF!</v>
      </c>
      <c r="AZ19" s="172" t="e">
        <f>AC19*F19</f>
        <v>#REF!</v>
      </c>
      <c r="BA19" s="173" t="e">
        <f>AD19*F19</f>
        <v>#REF!</v>
      </c>
    </row>
    <row r="20" spans="1:54" customHeight="1" ht="15.75">
      <c r="A20" s="442"/>
      <c r="B20" s="411" t="s">
        <v>44</v>
      </c>
      <c r="C20" s="355" t="s">
        <v>57</v>
      </c>
      <c r="D20" s="361"/>
      <c r="E20" s="362"/>
      <c r="F20" s="362"/>
      <c r="G20" s="362"/>
      <c r="H20" s="156"/>
      <c r="I20" s="28" t="e">
        <f>VLOOKUP(C20,#REF!,18,0)</f>
        <v>#REF!</v>
      </c>
      <c r="J20" s="363">
        <v>0.0</v>
      </c>
      <c r="K20" s="45" t="e">
        <f>VLOOKUP($C20,#REF!,9,0)</f>
        <v>#REF!</v>
      </c>
      <c r="L20" s="48">
        <f>IF(J20&gt;K20,0,K20-J20)</f>
        <v>0</v>
      </c>
      <c r="M20" s="44" t="e">
        <f>J20+L20-K20</f>
        <v>#REF!</v>
      </c>
      <c r="N20" s="45" t="e">
        <f>VLOOKUP($C20,#REF!,9,0)</f>
        <v>#REF!</v>
      </c>
      <c r="O20" s="48" t="e">
        <f>IF(M20&gt;N20,0,N20-M20)</f>
        <v>#REF!</v>
      </c>
      <c r="P20" s="44" t="e">
        <f>M20+O20-N20</f>
        <v>#REF!</v>
      </c>
      <c r="Q20" s="45" t="e">
        <f>VLOOKUP($C20,#REF!,15,0)</f>
        <v>#REF!</v>
      </c>
      <c r="R20" s="46" t="e">
        <f>IF(P20&gt;Q20,0,Q20-P20)</f>
        <v>#REF!</v>
      </c>
      <c r="S20" s="47" t="e">
        <f>P20+R20-Q20</f>
        <v>#REF!</v>
      </c>
      <c r="T20" s="45" t="e">
        <f>VLOOKUP($C20,#REF!,21,0)</f>
        <v>#REF!</v>
      </c>
      <c r="U20" s="48" t="e">
        <f>IF(S20&gt;T20,0,T20-S20)</f>
        <v>#REF!</v>
      </c>
      <c r="V20" s="44" t="e">
        <f>S20+U20-T20</f>
        <v>#REF!</v>
      </c>
      <c r="W20" s="45" t="e">
        <f>VLOOKUP($C20,#REF!,27,0)</f>
        <v>#REF!</v>
      </c>
      <c r="X20" s="46" t="e">
        <f>IF(V20&gt;W20,0,W20-V20)</f>
        <v>#REF!</v>
      </c>
      <c r="Y20" s="44" t="e">
        <f>V20+X20-W20</f>
        <v>#REF!</v>
      </c>
      <c r="Z20" s="45" t="e">
        <f>VLOOKUP($C20,#REF!,33,0)</f>
        <v>#REF!</v>
      </c>
      <c r="AA20" s="46" t="e">
        <f>IF(Y20&gt;Z20,0,Z20-Y20)</f>
        <v>#REF!</v>
      </c>
      <c r="AB20" s="44" t="e">
        <f>Y20+AA20-Z20</f>
        <v>#REF!</v>
      </c>
      <c r="AC20" s="45" t="e">
        <f>VLOOKUP($C20,#REF!,39,0)</f>
        <v>#REF!</v>
      </c>
      <c r="AD20" s="46" t="e">
        <f>IF(AB20&gt;AC20,0,AC20-AB20)</f>
        <v>#REF!</v>
      </c>
      <c r="AE20" s="237"/>
      <c r="AG20" s="171">
        <f>J20*F20</f>
        <v>0</v>
      </c>
      <c r="AH20" s="172" t="e">
        <f>K20*F20</f>
        <v>#REF!</v>
      </c>
      <c r="AI20" s="173">
        <f>L20*F20</f>
        <v>0</v>
      </c>
      <c r="AJ20" s="174" t="e">
        <f>M20*F20</f>
        <v>#REF!</v>
      </c>
      <c r="AK20" s="172" t="e">
        <f>N20*F20</f>
        <v>#REF!</v>
      </c>
      <c r="AL20" s="173" t="e">
        <f>O20*F20</f>
        <v>#REF!</v>
      </c>
      <c r="AM20" s="174" t="e">
        <f>P20*F20</f>
        <v>#REF!</v>
      </c>
      <c r="AN20" s="172" t="e">
        <f>Q20*F20</f>
        <v>#REF!</v>
      </c>
      <c r="AO20" s="173" t="e">
        <f>R20*F20</f>
        <v>#REF!</v>
      </c>
      <c r="AP20" s="174" t="e">
        <f>S20*F20</f>
        <v>#REF!</v>
      </c>
      <c r="AQ20" s="172" t="e">
        <f>T20*F20</f>
        <v>#REF!</v>
      </c>
      <c r="AR20" s="173" t="e">
        <f>U20*F20</f>
        <v>#REF!</v>
      </c>
      <c r="AS20" s="174" t="e">
        <f>V20*F20</f>
        <v>#REF!</v>
      </c>
      <c r="AT20" s="172" t="e">
        <f>W20*F20</f>
        <v>#REF!</v>
      </c>
      <c r="AU20" s="173" t="e">
        <f>X20*F20</f>
        <v>#REF!</v>
      </c>
      <c r="AV20" s="174" t="e">
        <f>Y20*F20</f>
        <v>#REF!</v>
      </c>
      <c r="AW20" s="172" t="e">
        <f>Z20*F20</f>
        <v>#REF!</v>
      </c>
      <c r="AX20" s="173" t="e">
        <f>AA20*F20</f>
        <v>#REF!</v>
      </c>
      <c r="AY20" s="174" t="e">
        <f>AB20*F20</f>
        <v>#REF!</v>
      </c>
      <c r="AZ20" s="172" t="e">
        <f>AC20*F20</f>
        <v>#REF!</v>
      </c>
      <c r="BA20" s="173" t="e">
        <f>AD20*F20</f>
        <v>#REF!</v>
      </c>
    </row>
    <row r="21" spans="1:54" customHeight="1" ht="15.75">
      <c r="A21" s="442"/>
      <c r="B21" s="411" t="s">
        <v>58</v>
      </c>
      <c r="C21" s="355" t="s">
        <v>59</v>
      </c>
      <c r="D21" s="365"/>
      <c r="E21" s="362"/>
      <c r="F21" s="362"/>
      <c r="G21" s="362"/>
      <c r="H21" s="156"/>
      <c r="I21" s="28" t="e">
        <f>VLOOKUP(C21,#REF!,18,0)</f>
        <v>#REF!</v>
      </c>
      <c r="J21" s="363">
        <v>7</v>
      </c>
      <c r="K21" s="45" t="e">
        <f>VLOOKUP($C21,#REF!,9,0)</f>
        <v>#REF!</v>
      </c>
      <c r="L21" s="48">
        <f>IF(J21&gt;K21,0,K21-J21)</f>
        <v>0</v>
      </c>
      <c r="M21" s="44" t="e">
        <f>J21+L21-K21</f>
        <v>#REF!</v>
      </c>
      <c r="N21" s="45" t="e">
        <f>VLOOKUP($C21,#REF!,9,0)</f>
        <v>#REF!</v>
      </c>
      <c r="O21" s="48" t="e">
        <f>IF(M21&gt;N21,0,N21-M21)</f>
        <v>#REF!</v>
      </c>
      <c r="P21" s="44" t="e">
        <f>M21+O21-N21</f>
        <v>#REF!</v>
      </c>
      <c r="Q21" s="45" t="e">
        <f>VLOOKUP($C21,#REF!,15,0)</f>
        <v>#REF!</v>
      </c>
      <c r="R21" s="46" t="e">
        <f>IF(P21&gt;Q21,0,Q21-P21)</f>
        <v>#REF!</v>
      </c>
      <c r="S21" s="47" t="e">
        <f>P21+R21-Q21</f>
        <v>#REF!</v>
      </c>
      <c r="T21" s="45" t="e">
        <f>VLOOKUP($C21,#REF!,21,0)</f>
        <v>#REF!</v>
      </c>
      <c r="U21" s="48" t="e">
        <f>IF(S21&gt;T21,0,T21-S21)</f>
        <v>#REF!</v>
      </c>
      <c r="V21" s="44" t="e">
        <f>S21+U21-T21</f>
        <v>#REF!</v>
      </c>
      <c r="W21" s="45" t="e">
        <f>VLOOKUP($C21,#REF!,27,0)</f>
        <v>#REF!</v>
      </c>
      <c r="X21" s="46" t="e">
        <f>IF(V21&gt;W21,0,W21-V21)</f>
        <v>#REF!</v>
      </c>
      <c r="Y21" s="44" t="e">
        <f>V21+X21-W21</f>
        <v>#REF!</v>
      </c>
      <c r="Z21" s="45" t="e">
        <f>VLOOKUP($C21,#REF!,33,0)</f>
        <v>#REF!</v>
      </c>
      <c r="AA21" s="46" t="e">
        <f>IF(Y21&gt;Z21,0,Z21-Y21)</f>
        <v>#REF!</v>
      </c>
      <c r="AB21" s="44" t="e">
        <f>Y21+AA21-Z21</f>
        <v>#REF!</v>
      </c>
      <c r="AC21" s="45" t="e">
        <f>VLOOKUP($C21,#REF!,39,0)</f>
        <v>#REF!</v>
      </c>
      <c r="AD21" s="46" t="e">
        <f>IF(AB21&gt;AC21,0,AC21-AB21)</f>
        <v>#REF!</v>
      </c>
      <c r="AE21" s="237"/>
      <c r="AG21" s="171">
        <f>J21*F21</f>
        <v>0</v>
      </c>
      <c r="AH21" s="172" t="e">
        <f>K21*F21</f>
        <v>#REF!</v>
      </c>
      <c r="AI21" s="173">
        <f>L21*F21</f>
        <v>0</v>
      </c>
      <c r="AJ21" s="174" t="e">
        <f>M21*F21</f>
        <v>#REF!</v>
      </c>
      <c r="AK21" s="172" t="e">
        <f>N21*F21</f>
        <v>#REF!</v>
      </c>
      <c r="AL21" s="173" t="e">
        <f>O21*F21</f>
        <v>#REF!</v>
      </c>
      <c r="AM21" s="174" t="e">
        <f>P21*F21</f>
        <v>#REF!</v>
      </c>
      <c r="AN21" s="172" t="e">
        <f>Q21*F21</f>
        <v>#REF!</v>
      </c>
      <c r="AO21" s="173" t="e">
        <f>R21*F21</f>
        <v>#REF!</v>
      </c>
      <c r="AP21" s="174" t="e">
        <f>S21*F21</f>
        <v>#REF!</v>
      </c>
      <c r="AQ21" s="172" t="e">
        <f>T21*F21</f>
        <v>#REF!</v>
      </c>
      <c r="AR21" s="173" t="e">
        <f>U21*F21</f>
        <v>#REF!</v>
      </c>
      <c r="AS21" s="174" t="e">
        <f>V21*F21</f>
        <v>#REF!</v>
      </c>
      <c r="AT21" s="172" t="e">
        <f>W21*F21</f>
        <v>#REF!</v>
      </c>
      <c r="AU21" s="173" t="e">
        <f>X21*F21</f>
        <v>#REF!</v>
      </c>
      <c r="AV21" s="174" t="e">
        <f>Y21*F21</f>
        <v>#REF!</v>
      </c>
      <c r="AW21" s="172" t="e">
        <f>Z21*F21</f>
        <v>#REF!</v>
      </c>
      <c r="AX21" s="173" t="e">
        <f>AA21*F21</f>
        <v>#REF!</v>
      </c>
      <c r="AY21" s="174" t="e">
        <f>AB21*F21</f>
        <v>#REF!</v>
      </c>
      <c r="AZ21" s="172" t="e">
        <f>AC21*F21</f>
        <v>#REF!</v>
      </c>
      <c r="BA21" s="173" t="e">
        <f>AD21*F21</f>
        <v>#REF!</v>
      </c>
    </row>
    <row r="22" spans="1:54" customHeight="1" ht="15.75">
      <c r="A22" s="442"/>
      <c r="B22" s="411" t="s">
        <v>58</v>
      </c>
      <c r="C22" s="159" t="s">
        <v>60</v>
      </c>
      <c r="D22" s="361"/>
      <c r="E22" s="362"/>
      <c r="F22" s="362"/>
      <c r="G22" s="362"/>
      <c r="H22" s="156"/>
      <c r="I22" s="28" t="e">
        <f>VLOOKUP(C22,#REF!,18,0)</f>
        <v>#REF!</v>
      </c>
      <c r="J22" s="363">
        <v>0.0</v>
      </c>
      <c r="K22" s="45" t="e">
        <f>VLOOKUP($C22,#REF!,9,0)</f>
        <v>#REF!</v>
      </c>
      <c r="L22" s="48">
        <f>IF(J22&gt;K22,0,K22-J22)</f>
        <v>0</v>
      </c>
      <c r="M22" s="44" t="e">
        <f>J22+L22-K22</f>
        <v>#REF!</v>
      </c>
      <c r="N22" s="45" t="e">
        <f>VLOOKUP($C22,#REF!,9,0)</f>
        <v>#REF!</v>
      </c>
      <c r="O22" s="48" t="e">
        <f>IF(M22&gt;N22,0,N22-M22)</f>
        <v>#REF!</v>
      </c>
      <c r="P22" s="44" t="e">
        <f>M22+O22-N22</f>
        <v>#REF!</v>
      </c>
      <c r="Q22" s="45" t="e">
        <f>VLOOKUP($C22,#REF!,15,0)</f>
        <v>#REF!</v>
      </c>
      <c r="R22" s="46" t="e">
        <f>IF(P22&gt;Q22,0,Q22-P22)</f>
        <v>#REF!</v>
      </c>
      <c r="S22" s="47" t="e">
        <f>P22+R22-Q22</f>
        <v>#REF!</v>
      </c>
      <c r="T22" s="45" t="e">
        <f>VLOOKUP($C22,#REF!,21,0)</f>
        <v>#REF!</v>
      </c>
      <c r="U22" s="48" t="e">
        <f>IF(S22&gt;T22,0,T22-S22)</f>
        <v>#REF!</v>
      </c>
      <c r="V22" s="44" t="e">
        <f>S22+U22-T22</f>
        <v>#REF!</v>
      </c>
      <c r="W22" s="45" t="e">
        <f>VLOOKUP($C22,#REF!,27,0)</f>
        <v>#REF!</v>
      </c>
      <c r="X22" s="46" t="e">
        <f>IF(V22&gt;W22,0,W22-V22)</f>
        <v>#REF!</v>
      </c>
      <c r="Y22" s="44" t="e">
        <f>V22+X22-W22</f>
        <v>#REF!</v>
      </c>
      <c r="Z22" s="45" t="e">
        <f>VLOOKUP($C22,#REF!,33,0)</f>
        <v>#REF!</v>
      </c>
      <c r="AA22" s="46" t="e">
        <f>IF(Y22&gt;Z22,0,Z22-Y22)</f>
        <v>#REF!</v>
      </c>
      <c r="AB22" s="44" t="e">
        <f>Y22+AA22-Z22</f>
        <v>#REF!</v>
      </c>
      <c r="AC22" s="45" t="e">
        <f>VLOOKUP($C22,#REF!,39,0)</f>
        <v>#REF!</v>
      </c>
      <c r="AD22" s="46" t="e">
        <f>IF(AB22&gt;AC22,0,AC22-AB22)</f>
        <v>#REF!</v>
      </c>
      <c r="AE22" s="237"/>
      <c r="AG22" s="171">
        <f>J22*F22</f>
        <v>0</v>
      </c>
      <c r="AH22" s="172" t="e">
        <f>K22*F22</f>
        <v>#REF!</v>
      </c>
      <c r="AI22" s="173">
        <f>L22*F22</f>
        <v>0</v>
      </c>
      <c r="AJ22" s="174" t="e">
        <f>M22*F22</f>
        <v>#REF!</v>
      </c>
      <c r="AK22" s="172" t="e">
        <f>N22*F22</f>
        <v>#REF!</v>
      </c>
      <c r="AL22" s="173" t="e">
        <f>O22*F22</f>
        <v>#REF!</v>
      </c>
      <c r="AM22" s="174" t="e">
        <f>P22*F22</f>
        <v>#REF!</v>
      </c>
      <c r="AN22" s="172" t="e">
        <f>Q22*F22</f>
        <v>#REF!</v>
      </c>
      <c r="AO22" s="173" t="e">
        <f>R22*F22</f>
        <v>#REF!</v>
      </c>
      <c r="AP22" s="174" t="e">
        <f>S22*F22</f>
        <v>#REF!</v>
      </c>
      <c r="AQ22" s="172" t="e">
        <f>T22*F22</f>
        <v>#REF!</v>
      </c>
      <c r="AR22" s="173" t="e">
        <f>U22*F22</f>
        <v>#REF!</v>
      </c>
      <c r="AS22" s="174" t="e">
        <f>V22*F22</f>
        <v>#REF!</v>
      </c>
      <c r="AT22" s="172" t="e">
        <f>W22*F22</f>
        <v>#REF!</v>
      </c>
      <c r="AU22" s="173" t="e">
        <f>X22*F22</f>
        <v>#REF!</v>
      </c>
      <c r="AV22" s="174" t="e">
        <f>Y22*F22</f>
        <v>#REF!</v>
      </c>
      <c r="AW22" s="172" t="e">
        <f>Z22*F22</f>
        <v>#REF!</v>
      </c>
      <c r="AX22" s="173" t="e">
        <f>AA22*F22</f>
        <v>#REF!</v>
      </c>
      <c r="AY22" s="174" t="e">
        <f>AB22*F22</f>
        <v>#REF!</v>
      </c>
      <c r="AZ22" s="172" t="e">
        <f>AC22*F22</f>
        <v>#REF!</v>
      </c>
      <c r="BA22" s="173" t="e">
        <f>AD22*F22</f>
        <v>#REF!</v>
      </c>
    </row>
    <row r="23" spans="1:54" customHeight="1" ht="15.75">
      <c r="A23" s="442"/>
      <c r="B23" s="411" t="s">
        <v>58</v>
      </c>
      <c r="C23" s="159" t="s">
        <v>61</v>
      </c>
      <c r="D23" s="161"/>
      <c r="E23" s="362"/>
      <c r="F23" s="362"/>
      <c r="G23" s="362"/>
      <c r="H23" s="156"/>
      <c r="I23" s="28" t="e">
        <f>VLOOKUP(C23,#REF!,18,0)</f>
        <v>#REF!</v>
      </c>
      <c r="J23" s="363">
        <v>2</v>
      </c>
      <c r="K23" s="45" t="e">
        <f>VLOOKUP($C23,#REF!,9,0)</f>
        <v>#REF!</v>
      </c>
      <c r="L23" s="48">
        <f>IF(J23&gt;K23,0,K23-J23)</f>
        <v>0</v>
      </c>
      <c r="M23" s="44" t="e">
        <f>J23+L23-K23</f>
        <v>#REF!</v>
      </c>
      <c r="N23" s="45" t="e">
        <f>VLOOKUP($C23,#REF!,9,0)</f>
        <v>#REF!</v>
      </c>
      <c r="O23" s="48" t="e">
        <f>IF(M23&gt;N23,0,N23-M23)</f>
        <v>#REF!</v>
      </c>
      <c r="P23" s="44" t="e">
        <f>M23+O23-N23</f>
        <v>#REF!</v>
      </c>
      <c r="Q23" s="45" t="e">
        <f>VLOOKUP($C23,#REF!,15,0)</f>
        <v>#REF!</v>
      </c>
      <c r="R23" s="46" t="e">
        <f>IF(P23&gt;Q23,0,Q23-P23)</f>
        <v>#REF!</v>
      </c>
      <c r="S23" s="47" t="e">
        <f>P23+R23-Q23</f>
        <v>#REF!</v>
      </c>
      <c r="T23" s="45" t="e">
        <f>VLOOKUP($C23,#REF!,21,0)</f>
        <v>#REF!</v>
      </c>
      <c r="U23" s="48" t="e">
        <f>IF(S23&gt;T23,0,T23-S23)</f>
        <v>#REF!</v>
      </c>
      <c r="V23" s="44" t="e">
        <f>S23+U23-T23</f>
        <v>#REF!</v>
      </c>
      <c r="W23" s="45" t="e">
        <f>VLOOKUP($C23,#REF!,27,0)</f>
        <v>#REF!</v>
      </c>
      <c r="X23" s="46" t="e">
        <f>IF(V23&gt;W23,0,W23-V23)</f>
        <v>#REF!</v>
      </c>
      <c r="Y23" s="44" t="e">
        <f>V23+X23-W23</f>
        <v>#REF!</v>
      </c>
      <c r="Z23" s="45" t="e">
        <f>VLOOKUP($C23,#REF!,33,0)</f>
        <v>#REF!</v>
      </c>
      <c r="AA23" s="46" t="e">
        <f>IF(Y23&gt;Z23,0,Z23-Y23)</f>
        <v>#REF!</v>
      </c>
      <c r="AB23" s="44" t="e">
        <f>Y23+AA23-Z23</f>
        <v>#REF!</v>
      </c>
      <c r="AC23" s="45" t="e">
        <f>VLOOKUP($C23,#REF!,39,0)</f>
        <v>#REF!</v>
      </c>
      <c r="AD23" s="46" t="e">
        <f>IF(AB23&gt;AC23,0,AC23-AB23)</f>
        <v>#REF!</v>
      </c>
      <c r="AE23" s="237"/>
      <c r="AG23" s="171">
        <f>J23*F23</f>
        <v>0</v>
      </c>
      <c r="AH23" s="172" t="e">
        <f>K23*F23</f>
        <v>#REF!</v>
      </c>
      <c r="AI23" s="173">
        <f>L23*F23</f>
        <v>0</v>
      </c>
      <c r="AJ23" s="174" t="e">
        <f>M23*F23</f>
        <v>#REF!</v>
      </c>
      <c r="AK23" s="172" t="e">
        <f>N23*F23</f>
        <v>#REF!</v>
      </c>
      <c r="AL23" s="173" t="e">
        <f>O23*F23</f>
        <v>#REF!</v>
      </c>
      <c r="AM23" s="174" t="e">
        <f>P23*F23</f>
        <v>#REF!</v>
      </c>
      <c r="AN23" s="172" t="e">
        <f>Q23*F23</f>
        <v>#REF!</v>
      </c>
      <c r="AO23" s="173" t="e">
        <f>R23*F23</f>
        <v>#REF!</v>
      </c>
      <c r="AP23" s="174" t="e">
        <f>S23*F23</f>
        <v>#REF!</v>
      </c>
      <c r="AQ23" s="172" t="e">
        <f>T23*F23</f>
        <v>#REF!</v>
      </c>
      <c r="AR23" s="173" t="e">
        <f>U23*F23</f>
        <v>#REF!</v>
      </c>
      <c r="AS23" s="174" t="e">
        <f>V23*F23</f>
        <v>#REF!</v>
      </c>
      <c r="AT23" s="172" t="e">
        <f>W23*F23</f>
        <v>#REF!</v>
      </c>
      <c r="AU23" s="173" t="e">
        <f>X23*F23</f>
        <v>#REF!</v>
      </c>
      <c r="AV23" s="174" t="e">
        <f>Y23*F23</f>
        <v>#REF!</v>
      </c>
      <c r="AW23" s="172" t="e">
        <f>Z23*F23</f>
        <v>#REF!</v>
      </c>
      <c r="AX23" s="173" t="e">
        <f>AA23*F23</f>
        <v>#REF!</v>
      </c>
      <c r="AY23" s="174" t="e">
        <f>AB23*F23</f>
        <v>#REF!</v>
      </c>
      <c r="AZ23" s="172" t="e">
        <f>AC23*F23</f>
        <v>#REF!</v>
      </c>
      <c r="BA23" s="173" t="e">
        <f>AD23*F23</f>
        <v>#REF!</v>
      </c>
    </row>
    <row r="24" spans="1:54" customHeight="1" ht="15.75" s="12" customFormat="1">
      <c r="A24" s="442"/>
      <c r="B24" s="411" t="s">
        <v>58</v>
      </c>
      <c r="C24" s="159" t="s">
        <v>62</v>
      </c>
      <c r="D24" s="361"/>
      <c r="E24" s="362"/>
      <c r="F24" s="362"/>
      <c r="G24" s="362"/>
      <c r="H24" s="156"/>
      <c r="I24" s="28" t="e">
        <f>VLOOKUP(C24,#REF!,18,0)</f>
        <v>#REF!</v>
      </c>
      <c r="J24" s="363">
        <v>0.0</v>
      </c>
      <c r="K24" s="45" t="e">
        <f>VLOOKUP($C24,#REF!,9,0)</f>
        <v>#REF!</v>
      </c>
      <c r="L24" s="48">
        <f>IF(J24&gt;K24,0,K24-J24)</f>
        <v>0</v>
      </c>
      <c r="M24" s="44" t="e">
        <f>J24+L24-K24</f>
        <v>#REF!</v>
      </c>
      <c r="N24" s="45" t="e">
        <f>VLOOKUP($C24,#REF!,9,0)</f>
        <v>#REF!</v>
      </c>
      <c r="O24" s="48" t="e">
        <f>IF(M24&gt;N24,0,N24-M24)</f>
        <v>#REF!</v>
      </c>
      <c r="P24" s="44" t="e">
        <f>M24+O24-N24</f>
        <v>#REF!</v>
      </c>
      <c r="Q24" s="45" t="e">
        <f>VLOOKUP($C24,#REF!,15,0)</f>
        <v>#REF!</v>
      </c>
      <c r="R24" s="46" t="e">
        <f>IF(P24&gt;Q24,0,Q24-P24)</f>
        <v>#REF!</v>
      </c>
      <c r="S24" s="47" t="e">
        <f>P24+R24-Q24</f>
        <v>#REF!</v>
      </c>
      <c r="T24" s="45" t="e">
        <f>VLOOKUP($C24,#REF!,21,0)</f>
        <v>#REF!</v>
      </c>
      <c r="U24" s="48" t="e">
        <f>IF(S24&gt;T24,0,T24-S24)</f>
        <v>#REF!</v>
      </c>
      <c r="V24" s="44" t="e">
        <f>S24+U24-T24</f>
        <v>#REF!</v>
      </c>
      <c r="W24" s="45" t="e">
        <f>VLOOKUP($C24,#REF!,27,0)</f>
        <v>#REF!</v>
      </c>
      <c r="X24" s="46" t="e">
        <f>IF(V24&gt;W24,0,W24-V24)</f>
        <v>#REF!</v>
      </c>
      <c r="Y24" s="44" t="e">
        <f>V24+X24-W24</f>
        <v>#REF!</v>
      </c>
      <c r="Z24" s="45" t="e">
        <f>VLOOKUP($C24,#REF!,33,0)</f>
        <v>#REF!</v>
      </c>
      <c r="AA24" s="46" t="e">
        <f>IF(Y24&gt;Z24,0,Z24-Y24)</f>
        <v>#REF!</v>
      </c>
      <c r="AB24" s="44" t="e">
        <f>Y24+AA24-Z24</f>
        <v>#REF!</v>
      </c>
      <c r="AC24" s="45" t="e">
        <f>VLOOKUP($C24,#REF!,39,0)</f>
        <v>#REF!</v>
      </c>
      <c r="AD24" s="46" t="e">
        <f>IF(AB24&gt;AC24,0,AC24-AB24)</f>
        <v>#REF!</v>
      </c>
      <c r="AE24" s="237"/>
      <c r="AG24" s="171">
        <f>J24*F24</f>
        <v>0</v>
      </c>
      <c r="AH24" s="172" t="e">
        <f>K24*F24</f>
        <v>#REF!</v>
      </c>
      <c r="AI24" s="173">
        <f>L24*F24</f>
        <v>0</v>
      </c>
      <c r="AJ24" s="174" t="e">
        <f>M24*F24</f>
        <v>#REF!</v>
      </c>
      <c r="AK24" s="172" t="e">
        <f>N24*F24</f>
        <v>#REF!</v>
      </c>
      <c r="AL24" s="173" t="e">
        <f>O24*F24</f>
        <v>#REF!</v>
      </c>
      <c r="AM24" s="174" t="e">
        <f>P24*F24</f>
        <v>#REF!</v>
      </c>
      <c r="AN24" s="172" t="e">
        <f>Q24*F24</f>
        <v>#REF!</v>
      </c>
      <c r="AO24" s="173" t="e">
        <f>R24*F24</f>
        <v>#REF!</v>
      </c>
      <c r="AP24" s="174" t="e">
        <f>S24*F24</f>
        <v>#REF!</v>
      </c>
      <c r="AQ24" s="172" t="e">
        <f>T24*F24</f>
        <v>#REF!</v>
      </c>
      <c r="AR24" s="173" t="e">
        <f>U24*F24</f>
        <v>#REF!</v>
      </c>
      <c r="AS24" s="174" t="e">
        <f>V24*F24</f>
        <v>#REF!</v>
      </c>
      <c r="AT24" s="172" t="e">
        <f>W24*F24</f>
        <v>#REF!</v>
      </c>
      <c r="AU24" s="173" t="e">
        <f>X24*F24</f>
        <v>#REF!</v>
      </c>
      <c r="AV24" s="174" t="e">
        <f>Y24*F24</f>
        <v>#REF!</v>
      </c>
      <c r="AW24" s="172" t="e">
        <f>Z24*F24</f>
        <v>#REF!</v>
      </c>
      <c r="AX24" s="173" t="e">
        <f>AA24*F24</f>
        <v>#REF!</v>
      </c>
      <c r="AY24" s="174" t="e">
        <f>AB24*F24</f>
        <v>#REF!</v>
      </c>
      <c r="AZ24" s="172" t="e">
        <f>AC24*F24</f>
        <v>#REF!</v>
      </c>
      <c r="BA24" s="173" t="e">
        <f>AD24*F24</f>
        <v>#REF!</v>
      </c>
    </row>
    <row r="25" spans="1:54" customHeight="1" ht="15.75" s="12" customFormat="1">
      <c r="A25" s="442"/>
      <c r="B25" s="411" t="s">
        <v>48</v>
      </c>
      <c r="C25" s="159" t="s">
        <v>63</v>
      </c>
      <c r="D25" s="361"/>
      <c r="E25" s="362"/>
      <c r="F25" s="362"/>
      <c r="G25" s="362"/>
      <c r="H25" s="156"/>
      <c r="I25" s="28" t="e">
        <f>VLOOKUP(C25,#REF!,18,0)</f>
        <v>#REF!</v>
      </c>
      <c r="J25" s="363">
        <v>0.0</v>
      </c>
      <c r="K25" s="45" t="e">
        <f>VLOOKUP($C25,#REF!,9,0)</f>
        <v>#REF!</v>
      </c>
      <c r="L25" s="48">
        <f>IF(J25&gt;K25,0,K25-J25)</f>
        <v>0</v>
      </c>
      <c r="M25" s="44" t="e">
        <f>J25+L25-K25</f>
        <v>#REF!</v>
      </c>
      <c r="N25" s="45" t="e">
        <f>VLOOKUP($C25,#REF!,9,0)</f>
        <v>#REF!</v>
      </c>
      <c r="O25" s="48" t="e">
        <f>IF(M25&gt;N25,0,N25-M25)</f>
        <v>#REF!</v>
      </c>
      <c r="P25" s="44" t="e">
        <f>M25+O25-N25</f>
        <v>#REF!</v>
      </c>
      <c r="Q25" s="45" t="e">
        <f>VLOOKUP($C25,#REF!,15,0)</f>
        <v>#REF!</v>
      </c>
      <c r="R25" s="46" t="e">
        <f>IF(P25&gt;Q25,0,Q25-P25)</f>
        <v>#REF!</v>
      </c>
      <c r="S25" s="47" t="e">
        <f>P25+R25-Q25</f>
        <v>#REF!</v>
      </c>
      <c r="T25" s="45" t="e">
        <f>VLOOKUP($C25,#REF!,21,0)</f>
        <v>#REF!</v>
      </c>
      <c r="U25" s="48" t="e">
        <f>IF(S25&gt;T25,0,T25-S25)</f>
        <v>#REF!</v>
      </c>
      <c r="V25" s="44" t="e">
        <f>S25+U25-T25</f>
        <v>#REF!</v>
      </c>
      <c r="W25" s="45" t="e">
        <f>VLOOKUP($C25,#REF!,27,0)</f>
        <v>#REF!</v>
      </c>
      <c r="X25" s="46" t="e">
        <f>IF(V25&gt;W25,0,W25-V25)</f>
        <v>#REF!</v>
      </c>
      <c r="Y25" s="44" t="e">
        <f>V25+X25-W25</f>
        <v>#REF!</v>
      </c>
      <c r="Z25" s="45" t="e">
        <f>VLOOKUP($C25,#REF!,33,0)</f>
        <v>#REF!</v>
      </c>
      <c r="AA25" s="46" t="e">
        <f>IF(Y25&gt;Z25,0,Z25-Y25)</f>
        <v>#REF!</v>
      </c>
      <c r="AB25" s="44" t="e">
        <f>Y25+AA25-Z25</f>
        <v>#REF!</v>
      </c>
      <c r="AC25" s="45" t="e">
        <f>VLOOKUP($C25,#REF!,39,0)</f>
        <v>#REF!</v>
      </c>
      <c r="AD25" s="46" t="e">
        <f>IF(AB25&gt;AC25,0,AC25-AB25)</f>
        <v>#REF!</v>
      </c>
      <c r="AE25" s="237"/>
      <c r="AG25" s="171">
        <f>J25*F25</f>
        <v>0</v>
      </c>
      <c r="AH25" s="172" t="e">
        <f>K25*F25</f>
        <v>#REF!</v>
      </c>
      <c r="AI25" s="173">
        <f>L25*F25</f>
        <v>0</v>
      </c>
      <c r="AJ25" s="174" t="e">
        <f>M25*F25</f>
        <v>#REF!</v>
      </c>
      <c r="AK25" s="172" t="e">
        <f>N25*F25</f>
        <v>#REF!</v>
      </c>
      <c r="AL25" s="173" t="e">
        <f>O25*F25</f>
        <v>#REF!</v>
      </c>
      <c r="AM25" s="174" t="e">
        <f>P25*F25</f>
        <v>#REF!</v>
      </c>
      <c r="AN25" s="172" t="e">
        <f>Q25*F25</f>
        <v>#REF!</v>
      </c>
      <c r="AO25" s="173" t="e">
        <f>R25*F25</f>
        <v>#REF!</v>
      </c>
      <c r="AP25" s="174" t="e">
        <f>S25*F25</f>
        <v>#REF!</v>
      </c>
      <c r="AQ25" s="172" t="e">
        <f>T25*F25</f>
        <v>#REF!</v>
      </c>
      <c r="AR25" s="173" t="e">
        <f>U25*F25</f>
        <v>#REF!</v>
      </c>
      <c r="AS25" s="174" t="e">
        <f>V25*F25</f>
        <v>#REF!</v>
      </c>
      <c r="AT25" s="172" t="e">
        <f>W25*F25</f>
        <v>#REF!</v>
      </c>
      <c r="AU25" s="173" t="e">
        <f>X25*F25</f>
        <v>#REF!</v>
      </c>
      <c r="AV25" s="174" t="e">
        <f>Y25*F25</f>
        <v>#REF!</v>
      </c>
      <c r="AW25" s="172" t="e">
        <f>Z25*F25</f>
        <v>#REF!</v>
      </c>
      <c r="AX25" s="173" t="e">
        <f>AA25*F25</f>
        <v>#REF!</v>
      </c>
      <c r="AY25" s="174" t="e">
        <f>AB25*F25</f>
        <v>#REF!</v>
      </c>
      <c r="AZ25" s="172" t="e">
        <f>AC25*F25</f>
        <v>#REF!</v>
      </c>
      <c r="BA25" s="173" t="e">
        <f>AD25*F25</f>
        <v>#REF!</v>
      </c>
    </row>
    <row r="26" spans="1:54" customHeight="1" ht="15.75">
      <c r="A26" s="442"/>
      <c r="B26" s="411" t="s">
        <v>44</v>
      </c>
      <c r="C26" s="159" t="s">
        <v>64</v>
      </c>
      <c r="D26" s="280"/>
      <c r="E26" s="362"/>
      <c r="F26" s="362"/>
      <c r="G26" s="362"/>
      <c r="H26" s="156"/>
      <c r="I26" s="28" t="e">
        <f>VLOOKUP(C26,#REF!,18,0)</f>
        <v>#REF!</v>
      </c>
      <c r="J26" s="363">
        <v>0.0</v>
      </c>
      <c r="K26" s="45" t="e">
        <f>VLOOKUP($C26,#REF!,9,0)</f>
        <v>#REF!</v>
      </c>
      <c r="L26" s="48">
        <f>IF(J26&gt;K26,0,K26-J26)</f>
        <v>0</v>
      </c>
      <c r="M26" s="44" t="e">
        <f>J26+L26-K26</f>
        <v>#REF!</v>
      </c>
      <c r="N26" s="45" t="e">
        <f>VLOOKUP($C26,#REF!,9,0)</f>
        <v>#REF!</v>
      </c>
      <c r="O26" s="48" t="e">
        <f>IF(M26&gt;N26,0,N26-M26)</f>
        <v>#REF!</v>
      </c>
      <c r="P26" s="44" t="e">
        <f>M26+O26-N26</f>
        <v>#REF!</v>
      </c>
      <c r="Q26" s="45" t="e">
        <f>VLOOKUP($C26,#REF!,15,0)</f>
        <v>#REF!</v>
      </c>
      <c r="R26" s="46" t="e">
        <f>IF(P26&gt;Q26,0,Q26-P26)</f>
        <v>#REF!</v>
      </c>
      <c r="S26" s="47" t="e">
        <f>P26+R26-Q26</f>
        <v>#REF!</v>
      </c>
      <c r="T26" s="45" t="e">
        <f>VLOOKUP($C26,#REF!,21,0)</f>
        <v>#REF!</v>
      </c>
      <c r="U26" s="48" t="e">
        <f>IF(S26&gt;T26,0,T26-S26)</f>
        <v>#REF!</v>
      </c>
      <c r="V26" s="44" t="e">
        <f>S26+U26-T26</f>
        <v>#REF!</v>
      </c>
      <c r="W26" s="45" t="e">
        <f>VLOOKUP($C26,#REF!,27,0)</f>
        <v>#REF!</v>
      </c>
      <c r="X26" s="46" t="e">
        <f>IF(V26&gt;W26,0,W26-V26)</f>
        <v>#REF!</v>
      </c>
      <c r="Y26" s="44" t="e">
        <f>V26+X26-W26</f>
        <v>#REF!</v>
      </c>
      <c r="Z26" s="45" t="e">
        <f>VLOOKUP($C26,#REF!,33,0)</f>
        <v>#REF!</v>
      </c>
      <c r="AA26" s="46" t="e">
        <f>IF(Y26&gt;Z26,0,Z26-Y26)</f>
        <v>#REF!</v>
      </c>
      <c r="AB26" s="44" t="e">
        <f>Y26+AA26-Z26</f>
        <v>#REF!</v>
      </c>
      <c r="AC26" s="45" t="e">
        <f>VLOOKUP($C26,#REF!,39,0)</f>
        <v>#REF!</v>
      </c>
      <c r="AD26" s="46" t="e">
        <f>IF(AB26&gt;AC26,0,AC26-AB26)</f>
        <v>#REF!</v>
      </c>
      <c r="AE26" s="237"/>
      <c r="AG26" s="171">
        <f>J26*F26</f>
        <v>0</v>
      </c>
      <c r="AH26" s="172" t="e">
        <f>K26*F26</f>
        <v>#REF!</v>
      </c>
      <c r="AI26" s="173">
        <f>L26*F26</f>
        <v>0</v>
      </c>
      <c r="AJ26" s="174" t="e">
        <f>M26*F26</f>
        <v>#REF!</v>
      </c>
      <c r="AK26" s="172" t="e">
        <f>N26*F26</f>
        <v>#REF!</v>
      </c>
      <c r="AL26" s="173" t="e">
        <f>O26*F26</f>
        <v>#REF!</v>
      </c>
      <c r="AM26" s="174" t="e">
        <f>P26*F26</f>
        <v>#REF!</v>
      </c>
      <c r="AN26" s="172" t="e">
        <f>Q26*F26</f>
        <v>#REF!</v>
      </c>
      <c r="AO26" s="173" t="e">
        <f>R26*F26</f>
        <v>#REF!</v>
      </c>
      <c r="AP26" s="174" t="e">
        <f>S26*F26</f>
        <v>#REF!</v>
      </c>
      <c r="AQ26" s="172" t="e">
        <f>T26*F26</f>
        <v>#REF!</v>
      </c>
      <c r="AR26" s="173" t="e">
        <f>U26*F26</f>
        <v>#REF!</v>
      </c>
      <c r="AS26" s="174" t="e">
        <f>V26*F26</f>
        <v>#REF!</v>
      </c>
      <c r="AT26" s="172" t="e">
        <f>W26*F26</f>
        <v>#REF!</v>
      </c>
      <c r="AU26" s="173" t="e">
        <f>X26*F26</f>
        <v>#REF!</v>
      </c>
      <c r="AV26" s="174" t="e">
        <f>Y26*F26</f>
        <v>#REF!</v>
      </c>
      <c r="AW26" s="172" t="e">
        <f>Z26*F26</f>
        <v>#REF!</v>
      </c>
      <c r="AX26" s="173" t="e">
        <f>AA26*F26</f>
        <v>#REF!</v>
      </c>
      <c r="AY26" s="174" t="e">
        <f>AB26*F26</f>
        <v>#REF!</v>
      </c>
      <c r="AZ26" s="172" t="e">
        <f>AC26*F26</f>
        <v>#REF!</v>
      </c>
      <c r="BA26" s="173" t="e">
        <f>AD26*F26</f>
        <v>#REF!</v>
      </c>
    </row>
    <row r="27" spans="1:54" customHeight="1" ht="15.75" s="12" customFormat="1">
      <c r="A27" s="442"/>
      <c r="B27" s="411" t="s">
        <v>58</v>
      </c>
      <c r="C27" s="159" t="s">
        <v>65</v>
      </c>
      <c r="D27" s="280"/>
      <c r="E27" s="362"/>
      <c r="F27" s="362"/>
      <c r="G27" s="362"/>
      <c r="H27" s="156"/>
      <c r="I27" s="28" t="e">
        <f>VLOOKUP(C27,#REF!,18,0)</f>
        <v>#REF!</v>
      </c>
      <c r="J27" s="363">
        <v>0.0</v>
      </c>
      <c r="K27" s="45" t="e">
        <f>VLOOKUP($C27,#REF!,9,0)</f>
        <v>#REF!</v>
      </c>
      <c r="L27" s="48">
        <f>IF(J27&gt;K27,0,K27-J27)</f>
        <v>0</v>
      </c>
      <c r="M27" s="44" t="e">
        <f>J27+L27-K27</f>
        <v>#REF!</v>
      </c>
      <c r="N27" s="45" t="e">
        <f>VLOOKUP($C27,#REF!,9,0)</f>
        <v>#REF!</v>
      </c>
      <c r="O27" s="48" t="e">
        <f>IF(M27&gt;N27,0,N27-M27)</f>
        <v>#REF!</v>
      </c>
      <c r="P27" s="44" t="e">
        <f>M27+O27-N27</f>
        <v>#REF!</v>
      </c>
      <c r="Q27" s="45" t="e">
        <f>VLOOKUP($C27,#REF!,15,0)</f>
        <v>#REF!</v>
      </c>
      <c r="R27" s="46" t="e">
        <f>IF(P27&gt;Q27,0,Q27-P27)</f>
        <v>#REF!</v>
      </c>
      <c r="S27" s="47" t="e">
        <f>P27+R27-Q27</f>
        <v>#REF!</v>
      </c>
      <c r="T27" s="45" t="e">
        <f>VLOOKUP($C27,#REF!,21,0)</f>
        <v>#REF!</v>
      </c>
      <c r="U27" s="48" t="e">
        <f>IF(S27&gt;T27,0,T27-S27)</f>
        <v>#REF!</v>
      </c>
      <c r="V27" s="44" t="e">
        <f>S27+U27-T27</f>
        <v>#REF!</v>
      </c>
      <c r="W27" s="45" t="e">
        <f>VLOOKUP($C27,#REF!,27,0)</f>
        <v>#REF!</v>
      </c>
      <c r="X27" s="46" t="e">
        <f>IF(V27&gt;W27,0,W27-V27)</f>
        <v>#REF!</v>
      </c>
      <c r="Y27" s="44" t="e">
        <f>V27+X27-W27</f>
        <v>#REF!</v>
      </c>
      <c r="Z27" s="45" t="e">
        <f>VLOOKUP($C27,#REF!,33,0)</f>
        <v>#REF!</v>
      </c>
      <c r="AA27" s="46" t="e">
        <f>IF(Y27&gt;Z27,0,Z27-Y27)</f>
        <v>#REF!</v>
      </c>
      <c r="AB27" s="44" t="e">
        <f>Y27+AA27-Z27</f>
        <v>#REF!</v>
      </c>
      <c r="AC27" s="45" t="e">
        <f>VLOOKUP($C27,#REF!,39,0)</f>
        <v>#REF!</v>
      </c>
      <c r="AD27" s="46" t="e">
        <f>IF(AB27&gt;AC27,0,AC27-AB27)</f>
        <v>#REF!</v>
      </c>
      <c r="AE27" s="237"/>
      <c r="AG27" s="171">
        <f>J27*F27</f>
        <v>0</v>
      </c>
      <c r="AH27" s="172" t="e">
        <f>K27*F27</f>
        <v>#REF!</v>
      </c>
      <c r="AI27" s="173">
        <f>L27*F27</f>
        <v>0</v>
      </c>
      <c r="AJ27" s="174" t="e">
        <f>M27*F27</f>
        <v>#REF!</v>
      </c>
      <c r="AK27" s="172" t="e">
        <f>N27*F27</f>
        <v>#REF!</v>
      </c>
      <c r="AL27" s="173" t="e">
        <f>O27*F27</f>
        <v>#REF!</v>
      </c>
      <c r="AM27" s="174" t="e">
        <f>P27*F27</f>
        <v>#REF!</v>
      </c>
      <c r="AN27" s="172" t="e">
        <f>Q27*F27</f>
        <v>#REF!</v>
      </c>
      <c r="AO27" s="173" t="e">
        <f>R27*F27</f>
        <v>#REF!</v>
      </c>
      <c r="AP27" s="174" t="e">
        <f>S27*F27</f>
        <v>#REF!</v>
      </c>
      <c r="AQ27" s="172" t="e">
        <f>T27*F27</f>
        <v>#REF!</v>
      </c>
      <c r="AR27" s="173" t="e">
        <f>U27*F27</f>
        <v>#REF!</v>
      </c>
      <c r="AS27" s="174" t="e">
        <f>V27*F27</f>
        <v>#REF!</v>
      </c>
      <c r="AT27" s="172" t="e">
        <f>W27*F27</f>
        <v>#REF!</v>
      </c>
      <c r="AU27" s="173" t="e">
        <f>X27*F27</f>
        <v>#REF!</v>
      </c>
      <c r="AV27" s="174" t="e">
        <f>Y27*F27</f>
        <v>#REF!</v>
      </c>
      <c r="AW27" s="172" t="e">
        <f>Z27*F27</f>
        <v>#REF!</v>
      </c>
      <c r="AX27" s="173" t="e">
        <f>AA27*F27</f>
        <v>#REF!</v>
      </c>
      <c r="AY27" s="174" t="e">
        <f>AB27*F27</f>
        <v>#REF!</v>
      </c>
      <c r="AZ27" s="172" t="e">
        <f>AC27*F27</f>
        <v>#REF!</v>
      </c>
      <c r="BA27" s="173" t="e">
        <f>AD27*F27</f>
        <v>#REF!</v>
      </c>
    </row>
    <row r="28" spans="1:54" customHeight="1" ht="15.75" hidden="true" s="12" customFormat="1">
      <c r="A28" s="442"/>
      <c r="B28" s="411"/>
      <c r="C28" s="159"/>
      <c r="D28" s="280"/>
      <c r="E28" s="362"/>
      <c r="F28" s="362"/>
      <c r="G28" s="362"/>
      <c r="H28" s="156"/>
      <c r="I28" s="28" t="e">
        <f>VLOOKUP(C28,#REF!,18,0)</f>
        <v>#REF!</v>
      </c>
      <c r="J28" s="363"/>
      <c r="K28" s="51"/>
      <c r="L28" s="48">
        <f>IF(J28&gt;K28,0,K28-J28)</f>
        <v>0</v>
      </c>
      <c r="M28" s="363"/>
      <c r="N28" s="51"/>
      <c r="O28" s="48">
        <f>IF(M28&gt;N28,0,N28-M28)</f>
        <v>0</v>
      </c>
      <c r="P28" s="363"/>
      <c r="Q28" s="51"/>
      <c r="R28" s="46">
        <f>IF(P28&gt;Q28,0,Q28-P28)</f>
        <v>0</v>
      </c>
      <c r="S28" s="364"/>
      <c r="T28" s="51"/>
      <c r="U28" s="48">
        <f>IF(S28&gt;T28,0,T28-S28)</f>
        <v>0</v>
      </c>
      <c r="V28" s="363"/>
      <c r="W28" s="51"/>
      <c r="X28" s="46">
        <f>IF(V28&gt;W28,0,W28-V28)</f>
        <v>0</v>
      </c>
      <c r="Y28" s="363"/>
      <c r="Z28" s="51"/>
      <c r="AA28" s="52"/>
      <c r="AB28" s="363"/>
      <c r="AC28" s="51"/>
      <c r="AD28" s="52"/>
      <c r="AE28" s="237"/>
      <c r="AG28" s="171">
        <f>J28*F28</f>
        <v>0</v>
      </c>
      <c r="AH28" s="172">
        <f>K28*F28</f>
        <v>0</v>
      </c>
      <c r="AI28" s="173">
        <f>L28*F28</f>
        <v>0</v>
      </c>
      <c r="AJ28" s="174">
        <f>M28*F28</f>
        <v>0</v>
      </c>
      <c r="AK28" s="172">
        <f>N28*F28</f>
        <v>0</v>
      </c>
      <c r="AL28" s="173">
        <f>O28*F28</f>
        <v>0</v>
      </c>
      <c r="AM28" s="174">
        <f>P28*F28</f>
        <v>0</v>
      </c>
      <c r="AN28" s="172">
        <f>Q28*F28</f>
        <v>0</v>
      </c>
      <c r="AO28" s="173">
        <f>R28*F28</f>
        <v>0</v>
      </c>
      <c r="AP28" s="174">
        <f>S28*F28</f>
        <v>0</v>
      </c>
      <c r="AQ28" s="172">
        <f>T28*F28</f>
        <v>0</v>
      </c>
      <c r="AR28" s="173">
        <f>U28*F28</f>
        <v>0</v>
      </c>
      <c r="AS28" s="174">
        <f>V28*F28</f>
        <v>0</v>
      </c>
      <c r="AT28" s="172">
        <f>W28*F28</f>
        <v>0</v>
      </c>
      <c r="AU28" s="173">
        <f>X28*F28</f>
        <v>0</v>
      </c>
      <c r="AV28" s="174">
        <f>Y28*F28</f>
        <v>0</v>
      </c>
      <c r="AW28" s="172">
        <f>Z28*F28</f>
        <v>0</v>
      </c>
      <c r="AX28" s="173">
        <f>AA28*F28</f>
        <v>0</v>
      </c>
      <c r="AY28" s="174">
        <f>AB28*F28</f>
        <v>0</v>
      </c>
      <c r="AZ28" s="172">
        <f>AC28*F28</f>
        <v>0</v>
      </c>
      <c r="BA28" s="173">
        <f>AD28*F28</f>
        <v>0</v>
      </c>
    </row>
    <row r="29" spans="1:54" customHeight="1" ht="15.75" hidden="true" s="12" customFormat="1">
      <c r="A29" s="442"/>
      <c r="B29" s="411"/>
      <c r="C29" s="159"/>
      <c r="D29" s="280"/>
      <c r="E29" s="362"/>
      <c r="F29" s="362"/>
      <c r="G29" s="362"/>
      <c r="H29" s="156"/>
      <c r="I29" s="28" t="e">
        <f>VLOOKUP(C29,#REF!,18,0)</f>
        <v>#REF!</v>
      </c>
      <c r="J29" s="363"/>
      <c r="K29" s="51"/>
      <c r="L29" s="48">
        <f>IF(J29&gt;K29,0,K29-J29)</f>
        <v>0</v>
      </c>
      <c r="M29" s="363"/>
      <c r="N29" s="51"/>
      <c r="O29" s="48">
        <f>IF(M29&gt;N29,0,N29-M29)</f>
        <v>0</v>
      </c>
      <c r="P29" s="363"/>
      <c r="Q29" s="51"/>
      <c r="R29" s="46">
        <f>IF(P29&gt;Q29,0,Q29-P29)</f>
        <v>0</v>
      </c>
      <c r="S29" s="364"/>
      <c r="T29" s="51"/>
      <c r="U29" s="48">
        <f>IF(S29&gt;T29,0,T29-S29)</f>
        <v>0</v>
      </c>
      <c r="V29" s="363"/>
      <c r="W29" s="51"/>
      <c r="X29" s="46">
        <f>IF(V29&gt;W29,0,W29-V29)</f>
        <v>0</v>
      </c>
      <c r="Y29" s="363"/>
      <c r="Z29" s="51"/>
      <c r="AA29" s="52"/>
      <c r="AB29" s="363"/>
      <c r="AC29" s="51"/>
      <c r="AD29" s="52"/>
      <c r="AE29" s="237"/>
      <c r="AG29" s="171">
        <f>J29*F29</f>
        <v>0</v>
      </c>
      <c r="AH29" s="172">
        <f>K29*F29</f>
        <v>0</v>
      </c>
      <c r="AI29" s="173">
        <f>L29*F29</f>
        <v>0</v>
      </c>
      <c r="AJ29" s="174">
        <f>M29*F29</f>
        <v>0</v>
      </c>
      <c r="AK29" s="172">
        <f>N29*F29</f>
        <v>0</v>
      </c>
      <c r="AL29" s="173">
        <f>O29*F29</f>
        <v>0</v>
      </c>
      <c r="AM29" s="174">
        <f>P29*F29</f>
        <v>0</v>
      </c>
      <c r="AN29" s="172">
        <f>Q29*F29</f>
        <v>0</v>
      </c>
      <c r="AO29" s="173">
        <f>R29*F29</f>
        <v>0</v>
      </c>
      <c r="AP29" s="174">
        <f>S29*F29</f>
        <v>0</v>
      </c>
      <c r="AQ29" s="172">
        <f>T29*F29</f>
        <v>0</v>
      </c>
      <c r="AR29" s="173">
        <f>U29*F29</f>
        <v>0</v>
      </c>
      <c r="AS29" s="174">
        <f>V29*F29</f>
        <v>0</v>
      </c>
      <c r="AT29" s="172">
        <f>W29*F29</f>
        <v>0</v>
      </c>
      <c r="AU29" s="173">
        <f>X29*F29</f>
        <v>0</v>
      </c>
      <c r="AV29" s="174">
        <f>Y29*F29</f>
        <v>0</v>
      </c>
      <c r="AW29" s="172">
        <f>Z29*F29</f>
        <v>0</v>
      </c>
      <c r="AX29" s="173">
        <f>AA29*F29</f>
        <v>0</v>
      </c>
      <c r="AY29" s="174">
        <f>AB29*F29</f>
        <v>0</v>
      </c>
      <c r="AZ29" s="172">
        <f>AC29*F29</f>
        <v>0</v>
      </c>
      <c r="BA29" s="173">
        <f>AD29*F29</f>
        <v>0</v>
      </c>
    </row>
    <row r="30" spans="1:54" customHeight="1" ht="15.75" hidden="true" s="12" customFormat="1">
      <c r="A30" s="442"/>
      <c r="B30" s="411"/>
      <c r="C30" s="159"/>
      <c r="D30" s="385"/>
      <c r="E30" s="362"/>
      <c r="F30" s="362"/>
      <c r="G30" s="362"/>
      <c r="H30" s="156"/>
      <c r="I30" s="28" t="e">
        <f>VLOOKUP(C30,#REF!,18,0)</f>
        <v>#REF!</v>
      </c>
      <c r="J30" s="363"/>
      <c r="K30" s="51"/>
      <c r="L30" s="48">
        <f>IF(J30&gt;K30,0,K30-J30)</f>
        <v>0</v>
      </c>
      <c r="M30" s="363"/>
      <c r="N30" s="51"/>
      <c r="O30" s="48">
        <f>IF(M30&gt;N30,0,N30-M30)</f>
        <v>0</v>
      </c>
      <c r="P30" s="363"/>
      <c r="Q30" s="51"/>
      <c r="R30" s="46">
        <f>IF(P30&gt;Q30,0,Q30-P30)</f>
        <v>0</v>
      </c>
      <c r="S30" s="364"/>
      <c r="T30" s="51"/>
      <c r="U30" s="48">
        <f>IF(S30&gt;T30,0,T30-S30)</f>
        <v>0</v>
      </c>
      <c r="V30" s="363"/>
      <c r="W30" s="51"/>
      <c r="X30" s="46">
        <f>IF(V30&gt;W30,0,W30-V30)</f>
        <v>0</v>
      </c>
      <c r="Y30" s="363"/>
      <c r="Z30" s="51"/>
      <c r="AA30" s="52"/>
      <c r="AB30" s="363"/>
      <c r="AC30" s="51"/>
      <c r="AD30" s="52"/>
      <c r="AE30" s="237"/>
      <c r="AG30" s="171">
        <f>J30*F30</f>
        <v>0</v>
      </c>
      <c r="AH30" s="172">
        <f>K30*F30</f>
        <v>0</v>
      </c>
      <c r="AI30" s="173">
        <f>L30*F30</f>
        <v>0</v>
      </c>
      <c r="AJ30" s="174">
        <f>M30*F30</f>
        <v>0</v>
      </c>
      <c r="AK30" s="172">
        <f>N30*F30</f>
        <v>0</v>
      </c>
      <c r="AL30" s="173">
        <f>O30*F30</f>
        <v>0</v>
      </c>
      <c r="AM30" s="174">
        <f>P30*F30</f>
        <v>0</v>
      </c>
      <c r="AN30" s="172">
        <f>Q30*F30</f>
        <v>0</v>
      </c>
      <c r="AO30" s="173">
        <f>R30*F30</f>
        <v>0</v>
      </c>
      <c r="AP30" s="174">
        <f>S30*F30</f>
        <v>0</v>
      </c>
      <c r="AQ30" s="172">
        <f>T30*F30</f>
        <v>0</v>
      </c>
      <c r="AR30" s="173">
        <f>U30*F30</f>
        <v>0</v>
      </c>
      <c r="AS30" s="174">
        <f>V30*F30</f>
        <v>0</v>
      </c>
      <c r="AT30" s="172">
        <f>W30*F30</f>
        <v>0</v>
      </c>
      <c r="AU30" s="173">
        <f>X30*F30</f>
        <v>0</v>
      </c>
      <c r="AV30" s="174">
        <f>Y30*F30</f>
        <v>0</v>
      </c>
      <c r="AW30" s="172">
        <f>Z30*F30</f>
        <v>0</v>
      </c>
      <c r="AX30" s="173">
        <f>AA30*F30</f>
        <v>0</v>
      </c>
      <c r="AY30" s="174">
        <f>AB30*F30</f>
        <v>0</v>
      </c>
      <c r="AZ30" s="172">
        <f>AC30*F30</f>
        <v>0</v>
      </c>
      <c r="BA30" s="173">
        <f>AD30*F30</f>
        <v>0</v>
      </c>
    </row>
    <row r="31" spans="1:54" customHeight="1" ht="15.75" hidden="true" s="12" customFormat="1">
      <c r="A31" s="442"/>
      <c r="B31" s="411"/>
      <c r="C31" s="159"/>
      <c r="D31" s="386"/>
      <c r="E31" s="362"/>
      <c r="F31" s="362"/>
      <c r="G31" s="362"/>
      <c r="H31" s="156"/>
      <c r="I31" s="28" t="e">
        <f>VLOOKUP(C31,#REF!,18,0)</f>
        <v>#REF!</v>
      </c>
      <c r="J31" s="363"/>
      <c r="K31" s="51"/>
      <c r="L31" s="48">
        <f>IF(J31&gt;K31,0,K31-J31)</f>
        <v>0</v>
      </c>
      <c r="M31" s="363"/>
      <c r="N31" s="51"/>
      <c r="O31" s="48">
        <f>IF(M31&gt;N31,0,N31-M31)</f>
        <v>0</v>
      </c>
      <c r="P31" s="363"/>
      <c r="Q31" s="51"/>
      <c r="R31" s="46">
        <f>IF(P31&gt;Q31,0,Q31-P31)</f>
        <v>0</v>
      </c>
      <c r="S31" s="364"/>
      <c r="T31" s="51"/>
      <c r="U31" s="48">
        <f>IF(S31&gt;T31,0,T31-S31)</f>
        <v>0</v>
      </c>
      <c r="V31" s="363"/>
      <c r="W31" s="51"/>
      <c r="X31" s="46">
        <f>IF(V31&gt;W31,0,W31-V31)</f>
        <v>0</v>
      </c>
      <c r="Y31" s="363"/>
      <c r="Z31" s="51"/>
      <c r="AA31" s="52"/>
      <c r="AB31" s="363"/>
      <c r="AC31" s="51"/>
      <c r="AD31" s="52"/>
      <c r="AE31" s="237"/>
      <c r="AG31" s="171">
        <f>J31*F31</f>
        <v>0</v>
      </c>
      <c r="AH31" s="172">
        <f>K31*F31</f>
        <v>0</v>
      </c>
      <c r="AI31" s="173">
        <f>L31*F31</f>
        <v>0</v>
      </c>
      <c r="AJ31" s="174">
        <f>M31*F31</f>
        <v>0</v>
      </c>
      <c r="AK31" s="172">
        <f>N31*F31</f>
        <v>0</v>
      </c>
      <c r="AL31" s="173">
        <f>O31*F31</f>
        <v>0</v>
      </c>
      <c r="AM31" s="174">
        <f>P31*F31</f>
        <v>0</v>
      </c>
      <c r="AN31" s="172">
        <f>Q31*F31</f>
        <v>0</v>
      </c>
      <c r="AO31" s="173">
        <f>R31*F31</f>
        <v>0</v>
      </c>
      <c r="AP31" s="174">
        <f>S31*F31</f>
        <v>0</v>
      </c>
      <c r="AQ31" s="172">
        <f>T31*F31</f>
        <v>0</v>
      </c>
      <c r="AR31" s="173">
        <f>U31*F31</f>
        <v>0</v>
      </c>
      <c r="AS31" s="174">
        <f>V31*F31</f>
        <v>0</v>
      </c>
      <c r="AT31" s="172">
        <f>W31*F31</f>
        <v>0</v>
      </c>
      <c r="AU31" s="173">
        <f>X31*F31</f>
        <v>0</v>
      </c>
      <c r="AV31" s="174">
        <f>Y31*F31</f>
        <v>0</v>
      </c>
      <c r="AW31" s="172">
        <f>Z31*F31</f>
        <v>0</v>
      </c>
      <c r="AX31" s="173">
        <f>AA31*F31</f>
        <v>0</v>
      </c>
      <c r="AY31" s="174">
        <f>AB31*F31</f>
        <v>0</v>
      </c>
      <c r="AZ31" s="172">
        <f>AC31*F31</f>
        <v>0</v>
      </c>
      <c r="BA31" s="173">
        <f>AD31*F31</f>
        <v>0</v>
      </c>
    </row>
    <row r="32" spans="1:54" customHeight="1" ht="15.75" hidden="true">
      <c r="A32" s="442"/>
      <c r="B32" s="411"/>
      <c r="C32" s="159"/>
      <c r="D32" s="365"/>
      <c r="E32" s="362"/>
      <c r="F32" s="362"/>
      <c r="G32" s="362"/>
      <c r="H32" s="156"/>
      <c r="I32" s="28" t="e">
        <f>VLOOKUP(C32,#REF!,18,0)</f>
        <v>#REF!</v>
      </c>
      <c r="J32" s="363"/>
      <c r="K32" s="51"/>
      <c r="L32" s="48">
        <f>IF(J32&gt;K32,0,K32-J32)</f>
        <v>0</v>
      </c>
      <c r="M32" s="363"/>
      <c r="N32" s="51"/>
      <c r="O32" s="48">
        <f>IF(M32&gt;N32,0,N32-M32)</f>
        <v>0</v>
      </c>
      <c r="P32" s="363"/>
      <c r="Q32" s="51"/>
      <c r="R32" s="46">
        <f>IF(P32&gt;Q32,0,Q32-P32)</f>
        <v>0</v>
      </c>
      <c r="S32" s="364"/>
      <c r="T32" s="51"/>
      <c r="U32" s="48">
        <f>IF(S32&gt;T32,0,T32-S32)</f>
        <v>0</v>
      </c>
      <c r="V32" s="363"/>
      <c r="W32" s="51"/>
      <c r="X32" s="46">
        <f>IF(V32&gt;W32,0,W32-V32)</f>
        <v>0</v>
      </c>
      <c r="Y32" s="363"/>
      <c r="Z32" s="51"/>
      <c r="AA32" s="52"/>
      <c r="AB32" s="363"/>
      <c r="AC32" s="51"/>
      <c r="AD32" s="52"/>
      <c r="AE32" s="237"/>
      <c r="AG32" s="171">
        <f>J32*F32</f>
        <v>0</v>
      </c>
      <c r="AH32" s="172">
        <f>K32*F32</f>
        <v>0</v>
      </c>
      <c r="AI32" s="173">
        <f>L32*F32</f>
        <v>0</v>
      </c>
      <c r="AJ32" s="174">
        <f>M32*F32</f>
        <v>0</v>
      </c>
      <c r="AK32" s="172">
        <f>N32*F32</f>
        <v>0</v>
      </c>
      <c r="AL32" s="173">
        <f>O32*F32</f>
        <v>0</v>
      </c>
      <c r="AM32" s="174">
        <f>P32*F32</f>
        <v>0</v>
      </c>
      <c r="AN32" s="172">
        <f>Q32*F32</f>
        <v>0</v>
      </c>
      <c r="AO32" s="173">
        <f>R32*F32</f>
        <v>0</v>
      </c>
      <c r="AP32" s="174">
        <f>S32*F32</f>
        <v>0</v>
      </c>
      <c r="AQ32" s="172">
        <f>T32*F32</f>
        <v>0</v>
      </c>
      <c r="AR32" s="173">
        <f>U32*F32</f>
        <v>0</v>
      </c>
      <c r="AS32" s="174">
        <f>V32*F32</f>
        <v>0</v>
      </c>
      <c r="AT32" s="172">
        <f>W32*F32</f>
        <v>0</v>
      </c>
      <c r="AU32" s="173">
        <f>X32*F32</f>
        <v>0</v>
      </c>
      <c r="AV32" s="174">
        <f>Y32*F32</f>
        <v>0</v>
      </c>
      <c r="AW32" s="172">
        <f>Z32*F32</f>
        <v>0</v>
      </c>
      <c r="AX32" s="173">
        <f>AA32*F32</f>
        <v>0</v>
      </c>
      <c r="AY32" s="174">
        <f>AB32*F32</f>
        <v>0</v>
      </c>
      <c r="AZ32" s="172">
        <f>AC32*F32</f>
        <v>0</v>
      </c>
      <c r="BA32" s="173">
        <f>AD32*F32</f>
        <v>0</v>
      </c>
    </row>
    <row r="33" spans="1:54" customHeight="1" ht="15.75" hidden="true">
      <c r="A33" s="442"/>
      <c r="B33" s="411"/>
      <c r="C33" s="159"/>
      <c r="D33" s="161"/>
      <c r="E33" s="362"/>
      <c r="F33" s="362"/>
      <c r="G33" s="362"/>
      <c r="H33" s="156"/>
      <c r="I33" s="28" t="e">
        <f>VLOOKUP(C33,#REF!,18,0)</f>
        <v>#REF!</v>
      </c>
      <c r="J33" s="363"/>
      <c r="K33" s="51"/>
      <c r="L33" s="48">
        <f>IF(J33&gt;K33,0,K33-J33)</f>
        <v>0</v>
      </c>
      <c r="M33" s="363"/>
      <c r="N33" s="51"/>
      <c r="O33" s="48">
        <f>IF(M33&gt;N33,0,N33-M33)</f>
        <v>0</v>
      </c>
      <c r="P33" s="363"/>
      <c r="Q33" s="51"/>
      <c r="R33" s="46">
        <f>IF(P33&gt;Q33,0,Q33-P33)</f>
        <v>0</v>
      </c>
      <c r="S33" s="364"/>
      <c r="T33" s="51"/>
      <c r="U33" s="48">
        <f>IF(S33&gt;T33,0,T33-S33)</f>
        <v>0</v>
      </c>
      <c r="V33" s="363"/>
      <c r="W33" s="51"/>
      <c r="X33" s="46">
        <f>IF(V33&gt;W33,0,W33-V33)</f>
        <v>0</v>
      </c>
      <c r="Y33" s="363"/>
      <c r="Z33" s="51"/>
      <c r="AA33" s="52"/>
      <c r="AB33" s="363"/>
      <c r="AC33" s="51"/>
      <c r="AD33" s="52"/>
      <c r="AE33" s="237"/>
      <c r="AG33" s="171">
        <f>J33*F33</f>
        <v>0</v>
      </c>
      <c r="AH33" s="172">
        <f>K33*F33</f>
        <v>0</v>
      </c>
      <c r="AI33" s="173">
        <f>L33*F33</f>
        <v>0</v>
      </c>
      <c r="AJ33" s="174">
        <f>M33*F33</f>
        <v>0</v>
      </c>
      <c r="AK33" s="172">
        <f>N33*F33</f>
        <v>0</v>
      </c>
      <c r="AL33" s="173">
        <f>O33*F33</f>
        <v>0</v>
      </c>
      <c r="AM33" s="174">
        <f>P33*F33</f>
        <v>0</v>
      </c>
      <c r="AN33" s="172">
        <f>Q33*F33</f>
        <v>0</v>
      </c>
      <c r="AO33" s="173">
        <f>R33*F33</f>
        <v>0</v>
      </c>
      <c r="AP33" s="174">
        <f>S33*F33</f>
        <v>0</v>
      </c>
      <c r="AQ33" s="172">
        <f>T33*F33</f>
        <v>0</v>
      </c>
      <c r="AR33" s="173">
        <f>U33*F33</f>
        <v>0</v>
      </c>
      <c r="AS33" s="174">
        <f>V33*F33</f>
        <v>0</v>
      </c>
      <c r="AT33" s="172">
        <f>W33*F33</f>
        <v>0</v>
      </c>
      <c r="AU33" s="173">
        <f>X33*F33</f>
        <v>0</v>
      </c>
      <c r="AV33" s="174">
        <f>Y33*F33</f>
        <v>0</v>
      </c>
      <c r="AW33" s="172">
        <f>Z33*F33</f>
        <v>0</v>
      </c>
      <c r="AX33" s="173">
        <f>AA33*F33</f>
        <v>0</v>
      </c>
      <c r="AY33" s="174">
        <f>AB33*F33</f>
        <v>0</v>
      </c>
      <c r="AZ33" s="172">
        <f>AC33*F33</f>
        <v>0</v>
      </c>
      <c r="BA33" s="173">
        <f>AD33*F33</f>
        <v>0</v>
      </c>
    </row>
    <row r="34" spans="1:54" customHeight="1" ht="15.75" hidden="true">
      <c r="A34" s="442"/>
      <c r="B34" s="413"/>
      <c r="C34" s="159"/>
      <c r="D34" s="361"/>
      <c r="E34" s="362"/>
      <c r="F34" s="362"/>
      <c r="G34" s="362"/>
      <c r="H34" s="156"/>
      <c r="I34" s="28" t="e">
        <f>VLOOKUP(C34,#REF!,18,0)</f>
        <v>#REF!</v>
      </c>
      <c r="J34" s="363"/>
      <c r="K34" s="51"/>
      <c r="L34" s="48">
        <f>IF(J34&gt;K34,0,K34-J34)</f>
        <v>0</v>
      </c>
      <c r="M34" s="363"/>
      <c r="N34" s="51"/>
      <c r="O34" s="48">
        <f>IF(M34&gt;N34,0,N34-M34)</f>
        <v>0</v>
      </c>
      <c r="P34" s="363"/>
      <c r="Q34" s="51"/>
      <c r="R34" s="46">
        <f>IF(P34&gt;Q34,0,Q34-P34)</f>
        <v>0</v>
      </c>
      <c r="S34" s="364"/>
      <c r="T34" s="51"/>
      <c r="U34" s="48">
        <f>IF(S34&gt;T34,0,T34-S34)</f>
        <v>0</v>
      </c>
      <c r="V34" s="363"/>
      <c r="W34" s="51"/>
      <c r="X34" s="46">
        <f>IF(V34&gt;W34,0,W34-V34)</f>
        <v>0</v>
      </c>
      <c r="Y34" s="363"/>
      <c r="Z34" s="51"/>
      <c r="AA34" s="52"/>
      <c r="AB34" s="363"/>
      <c r="AC34" s="51"/>
      <c r="AD34" s="52"/>
      <c r="AE34" s="237"/>
      <c r="AG34" s="171">
        <f>J34*F34</f>
        <v>0</v>
      </c>
      <c r="AH34" s="172">
        <f>K34*F34</f>
        <v>0</v>
      </c>
      <c r="AI34" s="173">
        <f>L34*F34</f>
        <v>0</v>
      </c>
      <c r="AJ34" s="174">
        <f>M34*F34</f>
        <v>0</v>
      </c>
      <c r="AK34" s="172">
        <f>N34*F34</f>
        <v>0</v>
      </c>
      <c r="AL34" s="173">
        <f>O34*F34</f>
        <v>0</v>
      </c>
      <c r="AM34" s="174">
        <f>P34*F34</f>
        <v>0</v>
      </c>
      <c r="AN34" s="172">
        <f>Q34*F34</f>
        <v>0</v>
      </c>
      <c r="AO34" s="173">
        <f>R34*F34</f>
        <v>0</v>
      </c>
      <c r="AP34" s="174">
        <f>S34*F34</f>
        <v>0</v>
      </c>
      <c r="AQ34" s="172">
        <f>T34*F34</f>
        <v>0</v>
      </c>
      <c r="AR34" s="173">
        <f>U34*F34</f>
        <v>0</v>
      </c>
      <c r="AS34" s="174">
        <f>V34*F34</f>
        <v>0</v>
      </c>
      <c r="AT34" s="172">
        <f>W34*F34</f>
        <v>0</v>
      </c>
      <c r="AU34" s="173">
        <f>X34*F34</f>
        <v>0</v>
      </c>
      <c r="AV34" s="174">
        <f>Y34*F34</f>
        <v>0</v>
      </c>
      <c r="AW34" s="172">
        <f>Z34*F34</f>
        <v>0</v>
      </c>
      <c r="AX34" s="173">
        <f>AA34*F34</f>
        <v>0</v>
      </c>
      <c r="AY34" s="174">
        <f>AB34*F34</f>
        <v>0</v>
      </c>
      <c r="AZ34" s="172">
        <f>AC34*F34</f>
        <v>0</v>
      </c>
      <c r="BA34" s="173">
        <f>AD34*F34</f>
        <v>0</v>
      </c>
    </row>
    <row r="35" spans="1:54" customHeight="1" ht="15.75" hidden="true">
      <c r="A35" s="442"/>
      <c r="B35" s="411"/>
      <c r="C35" s="159"/>
      <c r="D35" s="361"/>
      <c r="E35" s="362"/>
      <c r="F35" s="362"/>
      <c r="G35" s="362"/>
      <c r="H35" s="156"/>
      <c r="I35" s="28" t="e">
        <f>VLOOKUP(C35,#REF!,18,0)</f>
        <v>#REF!</v>
      </c>
      <c r="J35" s="363"/>
      <c r="K35" s="51"/>
      <c r="L35" s="48">
        <f>IF(J35&gt;K35,0,K35-J35)</f>
        <v>0</v>
      </c>
      <c r="M35" s="363"/>
      <c r="N35" s="51"/>
      <c r="O35" s="48">
        <f>IF(M35&gt;N35,0,N35-M35)</f>
        <v>0</v>
      </c>
      <c r="P35" s="363"/>
      <c r="Q35" s="51"/>
      <c r="R35" s="46">
        <f>IF(P35&gt;Q35,0,Q35-P35)</f>
        <v>0</v>
      </c>
      <c r="S35" s="364"/>
      <c r="T35" s="51"/>
      <c r="U35" s="48">
        <f>IF(S35&gt;T35,0,T35-S35)</f>
        <v>0</v>
      </c>
      <c r="V35" s="363"/>
      <c r="W35" s="51"/>
      <c r="X35" s="46">
        <f>IF(V35&gt;W35,0,W35-V35)</f>
        <v>0</v>
      </c>
      <c r="Y35" s="363"/>
      <c r="Z35" s="51"/>
      <c r="AA35" s="52"/>
      <c r="AB35" s="363"/>
      <c r="AC35" s="51"/>
      <c r="AD35" s="52"/>
      <c r="AE35" s="237"/>
      <c r="AG35" s="171">
        <f>J35*F35</f>
        <v>0</v>
      </c>
      <c r="AH35" s="172">
        <f>K35*F35</f>
        <v>0</v>
      </c>
      <c r="AI35" s="173">
        <f>L35*F35</f>
        <v>0</v>
      </c>
      <c r="AJ35" s="174">
        <f>M35*F35</f>
        <v>0</v>
      </c>
      <c r="AK35" s="172">
        <f>N35*F35</f>
        <v>0</v>
      </c>
      <c r="AL35" s="173">
        <f>O35*F35</f>
        <v>0</v>
      </c>
      <c r="AM35" s="174">
        <f>P35*F35</f>
        <v>0</v>
      </c>
      <c r="AN35" s="172">
        <f>Q35*F35</f>
        <v>0</v>
      </c>
      <c r="AO35" s="173">
        <f>R35*F35</f>
        <v>0</v>
      </c>
      <c r="AP35" s="174">
        <f>S35*F35</f>
        <v>0</v>
      </c>
      <c r="AQ35" s="172">
        <f>T35*F35</f>
        <v>0</v>
      </c>
      <c r="AR35" s="173">
        <f>U35*F35</f>
        <v>0</v>
      </c>
      <c r="AS35" s="174">
        <f>V35*F35</f>
        <v>0</v>
      </c>
      <c r="AT35" s="172">
        <f>W35*F35</f>
        <v>0</v>
      </c>
      <c r="AU35" s="173">
        <f>X35*F35</f>
        <v>0</v>
      </c>
      <c r="AV35" s="174">
        <f>Y35*F35</f>
        <v>0</v>
      </c>
      <c r="AW35" s="172">
        <f>Z35*F35</f>
        <v>0</v>
      </c>
      <c r="AX35" s="173">
        <f>AA35*F35</f>
        <v>0</v>
      </c>
      <c r="AY35" s="174">
        <f>AB35*F35</f>
        <v>0</v>
      </c>
      <c r="AZ35" s="172">
        <f>AC35*F35</f>
        <v>0</v>
      </c>
      <c r="BA35" s="173">
        <f>AD35*F35</f>
        <v>0</v>
      </c>
    </row>
    <row r="36" spans="1:54" customHeight="1" ht="15.75">
      <c r="A36" s="441" t="s">
        <v>66</v>
      </c>
      <c r="B36" s="411" t="s">
        <v>44</v>
      </c>
      <c r="C36" s="355" t="s">
        <v>67</v>
      </c>
      <c r="D36" s="161"/>
      <c r="E36" s="27"/>
      <c r="F36" s="27"/>
      <c r="G36" s="27"/>
      <c r="H36" s="28"/>
      <c r="I36" s="437"/>
      <c r="J36" s="44">
        <v>0.0</v>
      </c>
      <c r="K36" s="45" t="e">
        <f>VLOOKUP($C36,#REF!,9,0)</f>
        <v>#REF!</v>
      </c>
      <c r="L36" s="48">
        <f>IF(J36&gt;K36,0,K36-J36)</f>
        <v>0</v>
      </c>
      <c r="M36" s="44" t="e">
        <f>J36+L36-K36</f>
        <v>#REF!</v>
      </c>
      <c r="N36" s="45" t="e">
        <f>VLOOKUP($C36,#REF!,9,0)</f>
        <v>#REF!</v>
      </c>
      <c r="O36" s="48" t="e">
        <f>IF(M36&gt;N36,0,N36-M36)</f>
        <v>#REF!</v>
      </c>
      <c r="P36" s="44" t="e">
        <f>M36+O36-N36</f>
        <v>#REF!</v>
      </c>
      <c r="Q36" s="45" t="e">
        <f>VLOOKUP($C36,#REF!,15,0)</f>
        <v>#REF!</v>
      </c>
      <c r="R36" s="46" t="e">
        <f>IF(P36&gt;Q36,0,Q36-P36)</f>
        <v>#REF!</v>
      </c>
      <c r="S36" s="47" t="e">
        <f>P36+R36-Q36</f>
        <v>#REF!</v>
      </c>
      <c r="T36" s="45" t="e">
        <f>VLOOKUP($C36,#REF!,21,0)</f>
        <v>#REF!</v>
      </c>
      <c r="U36" s="48" t="e">
        <f>IF(S36&gt;T36,0,T36-S36)</f>
        <v>#REF!</v>
      </c>
      <c r="V36" s="44" t="e">
        <f>S36+U36-T36</f>
        <v>#REF!</v>
      </c>
      <c r="W36" s="45" t="e">
        <f>VLOOKUP($C36,#REF!,27,0)</f>
        <v>#REF!</v>
      </c>
      <c r="X36" s="46" t="e">
        <f>IF(V36&gt;W36,0,W36-V36)</f>
        <v>#REF!</v>
      </c>
      <c r="Y36" s="44" t="e">
        <f>V36+X36-W36</f>
        <v>#REF!</v>
      </c>
      <c r="Z36" s="45" t="e">
        <f>VLOOKUP($C36,#REF!,33,0)</f>
        <v>#REF!</v>
      </c>
      <c r="AA36" s="46" t="e">
        <f>IF(Y36&gt;Z36,0,Z36-Y36)</f>
        <v>#REF!</v>
      </c>
      <c r="AB36" s="44" t="e">
        <f>Y36+AA36-Z36</f>
        <v>#REF!</v>
      </c>
      <c r="AC36" s="45" t="e">
        <f>VLOOKUP($C36,#REF!,39,0)</f>
        <v>#REF!</v>
      </c>
      <c r="AD36" s="46" t="e">
        <f>IF(AB36&gt;AC36,0,AC36-AB36)</f>
        <v>#REF!</v>
      </c>
      <c r="AE36" s="237"/>
      <c r="AG36" s="171">
        <f>J36*F36</f>
        <v>0</v>
      </c>
      <c r="AH36" s="172" t="e">
        <f>K36*F36</f>
        <v>#REF!</v>
      </c>
      <c r="AI36" s="173">
        <f>L36*F36</f>
        <v>0</v>
      </c>
      <c r="AJ36" s="174" t="e">
        <f>M36*F36</f>
        <v>#REF!</v>
      </c>
      <c r="AK36" s="172" t="e">
        <f>N36*F36</f>
        <v>#REF!</v>
      </c>
      <c r="AL36" s="173" t="e">
        <f>O36*F36</f>
        <v>#REF!</v>
      </c>
      <c r="AM36" s="174" t="e">
        <f>P36*F36</f>
        <v>#REF!</v>
      </c>
      <c r="AN36" s="172" t="e">
        <f>Q36*F36</f>
        <v>#REF!</v>
      </c>
      <c r="AO36" s="173" t="e">
        <f>R36*F36</f>
        <v>#REF!</v>
      </c>
      <c r="AP36" s="174" t="e">
        <f>S36*F36</f>
        <v>#REF!</v>
      </c>
      <c r="AQ36" s="172" t="e">
        <f>T36*F36</f>
        <v>#REF!</v>
      </c>
      <c r="AR36" s="173" t="e">
        <f>U36*F36</f>
        <v>#REF!</v>
      </c>
      <c r="AS36" s="174" t="e">
        <f>V36*F36</f>
        <v>#REF!</v>
      </c>
      <c r="AT36" s="172" t="e">
        <f>W36*F36</f>
        <v>#REF!</v>
      </c>
      <c r="AU36" s="173" t="e">
        <f>X36*F36</f>
        <v>#REF!</v>
      </c>
      <c r="AV36" s="174" t="e">
        <f>Y36*F36</f>
        <v>#REF!</v>
      </c>
      <c r="AW36" s="172" t="e">
        <f>Z36*F36</f>
        <v>#REF!</v>
      </c>
      <c r="AX36" s="173" t="e">
        <f>AA36*F36</f>
        <v>#REF!</v>
      </c>
      <c r="AY36" s="174" t="e">
        <f>AB36*F36</f>
        <v>#REF!</v>
      </c>
      <c r="AZ36" s="172" t="e">
        <f>AC36*F36</f>
        <v>#REF!</v>
      </c>
      <c r="BA36" s="173" t="e">
        <f>AD36*F36</f>
        <v>#REF!</v>
      </c>
    </row>
    <row r="37" spans="1:54" customHeight="1" ht="15.75" s="12" customFormat="1">
      <c r="A37" s="442"/>
      <c r="B37" s="411" t="s">
        <v>44</v>
      </c>
      <c r="C37" s="355" t="s">
        <v>68</v>
      </c>
      <c r="D37" s="55"/>
      <c r="E37" s="27"/>
      <c r="F37" s="27"/>
      <c r="G37" s="27"/>
      <c r="H37" s="28"/>
      <c r="I37" s="437"/>
      <c r="J37" s="44">
        <v>0.0</v>
      </c>
      <c r="K37" s="45" t="e">
        <f>VLOOKUP($C37,#REF!,9,0)</f>
        <v>#REF!</v>
      </c>
      <c r="L37" s="48">
        <f>IF(J37&gt;K37,0,K37-J37)</f>
        <v>0</v>
      </c>
      <c r="M37" s="44" t="e">
        <f>J37+L37-K37</f>
        <v>#REF!</v>
      </c>
      <c r="N37" s="45" t="e">
        <f>VLOOKUP($C37,#REF!,9,0)</f>
        <v>#REF!</v>
      </c>
      <c r="O37" s="48" t="e">
        <f>IF(M37&gt;N37,0,N37-M37)</f>
        <v>#REF!</v>
      </c>
      <c r="P37" s="44" t="e">
        <f>M37+O37-N37</f>
        <v>#REF!</v>
      </c>
      <c r="Q37" s="45" t="e">
        <f>VLOOKUP($C37,#REF!,15,0)</f>
        <v>#REF!</v>
      </c>
      <c r="R37" s="46" t="e">
        <f>IF(P37&gt;Q37,0,Q37-P37)</f>
        <v>#REF!</v>
      </c>
      <c r="S37" s="47" t="e">
        <f>P37+R37-Q37</f>
        <v>#REF!</v>
      </c>
      <c r="T37" s="45" t="e">
        <f>VLOOKUP($C37,#REF!,21,0)</f>
        <v>#REF!</v>
      </c>
      <c r="U37" s="48" t="e">
        <f>IF(S37&gt;T37,0,T37-S37)</f>
        <v>#REF!</v>
      </c>
      <c r="V37" s="44" t="e">
        <f>S37+U37-T37</f>
        <v>#REF!</v>
      </c>
      <c r="W37" s="45" t="e">
        <f>VLOOKUP($C37,#REF!,27,0)</f>
        <v>#REF!</v>
      </c>
      <c r="X37" s="46" t="e">
        <f>IF(V37&gt;W37,0,W37-V37)</f>
        <v>#REF!</v>
      </c>
      <c r="Y37" s="44" t="e">
        <f>V37+X37-W37</f>
        <v>#REF!</v>
      </c>
      <c r="Z37" s="45" t="e">
        <f>VLOOKUP($C37,#REF!,33,0)</f>
        <v>#REF!</v>
      </c>
      <c r="AA37" s="46" t="e">
        <f>IF(Y37&gt;Z37,0,Z37-Y37)</f>
        <v>#REF!</v>
      </c>
      <c r="AB37" s="44" t="e">
        <f>Y37+AA37-Z37</f>
        <v>#REF!</v>
      </c>
      <c r="AC37" s="45" t="e">
        <f>VLOOKUP($C37,#REF!,39,0)</f>
        <v>#REF!</v>
      </c>
      <c r="AD37" s="46" t="e">
        <f>IF(AB37&gt;AC37,0,AC37-AB37)</f>
        <v>#REF!</v>
      </c>
      <c r="AE37" s="237"/>
      <c r="AG37" s="171">
        <f>J37*F37</f>
        <v>0</v>
      </c>
      <c r="AH37" s="172" t="e">
        <f>K37*F37</f>
        <v>#REF!</v>
      </c>
      <c r="AI37" s="173">
        <f>L37*F37</f>
        <v>0</v>
      </c>
      <c r="AJ37" s="174" t="e">
        <f>M37*F37</f>
        <v>#REF!</v>
      </c>
      <c r="AK37" s="172" t="e">
        <f>N37*F37</f>
        <v>#REF!</v>
      </c>
      <c r="AL37" s="173" t="e">
        <f>O37*F37</f>
        <v>#REF!</v>
      </c>
      <c r="AM37" s="174" t="e">
        <f>P37*F37</f>
        <v>#REF!</v>
      </c>
      <c r="AN37" s="172" t="e">
        <f>Q37*F37</f>
        <v>#REF!</v>
      </c>
      <c r="AO37" s="173" t="e">
        <f>R37*F37</f>
        <v>#REF!</v>
      </c>
      <c r="AP37" s="174" t="e">
        <f>S37*F37</f>
        <v>#REF!</v>
      </c>
      <c r="AQ37" s="172" t="e">
        <f>T37*F37</f>
        <v>#REF!</v>
      </c>
      <c r="AR37" s="173" t="e">
        <f>U37*F37</f>
        <v>#REF!</v>
      </c>
      <c r="AS37" s="174" t="e">
        <f>V37*F37</f>
        <v>#REF!</v>
      </c>
      <c r="AT37" s="172" t="e">
        <f>W37*F37</f>
        <v>#REF!</v>
      </c>
      <c r="AU37" s="173" t="e">
        <f>X37*F37</f>
        <v>#REF!</v>
      </c>
      <c r="AV37" s="174" t="e">
        <f>Y37*F37</f>
        <v>#REF!</v>
      </c>
      <c r="AW37" s="172" t="e">
        <f>Z37*F37</f>
        <v>#REF!</v>
      </c>
      <c r="AX37" s="173" t="e">
        <f>AA37*F37</f>
        <v>#REF!</v>
      </c>
      <c r="AY37" s="174" t="e">
        <f>AB37*F37</f>
        <v>#REF!</v>
      </c>
      <c r="AZ37" s="172" t="e">
        <f>AC37*F37</f>
        <v>#REF!</v>
      </c>
      <c r="BA37" s="173" t="e">
        <f>AD37*F37</f>
        <v>#REF!</v>
      </c>
    </row>
    <row r="38" spans="1:54" customHeight="1" ht="15.75" s="12" customFormat="1">
      <c r="A38" s="442"/>
      <c r="B38" s="411" t="s">
        <v>48</v>
      </c>
      <c r="C38" s="355" t="s">
        <v>69</v>
      </c>
      <c r="D38" s="55"/>
      <c r="E38" s="27"/>
      <c r="F38" s="27"/>
      <c r="G38" s="27"/>
      <c r="H38" s="28"/>
      <c r="I38" s="28" t="e">
        <f>VLOOKUP(C38,#REF!,18,0)</f>
        <v>#REF!</v>
      </c>
      <c r="J38" s="44">
        <v>0.0</v>
      </c>
      <c r="K38" s="45" t="e">
        <f>VLOOKUP($C38,#REF!,9,0)</f>
        <v>#REF!</v>
      </c>
      <c r="L38" s="48">
        <f>IF(J38&gt;K38,0,K38-J38)</f>
        <v>0</v>
      </c>
      <c r="M38" s="44" t="e">
        <f>J38+L38-K38</f>
        <v>#REF!</v>
      </c>
      <c r="N38" s="45" t="e">
        <f>VLOOKUP($C38,#REF!,9,0)</f>
        <v>#REF!</v>
      </c>
      <c r="O38" s="48" t="e">
        <f>IF(M38&gt;N38,0,N38-M38)</f>
        <v>#REF!</v>
      </c>
      <c r="P38" s="44" t="e">
        <f>M38+O38-N38</f>
        <v>#REF!</v>
      </c>
      <c r="Q38" s="45" t="e">
        <f>VLOOKUP($C38,#REF!,15,0)</f>
        <v>#REF!</v>
      </c>
      <c r="R38" s="46" t="e">
        <f>IF(P38&gt;Q38,0,Q38-P38)</f>
        <v>#REF!</v>
      </c>
      <c r="S38" s="47" t="e">
        <f>P38+R38-Q38</f>
        <v>#REF!</v>
      </c>
      <c r="T38" s="45" t="e">
        <f>VLOOKUP($C38,#REF!,21,0)</f>
        <v>#REF!</v>
      </c>
      <c r="U38" s="48" t="e">
        <f>IF(S38&gt;T38,0,T38-S38)</f>
        <v>#REF!</v>
      </c>
      <c r="V38" s="44" t="e">
        <f>S38+U38-T38</f>
        <v>#REF!</v>
      </c>
      <c r="W38" s="45" t="e">
        <f>VLOOKUP($C38,#REF!,27,0)</f>
        <v>#REF!</v>
      </c>
      <c r="X38" s="46" t="e">
        <f>IF(V38&gt;W38,0,W38-V38)</f>
        <v>#REF!</v>
      </c>
      <c r="Y38" s="44" t="e">
        <f>V38+X38-W38</f>
        <v>#REF!</v>
      </c>
      <c r="Z38" s="45" t="e">
        <f>VLOOKUP($C38,#REF!,33,0)</f>
        <v>#REF!</v>
      </c>
      <c r="AA38" s="46" t="e">
        <f>IF(Y38&gt;Z38,0,Z38-Y38)</f>
        <v>#REF!</v>
      </c>
      <c r="AB38" s="44" t="e">
        <f>Y38+AA38-Z38</f>
        <v>#REF!</v>
      </c>
      <c r="AC38" s="45" t="e">
        <f>VLOOKUP($C38,#REF!,39,0)</f>
        <v>#REF!</v>
      </c>
      <c r="AD38" s="46" t="e">
        <f>IF(AB38&gt;AC38,0,AC38-AB38)</f>
        <v>#REF!</v>
      </c>
      <c r="AE38" s="237"/>
      <c r="AG38" s="171">
        <f>J38*F38</f>
        <v>0</v>
      </c>
      <c r="AH38" s="172" t="e">
        <f>K38*F38</f>
        <v>#REF!</v>
      </c>
      <c r="AI38" s="173">
        <f>L38*F38</f>
        <v>0</v>
      </c>
      <c r="AJ38" s="174" t="e">
        <f>M38*F38</f>
        <v>#REF!</v>
      </c>
      <c r="AK38" s="172" t="e">
        <f>N38*F38</f>
        <v>#REF!</v>
      </c>
      <c r="AL38" s="173" t="e">
        <f>O38*F38</f>
        <v>#REF!</v>
      </c>
      <c r="AM38" s="174" t="e">
        <f>P38*F38</f>
        <v>#REF!</v>
      </c>
      <c r="AN38" s="172" t="e">
        <f>Q38*F38</f>
        <v>#REF!</v>
      </c>
      <c r="AO38" s="173" t="e">
        <f>R38*F38</f>
        <v>#REF!</v>
      </c>
      <c r="AP38" s="174" t="e">
        <f>S38*F38</f>
        <v>#REF!</v>
      </c>
      <c r="AQ38" s="172" t="e">
        <f>T38*F38</f>
        <v>#REF!</v>
      </c>
      <c r="AR38" s="173" t="e">
        <f>U38*F38</f>
        <v>#REF!</v>
      </c>
      <c r="AS38" s="174" t="e">
        <f>V38*F38</f>
        <v>#REF!</v>
      </c>
      <c r="AT38" s="172" t="e">
        <f>W38*F38</f>
        <v>#REF!</v>
      </c>
      <c r="AU38" s="173" t="e">
        <f>X38*F38</f>
        <v>#REF!</v>
      </c>
      <c r="AV38" s="174" t="e">
        <f>Y38*F38</f>
        <v>#REF!</v>
      </c>
      <c r="AW38" s="172" t="e">
        <f>Z38*F38</f>
        <v>#REF!</v>
      </c>
      <c r="AX38" s="173" t="e">
        <f>AA38*F38</f>
        <v>#REF!</v>
      </c>
      <c r="AY38" s="174" t="e">
        <f>AB38*F38</f>
        <v>#REF!</v>
      </c>
      <c r="AZ38" s="172" t="e">
        <f>AC38*F38</f>
        <v>#REF!</v>
      </c>
      <c r="BA38" s="173" t="e">
        <f>AD38*F38</f>
        <v>#REF!</v>
      </c>
    </row>
    <row r="39" spans="1:54" customHeight="1" ht="15.75" s="12" customFormat="1">
      <c r="A39" s="442"/>
      <c r="B39" s="411" t="s">
        <v>48</v>
      </c>
      <c r="C39" s="355" t="s">
        <v>70</v>
      </c>
      <c r="D39" s="280"/>
      <c r="E39" s="27"/>
      <c r="F39" s="27"/>
      <c r="G39" s="27"/>
      <c r="H39" s="156"/>
      <c r="I39" s="437"/>
      <c r="J39" s="44">
        <v>0.0</v>
      </c>
      <c r="K39" s="45" t="e">
        <f>VLOOKUP($C39,#REF!,9,0)</f>
        <v>#REF!</v>
      </c>
      <c r="L39" s="48">
        <f>IF(J39&gt;K39,0,K39-J39)</f>
        <v>0</v>
      </c>
      <c r="M39" s="44" t="e">
        <f>J39+L39-K39</f>
        <v>#REF!</v>
      </c>
      <c r="N39" s="45" t="e">
        <f>VLOOKUP($C39,#REF!,9,0)</f>
        <v>#REF!</v>
      </c>
      <c r="O39" s="48" t="e">
        <f>IF(M39&gt;N39,0,N39-M39)</f>
        <v>#REF!</v>
      </c>
      <c r="P39" s="44" t="e">
        <f>M39+O39-N39</f>
        <v>#REF!</v>
      </c>
      <c r="Q39" s="45" t="e">
        <f>VLOOKUP($C39,#REF!,15,0)</f>
        <v>#REF!</v>
      </c>
      <c r="R39" s="46" t="e">
        <f>IF(P39&gt;Q39,0,Q39-P39)</f>
        <v>#REF!</v>
      </c>
      <c r="S39" s="47" t="e">
        <f>P39+R39-Q39</f>
        <v>#REF!</v>
      </c>
      <c r="T39" s="45" t="e">
        <f>VLOOKUP($C39,#REF!,21,0)</f>
        <v>#REF!</v>
      </c>
      <c r="U39" s="48" t="e">
        <f>IF(S39&gt;T39,0,T39-S39)</f>
        <v>#REF!</v>
      </c>
      <c r="V39" s="44" t="e">
        <f>S39+U39-T39</f>
        <v>#REF!</v>
      </c>
      <c r="W39" s="45" t="e">
        <f>VLOOKUP($C39,#REF!,27,0)</f>
        <v>#REF!</v>
      </c>
      <c r="X39" s="46" t="e">
        <f>IF(V39&gt;W39,0,W39-V39)</f>
        <v>#REF!</v>
      </c>
      <c r="Y39" s="44" t="e">
        <f>V39+X39-W39</f>
        <v>#REF!</v>
      </c>
      <c r="Z39" s="45" t="e">
        <f>VLOOKUP($C39,#REF!,33,0)</f>
        <v>#REF!</v>
      </c>
      <c r="AA39" s="46" t="e">
        <f>IF(Y39&gt;Z39,0,Z39-Y39)</f>
        <v>#REF!</v>
      </c>
      <c r="AB39" s="44" t="e">
        <f>Y39+AA39-Z39</f>
        <v>#REF!</v>
      </c>
      <c r="AC39" s="45" t="e">
        <f>VLOOKUP($C39,#REF!,39,0)</f>
        <v>#REF!</v>
      </c>
      <c r="AD39" s="46" t="e">
        <f>IF(AB39&gt;AC39,0,AC39-AB39)</f>
        <v>#REF!</v>
      </c>
      <c r="AE39" s="237"/>
      <c r="AG39" s="171">
        <f>J39*F39</f>
        <v>0</v>
      </c>
      <c r="AH39" s="172" t="e">
        <f>K39*F39</f>
        <v>#REF!</v>
      </c>
      <c r="AI39" s="173">
        <f>L39*F39</f>
        <v>0</v>
      </c>
      <c r="AJ39" s="174" t="e">
        <f>M39*F39</f>
        <v>#REF!</v>
      </c>
      <c r="AK39" s="172" t="e">
        <f>N39*F39</f>
        <v>#REF!</v>
      </c>
      <c r="AL39" s="173" t="e">
        <f>O39*F39</f>
        <v>#REF!</v>
      </c>
      <c r="AM39" s="174" t="e">
        <f>P39*F39</f>
        <v>#REF!</v>
      </c>
      <c r="AN39" s="172" t="e">
        <f>Q39*F39</f>
        <v>#REF!</v>
      </c>
      <c r="AO39" s="173" t="e">
        <f>R39*F39</f>
        <v>#REF!</v>
      </c>
      <c r="AP39" s="174" t="e">
        <f>S39*F39</f>
        <v>#REF!</v>
      </c>
      <c r="AQ39" s="172" t="e">
        <f>T39*F39</f>
        <v>#REF!</v>
      </c>
      <c r="AR39" s="173" t="e">
        <f>U39*F39</f>
        <v>#REF!</v>
      </c>
      <c r="AS39" s="174" t="e">
        <f>V39*F39</f>
        <v>#REF!</v>
      </c>
      <c r="AT39" s="172" t="e">
        <f>W39*F39</f>
        <v>#REF!</v>
      </c>
      <c r="AU39" s="173" t="e">
        <f>X39*F39</f>
        <v>#REF!</v>
      </c>
      <c r="AV39" s="174" t="e">
        <f>Y39*F39</f>
        <v>#REF!</v>
      </c>
      <c r="AW39" s="172" t="e">
        <f>Z39*F39</f>
        <v>#REF!</v>
      </c>
      <c r="AX39" s="173" t="e">
        <f>AA39*F39</f>
        <v>#REF!</v>
      </c>
      <c r="AY39" s="174" t="e">
        <f>AB39*F39</f>
        <v>#REF!</v>
      </c>
      <c r="AZ39" s="172" t="e">
        <f>AC39*F39</f>
        <v>#REF!</v>
      </c>
      <c r="BA39" s="173" t="e">
        <f>AD39*F39</f>
        <v>#REF!</v>
      </c>
    </row>
    <row r="40" spans="1:54" customHeight="1" ht="15.75" s="12" customFormat="1">
      <c r="A40" s="442"/>
      <c r="B40" s="411" t="s">
        <v>48</v>
      </c>
      <c r="C40" s="355" t="s">
        <v>71</v>
      </c>
      <c r="D40" s="280"/>
      <c r="E40" s="27"/>
      <c r="F40" s="27"/>
      <c r="G40" s="27"/>
      <c r="H40" s="156"/>
      <c r="I40" s="28" t="e">
        <f>VLOOKUP(C40,#REF!,18,0)</f>
        <v>#REF!</v>
      </c>
      <c r="J40" s="44">
        <v>0.0</v>
      </c>
      <c r="K40" s="45" t="e">
        <f>VLOOKUP($C40,#REF!,9,0)</f>
        <v>#REF!</v>
      </c>
      <c r="L40" s="48">
        <f>IF(J40&gt;K40,0,K40-J40)</f>
        <v>0</v>
      </c>
      <c r="M40" s="44" t="e">
        <f>J40+L40-K40</f>
        <v>#REF!</v>
      </c>
      <c r="N40" s="45" t="e">
        <f>VLOOKUP($C40,#REF!,9,0)</f>
        <v>#REF!</v>
      </c>
      <c r="O40" s="48" t="e">
        <f>IF(M40&gt;N40,0,N40-M40)</f>
        <v>#REF!</v>
      </c>
      <c r="P40" s="44" t="e">
        <f>M40+O40-N40</f>
        <v>#REF!</v>
      </c>
      <c r="Q40" s="45" t="e">
        <f>VLOOKUP($C40,#REF!,15,0)</f>
        <v>#REF!</v>
      </c>
      <c r="R40" s="46" t="e">
        <f>IF(P40&gt;Q40,0,Q40-P40)</f>
        <v>#REF!</v>
      </c>
      <c r="S40" s="47" t="e">
        <f>P40+R40-Q40</f>
        <v>#REF!</v>
      </c>
      <c r="T40" s="45" t="e">
        <f>VLOOKUP($C40,#REF!,21,0)</f>
        <v>#REF!</v>
      </c>
      <c r="U40" s="48" t="e">
        <f>IF(S40&gt;T40,0,T40-S40)</f>
        <v>#REF!</v>
      </c>
      <c r="V40" s="44" t="e">
        <f>S40+U40-T40</f>
        <v>#REF!</v>
      </c>
      <c r="W40" s="45" t="e">
        <f>VLOOKUP($C40,#REF!,27,0)</f>
        <v>#REF!</v>
      </c>
      <c r="X40" s="46" t="e">
        <f>IF(V40&gt;W40,0,W40-V40)</f>
        <v>#REF!</v>
      </c>
      <c r="Y40" s="44" t="e">
        <f>V40+X40-W40</f>
        <v>#REF!</v>
      </c>
      <c r="Z40" s="45" t="e">
        <f>VLOOKUP($C40,#REF!,33,0)</f>
        <v>#REF!</v>
      </c>
      <c r="AA40" s="46" t="e">
        <f>IF(Y40&gt;Z40,0,Z40-Y40)</f>
        <v>#REF!</v>
      </c>
      <c r="AB40" s="44" t="e">
        <f>Y40+AA40-Z40</f>
        <v>#REF!</v>
      </c>
      <c r="AC40" s="45" t="e">
        <f>VLOOKUP($C40,#REF!,39,0)</f>
        <v>#REF!</v>
      </c>
      <c r="AD40" s="46" t="e">
        <f>IF(AB40&gt;AC40,0,AC40-AB40)</f>
        <v>#REF!</v>
      </c>
      <c r="AE40" s="237"/>
      <c r="AG40" s="171">
        <f>J40*F40</f>
        <v>0</v>
      </c>
      <c r="AH40" s="172" t="e">
        <f>K40*F40</f>
        <v>#REF!</v>
      </c>
      <c r="AI40" s="173">
        <f>L40*F40</f>
        <v>0</v>
      </c>
      <c r="AJ40" s="174" t="e">
        <f>M40*F40</f>
        <v>#REF!</v>
      </c>
      <c r="AK40" s="172" t="e">
        <f>N40*F40</f>
        <v>#REF!</v>
      </c>
      <c r="AL40" s="173" t="e">
        <f>O40*F40</f>
        <v>#REF!</v>
      </c>
      <c r="AM40" s="174" t="e">
        <f>P40*F40</f>
        <v>#REF!</v>
      </c>
      <c r="AN40" s="172" t="e">
        <f>Q40*F40</f>
        <v>#REF!</v>
      </c>
      <c r="AO40" s="173" t="e">
        <f>R40*F40</f>
        <v>#REF!</v>
      </c>
      <c r="AP40" s="174" t="e">
        <f>S40*F40</f>
        <v>#REF!</v>
      </c>
      <c r="AQ40" s="172" t="e">
        <f>T40*F40</f>
        <v>#REF!</v>
      </c>
      <c r="AR40" s="173" t="e">
        <f>U40*F40</f>
        <v>#REF!</v>
      </c>
      <c r="AS40" s="174" t="e">
        <f>V40*F40</f>
        <v>#REF!</v>
      </c>
      <c r="AT40" s="172" t="e">
        <f>W40*F40</f>
        <v>#REF!</v>
      </c>
      <c r="AU40" s="173" t="e">
        <f>X40*F40</f>
        <v>#REF!</v>
      </c>
      <c r="AV40" s="174" t="e">
        <f>Y40*F40</f>
        <v>#REF!</v>
      </c>
      <c r="AW40" s="172" t="e">
        <f>Z40*F40</f>
        <v>#REF!</v>
      </c>
      <c r="AX40" s="173" t="e">
        <f>AA40*F40</f>
        <v>#REF!</v>
      </c>
      <c r="AY40" s="174" t="e">
        <f>AB40*F40</f>
        <v>#REF!</v>
      </c>
      <c r="AZ40" s="172" t="e">
        <f>AC40*F40</f>
        <v>#REF!</v>
      </c>
      <c r="BA40" s="173" t="e">
        <f>AD40*F40</f>
        <v>#REF!</v>
      </c>
    </row>
    <row r="41" spans="1:54" customHeight="1" ht="15.75" s="12" customFormat="1">
      <c r="A41" s="442"/>
      <c r="B41" s="411" t="s">
        <v>44</v>
      </c>
      <c r="C41" s="355" t="s">
        <v>72</v>
      </c>
      <c r="D41" s="280"/>
      <c r="E41" s="27"/>
      <c r="F41" s="27"/>
      <c r="G41" s="27"/>
      <c r="H41" s="156"/>
      <c r="I41" s="437"/>
      <c r="J41" s="44">
        <v>0.0</v>
      </c>
      <c r="K41" s="45" t="e">
        <f>VLOOKUP($C41,#REF!,9,0)</f>
        <v>#REF!</v>
      </c>
      <c r="L41" s="48">
        <f>IF(J41&gt;K41,0,K41-J41)</f>
        <v>0</v>
      </c>
      <c r="M41" s="44" t="e">
        <f>J41+L41-K41</f>
        <v>#REF!</v>
      </c>
      <c r="N41" s="45" t="e">
        <f>VLOOKUP($C41,#REF!,9,0)</f>
        <v>#REF!</v>
      </c>
      <c r="O41" s="48" t="e">
        <f>IF(M41&gt;N41,0,N41-M41)</f>
        <v>#REF!</v>
      </c>
      <c r="P41" s="44" t="e">
        <f>M41+O41-N41</f>
        <v>#REF!</v>
      </c>
      <c r="Q41" s="45" t="e">
        <f>VLOOKUP($C41,#REF!,15,0)</f>
        <v>#REF!</v>
      </c>
      <c r="R41" s="46" t="e">
        <f>IF(P41&gt;Q41,0,Q41-P41)</f>
        <v>#REF!</v>
      </c>
      <c r="S41" s="47" t="e">
        <f>P41+R41-Q41</f>
        <v>#REF!</v>
      </c>
      <c r="T41" s="45" t="e">
        <f>VLOOKUP($C41,#REF!,21,0)</f>
        <v>#REF!</v>
      </c>
      <c r="U41" s="48" t="e">
        <f>IF(S41&gt;T41,0,T41-S41)</f>
        <v>#REF!</v>
      </c>
      <c r="V41" s="44" t="e">
        <f>S41+U41-T41</f>
        <v>#REF!</v>
      </c>
      <c r="W41" s="45" t="e">
        <f>VLOOKUP($C41,#REF!,27,0)</f>
        <v>#REF!</v>
      </c>
      <c r="X41" s="46" t="e">
        <f>IF(V41&gt;W41,0,W41-V41)</f>
        <v>#REF!</v>
      </c>
      <c r="Y41" s="44" t="e">
        <f>V41+X41-W41</f>
        <v>#REF!</v>
      </c>
      <c r="Z41" s="45" t="e">
        <f>VLOOKUP($C41,#REF!,33,0)</f>
        <v>#REF!</v>
      </c>
      <c r="AA41" s="46" t="e">
        <f>IF(Y41&gt;Z41,0,Z41-Y41)</f>
        <v>#REF!</v>
      </c>
      <c r="AB41" s="44" t="e">
        <f>Y41+AA41-Z41</f>
        <v>#REF!</v>
      </c>
      <c r="AC41" s="45" t="e">
        <f>VLOOKUP($C41,#REF!,39,0)</f>
        <v>#REF!</v>
      </c>
      <c r="AD41" s="46" t="e">
        <f>IF(AB41&gt;AC41,0,AC41-AB41)</f>
        <v>#REF!</v>
      </c>
      <c r="AE41" s="237"/>
      <c r="AG41" s="171">
        <f>J41*F41</f>
        <v>0</v>
      </c>
      <c r="AH41" s="172" t="e">
        <f>K41*F41</f>
        <v>#REF!</v>
      </c>
      <c r="AI41" s="173">
        <f>L41*F41</f>
        <v>0</v>
      </c>
      <c r="AJ41" s="174" t="e">
        <f>M41*F41</f>
        <v>#REF!</v>
      </c>
      <c r="AK41" s="172" t="e">
        <f>N41*F41</f>
        <v>#REF!</v>
      </c>
      <c r="AL41" s="173" t="e">
        <f>O41*F41</f>
        <v>#REF!</v>
      </c>
      <c r="AM41" s="174" t="e">
        <f>P41*F41</f>
        <v>#REF!</v>
      </c>
      <c r="AN41" s="172" t="e">
        <f>Q41*F41</f>
        <v>#REF!</v>
      </c>
      <c r="AO41" s="173" t="e">
        <f>R41*F41</f>
        <v>#REF!</v>
      </c>
      <c r="AP41" s="174" t="e">
        <f>S41*F41</f>
        <v>#REF!</v>
      </c>
      <c r="AQ41" s="172" t="e">
        <f>T41*F41</f>
        <v>#REF!</v>
      </c>
      <c r="AR41" s="173" t="e">
        <f>U41*F41</f>
        <v>#REF!</v>
      </c>
      <c r="AS41" s="174" t="e">
        <f>V41*F41</f>
        <v>#REF!</v>
      </c>
      <c r="AT41" s="172" t="e">
        <f>W41*F41</f>
        <v>#REF!</v>
      </c>
      <c r="AU41" s="173" t="e">
        <f>X41*F41</f>
        <v>#REF!</v>
      </c>
      <c r="AV41" s="174" t="e">
        <f>Y41*F41</f>
        <v>#REF!</v>
      </c>
      <c r="AW41" s="172" t="e">
        <f>Z41*F41</f>
        <v>#REF!</v>
      </c>
      <c r="AX41" s="173" t="e">
        <f>AA41*F41</f>
        <v>#REF!</v>
      </c>
      <c r="AY41" s="174" t="e">
        <f>AB41*F41</f>
        <v>#REF!</v>
      </c>
      <c r="AZ41" s="172" t="e">
        <f>AC41*F41</f>
        <v>#REF!</v>
      </c>
      <c r="BA41" s="173" t="e">
        <f>AD41*F41</f>
        <v>#REF!</v>
      </c>
    </row>
    <row r="42" spans="1:54" customHeight="1" ht="15.75">
      <c r="A42" s="442"/>
      <c r="B42" s="411" t="s">
        <v>44</v>
      </c>
      <c r="C42" s="355" t="s">
        <v>73</v>
      </c>
      <c r="D42" s="55"/>
      <c r="E42" s="27"/>
      <c r="F42" s="27"/>
      <c r="G42" s="27"/>
      <c r="H42" s="156"/>
      <c r="I42" s="437"/>
      <c r="J42" s="44">
        <v>0.0</v>
      </c>
      <c r="K42" s="45" t="e">
        <f>VLOOKUP($C42,#REF!,9,0)</f>
        <v>#REF!</v>
      </c>
      <c r="L42" s="48">
        <f>IF(J42&gt;K42,0,K42-J42)</f>
        <v>0</v>
      </c>
      <c r="M42" s="44" t="e">
        <f>J42+L42-K42</f>
        <v>#REF!</v>
      </c>
      <c r="N42" s="45" t="e">
        <f>VLOOKUP($C42,#REF!,9,0)</f>
        <v>#REF!</v>
      </c>
      <c r="O42" s="48" t="e">
        <f>IF(M42&gt;N42,0,N42-M42)</f>
        <v>#REF!</v>
      </c>
      <c r="P42" s="44" t="e">
        <f>M42+O42-N42</f>
        <v>#REF!</v>
      </c>
      <c r="Q42" s="45" t="e">
        <f>VLOOKUP($C42,#REF!,15,0)</f>
        <v>#REF!</v>
      </c>
      <c r="R42" s="46" t="e">
        <f>IF(P42&gt;Q42,0,Q42-P42)</f>
        <v>#REF!</v>
      </c>
      <c r="S42" s="47" t="e">
        <f>P42+R42-Q42</f>
        <v>#REF!</v>
      </c>
      <c r="T42" s="45" t="e">
        <f>VLOOKUP($C42,#REF!,21,0)</f>
        <v>#REF!</v>
      </c>
      <c r="U42" s="48" t="e">
        <f>IF(S42&gt;T42,0,T42-S42)</f>
        <v>#REF!</v>
      </c>
      <c r="V42" s="44" t="e">
        <f>S42+U42-T42</f>
        <v>#REF!</v>
      </c>
      <c r="W42" s="45" t="e">
        <f>VLOOKUP($C42,#REF!,27,0)</f>
        <v>#REF!</v>
      </c>
      <c r="X42" s="46" t="e">
        <f>IF(V42&gt;W42,0,W42-V42)</f>
        <v>#REF!</v>
      </c>
      <c r="Y42" s="44" t="e">
        <f>V42+X42-W42</f>
        <v>#REF!</v>
      </c>
      <c r="Z42" s="45" t="e">
        <f>VLOOKUP($C42,#REF!,33,0)</f>
        <v>#REF!</v>
      </c>
      <c r="AA42" s="46" t="e">
        <f>IF(Y42&gt;Z42,0,Z42-Y42)</f>
        <v>#REF!</v>
      </c>
      <c r="AB42" s="44" t="e">
        <f>Y42+AA42-Z42</f>
        <v>#REF!</v>
      </c>
      <c r="AC42" s="45" t="e">
        <f>VLOOKUP($C42,#REF!,39,0)</f>
        <v>#REF!</v>
      </c>
      <c r="AD42" s="46" t="e">
        <f>IF(AB42&gt;AC42,0,AC42-AB42)</f>
        <v>#REF!</v>
      </c>
      <c r="AE42" s="237"/>
      <c r="AG42" s="171">
        <f>J42*F42</f>
        <v>0</v>
      </c>
      <c r="AH42" s="172" t="e">
        <f>K42*F42</f>
        <v>#REF!</v>
      </c>
      <c r="AI42" s="173">
        <f>L42*F42</f>
        <v>0</v>
      </c>
      <c r="AJ42" s="174" t="e">
        <f>M42*F42</f>
        <v>#REF!</v>
      </c>
      <c r="AK42" s="172" t="e">
        <f>N42*F42</f>
        <v>#REF!</v>
      </c>
      <c r="AL42" s="173" t="e">
        <f>O42*F42</f>
        <v>#REF!</v>
      </c>
      <c r="AM42" s="174" t="e">
        <f>P42*F42</f>
        <v>#REF!</v>
      </c>
      <c r="AN42" s="172" t="e">
        <f>Q42*F42</f>
        <v>#REF!</v>
      </c>
      <c r="AO42" s="173" t="e">
        <f>R42*F42</f>
        <v>#REF!</v>
      </c>
      <c r="AP42" s="174" t="e">
        <f>S42*F42</f>
        <v>#REF!</v>
      </c>
      <c r="AQ42" s="172" t="e">
        <f>T42*F42</f>
        <v>#REF!</v>
      </c>
      <c r="AR42" s="173" t="e">
        <f>U42*F42</f>
        <v>#REF!</v>
      </c>
      <c r="AS42" s="174" t="e">
        <f>V42*F42</f>
        <v>#REF!</v>
      </c>
      <c r="AT42" s="172" t="e">
        <f>W42*F42</f>
        <v>#REF!</v>
      </c>
      <c r="AU42" s="173" t="e">
        <f>X42*F42</f>
        <v>#REF!</v>
      </c>
      <c r="AV42" s="174" t="e">
        <f>Y42*F42</f>
        <v>#REF!</v>
      </c>
      <c r="AW42" s="172" t="e">
        <f>Z42*F42</f>
        <v>#REF!</v>
      </c>
      <c r="AX42" s="173" t="e">
        <f>AA42*F42</f>
        <v>#REF!</v>
      </c>
      <c r="AY42" s="174" t="e">
        <f>AB42*F42</f>
        <v>#REF!</v>
      </c>
      <c r="AZ42" s="172" t="e">
        <f>AC42*F42</f>
        <v>#REF!</v>
      </c>
      <c r="BA42" s="173" t="e">
        <f>AD42*F42</f>
        <v>#REF!</v>
      </c>
    </row>
    <row r="43" spans="1:54" customHeight="1" ht="15.75">
      <c r="A43" s="442"/>
      <c r="B43" s="411" t="s">
        <v>44</v>
      </c>
      <c r="C43" s="355" t="s">
        <v>74</v>
      </c>
      <c r="D43" s="160"/>
      <c r="E43" s="27"/>
      <c r="F43" s="27"/>
      <c r="G43" s="27"/>
      <c r="H43" s="28"/>
      <c r="I43" s="437"/>
      <c r="J43" s="44">
        <v>0.0</v>
      </c>
      <c r="K43" s="45" t="e">
        <f>VLOOKUP($C43,#REF!,9,0)</f>
        <v>#REF!</v>
      </c>
      <c r="L43" s="48">
        <f>IF(J43&gt;K43,0,K43-J43)</f>
        <v>0</v>
      </c>
      <c r="M43" s="44" t="e">
        <f>J43+L43-K43</f>
        <v>#REF!</v>
      </c>
      <c r="N43" s="45" t="e">
        <f>VLOOKUP($C43,#REF!,9,0)</f>
        <v>#REF!</v>
      </c>
      <c r="O43" s="48" t="e">
        <f>IF(M43&gt;N43,0,N43-M43)</f>
        <v>#REF!</v>
      </c>
      <c r="P43" s="44" t="e">
        <f>M43+O43-N43</f>
        <v>#REF!</v>
      </c>
      <c r="Q43" s="45" t="e">
        <f>VLOOKUP($C43,#REF!,15,0)</f>
        <v>#REF!</v>
      </c>
      <c r="R43" s="46" t="e">
        <f>IF(P43&gt;Q43,0,Q43-P43)</f>
        <v>#REF!</v>
      </c>
      <c r="S43" s="47" t="e">
        <f>P43+R43-Q43</f>
        <v>#REF!</v>
      </c>
      <c r="T43" s="45" t="e">
        <f>VLOOKUP($C43,#REF!,21,0)</f>
        <v>#REF!</v>
      </c>
      <c r="U43" s="48" t="e">
        <f>IF(S43&gt;T43,0,T43-S43)</f>
        <v>#REF!</v>
      </c>
      <c r="V43" s="44" t="e">
        <f>S43+U43-T43</f>
        <v>#REF!</v>
      </c>
      <c r="W43" s="45" t="e">
        <f>VLOOKUP($C43,#REF!,27,0)</f>
        <v>#REF!</v>
      </c>
      <c r="X43" s="46" t="e">
        <f>IF(V43&gt;W43,0,W43-V43)</f>
        <v>#REF!</v>
      </c>
      <c r="Y43" s="44" t="e">
        <f>V43+X43-W43</f>
        <v>#REF!</v>
      </c>
      <c r="Z43" s="45" t="e">
        <f>VLOOKUP($C43,#REF!,33,0)</f>
        <v>#REF!</v>
      </c>
      <c r="AA43" s="46" t="e">
        <f>IF(Y43&gt;Z43,0,Z43-Y43)</f>
        <v>#REF!</v>
      </c>
      <c r="AB43" s="44" t="e">
        <f>Y43+AA43-Z43</f>
        <v>#REF!</v>
      </c>
      <c r="AC43" s="45" t="e">
        <f>VLOOKUP($C43,#REF!,39,0)</f>
        <v>#REF!</v>
      </c>
      <c r="AD43" s="46" t="e">
        <f>IF(AB43&gt;AC43,0,AC43-AB43)</f>
        <v>#REF!</v>
      </c>
      <c r="AE43" s="237"/>
      <c r="AG43" s="171">
        <f>J43*F43</f>
        <v>0</v>
      </c>
      <c r="AH43" s="172" t="e">
        <f>K43*F43</f>
        <v>#REF!</v>
      </c>
      <c r="AI43" s="173">
        <f>L43*F43</f>
        <v>0</v>
      </c>
      <c r="AJ43" s="174" t="e">
        <f>M43*F43</f>
        <v>#REF!</v>
      </c>
      <c r="AK43" s="172" t="e">
        <f>N43*F43</f>
        <v>#REF!</v>
      </c>
      <c r="AL43" s="173" t="e">
        <f>O43*F43</f>
        <v>#REF!</v>
      </c>
      <c r="AM43" s="174" t="e">
        <f>P43*F43</f>
        <v>#REF!</v>
      </c>
      <c r="AN43" s="172" t="e">
        <f>Q43*F43</f>
        <v>#REF!</v>
      </c>
      <c r="AO43" s="173" t="e">
        <f>R43*F43</f>
        <v>#REF!</v>
      </c>
      <c r="AP43" s="174" t="e">
        <f>S43*F43</f>
        <v>#REF!</v>
      </c>
      <c r="AQ43" s="172" t="e">
        <f>T43*F43</f>
        <v>#REF!</v>
      </c>
      <c r="AR43" s="173" t="e">
        <f>U43*F43</f>
        <v>#REF!</v>
      </c>
      <c r="AS43" s="174" t="e">
        <f>V43*F43</f>
        <v>#REF!</v>
      </c>
      <c r="AT43" s="172" t="e">
        <f>W43*F43</f>
        <v>#REF!</v>
      </c>
      <c r="AU43" s="173" t="e">
        <f>X43*F43</f>
        <v>#REF!</v>
      </c>
      <c r="AV43" s="174" t="e">
        <f>Y43*F43</f>
        <v>#REF!</v>
      </c>
      <c r="AW43" s="172" t="e">
        <f>Z43*F43</f>
        <v>#REF!</v>
      </c>
      <c r="AX43" s="173" t="e">
        <f>AA43*F43</f>
        <v>#REF!</v>
      </c>
      <c r="AY43" s="174" t="e">
        <f>AB43*F43</f>
        <v>#REF!</v>
      </c>
      <c r="AZ43" s="172" t="e">
        <f>AC43*F43</f>
        <v>#REF!</v>
      </c>
      <c r="BA43" s="173" t="e">
        <f>AD43*F43</f>
        <v>#REF!</v>
      </c>
    </row>
    <row r="44" spans="1:54" customHeight="1" ht="15.75">
      <c r="A44" s="442"/>
      <c r="B44" s="411" t="s">
        <v>44</v>
      </c>
      <c r="C44" s="355" t="s">
        <v>75</v>
      </c>
      <c r="D44" s="160"/>
      <c r="E44" s="27"/>
      <c r="F44" s="27"/>
      <c r="G44" s="27"/>
      <c r="H44" s="28"/>
      <c r="I44" s="437"/>
      <c r="J44" s="44">
        <v>0.0</v>
      </c>
      <c r="K44" s="45" t="e">
        <f>VLOOKUP($C44,#REF!,9,0)</f>
        <v>#REF!</v>
      </c>
      <c r="L44" s="48">
        <f>IF(J44&gt;K44,0,K44-J44)</f>
        <v>0</v>
      </c>
      <c r="M44" s="44" t="e">
        <f>J44+L44-K44</f>
        <v>#REF!</v>
      </c>
      <c r="N44" s="45" t="e">
        <f>VLOOKUP($C44,#REF!,9,0)</f>
        <v>#REF!</v>
      </c>
      <c r="O44" s="48" t="e">
        <f>IF(M44&gt;N44,0,N44-M44)</f>
        <v>#REF!</v>
      </c>
      <c r="P44" s="44" t="e">
        <f>M44+O44-N44</f>
        <v>#REF!</v>
      </c>
      <c r="Q44" s="45" t="e">
        <f>VLOOKUP($C44,#REF!,15,0)</f>
        <v>#REF!</v>
      </c>
      <c r="R44" s="46" t="e">
        <f>IF(P44&gt;Q44,0,Q44-P44)</f>
        <v>#REF!</v>
      </c>
      <c r="S44" s="47" t="e">
        <f>P44+R44-Q44</f>
        <v>#REF!</v>
      </c>
      <c r="T44" s="45" t="e">
        <f>VLOOKUP($C44,#REF!,21,0)</f>
        <v>#REF!</v>
      </c>
      <c r="U44" s="48" t="e">
        <f>IF(S44&gt;T44,0,T44-S44)</f>
        <v>#REF!</v>
      </c>
      <c r="V44" s="44" t="e">
        <f>S44+U44-T44</f>
        <v>#REF!</v>
      </c>
      <c r="W44" s="45" t="e">
        <f>VLOOKUP($C44,#REF!,27,0)</f>
        <v>#REF!</v>
      </c>
      <c r="X44" s="46" t="e">
        <f>IF(V44&gt;W44,0,W44-V44)</f>
        <v>#REF!</v>
      </c>
      <c r="Y44" s="44" t="e">
        <f>V44+X44-W44</f>
        <v>#REF!</v>
      </c>
      <c r="Z44" s="45" t="e">
        <f>VLOOKUP($C44,#REF!,33,0)</f>
        <v>#REF!</v>
      </c>
      <c r="AA44" s="46" t="e">
        <f>IF(Y44&gt;Z44,0,Z44-Y44)</f>
        <v>#REF!</v>
      </c>
      <c r="AB44" s="44" t="e">
        <f>Y44+AA44-Z44</f>
        <v>#REF!</v>
      </c>
      <c r="AC44" s="45" t="e">
        <f>VLOOKUP($C44,#REF!,39,0)</f>
        <v>#REF!</v>
      </c>
      <c r="AD44" s="46" t="e">
        <f>IF(AB44&gt;AC44,0,AC44-AB44)</f>
        <v>#REF!</v>
      </c>
      <c r="AE44" s="237"/>
      <c r="AG44" s="171">
        <f>J44*F44</f>
        <v>0</v>
      </c>
      <c r="AH44" s="172" t="e">
        <f>K44*F44</f>
        <v>#REF!</v>
      </c>
      <c r="AI44" s="173">
        <f>L44*F44</f>
        <v>0</v>
      </c>
      <c r="AJ44" s="174" t="e">
        <f>M44*F44</f>
        <v>#REF!</v>
      </c>
      <c r="AK44" s="172" t="e">
        <f>N44*F44</f>
        <v>#REF!</v>
      </c>
      <c r="AL44" s="173" t="e">
        <f>O44*F44</f>
        <v>#REF!</v>
      </c>
      <c r="AM44" s="174" t="e">
        <f>P44*F44</f>
        <v>#REF!</v>
      </c>
      <c r="AN44" s="172" t="e">
        <f>Q44*F44</f>
        <v>#REF!</v>
      </c>
      <c r="AO44" s="173" t="e">
        <f>R44*F44</f>
        <v>#REF!</v>
      </c>
      <c r="AP44" s="174" t="e">
        <f>S44*F44</f>
        <v>#REF!</v>
      </c>
      <c r="AQ44" s="172" t="e">
        <f>T44*F44</f>
        <v>#REF!</v>
      </c>
      <c r="AR44" s="173" t="e">
        <f>U44*F44</f>
        <v>#REF!</v>
      </c>
      <c r="AS44" s="174" t="e">
        <f>V44*F44</f>
        <v>#REF!</v>
      </c>
      <c r="AT44" s="172" t="e">
        <f>W44*F44</f>
        <v>#REF!</v>
      </c>
      <c r="AU44" s="173" t="e">
        <f>X44*F44</f>
        <v>#REF!</v>
      </c>
      <c r="AV44" s="174" t="e">
        <f>Y44*F44</f>
        <v>#REF!</v>
      </c>
      <c r="AW44" s="172" t="e">
        <f>Z44*F44</f>
        <v>#REF!</v>
      </c>
      <c r="AX44" s="173" t="e">
        <f>AA44*F44</f>
        <v>#REF!</v>
      </c>
      <c r="AY44" s="174" t="e">
        <f>AB44*F44</f>
        <v>#REF!</v>
      </c>
      <c r="AZ44" s="172" t="e">
        <f>AC44*F44</f>
        <v>#REF!</v>
      </c>
      <c r="BA44" s="173" t="e">
        <f>AD44*F44</f>
        <v>#REF!</v>
      </c>
    </row>
    <row r="45" spans="1:54" customHeight="1" ht="15.75">
      <c r="A45" s="442"/>
      <c r="B45" s="411" t="s">
        <v>44</v>
      </c>
      <c r="C45" s="355" t="s">
        <v>76</v>
      </c>
      <c r="D45" s="161"/>
      <c r="E45" s="27"/>
      <c r="F45" s="27"/>
      <c r="G45" s="27"/>
      <c r="H45" s="28"/>
      <c r="I45" s="28" t="e">
        <f>VLOOKUP(C45,#REF!,18,0)</f>
        <v>#REF!</v>
      </c>
      <c r="J45" s="44">
        <v>0.0</v>
      </c>
      <c r="K45" s="45" t="e">
        <f>VLOOKUP($C45,#REF!,9,0)</f>
        <v>#REF!</v>
      </c>
      <c r="L45" s="48">
        <f>IF(J45&gt;K45,0,K45-J45)</f>
        <v>0</v>
      </c>
      <c r="M45" s="44" t="e">
        <f>J45+L45-K45</f>
        <v>#REF!</v>
      </c>
      <c r="N45" s="45" t="e">
        <f>VLOOKUP($C45,#REF!,9,0)</f>
        <v>#REF!</v>
      </c>
      <c r="O45" s="48" t="e">
        <f>IF(M45&gt;N45,0,N45-M45)</f>
        <v>#REF!</v>
      </c>
      <c r="P45" s="44" t="e">
        <f>M45+O45-N45</f>
        <v>#REF!</v>
      </c>
      <c r="Q45" s="45" t="e">
        <f>VLOOKUP($C45,#REF!,15,0)</f>
        <v>#REF!</v>
      </c>
      <c r="R45" s="46" t="e">
        <f>IF(P45&gt;Q45,0,Q45-P45)</f>
        <v>#REF!</v>
      </c>
      <c r="S45" s="47" t="e">
        <f>P45+R45-Q45</f>
        <v>#REF!</v>
      </c>
      <c r="T45" s="45" t="e">
        <f>VLOOKUP($C45,#REF!,21,0)</f>
        <v>#REF!</v>
      </c>
      <c r="U45" s="48" t="e">
        <f>IF(S45&gt;T45,0,T45-S45)</f>
        <v>#REF!</v>
      </c>
      <c r="V45" s="44" t="e">
        <f>S45+U45-T45</f>
        <v>#REF!</v>
      </c>
      <c r="W45" s="45" t="e">
        <f>VLOOKUP($C45,#REF!,27,0)</f>
        <v>#REF!</v>
      </c>
      <c r="X45" s="46" t="e">
        <f>IF(V45&gt;W45,0,W45-V45)</f>
        <v>#REF!</v>
      </c>
      <c r="Y45" s="44" t="e">
        <f>V45+X45-W45</f>
        <v>#REF!</v>
      </c>
      <c r="Z45" s="45" t="e">
        <f>VLOOKUP($C45,#REF!,33,0)</f>
        <v>#REF!</v>
      </c>
      <c r="AA45" s="46" t="e">
        <f>IF(Y45&gt;Z45,0,Z45-Y45)</f>
        <v>#REF!</v>
      </c>
      <c r="AB45" s="44" t="e">
        <f>Y45+AA45-Z45</f>
        <v>#REF!</v>
      </c>
      <c r="AC45" s="45" t="e">
        <f>VLOOKUP($C45,#REF!,39,0)</f>
        <v>#REF!</v>
      </c>
      <c r="AD45" s="46" t="e">
        <f>IF(AB45&gt;AC45,0,AC45-AB45)</f>
        <v>#REF!</v>
      </c>
      <c r="AE45" s="237"/>
      <c r="AG45" s="171">
        <f>J45*F45</f>
        <v>0</v>
      </c>
      <c r="AH45" s="172" t="e">
        <f>K45*F45</f>
        <v>#REF!</v>
      </c>
      <c r="AI45" s="173">
        <f>L45*F45</f>
        <v>0</v>
      </c>
      <c r="AJ45" s="174" t="e">
        <f>M45*F45</f>
        <v>#REF!</v>
      </c>
      <c r="AK45" s="172" t="e">
        <f>N45*F45</f>
        <v>#REF!</v>
      </c>
      <c r="AL45" s="173" t="e">
        <f>O45*F45</f>
        <v>#REF!</v>
      </c>
      <c r="AM45" s="174" t="e">
        <f>P45*F45</f>
        <v>#REF!</v>
      </c>
      <c r="AN45" s="172" t="e">
        <f>Q45*F45</f>
        <v>#REF!</v>
      </c>
      <c r="AO45" s="173" t="e">
        <f>R45*F45</f>
        <v>#REF!</v>
      </c>
      <c r="AP45" s="174" t="e">
        <f>S45*F45</f>
        <v>#REF!</v>
      </c>
      <c r="AQ45" s="172" t="e">
        <f>T45*F45</f>
        <v>#REF!</v>
      </c>
      <c r="AR45" s="173" t="e">
        <f>U45*F45</f>
        <v>#REF!</v>
      </c>
      <c r="AS45" s="174" t="e">
        <f>V45*F45</f>
        <v>#REF!</v>
      </c>
      <c r="AT45" s="172" t="e">
        <f>W45*F45</f>
        <v>#REF!</v>
      </c>
      <c r="AU45" s="173" t="e">
        <f>X45*F45</f>
        <v>#REF!</v>
      </c>
      <c r="AV45" s="174" t="e">
        <f>Y45*F45</f>
        <v>#REF!</v>
      </c>
      <c r="AW45" s="172" t="e">
        <f>Z45*F45</f>
        <v>#REF!</v>
      </c>
      <c r="AX45" s="173" t="e">
        <f>AA45*F45</f>
        <v>#REF!</v>
      </c>
      <c r="AY45" s="174" t="e">
        <f>AB45*F45</f>
        <v>#REF!</v>
      </c>
      <c r="AZ45" s="172" t="e">
        <f>AC45*F45</f>
        <v>#REF!</v>
      </c>
      <c r="BA45" s="173" t="e">
        <f>AD45*F45</f>
        <v>#REF!</v>
      </c>
    </row>
    <row r="46" spans="1:54" customHeight="1" ht="15.75" s="12" customFormat="1">
      <c r="A46" s="442"/>
      <c r="B46" s="411" t="s">
        <v>44</v>
      </c>
      <c r="C46" s="355" t="s">
        <v>77</v>
      </c>
      <c r="D46" s="55"/>
      <c r="E46" s="27"/>
      <c r="F46" s="27"/>
      <c r="G46" s="27"/>
      <c r="H46" s="28"/>
      <c r="I46" s="28" t="e">
        <f>VLOOKUP(C46,#REF!,18,0)</f>
        <v>#REF!</v>
      </c>
      <c r="J46" s="44">
        <v>0.0</v>
      </c>
      <c r="K46" s="45" t="e">
        <f>VLOOKUP($C46,#REF!,9,0)</f>
        <v>#REF!</v>
      </c>
      <c r="L46" s="48">
        <f>IF(J46&gt;K46,0,K46-J46)</f>
        <v>0</v>
      </c>
      <c r="M46" s="44" t="e">
        <f>J46+L46-K46</f>
        <v>#REF!</v>
      </c>
      <c r="N46" s="45" t="e">
        <f>VLOOKUP($C46,#REF!,9,0)</f>
        <v>#REF!</v>
      </c>
      <c r="O46" s="48" t="e">
        <f>IF(M46&gt;N46,0,N46-M46)</f>
        <v>#REF!</v>
      </c>
      <c r="P46" s="44" t="e">
        <f>M46+O46-N46</f>
        <v>#REF!</v>
      </c>
      <c r="Q46" s="45" t="e">
        <f>VLOOKUP($C46,#REF!,15,0)</f>
        <v>#REF!</v>
      </c>
      <c r="R46" s="46" t="e">
        <f>IF(P46&gt;Q46,0,Q46-P46)</f>
        <v>#REF!</v>
      </c>
      <c r="S46" s="47" t="e">
        <f>P46+R46-Q46</f>
        <v>#REF!</v>
      </c>
      <c r="T46" s="45" t="e">
        <f>VLOOKUP($C46,#REF!,21,0)</f>
        <v>#REF!</v>
      </c>
      <c r="U46" s="48" t="e">
        <f>IF(S46&gt;T46,0,T46-S46)</f>
        <v>#REF!</v>
      </c>
      <c r="V46" s="44" t="e">
        <f>S46+U46-T46</f>
        <v>#REF!</v>
      </c>
      <c r="W46" s="45" t="e">
        <f>VLOOKUP($C46,#REF!,27,0)</f>
        <v>#REF!</v>
      </c>
      <c r="X46" s="46" t="e">
        <f>IF(V46&gt;W46,0,W46-V46)</f>
        <v>#REF!</v>
      </c>
      <c r="Y46" s="44" t="e">
        <f>V46+X46-W46</f>
        <v>#REF!</v>
      </c>
      <c r="Z46" s="45" t="e">
        <f>VLOOKUP($C46,#REF!,33,0)</f>
        <v>#REF!</v>
      </c>
      <c r="AA46" s="46" t="e">
        <f>IF(Y46&gt;Z46,0,Z46-Y46)</f>
        <v>#REF!</v>
      </c>
      <c r="AB46" s="44" t="e">
        <f>Y46+AA46-Z46</f>
        <v>#REF!</v>
      </c>
      <c r="AC46" s="45" t="e">
        <f>VLOOKUP($C46,#REF!,39,0)</f>
        <v>#REF!</v>
      </c>
      <c r="AD46" s="46" t="e">
        <f>IF(AB46&gt;AC46,0,AC46-AB46)</f>
        <v>#REF!</v>
      </c>
      <c r="AE46" s="237"/>
      <c r="AG46" s="171">
        <f>J46*F46</f>
        <v>0</v>
      </c>
      <c r="AH46" s="172" t="e">
        <f>K46*F46</f>
        <v>#REF!</v>
      </c>
      <c r="AI46" s="173">
        <f>L46*F46</f>
        <v>0</v>
      </c>
      <c r="AJ46" s="174" t="e">
        <f>M46*F46</f>
        <v>#REF!</v>
      </c>
      <c r="AK46" s="172" t="e">
        <f>N46*F46</f>
        <v>#REF!</v>
      </c>
      <c r="AL46" s="173" t="e">
        <f>O46*F46</f>
        <v>#REF!</v>
      </c>
      <c r="AM46" s="174" t="e">
        <f>P46*F46</f>
        <v>#REF!</v>
      </c>
      <c r="AN46" s="172" t="e">
        <f>Q46*F46</f>
        <v>#REF!</v>
      </c>
      <c r="AO46" s="173" t="e">
        <f>R46*F46</f>
        <v>#REF!</v>
      </c>
      <c r="AP46" s="174" t="e">
        <f>S46*F46</f>
        <v>#REF!</v>
      </c>
      <c r="AQ46" s="172" t="e">
        <f>T46*F46</f>
        <v>#REF!</v>
      </c>
      <c r="AR46" s="173" t="e">
        <f>U46*F46</f>
        <v>#REF!</v>
      </c>
      <c r="AS46" s="174" t="e">
        <f>V46*F46</f>
        <v>#REF!</v>
      </c>
      <c r="AT46" s="172" t="e">
        <f>W46*F46</f>
        <v>#REF!</v>
      </c>
      <c r="AU46" s="173" t="e">
        <f>X46*F46</f>
        <v>#REF!</v>
      </c>
      <c r="AV46" s="174" t="e">
        <f>Y46*F46</f>
        <v>#REF!</v>
      </c>
      <c r="AW46" s="172" t="e">
        <f>Z46*F46</f>
        <v>#REF!</v>
      </c>
      <c r="AX46" s="173" t="e">
        <f>AA46*F46</f>
        <v>#REF!</v>
      </c>
      <c r="AY46" s="174" t="e">
        <f>AB46*F46</f>
        <v>#REF!</v>
      </c>
      <c r="AZ46" s="172" t="e">
        <f>AC46*F46</f>
        <v>#REF!</v>
      </c>
      <c r="BA46" s="173" t="e">
        <f>AD46*F46</f>
        <v>#REF!</v>
      </c>
    </row>
    <row r="47" spans="1:54" customHeight="1" ht="15.75" s="12" customFormat="1">
      <c r="A47" s="442"/>
      <c r="B47" s="411" t="s">
        <v>44</v>
      </c>
      <c r="C47" s="355" t="s">
        <v>78</v>
      </c>
      <c r="D47" s="55"/>
      <c r="E47" s="27"/>
      <c r="F47" s="27"/>
      <c r="G47" s="27"/>
      <c r="H47" s="28"/>
      <c r="I47" s="28" t="e">
        <f>VLOOKUP(C47,#REF!,18,0)</f>
        <v>#REF!</v>
      </c>
      <c r="J47" s="44">
        <v>0.0</v>
      </c>
      <c r="K47" s="45" t="e">
        <f>VLOOKUP($C47,#REF!,9,0)</f>
        <v>#REF!</v>
      </c>
      <c r="L47" s="48">
        <f>IF(J47&gt;K47,0,K47-J47)</f>
        <v>0</v>
      </c>
      <c r="M47" s="44" t="e">
        <f>J47+L47-K47</f>
        <v>#REF!</v>
      </c>
      <c r="N47" s="45" t="e">
        <f>VLOOKUP($C47,#REF!,9,0)</f>
        <v>#REF!</v>
      </c>
      <c r="O47" s="48" t="e">
        <f>IF(M47&gt;N47,0,N47-M47)</f>
        <v>#REF!</v>
      </c>
      <c r="P47" s="44" t="e">
        <f>M47+O47-N47</f>
        <v>#REF!</v>
      </c>
      <c r="Q47" s="45" t="e">
        <f>VLOOKUP($C47,#REF!,15,0)</f>
        <v>#REF!</v>
      </c>
      <c r="R47" s="46" t="e">
        <f>IF(P47&gt;Q47,0,Q47-P47)</f>
        <v>#REF!</v>
      </c>
      <c r="S47" s="47" t="e">
        <f>P47+R47-Q47</f>
        <v>#REF!</v>
      </c>
      <c r="T47" s="45" t="e">
        <f>VLOOKUP($C47,#REF!,21,0)</f>
        <v>#REF!</v>
      </c>
      <c r="U47" s="48" t="e">
        <f>IF(S47&gt;T47,0,T47-S47)</f>
        <v>#REF!</v>
      </c>
      <c r="V47" s="44" t="e">
        <f>S47+U47-T47</f>
        <v>#REF!</v>
      </c>
      <c r="W47" s="45" t="e">
        <f>VLOOKUP($C47,#REF!,27,0)</f>
        <v>#REF!</v>
      </c>
      <c r="X47" s="46" t="e">
        <f>IF(V47&gt;W47,0,W47-V47)</f>
        <v>#REF!</v>
      </c>
      <c r="Y47" s="44" t="e">
        <f>V47+X47-W47</f>
        <v>#REF!</v>
      </c>
      <c r="Z47" s="45" t="e">
        <f>VLOOKUP($C47,#REF!,33,0)</f>
        <v>#REF!</v>
      </c>
      <c r="AA47" s="46" t="e">
        <f>IF(Y47&gt;Z47,0,Z47-Y47)</f>
        <v>#REF!</v>
      </c>
      <c r="AB47" s="44" t="e">
        <f>Y47+AA47-Z47</f>
        <v>#REF!</v>
      </c>
      <c r="AC47" s="45" t="e">
        <f>VLOOKUP($C47,#REF!,39,0)</f>
        <v>#REF!</v>
      </c>
      <c r="AD47" s="46" t="e">
        <f>IF(AB47&gt;AC47,0,AC47-AB47)</f>
        <v>#REF!</v>
      </c>
      <c r="AE47" s="237"/>
      <c r="AG47" s="171">
        <f>J47*F47</f>
        <v>0</v>
      </c>
      <c r="AH47" s="172" t="e">
        <f>K47*F47</f>
        <v>#REF!</v>
      </c>
      <c r="AI47" s="173">
        <f>L47*F47</f>
        <v>0</v>
      </c>
      <c r="AJ47" s="174" t="e">
        <f>M47*F47</f>
        <v>#REF!</v>
      </c>
      <c r="AK47" s="172" t="e">
        <f>N47*F47</f>
        <v>#REF!</v>
      </c>
      <c r="AL47" s="173" t="e">
        <f>O47*F47</f>
        <v>#REF!</v>
      </c>
      <c r="AM47" s="174" t="e">
        <f>P47*F47</f>
        <v>#REF!</v>
      </c>
      <c r="AN47" s="172" t="e">
        <f>Q47*F47</f>
        <v>#REF!</v>
      </c>
      <c r="AO47" s="173" t="e">
        <f>R47*F47</f>
        <v>#REF!</v>
      </c>
      <c r="AP47" s="174" t="e">
        <f>S47*F47</f>
        <v>#REF!</v>
      </c>
      <c r="AQ47" s="172" t="e">
        <f>T47*F47</f>
        <v>#REF!</v>
      </c>
      <c r="AR47" s="173" t="e">
        <f>U47*F47</f>
        <v>#REF!</v>
      </c>
      <c r="AS47" s="174" t="e">
        <f>V47*F47</f>
        <v>#REF!</v>
      </c>
      <c r="AT47" s="172" t="e">
        <f>W47*F47</f>
        <v>#REF!</v>
      </c>
      <c r="AU47" s="173" t="e">
        <f>X47*F47</f>
        <v>#REF!</v>
      </c>
      <c r="AV47" s="174" t="e">
        <f>Y47*F47</f>
        <v>#REF!</v>
      </c>
      <c r="AW47" s="172" t="e">
        <f>Z47*F47</f>
        <v>#REF!</v>
      </c>
      <c r="AX47" s="173" t="e">
        <f>AA47*F47</f>
        <v>#REF!</v>
      </c>
      <c r="AY47" s="174" t="e">
        <f>AB47*F47</f>
        <v>#REF!</v>
      </c>
      <c r="AZ47" s="172" t="e">
        <f>AC47*F47</f>
        <v>#REF!</v>
      </c>
      <c r="BA47" s="173" t="e">
        <f>AD47*F47</f>
        <v>#REF!</v>
      </c>
    </row>
    <row r="48" spans="1:54" customHeight="1" ht="15.75">
      <c r="A48" s="442"/>
      <c r="B48" s="411" t="s">
        <v>44</v>
      </c>
      <c r="C48" s="355" t="s">
        <v>79</v>
      </c>
      <c r="D48" s="161"/>
      <c r="E48" s="27"/>
      <c r="F48" s="27"/>
      <c r="G48" s="27"/>
      <c r="H48" s="28"/>
      <c r="I48" s="28" t="e">
        <f>VLOOKUP(C48,#REF!,18,0)</f>
        <v>#REF!</v>
      </c>
      <c r="J48" s="44">
        <v>12</v>
      </c>
      <c r="K48" s="45" t="e">
        <f>VLOOKUP($C48,#REF!,9,0)</f>
        <v>#REF!</v>
      </c>
      <c r="L48" s="48">
        <f>IF(J48&gt;K48,0,K48-J48)</f>
        <v>0</v>
      </c>
      <c r="M48" s="44" t="e">
        <f>J48+L48-K48</f>
        <v>#REF!</v>
      </c>
      <c r="N48" s="45" t="e">
        <f>VLOOKUP($C48,#REF!,9,0)</f>
        <v>#REF!</v>
      </c>
      <c r="O48" s="48" t="e">
        <f>IF(M48&gt;N48,0,N48-M48)</f>
        <v>#REF!</v>
      </c>
      <c r="P48" s="44" t="e">
        <f>M48+O48-N48</f>
        <v>#REF!</v>
      </c>
      <c r="Q48" s="45" t="e">
        <f>VLOOKUP($C48,#REF!,15,0)</f>
        <v>#REF!</v>
      </c>
      <c r="R48" s="46" t="e">
        <f>IF(P48&gt;Q48,0,Q48-P48)</f>
        <v>#REF!</v>
      </c>
      <c r="S48" s="47" t="e">
        <f>P48+R48-Q48</f>
        <v>#REF!</v>
      </c>
      <c r="T48" s="45" t="e">
        <f>VLOOKUP($C48,#REF!,21,0)</f>
        <v>#REF!</v>
      </c>
      <c r="U48" s="48" t="e">
        <f>IF(S48&gt;T48,0,T48-S48)</f>
        <v>#REF!</v>
      </c>
      <c r="V48" s="44" t="e">
        <f>S48+U48-T48</f>
        <v>#REF!</v>
      </c>
      <c r="W48" s="45" t="e">
        <f>VLOOKUP($C48,#REF!,27,0)</f>
        <v>#REF!</v>
      </c>
      <c r="X48" s="46" t="e">
        <f>IF(V48&gt;W48,0,W48-V48)</f>
        <v>#REF!</v>
      </c>
      <c r="Y48" s="44" t="e">
        <f>V48+X48-W48</f>
        <v>#REF!</v>
      </c>
      <c r="Z48" s="45" t="e">
        <f>VLOOKUP($C48,#REF!,33,0)</f>
        <v>#REF!</v>
      </c>
      <c r="AA48" s="46" t="e">
        <f>IF(Y48&gt;Z48,0,Z48-Y48)</f>
        <v>#REF!</v>
      </c>
      <c r="AB48" s="44" t="e">
        <f>Y48+AA48-Z48</f>
        <v>#REF!</v>
      </c>
      <c r="AC48" s="45" t="e">
        <f>VLOOKUP($C48,#REF!,39,0)</f>
        <v>#REF!</v>
      </c>
      <c r="AD48" s="46" t="e">
        <f>IF(AB48&gt;AC48,0,AC48-AB48)</f>
        <v>#REF!</v>
      </c>
      <c r="AE48" s="237"/>
      <c r="AG48" s="171">
        <f>J48*F48</f>
        <v>0</v>
      </c>
      <c r="AH48" s="172" t="e">
        <f>K48*F48</f>
        <v>#REF!</v>
      </c>
      <c r="AI48" s="173">
        <f>L48*F48</f>
        <v>0</v>
      </c>
      <c r="AJ48" s="174" t="e">
        <f>M48*F48</f>
        <v>#REF!</v>
      </c>
      <c r="AK48" s="172" t="e">
        <f>N48*F48</f>
        <v>#REF!</v>
      </c>
      <c r="AL48" s="173" t="e">
        <f>O48*F48</f>
        <v>#REF!</v>
      </c>
      <c r="AM48" s="174" t="e">
        <f>P48*F48</f>
        <v>#REF!</v>
      </c>
      <c r="AN48" s="172" t="e">
        <f>Q48*F48</f>
        <v>#REF!</v>
      </c>
      <c r="AO48" s="173" t="e">
        <f>R48*F48</f>
        <v>#REF!</v>
      </c>
      <c r="AP48" s="174" t="e">
        <f>S48*F48</f>
        <v>#REF!</v>
      </c>
      <c r="AQ48" s="172" t="e">
        <f>T48*F48</f>
        <v>#REF!</v>
      </c>
      <c r="AR48" s="173" t="e">
        <f>U48*F48</f>
        <v>#REF!</v>
      </c>
      <c r="AS48" s="174" t="e">
        <f>V48*F48</f>
        <v>#REF!</v>
      </c>
      <c r="AT48" s="172" t="e">
        <f>W48*F48</f>
        <v>#REF!</v>
      </c>
      <c r="AU48" s="173" t="e">
        <f>X48*F48</f>
        <v>#REF!</v>
      </c>
      <c r="AV48" s="174" t="e">
        <f>Y48*F48</f>
        <v>#REF!</v>
      </c>
      <c r="AW48" s="172" t="e">
        <f>Z48*F48</f>
        <v>#REF!</v>
      </c>
      <c r="AX48" s="173" t="e">
        <f>AA48*F48</f>
        <v>#REF!</v>
      </c>
      <c r="AY48" s="174" t="e">
        <f>AB48*F48</f>
        <v>#REF!</v>
      </c>
      <c r="AZ48" s="172" t="e">
        <f>AC48*F48</f>
        <v>#REF!</v>
      </c>
      <c r="BA48" s="173" t="e">
        <f>AD48*F48</f>
        <v>#REF!</v>
      </c>
    </row>
    <row r="49" spans="1:54" customHeight="1" ht="15.75" s="12" customFormat="1">
      <c r="A49" s="442"/>
      <c r="B49" s="411" t="s">
        <v>44</v>
      </c>
      <c r="C49" s="355" t="s">
        <v>80</v>
      </c>
      <c r="D49" s="55"/>
      <c r="E49" s="27"/>
      <c r="F49" s="27"/>
      <c r="G49" s="27"/>
      <c r="H49" s="28"/>
      <c r="I49" s="437"/>
      <c r="J49" s="44">
        <v>0.0</v>
      </c>
      <c r="K49" s="45" t="e">
        <f>VLOOKUP($C49,#REF!,9,0)</f>
        <v>#REF!</v>
      </c>
      <c r="L49" s="48">
        <f>IF(J49&gt;K49,0,K49-J49)</f>
        <v>0</v>
      </c>
      <c r="M49" s="44" t="e">
        <f>J49+L49-K49</f>
        <v>#REF!</v>
      </c>
      <c r="N49" s="45" t="e">
        <f>VLOOKUP($C49,#REF!,9,0)</f>
        <v>#REF!</v>
      </c>
      <c r="O49" s="48" t="e">
        <f>IF(M49&gt;N49,0,N49-M49)</f>
        <v>#REF!</v>
      </c>
      <c r="P49" s="44" t="e">
        <f>M49+O49-N49</f>
        <v>#REF!</v>
      </c>
      <c r="Q49" s="45" t="e">
        <f>VLOOKUP($C49,#REF!,15,0)</f>
        <v>#REF!</v>
      </c>
      <c r="R49" s="46" t="e">
        <f>IF(P49&gt;Q49,0,Q49-P49)</f>
        <v>#REF!</v>
      </c>
      <c r="S49" s="47" t="e">
        <f>P49+R49-Q49</f>
        <v>#REF!</v>
      </c>
      <c r="T49" s="45" t="e">
        <f>VLOOKUP($C49,#REF!,21,0)</f>
        <v>#REF!</v>
      </c>
      <c r="U49" s="48" t="e">
        <f>IF(S49&gt;T49,0,T49-S49)</f>
        <v>#REF!</v>
      </c>
      <c r="V49" s="44" t="e">
        <f>S49+U49-T49</f>
        <v>#REF!</v>
      </c>
      <c r="W49" s="45" t="e">
        <f>VLOOKUP($C49,#REF!,27,0)</f>
        <v>#REF!</v>
      </c>
      <c r="X49" s="46" t="e">
        <f>IF(V49&gt;W49,0,W49-V49)</f>
        <v>#REF!</v>
      </c>
      <c r="Y49" s="44" t="e">
        <f>V49+X49-W49</f>
        <v>#REF!</v>
      </c>
      <c r="Z49" s="45" t="e">
        <f>VLOOKUP($C49,#REF!,33,0)</f>
        <v>#REF!</v>
      </c>
      <c r="AA49" s="46" t="e">
        <f>IF(Y49&gt;Z49,0,Z49-Y49)</f>
        <v>#REF!</v>
      </c>
      <c r="AB49" s="44" t="e">
        <f>Y49+AA49-Z49</f>
        <v>#REF!</v>
      </c>
      <c r="AC49" s="45" t="e">
        <f>VLOOKUP($C49,#REF!,39,0)</f>
        <v>#REF!</v>
      </c>
      <c r="AD49" s="46" t="e">
        <f>IF(AB49&gt;AC49,0,AC49-AB49)</f>
        <v>#REF!</v>
      </c>
      <c r="AE49" s="237"/>
      <c r="AG49" s="171">
        <f>J49*F49</f>
        <v>0</v>
      </c>
      <c r="AH49" s="172" t="e">
        <f>K49*F49</f>
        <v>#REF!</v>
      </c>
      <c r="AI49" s="173">
        <f>L49*F49</f>
        <v>0</v>
      </c>
      <c r="AJ49" s="174" t="e">
        <f>M49*F49</f>
        <v>#REF!</v>
      </c>
      <c r="AK49" s="172" t="e">
        <f>N49*F49</f>
        <v>#REF!</v>
      </c>
      <c r="AL49" s="173" t="e">
        <f>O49*F49</f>
        <v>#REF!</v>
      </c>
      <c r="AM49" s="174" t="e">
        <f>P49*F49</f>
        <v>#REF!</v>
      </c>
      <c r="AN49" s="172" t="e">
        <f>Q49*F49</f>
        <v>#REF!</v>
      </c>
      <c r="AO49" s="173" t="e">
        <f>R49*F49</f>
        <v>#REF!</v>
      </c>
      <c r="AP49" s="174" t="e">
        <f>S49*F49</f>
        <v>#REF!</v>
      </c>
      <c r="AQ49" s="172" t="e">
        <f>T49*F49</f>
        <v>#REF!</v>
      </c>
      <c r="AR49" s="173" t="e">
        <f>U49*F49</f>
        <v>#REF!</v>
      </c>
      <c r="AS49" s="174" t="e">
        <f>V49*F49</f>
        <v>#REF!</v>
      </c>
      <c r="AT49" s="172" t="e">
        <f>W49*F49</f>
        <v>#REF!</v>
      </c>
      <c r="AU49" s="173" t="e">
        <f>X49*F49</f>
        <v>#REF!</v>
      </c>
      <c r="AV49" s="174" t="e">
        <f>Y49*F49</f>
        <v>#REF!</v>
      </c>
      <c r="AW49" s="172" t="e">
        <f>Z49*F49</f>
        <v>#REF!</v>
      </c>
      <c r="AX49" s="173" t="e">
        <f>AA49*F49</f>
        <v>#REF!</v>
      </c>
      <c r="AY49" s="174" t="e">
        <f>AB49*F49</f>
        <v>#REF!</v>
      </c>
      <c r="AZ49" s="172" t="e">
        <f>AC49*F49</f>
        <v>#REF!</v>
      </c>
      <c r="BA49" s="173" t="e">
        <f>AD49*F49</f>
        <v>#REF!</v>
      </c>
    </row>
    <row r="50" spans="1:54" customHeight="1" ht="15.75" s="12" customFormat="1">
      <c r="A50" s="442"/>
      <c r="B50" s="411" t="s">
        <v>44</v>
      </c>
      <c r="C50" s="355" t="s">
        <v>81</v>
      </c>
      <c r="D50" s="55"/>
      <c r="E50" s="27"/>
      <c r="F50" s="27"/>
      <c r="G50" s="27"/>
      <c r="H50" s="28"/>
      <c r="I50" s="437"/>
      <c r="J50" s="44">
        <v>0.0</v>
      </c>
      <c r="K50" s="45" t="e">
        <f>VLOOKUP($C50,#REF!,9,0)</f>
        <v>#REF!</v>
      </c>
      <c r="L50" s="48">
        <f>IF(J50&gt;K50,0,K50-J50)</f>
        <v>0</v>
      </c>
      <c r="M50" s="44" t="e">
        <f>J50+L50-K50</f>
        <v>#REF!</v>
      </c>
      <c r="N50" s="45" t="e">
        <f>VLOOKUP($C50,#REF!,9,0)</f>
        <v>#REF!</v>
      </c>
      <c r="O50" s="48" t="e">
        <f>IF(M50&gt;N50,0,N50-M50)</f>
        <v>#REF!</v>
      </c>
      <c r="P50" s="44" t="e">
        <f>M50+O50-N50</f>
        <v>#REF!</v>
      </c>
      <c r="Q50" s="45" t="e">
        <f>VLOOKUP($C50,#REF!,15,0)</f>
        <v>#REF!</v>
      </c>
      <c r="R50" s="46" t="e">
        <f>IF(P50&gt;Q50,0,Q50-P50)</f>
        <v>#REF!</v>
      </c>
      <c r="S50" s="47" t="e">
        <f>P50+R50-Q50</f>
        <v>#REF!</v>
      </c>
      <c r="T50" s="45" t="e">
        <f>VLOOKUP($C50,#REF!,21,0)</f>
        <v>#REF!</v>
      </c>
      <c r="U50" s="48" t="e">
        <f>IF(S50&gt;T50,0,T50-S50)</f>
        <v>#REF!</v>
      </c>
      <c r="V50" s="44" t="e">
        <f>S50+U50-T50</f>
        <v>#REF!</v>
      </c>
      <c r="W50" s="45" t="e">
        <f>VLOOKUP($C50,#REF!,27,0)</f>
        <v>#REF!</v>
      </c>
      <c r="X50" s="46" t="e">
        <f>IF(V50&gt;W50,0,W50-V50)</f>
        <v>#REF!</v>
      </c>
      <c r="Y50" s="44" t="e">
        <f>V50+X50-W50</f>
        <v>#REF!</v>
      </c>
      <c r="Z50" s="45" t="e">
        <f>VLOOKUP($C50,#REF!,33,0)</f>
        <v>#REF!</v>
      </c>
      <c r="AA50" s="46" t="e">
        <f>IF(Y50&gt;Z50,0,Z50-Y50)</f>
        <v>#REF!</v>
      </c>
      <c r="AB50" s="44" t="e">
        <f>Y50+AA50-Z50</f>
        <v>#REF!</v>
      </c>
      <c r="AC50" s="45" t="e">
        <f>VLOOKUP($C50,#REF!,39,0)</f>
        <v>#REF!</v>
      </c>
      <c r="AD50" s="46" t="e">
        <f>IF(AB50&gt;AC50,0,AC50-AB50)</f>
        <v>#REF!</v>
      </c>
      <c r="AE50" s="237"/>
      <c r="AG50" s="171">
        <f>J50*F50</f>
        <v>0</v>
      </c>
      <c r="AH50" s="172" t="e">
        <f>K50*F50</f>
        <v>#REF!</v>
      </c>
      <c r="AI50" s="173">
        <f>L50*F50</f>
        <v>0</v>
      </c>
      <c r="AJ50" s="174" t="e">
        <f>M50*F50</f>
        <v>#REF!</v>
      </c>
      <c r="AK50" s="172" t="e">
        <f>N50*F50</f>
        <v>#REF!</v>
      </c>
      <c r="AL50" s="173" t="e">
        <f>O50*F50</f>
        <v>#REF!</v>
      </c>
      <c r="AM50" s="174" t="e">
        <f>P50*F50</f>
        <v>#REF!</v>
      </c>
      <c r="AN50" s="172" t="e">
        <f>Q50*F50</f>
        <v>#REF!</v>
      </c>
      <c r="AO50" s="173" t="e">
        <f>R50*F50</f>
        <v>#REF!</v>
      </c>
      <c r="AP50" s="174" t="e">
        <f>S50*F50</f>
        <v>#REF!</v>
      </c>
      <c r="AQ50" s="172" t="e">
        <f>T50*F50</f>
        <v>#REF!</v>
      </c>
      <c r="AR50" s="173" t="e">
        <f>U50*F50</f>
        <v>#REF!</v>
      </c>
      <c r="AS50" s="174" t="e">
        <f>V50*F50</f>
        <v>#REF!</v>
      </c>
      <c r="AT50" s="172" t="e">
        <f>W50*F50</f>
        <v>#REF!</v>
      </c>
      <c r="AU50" s="173" t="e">
        <f>X50*F50</f>
        <v>#REF!</v>
      </c>
      <c r="AV50" s="174" t="e">
        <f>Y50*F50</f>
        <v>#REF!</v>
      </c>
      <c r="AW50" s="172" t="e">
        <f>Z50*F50</f>
        <v>#REF!</v>
      </c>
      <c r="AX50" s="173" t="e">
        <f>AA50*F50</f>
        <v>#REF!</v>
      </c>
      <c r="AY50" s="174" t="e">
        <f>AB50*F50</f>
        <v>#REF!</v>
      </c>
      <c r="AZ50" s="172" t="e">
        <f>AC50*F50</f>
        <v>#REF!</v>
      </c>
      <c r="BA50" s="173" t="e">
        <f>AD50*F50</f>
        <v>#REF!</v>
      </c>
    </row>
    <row r="51" spans="1:54" customHeight="1" ht="15.75" s="12" customFormat="1">
      <c r="A51" s="442"/>
      <c r="B51" s="411" t="s">
        <v>44</v>
      </c>
      <c r="C51" s="355" t="s">
        <v>82</v>
      </c>
      <c r="D51" s="280"/>
      <c r="E51" s="27"/>
      <c r="F51" s="27"/>
      <c r="G51" s="27"/>
      <c r="H51" s="156"/>
      <c r="I51" s="437"/>
      <c r="J51" s="44">
        <v>0.0</v>
      </c>
      <c r="K51" s="45" t="e">
        <f>VLOOKUP($C51,#REF!,9,0)</f>
        <v>#REF!</v>
      </c>
      <c r="L51" s="48">
        <f>IF(J51&gt;K51,0,K51-J51)</f>
        <v>0</v>
      </c>
      <c r="M51" s="44" t="e">
        <f>J51+L51-K51</f>
        <v>#REF!</v>
      </c>
      <c r="N51" s="45" t="e">
        <f>VLOOKUP($C51,#REF!,9,0)</f>
        <v>#REF!</v>
      </c>
      <c r="O51" s="48" t="e">
        <f>IF(M51&gt;N51,0,N51-M51)</f>
        <v>#REF!</v>
      </c>
      <c r="P51" s="44" t="e">
        <f>M51+O51-N51</f>
        <v>#REF!</v>
      </c>
      <c r="Q51" s="45" t="e">
        <f>VLOOKUP($C51,#REF!,15,0)</f>
        <v>#REF!</v>
      </c>
      <c r="R51" s="46" t="e">
        <f>IF(P51&gt;Q51,0,Q51-P51)</f>
        <v>#REF!</v>
      </c>
      <c r="S51" s="47" t="e">
        <f>P51+R51-Q51</f>
        <v>#REF!</v>
      </c>
      <c r="T51" s="45" t="e">
        <f>VLOOKUP($C51,#REF!,21,0)</f>
        <v>#REF!</v>
      </c>
      <c r="U51" s="48" t="e">
        <f>IF(S51&gt;T51,0,T51-S51)</f>
        <v>#REF!</v>
      </c>
      <c r="V51" s="44" t="e">
        <f>S51+U51-T51</f>
        <v>#REF!</v>
      </c>
      <c r="W51" s="45" t="e">
        <f>VLOOKUP($C51,#REF!,27,0)</f>
        <v>#REF!</v>
      </c>
      <c r="X51" s="46" t="e">
        <f>IF(V51&gt;W51,0,W51-V51)</f>
        <v>#REF!</v>
      </c>
      <c r="Y51" s="44" t="e">
        <f>V51+X51-W51</f>
        <v>#REF!</v>
      </c>
      <c r="Z51" s="45" t="e">
        <f>VLOOKUP($C51,#REF!,33,0)</f>
        <v>#REF!</v>
      </c>
      <c r="AA51" s="46" t="e">
        <f>IF(Y51&gt;Z51,0,Z51-Y51)</f>
        <v>#REF!</v>
      </c>
      <c r="AB51" s="44" t="e">
        <f>Y51+AA51-Z51</f>
        <v>#REF!</v>
      </c>
      <c r="AC51" s="45" t="e">
        <f>VLOOKUP($C51,#REF!,39,0)</f>
        <v>#REF!</v>
      </c>
      <c r="AD51" s="46" t="e">
        <f>IF(AB51&gt;AC51,0,AC51-AB51)</f>
        <v>#REF!</v>
      </c>
      <c r="AE51" s="237"/>
      <c r="AG51" s="171">
        <f>J51*F51</f>
        <v>0</v>
      </c>
      <c r="AH51" s="172" t="e">
        <f>K51*F51</f>
        <v>#REF!</v>
      </c>
      <c r="AI51" s="173">
        <f>L51*F51</f>
        <v>0</v>
      </c>
      <c r="AJ51" s="174" t="e">
        <f>M51*F51</f>
        <v>#REF!</v>
      </c>
      <c r="AK51" s="172" t="e">
        <f>N51*F51</f>
        <v>#REF!</v>
      </c>
      <c r="AL51" s="173" t="e">
        <f>O51*F51</f>
        <v>#REF!</v>
      </c>
      <c r="AM51" s="174" t="e">
        <f>P51*F51</f>
        <v>#REF!</v>
      </c>
      <c r="AN51" s="172" t="e">
        <f>Q51*F51</f>
        <v>#REF!</v>
      </c>
      <c r="AO51" s="173" t="e">
        <f>R51*F51</f>
        <v>#REF!</v>
      </c>
      <c r="AP51" s="174" t="e">
        <f>S51*F51</f>
        <v>#REF!</v>
      </c>
      <c r="AQ51" s="172" t="e">
        <f>T51*F51</f>
        <v>#REF!</v>
      </c>
      <c r="AR51" s="173" t="e">
        <f>U51*F51</f>
        <v>#REF!</v>
      </c>
      <c r="AS51" s="174" t="e">
        <f>V51*F51</f>
        <v>#REF!</v>
      </c>
      <c r="AT51" s="172" t="e">
        <f>W51*F51</f>
        <v>#REF!</v>
      </c>
      <c r="AU51" s="173" t="e">
        <f>X51*F51</f>
        <v>#REF!</v>
      </c>
      <c r="AV51" s="174" t="e">
        <f>Y51*F51</f>
        <v>#REF!</v>
      </c>
      <c r="AW51" s="172" t="e">
        <f>Z51*F51</f>
        <v>#REF!</v>
      </c>
      <c r="AX51" s="173" t="e">
        <f>AA51*F51</f>
        <v>#REF!</v>
      </c>
      <c r="AY51" s="174" t="e">
        <f>AB51*F51</f>
        <v>#REF!</v>
      </c>
      <c r="AZ51" s="172" t="e">
        <f>AC51*F51</f>
        <v>#REF!</v>
      </c>
      <c r="BA51" s="173" t="e">
        <f>AD51*F51</f>
        <v>#REF!</v>
      </c>
    </row>
    <row r="52" spans="1:54" customHeight="1" ht="15.75">
      <c r="A52" s="442"/>
      <c r="B52" s="411" t="s">
        <v>58</v>
      </c>
      <c r="C52" s="355" t="s">
        <v>83</v>
      </c>
      <c r="D52" s="55"/>
      <c r="E52" s="27"/>
      <c r="F52" s="27"/>
      <c r="G52" s="27"/>
      <c r="H52" s="156"/>
      <c r="I52" s="437"/>
      <c r="J52" s="44">
        <v>0.0</v>
      </c>
      <c r="K52" s="45" t="e">
        <f>VLOOKUP($C52,#REF!,9,0)</f>
        <v>#REF!</v>
      </c>
      <c r="L52" s="48">
        <f>IF(J52&gt;K52,0,K52-J52)</f>
        <v>0</v>
      </c>
      <c r="M52" s="44" t="e">
        <f>J52+L52-K52</f>
        <v>#REF!</v>
      </c>
      <c r="N52" s="45" t="e">
        <f>VLOOKUP($C52,#REF!,9,0)</f>
        <v>#REF!</v>
      </c>
      <c r="O52" s="48" t="e">
        <f>IF(M52&gt;N52,0,N52-M52)</f>
        <v>#REF!</v>
      </c>
      <c r="P52" s="44" t="e">
        <f>M52+O52-N52</f>
        <v>#REF!</v>
      </c>
      <c r="Q52" s="45" t="e">
        <f>VLOOKUP($C52,#REF!,15,0)</f>
        <v>#REF!</v>
      </c>
      <c r="R52" s="46" t="e">
        <f>IF(P52&gt;Q52,0,Q52-P52)</f>
        <v>#REF!</v>
      </c>
      <c r="S52" s="47" t="e">
        <f>P52+R52-Q52</f>
        <v>#REF!</v>
      </c>
      <c r="T52" s="45" t="e">
        <f>VLOOKUP($C52,#REF!,21,0)</f>
        <v>#REF!</v>
      </c>
      <c r="U52" s="48" t="e">
        <f>IF(S52&gt;T52,0,T52-S52)</f>
        <v>#REF!</v>
      </c>
      <c r="V52" s="44" t="e">
        <f>S52+U52-T52</f>
        <v>#REF!</v>
      </c>
      <c r="W52" s="45" t="e">
        <f>VLOOKUP($C52,#REF!,27,0)</f>
        <v>#REF!</v>
      </c>
      <c r="X52" s="46" t="e">
        <f>IF(V52&gt;W52,0,W52-V52)</f>
        <v>#REF!</v>
      </c>
      <c r="Y52" s="44" t="e">
        <f>V52+X52-W52</f>
        <v>#REF!</v>
      </c>
      <c r="Z52" s="45" t="e">
        <f>VLOOKUP($C52,#REF!,33,0)</f>
        <v>#REF!</v>
      </c>
      <c r="AA52" s="46" t="e">
        <f>IF(Y52&gt;Z52,0,Z52-Y52)</f>
        <v>#REF!</v>
      </c>
      <c r="AB52" s="44" t="e">
        <f>Y52+AA52-Z52</f>
        <v>#REF!</v>
      </c>
      <c r="AC52" s="45" t="e">
        <f>VLOOKUP($C52,#REF!,39,0)</f>
        <v>#REF!</v>
      </c>
      <c r="AD52" s="46" t="e">
        <f>IF(AB52&gt;AC52,0,AC52-AB52)</f>
        <v>#REF!</v>
      </c>
      <c r="AE52" s="237"/>
      <c r="AG52" s="171">
        <f>J52*F52</f>
        <v>0</v>
      </c>
      <c r="AH52" s="172" t="e">
        <f>K52*F52</f>
        <v>#REF!</v>
      </c>
      <c r="AI52" s="173">
        <f>L52*F52</f>
        <v>0</v>
      </c>
      <c r="AJ52" s="174" t="e">
        <f>M52*F52</f>
        <v>#REF!</v>
      </c>
      <c r="AK52" s="172" t="e">
        <f>N52*F52</f>
        <v>#REF!</v>
      </c>
      <c r="AL52" s="173" t="e">
        <f>O52*F52</f>
        <v>#REF!</v>
      </c>
      <c r="AM52" s="174" t="e">
        <f>P52*F52</f>
        <v>#REF!</v>
      </c>
      <c r="AN52" s="172" t="e">
        <f>Q52*F52</f>
        <v>#REF!</v>
      </c>
      <c r="AO52" s="173" t="e">
        <f>R52*F52</f>
        <v>#REF!</v>
      </c>
      <c r="AP52" s="174" t="e">
        <f>S52*F52</f>
        <v>#REF!</v>
      </c>
      <c r="AQ52" s="172" t="e">
        <f>T52*F52</f>
        <v>#REF!</v>
      </c>
      <c r="AR52" s="173" t="e">
        <f>U52*F52</f>
        <v>#REF!</v>
      </c>
      <c r="AS52" s="174" t="e">
        <f>V52*F52</f>
        <v>#REF!</v>
      </c>
      <c r="AT52" s="172" t="e">
        <f>W52*F52</f>
        <v>#REF!</v>
      </c>
      <c r="AU52" s="173" t="e">
        <f>X52*F52</f>
        <v>#REF!</v>
      </c>
      <c r="AV52" s="174" t="e">
        <f>Y52*F52</f>
        <v>#REF!</v>
      </c>
      <c r="AW52" s="172" t="e">
        <f>Z52*F52</f>
        <v>#REF!</v>
      </c>
      <c r="AX52" s="173" t="e">
        <f>AA52*F52</f>
        <v>#REF!</v>
      </c>
      <c r="AY52" s="174" t="e">
        <f>AB52*F52</f>
        <v>#REF!</v>
      </c>
      <c r="AZ52" s="172" t="e">
        <f>AC52*F52</f>
        <v>#REF!</v>
      </c>
      <c r="BA52" s="173" t="e">
        <f>AD52*F52</f>
        <v>#REF!</v>
      </c>
    </row>
    <row r="53" spans="1:54" customHeight="1" ht="15.75">
      <c r="A53" s="442"/>
      <c r="B53" s="411" t="s">
        <v>58</v>
      </c>
      <c r="C53" s="355" t="s">
        <v>84</v>
      </c>
      <c r="D53" s="160"/>
      <c r="E53" s="27"/>
      <c r="F53" s="27"/>
      <c r="G53" s="27"/>
      <c r="H53" s="28"/>
      <c r="I53" s="437"/>
      <c r="J53" s="44">
        <v>0.0</v>
      </c>
      <c r="K53" s="45" t="e">
        <f>VLOOKUP($C53,#REF!,9,0)</f>
        <v>#REF!</v>
      </c>
      <c r="L53" s="48">
        <f>IF(J53&gt;K53,0,K53-J53)</f>
        <v>0</v>
      </c>
      <c r="M53" s="44" t="e">
        <f>J53+L53-K53</f>
        <v>#REF!</v>
      </c>
      <c r="N53" s="45" t="e">
        <f>VLOOKUP($C53,#REF!,9,0)</f>
        <v>#REF!</v>
      </c>
      <c r="O53" s="48" t="e">
        <f>IF(M53&gt;N53,0,N53-M53)</f>
        <v>#REF!</v>
      </c>
      <c r="P53" s="44" t="e">
        <f>M53+O53-N53</f>
        <v>#REF!</v>
      </c>
      <c r="Q53" s="45" t="e">
        <f>VLOOKUP($C53,#REF!,15,0)</f>
        <v>#REF!</v>
      </c>
      <c r="R53" s="46" t="e">
        <f>IF(P53&gt;Q53,0,Q53-P53)</f>
        <v>#REF!</v>
      </c>
      <c r="S53" s="47" t="e">
        <f>P53+R53-Q53</f>
        <v>#REF!</v>
      </c>
      <c r="T53" s="45" t="e">
        <f>VLOOKUP($C53,#REF!,21,0)</f>
        <v>#REF!</v>
      </c>
      <c r="U53" s="48" t="e">
        <f>IF(S53&gt;T53,0,T53-S53)</f>
        <v>#REF!</v>
      </c>
      <c r="V53" s="44" t="e">
        <f>S53+U53-T53</f>
        <v>#REF!</v>
      </c>
      <c r="W53" s="45" t="e">
        <f>VLOOKUP($C53,#REF!,27,0)</f>
        <v>#REF!</v>
      </c>
      <c r="X53" s="46" t="e">
        <f>IF(V53&gt;W53,0,W53-V53)</f>
        <v>#REF!</v>
      </c>
      <c r="Y53" s="44" t="e">
        <f>V53+X53-W53</f>
        <v>#REF!</v>
      </c>
      <c r="Z53" s="45" t="e">
        <f>VLOOKUP($C53,#REF!,33,0)</f>
        <v>#REF!</v>
      </c>
      <c r="AA53" s="46" t="e">
        <f>IF(Y53&gt;Z53,0,Z53-Y53)</f>
        <v>#REF!</v>
      </c>
      <c r="AB53" s="44" t="e">
        <f>Y53+AA53-Z53</f>
        <v>#REF!</v>
      </c>
      <c r="AC53" s="45" t="e">
        <f>VLOOKUP($C53,#REF!,39,0)</f>
        <v>#REF!</v>
      </c>
      <c r="AD53" s="46" t="e">
        <f>IF(AB53&gt;AC53,0,AC53-AB53)</f>
        <v>#REF!</v>
      </c>
      <c r="AE53" s="237"/>
      <c r="AG53" s="171">
        <f>J53*F53</f>
        <v>0</v>
      </c>
      <c r="AH53" s="172" t="e">
        <f>K53*F53</f>
        <v>#REF!</v>
      </c>
      <c r="AI53" s="173">
        <f>L53*F53</f>
        <v>0</v>
      </c>
      <c r="AJ53" s="174" t="e">
        <f>M53*F53</f>
        <v>#REF!</v>
      </c>
      <c r="AK53" s="172" t="e">
        <f>N53*F53</f>
        <v>#REF!</v>
      </c>
      <c r="AL53" s="173" t="e">
        <f>O53*F53</f>
        <v>#REF!</v>
      </c>
      <c r="AM53" s="174" t="e">
        <f>P53*F53</f>
        <v>#REF!</v>
      </c>
      <c r="AN53" s="172" t="e">
        <f>Q53*F53</f>
        <v>#REF!</v>
      </c>
      <c r="AO53" s="173" t="e">
        <f>R53*F53</f>
        <v>#REF!</v>
      </c>
      <c r="AP53" s="174" t="e">
        <f>S53*F53</f>
        <v>#REF!</v>
      </c>
      <c r="AQ53" s="172" t="e">
        <f>T53*F53</f>
        <v>#REF!</v>
      </c>
      <c r="AR53" s="173" t="e">
        <f>U53*F53</f>
        <v>#REF!</v>
      </c>
      <c r="AS53" s="174" t="e">
        <f>V53*F53</f>
        <v>#REF!</v>
      </c>
      <c r="AT53" s="172" t="e">
        <f>W53*F53</f>
        <v>#REF!</v>
      </c>
      <c r="AU53" s="173" t="e">
        <f>X53*F53</f>
        <v>#REF!</v>
      </c>
      <c r="AV53" s="174" t="e">
        <f>Y53*F53</f>
        <v>#REF!</v>
      </c>
      <c r="AW53" s="172" t="e">
        <f>Z53*F53</f>
        <v>#REF!</v>
      </c>
      <c r="AX53" s="173" t="e">
        <f>AA53*F53</f>
        <v>#REF!</v>
      </c>
      <c r="AY53" s="174" t="e">
        <f>AB53*F53</f>
        <v>#REF!</v>
      </c>
      <c r="AZ53" s="172" t="e">
        <f>AC53*F53</f>
        <v>#REF!</v>
      </c>
      <c r="BA53" s="173" t="e">
        <f>AD53*F53</f>
        <v>#REF!</v>
      </c>
    </row>
    <row r="54" spans="1:54" customHeight="1" ht="15.75">
      <c r="A54" s="442"/>
      <c r="B54" s="411" t="s">
        <v>58</v>
      </c>
      <c r="C54" s="355" t="s">
        <v>85</v>
      </c>
      <c r="D54" s="160"/>
      <c r="E54" s="27"/>
      <c r="F54" s="27"/>
      <c r="G54" s="27"/>
      <c r="H54" s="28"/>
      <c r="I54" s="437"/>
      <c r="J54" s="44">
        <v>0.0</v>
      </c>
      <c r="K54" s="45" t="e">
        <f>VLOOKUP($C54,#REF!,9,0)</f>
        <v>#REF!</v>
      </c>
      <c r="L54" s="48">
        <f>IF(J54&gt;K54,0,K54-J54)</f>
        <v>0</v>
      </c>
      <c r="M54" s="44" t="e">
        <f>J54+L54-K54</f>
        <v>#REF!</v>
      </c>
      <c r="N54" s="45" t="e">
        <f>VLOOKUP($C54,#REF!,9,0)</f>
        <v>#REF!</v>
      </c>
      <c r="O54" s="48" t="e">
        <f>IF(M54&gt;N54,0,N54-M54)</f>
        <v>#REF!</v>
      </c>
      <c r="P54" s="44" t="e">
        <f>M54+O54-N54</f>
        <v>#REF!</v>
      </c>
      <c r="Q54" s="45" t="e">
        <f>VLOOKUP($C54,#REF!,15,0)</f>
        <v>#REF!</v>
      </c>
      <c r="R54" s="46" t="e">
        <f>IF(P54&gt;Q54,0,Q54-P54)</f>
        <v>#REF!</v>
      </c>
      <c r="S54" s="47" t="e">
        <f>P54+R54-Q54</f>
        <v>#REF!</v>
      </c>
      <c r="T54" s="45" t="e">
        <f>VLOOKUP($C54,#REF!,21,0)</f>
        <v>#REF!</v>
      </c>
      <c r="U54" s="48" t="e">
        <f>IF(S54&gt;T54,0,T54-S54)</f>
        <v>#REF!</v>
      </c>
      <c r="V54" s="44" t="e">
        <f>S54+U54-T54</f>
        <v>#REF!</v>
      </c>
      <c r="W54" s="45" t="e">
        <f>VLOOKUP($C54,#REF!,27,0)</f>
        <v>#REF!</v>
      </c>
      <c r="X54" s="46" t="e">
        <f>IF(V54&gt;W54,0,W54-V54)</f>
        <v>#REF!</v>
      </c>
      <c r="Y54" s="44" t="e">
        <f>V54+X54-W54</f>
        <v>#REF!</v>
      </c>
      <c r="Z54" s="45" t="e">
        <f>VLOOKUP($C54,#REF!,33,0)</f>
        <v>#REF!</v>
      </c>
      <c r="AA54" s="46" t="e">
        <f>IF(Y54&gt;Z54,0,Z54-Y54)</f>
        <v>#REF!</v>
      </c>
      <c r="AB54" s="44" t="e">
        <f>Y54+AA54-Z54</f>
        <v>#REF!</v>
      </c>
      <c r="AC54" s="45" t="e">
        <f>VLOOKUP($C54,#REF!,39,0)</f>
        <v>#REF!</v>
      </c>
      <c r="AD54" s="46" t="e">
        <f>IF(AB54&gt;AC54,0,AC54-AB54)</f>
        <v>#REF!</v>
      </c>
      <c r="AE54" s="237"/>
      <c r="AG54" s="171">
        <f>J54*F54</f>
        <v>0</v>
      </c>
      <c r="AH54" s="172" t="e">
        <f>K54*F54</f>
        <v>#REF!</v>
      </c>
      <c r="AI54" s="173">
        <f>L54*F54</f>
        <v>0</v>
      </c>
      <c r="AJ54" s="174" t="e">
        <f>M54*F54</f>
        <v>#REF!</v>
      </c>
      <c r="AK54" s="172" t="e">
        <f>N54*F54</f>
        <v>#REF!</v>
      </c>
      <c r="AL54" s="173" t="e">
        <f>O54*F54</f>
        <v>#REF!</v>
      </c>
      <c r="AM54" s="174" t="e">
        <f>P54*F54</f>
        <v>#REF!</v>
      </c>
      <c r="AN54" s="172" t="e">
        <f>Q54*F54</f>
        <v>#REF!</v>
      </c>
      <c r="AO54" s="173" t="e">
        <f>R54*F54</f>
        <v>#REF!</v>
      </c>
      <c r="AP54" s="174" t="e">
        <f>S54*F54</f>
        <v>#REF!</v>
      </c>
      <c r="AQ54" s="172" t="e">
        <f>T54*F54</f>
        <v>#REF!</v>
      </c>
      <c r="AR54" s="173" t="e">
        <f>U54*F54</f>
        <v>#REF!</v>
      </c>
      <c r="AS54" s="174" t="e">
        <f>V54*F54</f>
        <v>#REF!</v>
      </c>
      <c r="AT54" s="172" t="e">
        <f>W54*F54</f>
        <v>#REF!</v>
      </c>
      <c r="AU54" s="173" t="e">
        <f>X54*F54</f>
        <v>#REF!</v>
      </c>
      <c r="AV54" s="174" t="e">
        <f>Y54*F54</f>
        <v>#REF!</v>
      </c>
      <c r="AW54" s="172" t="e">
        <f>Z54*F54</f>
        <v>#REF!</v>
      </c>
      <c r="AX54" s="173" t="e">
        <f>AA54*F54</f>
        <v>#REF!</v>
      </c>
      <c r="AY54" s="174" t="e">
        <f>AB54*F54</f>
        <v>#REF!</v>
      </c>
      <c r="AZ54" s="172" t="e">
        <f>AC54*F54</f>
        <v>#REF!</v>
      </c>
      <c r="BA54" s="173" t="e">
        <f>AD54*F54</f>
        <v>#REF!</v>
      </c>
    </row>
    <row r="55" spans="1:54" customHeight="1" ht="15.75">
      <c r="A55" s="442"/>
      <c r="B55" s="411" t="s">
        <v>58</v>
      </c>
      <c r="C55" s="355" t="s">
        <v>86</v>
      </c>
      <c r="D55" s="161"/>
      <c r="E55" s="27"/>
      <c r="F55" s="27"/>
      <c r="G55" s="27"/>
      <c r="H55" s="28"/>
      <c r="I55" s="28" t="e">
        <f>VLOOKUP(C55,#REF!,18,0)</f>
        <v>#REF!</v>
      </c>
      <c r="J55" s="44">
        <v>0.0</v>
      </c>
      <c r="K55" s="45" t="e">
        <f>VLOOKUP($C55,#REF!,9,0)</f>
        <v>#REF!</v>
      </c>
      <c r="L55" s="48">
        <f>IF(J55&gt;K55,0,K55-J55)</f>
        <v>0</v>
      </c>
      <c r="M55" s="44" t="e">
        <f>J55+L55-K55</f>
        <v>#REF!</v>
      </c>
      <c r="N55" s="45" t="e">
        <f>VLOOKUP($C55,#REF!,9,0)</f>
        <v>#REF!</v>
      </c>
      <c r="O55" s="48" t="e">
        <f>IF(M55&gt;N55,0,N55-M55)</f>
        <v>#REF!</v>
      </c>
      <c r="P55" s="44" t="e">
        <f>M55+O55-N55</f>
        <v>#REF!</v>
      </c>
      <c r="Q55" s="45" t="e">
        <f>VLOOKUP($C55,#REF!,15,0)</f>
        <v>#REF!</v>
      </c>
      <c r="R55" s="46" t="e">
        <f>IF(P55&gt;Q55,0,Q55-P55)</f>
        <v>#REF!</v>
      </c>
      <c r="S55" s="47" t="e">
        <f>P55+R55-Q55</f>
        <v>#REF!</v>
      </c>
      <c r="T55" s="45" t="e">
        <f>VLOOKUP($C55,#REF!,21,0)</f>
        <v>#REF!</v>
      </c>
      <c r="U55" s="48" t="e">
        <f>IF(S55&gt;T55,0,T55-S55)</f>
        <v>#REF!</v>
      </c>
      <c r="V55" s="44" t="e">
        <f>S55+U55-T55</f>
        <v>#REF!</v>
      </c>
      <c r="W55" s="45" t="e">
        <f>VLOOKUP($C55,#REF!,27,0)</f>
        <v>#REF!</v>
      </c>
      <c r="X55" s="46" t="e">
        <f>IF(V55&gt;W55,0,W55-V55)</f>
        <v>#REF!</v>
      </c>
      <c r="Y55" s="44" t="e">
        <f>V55+X55-W55</f>
        <v>#REF!</v>
      </c>
      <c r="Z55" s="45" t="e">
        <f>VLOOKUP($C55,#REF!,33,0)</f>
        <v>#REF!</v>
      </c>
      <c r="AA55" s="46" t="e">
        <f>IF(Y55&gt;Z55,0,Z55-Y55)</f>
        <v>#REF!</v>
      </c>
      <c r="AB55" s="44" t="e">
        <f>Y55+AA55-Z55</f>
        <v>#REF!</v>
      </c>
      <c r="AC55" s="45" t="e">
        <f>VLOOKUP($C55,#REF!,39,0)</f>
        <v>#REF!</v>
      </c>
      <c r="AD55" s="46" t="e">
        <f>IF(AB55&gt;AC55,0,AC55-AB55)</f>
        <v>#REF!</v>
      </c>
      <c r="AE55" s="237"/>
      <c r="AG55" s="171">
        <f>J55*F55</f>
        <v>0</v>
      </c>
      <c r="AH55" s="172" t="e">
        <f>K55*F55</f>
        <v>#REF!</v>
      </c>
      <c r="AI55" s="173">
        <f>L55*F55</f>
        <v>0</v>
      </c>
      <c r="AJ55" s="174" t="e">
        <f>M55*F55</f>
        <v>#REF!</v>
      </c>
      <c r="AK55" s="172" t="e">
        <f>N55*F55</f>
        <v>#REF!</v>
      </c>
      <c r="AL55" s="173" t="e">
        <f>O55*F55</f>
        <v>#REF!</v>
      </c>
      <c r="AM55" s="174" t="e">
        <f>P55*F55</f>
        <v>#REF!</v>
      </c>
      <c r="AN55" s="172" t="e">
        <f>Q55*F55</f>
        <v>#REF!</v>
      </c>
      <c r="AO55" s="173" t="e">
        <f>R55*F55</f>
        <v>#REF!</v>
      </c>
      <c r="AP55" s="174" t="e">
        <f>S55*F55</f>
        <v>#REF!</v>
      </c>
      <c r="AQ55" s="172" t="e">
        <f>T55*F55</f>
        <v>#REF!</v>
      </c>
      <c r="AR55" s="173" t="e">
        <f>U55*F55</f>
        <v>#REF!</v>
      </c>
      <c r="AS55" s="174" t="e">
        <f>V55*F55</f>
        <v>#REF!</v>
      </c>
      <c r="AT55" s="172" t="e">
        <f>W55*F55</f>
        <v>#REF!</v>
      </c>
      <c r="AU55" s="173" t="e">
        <f>X55*F55</f>
        <v>#REF!</v>
      </c>
      <c r="AV55" s="174" t="e">
        <f>Y55*F55</f>
        <v>#REF!</v>
      </c>
      <c r="AW55" s="172" t="e">
        <f>Z55*F55</f>
        <v>#REF!</v>
      </c>
      <c r="AX55" s="173" t="e">
        <f>AA55*F55</f>
        <v>#REF!</v>
      </c>
      <c r="AY55" s="174" t="e">
        <f>AB55*F55</f>
        <v>#REF!</v>
      </c>
      <c r="AZ55" s="172" t="e">
        <f>AC55*F55</f>
        <v>#REF!</v>
      </c>
      <c r="BA55" s="173" t="e">
        <f>AD55*F55</f>
        <v>#REF!</v>
      </c>
    </row>
    <row r="56" spans="1:54" customHeight="1" ht="15.75" s="12" customFormat="1">
      <c r="A56" s="442"/>
      <c r="B56" s="411" t="s">
        <v>58</v>
      </c>
      <c r="C56" s="355" t="s">
        <v>87</v>
      </c>
      <c r="D56" s="55"/>
      <c r="E56" s="27"/>
      <c r="F56" s="27"/>
      <c r="G56" s="27"/>
      <c r="H56" s="28"/>
      <c r="I56" s="437"/>
      <c r="J56" s="44">
        <v>0.0</v>
      </c>
      <c r="K56" s="45" t="e">
        <f>VLOOKUP($C56,#REF!,9,0)</f>
        <v>#REF!</v>
      </c>
      <c r="L56" s="48">
        <f>IF(J56&gt;K56,0,K56-J56)</f>
        <v>0</v>
      </c>
      <c r="M56" s="44" t="e">
        <f>J56+L56-K56</f>
        <v>#REF!</v>
      </c>
      <c r="N56" s="45" t="e">
        <f>VLOOKUP($C56,#REF!,9,0)</f>
        <v>#REF!</v>
      </c>
      <c r="O56" s="48" t="e">
        <f>IF(M56&gt;N56,0,N56-M56)</f>
        <v>#REF!</v>
      </c>
      <c r="P56" s="44" t="e">
        <f>M56+O56-N56</f>
        <v>#REF!</v>
      </c>
      <c r="Q56" s="45" t="e">
        <f>VLOOKUP($C56,#REF!,15,0)</f>
        <v>#REF!</v>
      </c>
      <c r="R56" s="46" t="e">
        <f>IF(P56&gt;Q56,0,Q56-P56)</f>
        <v>#REF!</v>
      </c>
      <c r="S56" s="47" t="e">
        <f>P56+R56-Q56</f>
        <v>#REF!</v>
      </c>
      <c r="T56" s="45" t="e">
        <f>VLOOKUP($C56,#REF!,21,0)</f>
        <v>#REF!</v>
      </c>
      <c r="U56" s="48" t="e">
        <f>IF(S56&gt;T56,0,T56-S56)</f>
        <v>#REF!</v>
      </c>
      <c r="V56" s="44" t="e">
        <f>S56+U56-T56</f>
        <v>#REF!</v>
      </c>
      <c r="W56" s="45" t="e">
        <f>VLOOKUP($C56,#REF!,27,0)</f>
        <v>#REF!</v>
      </c>
      <c r="X56" s="46" t="e">
        <f>IF(V56&gt;W56,0,W56-V56)</f>
        <v>#REF!</v>
      </c>
      <c r="Y56" s="44" t="e">
        <f>V56+X56-W56</f>
        <v>#REF!</v>
      </c>
      <c r="Z56" s="45" t="e">
        <f>VLOOKUP($C56,#REF!,33,0)</f>
        <v>#REF!</v>
      </c>
      <c r="AA56" s="46" t="e">
        <f>IF(Y56&gt;Z56,0,Z56-Y56)</f>
        <v>#REF!</v>
      </c>
      <c r="AB56" s="44" t="e">
        <f>Y56+AA56-Z56</f>
        <v>#REF!</v>
      </c>
      <c r="AC56" s="45" t="e">
        <f>VLOOKUP($C56,#REF!,39,0)</f>
        <v>#REF!</v>
      </c>
      <c r="AD56" s="46" t="e">
        <f>IF(AB56&gt;AC56,0,AC56-AB56)</f>
        <v>#REF!</v>
      </c>
      <c r="AE56" s="237"/>
      <c r="AG56" s="171">
        <f>J56*F56</f>
        <v>0</v>
      </c>
      <c r="AH56" s="172" t="e">
        <f>K56*F56</f>
        <v>#REF!</v>
      </c>
      <c r="AI56" s="173">
        <f>L56*F56</f>
        <v>0</v>
      </c>
      <c r="AJ56" s="174" t="e">
        <f>M56*F56</f>
        <v>#REF!</v>
      </c>
      <c r="AK56" s="172" t="e">
        <f>N56*F56</f>
        <v>#REF!</v>
      </c>
      <c r="AL56" s="173" t="e">
        <f>O56*F56</f>
        <v>#REF!</v>
      </c>
      <c r="AM56" s="174" t="e">
        <f>P56*F56</f>
        <v>#REF!</v>
      </c>
      <c r="AN56" s="172" t="e">
        <f>Q56*F56</f>
        <v>#REF!</v>
      </c>
      <c r="AO56" s="173" t="e">
        <f>R56*F56</f>
        <v>#REF!</v>
      </c>
      <c r="AP56" s="174" t="e">
        <f>S56*F56</f>
        <v>#REF!</v>
      </c>
      <c r="AQ56" s="172" t="e">
        <f>T56*F56</f>
        <v>#REF!</v>
      </c>
      <c r="AR56" s="173" t="e">
        <f>U56*F56</f>
        <v>#REF!</v>
      </c>
      <c r="AS56" s="174" t="e">
        <f>V56*F56</f>
        <v>#REF!</v>
      </c>
      <c r="AT56" s="172" t="e">
        <f>W56*F56</f>
        <v>#REF!</v>
      </c>
      <c r="AU56" s="173" t="e">
        <f>X56*F56</f>
        <v>#REF!</v>
      </c>
      <c r="AV56" s="174" t="e">
        <f>Y56*F56</f>
        <v>#REF!</v>
      </c>
      <c r="AW56" s="172" t="e">
        <f>Z56*F56</f>
        <v>#REF!</v>
      </c>
      <c r="AX56" s="173" t="e">
        <f>AA56*F56</f>
        <v>#REF!</v>
      </c>
      <c r="AY56" s="174" t="e">
        <f>AB56*F56</f>
        <v>#REF!</v>
      </c>
      <c r="AZ56" s="172" t="e">
        <f>AC56*F56</f>
        <v>#REF!</v>
      </c>
      <c r="BA56" s="173" t="e">
        <f>AD56*F56</f>
        <v>#REF!</v>
      </c>
    </row>
    <row r="57" spans="1:54" customHeight="1" ht="15.75" s="12" customFormat="1">
      <c r="A57" s="442"/>
      <c r="B57" s="411" t="s">
        <v>48</v>
      </c>
      <c r="C57" s="355" t="s">
        <v>88</v>
      </c>
      <c r="D57" s="55"/>
      <c r="E57" s="27"/>
      <c r="F57" s="27"/>
      <c r="G57" s="27"/>
      <c r="H57" s="28"/>
      <c r="I57" s="28" t="e">
        <f>VLOOKUP(C57,#REF!,18,0)</f>
        <v>#REF!</v>
      </c>
      <c r="J57" s="44">
        <v>0.0</v>
      </c>
      <c r="K57" s="45" t="e">
        <f>VLOOKUP($C57,#REF!,9,0)</f>
        <v>#REF!</v>
      </c>
      <c r="L57" s="48">
        <f>IF(J57&gt;K57,0,K57-J57)</f>
        <v>0</v>
      </c>
      <c r="M57" s="44" t="e">
        <f>J57+L57-K57</f>
        <v>#REF!</v>
      </c>
      <c r="N57" s="45" t="e">
        <f>VLOOKUP($C57,#REF!,9,0)</f>
        <v>#REF!</v>
      </c>
      <c r="O57" s="48" t="e">
        <f>IF(M57&gt;N57,0,N57-M57)</f>
        <v>#REF!</v>
      </c>
      <c r="P57" s="44" t="e">
        <f>M57+O57-N57</f>
        <v>#REF!</v>
      </c>
      <c r="Q57" s="45" t="e">
        <f>VLOOKUP($C57,#REF!,15,0)</f>
        <v>#REF!</v>
      </c>
      <c r="R57" s="46" t="e">
        <f>IF(P57&gt;Q57,0,Q57-P57)</f>
        <v>#REF!</v>
      </c>
      <c r="S57" s="47" t="e">
        <f>P57+R57-Q57</f>
        <v>#REF!</v>
      </c>
      <c r="T57" s="45" t="e">
        <f>VLOOKUP($C57,#REF!,21,0)</f>
        <v>#REF!</v>
      </c>
      <c r="U57" s="48" t="e">
        <f>IF(S57&gt;T57,0,T57-S57)</f>
        <v>#REF!</v>
      </c>
      <c r="V57" s="44" t="e">
        <f>S57+U57-T57</f>
        <v>#REF!</v>
      </c>
      <c r="W57" s="45" t="e">
        <f>VLOOKUP($C57,#REF!,27,0)</f>
        <v>#REF!</v>
      </c>
      <c r="X57" s="46" t="e">
        <f>IF(V57&gt;W57,0,W57-V57)</f>
        <v>#REF!</v>
      </c>
      <c r="Y57" s="44" t="e">
        <f>V57+X57-W57</f>
        <v>#REF!</v>
      </c>
      <c r="Z57" s="45" t="e">
        <f>VLOOKUP($C57,#REF!,33,0)</f>
        <v>#REF!</v>
      </c>
      <c r="AA57" s="46" t="e">
        <f>IF(Y57&gt;Z57,0,Z57-Y57)</f>
        <v>#REF!</v>
      </c>
      <c r="AB57" s="44" t="e">
        <f>Y57+AA57-Z57</f>
        <v>#REF!</v>
      </c>
      <c r="AC57" s="45" t="e">
        <f>VLOOKUP($C57,#REF!,39,0)</f>
        <v>#REF!</v>
      </c>
      <c r="AD57" s="46" t="e">
        <f>IF(AB57&gt;AC57,0,AC57-AB57)</f>
        <v>#REF!</v>
      </c>
      <c r="AE57" s="237"/>
      <c r="AG57" s="171">
        <f>J57*F57</f>
        <v>0</v>
      </c>
      <c r="AH57" s="172" t="e">
        <f>K57*F57</f>
        <v>#REF!</v>
      </c>
      <c r="AI57" s="173">
        <f>L57*F57</f>
        <v>0</v>
      </c>
      <c r="AJ57" s="174" t="e">
        <f>M57*F57</f>
        <v>#REF!</v>
      </c>
      <c r="AK57" s="172" t="e">
        <f>N57*F57</f>
        <v>#REF!</v>
      </c>
      <c r="AL57" s="173" t="e">
        <f>O57*F57</f>
        <v>#REF!</v>
      </c>
      <c r="AM57" s="174" t="e">
        <f>P57*F57</f>
        <v>#REF!</v>
      </c>
      <c r="AN57" s="172" t="e">
        <f>Q57*F57</f>
        <v>#REF!</v>
      </c>
      <c r="AO57" s="173" t="e">
        <f>R57*F57</f>
        <v>#REF!</v>
      </c>
      <c r="AP57" s="174" t="e">
        <f>S57*F57</f>
        <v>#REF!</v>
      </c>
      <c r="AQ57" s="172" t="e">
        <f>T57*F57</f>
        <v>#REF!</v>
      </c>
      <c r="AR57" s="173" t="e">
        <f>U57*F57</f>
        <v>#REF!</v>
      </c>
      <c r="AS57" s="174" t="e">
        <f>V57*F57</f>
        <v>#REF!</v>
      </c>
      <c r="AT57" s="172" t="e">
        <f>W57*F57</f>
        <v>#REF!</v>
      </c>
      <c r="AU57" s="173" t="e">
        <f>X57*F57</f>
        <v>#REF!</v>
      </c>
      <c r="AV57" s="174" t="e">
        <f>Y57*F57</f>
        <v>#REF!</v>
      </c>
      <c r="AW57" s="172" t="e">
        <f>Z57*F57</f>
        <v>#REF!</v>
      </c>
      <c r="AX57" s="173" t="e">
        <f>AA57*F57</f>
        <v>#REF!</v>
      </c>
      <c r="AY57" s="174" t="e">
        <f>AB57*F57</f>
        <v>#REF!</v>
      </c>
      <c r="AZ57" s="172" t="e">
        <f>AC57*F57</f>
        <v>#REF!</v>
      </c>
      <c r="BA57" s="173" t="e">
        <f>AD57*F57</f>
        <v>#REF!</v>
      </c>
    </row>
    <row r="58" spans="1:54" customHeight="1" ht="15.75">
      <c r="A58" s="442"/>
      <c r="B58" s="411" t="s">
        <v>48</v>
      </c>
      <c r="C58" s="355" t="s">
        <v>89</v>
      </c>
      <c r="D58" s="161"/>
      <c r="E58" s="27"/>
      <c r="F58" s="27"/>
      <c r="G58" s="27"/>
      <c r="H58" s="28"/>
      <c r="I58" s="437"/>
      <c r="J58" s="44">
        <v>0.0</v>
      </c>
      <c r="K58" s="45" t="e">
        <f>VLOOKUP($C58,#REF!,9,0)</f>
        <v>#REF!</v>
      </c>
      <c r="L58" s="48">
        <f>IF(J58&gt;K58,0,K58-J58)</f>
        <v>0</v>
      </c>
      <c r="M58" s="44" t="e">
        <f>J58+L58-K58</f>
        <v>#REF!</v>
      </c>
      <c r="N58" s="45" t="e">
        <f>VLOOKUP($C58,#REF!,9,0)</f>
        <v>#REF!</v>
      </c>
      <c r="O58" s="48" t="e">
        <f>IF(M58&gt;N58,0,N58-M58)</f>
        <v>#REF!</v>
      </c>
      <c r="P58" s="44" t="e">
        <f>M58+O58-N58</f>
        <v>#REF!</v>
      </c>
      <c r="Q58" s="45" t="e">
        <f>VLOOKUP($C58,#REF!,15,0)</f>
        <v>#REF!</v>
      </c>
      <c r="R58" s="46" t="e">
        <f>IF(P58&gt;Q58,0,Q58-P58)</f>
        <v>#REF!</v>
      </c>
      <c r="S58" s="47" t="e">
        <f>P58+R58-Q58</f>
        <v>#REF!</v>
      </c>
      <c r="T58" s="45" t="e">
        <f>VLOOKUP($C58,#REF!,21,0)</f>
        <v>#REF!</v>
      </c>
      <c r="U58" s="48" t="e">
        <f>IF(S58&gt;T58,0,T58-S58)</f>
        <v>#REF!</v>
      </c>
      <c r="V58" s="44" t="e">
        <f>S58+U58-T58</f>
        <v>#REF!</v>
      </c>
      <c r="W58" s="45" t="e">
        <f>VLOOKUP($C58,#REF!,27,0)</f>
        <v>#REF!</v>
      </c>
      <c r="X58" s="46" t="e">
        <f>IF(V58&gt;W58,0,W58-V58)</f>
        <v>#REF!</v>
      </c>
      <c r="Y58" s="44" t="e">
        <f>V58+X58-W58</f>
        <v>#REF!</v>
      </c>
      <c r="Z58" s="45" t="e">
        <f>VLOOKUP($C58,#REF!,33,0)</f>
        <v>#REF!</v>
      </c>
      <c r="AA58" s="46" t="e">
        <f>IF(Y58&gt;Z58,0,Z58-Y58)</f>
        <v>#REF!</v>
      </c>
      <c r="AB58" s="44" t="e">
        <f>Y58+AA58-Z58</f>
        <v>#REF!</v>
      </c>
      <c r="AC58" s="45" t="e">
        <f>VLOOKUP($C58,#REF!,39,0)</f>
        <v>#REF!</v>
      </c>
      <c r="AD58" s="46" t="e">
        <f>IF(AB58&gt;AC58,0,AC58-AB58)</f>
        <v>#REF!</v>
      </c>
      <c r="AE58" s="237"/>
      <c r="AG58" s="171">
        <f>J58*F58</f>
        <v>0</v>
      </c>
      <c r="AH58" s="172" t="e">
        <f>K58*F58</f>
        <v>#REF!</v>
      </c>
      <c r="AI58" s="173">
        <f>L58*F58</f>
        <v>0</v>
      </c>
      <c r="AJ58" s="174" t="e">
        <f>M58*F58</f>
        <v>#REF!</v>
      </c>
      <c r="AK58" s="172" t="e">
        <f>N58*F58</f>
        <v>#REF!</v>
      </c>
      <c r="AL58" s="173" t="e">
        <f>O58*F58</f>
        <v>#REF!</v>
      </c>
      <c r="AM58" s="174" t="e">
        <f>P58*F58</f>
        <v>#REF!</v>
      </c>
      <c r="AN58" s="172" t="e">
        <f>Q58*F58</f>
        <v>#REF!</v>
      </c>
      <c r="AO58" s="173" t="e">
        <f>R58*F58</f>
        <v>#REF!</v>
      </c>
      <c r="AP58" s="174" t="e">
        <f>S58*F58</f>
        <v>#REF!</v>
      </c>
      <c r="AQ58" s="172" t="e">
        <f>T58*F58</f>
        <v>#REF!</v>
      </c>
      <c r="AR58" s="173" t="e">
        <f>U58*F58</f>
        <v>#REF!</v>
      </c>
      <c r="AS58" s="174" t="e">
        <f>V58*F58</f>
        <v>#REF!</v>
      </c>
      <c r="AT58" s="172" t="e">
        <f>W58*F58</f>
        <v>#REF!</v>
      </c>
      <c r="AU58" s="173" t="e">
        <f>X58*F58</f>
        <v>#REF!</v>
      </c>
      <c r="AV58" s="174" t="e">
        <f>Y58*F58</f>
        <v>#REF!</v>
      </c>
      <c r="AW58" s="172" t="e">
        <f>Z58*F58</f>
        <v>#REF!</v>
      </c>
      <c r="AX58" s="173" t="e">
        <f>AA58*F58</f>
        <v>#REF!</v>
      </c>
      <c r="AY58" s="174" t="e">
        <f>AB58*F58</f>
        <v>#REF!</v>
      </c>
      <c r="AZ58" s="172" t="e">
        <f>AC58*F58</f>
        <v>#REF!</v>
      </c>
      <c r="BA58" s="173" t="e">
        <f>AD58*F58</f>
        <v>#REF!</v>
      </c>
    </row>
    <row r="59" spans="1:54" customHeight="1" ht="15.75" s="12" customFormat="1">
      <c r="A59" s="442"/>
      <c r="B59" s="411" t="s">
        <v>44</v>
      </c>
      <c r="C59" s="355" t="s">
        <v>90</v>
      </c>
      <c r="D59" s="55"/>
      <c r="E59" s="27"/>
      <c r="F59" s="27"/>
      <c r="G59" s="27"/>
      <c r="H59" s="28"/>
      <c r="I59" s="437"/>
      <c r="J59" s="44">
        <v>0.0</v>
      </c>
      <c r="K59" s="45" t="e">
        <f>VLOOKUP($C59,#REF!,9,0)</f>
        <v>#REF!</v>
      </c>
      <c r="L59" s="48">
        <f>IF(J59&gt;K59,0,K59-J59)</f>
        <v>0</v>
      </c>
      <c r="M59" s="44" t="e">
        <f>J59+L59-K59</f>
        <v>#REF!</v>
      </c>
      <c r="N59" s="45" t="e">
        <f>VLOOKUP($C59,#REF!,9,0)</f>
        <v>#REF!</v>
      </c>
      <c r="O59" s="48" t="e">
        <f>IF(M59&gt;N59,0,N59-M59)</f>
        <v>#REF!</v>
      </c>
      <c r="P59" s="44" t="e">
        <f>M59+O59-N59</f>
        <v>#REF!</v>
      </c>
      <c r="Q59" s="45" t="e">
        <f>VLOOKUP($C59,#REF!,15,0)</f>
        <v>#REF!</v>
      </c>
      <c r="R59" s="46" t="e">
        <f>IF(P59&gt;Q59,0,Q59-P59)</f>
        <v>#REF!</v>
      </c>
      <c r="S59" s="47" t="e">
        <f>P59+R59-Q59</f>
        <v>#REF!</v>
      </c>
      <c r="T59" s="45" t="e">
        <f>VLOOKUP($C59,#REF!,21,0)</f>
        <v>#REF!</v>
      </c>
      <c r="U59" s="48" t="e">
        <f>IF(S59&gt;T59,0,T59-S59)</f>
        <v>#REF!</v>
      </c>
      <c r="V59" s="44" t="e">
        <f>S59+U59-T59</f>
        <v>#REF!</v>
      </c>
      <c r="W59" s="45" t="e">
        <f>VLOOKUP($C59,#REF!,27,0)</f>
        <v>#REF!</v>
      </c>
      <c r="X59" s="46" t="e">
        <f>IF(V59&gt;W59,0,W59-V59)</f>
        <v>#REF!</v>
      </c>
      <c r="Y59" s="44" t="e">
        <f>V59+X59-W59</f>
        <v>#REF!</v>
      </c>
      <c r="Z59" s="45" t="e">
        <f>VLOOKUP($C59,#REF!,33,0)</f>
        <v>#REF!</v>
      </c>
      <c r="AA59" s="46" t="e">
        <f>IF(Y59&gt;Z59,0,Z59-Y59)</f>
        <v>#REF!</v>
      </c>
      <c r="AB59" s="44" t="e">
        <f>Y59+AA59-Z59</f>
        <v>#REF!</v>
      </c>
      <c r="AC59" s="45" t="e">
        <f>VLOOKUP($C59,#REF!,39,0)</f>
        <v>#REF!</v>
      </c>
      <c r="AD59" s="46" t="e">
        <f>IF(AB59&gt;AC59,0,AC59-AB59)</f>
        <v>#REF!</v>
      </c>
      <c r="AE59" s="237"/>
      <c r="AG59" s="171">
        <f>J59*F59</f>
        <v>0</v>
      </c>
      <c r="AH59" s="172" t="e">
        <f>K59*F59</f>
        <v>#REF!</v>
      </c>
      <c r="AI59" s="173">
        <f>L59*F59</f>
        <v>0</v>
      </c>
      <c r="AJ59" s="174" t="e">
        <f>M59*F59</f>
        <v>#REF!</v>
      </c>
      <c r="AK59" s="172" t="e">
        <f>N59*F59</f>
        <v>#REF!</v>
      </c>
      <c r="AL59" s="173" t="e">
        <f>O59*F59</f>
        <v>#REF!</v>
      </c>
      <c r="AM59" s="174" t="e">
        <f>P59*F59</f>
        <v>#REF!</v>
      </c>
      <c r="AN59" s="172" t="e">
        <f>Q59*F59</f>
        <v>#REF!</v>
      </c>
      <c r="AO59" s="173" t="e">
        <f>R59*F59</f>
        <v>#REF!</v>
      </c>
      <c r="AP59" s="174" t="e">
        <f>S59*F59</f>
        <v>#REF!</v>
      </c>
      <c r="AQ59" s="172" t="e">
        <f>T59*F59</f>
        <v>#REF!</v>
      </c>
      <c r="AR59" s="173" t="e">
        <f>U59*F59</f>
        <v>#REF!</v>
      </c>
      <c r="AS59" s="174" t="e">
        <f>V59*F59</f>
        <v>#REF!</v>
      </c>
      <c r="AT59" s="172" t="e">
        <f>W59*F59</f>
        <v>#REF!</v>
      </c>
      <c r="AU59" s="173" t="e">
        <f>X59*F59</f>
        <v>#REF!</v>
      </c>
      <c r="AV59" s="174" t="e">
        <f>Y59*F59</f>
        <v>#REF!</v>
      </c>
      <c r="AW59" s="172" t="e">
        <f>Z59*F59</f>
        <v>#REF!</v>
      </c>
      <c r="AX59" s="173" t="e">
        <f>AA59*F59</f>
        <v>#REF!</v>
      </c>
      <c r="AY59" s="174" t="e">
        <f>AB59*F59</f>
        <v>#REF!</v>
      </c>
      <c r="AZ59" s="172" t="e">
        <f>AC59*F59</f>
        <v>#REF!</v>
      </c>
      <c r="BA59" s="173" t="e">
        <f>AD59*F59</f>
        <v>#REF!</v>
      </c>
    </row>
    <row r="60" spans="1:54" customHeight="1" ht="15.75" s="12" customFormat="1">
      <c r="A60" s="442"/>
      <c r="B60" s="411" t="s">
        <v>58</v>
      </c>
      <c r="C60" s="355" t="s">
        <v>91</v>
      </c>
      <c r="D60" s="55"/>
      <c r="E60" s="27"/>
      <c r="F60" s="27"/>
      <c r="G60" s="27"/>
      <c r="H60" s="28"/>
      <c r="I60" s="437"/>
      <c r="J60" s="44">
        <v>0.0</v>
      </c>
      <c r="K60" s="45" t="e">
        <f>VLOOKUP($C60,#REF!,9,0)</f>
        <v>#REF!</v>
      </c>
      <c r="L60" s="48">
        <f>IF(J60&gt;K60,0,K60-J60)</f>
        <v>0</v>
      </c>
      <c r="M60" s="44" t="e">
        <f>J60+L60-K60</f>
        <v>#REF!</v>
      </c>
      <c r="N60" s="45" t="e">
        <f>VLOOKUP($C60,#REF!,9,0)</f>
        <v>#REF!</v>
      </c>
      <c r="O60" s="48" t="e">
        <f>IF(M60&gt;N60,0,N60-M60)</f>
        <v>#REF!</v>
      </c>
      <c r="P60" s="44" t="e">
        <f>M60+O60-N60</f>
        <v>#REF!</v>
      </c>
      <c r="Q60" s="45" t="e">
        <f>VLOOKUP($C60,#REF!,15,0)</f>
        <v>#REF!</v>
      </c>
      <c r="R60" s="46" t="e">
        <f>IF(P60&gt;Q60,0,Q60-P60)</f>
        <v>#REF!</v>
      </c>
      <c r="S60" s="47" t="e">
        <f>P60+R60-Q60</f>
        <v>#REF!</v>
      </c>
      <c r="T60" s="45" t="e">
        <f>VLOOKUP($C60,#REF!,21,0)</f>
        <v>#REF!</v>
      </c>
      <c r="U60" s="48" t="e">
        <f>IF(S60&gt;T60,0,T60-S60)</f>
        <v>#REF!</v>
      </c>
      <c r="V60" s="44" t="e">
        <f>S60+U60-T60</f>
        <v>#REF!</v>
      </c>
      <c r="W60" s="45" t="e">
        <f>VLOOKUP($C60,#REF!,27,0)</f>
        <v>#REF!</v>
      </c>
      <c r="X60" s="46" t="e">
        <f>IF(V60&gt;W60,0,W60-V60)</f>
        <v>#REF!</v>
      </c>
      <c r="Y60" s="44" t="e">
        <f>V60+X60-W60</f>
        <v>#REF!</v>
      </c>
      <c r="Z60" s="45" t="e">
        <f>VLOOKUP($C60,#REF!,33,0)</f>
        <v>#REF!</v>
      </c>
      <c r="AA60" s="46" t="e">
        <f>IF(Y60&gt;Z60,0,Z60-Y60)</f>
        <v>#REF!</v>
      </c>
      <c r="AB60" s="44" t="e">
        <f>Y60+AA60-Z60</f>
        <v>#REF!</v>
      </c>
      <c r="AC60" s="45" t="e">
        <f>VLOOKUP($C60,#REF!,39,0)</f>
        <v>#REF!</v>
      </c>
      <c r="AD60" s="46" t="e">
        <f>IF(AB60&gt;AC60,0,AC60-AB60)</f>
        <v>#REF!</v>
      </c>
      <c r="AE60" s="237"/>
      <c r="AG60" s="171">
        <f>J60*F60</f>
        <v>0</v>
      </c>
      <c r="AH60" s="172" t="e">
        <f>K60*F60</f>
        <v>#REF!</v>
      </c>
      <c r="AI60" s="173">
        <f>L60*F60</f>
        <v>0</v>
      </c>
      <c r="AJ60" s="174" t="e">
        <f>M60*F60</f>
        <v>#REF!</v>
      </c>
      <c r="AK60" s="172" t="e">
        <f>N60*F60</f>
        <v>#REF!</v>
      </c>
      <c r="AL60" s="173" t="e">
        <f>O60*F60</f>
        <v>#REF!</v>
      </c>
      <c r="AM60" s="174" t="e">
        <f>P60*F60</f>
        <v>#REF!</v>
      </c>
      <c r="AN60" s="172" t="e">
        <f>Q60*F60</f>
        <v>#REF!</v>
      </c>
      <c r="AO60" s="173" t="e">
        <f>R60*F60</f>
        <v>#REF!</v>
      </c>
      <c r="AP60" s="174" t="e">
        <f>S60*F60</f>
        <v>#REF!</v>
      </c>
      <c r="AQ60" s="172" t="e">
        <f>T60*F60</f>
        <v>#REF!</v>
      </c>
      <c r="AR60" s="173" t="e">
        <f>U60*F60</f>
        <v>#REF!</v>
      </c>
      <c r="AS60" s="174" t="e">
        <f>V60*F60</f>
        <v>#REF!</v>
      </c>
      <c r="AT60" s="172" t="e">
        <f>W60*F60</f>
        <v>#REF!</v>
      </c>
      <c r="AU60" s="173" t="e">
        <f>X60*F60</f>
        <v>#REF!</v>
      </c>
      <c r="AV60" s="174" t="e">
        <f>Y60*F60</f>
        <v>#REF!</v>
      </c>
      <c r="AW60" s="172" t="e">
        <f>Z60*F60</f>
        <v>#REF!</v>
      </c>
      <c r="AX60" s="173" t="e">
        <f>AA60*F60</f>
        <v>#REF!</v>
      </c>
      <c r="AY60" s="174" t="e">
        <f>AB60*F60</f>
        <v>#REF!</v>
      </c>
      <c r="AZ60" s="172" t="e">
        <f>AC60*F60</f>
        <v>#REF!</v>
      </c>
      <c r="BA60" s="173" t="e">
        <f>AD60*F60</f>
        <v>#REF!</v>
      </c>
    </row>
    <row r="61" spans="1:54" customHeight="1" ht="15.75" s="12" customFormat="1">
      <c r="A61" s="442"/>
      <c r="B61" s="411" t="s">
        <v>44</v>
      </c>
      <c r="C61" s="355" t="s">
        <v>92</v>
      </c>
      <c r="D61" s="280"/>
      <c r="E61" s="27"/>
      <c r="F61" s="27"/>
      <c r="G61" s="27"/>
      <c r="H61" s="156"/>
      <c r="I61" s="28" t="e">
        <f>VLOOKUP(C61,#REF!,18,0)</f>
        <v>#REF!</v>
      </c>
      <c r="J61" s="44">
        <v>0.0</v>
      </c>
      <c r="K61" s="45" t="e">
        <f>VLOOKUP($C61,#REF!,9,0)</f>
        <v>#REF!</v>
      </c>
      <c r="L61" s="48">
        <f>IF(J61&gt;K61,0,K61-J61)</f>
        <v>0</v>
      </c>
      <c r="M61" s="44" t="e">
        <f>J61+L61-K61</f>
        <v>#REF!</v>
      </c>
      <c r="N61" s="45" t="e">
        <f>VLOOKUP($C61,#REF!,9,0)</f>
        <v>#REF!</v>
      </c>
      <c r="O61" s="48" t="e">
        <f>IF(M61&gt;N61,0,N61-M61)</f>
        <v>#REF!</v>
      </c>
      <c r="P61" s="44" t="e">
        <f>M61+O61-N61</f>
        <v>#REF!</v>
      </c>
      <c r="Q61" s="45" t="e">
        <f>VLOOKUP($C61,#REF!,15,0)</f>
        <v>#REF!</v>
      </c>
      <c r="R61" s="46" t="e">
        <f>IF(P61&gt;Q61,0,Q61-P61)</f>
        <v>#REF!</v>
      </c>
      <c r="S61" s="47" t="e">
        <f>P61+R61-Q61</f>
        <v>#REF!</v>
      </c>
      <c r="T61" s="45" t="e">
        <f>VLOOKUP($C61,#REF!,21,0)</f>
        <v>#REF!</v>
      </c>
      <c r="U61" s="48" t="e">
        <f>IF(S61&gt;T61,0,T61-S61)</f>
        <v>#REF!</v>
      </c>
      <c r="V61" s="44" t="e">
        <f>S61+U61-T61</f>
        <v>#REF!</v>
      </c>
      <c r="W61" s="45" t="e">
        <f>VLOOKUP($C61,#REF!,27,0)</f>
        <v>#REF!</v>
      </c>
      <c r="X61" s="46" t="e">
        <f>IF(V61&gt;W61,0,W61-V61)</f>
        <v>#REF!</v>
      </c>
      <c r="Y61" s="44" t="e">
        <f>V61+X61-W61</f>
        <v>#REF!</v>
      </c>
      <c r="Z61" s="45" t="e">
        <f>VLOOKUP($C61,#REF!,33,0)</f>
        <v>#REF!</v>
      </c>
      <c r="AA61" s="46" t="e">
        <f>IF(Y61&gt;Z61,0,Z61-Y61)</f>
        <v>#REF!</v>
      </c>
      <c r="AB61" s="44" t="e">
        <f>Y61+AA61-Z61</f>
        <v>#REF!</v>
      </c>
      <c r="AC61" s="45" t="e">
        <f>VLOOKUP($C61,#REF!,39,0)</f>
        <v>#REF!</v>
      </c>
      <c r="AD61" s="46" t="e">
        <f>IF(AB61&gt;AC61,0,AC61-AB61)</f>
        <v>#REF!</v>
      </c>
      <c r="AE61" s="237"/>
      <c r="AG61" s="171">
        <f>J61*F61</f>
        <v>0</v>
      </c>
      <c r="AH61" s="172" t="e">
        <f>K61*F61</f>
        <v>#REF!</v>
      </c>
      <c r="AI61" s="173">
        <f>L61*F61</f>
        <v>0</v>
      </c>
      <c r="AJ61" s="174" t="e">
        <f>M61*F61</f>
        <v>#REF!</v>
      </c>
      <c r="AK61" s="172" t="e">
        <f>N61*F61</f>
        <v>#REF!</v>
      </c>
      <c r="AL61" s="173" t="e">
        <f>O61*F61</f>
        <v>#REF!</v>
      </c>
      <c r="AM61" s="174" t="e">
        <f>P61*F61</f>
        <v>#REF!</v>
      </c>
      <c r="AN61" s="172" t="e">
        <f>Q61*F61</f>
        <v>#REF!</v>
      </c>
      <c r="AO61" s="173" t="e">
        <f>R61*F61</f>
        <v>#REF!</v>
      </c>
      <c r="AP61" s="174" t="e">
        <f>S61*F61</f>
        <v>#REF!</v>
      </c>
      <c r="AQ61" s="172" t="e">
        <f>T61*F61</f>
        <v>#REF!</v>
      </c>
      <c r="AR61" s="173" t="e">
        <f>U61*F61</f>
        <v>#REF!</v>
      </c>
      <c r="AS61" s="174" t="e">
        <f>V61*F61</f>
        <v>#REF!</v>
      </c>
      <c r="AT61" s="172" t="e">
        <f>W61*F61</f>
        <v>#REF!</v>
      </c>
      <c r="AU61" s="173" t="e">
        <f>X61*F61</f>
        <v>#REF!</v>
      </c>
      <c r="AV61" s="174" t="e">
        <f>Y61*F61</f>
        <v>#REF!</v>
      </c>
      <c r="AW61" s="172" t="e">
        <f>Z61*F61</f>
        <v>#REF!</v>
      </c>
      <c r="AX61" s="173" t="e">
        <f>AA61*F61</f>
        <v>#REF!</v>
      </c>
      <c r="AY61" s="174" t="e">
        <f>AB61*F61</f>
        <v>#REF!</v>
      </c>
      <c r="AZ61" s="172" t="e">
        <f>AC61*F61</f>
        <v>#REF!</v>
      </c>
      <c r="BA61" s="173" t="e">
        <f>AD61*F61</f>
        <v>#REF!</v>
      </c>
    </row>
    <row r="62" spans="1:54" customHeight="1" ht="15.75" s="12" customFormat="1">
      <c r="A62" s="442"/>
      <c r="B62" s="411" t="s">
        <v>44</v>
      </c>
      <c r="C62" s="355" t="s">
        <v>93</v>
      </c>
      <c r="D62" s="55"/>
      <c r="E62" s="27"/>
      <c r="F62" s="27"/>
      <c r="G62" s="27"/>
      <c r="H62" s="28"/>
      <c r="I62" s="437"/>
      <c r="J62" s="44">
        <v>0.0</v>
      </c>
      <c r="K62" s="45" t="e">
        <f>VLOOKUP($C62,#REF!,9,0)</f>
        <v>#REF!</v>
      </c>
      <c r="L62" s="48">
        <f>IF(J62&gt;K62,0,K62-J62)</f>
        <v>0</v>
      </c>
      <c r="M62" s="44" t="e">
        <f>J62+L62-K62</f>
        <v>#REF!</v>
      </c>
      <c r="N62" s="45" t="e">
        <f>VLOOKUP($C62,#REF!,9,0)</f>
        <v>#REF!</v>
      </c>
      <c r="O62" s="48" t="e">
        <f>IF(M62&gt;N62,0,N62-M62)</f>
        <v>#REF!</v>
      </c>
      <c r="P62" s="44" t="e">
        <f>M62+O62-N62</f>
        <v>#REF!</v>
      </c>
      <c r="Q62" s="45" t="e">
        <f>VLOOKUP($C62,#REF!,15,0)</f>
        <v>#REF!</v>
      </c>
      <c r="R62" s="46" t="e">
        <f>IF(P62&gt;Q62,0,Q62-P62)</f>
        <v>#REF!</v>
      </c>
      <c r="S62" s="47" t="e">
        <f>P62+R62-Q62</f>
        <v>#REF!</v>
      </c>
      <c r="T62" s="45" t="e">
        <f>VLOOKUP($C62,#REF!,21,0)</f>
        <v>#REF!</v>
      </c>
      <c r="U62" s="48" t="e">
        <f>IF(S62&gt;T62,0,T62-S62)</f>
        <v>#REF!</v>
      </c>
      <c r="V62" s="44" t="e">
        <f>S62+U62-T62</f>
        <v>#REF!</v>
      </c>
      <c r="W62" s="45" t="e">
        <f>VLOOKUP($C62,#REF!,27,0)</f>
        <v>#REF!</v>
      </c>
      <c r="X62" s="46" t="e">
        <f>IF(V62&gt;W62,0,W62-V62)</f>
        <v>#REF!</v>
      </c>
      <c r="Y62" s="44" t="e">
        <f>V62+X62-W62</f>
        <v>#REF!</v>
      </c>
      <c r="Z62" s="45" t="e">
        <f>VLOOKUP($C62,#REF!,33,0)</f>
        <v>#REF!</v>
      </c>
      <c r="AA62" s="46" t="e">
        <f>IF(Y62&gt;Z62,0,Z62-Y62)</f>
        <v>#REF!</v>
      </c>
      <c r="AB62" s="44" t="e">
        <f>Y62+AA62-Z62</f>
        <v>#REF!</v>
      </c>
      <c r="AC62" s="45" t="e">
        <f>VLOOKUP($C62,#REF!,39,0)</f>
        <v>#REF!</v>
      </c>
      <c r="AD62" s="46" t="e">
        <f>IF(AB62&gt;AC62,0,AC62-AB62)</f>
        <v>#REF!</v>
      </c>
      <c r="AE62" s="237"/>
      <c r="AG62" s="171">
        <f>J62*F62</f>
        <v>0</v>
      </c>
      <c r="AH62" s="172" t="e">
        <f>K62*F62</f>
        <v>#REF!</v>
      </c>
      <c r="AI62" s="173">
        <f>L62*F62</f>
        <v>0</v>
      </c>
      <c r="AJ62" s="174" t="e">
        <f>M62*F62</f>
        <v>#REF!</v>
      </c>
      <c r="AK62" s="172" t="e">
        <f>N62*F62</f>
        <v>#REF!</v>
      </c>
      <c r="AL62" s="173" t="e">
        <f>O62*F62</f>
        <v>#REF!</v>
      </c>
      <c r="AM62" s="174" t="e">
        <f>P62*F62</f>
        <v>#REF!</v>
      </c>
      <c r="AN62" s="172" t="e">
        <f>Q62*F62</f>
        <v>#REF!</v>
      </c>
      <c r="AO62" s="173" t="e">
        <f>R62*F62</f>
        <v>#REF!</v>
      </c>
      <c r="AP62" s="174" t="e">
        <f>S62*F62</f>
        <v>#REF!</v>
      </c>
      <c r="AQ62" s="172" t="e">
        <f>T62*F62</f>
        <v>#REF!</v>
      </c>
      <c r="AR62" s="173" t="e">
        <f>U62*F62</f>
        <v>#REF!</v>
      </c>
      <c r="AS62" s="174" t="e">
        <f>V62*F62</f>
        <v>#REF!</v>
      </c>
      <c r="AT62" s="172" t="e">
        <f>W62*F62</f>
        <v>#REF!</v>
      </c>
      <c r="AU62" s="173" t="e">
        <f>X62*F62</f>
        <v>#REF!</v>
      </c>
      <c r="AV62" s="174" t="e">
        <f>Y62*F62</f>
        <v>#REF!</v>
      </c>
      <c r="AW62" s="172" t="e">
        <f>Z62*F62</f>
        <v>#REF!</v>
      </c>
      <c r="AX62" s="173" t="e">
        <f>AA62*F62</f>
        <v>#REF!</v>
      </c>
      <c r="AY62" s="174" t="e">
        <f>AB62*F62</f>
        <v>#REF!</v>
      </c>
      <c r="AZ62" s="172" t="e">
        <f>AC62*F62</f>
        <v>#REF!</v>
      </c>
      <c r="BA62" s="173" t="e">
        <f>AD62*F62</f>
        <v>#REF!</v>
      </c>
    </row>
    <row r="63" spans="1:54" customHeight="1" ht="15.75" s="12" customFormat="1">
      <c r="A63" s="443"/>
      <c r="B63" s="411" t="s">
        <v>44</v>
      </c>
      <c r="C63" s="355" t="s">
        <v>94</v>
      </c>
      <c r="D63" s="280"/>
      <c r="E63" s="27"/>
      <c r="F63" s="27"/>
      <c r="G63" s="27"/>
      <c r="H63" s="156"/>
      <c r="I63" s="437"/>
      <c r="J63" s="44">
        <v>0.0</v>
      </c>
      <c r="K63" s="45" t="e">
        <f>VLOOKUP($C63,#REF!,9,0)</f>
        <v>#REF!</v>
      </c>
      <c r="L63" s="48">
        <f>IF(J63&gt;K63,0,K63-J63)</f>
        <v>0</v>
      </c>
      <c r="M63" s="44" t="e">
        <f>J63+L63-K63</f>
        <v>#REF!</v>
      </c>
      <c r="N63" s="45" t="e">
        <f>VLOOKUP($C63,#REF!,9,0)</f>
        <v>#REF!</v>
      </c>
      <c r="O63" s="48" t="e">
        <f>IF(M63&gt;N63,0,N63-M63)</f>
        <v>#REF!</v>
      </c>
      <c r="P63" s="44" t="e">
        <f>M63+O63-N63</f>
        <v>#REF!</v>
      </c>
      <c r="Q63" s="45" t="e">
        <f>VLOOKUP($C63,#REF!,15,0)</f>
        <v>#REF!</v>
      </c>
      <c r="R63" s="46" t="e">
        <f>IF(P63&gt;Q63,0,Q63-P63)</f>
        <v>#REF!</v>
      </c>
      <c r="S63" s="47" t="e">
        <f>P63+R63-Q63</f>
        <v>#REF!</v>
      </c>
      <c r="T63" s="45" t="e">
        <f>VLOOKUP($C63,#REF!,21,0)</f>
        <v>#REF!</v>
      </c>
      <c r="U63" s="48" t="e">
        <f>IF(S63&gt;T63,0,T63-S63)</f>
        <v>#REF!</v>
      </c>
      <c r="V63" s="44" t="e">
        <f>S63+U63-T63</f>
        <v>#REF!</v>
      </c>
      <c r="W63" s="45" t="e">
        <f>VLOOKUP($C63,#REF!,27,0)</f>
        <v>#REF!</v>
      </c>
      <c r="X63" s="46" t="e">
        <f>IF(V63&gt;W63,0,W63-V63)</f>
        <v>#REF!</v>
      </c>
      <c r="Y63" s="44" t="e">
        <f>V63+X63-W63</f>
        <v>#REF!</v>
      </c>
      <c r="Z63" s="45" t="e">
        <f>VLOOKUP($C63,#REF!,33,0)</f>
        <v>#REF!</v>
      </c>
      <c r="AA63" s="46" t="e">
        <f>IF(Y63&gt;Z63,0,Z63-Y63)</f>
        <v>#REF!</v>
      </c>
      <c r="AB63" s="44" t="e">
        <f>Y63+AA63-Z63</f>
        <v>#REF!</v>
      </c>
      <c r="AC63" s="45" t="e">
        <f>VLOOKUP($C63,#REF!,39,0)</f>
        <v>#REF!</v>
      </c>
      <c r="AD63" s="46" t="e">
        <f>IF(AB63&gt;AC63,0,AC63-AB63)</f>
        <v>#REF!</v>
      </c>
      <c r="AE63" s="237"/>
      <c r="AG63" s="171">
        <f>J63*F63</f>
        <v>0</v>
      </c>
      <c r="AH63" s="172" t="e">
        <f>K63*F63</f>
        <v>#REF!</v>
      </c>
      <c r="AI63" s="173">
        <f>L63*F63</f>
        <v>0</v>
      </c>
      <c r="AJ63" s="174" t="e">
        <f>M63*F63</f>
        <v>#REF!</v>
      </c>
      <c r="AK63" s="172" t="e">
        <f>N63*F63</f>
        <v>#REF!</v>
      </c>
      <c r="AL63" s="173" t="e">
        <f>O63*F63</f>
        <v>#REF!</v>
      </c>
      <c r="AM63" s="174" t="e">
        <f>P63*F63</f>
        <v>#REF!</v>
      </c>
      <c r="AN63" s="172" t="e">
        <f>Q63*F63</f>
        <v>#REF!</v>
      </c>
      <c r="AO63" s="173" t="e">
        <f>R63*F63</f>
        <v>#REF!</v>
      </c>
      <c r="AP63" s="174" t="e">
        <f>S63*F63</f>
        <v>#REF!</v>
      </c>
      <c r="AQ63" s="172" t="e">
        <f>T63*F63</f>
        <v>#REF!</v>
      </c>
      <c r="AR63" s="173" t="e">
        <f>U63*F63</f>
        <v>#REF!</v>
      </c>
      <c r="AS63" s="174" t="e">
        <f>V63*F63</f>
        <v>#REF!</v>
      </c>
      <c r="AT63" s="172" t="e">
        <f>W63*F63</f>
        <v>#REF!</v>
      </c>
      <c r="AU63" s="173" t="e">
        <f>X63*F63</f>
        <v>#REF!</v>
      </c>
      <c r="AV63" s="174" t="e">
        <f>Y63*F63</f>
        <v>#REF!</v>
      </c>
      <c r="AW63" s="172" t="e">
        <f>Z63*F63</f>
        <v>#REF!</v>
      </c>
      <c r="AX63" s="173" t="e">
        <f>AA63*F63</f>
        <v>#REF!</v>
      </c>
      <c r="AY63" s="174" t="e">
        <f>AB63*F63</f>
        <v>#REF!</v>
      </c>
      <c r="AZ63" s="172" t="e">
        <f>AC63*F63</f>
        <v>#REF!</v>
      </c>
      <c r="BA63" s="173" t="e">
        <f>AD63*F63</f>
        <v>#REF!</v>
      </c>
    </row>
    <row r="64" spans="1:54" customHeight="1" ht="15.75">
      <c r="A64" s="444" t="s">
        <v>95</v>
      </c>
      <c r="B64" s="438" t="s">
        <v>48</v>
      </c>
      <c r="C64" s="355" t="s">
        <v>96</v>
      </c>
      <c r="D64" s="55"/>
      <c r="E64" s="27"/>
      <c r="F64" s="27"/>
      <c r="G64" s="27"/>
      <c r="H64" s="156"/>
      <c r="I64" s="28" t="e">
        <f>VLOOKUP(C64,#REF!,18,0)</f>
        <v>#REF!</v>
      </c>
      <c r="J64" s="44">
        <v>0.0</v>
      </c>
      <c r="K64" s="45" t="e">
        <f>VLOOKUP($C64,#REF!,9,0)</f>
        <v>#REF!</v>
      </c>
      <c r="L64" s="48">
        <f>IF(J64&gt;K64,0,K64-J64)</f>
        <v>0</v>
      </c>
      <c r="M64" s="44" t="e">
        <f>J64+L64-K64</f>
        <v>#REF!</v>
      </c>
      <c r="N64" s="45" t="e">
        <f>VLOOKUP($C64,#REF!,9,0)</f>
        <v>#REF!</v>
      </c>
      <c r="O64" s="48" t="e">
        <f>IF(M64&gt;N64,0,N64-M64)</f>
        <v>#REF!</v>
      </c>
      <c r="P64" s="44" t="e">
        <f>M64+O64-N64</f>
        <v>#REF!</v>
      </c>
      <c r="Q64" s="45" t="e">
        <f>VLOOKUP($C64,#REF!,15,0)</f>
        <v>#REF!</v>
      </c>
      <c r="R64" s="46" t="e">
        <f>IF(P64&gt;Q64,0,Q64-P64)</f>
        <v>#REF!</v>
      </c>
      <c r="S64" s="47" t="e">
        <f>P64+R64-Q64</f>
        <v>#REF!</v>
      </c>
      <c r="T64" s="45" t="e">
        <f>VLOOKUP($C64,#REF!,21,0)</f>
        <v>#REF!</v>
      </c>
      <c r="U64" s="48" t="e">
        <f>IF(S64&gt;T64,0,T64-S64)</f>
        <v>#REF!</v>
      </c>
      <c r="V64" s="44" t="e">
        <f>S64+U64-T64</f>
        <v>#REF!</v>
      </c>
      <c r="W64" s="45" t="e">
        <f>VLOOKUP($C64,#REF!,27,0)</f>
        <v>#REF!</v>
      </c>
      <c r="X64" s="46" t="e">
        <f>IF(V64&gt;W64,0,W64-V64)</f>
        <v>#REF!</v>
      </c>
      <c r="Y64" s="44" t="e">
        <f>V64+X64-W64</f>
        <v>#REF!</v>
      </c>
      <c r="Z64" s="45" t="e">
        <f>VLOOKUP($C64,#REF!,33,0)</f>
        <v>#REF!</v>
      </c>
      <c r="AA64" s="46" t="e">
        <f>IF(Y64&gt;Z64,0,Z64-Y64)</f>
        <v>#REF!</v>
      </c>
      <c r="AB64" s="44" t="e">
        <f>Y64+AA64-Z64</f>
        <v>#REF!</v>
      </c>
      <c r="AC64" s="45" t="e">
        <f>VLOOKUP($C64,#REF!,39,0)</f>
        <v>#REF!</v>
      </c>
      <c r="AD64" s="46" t="e">
        <f>IF(AB64&gt;AC64,0,AC64-AB64)</f>
        <v>#REF!</v>
      </c>
      <c r="AE64" s="237"/>
      <c r="AG64" s="171">
        <f>J64*F64</f>
        <v>0</v>
      </c>
      <c r="AH64" s="172" t="e">
        <f>K64*F64</f>
        <v>#REF!</v>
      </c>
      <c r="AI64" s="173">
        <f>L64*F64</f>
        <v>0</v>
      </c>
      <c r="AJ64" s="174" t="e">
        <f>M64*F64</f>
        <v>#REF!</v>
      </c>
      <c r="AK64" s="172" t="e">
        <f>N64*F64</f>
        <v>#REF!</v>
      </c>
      <c r="AL64" s="173" t="e">
        <f>O64*F64</f>
        <v>#REF!</v>
      </c>
      <c r="AM64" s="174" t="e">
        <f>P64*F64</f>
        <v>#REF!</v>
      </c>
      <c r="AN64" s="172" t="e">
        <f>Q64*F64</f>
        <v>#REF!</v>
      </c>
      <c r="AO64" s="173" t="e">
        <f>R64*F64</f>
        <v>#REF!</v>
      </c>
      <c r="AP64" s="174" t="e">
        <f>S64*F64</f>
        <v>#REF!</v>
      </c>
      <c r="AQ64" s="172" t="e">
        <f>T64*F64</f>
        <v>#REF!</v>
      </c>
      <c r="AR64" s="173" t="e">
        <f>U64*F64</f>
        <v>#REF!</v>
      </c>
      <c r="AS64" s="174" t="e">
        <f>V64*F64</f>
        <v>#REF!</v>
      </c>
      <c r="AT64" s="172" t="e">
        <f>W64*F64</f>
        <v>#REF!</v>
      </c>
      <c r="AU64" s="173" t="e">
        <f>X64*F64</f>
        <v>#REF!</v>
      </c>
      <c r="AV64" s="174" t="e">
        <f>Y64*F64</f>
        <v>#REF!</v>
      </c>
      <c r="AW64" s="172" t="e">
        <f>Z64*F64</f>
        <v>#REF!</v>
      </c>
      <c r="AX64" s="173" t="e">
        <f>AA64*F64</f>
        <v>#REF!</v>
      </c>
      <c r="AY64" s="174" t="e">
        <f>AB64*F64</f>
        <v>#REF!</v>
      </c>
      <c r="AZ64" s="172" t="e">
        <f>AC64*F64</f>
        <v>#REF!</v>
      </c>
      <c r="BA64" s="173" t="e">
        <f>AD64*F64</f>
        <v>#REF!</v>
      </c>
    </row>
    <row r="65" spans="1:54" customHeight="1" ht="15.75" s="12" customFormat="1">
      <c r="A65" s="445"/>
      <c r="B65" s="438" t="s">
        <v>48</v>
      </c>
      <c r="C65" s="355" t="s">
        <v>97</v>
      </c>
      <c r="D65" s="280"/>
      <c r="E65" s="27"/>
      <c r="F65" s="27"/>
      <c r="G65" s="27"/>
      <c r="H65" s="156"/>
      <c r="I65" s="28" t="e">
        <f>VLOOKUP(C65,#REF!,18,0)</f>
        <v>#REF!</v>
      </c>
      <c r="J65" s="44">
        <v>24</v>
      </c>
      <c r="K65" s="45" t="e">
        <f>VLOOKUP($C65,#REF!,9,0)</f>
        <v>#REF!</v>
      </c>
      <c r="L65" s="48">
        <f>IF(J65&gt;K65,0,K65-J65)</f>
        <v>0</v>
      </c>
      <c r="M65" s="44" t="e">
        <f>J65+L65-K65</f>
        <v>#REF!</v>
      </c>
      <c r="N65" s="45" t="e">
        <f>VLOOKUP($C65,#REF!,9,0)</f>
        <v>#REF!</v>
      </c>
      <c r="O65" s="48" t="e">
        <f>IF(M65&gt;N65,0,N65-M65)</f>
        <v>#REF!</v>
      </c>
      <c r="P65" s="44" t="e">
        <f>M65+O65-N65</f>
        <v>#REF!</v>
      </c>
      <c r="Q65" s="45" t="e">
        <f>VLOOKUP($C65,#REF!,15,0)</f>
        <v>#REF!</v>
      </c>
      <c r="R65" s="46" t="e">
        <f>IF(P65&gt;Q65,0,Q65-P65)</f>
        <v>#REF!</v>
      </c>
      <c r="S65" s="47" t="e">
        <f>P65+R65-Q65</f>
        <v>#REF!</v>
      </c>
      <c r="T65" s="45" t="e">
        <f>VLOOKUP($C65,#REF!,21,0)</f>
        <v>#REF!</v>
      </c>
      <c r="U65" s="48" t="e">
        <f>IF(S65&gt;T65,0,T65-S65)</f>
        <v>#REF!</v>
      </c>
      <c r="V65" s="44" t="e">
        <f>S65+U65-T65</f>
        <v>#REF!</v>
      </c>
      <c r="W65" s="45" t="e">
        <f>VLOOKUP($C65,#REF!,27,0)</f>
        <v>#REF!</v>
      </c>
      <c r="X65" s="46" t="e">
        <f>IF(V65&gt;W65,0,W65-V65)</f>
        <v>#REF!</v>
      </c>
      <c r="Y65" s="44" t="e">
        <f>V65+X65-W65</f>
        <v>#REF!</v>
      </c>
      <c r="Z65" s="45" t="e">
        <f>VLOOKUP($C65,#REF!,33,0)</f>
        <v>#REF!</v>
      </c>
      <c r="AA65" s="46" t="e">
        <f>IF(Y65&gt;Z65,0,Z65-Y65)</f>
        <v>#REF!</v>
      </c>
      <c r="AB65" s="44" t="e">
        <f>Y65+AA65-Z65</f>
        <v>#REF!</v>
      </c>
      <c r="AC65" s="45" t="e">
        <f>VLOOKUP($C65,#REF!,39,0)</f>
        <v>#REF!</v>
      </c>
      <c r="AD65" s="46" t="e">
        <f>IF(AB65&gt;AC65,0,AC65-AB65)</f>
        <v>#REF!</v>
      </c>
      <c r="AE65" s="237"/>
      <c r="AG65" s="171">
        <f>J65*F65</f>
        <v>0</v>
      </c>
      <c r="AH65" s="172" t="e">
        <f>K65*F65</f>
        <v>#REF!</v>
      </c>
      <c r="AI65" s="173">
        <f>L65*F65</f>
        <v>0</v>
      </c>
      <c r="AJ65" s="174" t="e">
        <f>M65*F65</f>
        <v>#REF!</v>
      </c>
      <c r="AK65" s="172" t="e">
        <f>N65*F65</f>
        <v>#REF!</v>
      </c>
      <c r="AL65" s="173" t="e">
        <f>O65*F65</f>
        <v>#REF!</v>
      </c>
      <c r="AM65" s="174" t="e">
        <f>P65*F65</f>
        <v>#REF!</v>
      </c>
      <c r="AN65" s="172" t="e">
        <f>Q65*F65</f>
        <v>#REF!</v>
      </c>
      <c r="AO65" s="173" t="e">
        <f>R65*F65</f>
        <v>#REF!</v>
      </c>
      <c r="AP65" s="174" t="e">
        <f>S65*F65</f>
        <v>#REF!</v>
      </c>
      <c r="AQ65" s="172" t="e">
        <f>T65*F65</f>
        <v>#REF!</v>
      </c>
      <c r="AR65" s="173" t="e">
        <f>U65*F65</f>
        <v>#REF!</v>
      </c>
      <c r="AS65" s="174" t="e">
        <f>V65*F65</f>
        <v>#REF!</v>
      </c>
      <c r="AT65" s="172" t="e">
        <f>W65*F65</f>
        <v>#REF!</v>
      </c>
      <c r="AU65" s="173" t="e">
        <f>X65*F65</f>
        <v>#REF!</v>
      </c>
      <c r="AV65" s="174" t="e">
        <f>Y65*F65</f>
        <v>#REF!</v>
      </c>
      <c r="AW65" s="172" t="e">
        <f>Z65*F65</f>
        <v>#REF!</v>
      </c>
      <c r="AX65" s="173" t="e">
        <f>AA65*F65</f>
        <v>#REF!</v>
      </c>
      <c r="AY65" s="174" t="e">
        <f>AB65*F65</f>
        <v>#REF!</v>
      </c>
      <c r="AZ65" s="172" t="e">
        <f>AC65*F65</f>
        <v>#REF!</v>
      </c>
      <c r="BA65" s="173" t="e">
        <f>AD65*F65</f>
        <v>#REF!</v>
      </c>
    </row>
    <row r="66" spans="1:54" customHeight="1" ht="15.75" s="12" customFormat="1">
      <c r="A66" s="445"/>
      <c r="B66" s="438" t="s">
        <v>44</v>
      </c>
      <c r="C66" s="355" t="s">
        <v>98</v>
      </c>
      <c r="D66" s="280"/>
      <c r="E66" s="27"/>
      <c r="F66" s="27"/>
      <c r="G66" s="27"/>
      <c r="H66" s="156"/>
      <c r="I66" s="28" t="e">
        <f>VLOOKUP(C66,#REF!,18,0)</f>
        <v>#REF!</v>
      </c>
      <c r="J66" s="44">
        <v>60</v>
      </c>
      <c r="K66" s="45" t="e">
        <f>VLOOKUP($C66,#REF!,9,0)</f>
        <v>#REF!</v>
      </c>
      <c r="L66" s="48">
        <f>IF(J66&gt;K66,0,K66-J66)</f>
        <v>0</v>
      </c>
      <c r="M66" s="44" t="e">
        <f>J66+L66-K66</f>
        <v>#REF!</v>
      </c>
      <c r="N66" s="45" t="e">
        <f>VLOOKUP($C66,#REF!,9,0)</f>
        <v>#REF!</v>
      </c>
      <c r="O66" s="48" t="e">
        <f>IF(M66&gt;N66,0,N66-M66)</f>
        <v>#REF!</v>
      </c>
      <c r="P66" s="44" t="e">
        <f>M66+O66-N66</f>
        <v>#REF!</v>
      </c>
      <c r="Q66" s="45" t="e">
        <f>VLOOKUP($C66,#REF!,15,0)</f>
        <v>#REF!</v>
      </c>
      <c r="R66" s="46" t="e">
        <f>IF(P66&gt;Q66,0,Q66-P66)</f>
        <v>#REF!</v>
      </c>
      <c r="S66" s="47" t="e">
        <f>P66+R66-Q66</f>
        <v>#REF!</v>
      </c>
      <c r="T66" s="45" t="e">
        <f>VLOOKUP($C66,#REF!,21,0)</f>
        <v>#REF!</v>
      </c>
      <c r="U66" s="48" t="e">
        <f>IF(S66&gt;T66,0,T66-S66)</f>
        <v>#REF!</v>
      </c>
      <c r="V66" s="44" t="e">
        <f>S66+U66-T66</f>
        <v>#REF!</v>
      </c>
      <c r="W66" s="45" t="e">
        <f>VLOOKUP($C66,#REF!,27,0)</f>
        <v>#REF!</v>
      </c>
      <c r="X66" s="46" t="e">
        <f>IF(V66&gt;W66,0,W66-V66)</f>
        <v>#REF!</v>
      </c>
      <c r="Y66" s="44" t="e">
        <f>V66+X66-W66</f>
        <v>#REF!</v>
      </c>
      <c r="Z66" s="45" t="e">
        <f>VLOOKUP($C66,#REF!,33,0)</f>
        <v>#REF!</v>
      </c>
      <c r="AA66" s="46" t="e">
        <f>IF(Y66&gt;Z66,0,Z66-Y66)</f>
        <v>#REF!</v>
      </c>
      <c r="AB66" s="44" t="e">
        <f>Y66+AA66-Z66</f>
        <v>#REF!</v>
      </c>
      <c r="AC66" s="45" t="e">
        <f>VLOOKUP($C66,#REF!,39,0)</f>
        <v>#REF!</v>
      </c>
      <c r="AD66" s="46" t="e">
        <f>IF(AB66&gt;AC66,0,AC66-AB66)</f>
        <v>#REF!</v>
      </c>
      <c r="AE66" s="237"/>
      <c r="AG66" s="171">
        <f>J66*F66</f>
        <v>0</v>
      </c>
      <c r="AH66" s="172" t="e">
        <f>K66*F66</f>
        <v>#REF!</v>
      </c>
      <c r="AI66" s="173">
        <f>L66*F66</f>
        <v>0</v>
      </c>
      <c r="AJ66" s="174" t="e">
        <f>M66*F66</f>
        <v>#REF!</v>
      </c>
      <c r="AK66" s="172" t="e">
        <f>N66*F66</f>
        <v>#REF!</v>
      </c>
      <c r="AL66" s="173" t="e">
        <f>O66*F66</f>
        <v>#REF!</v>
      </c>
      <c r="AM66" s="174" t="e">
        <f>P66*F66</f>
        <v>#REF!</v>
      </c>
      <c r="AN66" s="172" t="e">
        <f>Q66*F66</f>
        <v>#REF!</v>
      </c>
      <c r="AO66" s="173" t="e">
        <f>R66*F66</f>
        <v>#REF!</v>
      </c>
      <c r="AP66" s="174" t="e">
        <f>S66*F66</f>
        <v>#REF!</v>
      </c>
      <c r="AQ66" s="172" t="e">
        <f>T66*F66</f>
        <v>#REF!</v>
      </c>
      <c r="AR66" s="173" t="e">
        <f>U66*F66</f>
        <v>#REF!</v>
      </c>
      <c r="AS66" s="174" t="e">
        <f>V66*F66</f>
        <v>#REF!</v>
      </c>
      <c r="AT66" s="172" t="e">
        <f>W66*F66</f>
        <v>#REF!</v>
      </c>
      <c r="AU66" s="173" t="e">
        <f>X66*F66</f>
        <v>#REF!</v>
      </c>
      <c r="AV66" s="174" t="e">
        <f>Y66*F66</f>
        <v>#REF!</v>
      </c>
      <c r="AW66" s="172" t="e">
        <f>Z66*F66</f>
        <v>#REF!</v>
      </c>
      <c r="AX66" s="173" t="e">
        <f>AA66*F66</f>
        <v>#REF!</v>
      </c>
      <c r="AY66" s="174" t="e">
        <f>AB66*F66</f>
        <v>#REF!</v>
      </c>
      <c r="AZ66" s="172" t="e">
        <f>AC66*F66</f>
        <v>#REF!</v>
      </c>
      <c r="BA66" s="173" t="e">
        <f>AD66*F66</f>
        <v>#REF!</v>
      </c>
    </row>
    <row r="67" spans="1:54" customHeight="1" ht="15.75">
      <c r="A67" s="445"/>
      <c r="B67" s="438" t="s">
        <v>44</v>
      </c>
      <c r="C67" s="355" t="s">
        <v>99</v>
      </c>
      <c r="D67" s="55"/>
      <c r="E67" s="27"/>
      <c r="F67" s="27"/>
      <c r="G67" s="27"/>
      <c r="H67" s="156"/>
      <c r="I67" s="28" t="e">
        <f>VLOOKUP(C67,#REF!,18,0)</f>
        <v>#REF!</v>
      </c>
      <c r="J67" s="44">
        <v>0.0</v>
      </c>
      <c r="K67" s="45" t="e">
        <f>VLOOKUP($C67,#REF!,9,0)</f>
        <v>#REF!</v>
      </c>
      <c r="L67" s="48">
        <f>IF(J67&gt;K67,0,K67-J67)</f>
        <v>0</v>
      </c>
      <c r="M67" s="44" t="e">
        <f>J67+L67-K67</f>
        <v>#REF!</v>
      </c>
      <c r="N67" s="45" t="e">
        <f>VLOOKUP($C67,#REF!,9,0)</f>
        <v>#REF!</v>
      </c>
      <c r="O67" s="48" t="e">
        <f>IF(M67&gt;N67,0,N67-M67)</f>
        <v>#REF!</v>
      </c>
      <c r="P67" s="44" t="e">
        <f>M67+O67-N67</f>
        <v>#REF!</v>
      </c>
      <c r="Q67" s="45" t="e">
        <f>VLOOKUP($C67,#REF!,15,0)</f>
        <v>#REF!</v>
      </c>
      <c r="R67" s="46" t="e">
        <f>IF(P67&gt;Q67,0,Q67-P67)</f>
        <v>#REF!</v>
      </c>
      <c r="S67" s="47" t="e">
        <f>P67+R67-Q67</f>
        <v>#REF!</v>
      </c>
      <c r="T67" s="45" t="e">
        <f>VLOOKUP($C67,#REF!,21,0)</f>
        <v>#REF!</v>
      </c>
      <c r="U67" s="48" t="e">
        <f>IF(S67&gt;T67,0,T67-S67)</f>
        <v>#REF!</v>
      </c>
      <c r="V67" s="44" t="e">
        <f>S67+U67-T67</f>
        <v>#REF!</v>
      </c>
      <c r="W67" s="45" t="e">
        <f>VLOOKUP($C67,#REF!,27,0)</f>
        <v>#REF!</v>
      </c>
      <c r="X67" s="46" t="e">
        <f>IF(V67&gt;W67,0,W67-V67)</f>
        <v>#REF!</v>
      </c>
      <c r="Y67" s="44" t="e">
        <f>V67+X67-W67</f>
        <v>#REF!</v>
      </c>
      <c r="Z67" s="45" t="e">
        <f>VLOOKUP($C67,#REF!,33,0)</f>
        <v>#REF!</v>
      </c>
      <c r="AA67" s="46" t="e">
        <f>IF(Y67&gt;Z67,0,Z67-Y67)</f>
        <v>#REF!</v>
      </c>
      <c r="AB67" s="44" t="e">
        <f>Y67+AA67-Z67</f>
        <v>#REF!</v>
      </c>
      <c r="AC67" s="45" t="e">
        <f>VLOOKUP($C67,#REF!,39,0)</f>
        <v>#REF!</v>
      </c>
      <c r="AD67" s="46" t="e">
        <f>IF(AB67&gt;AC67,0,AC67-AB67)</f>
        <v>#REF!</v>
      </c>
      <c r="AE67" s="237"/>
      <c r="AG67" s="171">
        <f>J67*F67</f>
        <v>0</v>
      </c>
      <c r="AH67" s="172" t="e">
        <f>K67*F67</f>
        <v>#REF!</v>
      </c>
      <c r="AI67" s="173">
        <f>L67*F67</f>
        <v>0</v>
      </c>
      <c r="AJ67" s="174" t="e">
        <f>M67*F67</f>
        <v>#REF!</v>
      </c>
      <c r="AK67" s="172" t="e">
        <f>N67*F67</f>
        <v>#REF!</v>
      </c>
      <c r="AL67" s="173" t="e">
        <f>O67*F67</f>
        <v>#REF!</v>
      </c>
      <c r="AM67" s="174" t="e">
        <f>P67*F67</f>
        <v>#REF!</v>
      </c>
      <c r="AN67" s="172" t="e">
        <f>Q67*F67</f>
        <v>#REF!</v>
      </c>
      <c r="AO67" s="173" t="e">
        <f>R67*F67</f>
        <v>#REF!</v>
      </c>
      <c r="AP67" s="174" t="e">
        <f>S67*F67</f>
        <v>#REF!</v>
      </c>
      <c r="AQ67" s="172" t="e">
        <f>T67*F67</f>
        <v>#REF!</v>
      </c>
      <c r="AR67" s="173" t="e">
        <f>U67*F67</f>
        <v>#REF!</v>
      </c>
      <c r="AS67" s="174" t="e">
        <f>V67*F67</f>
        <v>#REF!</v>
      </c>
      <c r="AT67" s="172" t="e">
        <f>W67*F67</f>
        <v>#REF!</v>
      </c>
      <c r="AU67" s="173" t="e">
        <f>X67*F67</f>
        <v>#REF!</v>
      </c>
      <c r="AV67" s="174" t="e">
        <f>Y67*F67</f>
        <v>#REF!</v>
      </c>
      <c r="AW67" s="172" t="e">
        <f>Z67*F67</f>
        <v>#REF!</v>
      </c>
      <c r="AX67" s="173" t="e">
        <f>AA67*F67</f>
        <v>#REF!</v>
      </c>
      <c r="AY67" s="174" t="e">
        <f>AB67*F67</f>
        <v>#REF!</v>
      </c>
      <c r="AZ67" s="172" t="e">
        <f>AC67*F67</f>
        <v>#REF!</v>
      </c>
      <c r="BA67" s="173" t="e">
        <f>AD67*F67</f>
        <v>#REF!</v>
      </c>
    </row>
    <row r="68" spans="1:54" customHeight="1" ht="15.75">
      <c r="A68" s="445"/>
      <c r="B68" s="438" t="s">
        <v>48</v>
      </c>
      <c r="C68" s="355" t="s">
        <v>100</v>
      </c>
      <c r="D68" s="160"/>
      <c r="E68" s="27"/>
      <c r="F68" s="27"/>
      <c r="G68" s="27"/>
      <c r="H68" s="28"/>
      <c r="I68" s="28" t="e">
        <f>VLOOKUP(C68,#REF!,18,0)</f>
        <v>#REF!</v>
      </c>
      <c r="J68" s="44">
        <v>0.0</v>
      </c>
      <c r="K68" s="45" t="e">
        <f>VLOOKUP($C68,#REF!,9,0)</f>
        <v>#REF!</v>
      </c>
      <c r="L68" s="48">
        <f>IF(J68&gt;K68,0,K68-J68)</f>
        <v>0</v>
      </c>
      <c r="M68" s="44" t="e">
        <f>J68+L68-K68</f>
        <v>#REF!</v>
      </c>
      <c r="N68" s="45" t="e">
        <f>VLOOKUP($C68,#REF!,9,0)</f>
        <v>#REF!</v>
      </c>
      <c r="O68" s="48" t="e">
        <f>IF(M68&gt;N68,0,N68-M68)</f>
        <v>#REF!</v>
      </c>
      <c r="P68" s="44" t="e">
        <f>M68+O68-N68</f>
        <v>#REF!</v>
      </c>
      <c r="Q68" s="45" t="e">
        <f>VLOOKUP($C68,#REF!,15,0)</f>
        <v>#REF!</v>
      </c>
      <c r="R68" s="46" t="e">
        <f>IF(P68&gt;Q68,0,Q68-P68)</f>
        <v>#REF!</v>
      </c>
      <c r="S68" s="47" t="e">
        <f>P68+R68-Q68</f>
        <v>#REF!</v>
      </c>
      <c r="T68" s="45" t="e">
        <f>VLOOKUP($C68,#REF!,21,0)</f>
        <v>#REF!</v>
      </c>
      <c r="U68" s="48" t="e">
        <f>IF(S68&gt;T68,0,T68-S68)</f>
        <v>#REF!</v>
      </c>
      <c r="V68" s="44" t="e">
        <f>S68+U68-T68</f>
        <v>#REF!</v>
      </c>
      <c r="W68" s="45" t="e">
        <f>VLOOKUP($C68,#REF!,27,0)</f>
        <v>#REF!</v>
      </c>
      <c r="X68" s="46" t="e">
        <f>IF(V68&gt;W68,0,W68-V68)</f>
        <v>#REF!</v>
      </c>
      <c r="Y68" s="44" t="e">
        <f>V68+X68-W68</f>
        <v>#REF!</v>
      </c>
      <c r="Z68" s="45" t="e">
        <f>VLOOKUP($C68,#REF!,33,0)</f>
        <v>#REF!</v>
      </c>
      <c r="AA68" s="46" t="e">
        <f>IF(Y68&gt;Z68,0,Z68-Y68)</f>
        <v>#REF!</v>
      </c>
      <c r="AB68" s="44" t="e">
        <f>Y68+AA68-Z68</f>
        <v>#REF!</v>
      </c>
      <c r="AC68" s="45" t="e">
        <f>VLOOKUP($C68,#REF!,39,0)</f>
        <v>#REF!</v>
      </c>
      <c r="AD68" s="46" t="e">
        <f>IF(AB68&gt;AC68,0,AC68-AB68)</f>
        <v>#REF!</v>
      </c>
      <c r="AE68" s="237"/>
      <c r="AG68" s="171">
        <f>J68*F68</f>
        <v>0</v>
      </c>
      <c r="AH68" s="172" t="e">
        <f>K68*F68</f>
        <v>#REF!</v>
      </c>
      <c r="AI68" s="173">
        <f>L68*F68</f>
        <v>0</v>
      </c>
      <c r="AJ68" s="174" t="e">
        <f>M68*F68</f>
        <v>#REF!</v>
      </c>
      <c r="AK68" s="172" t="e">
        <f>N68*F68</f>
        <v>#REF!</v>
      </c>
      <c r="AL68" s="173" t="e">
        <f>O68*F68</f>
        <v>#REF!</v>
      </c>
      <c r="AM68" s="174" t="e">
        <f>P68*F68</f>
        <v>#REF!</v>
      </c>
      <c r="AN68" s="172" t="e">
        <f>Q68*F68</f>
        <v>#REF!</v>
      </c>
      <c r="AO68" s="173" t="e">
        <f>R68*F68</f>
        <v>#REF!</v>
      </c>
      <c r="AP68" s="174" t="e">
        <f>S68*F68</f>
        <v>#REF!</v>
      </c>
      <c r="AQ68" s="172" t="e">
        <f>T68*F68</f>
        <v>#REF!</v>
      </c>
      <c r="AR68" s="173" t="e">
        <f>U68*F68</f>
        <v>#REF!</v>
      </c>
      <c r="AS68" s="174" t="e">
        <f>V68*F68</f>
        <v>#REF!</v>
      </c>
      <c r="AT68" s="172" t="e">
        <f>W68*F68</f>
        <v>#REF!</v>
      </c>
      <c r="AU68" s="173" t="e">
        <f>X68*F68</f>
        <v>#REF!</v>
      </c>
      <c r="AV68" s="174" t="e">
        <f>Y68*F68</f>
        <v>#REF!</v>
      </c>
      <c r="AW68" s="172" t="e">
        <f>Z68*F68</f>
        <v>#REF!</v>
      </c>
      <c r="AX68" s="173" t="e">
        <f>AA68*F68</f>
        <v>#REF!</v>
      </c>
      <c r="AY68" s="174" t="e">
        <f>AB68*F68</f>
        <v>#REF!</v>
      </c>
      <c r="AZ68" s="172" t="e">
        <f>AC68*F68</f>
        <v>#REF!</v>
      </c>
      <c r="BA68" s="173" t="e">
        <f>AD68*F68</f>
        <v>#REF!</v>
      </c>
    </row>
    <row r="69" spans="1:54" customHeight="1" ht="15.75">
      <c r="A69" s="445"/>
      <c r="B69" s="438" t="s">
        <v>44</v>
      </c>
      <c r="C69" s="355" t="s">
        <v>101</v>
      </c>
      <c r="D69" s="160"/>
      <c r="E69" s="27"/>
      <c r="F69" s="27"/>
      <c r="G69" s="27"/>
      <c r="H69" s="28"/>
      <c r="I69" s="28" t="e">
        <f>VLOOKUP(C69,#REF!,18,0)</f>
        <v>#REF!</v>
      </c>
      <c r="J69" s="44">
        <v>0.0</v>
      </c>
      <c r="K69" s="45" t="e">
        <f>VLOOKUP($C69,#REF!,9,0)</f>
        <v>#REF!</v>
      </c>
      <c r="L69" s="48">
        <f>IF(J69&gt;K69,0,K69-J69)</f>
        <v>0</v>
      </c>
      <c r="M69" s="44" t="e">
        <f>J69+L69-K69</f>
        <v>#REF!</v>
      </c>
      <c r="N69" s="45" t="e">
        <f>VLOOKUP($C69,#REF!,9,0)</f>
        <v>#REF!</v>
      </c>
      <c r="O69" s="48" t="e">
        <f>IF(M69&gt;N69,0,N69-M69)</f>
        <v>#REF!</v>
      </c>
      <c r="P69" s="44" t="e">
        <f>M69+O69-N69</f>
        <v>#REF!</v>
      </c>
      <c r="Q69" s="45" t="e">
        <f>VLOOKUP($C69,#REF!,15,0)</f>
        <v>#REF!</v>
      </c>
      <c r="R69" s="46" t="e">
        <f>IF(P69&gt;Q69,0,Q69-P69)</f>
        <v>#REF!</v>
      </c>
      <c r="S69" s="47" t="e">
        <f>P69+R69-Q69</f>
        <v>#REF!</v>
      </c>
      <c r="T69" s="45" t="e">
        <f>VLOOKUP($C69,#REF!,21,0)</f>
        <v>#REF!</v>
      </c>
      <c r="U69" s="48" t="e">
        <f>IF(S69&gt;T69,0,T69-S69)</f>
        <v>#REF!</v>
      </c>
      <c r="V69" s="44" t="e">
        <f>S69+U69-T69</f>
        <v>#REF!</v>
      </c>
      <c r="W69" s="45" t="e">
        <f>VLOOKUP($C69,#REF!,27,0)</f>
        <v>#REF!</v>
      </c>
      <c r="X69" s="46" t="e">
        <f>IF(V69&gt;W69,0,W69-V69)</f>
        <v>#REF!</v>
      </c>
      <c r="Y69" s="44" t="e">
        <f>V69+X69-W69</f>
        <v>#REF!</v>
      </c>
      <c r="Z69" s="45" t="e">
        <f>VLOOKUP($C69,#REF!,33,0)</f>
        <v>#REF!</v>
      </c>
      <c r="AA69" s="46" t="e">
        <f>IF(Y69&gt;Z69,0,Z69-Y69)</f>
        <v>#REF!</v>
      </c>
      <c r="AB69" s="44" t="e">
        <f>Y69+AA69-Z69</f>
        <v>#REF!</v>
      </c>
      <c r="AC69" s="45" t="e">
        <f>VLOOKUP($C69,#REF!,39,0)</f>
        <v>#REF!</v>
      </c>
      <c r="AD69" s="46" t="e">
        <f>IF(AB69&gt;AC69,0,AC69-AB69)</f>
        <v>#REF!</v>
      </c>
      <c r="AE69" s="237"/>
      <c r="AG69" s="171">
        <f>J69*F69</f>
        <v>0</v>
      </c>
      <c r="AH69" s="172" t="e">
        <f>K69*F69</f>
        <v>#REF!</v>
      </c>
      <c r="AI69" s="173">
        <f>L69*F69</f>
        <v>0</v>
      </c>
      <c r="AJ69" s="174" t="e">
        <f>M69*F69</f>
        <v>#REF!</v>
      </c>
      <c r="AK69" s="172" t="e">
        <f>N69*F69</f>
        <v>#REF!</v>
      </c>
      <c r="AL69" s="173" t="e">
        <f>O69*F69</f>
        <v>#REF!</v>
      </c>
      <c r="AM69" s="174" t="e">
        <f>P69*F69</f>
        <v>#REF!</v>
      </c>
      <c r="AN69" s="172" t="e">
        <f>Q69*F69</f>
        <v>#REF!</v>
      </c>
      <c r="AO69" s="173" t="e">
        <f>R69*F69</f>
        <v>#REF!</v>
      </c>
      <c r="AP69" s="174" t="e">
        <f>S69*F69</f>
        <v>#REF!</v>
      </c>
      <c r="AQ69" s="172" t="e">
        <f>T69*F69</f>
        <v>#REF!</v>
      </c>
      <c r="AR69" s="173" t="e">
        <f>U69*F69</f>
        <v>#REF!</v>
      </c>
      <c r="AS69" s="174" t="e">
        <f>V69*F69</f>
        <v>#REF!</v>
      </c>
      <c r="AT69" s="172" t="e">
        <f>W69*F69</f>
        <v>#REF!</v>
      </c>
      <c r="AU69" s="173" t="e">
        <f>X69*F69</f>
        <v>#REF!</v>
      </c>
      <c r="AV69" s="174" t="e">
        <f>Y69*F69</f>
        <v>#REF!</v>
      </c>
      <c r="AW69" s="172" t="e">
        <f>Z69*F69</f>
        <v>#REF!</v>
      </c>
      <c r="AX69" s="173" t="e">
        <f>AA69*F69</f>
        <v>#REF!</v>
      </c>
      <c r="AY69" s="174" t="e">
        <f>AB69*F69</f>
        <v>#REF!</v>
      </c>
      <c r="AZ69" s="172" t="e">
        <f>AC69*F69</f>
        <v>#REF!</v>
      </c>
      <c r="BA69" s="173" t="e">
        <f>AD69*F69</f>
        <v>#REF!</v>
      </c>
    </row>
    <row r="70" spans="1:54" customHeight="1" ht="15.75">
      <c r="A70" s="445"/>
      <c r="B70" s="438" t="s">
        <v>44</v>
      </c>
      <c r="C70" s="355" t="s">
        <v>102</v>
      </c>
      <c r="D70" s="161"/>
      <c r="E70" s="27"/>
      <c r="F70" s="27"/>
      <c r="G70" s="27"/>
      <c r="H70" s="28"/>
      <c r="I70" s="28" t="e">
        <f>VLOOKUP(C70,#REF!,18,0)</f>
        <v>#REF!</v>
      </c>
      <c r="J70" s="44">
        <v>0.0</v>
      </c>
      <c r="K70" s="45" t="e">
        <f>VLOOKUP($C70,#REF!,9,0)</f>
        <v>#REF!</v>
      </c>
      <c r="L70" s="48">
        <f>IF(J70&gt;K70,0,K70-J70)+204</f>
        <v>204</v>
      </c>
      <c r="M70" s="44" t="e">
        <f>J70+L70-K70</f>
        <v>#REF!</v>
      </c>
      <c r="N70" s="45" t="e">
        <f>VLOOKUP($C70,#REF!,9,0)</f>
        <v>#REF!</v>
      </c>
      <c r="O70" s="48" t="e">
        <f>IF(M70&gt;N70,0,N70-M70)</f>
        <v>#REF!</v>
      </c>
      <c r="P70" s="44" t="e">
        <f>M70+O70-N70</f>
        <v>#REF!</v>
      </c>
      <c r="Q70" s="45" t="e">
        <f>VLOOKUP($C70,#REF!,15,0)</f>
        <v>#REF!</v>
      </c>
      <c r="R70" s="46" t="e">
        <f>IF(P70&gt;Q70,0,Q70-P70)</f>
        <v>#REF!</v>
      </c>
      <c r="S70" s="47" t="e">
        <f>P70+R70-Q70</f>
        <v>#REF!</v>
      </c>
      <c r="T70" s="45" t="e">
        <f>VLOOKUP($C70,#REF!,21,0)</f>
        <v>#REF!</v>
      </c>
      <c r="U70" s="48" t="e">
        <f>IF(S70&gt;T70,0,T70-S70)</f>
        <v>#REF!</v>
      </c>
      <c r="V70" s="44" t="e">
        <f>S70+U70-T70</f>
        <v>#REF!</v>
      </c>
      <c r="W70" s="45" t="e">
        <f>VLOOKUP($C70,#REF!,27,0)</f>
        <v>#REF!</v>
      </c>
      <c r="X70" s="46" t="e">
        <f>IF(V70&gt;W70,0,W70-V70)</f>
        <v>#REF!</v>
      </c>
      <c r="Y70" s="44" t="e">
        <f>V70+X70-W70</f>
        <v>#REF!</v>
      </c>
      <c r="Z70" s="45" t="e">
        <f>VLOOKUP($C70,#REF!,33,0)</f>
        <v>#REF!</v>
      </c>
      <c r="AA70" s="46" t="e">
        <f>IF(Y70&gt;Z70,0,Z70-Y70)</f>
        <v>#REF!</v>
      </c>
      <c r="AB70" s="44" t="e">
        <f>Y70+AA70-Z70</f>
        <v>#REF!</v>
      </c>
      <c r="AC70" s="45" t="e">
        <f>VLOOKUP($C70,#REF!,39,0)</f>
        <v>#REF!</v>
      </c>
      <c r="AD70" s="46" t="e">
        <f>IF(AB70&gt;AC70,0,AC70-AB70)</f>
        <v>#REF!</v>
      </c>
      <c r="AE70" s="237"/>
      <c r="AG70" s="171">
        <f>J70*F70</f>
        <v>0</v>
      </c>
      <c r="AH70" s="172" t="e">
        <f>K70*F70</f>
        <v>#REF!</v>
      </c>
      <c r="AI70" s="173">
        <f>L70*F70</f>
        <v>0</v>
      </c>
      <c r="AJ70" s="174" t="e">
        <f>M70*F70</f>
        <v>#REF!</v>
      </c>
      <c r="AK70" s="172" t="e">
        <f>N70*F70</f>
        <v>#REF!</v>
      </c>
      <c r="AL70" s="173" t="e">
        <f>O70*F70</f>
        <v>#REF!</v>
      </c>
      <c r="AM70" s="174" t="e">
        <f>P70*F70</f>
        <v>#REF!</v>
      </c>
      <c r="AN70" s="172" t="e">
        <f>Q70*F70</f>
        <v>#REF!</v>
      </c>
      <c r="AO70" s="173" t="e">
        <f>R70*F70</f>
        <v>#REF!</v>
      </c>
      <c r="AP70" s="174" t="e">
        <f>S70*F70</f>
        <v>#REF!</v>
      </c>
      <c r="AQ70" s="172" t="e">
        <f>T70*F70</f>
        <v>#REF!</v>
      </c>
      <c r="AR70" s="173" t="e">
        <f>U70*F70</f>
        <v>#REF!</v>
      </c>
      <c r="AS70" s="174" t="e">
        <f>V70*F70</f>
        <v>#REF!</v>
      </c>
      <c r="AT70" s="172" t="e">
        <f>W70*F70</f>
        <v>#REF!</v>
      </c>
      <c r="AU70" s="173" t="e">
        <f>X70*F70</f>
        <v>#REF!</v>
      </c>
      <c r="AV70" s="174" t="e">
        <f>Y70*F70</f>
        <v>#REF!</v>
      </c>
      <c r="AW70" s="172" t="e">
        <f>Z70*F70</f>
        <v>#REF!</v>
      </c>
      <c r="AX70" s="173" t="e">
        <f>AA70*F70</f>
        <v>#REF!</v>
      </c>
      <c r="AY70" s="174" t="e">
        <f>AB70*F70</f>
        <v>#REF!</v>
      </c>
      <c r="AZ70" s="172" t="e">
        <f>AC70*F70</f>
        <v>#REF!</v>
      </c>
      <c r="BA70" s="173" t="e">
        <f>AD70*F70</f>
        <v>#REF!</v>
      </c>
    </row>
    <row r="71" spans="1:54" customHeight="1" ht="15.75" s="12" customFormat="1">
      <c r="A71" s="445"/>
      <c r="B71" s="438" t="s">
        <v>44</v>
      </c>
      <c r="C71" s="355" t="s">
        <v>103</v>
      </c>
      <c r="D71" s="55"/>
      <c r="E71" s="27"/>
      <c r="F71" s="27"/>
      <c r="G71" s="27"/>
      <c r="H71" s="28"/>
      <c r="I71" s="28" t="e">
        <f>VLOOKUP(C71,#REF!,18,0)</f>
        <v>#REF!</v>
      </c>
      <c r="J71" s="44">
        <v>0.0</v>
      </c>
      <c r="K71" s="45" t="e">
        <f>VLOOKUP($C71,#REF!,9,0)</f>
        <v>#REF!</v>
      </c>
      <c r="L71" s="48">
        <f>IF(J71&gt;K71,0,K71-J71)</f>
        <v>0</v>
      </c>
      <c r="M71" s="44" t="e">
        <f>J71+L71-K71</f>
        <v>#REF!</v>
      </c>
      <c r="N71" s="45" t="e">
        <f>VLOOKUP($C71,#REF!,9,0)</f>
        <v>#REF!</v>
      </c>
      <c r="O71" s="48" t="e">
        <f>IF(M71&gt;N71,0,N71-M71)</f>
        <v>#REF!</v>
      </c>
      <c r="P71" s="44" t="e">
        <f>M71+O71-N71</f>
        <v>#REF!</v>
      </c>
      <c r="Q71" s="45" t="e">
        <f>VLOOKUP($C71,#REF!,15,0)</f>
        <v>#REF!</v>
      </c>
      <c r="R71" s="46" t="e">
        <f>IF(P71&gt;Q71,0,Q71-P71)</f>
        <v>#REF!</v>
      </c>
      <c r="S71" s="47" t="e">
        <f>P71+R71-Q71</f>
        <v>#REF!</v>
      </c>
      <c r="T71" s="45" t="e">
        <f>VLOOKUP($C71,#REF!,21,0)</f>
        <v>#REF!</v>
      </c>
      <c r="U71" s="48" t="e">
        <f>IF(S71&gt;T71,0,T71-S71)</f>
        <v>#REF!</v>
      </c>
      <c r="V71" s="44" t="e">
        <f>S71+U71-T71</f>
        <v>#REF!</v>
      </c>
      <c r="W71" s="45" t="e">
        <f>VLOOKUP($C71,#REF!,27,0)</f>
        <v>#REF!</v>
      </c>
      <c r="X71" s="46" t="e">
        <f>IF(V71&gt;W71,0,W71-V71)</f>
        <v>#REF!</v>
      </c>
      <c r="Y71" s="44" t="e">
        <f>V71+X71-W71</f>
        <v>#REF!</v>
      </c>
      <c r="Z71" s="45" t="e">
        <f>VLOOKUP($C71,#REF!,33,0)</f>
        <v>#REF!</v>
      </c>
      <c r="AA71" s="46" t="e">
        <f>IF(Y71&gt;Z71,0,Z71-Y71)</f>
        <v>#REF!</v>
      </c>
      <c r="AB71" s="44" t="e">
        <f>Y71+AA71-Z71</f>
        <v>#REF!</v>
      </c>
      <c r="AC71" s="45" t="e">
        <f>VLOOKUP($C71,#REF!,39,0)</f>
        <v>#REF!</v>
      </c>
      <c r="AD71" s="46" t="e">
        <f>IF(AB71&gt;AC71,0,AC71-AB71)</f>
        <v>#REF!</v>
      </c>
      <c r="AE71" s="237"/>
      <c r="AG71" s="171">
        <f>J71*F71</f>
        <v>0</v>
      </c>
      <c r="AH71" s="172" t="e">
        <f>K71*F71</f>
        <v>#REF!</v>
      </c>
      <c r="AI71" s="173">
        <f>L71*F71</f>
        <v>0</v>
      </c>
      <c r="AJ71" s="174" t="e">
        <f>M71*F71</f>
        <v>#REF!</v>
      </c>
      <c r="AK71" s="172" t="e">
        <f>N71*F71</f>
        <v>#REF!</v>
      </c>
      <c r="AL71" s="173" t="e">
        <f>O71*F71</f>
        <v>#REF!</v>
      </c>
      <c r="AM71" s="174" t="e">
        <f>P71*F71</f>
        <v>#REF!</v>
      </c>
      <c r="AN71" s="172" t="e">
        <f>Q71*F71</f>
        <v>#REF!</v>
      </c>
      <c r="AO71" s="173" t="e">
        <f>R71*F71</f>
        <v>#REF!</v>
      </c>
      <c r="AP71" s="174" t="e">
        <f>S71*F71</f>
        <v>#REF!</v>
      </c>
      <c r="AQ71" s="172" t="e">
        <f>T71*F71</f>
        <v>#REF!</v>
      </c>
      <c r="AR71" s="173" t="e">
        <f>U71*F71</f>
        <v>#REF!</v>
      </c>
      <c r="AS71" s="174" t="e">
        <f>V71*F71</f>
        <v>#REF!</v>
      </c>
      <c r="AT71" s="172" t="e">
        <f>W71*F71</f>
        <v>#REF!</v>
      </c>
      <c r="AU71" s="173" t="e">
        <f>X71*F71</f>
        <v>#REF!</v>
      </c>
      <c r="AV71" s="174" t="e">
        <f>Y71*F71</f>
        <v>#REF!</v>
      </c>
      <c r="AW71" s="172" t="e">
        <f>Z71*F71</f>
        <v>#REF!</v>
      </c>
      <c r="AX71" s="173" t="e">
        <f>AA71*F71</f>
        <v>#REF!</v>
      </c>
      <c r="AY71" s="174" t="e">
        <f>AB71*F71</f>
        <v>#REF!</v>
      </c>
      <c r="AZ71" s="172" t="e">
        <f>AC71*F71</f>
        <v>#REF!</v>
      </c>
      <c r="BA71" s="173" t="e">
        <f>AD71*F71</f>
        <v>#REF!</v>
      </c>
    </row>
    <row r="72" spans="1:54" customHeight="1" ht="15.75" s="12" customFormat="1">
      <c r="A72" s="445"/>
      <c r="B72" s="438" t="s">
        <v>44</v>
      </c>
      <c r="C72" s="355" t="s">
        <v>104</v>
      </c>
      <c r="D72" s="55"/>
      <c r="E72" s="27"/>
      <c r="F72" s="27"/>
      <c r="G72" s="27"/>
      <c r="H72" s="28"/>
      <c r="I72" s="28" t="e">
        <f>VLOOKUP(C72,#REF!,18,0)</f>
        <v>#REF!</v>
      </c>
      <c r="J72" s="44">
        <v>24</v>
      </c>
      <c r="K72" s="45" t="e">
        <f>VLOOKUP($C72,#REF!,9,0)</f>
        <v>#REF!</v>
      </c>
      <c r="L72" s="48">
        <f>IF(J72&gt;K72,0,K72-J72)</f>
        <v>0</v>
      </c>
      <c r="M72" s="44" t="e">
        <f>J72+L72-K72</f>
        <v>#REF!</v>
      </c>
      <c r="N72" s="45" t="e">
        <f>VLOOKUP($C72,#REF!,9,0)</f>
        <v>#REF!</v>
      </c>
      <c r="O72" s="48" t="e">
        <f>IF(M72&gt;N72,0,N72-M72)</f>
        <v>#REF!</v>
      </c>
      <c r="P72" s="44" t="e">
        <f>M72+O72-N72</f>
        <v>#REF!</v>
      </c>
      <c r="Q72" s="45" t="e">
        <f>VLOOKUP($C72,#REF!,15,0)</f>
        <v>#REF!</v>
      </c>
      <c r="R72" s="46" t="e">
        <f>IF(P72&gt;Q72,0,Q72-P72)</f>
        <v>#REF!</v>
      </c>
      <c r="S72" s="47" t="e">
        <f>P72+R72-Q72</f>
        <v>#REF!</v>
      </c>
      <c r="T72" s="45" t="e">
        <f>VLOOKUP($C72,#REF!,21,0)</f>
        <v>#REF!</v>
      </c>
      <c r="U72" s="48" t="e">
        <f>IF(S72&gt;T72,0,T72-S72)</f>
        <v>#REF!</v>
      </c>
      <c r="V72" s="44" t="e">
        <f>S72+U72-T72</f>
        <v>#REF!</v>
      </c>
      <c r="W72" s="45" t="e">
        <f>VLOOKUP($C72,#REF!,27,0)</f>
        <v>#REF!</v>
      </c>
      <c r="X72" s="46" t="e">
        <f>IF(V72&gt;W72,0,W72-V72)</f>
        <v>#REF!</v>
      </c>
      <c r="Y72" s="44" t="e">
        <f>V72+X72-W72</f>
        <v>#REF!</v>
      </c>
      <c r="Z72" s="45" t="e">
        <f>VLOOKUP($C72,#REF!,33,0)</f>
        <v>#REF!</v>
      </c>
      <c r="AA72" s="46" t="e">
        <f>IF(Y72&gt;Z72,0,Z72-Y72)</f>
        <v>#REF!</v>
      </c>
      <c r="AB72" s="44" t="e">
        <f>Y72+AA72-Z72</f>
        <v>#REF!</v>
      </c>
      <c r="AC72" s="45" t="e">
        <f>VLOOKUP($C72,#REF!,39,0)</f>
        <v>#REF!</v>
      </c>
      <c r="AD72" s="46" t="e">
        <f>IF(AB72&gt;AC72,0,AC72-AB72)</f>
        <v>#REF!</v>
      </c>
      <c r="AE72" s="237"/>
      <c r="AG72" s="171">
        <f>J72*F72</f>
        <v>0</v>
      </c>
      <c r="AH72" s="172" t="e">
        <f>K72*F72</f>
        <v>#REF!</v>
      </c>
      <c r="AI72" s="173">
        <f>L72*F72</f>
        <v>0</v>
      </c>
      <c r="AJ72" s="174" t="e">
        <f>M72*F72</f>
        <v>#REF!</v>
      </c>
      <c r="AK72" s="172" t="e">
        <f>N72*F72</f>
        <v>#REF!</v>
      </c>
      <c r="AL72" s="173" t="e">
        <f>O72*F72</f>
        <v>#REF!</v>
      </c>
      <c r="AM72" s="174" t="e">
        <f>P72*F72</f>
        <v>#REF!</v>
      </c>
      <c r="AN72" s="172" t="e">
        <f>Q72*F72</f>
        <v>#REF!</v>
      </c>
      <c r="AO72" s="173" t="e">
        <f>R72*F72</f>
        <v>#REF!</v>
      </c>
      <c r="AP72" s="174" t="e">
        <f>S72*F72</f>
        <v>#REF!</v>
      </c>
      <c r="AQ72" s="172" t="e">
        <f>T72*F72</f>
        <v>#REF!</v>
      </c>
      <c r="AR72" s="173" t="e">
        <f>U72*F72</f>
        <v>#REF!</v>
      </c>
      <c r="AS72" s="174" t="e">
        <f>V72*F72</f>
        <v>#REF!</v>
      </c>
      <c r="AT72" s="172" t="e">
        <f>W72*F72</f>
        <v>#REF!</v>
      </c>
      <c r="AU72" s="173" t="e">
        <f>X72*F72</f>
        <v>#REF!</v>
      </c>
      <c r="AV72" s="174" t="e">
        <f>Y72*F72</f>
        <v>#REF!</v>
      </c>
      <c r="AW72" s="172" t="e">
        <f>Z72*F72</f>
        <v>#REF!</v>
      </c>
      <c r="AX72" s="173" t="e">
        <f>AA72*F72</f>
        <v>#REF!</v>
      </c>
      <c r="AY72" s="174" t="e">
        <f>AB72*F72</f>
        <v>#REF!</v>
      </c>
      <c r="AZ72" s="172" t="e">
        <f>AC72*F72</f>
        <v>#REF!</v>
      </c>
      <c r="BA72" s="173" t="e">
        <f>AD72*F72</f>
        <v>#REF!</v>
      </c>
    </row>
    <row r="73" spans="1:54" customHeight="1" ht="15.75" s="12" customFormat="1">
      <c r="A73" s="445"/>
      <c r="B73" s="438" t="s">
        <v>48</v>
      </c>
      <c r="C73" s="355" t="s">
        <v>105</v>
      </c>
      <c r="D73" s="280"/>
      <c r="E73" s="27"/>
      <c r="F73" s="27"/>
      <c r="G73" s="27"/>
      <c r="H73" s="156"/>
      <c r="I73" s="28" t="e">
        <f>VLOOKUP(C73,#REF!,18,0)</f>
        <v>#REF!</v>
      </c>
      <c r="J73" s="44">
        <v>0.0</v>
      </c>
      <c r="K73" s="45" t="e">
        <f>VLOOKUP($C73,#REF!,9,0)</f>
        <v>#REF!</v>
      </c>
      <c r="L73" s="48">
        <f>IF(J73&gt;K73,0,K73-J73)+216+216</f>
        <v>432</v>
      </c>
      <c r="M73" s="44" t="e">
        <f>J73+L73-K73</f>
        <v>#REF!</v>
      </c>
      <c r="N73" s="45" t="e">
        <f>VLOOKUP($C73,#REF!,9,0)</f>
        <v>#REF!</v>
      </c>
      <c r="O73" s="48" t="e">
        <f>IF(M73&gt;N73,0,N73-M73)</f>
        <v>#REF!</v>
      </c>
      <c r="P73" s="44" t="e">
        <f>M73+O73-N73</f>
        <v>#REF!</v>
      </c>
      <c r="Q73" s="45" t="e">
        <f>VLOOKUP($C73,#REF!,15,0)</f>
        <v>#REF!</v>
      </c>
      <c r="R73" s="46" t="e">
        <f>IF(P73&gt;Q73,0,Q73-P73)</f>
        <v>#REF!</v>
      </c>
      <c r="S73" s="47" t="e">
        <f>P73+R73-Q73</f>
        <v>#REF!</v>
      </c>
      <c r="T73" s="45" t="e">
        <f>VLOOKUP($C73,#REF!,21,0)</f>
        <v>#REF!</v>
      </c>
      <c r="U73" s="48" t="e">
        <f>IF(S73&gt;T73,0,T73-S73)</f>
        <v>#REF!</v>
      </c>
      <c r="V73" s="44" t="e">
        <f>S73+U73-T73</f>
        <v>#REF!</v>
      </c>
      <c r="W73" s="45" t="e">
        <f>VLOOKUP($C73,#REF!,27,0)</f>
        <v>#REF!</v>
      </c>
      <c r="X73" s="46" t="e">
        <f>IF(V73&gt;W73,0,W73-V73)</f>
        <v>#REF!</v>
      </c>
      <c r="Y73" s="44" t="e">
        <f>V73+X73-W73</f>
        <v>#REF!</v>
      </c>
      <c r="Z73" s="45" t="e">
        <f>VLOOKUP($C73,#REF!,33,0)</f>
        <v>#REF!</v>
      </c>
      <c r="AA73" s="46" t="e">
        <f>IF(Y73&gt;Z73,0,Z73-Y73)</f>
        <v>#REF!</v>
      </c>
      <c r="AB73" s="44" t="e">
        <f>Y73+AA73-Z73</f>
        <v>#REF!</v>
      </c>
      <c r="AC73" s="45" t="e">
        <f>VLOOKUP($C73,#REF!,39,0)</f>
        <v>#REF!</v>
      </c>
      <c r="AD73" s="46" t="e">
        <f>IF(AB73&gt;AC73,0,AC73-AB73)</f>
        <v>#REF!</v>
      </c>
      <c r="AE73" s="237"/>
      <c r="AG73" s="171">
        <f>J73*F73</f>
        <v>0</v>
      </c>
      <c r="AH73" s="172" t="e">
        <f>K73*F73</f>
        <v>#REF!</v>
      </c>
      <c r="AI73" s="173">
        <f>L73*F73</f>
        <v>0</v>
      </c>
      <c r="AJ73" s="174" t="e">
        <f>M73*F73</f>
        <v>#REF!</v>
      </c>
      <c r="AK73" s="172" t="e">
        <f>N73*F73</f>
        <v>#REF!</v>
      </c>
      <c r="AL73" s="173" t="e">
        <f>O73*F73</f>
        <v>#REF!</v>
      </c>
      <c r="AM73" s="174" t="e">
        <f>P73*F73</f>
        <v>#REF!</v>
      </c>
      <c r="AN73" s="172" t="e">
        <f>Q73*F73</f>
        <v>#REF!</v>
      </c>
      <c r="AO73" s="173" t="e">
        <f>R73*F73</f>
        <v>#REF!</v>
      </c>
      <c r="AP73" s="174" t="e">
        <f>S73*F73</f>
        <v>#REF!</v>
      </c>
      <c r="AQ73" s="172" t="e">
        <f>T73*F73</f>
        <v>#REF!</v>
      </c>
      <c r="AR73" s="173" t="e">
        <f>U73*F73</f>
        <v>#REF!</v>
      </c>
      <c r="AS73" s="174" t="e">
        <f>V73*F73</f>
        <v>#REF!</v>
      </c>
      <c r="AT73" s="172" t="e">
        <f>W73*F73</f>
        <v>#REF!</v>
      </c>
      <c r="AU73" s="173" t="e">
        <f>X73*F73</f>
        <v>#REF!</v>
      </c>
      <c r="AV73" s="174" t="e">
        <f>Y73*F73</f>
        <v>#REF!</v>
      </c>
      <c r="AW73" s="172" t="e">
        <f>Z73*F73</f>
        <v>#REF!</v>
      </c>
      <c r="AX73" s="173" t="e">
        <f>AA73*F73</f>
        <v>#REF!</v>
      </c>
      <c r="AY73" s="174" t="e">
        <f>AB73*F73</f>
        <v>#REF!</v>
      </c>
      <c r="AZ73" s="172" t="e">
        <f>AC73*F73</f>
        <v>#REF!</v>
      </c>
      <c r="BA73" s="173" t="e">
        <f>AD73*F73</f>
        <v>#REF!</v>
      </c>
    </row>
    <row r="74" spans="1:54" customHeight="1" ht="15.75" s="12" customFormat="1">
      <c r="A74" s="445"/>
      <c r="B74" s="438" t="s">
        <v>44</v>
      </c>
      <c r="C74" s="355" t="s">
        <v>106</v>
      </c>
      <c r="D74" s="280"/>
      <c r="E74" s="27"/>
      <c r="F74" s="27"/>
      <c r="G74" s="27"/>
      <c r="H74" s="156"/>
      <c r="I74" s="28" t="e">
        <f>VLOOKUP(C74,#REF!,18,0)</f>
        <v>#REF!</v>
      </c>
      <c r="J74" s="44">
        <v>0.0</v>
      </c>
      <c r="K74" s="45" t="e">
        <f>VLOOKUP($C74,#REF!,9,0)</f>
        <v>#REF!</v>
      </c>
      <c r="L74" s="48">
        <f>IF(J74&gt;K74,0,K74-J74)</f>
        <v>0</v>
      </c>
      <c r="M74" s="44" t="e">
        <f>J74+L74-K74</f>
        <v>#REF!</v>
      </c>
      <c r="N74" s="45" t="e">
        <f>VLOOKUP($C74,#REF!,9,0)</f>
        <v>#REF!</v>
      </c>
      <c r="O74" s="48" t="e">
        <f>IF(M74&gt;N74,0,N74-M74)</f>
        <v>#REF!</v>
      </c>
      <c r="P74" s="44" t="e">
        <f>M74+O74-N74</f>
        <v>#REF!</v>
      </c>
      <c r="Q74" s="45" t="e">
        <f>VLOOKUP($C74,#REF!,15,0)</f>
        <v>#REF!</v>
      </c>
      <c r="R74" s="46" t="e">
        <f>IF(P74&gt;Q74,0,Q74-P74)</f>
        <v>#REF!</v>
      </c>
      <c r="S74" s="47" t="e">
        <f>P74+R74-Q74</f>
        <v>#REF!</v>
      </c>
      <c r="T74" s="45" t="e">
        <f>VLOOKUP($C74,#REF!,21,0)</f>
        <v>#REF!</v>
      </c>
      <c r="U74" s="48" t="e">
        <f>IF(S74&gt;T74,0,T74-S74)</f>
        <v>#REF!</v>
      </c>
      <c r="V74" s="44" t="e">
        <f>S74+U74-T74</f>
        <v>#REF!</v>
      </c>
      <c r="W74" s="45" t="e">
        <f>VLOOKUP($C74,#REF!,27,0)</f>
        <v>#REF!</v>
      </c>
      <c r="X74" s="46" t="e">
        <f>IF(V74&gt;W74,0,W74-V74)</f>
        <v>#REF!</v>
      </c>
      <c r="Y74" s="44" t="e">
        <f>V74+X74-W74</f>
        <v>#REF!</v>
      </c>
      <c r="Z74" s="45" t="e">
        <f>VLOOKUP($C74,#REF!,33,0)</f>
        <v>#REF!</v>
      </c>
      <c r="AA74" s="46" t="e">
        <f>IF(Y74&gt;Z74,0,Z74-Y74)</f>
        <v>#REF!</v>
      </c>
      <c r="AB74" s="44" t="e">
        <f>Y74+AA74-Z74</f>
        <v>#REF!</v>
      </c>
      <c r="AC74" s="45" t="e">
        <f>VLOOKUP($C74,#REF!,39,0)</f>
        <v>#REF!</v>
      </c>
      <c r="AD74" s="46" t="e">
        <f>IF(AB74&gt;AC74,0,AC74-AB74)</f>
        <v>#REF!</v>
      </c>
      <c r="AE74" s="237"/>
      <c r="AG74" s="171">
        <f>J74*F74</f>
        <v>0</v>
      </c>
      <c r="AH74" s="172" t="e">
        <f>K74*F74</f>
        <v>#REF!</v>
      </c>
      <c r="AI74" s="173">
        <f>L74*F74</f>
        <v>0</v>
      </c>
      <c r="AJ74" s="174" t="e">
        <f>M74*F74</f>
        <v>#REF!</v>
      </c>
      <c r="AK74" s="172" t="e">
        <f>N74*F74</f>
        <v>#REF!</v>
      </c>
      <c r="AL74" s="173" t="e">
        <f>O74*F74</f>
        <v>#REF!</v>
      </c>
      <c r="AM74" s="174" t="e">
        <f>P74*F74</f>
        <v>#REF!</v>
      </c>
      <c r="AN74" s="172" t="e">
        <f>Q74*F74</f>
        <v>#REF!</v>
      </c>
      <c r="AO74" s="173" t="e">
        <f>R74*F74</f>
        <v>#REF!</v>
      </c>
      <c r="AP74" s="174" t="e">
        <f>S74*F74</f>
        <v>#REF!</v>
      </c>
      <c r="AQ74" s="172" t="e">
        <f>T74*F74</f>
        <v>#REF!</v>
      </c>
      <c r="AR74" s="173" t="e">
        <f>U74*F74</f>
        <v>#REF!</v>
      </c>
      <c r="AS74" s="174" t="e">
        <f>V74*F74</f>
        <v>#REF!</v>
      </c>
      <c r="AT74" s="172" t="e">
        <f>W74*F74</f>
        <v>#REF!</v>
      </c>
      <c r="AU74" s="173" t="e">
        <f>X74*F74</f>
        <v>#REF!</v>
      </c>
      <c r="AV74" s="174" t="e">
        <f>Y74*F74</f>
        <v>#REF!</v>
      </c>
      <c r="AW74" s="172" t="e">
        <f>Z74*F74</f>
        <v>#REF!</v>
      </c>
      <c r="AX74" s="173" t="e">
        <f>AA74*F74</f>
        <v>#REF!</v>
      </c>
      <c r="AY74" s="174" t="e">
        <f>AB74*F74</f>
        <v>#REF!</v>
      </c>
      <c r="AZ74" s="172" t="e">
        <f>AC74*F74</f>
        <v>#REF!</v>
      </c>
      <c r="BA74" s="173" t="e">
        <f>AD74*F74</f>
        <v>#REF!</v>
      </c>
    </row>
    <row r="75" spans="1:54" customHeight="1" ht="15.75">
      <c r="A75" s="445"/>
      <c r="B75" s="438" t="s">
        <v>44</v>
      </c>
      <c r="C75" s="355" t="s">
        <v>107</v>
      </c>
      <c r="D75" s="55"/>
      <c r="E75" s="27"/>
      <c r="F75" s="27"/>
      <c r="G75" s="27"/>
      <c r="H75" s="156"/>
      <c r="I75" s="28" t="e">
        <f>VLOOKUP(C75,#REF!,18,0)</f>
        <v>#REF!</v>
      </c>
      <c r="J75" s="44">
        <v>0.0</v>
      </c>
      <c r="K75" s="45" t="e">
        <f>VLOOKUP($C75,#REF!,9,0)</f>
        <v>#REF!</v>
      </c>
      <c r="L75" s="48">
        <f>IF(J75&gt;K75,0,K75-J75)</f>
        <v>0</v>
      </c>
      <c r="M75" s="44" t="e">
        <f>J75+L75-K75</f>
        <v>#REF!</v>
      </c>
      <c r="N75" s="45" t="e">
        <f>VLOOKUP($C75,#REF!,9,0)</f>
        <v>#REF!</v>
      </c>
      <c r="O75" s="48" t="e">
        <f>IF(M75&gt;N75,0,N75-M75)</f>
        <v>#REF!</v>
      </c>
      <c r="P75" s="44" t="e">
        <f>M75+O75-N75</f>
        <v>#REF!</v>
      </c>
      <c r="Q75" s="45" t="e">
        <f>VLOOKUP($C75,#REF!,15,0)</f>
        <v>#REF!</v>
      </c>
      <c r="R75" s="46" t="e">
        <f>IF(P75&gt;Q75,0,Q75-P75)</f>
        <v>#REF!</v>
      </c>
      <c r="S75" s="47" t="e">
        <f>P75+R75-Q75</f>
        <v>#REF!</v>
      </c>
      <c r="T75" s="45" t="e">
        <f>VLOOKUP($C75,#REF!,21,0)</f>
        <v>#REF!</v>
      </c>
      <c r="U75" s="48" t="e">
        <f>IF(S75&gt;T75,0,T75-S75)</f>
        <v>#REF!</v>
      </c>
      <c r="V75" s="44" t="e">
        <f>S75+U75-T75</f>
        <v>#REF!</v>
      </c>
      <c r="W75" s="45" t="e">
        <f>VLOOKUP($C75,#REF!,27,0)</f>
        <v>#REF!</v>
      </c>
      <c r="X75" s="46" t="e">
        <f>IF(V75&gt;W75,0,W75-V75)</f>
        <v>#REF!</v>
      </c>
      <c r="Y75" s="44" t="e">
        <f>V75+X75-W75</f>
        <v>#REF!</v>
      </c>
      <c r="Z75" s="45" t="e">
        <f>VLOOKUP($C75,#REF!,33,0)</f>
        <v>#REF!</v>
      </c>
      <c r="AA75" s="46" t="e">
        <f>IF(Y75&gt;Z75,0,Z75-Y75)</f>
        <v>#REF!</v>
      </c>
      <c r="AB75" s="44" t="e">
        <f>Y75+AA75-Z75</f>
        <v>#REF!</v>
      </c>
      <c r="AC75" s="45" t="e">
        <f>VLOOKUP($C75,#REF!,39,0)</f>
        <v>#REF!</v>
      </c>
      <c r="AD75" s="46" t="e">
        <f>IF(AB75&gt;AC75,0,AC75-AB75)</f>
        <v>#REF!</v>
      </c>
      <c r="AE75" s="237"/>
      <c r="AG75" s="171">
        <f>J75*F75</f>
        <v>0</v>
      </c>
      <c r="AH75" s="172" t="e">
        <f>K75*F75</f>
        <v>#REF!</v>
      </c>
      <c r="AI75" s="173">
        <f>L75*F75</f>
        <v>0</v>
      </c>
      <c r="AJ75" s="174" t="e">
        <f>M75*F75</f>
        <v>#REF!</v>
      </c>
      <c r="AK75" s="172" t="e">
        <f>N75*F75</f>
        <v>#REF!</v>
      </c>
      <c r="AL75" s="173" t="e">
        <f>O75*F75</f>
        <v>#REF!</v>
      </c>
      <c r="AM75" s="174" t="e">
        <f>P75*F75</f>
        <v>#REF!</v>
      </c>
      <c r="AN75" s="172" t="e">
        <f>Q75*F75</f>
        <v>#REF!</v>
      </c>
      <c r="AO75" s="173" t="e">
        <f>R75*F75</f>
        <v>#REF!</v>
      </c>
      <c r="AP75" s="174" t="e">
        <f>S75*F75</f>
        <v>#REF!</v>
      </c>
      <c r="AQ75" s="172" t="e">
        <f>T75*F75</f>
        <v>#REF!</v>
      </c>
      <c r="AR75" s="173" t="e">
        <f>U75*F75</f>
        <v>#REF!</v>
      </c>
      <c r="AS75" s="174" t="e">
        <f>V75*F75</f>
        <v>#REF!</v>
      </c>
      <c r="AT75" s="172" t="e">
        <f>W75*F75</f>
        <v>#REF!</v>
      </c>
      <c r="AU75" s="173" t="e">
        <f>X75*F75</f>
        <v>#REF!</v>
      </c>
      <c r="AV75" s="174" t="e">
        <f>Y75*F75</f>
        <v>#REF!</v>
      </c>
      <c r="AW75" s="172" t="e">
        <f>Z75*F75</f>
        <v>#REF!</v>
      </c>
      <c r="AX75" s="173" t="e">
        <f>AA75*F75</f>
        <v>#REF!</v>
      </c>
      <c r="AY75" s="174" t="e">
        <f>AB75*F75</f>
        <v>#REF!</v>
      </c>
      <c r="AZ75" s="172" t="e">
        <f>AC75*F75</f>
        <v>#REF!</v>
      </c>
      <c r="BA75" s="173" t="e">
        <f>AD75*F75</f>
        <v>#REF!</v>
      </c>
    </row>
    <row r="76" spans="1:54" customHeight="1" ht="15.75">
      <c r="A76" s="445"/>
      <c r="B76" s="438" t="s">
        <v>44</v>
      </c>
      <c r="C76" s="355" t="s">
        <v>108</v>
      </c>
      <c r="D76" s="160"/>
      <c r="E76" s="27"/>
      <c r="F76" s="27"/>
      <c r="G76" s="27"/>
      <c r="H76" s="28"/>
      <c r="I76" s="28" t="e">
        <f>VLOOKUP(C76,#REF!,18,0)</f>
        <v>#REF!</v>
      </c>
      <c r="J76" s="44">
        <v>0.0</v>
      </c>
      <c r="K76" s="45" t="e">
        <f>VLOOKUP($C76,#REF!,9,0)</f>
        <v>#REF!</v>
      </c>
      <c r="L76" s="48">
        <f>IF(J76&gt;K76,0,K76-J76)</f>
        <v>0</v>
      </c>
      <c r="M76" s="44" t="e">
        <f>J76+L76-K76</f>
        <v>#REF!</v>
      </c>
      <c r="N76" s="45" t="e">
        <f>VLOOKUP($C76,#REF!,9,0)</f>
        <v>#REF!</v>
      </c>
      <c r="O76" s="48" t="e">
        <f>IF(M76&gt;N76,0,N76-M76)</f>
        <v>#REF!</v>
      </c>
      <c r="P76" s="44" t="e">
        <f>M76+O76-N76</f>
        <v>#REF!</v>
      </c>
      <c r="Q76" s="45" t="e">
        <f>VLOOKUP($C76,#REF!,15,0)</f>
        <v>#REF!</v>
      </c>
      <c r="R76" s="46" t="e">
        <f>IF(P76&gt;Q76,0,Q76-P76)</f>
        <v>#REF!</v>
      </c>
      <c r="S76" s="47" t="e">
        <f>P76+R76-Q76</f>
        <v>#REF!</v>
      </c>
      <c r="T76" s="45" t="e">
        <f>VLOOKUP($C76,#REF!,21,0)</f>
        <v>#REF!</v>
      </c>
      <c r="U76" s="48" t="e">
        <f>IF(S76&gt;T76,0,T76-S76)</f>
        <v>#REF!</v>
      </c>
      <c r="V76" s="44" t="e">
        <f>S76+U76-T76</f>
        <v>#REF!</v>
      </c>
      <c r="W76" s="45" t="e">
        <f>VLOOKUP($C76,#REF!,27,0)</f>
        <v>#REF!</v>
      </c>
      <c r="X76" s="46" t="e">
        <f>IF(V76&gt;W76,0,W76-V76)</f>
        <v>#REF!</v>
      </c>
      <c r="Y76" s="44" t="e">
        <f>V76+X76-W76</f>
        <v>#REF!</v>
      </c>
      <c r="Z76" s="45" t="e">
        <f>VLOOKUP($C76,#REF!,33,0)</f>
        <v>#REF!</v>
      </c>
      <c r="AA76" s="46" t="e">
        <f>IF(Y76&gt;Z76,0,Z76-Y76)</f>
        <v>#REF!</v>
      </c>
      <c r="AB76" s="44" t="e">
        <f>Y76+AA76-Z76</f>
        <v>#REF!</v>
      </c>
      <c r="AC76" s="45" t="e">
        <f>VLOOKUP($C76,#REF!,39,0)</f>
        <v>#REF!</v>
      </c>
      <c r="AD76" s="46" t="e">
        <f>IF(AB76&gt;AC76,0,AC76-AB76)</f>
        <v>#REF!</v>
      </c>
      <c r="AE76" s="237"/>
      <c r="AG76" s="171">
        <f>J76*F76</f>
        <v>0</v>
      </c>
      <c r="AH76" s="172" t="e">
        <f>K76*F76</f>
        <v>#REF!</v>
      </c>
      <c r="AI76" s="173">
        <f>L76*F76</f>
        <v>0</v>
      </c>
      <c r="AJ76" s="174" t="e">
        <f>M76*F76</f>
        <v>#REF!</v>
      </c>
      <c r="AK76" s="172" t="e">
        <f>N76*F76</f>
        <v>#REF!</v>
      </c>
      <c r="AL76" s="173" t="e">
        <f>O76*F76</f>
        <v>#REF!</v>
      </c>
      <c r="AM76" s="174" t="e">
        <f>P76*F76</f>
        <v>#REF!</v>
      </c>
      <c r="AN76" s="172" t="e">
        <f>Q76*F76</f>
        <v>#REF!</v>
      </c>
      <c r="AO76" s="173" t="e">
        <f>R76*F76</f>
        <v>#REF!</v>
      </c>
      <c r="AP76" s="174" t="e">
        <f>S76*F76</f>
        <v>#REF!</v>
      </c>
      <c r="AQ76" s="172" t="e">
        <f>T76*F76</f>
        <v>#REF!</v>
      </c>
      <c r="AR76" s="173" t="e">
        <f>U76*F76</f>
        <v>#REF!</v>
      </c>
      <c r="AS76" s="174" t="e">
        <f>V76*F76</f>
        <v>#REF!</v>
      </c>
      <c r="AT76" s="172" t="e">
        <f>W76*F76</f>
        <v>#REF!</v>
      </c>
      <c r="AU76" s="173" t="e">
        <f>X76*F76</f>
        <v>#REF!</v>
      </c>
      <c r="AV76" s="174" t="e">
        <f>Y76*F76</f>
        <v>#REF!</v>
      </c>
      <c r="AW76" s="172" t="e">
        <f>Z76*F76</f>
        <v>#REF!</v>
      </c>
      <c r="AX76" s="173" t="e">
        <f>AA76*F76</f>
        <v>#REF!</v>
      </c>
      <c r="AY76" s="174" t="e">
        <f>AB76*F76</f>
        <v>#REF!</v>
      </c>
      <c r="AZ76" s="172" t="e">
        <f>AC76*F76</f>
        <v>#REF!</v>
      </c>
      <c r="BA76" s="173" t="e">
        <f>AD76*F76</f>
        <v>#REF!</v>
      </c>
    </row>
    <row r="77" spans="1:54" customHeight="1" ht="15.75">
      <c r="A77" s="445"/>
      <c r="B77" s="438" t="s">
        <v>44</v>
      </c>
      <c r="C77" s="355" t="s">
        <v>109</v>
      </c>
      <c r="D77" s="160"/>
      <c r="E77" s="27"/>
      <c r="F77" s="27"/>
      <c r="G77" s="27"/>
      <c r="H77" s="28"/>
      <c r="I77" s="28" t="e">
        <f>VLOOKUP(C77,#REF!,18,0)</f>
        <v>#REF!</v>
      </c>
      <c r="J77" s="44">
        <v>0.0</v>
      </c>
      <c r="K77" s="45" t="e">
        <f>VLOOKUP($C77,#REF!,9,0)</f>
        <v>#REF!</v>
      </c>
      <c r="L77" s="48">
        <f>IF(J77&gt;K77,0,K77-J77)</f>
        <v>0</v>
      </c>
      <c r="M77" s="44" t="e">
        <f>J77+L77-K77</f>
        <v>#REF!</v>
      </c>
      <c r="N77" s="45" t="e">
        <f>VLOOKUP($C77,#REF!,9,0)</f>
        <v>#REF!</v>
      </c>
      <c r="O77" s="48" t="e">
        <f>IF(M77&gt;N77,0,N77-M77)</f>
        <v>#REF!</v>
      </c>
      <c r="P77" s="44" t="e">
        <f>M77+O77-N77</f>
        <v>#REF!</v>
      </c>
      <c r="Q77" s="45" t="e">
        <f>VLOOKUP($C77,#REF!,15,0)</f>
        <v>#REF!</v>
      </c>
      <c r="R77" s="46" t="e">
        <f>IF(P77&gt;Q77,0,Q77-P77)</f>
        <v>#REF!</v>
      </c>
      <c r="S77" s="47" t="e">
        <f>P77+R77-Q77</f>
        <v>#REF!</v>
      </c>
      <c r="T77" s="45" t="e">
        <f>VLOOKUP($C77,#REF!,21,0)</f>
        <v>#REF!</v>
      </c>
      <c r="U77" s="48" t="e">
        <f>IF(S77&gt;T77,0,T77-S77)</f>
        <v>#REF!</v>
      </c>
      <c r="V77" s="44" t="e">
        <f>S77+U77-T77</f>
        <v>#REF!</v>
      </c>
      <c r="W77" s="45" t="e">
        <f>VLOOKUP($C77,#REF!,27,0)</f>
        <v>#REF!</v>
      </c>
      <c r="X77" s="46" t="e">
        <f>IF(V77&gt;W77,0,W77-V77)</f>
        <v>#REF!</v>
      </c>
      <c r="Y77" s="44" t="e">
        <f>V77+X77-W77</f>
        <v>#REF!</v>
      </c>
      <c r="Z77" s="45" t="e">
        <f>VLOOKUP($C77,#REF!,33,0)</f>
        <v>#REF!</v>
      </c>
      <c r="AA77" s="46" t="e">
        <f>IF(Y77&gt;Z77,0,Z77-Y77)</f>
        <v>#REF!</v>
      </c>
      <c r="AB77" s="44" t="e">
        <f>Y77+AA77-Z77</f>
        <v>#REF!</v>
      </c>
      <c r="AC77" s="45" t="e">
        <f>VLOOKUP($C77,#REF!,39,0)</f>
        <v>#REF!</v>
      </c>
      <c r="AD77" s="46" t="e">
        <f>IF(AB77&gt;AC77,0,AC77-AB77)</f>
        <v>#REF!</v>
      </c>
      <c r="AE77" s="237"/>
      <c r="AG77" s="171">
        <f>J77*F77</f>
        <v>0</v>
      </c>
      <c r="AH77" s="172" t="e">
        <f>K77*F77</f>
        <v>#REF!</v>
      </c>
      <c r="AI77" s="173">
        <f>L77*F77</f>
        <v>0</v>
      </c>
      <c r="AJ77" s="174" t="e">
        <f>M77*F77</f>
        <v>#REF!</v>
      </c>
      <c r="AK77" s="172" t="e">
        <f>N77*F77</f>
        <v>#REF!</v>
      </c>
      <c r="AL77" s="173" t="e">
        <f>O77*F77</f>
        <v>#REF!</v>
      </c>
      <c r="AM77" s="174" t="e">
        <f>P77*F77</f>
        <v>#REF!</v>
      </c>
      <c r="AN77" s="172" t="e">
        <f>Q77*F77</f>
        <v>#REF!</v>
      </c>
      <c r="AO77" s="173" t="e">
        <f>R77*F77</f>
        <v>#REF!</v>
      </c>
      <c r="AP77" s="174" t="e">
        <f>S77*F77</f>
        <v>#REF!</v>
      </c>
      <c r="AQ77" s="172" t="e">
        <f>T77*F77</f>
        <v>#REF!</v>
      </c>
      <c r="AR77" s="173" t="e">
        <f>U77*F77</f>
        <v>#REF!</v>
      </c>
      <c r="AS77" s="174" t="e">
        <f>V77*F77</f>
        <v>#REF!</v>
      </c>
      <c r="AT77" s="172" t="e">
        <f>W77*F77</f>
        <v>#REF!</v>
      </c>
      <c r="AU77" s="173" t="e">
        <f>X77*F77</f>
        <v>#REF!</v>
      </c>
      <c r="AV77" s="174" t="e">
        <f>Y77*F77</f>
        <v>#REF!</v>
      </c>
      <c r="AW77" s="172" t="e">
        <f>Z77*F77</f>
        <v>#REF!</v>
      </c>
      <c r="AX77" s="173" t="e">
        <f>AA77*F77</f>
        <v>#REF!</v>
      </c>
      <c r="AY77" s="174" t="e">
        <f>AB77*F77</f>
        <v>#REF!</v>
      </c>
      <c r="AZ77" s="172" t="e">
        <f>AC77*F77</f>
        <v>#REF!</v>
      </c>
      <c r="BA77" s="173" t="e">
        <f>AD77*F77</f>
        <v>#REF!</v>
      </c>
    </row>
    <row r="78" spans="1:54" customHeight="1" ht="15.75">
      <c r="A78" s="445"/>
      <c r="B78" s="438" t="s">
        <v>44</v>
      </c>
      <c r="C78" s="355" t="s">
        <v>110</v>
      </c>
      <c r="D78" s="161"/>
      <c r="E78" s="27"/>
      <c r="F78" s="27"/>
      <c r="G78" s="27"/>
      <c r="H78" s="28"/>
      <c r="I78" s="28" t="e">
        <f>VLOOKUP(C78,#REF!,18,0)</f>
        <v>#REF!</v>
      </c>
      <c r="J78" s="44">
        <v>0.0</v>
      </c>
      <c r="K78" s="45" t="e">
        <f>VLOOKUP($C78,#REF!,9,0)</f>
        <v>#REF!</v>
      </c>
      <c r="L78" s="48">
        <f>IF(J78&gt;K78,0,K78-J78)</f>
        <v>0</v>
      </c>
      <c r="M78" s="44" t="e">
        <f>J78+L78-K78</f>
        <v>#REF!</v>
      </c>
      <c r="N78" s="45" t="e">
        <f>VLOOKUP($C78,#REF!,9,0)</f>
        <v>#REF!</v>
      </c>
      <c r="O78" s="48" t="e">
        <f>IF(M78&gt;N78,0,N78-M78)</f>
        <v>#REF!</v>
      </c>
      <c r="P78" s="44" t="e">
        <f>M78+O78-N78</f>
        <v>#REF!</v>
      </c>
      <c r="Q78" s="45" t="e">
        <f>VLOOKUP($C78,#REF!,15,0)</f>
        <v>#REF!</v>
      </c>
      <c r="R78" s="46" t="e">
        <f>IF(P78&gt;Q78,0,Q78-P78)</f>
        <v>#REF!</v>
      </c>
      <c r="S78" s="47" t="e">
        <f>P78+R78-Q78</f>
        <v>#REF!</v>
      </c>
      <c r="T78" s="45" t="e">
        <f>VLOOKUP($C78,#REF!,21,0)</f>
        <v>#REF!</v>
      </c>
      <c r="U78" s="48" t="e">
        <f>IF(S78&gt;T78,0,T78-S78)</f>
        <v>#REF!</v>
      </c>
      <c r="V78" s="44" t="e">
        <f>S78+U78-T78</f>
        <v>#REF!</v>
      </c>
      <c r="W78" s="45" t="e">
        <f>VLOOKUP($C78,#REF!,27,0)</f>
        <v>#REF!</v>
      </c>
      <c r="X78" s="46" t="e">
        <f>IF(V78&gt;W78,0,W78-V78)</f>
        <v>#REF!</v>
      </c>
      <c r="Y78" s="44" t="e">
        <f>V78+X78-W78</f>
        <v>#REF!</v>
      </c>
      <c r="Z78" s="45" t="e">
        <f>VLOOKUP($C78,#REF!,33,0)</f>
        <v>#REF!</v>
      </c>
      <c r="AA78" s="46" t="e">
        <f>IF(Y78&gt;Z78,0,Z78-Y78)</f>
        <v>#REF!</v>
      </c>
      <c r="AB78" s="44" t="e">
        <f>Y78+AA78-Z78</f>
        <v>#REF!</v>
      </c>
      <c r="AC78" s="45" t="e">
        <f>VLOOKUP($C78,#REF!,39,0)</f>
        <v>#REF!</v>
      </c>
      <c r="AD78" s="46" t="e">
        <f>IF(AB78&gt;AC78,0,AC78-AB78)</f>
        <v>#REF!</v>
      </c>
      <c r="AE78" s="237"/>
      <c r="AG78" s="171">
        <f>J78*F78</f>
        <v>0</v>
      </c>
      <c r="AH78" s="172" t="e">
        <f>K78*F78</f>
        <v>#REF!</v>
      </c>
      <c r="AI78" s="173">
        <f>L78*F78</f>
        <v>0</v>
      </c>
      <c r="AJ78" s="174" t="e">
        <f>M78*F78</f>
        <v>#REF!</v>
      </c>
      <c r="AK78" s="172" t="e">
        <f>N78*F78</f>
        <v>#REF!</v>
      </c>
      <c r="AL78" s="173" t="e">
        <f>O78*F78</f>
        <v>#REF!</v>
      </c>
      <c r="AM78" s="174" t="e">
        <f>P78*F78</f>
        <v>#REF!</v>
      </c>
      <c r="AN78" s="172" t="e">
        <f>Q78*F78</f>
        <v>#REF!</v>
      </c>
      <c r="AO78" s="173" t="e">
        <f>R78*F78</f>
        <v>#REF!</v>
      </c>
      <c r="AP78" s="174" t="e">
        <f>S78*F78</f>
        <v>#REF!</v>
      </c>
      <c r="AQ78" s="172" t="e">
        <f>T78*F78</f>
        <v>#REF!</v>
      </c>
      <c r="AR78" s="173" t="e">
        <f>U78*F78</f>
        <v>#REF!</v>
      </c>
      <c r="AS78" s="174" t="e">
        <f>V78*F78</f>
        <v>#REF!</v>
      </c>
      <c r="AT78" s="172" t="e">
        <f>W78*F78</f>
        <v>#REF!</v>
      </c>
      <c r="AU78" s="173" t="e">
        <f>X78*F78</f>
        <v>#REF!</v>
      </c>
      <c r="AV78" s="174" t="e">
        <f>Y78*F78</f>
        <v>#REF!</v>
      </c>
      <c r="AW78" s="172" t="e">
        <f>Z78*F78</f>
        <v>#REF!</v>
      </c>
      <c r="AX78" s="173" t="e">
        <f>AA78*F78</f>
        <v>#REF!</v>
      </c>
      <c r="AY78" s="174" t="e">
        <f>AB78*F78</f>
        <v>#REF!</v>
      </c>
      <c r="AZ78" s="172" t="e">
        <f>AC78*F78</f>
        <v>#REF!</v>
      </c>
      <c r="BA78" s="173" t="e">
        <f>AD78*F78</f>
        <v>#REF!</v>
      </c>
    </row>
    <row r="79" spans="1:54" customHeight="1" ht="15.75" s="12" customFormat="1">
      <c r="A79" s="445"/>
      <c r="B79" s="438" t="s">
        <v>58</v>
      </c>
      <c r="C79" s="355" t="s">
        <v>111</v>
      </c>
      <c r="D79" s="55"/>
      <c r="E79" s="27"/>
      <c r="F79" s="27"/>
      <c r="G79" s="27"/>
      <c r="H79" s="28"/>
      <c r="I79" s="28" t="e">
        <f>VLOOKUP(C79,#REF!,18,0)</f>
        <v>#REF!</v>
      </c>
      <c r="J79" s="44">
        <v>24</v>
      </c>
      <c r="K79" s="45" t="e">
        <f>VLOOKUP($C79,#REF!,9,0)</f>
        <v>#REF!</v>
      </c>
      <c r="L79" s="48">
        <f>IF(J79&gt;K79,0,K79-J79)</f>
        <v>0</v>
      </c>
      <c r="M79" s="44" t="e">
        <f>J79+L79-K79</f>
        <v>#REF!</v>
      </c>
      <c r="N79" s="45" t="e">
        <f>VLOOKUP($C79,#REF!,9,0)</f>
        <v>#REF!</v>
      </c>
      <c r="O79" s="48" t="e">
        <f>IF(M79&gt;N79,0,N79-M79)</f>
        <v>#REF!</v>
      </c>
      <c r="P79" s="44" t="e">
        <f>M79+O79-N79</f>
        <v>#REF!</v>
      </c>
      <c r="Q79" s="45" t="e">
        <f>VLOOKUP($C79,#REF!,15,0)</f>
        <v>#REF!</v>
      </c>
      <c r="R79" s="46" t="e">
        <f>IF(P79&gt;Q79,0,Q79-P79)</f>
        <v>#REF!</v>
      </c>
      <c r="S79" s="47" t="e">
        <f>P79+R79-Q79</f>
        <v>#REF!</v>
      </c>
      <c r="T79" s="45" t="e">
        <f>VLOOKUP($C79,#REF!,21,0)</f>
        <v>#REF!</v>
      </c>
      <c r="U79" s="48" t="e">
        <f>IF(S79&gt;T79,0,T79-S79)</f>
        <v>#REF!</v>
      </c>
      <c r="V79" s="44" t="e">
        <f>S79+U79-T79</f>
        <v>#REF!</v>
      </c>
      <c r="W79" s="45" t="e">
        <f>VLOOKUP($C79,#REF!,27,0)</f>
        <v>#REF!</v>
      </c>
      <c r="X79" s="46" t="e">
        <f>IF(V79&gt;W79,0,W79-V79)</f>
        <v>#REF!</v>
      </c>
      <c r="Y79" s="44" t="e">
        <f>V79+X79-W79</f>
        <v>#REF!</v>
      </c>
      <c r="Z79" s="45" t="e">
        <f>VLOOKUP($C79,#REF!,33,0)</f>
        <v>#REF!</v>
      </c>
      <c r="AA79" s="46" t="e">
        <f>IF(Y79&gt;Z79,0,Z79-Y79)</f>
        <v>#REF!</v>
      </c>
      <c r="AB79" s="44" t="e">
        <f>Y79+AA79-Z79</f>
        <v>#REF!</v>
      </c>
      <c r="AC79" s="45" t="e">
        <f>VLOOKUP($C79,#REF!,39,0)</f>
        <v>#REF!</v>
      </c>
      <c r="AD79" s="46" t="e">
        <f>IF(AB79&gt;AC79,0,AC79-AB79)</f>
        <v>#REF!</v>
      </c>
      <c r="AE79" s="237"/>
      <c r="AG79" s="171">
        <f>J79*F79</f>
        <v>0</v>
      </c>
      <c r="AH79" s="172" t="e">
        <f>K79*F79</f>
        <v>#REF!</v>
      </c>
      <c r="AI79" s="173">
        <f>L79*F79</f>
        <v>0</v>
      </c>
      <c r="AJ79" s="174" t="e">
        <f>M79*F79</f>
        <v>#REF!</v>
      </c>
      <c r="AK79" s="172" t="e">
        <f>N79*F79</f>
        <v>#REF!</v>
      </c>
      <c r="AL79" s="173" t="e">
        <f>O79*F79</f>
        <v>#REF!</v>
      </c>
      <c r="AM79" s="174" t="e">
        <f>P79*F79</f>
        <v>#REF!</v>
      </c>
      <c r="AN79" s="172" t="e">
        <f>Q79*F79</f>
        <v>#REF!</v>
      </c>
      <c r="AO79" s="173" t="e">
        <f>R79*F79</f>
        <v>#REF!</v>
      </c>
      <c r="AP79" s="174" t="e">
        <f>S79*F79</f>
        <v>#REF!</v>
      </c>
      <c r="AQ79" s="172" t="e">
        <f>T79*F79</f>
        <v>#REF!</v>
      </c>
      <c r="AR79" s="173" t="e">
        <f>U79*F79</f>
        <v>#REF!</v>
      </c>
      <c r="AS79" s="174" t="e">
        <f>V79*F79</f>
        <v>#REF!</v>
      </c>
      <c r="AT79" s="172" t="e">
        <f>W79*F79</f>
        <v>#REF!</v>
      </c>
      <c r="AU79" s="173" t="e">
        <f>X79*F79</f>
        <v>#REF!</v>
      </c>
      <c r="AV79" s="174" t="e">
        <f>Y79*F79</f>
        <v>#REF!</v>
      </c>
      <c r="AW79" s="172" t="e">
        <f>Z79*F79</f>
        <v>#REF!</v>
      </c>
      <c r="AX79" s="173" t="e">
        <f>AA79*F79</f>
        <v>#REF!</v>
      </c>
      <c r="AY79" s="174" t="e">
        <f>AB79*F79</f>
        <v>#REF!</v>
      </c>
      <c r="AZ79" s="172" t="e">
        <f>AC79*F79</f>
        <v>#REF!</v>
      </c>
      <c r="BA79" s="173" t="e">
        <f>AD79*F79</f>
        <v>#REF!</v>
      </c>
    </row>
    <row r="80" spans="1:54" customHeight="1" ht="15.75" s="12" customFormat="1">
      <c r="A80" s="445"/>
      <c r="B80" s="438" t="s">
        <v>58</v>
      </c>
      <c r="C80" s="355" t="s">
        <v>112</v>
      </c>
      <c r="D80" s="55"/>
      <c r="E80" s="27"/>
      <c r="F80" s="27"/>
      <c r="G80" s="27"/>
      <c r="H80" s="28"/>
      <c r="I80" s="28" t="e">
        <f>VLOOKUP(C80,#REF!,18,0)</f>
        <v>#REF!</v>
      </c>
      <c r="J80" s="44">
        <v>0.0</v>
      </c>
      <c r="K80" s="45" t="e">
        <f>VLOOKUP($C80,#REF!,9,0)</f>
        <v>#REF!</v>
      </c>
      <c r="L80" s="48">
        <f>IF(J80&gt;K80,0,K80-J80)</f>
        <v>0</v>
      </c>
      <c r="M80" s="44" t="e">
        <f>J80+L80-K80</f>
        <v>#REF!</v>
      </c>
      <c r="N80" s="45" t="e">
        <f>VLOOKUP($C80,#REF!,9,0)</f>
        <v>#REF!</v>
      </c>
      <c r="O80" s="48" t="e">
        <f>IF(M80&gt;N80,0,N80-M80)</f>
        <v>#REF!</v>
      </c>
      <c r="P80" s="44" t="e">
        <f>M80+O80-N80</f>
        <v>#REF!</v>
      </c>
      <c r="Q80" s="45" t="e">
        <f>VLOOKUP($C80,#REF!,15,0)</f>
        <v>#REF!</v>
      </c>
      <c r="R80" s="46" t="e">
        <f>IF(P80&gt;Q80,0,Q80-P80)</f>
        <v>#REF!</v>
      </c>
      <c r="S80" s="47" t="e">
        <f>P80+R80-Q80</f>
        <v>#REF!</v>
      </c>
      <c r="T80" s="45" t="e">
        <f>VLOOKUP($C80,#REF!,21,0)</f>
        <v>#REF!</v>
      </c>
      <c r="U80" s="48" t="e">
        <f>IF(S80&gt;T80,0,T80-S80)</f>
        <v>#REF!</v>
      </c>
      <c r="V80" s="44" t="e">
        <f>S80+U80-T80</f>
        <v>#REF!</v>
      </c>
      <c r="W80" s="45" t="e">
        <f>VLOOKUP($C80,#REF!,27,0)</f>
        <v>#REF!</v>
      </c>
      <c r="X80" s="46" t="e">
        <f>IF(V80&gt;W80,0,W80-V80)</f>
        <v>#REF!</v>
      </c>
      <c r="Y80" s="44" t="e">
        <f>V80+X80-W80</f>
        <v>#REF!</v>
      </c>
      <c r="Z80" s="45" t="e">
        <f>VLOOKUP($C80,#REF!,33,0)</f>
        <v>#REF!</v>
      </c>
      <c r="AA80" s="46" t="e">
        <f>IF(Y80&gt;Z80,0,Z80-Y80)</f>
        <v>#REF!</v>
      </c>
      <c r="AB80" s="44" t="e">
        <f>Y80+AA80-Z80</f>
        <v>#REF!</v>
      </c>
      <c r="AC80" s="45" t="e">
        <f>VLOOKUP($C80,#REF!,39,0)</f>
        <v>#REF!</v>
      </c>
      <c r="AD80" s="46" t="e">
        <f>IF(AB80&gt;AC80,0,AC80-AB80)</f>
        <v>#REF!</v>
      </c>
      <c r="AE80" s="237"/>
      <c r="AG80" s="171">
        <f>J80*F80</f>
        <v>0</v>
      </c>
      <c r="AH80" s="172" t="e">
        <f>K80*F80</f>
        <v>#REF!</v>
      </c>
      <c r="AI80" s="173">
        <f>L80*F80</f>
        <v>0</v>
      </c>
      <c r="AJ80" s="174" t="e">
        <f>M80*F80</f>
        <v>#REF!</v>
      </c>
      <c r="AK80" s="172" t="e">
        <f>N80*F80</f>
        <v>#REF!</v>
      </c>
      <c r="AL80" s="173" t="e">
        <f>O80*F80</f>
        <v>#REF!</v>
      </c>
      <c r="AM80" s="174" t="e">
        <f>P80*F80</f>
        <v>#REF!</v>
      </c>
      <c r="AN80" s="172" t="e">
        <f>Q80*F80</f>
        <v>#REF!</v>
      </c>
      <c r="AO80" s="173" t="e">
        <f>R80*F80</f>
        <v>#REF!</v>
      </c>
      <c r="AP80" s="174" t="e">
        <f>S80*F80</f>
        <v>#REF!</v>
      </c>
      <c r="AQ80" s="172" t="e">
        <f>T80*F80</f>
        <v>#REF!</v>
      </c>
      <c r="AR80" s="173" t="e">
        <f>U80*F80</f>
        <v>#REF!</v>
      </c>
      <c r="AS80" s="174" t="e">
        <f>V80*F80</f>
        <v>#REF!</v>
      </c>
      <c r="AT80" s="172" t="e">
        <f>W80*F80</f>
        <v>#REF!</v>
      </c>
      <c r="AU80" s="173" t="e">
        <f>X80*F80</f>
        <v>#REF!</v>
      </c>
      <c r="AV80" s="174" t="e">
        <f>Y80*F80</f>
        <v>#REF!</v>
      </c>
      <c r="AW80" s="172" t="e">
        <f>Z80*F80</f>
        <v>#REF!</v>
      </c>
      <c r="AX80" s="173" t="e">
        <f>AA80*F80</f>
        <v>#REF!</v>
      </c>
      <c r="AY80" s="174" t="e">
        <f>AB80*F80</f>
        <v>#REF!</v>
      </c>
      <c r="AZ80" s="172" t="e">
        <f>AC80*F80</f>
        <v>#REF!</v>
      </c>
      <c r="BA80" s="173" t="e">
        <f>AD80*F80</f>
        <v>#REF!</v>
      </c>
    </row>
    <row r="81" spans="1:54" customHeight="1" ht="15.75" s="12" customFormat="1">
      <c r="A81" s="445"/>
      <c r="B81" s="438" t="s">
        <v>58</v>
      </c>
      <c r="C81" s="355" t="s">
        <v>113</v>
      </c>
      <c r="D81" s="280"/>
      <c r="E81" s="27"/>
      <c r="F81" s="27"/>
      <c r="G81" s="27"/>
      <c r="H81" s="156"/>
      <c r="I81" s="28" t="e">
        <f>VLOOKUP(C81,#REF!,18,0)</f>
        <v>#REF!</v>
      </c>
      <c r="J81" s="44">
        <v>0.0</v>
      </c>
      <c r="K81" s="45" t="e">
        <f>VLOOKUP($C81,#REF!,9,0)</f>
        <v>#REF!</v>
      </c>
      <c r="L81" s="48">
        <f>IF(J81&gt;K81,0,K81-J81)</f>
        <v>0</v>
      </c>
      <c r="M81" s="44" t="e">
        <f>J81+L81-K81</f>
        <v>#REF!</v>
      </c>
      <c r="N81" s="45" t="e">
        <f>VLOOKUP($C81,#REF!,9,0)</f>
        <v>#REF!</v>
      </c>
      <c r="O81" s="48" t="e">
        <f>IF(M81&gt;N81,0,N81-M81)</f>
        <v>#REF!</v>
      </c>
      <c r="P81" s="44" t="e">
        <f>M81+O81-N81</f>
        <v>#REF!</v>
      </c>
      <c r="Q81" s="45" t="e">
        <f>VLOOKUP($C81,#REF!,15,0)</f>
        <v>#REF!</v>
      </c>
      <c r="R81" s="46" t="e">
        <f>IF(P81&gt;Q81,0,Q81-P81)</f>
        <v>#REF!</v>
      </c>
      <c r="S81" s="47" t="e">
        <f>P81+R81-Q81</f>
        <v>#REF!</v>
      </c>
      <c r="T81" s="45" t="e">
        <f>VLOOKUP($C81,#REF!,21,0)</f>
        <v>#REF!</v>
      </c>
      <c r="U81" s="48" t="e">
        <f>IF(S81&gt;T81,0,T81-S81)</f>
        <v>#REF!</v>
      </c>
      <c r="V81" s="44" t="e">
        <f>S81+U81-T81</f>
        <v>#REF!</v>
      </c>
      <c r="W81" s="45" t="e">
        <f>VLOOKUP($C81,#REF!,27,0)</f>
        <v>#REF!</v>
      </c>
      <c r="X81" s="46" t="e">
        <f>IF(V81&gt;W81,0,W81-V81)</f>
        <v>#REF!</v>
      </c>
      <c r="Y81" s="44" t="e">
        <f>V81+X81-W81</f>
        <v>#REF!</v>
      </c>
      <c r="Z81" s="45" t="e">
        <f>VLOOKUP($C81,#REF!,33,0)</f>
        <v>#REF!</v>
      </c>
      <c r="AA81" s="46" t="e">
        <f>IF(Y81&gt;Z81,0,Z81-Y81)</f>
        <v>#REF!</v>
      </c>
      <c r="AB81" s="44" t="e">
        <f>Y81+AA81-Z81</f>
        <v>#REF!</v>
      </c>
      <c r="AC81" s="45" t="e">
        <f>VLOOKUP($C81,#REF!,39,0)</f>
        <v>#REF!</v>
      </c>
      <c r="AD81" s="46" t="e">
        <f>IF(AB81&gt;AC81,0,AC81-AB81)</f>
        <v>#REF!</v>
      </c>
      <c r="AE81" s="237"/>
      <c r="AG81" s="171">
        <f>J81*F81</f>
        <v>0</v>
      </c>
      <c r="AH81" s="172" t="e">
        <f>K81*F81</f>
        <v>#REF!</v>
      </c>
      <c r="AI81" s="173">
        <f>L81*F81</f>
        <v>0</v>
      </c>
      <c r="AJ81" s="174" t="e">
        <f>M81*F81</f>
        <v>#REF!</v>
      </c>
      <c r="AK81" s="172" t="e">
        <f>N81*F81</f>
        <v>#REF!</v>
      </c>
      <c r="AL81" s="173" t="e">
        <f>O81*F81</f>
        <v>#REF!</v>
      </c>
      <c r="AM81" s="174" t="e">
        <f>P81*F81</f>
        <v>#REF!</v>
      </c>
      <c r="AN81" s="172" t="e">
        <f>Q81*F81</f>
        <v>#REF!</v>
      </c>
      <c r="AO81" s="173" t="e">
        <f>R81*F81</f>
        <v>#REF!</v>
      </c>
      <c r="AP81" s="174" t="e">
        <f>S81*F81</f>
        <v>#REF!</v>
      </c>
      <c r="AQ81" s="172" t="e">
        <f>T81*F81</f>
        <v>#REF!</v>
      </c>
      <c r="AR81" s="173" t="e">
        <f>U81*F81</f>
        <v>#REF!</v>
      </c>
      <c r="AS81" s="174" t="e">
        <f>V81*F81</f>
        <v>#REF!</v>
      </c>
      <c r="AT81" s="172" t="e">
        <f>W81*F81</f>
        <v>#REF!</v>
      </c>
      <c r="AU81" s="173" t="e">
        <f>X81*F81</f>
        <v>#REF!</v>
      </c>
      <c r="AV81" s="174" t="e">
        <f>Y81*F81</f>
        <v>#REF!</v>
      </c>
      <c r="AW81" s="172" t="e">
        <f>Z81*F81</f>
        <v>#REF!</v>
      </c>
      <c r="AX81" s="173" t="e">
        <f>AA81*F81</f>
        <v>#REF!</v>
      </c>
      <c r="AY81" s="174" t="e">
        <f>AB81*F81</f>
        <v>#REF!</v>
      </c>
      <c r="AZ81" s="172" t="e">
        <f>AC81*F81</f>
        <v>#REF!</v>
      </c>
      <c r="BA81" s="173" t="e">
        <f>AD81*F81</f>
        <v>#REF!</v>
      </c>
    </row>
    <row r="82" spans="1:54" customHeight="1" ht="15.75">
      <c r="A82" s="445"/>
      <c r="B82" s="438" t="s">
        <v>48</v>
      </c>
      <c r="C82" s="355" t="s">
        <v>114</v>
      </c>
      <c r="D82" s="280"/>
      <c r="E82" s="27"/>
      <c r="F82" s="27"/>
      <c r="G82" s="27"/>
      <c r="H82" s="156"/>
      <c r="I82" s="28" t="e">
        <f>VLOOKUP(C82,#REF!,18,0)</f>
        <v>#REF!</v>
      </c>
      <c r="J82" s="44">
        <v>0.0</v>
      </c>
      <c r="K82" s="45" t="e">
        <f>VLOOKUP($C82,#REF!,9,0)</f>
        <v>#REF!</v>
      </c>
      <c r="L82" s="48">
        <f>IF(J82&gt;K82,0,K82-J82)+48+48</f>
        <v>96</v>
      </c>
      <c r="M82" s="44" t="e">
        <f>J82+L82-K82</f>
        <v>#REF!</v>
      </c>
      <c r="N82" s="45" t="e">
        <f>VLOOKUP($C82,#REF!,9,0)</f>
        <v>#REF!</v>
      </c>
      <c r="O82" s="48" t="e">
        <f>IF(M82&gt;N82,0,N82-M82)</f>
        <v>#REF!</v>
      </c>
      <c r="P82" s="44" t="e">
        <f>M82+O82-N82</f>
        <v>#REF!</v>
      </c>
      <c r="Q82" s="45" t="e">
        <f>VLOOKUP($C82,#REF!,15,0)</f>
        <v>#REF!</v>
      </c>
      <c r="R82" s="46" t="e">
        <f>IF(P82&gt;Q82,0,Q82-P82)</f>
        <v>#REF!</v>
      </c>
      <c r="S82" s="47" t="e">
        <f>P82+R82-Q82</f>
        <v>#REF!</v>
      </c>
      <c r="T82" s="45" t="e">
        <f>VLOOKUP($C82,#REF!,21,0)</f>
        <v>#REF!</v>
      </c>
      <c r="U82" s="48" t="e">
        <f>IF(S82&gt;T82,0,T82-S82)</f>
        <v>#REF!</v>
      </c>
      <c r="V82" s="44" t="e">
        <f>S82+U82-T82</f>
        <v>#REF!</v>
      </c>
      <c r="W82" s="45" t="e">
        <f>VLOOKUP($C82,#REF!,27,0)</f>
        <v>#REF!</v>
      </c>
      <c r="X82" s="46" t="e">
        <f>IF(V82&gt;W82,0,W82-V82)</f>
        <v>#REF!</v>
      </c>
      <c r="Y82" s="44" t="e">
        <f>V82+X82-W82</f>
        <v>#REF!</v>
      </c>
      <c r="Z82" s="45" t="e">
        <f>VLOOKUP($C82,#REF!,33,0)</f>
        <v>#REF!</v>
      </c>
      <c r="AA82" s="46" t="e">
        <f>IF(Y82&gt;Z82,0,Z82-Y82)</f>
        <v>#REF!</v>
      </c>
      <c r="AB82" s="44" t="e">
        <f>Y82+AA82-Z82</f>
        <v>#REF!</v>
      </c>
      <c r="AC82" s="45" t="e">
        <f>VLOOKUP($C82,#REF!,39,0)</f>
        <v>#REF!</v>
      </c>
      <c r="AD82" s="46" t="e">
        <f>IF(AB82&gt;AC82,0,AC82-AB82)</f>
        <v>#REF!</v>
      </c>
      <c r="AE82" s="237"/>
      <c r="AG82" s="171">
        <f>J82*F82</f>
        <v>0</v>
      </c>
      <c r="AH82" s="172" t="e">
        <f>K82*F82</f>
        <v>#REF!</v>
      </c>
      <c r="AI82" s="173">
        <f>L82*F82</f>
        <v>0</v>
      </c>
      <c r="AJ82" s="174" t="e">
        <f>M82*F82</f>
        <v>#REF!</v>
      </c>
      <c r="AK82" s="172" t="e">
        <f>N82*F82</f>
        <v>#REF!</v>
      </c>
      <c r="AL82" s="173" t="e">
        <f>O82*F82</f>
        <v>#REF!</v>
      </c>
      <c r="AM82" s="174" t="e">
        <f>P82*F82</f>
        <v>#REF!</v>
      </c>
      <c r="AN82" s="172" t="e">
        <f>Q82*F82</f>
        <v>#REF!</v>
      </c>
      <c r="AO82" s="173" t="e">
        <f>R82*F82</f>
        <v>#REF!</v>
      </c>
      <c r="AP82" s="174" t="e">
        <f>S82*F82</f>
        <v>#REF!</v>
      </c>
      <c r="AQ82" s="172" t="e">
        <f>T82*F82</f>
        <v>#REF!</v>
      </c>
      <c r="AR82" s="173" t="e">
        <f>U82*F82</f>
        <v>#REF!</v>
      </c>
      <c r="AS82" s="174" t="e">
        <f>V82*F82</f>
        <v>#REF!</v>
      </c>
      <c r="AT82" s="172" t="e">
        <f>W82*F82</f>
        <v>#REF!</v>
      </c>
      <c r="AU82" s="173" t="e">
        <f>X82*F82</f>
        <v>#REF!</v>
      </c>
      <c r="AV82" s="174" t="e">
        <f>Y82*F82</f>
        <v>#REF!</v>
      </c>
      <c r="AW82" s="172" t="e">
        <f>Z82*F82</f>
        <v>#REF!</v>
      </c>
      <c r="AX82" s="173" t="e">
        <f>AA82*F82</f>
        <v>#REF!</v>
      </c>
      <c r="AY82" s="174" t="e">
        <f>AB82*F82</f>
        <v>#REF!</v>
      </c>
      <c r="AZ82" s="172" t="e">
        <f>AC82*F82</f>
        <v>#REF!</v>
      </c>
      <c r="BA82" s="173" t="e">
        <f>AD82*F82</f>
        <v>#REF!</v>
      </c>
    </row>
    <row r="83" spans="1:54" customHeight="1" ht="15.75">
      <c r="A83" s="445"/>
      <c r="B83" s="438" t="s">
        <v>44</v>
      </c>
      <c r="C83" s="355" t="s">
        <v>115</v>
      </c>
      <c r="D83" s="280"/>
      <c r="E83" s="27"/>
      <c r="F83" s="27"/>
      <c r="G83" s="27"/>
      <c r="H83" s="156"/>
      <c r="I83" s="28" t="e">
        <f>VLOOKUP(C83,#REF!,18,0)</f>
        <v>#REF!</v>
      </c>
      <c r="J83" s="44">
        <v>24</v>
      </c>
      <c r="K83" s="45" t="e">
        <f>VLOOKUP($C83,#REF!,9,0)</f>
        <v>#REF!</v>
      </c>
      <c r="L83" s="48">
        <f>IF(J83&gt;K83,0,K83-J83)</f>
        <v>0</v>
      </c>
      <c r="M83" s="44" t="e">
        <f>J83+L83-K83</f>
        <v>#REF!</v>
      </c>
      <c r="N83" s="45" t="e">
        <f>VLOOKUP($C83,#REF!,9,0)</f>
        <v>#REF!</v>
      </c>
      <c r="O83" s="48" t="e">
        <f>IF(M83&gt;N83,0,N83-M83)</f>
        <v>#REF!</v>
      </c>
      <c r="P83" s="44" t="e">
        <f>M83+O83-N83</f>
        <v>#REF!</v>
      </c>
      <c r="Q83" s="45" t="e">
        <f>VLOOKUP($C83,#REF!,15,0)</f>
        <v>#REF!</v>
      </c>
      <c r="R83" s="46" t="e">
        <f>IF(P83&gt;Q83,0,Q83-P83)</f>
        <v>#REF!</v>
      </c>
      <c r="S83" s="47" t="e">
        <f>P83+R83-Q83</f>
        <v>#REF!</v>
      </c>
      <c r="T83" s="45" t="e">
        <f>VLOOKUP($C83,#REF!,21,0)</f>
        <v>#REF!</v>
      </c>
      <c r="U83" s="48" t="e">
        <f>IF(S83&gt;T83,0,T83-S83)</f>
        <v>#REF!</v>
      </c>
      <c r="V83" s="44" t="e">
        <f>S83+U83-T83</f>
        <v>#REF!</v>
      </c>
      <c r="W83" s="45" t="e">
        <f>VLOOKUP($C83,#REF!,27,0)</f>
        <v>#REF!</v>
      </c>
      <c r="X83" s="46" t="e">
        <f>IF(V83&gt;W83,0,W83-V83)</f>
        <v>#REF!</v>
      </c>
      <c r="Y83" s="44" t="e">
        <f>V83+X83-W83</f>
        <v>#REF!</v>
      </c>
      <c r="Z83" s="45" t="e">
        <f>VLOOKUP($C83,#REF!,33,0)</f>
        <v>#REF!</v>
      </c>
      <c r="AA83" s="46" t="e">
        <f>IF(Y83&gt;Z83,0,Z83-Y83)</f>
        <v>#REF!</v>
      </c>
      <c r="AB83" s="44" t="e">
        <f>Y83+AA83-Z83</f>
        <v>#REF!</v>
      </c>
      <c r="AC83" s="45" t="e">
        <f>VLOOKUP($C83,#REF!,39,0)</f>
        <v>#REF!</v>
      </c>
      <c r="AD83" s="46" t="e">
        <f>IF(AB83&gt;AC83,0,AC83-AB83)</f>
        <v>#REF!</v>
      </c>
      <c r="AE83" s="237"/>
      <c r="AG83" s="171">
        <f>J83*F83</f>
        <v>0</v>
      </c>
      <c r="AH83" s="172" t="e">
        <f>K83*F83</f>
        <v>#REF!</v>
      </c>
      <c r="AI83" s="173">
        <f>L83*F83</f>
        <v>0</v>
      </c>
      <c r="AJ83" s="174" t="e">
        <f>M83*F83</f>
        <v>#REF!</v>
      </c>
      <c r="AK83" s="172" t="e">
        <f>N83*F83</f>
        <v>#REF!</v>
      </c>
      <c r="AL83" s="173" t="e">
        <f>O83*F83</f>
        <v>#REF!</v>
      </c>
      <c r="AM83" s="174" t="e">
        <f>P83*F83</f>
        <v>#REF!</v>
      </c>
      <c r="AN83" s="172" t="e">
        <f>Q83*F83</f>
        <v>#REF!</v>
      </c>
      <c r="AO83" s="173" t="e">
        <f>R83*F83</f>
        <v>#REF!</v>
      </c>
      <c r="AP83" s="174" t="e">
        <f>S83*F83</f>
        <v>#REF!</v>
      </c>
      <c r="AQ83" s="172" t="e">
        <f>T83*F83</f>
        <v>#REF!</v>
      </c>
      <c r="AR83" s="173" t="e">
        <f>U83*F83</f>
        <v>#REF!</v>
      </c>
      <c r="AS83" s="174" t="e">
        <f>V83*F83</f>
        <v>#REF!</v>
      </c>
      <c r="AT83" s="172" t="e">
        <f>W83*F83</f>
        <v>#REF!</v>
      </c>
      <c r="AU83" s="173" t="e">
        <f>X83*F83</f>
        <v>#REF!</v>
      </c>
      <c r="AV83" s="174" t="e">
        <f>Y83*F83</f>
        <v>#REF!</v>
      </c>
      <c r="AW83" s="172" t="e">
        <f>Z83*F83</f>
        <v>#REF!</v>
      </c>
      <c r="AX83" s="173" t="e">
        <f>AA83*F83</f>
        <v>#REF!</v>
      </c>
      <c r="AY83" s="174" t="e">
        <f>AB83*F83</f>
        <v>#REF!</v>
      </c>
      <c r="AZ83" s="172" t="e">
        <f>AC83*F83</f>
        <v>#REF!</v>
      </c>
      <c r="BA83" s="173" t="e">
        <f>AD83*F83</f>
        <v>#REF!</v>
      </c>
    </row>
    <row r="84" spans="1:54" customHeight="1" ht="15.75">
      <c r="A84" s="446"/>
      <c r="B84" s="438" t="s">
        <v>58</v>
      </c>
      <c r="C84" s="355" t="s">
        <v>116</v>
      </c>
      <c r="D84" s="280"/>
      <c r="E84" s="27"/>
      <c r="F84" s="27"/>
      <c r="G84" s="27"/>
      <c r="H84" s="156"/>
      <c r="I84" s="28" t="e">
        <f>VLOOKUP(C84,#REF!,18,0)</f>
        <v>#REF!</v>
      </c>
      <c r="J84" s="44">
        <v>0.0</v>
      </c>
      <c r="K84" s="45" t="e">
        <f>VLOOKUP($C84,#REF!,9,0)</f>
        <v>#REF!</v>
      </c>
      <c r="L84" s="48">
        <f>IF(J84&gt;K84,0,K84-J84)</f>
        <v>0</v>
      </c>
      <c r="M84" s="44" t="e">
        <f>J84+L84-K84</f>
        <v>#REF!</v>
      </c>
      <c r="N84" s="45" t="e">
        <f>VLOOKUP($C84,#REF!,9,0)</f>
        <v>#REF!</v>
      </c>
      <c r="O84" s="48" t="e">
        <f>IF(M84&gt;N84,0,N84-M84)</f>
        <v>#REF!</v>
      </c>
      <c r="P84" s="44" t="e">
        <f>M84+O84-N84</f>
        <v>#REF!</v>
      </c>
      <c r="Q84" s="45" t="e">
        <f>VLOOKUP($C84,#REF!,15,0)</f>
        <v>#REF!</v>
      </c>
      <c r="R84" s="46" t="e">
        <f>IF(P84&gt;Q84,0,Q84-P84)</f>
        <v>#REF!</v>
      </c>
      <c r="S84" s="47" t="e">
        <f>P84+R84-Q84</f>
        <v>#REF!</v>
      </c>
      <c r="T84" s="45" t="e">
        <f>VLOOKUP($C84,#REF!,21,0)</f>
        <v>#REF!</v>
      </c>
      <c r="U84" s="48" t="e">
        <f>IF(S84&gt;T84,0,T84-S84)</f>
        <v>#REF!</v>
      </c>
      <c r="V84" s="44" t="e">
        <f>S84+U84-T84</f>
        <v>#REF!</v>
      </c>
      <c r="W84" s="45" t="e">
        <f>VLOOKUP($C84,#REF!,27,0)</f>
        <v>#REF!</v>
      </c>
      <c r="X84" s="46" t="e">
        <f>IF(V84&gt;W84,0,W84-V84)</f>
        <v>#REF!</v>
      </c>
      <c r="Y84" s="44" t="e">
        <f>V84+X84-W84</f>
        <v>#REF!</v>
      </c>
      <c r="Z84" s="45" t="e">
        <f>VLOOKUP($C84,#REF!,33,0)</f>
        <v>#REF!</v>
      </c>
      <c r="AA84" s="46" t="e">
        <f>IF(Y84&gt;Z84,0,Z84-Y84)</f>
        <v>#REF!</v>
      </c>
      <c r="AB84" s="44" t="e">
        <f>Y84+AA84-Z84</f>
        <v>#REF!</v>
      </c>
      <c r="AC84" s="45" t="e">
        <f>VLOOKUP($C84,#REF!,39,0)</f>
        <v>#REF!</v>
      </c>
      <c r="AD84" s="46" t="e">
        <f>IF(AB84&gt;AC84,0,AC84-AB84)</f>
        <v>#REF!</v>
      </c>
      <c r="AE84" s="237"/>
      <c r="AG84" s="171">
        <f>J84*F84</f>
        <v>0</v>
      </c>
      <c r="AH84" s="172" t="e">
        <f>K84*F84</f>
        <v>#REF!</v>
      </c>
      <c r="AI84" s="173">
        <f>L84*F84</f>
        <v>0</v>
      </c>
      <c r="AJ84" s="174" t="e">
        <f>M84*F84</f>
        <v>#REF!</v>
      </c>
      <c r="AK84" s="172" t="e">
        <f>N84*F84</f>
        <v>#REF!</v>
      </c>
      <c r="AL84" s="173" t="e">
        <f>O84*F84</f>
        <v>#REF!</v>
      </c>
      <c r="AM84" s="174" t="e">
        <f>P84*F84</f>
        <v>#REF!</v>
      </c>
      <c r="AN84" s="172" t="e">
        <f>Q84*F84</f>
        <v>#REF!</v>
      </c>
      <c r="AO84" s="173" t="e">
        <f>R84*F84</f>
        <v>#REF!</v>
      </c>
      <c r="AP84" s="174" t="e">
        <f>S84*F84</f>
        <v>#REF!</v>
      </c>
      <c r="AQ84" s="172" t="e">
        <f>T84*F84</f>
        <v>#REF!</v>
      </c>
      <c r="AR84" s="173" t="e">
        <f>U84*F84</f>
        <v>#REF!</v>
      </c>
      <c r="AS84" s="174" t="e">
        <f>V84*F84</f>
        <v>#REF!</v>
      </c>
      <c r="AT84" s="172" t="e">
        <f>W84*F84</f>
        <v>#REF!</v>
      </c>
      <c r="AU84" s="173" t="e">
        <f>X84*F84</f>
        <v>#REF!</v>
      </c>
      <c r="AV84" s="174" t="e">
        <f>Y84*F84</f>
        <v>#REF!</v>
      </c>
      <c r="AW84" s="172" t="e">
        <f>Z84*F84</f>
        <v>#REF!</v>
      </c>
      <c r="AX84" s="173" t="e">
        <f>AA84*F84</f>
        <v>#REF!</v>
      </c>
      <c r="AY84" s="174" t="e">
        <f>AB84*F84</f>
        <v>#REF!</v>
      </c>
      <c r="AZ84" s="172" t="e">
        <f>AC84*F84</f>
        <v>#REF!</v>
      </c>
      <c r="BA84" s="173" t="e">
        <f>AD84*F84</f>
        <v>#REF!</v>
      </c>
    </row>
    <row r="85" spans="1:54" customHeight="1" ht="15.75" hidden="true">
      <c r="A85" s="394"/>
      <c r="B85" s="395"/>
      <c r="C85" s="355"/>
      <c r="D85" s="280"/>
      <c r="E85" s="27"/>
      <c r="F85" s="27"/>
      <c r="G85" s="27"/>
      <c r="H85" s="156"/>
      <c r="I85" s="156"/>
      <c r="J85" s="44"/>
      <c r="K85" s="51"/>
      <c r="L85" s="186">
        <v>0.0</v>
      </c>
      <c r="M85" s="44"/>
      <c r="N85" s="45"/>
      <c r="O85" s="48">
        <f>IF(M85&gt;N85,0,N85-M85)</f>
        <v>0</v>
      </c>
      <c r="P85" s="44"/>
      <c r="Q85" s="45"/>
      <c r="R85" s="46">
        <f>IF(P85&gt;Q85,0,Q85-P85)</f>
        <v>0</v>
      </c>
      <c r="S85" s="47"/>
      <c r="T85" s="45"/>
      <c r="U85" s="48"/>
      <c r="V85" s="44"/>
      <c r="W85" s="45"/>
      <c r="X85" s="46"/>
      <c r="Y85" s="44"/>
      <c r="Z85" s="45"/>
      <c r="AA85" s="46"/>
      <c r="AB85" s="44"/>
      <c r="AC85" s="45"/>
      <c r="AD85" s="46"/>
      <c r="AE85" s="237"/>
      <c r="AG85" s="171">
        <f>J85*F85</f>
        <v>0</v>
      </c>
      <c r="AH85" s="172">
        <f>K85*F85</f>
        <v>0</v>
      </c>
      <c r="AI85" s="173">
        <f>L85*F85</f>
        <v>0</v>
      </c>
      <c r="AJ85" s="174">
        <f>M85*F85</f>
        <v>0</v>
      </c>
      <c r="AK85" s="172">
        <f>N85*F85</f>
        <v>0</v>
      </c>
      <c r="AL85" s="173">
        <f>O85*F85</f>
        <v>0</v>
      </c>
      <c r="AM85" s="174">
        <f>P85*F85</f>
        <v>0</v>
      </c>
      <c r="AN85" s="172">
        <f>Q85*F85</f>
        <v>0</v>
      </c>
      <c r="AO85" s="173">
        <f>R85*F85</f>
        <v>0</v>
      </c>
      <c r="AP85" s="174">
        <f>S85*F85</f>
        <v>0</v>
      </c>
      <c r="AQ85" s="172">
        <f>T85*F85</f>
        <v>0</v>
      </c>
      <c r="AR85" s="173">
        <f>U85*F85</f>
        <v>0</v>
      </c>
      <c r="AS85" s="174">
        <f>V85*F85</f>
        <v>0</v>
      </c>
      <c r="AT85" s="172">
        <f>W85*F85</f>
        <v>0</v>
      </c>
      <c r="AU85" s="173">
        <f>X85*F85</f>
        <v>0</v>
      </c>
      <c r="AV85" s="174">
        <f>Y85*F85</f>
        <v>0</v>
      </c>
      <c r="AW85" s="172">
        <f>Z85*F85</f>
        <v>0</v>
      </c>
      <c r="AX85" s="173">
        <f>AA85*F85</f>
        <v>0</v>
      </c>
      <c r="AY85" s="174">
        <f>AB85*F85</f>
        <v>0</v>
      </c>
      <c r="AZ85" s="172">
        <f>AC85*F85</f>
        <v>0</v>
      </c>
      <c r="BA85" s="173">
        <f>AD85*F85</f>
        <v>0</v>
      </c>
    </row>
    <row r="86" spans="1:54" customHeight="1" ht="15.75" hidden="true">
      <c r="A86" s="394"/>
      <c r="B86" s="395"/>
      <c r="C86" s="355"/>
      <c r="D86" s="280"/>
      <c r="E86" s="27"/>
      <c r="F86" s="27"/>
      <c r="G86" s="27"/>
      <c r="H86" s="156"/>
      <c r="I86" s="156"/>
      <c r="J86" s="44"/>
      <c r="K86" s="51"/>
      <c r="L86" s="186">
        <v>0.0</v>
      </c>
      <c r="M86" s="44"/>
      <c r="N86" s="45"/>
      <c r="O86" s="48">
        <f>IF(M86&gt;N86,0,N86-M86)</f>
        <v>0</v>
      </c>
      <c r="P86" s="44"/>
      <c r="Q86" s="45"/>
      <c r="R86" s="46">
        <f>IF(P86&gt;Q86,0,Q86-P86)</f>
        <v>0</v>
      </c>
      <c r="S86" s="47"/>
      <c r="T86" s="45"/>
      <c r="U86" s="48"/>
      <c r="V86" s="44"/>
      <c r="W86" s="45"/>
      <c r="X86" s="46"/>
      <c r="Y86" s="44"/>
      <c r="Z86" s="45"/>
      <c r="AA86" s="46"/>
      <c r="AB86" s="44"/>
      <c r="AC86" s="45"/>
      <c r="AD86" s="46"/>
      <c r="AE86" s="237"/>
      <c r="AG86" s="171">
        <f>J86*F86</f>
        <v>0</v>
      </c>
      <c r="AH86" s="172">
        <f>K86*F86</f>
        <v>0</v>
      </c>
      <c r="AI86" s="173">
        <f>L86*F86</f>
        <v>0</v>
      </c>
      <c r="AJ86" s="174">
        <f>M86*F86</f>
        <v>0</v>
      </c>
      <c r="AK86" s="172">
        <f>N86*F86</f>
        <v>0</v>
      </c>
      <c r="AL86" s="173">
        <f>O86*F86</f>
        <v>0</v>
      </c>
      <c r="AM86" s="174">
        <f>P86*F86</f>
        <v>0</v>
      </c>
      <c r="AN86" s="172">
        <f>Q86*F86</f>
        <v>0</v>
      </c>
      <c r="AO86" s="173">
        <f>R86*F86</f>
        <v>0</v>
      </c>
      <c r="AP86" s="174">
        <f>S86*F86</f>
        <v>0</v>
      </c>
      <c r="AQ86" s="172">
        <f>T86*F86</f>
        <v>0</v>
      </c>
      <c r="AR86" s="173">
        <f>U86*F86</f>
        <v>0</v>
      </c>
      <c r="AS86" s="174">
        <f>V86*F86</f>
        <v>0</v>
      </c>
      <c r="AT86" s="172">
        <f>W86*F86</f>
        <v>0</v>
      </c>
      <c r="AU86" s="173">
        <f>X86*F86</f>
        <v>0</v>
      </c>
      <c r="AV86" s="174">
        <f>Y86*F86</f>
        <v>0</v>
      </c>
      <c r="AW86" s="172">
        <f>Z86*F86</f>
        <v>0</v>
      </c>
      <c r="AX86" s="173">
        <f>AA86*F86</f>
        <v>0</v>
      </c>
      <c r="AY86" s="174">
        <f>AB86*F86</f>
        <v>0</v>
      </c>
      <c r="AZ86" s="172">
        <f>AC86*F86</f>
        <v>0</v>
      </c>
      <c r="BA86" s="173">
        <f>AD86*F86</f>
        <v>0</v>
      </c>
    </row>
    <row r="87" spans="1:54" customHeight="1" ht="15.75" hidden="true">
      <c r="A87" s="394"/>
      <c r="B87" s="395"/>
      <c r="C87" s="355"/>
      <c r="D87" s="280"/>
      <c r="E87" s="27"/>
      <c r="F87" s="27"/>
      <c r="G87" s="27"/>
      <c r="H87" s="156"/>
      <c r="I87" s="156"/>
      <c r="J87" s="44"/>
      <c r="K87" s="51"/>
      <c r="L87" s="186">
        <v>0.0</v>
      </c>
      <c r="M87" s="44"/>
      <c r="N87" s="45"/>
      <c r="O87" s="48">
        <f>IF(M87&gt;N87,0,N87-M87)</f>
        <v>0</v>
      </c>
      <c r="P87" s="44"/>
      <c r="Q87" s="45"/>
      <c r="R87" s="46">
        <f>IF(P87&gt;Q87,0,Q87-P87)</f>
        <v>0</v>
      </c>
      <c r="S87" s="47"/>
      <c r="T87" s="45"/>
      <c r="U87" s="48"/>
      <c r="V87" s="44"/>
      <c r="W87" s="45"/>
      <c r="X87" s="46"/>
      <c r="Y87" s="44"/>
      <c r="Z87" s="45"/>
      <c r="AA87" s="46"/>
      <c r="AB87" s="44"/>
      <c r="AC87" s="45"/>
      <c r="AD87" s="46"/>
      <c r="AE87" s="237"/>
      <c r="AG87" s="171">
        <f>J87*F87</f>
        <v>0</v>
      </c>
      <c r="AH87" s="172">
        <f>K87*F87</f>
        <v>0</v>
      </c>
      <c r="AI87" s="173">
        <f>L87*F87</f>
        <v>0</v>
      </c>
      <c r="AJ87" s="174">
        <f>M87*F87</f>
        <v>0</v>
      </c>
      <c r="AK87" s="172">
        <f>N87*F87</f>
        <v>0</v>
      </c>
      <c r="AL87" s="173">
        <f>O87*F87</f>
        <v>0</v>
      </c>
      <c r="AM87" s="174">
        <f>P87*F87</f>
        <v>0</v>
      </c>
      <c r="AN87" s="172">
        <f>Q87*F87</f>
        <v>0</v>
      </c>
      <c r="AO87" s="173">
        <f>R87*F87</f>
        <v>0</v>
      </c>
      <c r="AP87" s="174">
        <f>S87*F87</f>
        <v>0</v>
      </c>
      <c r="AQ87" s="172">
        <f>T87*F87</f>
        <v>0</v>
      </c>
      <c r="AR87" s="173">
        <f>U87*F87</f>
        <v>0</v>
      </c>
      <c r="AS87" s="174">
        <f>V87*F87</f>
        <v>0</v>
      </c>
      <c r="AT87" s="172">
        <f>W87*F87</f>
        <v>0</v>
      </c>
      <c r="AU87" s="173">
        <f>X87*F87</f>
        <v>0</v>
      </c>
      <c r="AV87" s="174">
        <f>Y87*F87</f>
        <v>0</v>
      </c>
      <c r="AW87" s="172">
        <f>Z87*F87</f>
        <v>0</v>
      </c>
      <c r="AX87" s="173">
        <f>AA87*F87</f>
        <v>0</v>
      </c>
      <c r="AY87" s="174">
        <f>AB87*F87</f>
        <v>0</v>
      </c>
      <c r="AZ87" s="172">
        <f>AC87*F87</f>
        <v>0</v>
      </c>
      <c r="BA87" s="173">
        <f>AD87*F87</f>
        <v>0</v>
      </c>
    </row>
    <row r="88" spans="1:54" customHeight="1" ht="15.75" hidden="true">
      <c r="A88" s="394"/>
      <c r="B88" s="395"/>
      <c r="C88" s="159"/>
      <c r="D88" s="280"/>
      <c r="E88" s="27"/>
      <c r="F88" s="27"/>
      <c r="G88" s="27"/>
      <c r="H88" s="156"/>
      <c r="I88" s="156"/>
      <c r="J88" s="44"/>
      <c r="K88" s="51"/>
      <c r="L88" s="186">
        <v>0.0</v>
      </c>
      <c r="M88" s="44"/>
      <c r="N88" s="45"/>
      <c r="O88" s="48">
        <f>IF(M88&gt;N88,0,N88-M88)</f>
        <v>0</v>
      </c>
      <c r="P88" s="44"/>
      <c r="Q88" s="45"/>
      <c r="R88" s="46">
        <f>IF(P88&gt;Q88,0,Q88-P88)</f>
        <v>0</v>
      </c>
      <c r="S88" s="47"/>
      <c r="T88" s="45"/>
      <c r="U88" s="48"/>
      <c r="V88" s="44"/>
      <c r="W88" s="45"/>
      <c r="X88" s="46"/>
      <c r="Y88" s="44"/>
      <c r="Z88" s="45"/>
      <c r="AA88" s="46"/>
      <c r="AB88" s="44"/>
      <c r="AC88" s="45"/>
      <c r="AD88" s="46"/>
      <c r="AE88" s="237"/>
      <c r="AG88" s="171">
        <f>J88*F88</f>
        <v>0</v>
      </c>
      <c r="AH88" s="172">
        <f>K88*F88</f>
        <v>0</v>
      </c>
      <c r="AI88" s="173">
        <f>L88*F88</f>
        <v>0</v>
      </c>
      <c r="AJ88" s="174">
        <f>M88*F88</f>
        <v>0</v>
      </c>
      <c r="AK88" s="172">
        <f>N88*F88</f>
        <v>0</v>
      </c>
      <c r="AL88" s="173">
        <f>O88*F88</f>
        <v>0</v>
      </c>
      <c r="AM88" s="174">
        <f>P88*F88</f>
        <v>0</v>
      </c>
      <c r="AN88" s="172">
        <f>Q88*F88</f>
        <v>0</v>
      </c>
      <c r="AO88" s="173">
        <f>R88*F88</f>
        <v>0</v>
      </c>
      <c r="AP88" s="174">
        <f>S88*F88</f>
        <v>0</v>
      </c>
      <c r="AQ88" s="172">
        <f>T88*F88</f>
        <v>0</v>
      </c>
      <c r="AR88" s="173">
        <f>U88*F88</f>
        <v>0</v>
      </c>
      <c r="AS88" s="174">
        <f>V88*F88</f>
        <v>0</v>
      </c>
      <c r="AT88" s="172">
        <f>W88*F88</f>
        <v>0</v>
      </c>
      <c r="AU88" s="173">
        <f>X88*F88</f>
        <v>0</v>
      </c>
      <c r="AV88" s="174">
        <f>Y88*F88</f>
        <v>0</v>
      </c>
      <c r="AW88" s="172">
        <f>Z88*F88</f>
        <v>0</v>
      </c>
      <c r="AX88" s="173">
        <f>AA88*F88</f>
        <v>0</v>
      </c>
      <c r="AY88" s="174">
        <f>AB88*F88</f>
        <v>0</v>
      </c>
      <c r="AZ88" s="172">
        <f>AC88*F88</f>
        <v>0</v>
      </c>
      <c r="BA88" s="173">
        <f>AD88*F88</f>
        <v>0</v>
      </c>
    </row>
    <row r="89" spans="1:54" customHeight="1" ht="15.75" hidden="true">
      <c r="A89" s="394"/>
      <c r="B89" s="395"/>
      <c r="C89" s="159"/>
      <c r="D89" s="280"/>
      <c r="E89" s="27"/>
      <c r="F89" s="27"/>
      <c r="G89" s="27"/>
      <c r="H89" s="156"/>
      <c r="I89" s="156"/>
      <c r="J89" s="44"/>
      <c r="K89" s="51"/>
      <c r="L89" s="186">
        <v>0.0</v>
      </c>
      <c r="M89" s="44"/>
      <c r="N89" s="45"/>
      <c r="O89" s="48">
        <f>IF(M89&gt;N89,0,N89-M89)</f>
        <v>0</v>
      </c>
      <c r="P89" s="44"/>
      <c r="Q89" s="45"/>
      <c r="R89" s="46">
        <f>IF(P89&gt;Q89,0,Q89-P89)</f>
        <v>0</v>
      </c>
      <c r="S89" s="47"/>
      <c r="T89" s="45"/>
      <c r="U89" s="48"/>
      <c r="V89" s="44"/>
      <c r="W89" s="45"/>
      <c r="X89" s="46"/>
      <c r="Y89" s="44"/>
      <c r="Z89" s="45"/>
      <c r="AA89" s="46"/>
      <c r="AB89" s="44"/>
      <c r="AC89" s="45"/>
      <c r="AD89" s="46"/>
      <c r="AE89" s="237"/>
      <c r="AG89" s="171">
        <f>J89*F89</f>
        <v>0</v>
      </c>
      <c r="AH89" s="172">
        <f>K89*F89</f>
        <v>0</v>
      </c>
      <c r="AI89" s="173">
        <f>L89*F89</f>
        <v>0</v>
      </c>
      <c r="AJ89" s="174">
        <f>M89*F89</f>
        <v>0</v>
      </c>
      <c r="AK89" s="172">
        <f>N89*F89</f>
        <v>0</v>
      </c>
      <c r="AL89" s="173">
        <f>O89*F89</f>
        <v>0</v>
      </c>
      <c r="AM89" s="174">
        <f>P89*F89</f>
        <v>0</v>
      </c>
      <c r="AN89" s="172">
        <f>Q89*F89</f>
        <v>0</v>
      </c>
      <c r="AO89" s="173">
        <f>R89*F89</f>
        <v>0</v>
      </c>
      <c r="AP89" s="174">
        <f>S89*F89</f>
        <v>0</v>
      </c>
      <c r="AQ89" s="172">
        <f>T89*F89</f>
        <v>0</v>
      </c>
      <c r="AR89" s="173">
        <f>U89*F89</f>
        <v>0</v>
      </c>
      <c r="AS89" s="174">
        <f>V89*F89</f>
        <v>0</v>
      </c>
      <c r="AT89" s="172">
        <f>W89*F89</f>
        <v>0</v>
      </c>
      <c r="AU89" s="173">
        <f>X89*F89</f>
        <v>0</v>
      </c>
      <c r="AV89" s="174">
        <f>Y89*F89</f>
        <v>0</v>
      </c>
      <c r="AW89" s="172">
        <f>Z89*F89</f>
        <v>0</v>
      </c>
      <c r="AX89" s="173">
        <f>AA89*F89</f>
        <v>0</v>
      </c>
      <c r="AY89" s="174">
        <f>AB89*F89</f>
        <v>0</v>
      </c>
      <c r="AZ89" s="172">
        <f>AC89*F89</f>
        <v>0</v>
      </c>
      <c r="BA89" s="173">
        <f>AD89*F89</f>
        <v>0</v>
      </c>
    </row>
    <row r="90" spans="1:54" customHeight="1" ht="15.75" hidden="true">
      <c r="A90" s="394"/>
      <c r="B90" s="395"/>
      <c r="C90" s="159"/>
      <c r="D90" s="280"/>
      <c r="E90" s="27"/>
      <c r="F90" s="27"/>
      <c r="G90" s="27"/>
      <c r="H90" s="156"/>
      <c r="I90" s="156"/>
      <c r="J90" s="44"/>
      <c r="K90" s="51"/>
      <c r="L90" s="186">
        <v>0.0</v>
      </c>
      <c r="M90" s="44"/>
      <c r="N90" s="45"/>
      <c r="O90" s="48">
        <f>IF(M90&gt;N90,0,N90-M90)</f>
        <v>0</v>
      </c>
      <c r="P90" s="44"/>
      <c r="Q90" s="45"/>
      <c r="R90" s="46">
        <f>IF(P90&gt;Q90,0,Q90-P90)</f>
        <v>0</v>
      </c>
      <c r="S90" s="47"/>
      <c r="T90" s="45"/>
      <c r="U90" s="48"/>
      <c r="V90" s="44"/>
      <c r="W90" s="45"/>
      <c r="X90" s="46"/>
      <c r="Y90" s="44"/>
      <c r="Z90" s="45"/>
      <c r="AA90" s="46"/>
      <c r="AB90" s="44"/>
      <c r="AC90" s="45"/>
      <c r="AD90" s="46"/>
      <c r="AE90" s="237"/>
      <c r="AG90" s="171">
        <f>J90*F90</f>
        <v>0</v>
      </c>
      <c r="AH90" s="172">
        <f>K90*F90</f>
        <v>0</v>
      </c>
      <c r="AI90" s="173">
        <f>L90*F90</f>
        <v>0</v>
      </c>
      <c r="AJ90" s="174">
        <f>M90*F90</f>
        <v>0</v>
      </c>
      <c r="AK90" s="172">
        <f>N90*F90</f>
        <v>0</v>
      </c>
      <c r="AL90" s="173">
        <f>O90*F90</f>
        <v>0</v>
      </c>
      <c r="AM90" s="174">
        <f>P90*F90</f>
        <v>0</v>
      </c>
      <c r="AN90" s="172">
        <f>Q90*F90</f>
        <v>0</v>
      </c>
      <c r="AO90" s="173">
        <f>R90*F90</f>
        <v>0</v>
      </c>
      <c r="AP90" s="174">
        <f>S90*F90</f>
        <v>0</v>
      </c>
      <c r="AQ90" s="172">
        <f>T90*F90</f>
        <v>0</v>
      </c>
      <c r="AR90" s="173">
        <f>U90*F90</f>
        <v>0</v>
      </c>
      <c r="AS90" s="174">
        <f>V90*F90</f>
        <v>0</v>
      </c>
      <c r="AT90" s="172">
        <f>W90*F90</f>
        <v>0</v>
      </c>
      <c r="AU90" s="173">
        <f>X90*F90</f>
        <v>0</v>
      </c>
      <c r="AV90" s="174">
        <f>Y90*F90</f>
        <v>0</v>
      </c>
      <c r="AW90" s="172">
        <f>Z90*F90</f>
        <v>0</v>
      </c>
      <c r="AX90" s="173">
        <f>AA90*F90</f>
        <v>0</v>
      </c>
      <c r="AY90" s="174">
        <f>AB90*F90</f>
        <v>0</v>
      </c>
      <c r="AZ90" s="172">
        <f>AC90*F90</f>
        <v>0</v>
      </c>
      <c r="BA90" s="173">
        <f>AD90*F90</f>
        <v>0</v>
      </c>
    </row>
    <row r="91" spans="1:54" customHeight="1" ht="15.75" hidden="true">
      <c r="A91" s="394"/>
      <c r="B91" s="395"/>
      <c r="C91" s="159"/>
      <c r="D91" s="280"/>
      <c r="E91" s="27"/>
      <c r="F91" s="27"/>
      <c r="G91" s="27"/>
      <c r="H91" s="156"/>
      <c r="I91" s="156"/>
      <c r="J91" s="44"/>
      <c r="K91" s="51"/>
      <c r="L91" s="186">
        <v>0.0</v>
      </c>
      <c r="M91" s="44"/>
      <c r="N91" s="45"/>
      <c r="O91" s="48">
        <f>IF(M91&gt;N91,0,N91-M91)</f>
        <v>0</v>
      </c>
      <c r="P91" s="44"/>
      <c r="Q91" s="45"/>
      <c r="R91" s="46">
        <f>IF(P91&gt;Q91,0,Q91-P91)</f>
        <v>0</v>
      </c>
      <c r="S91" s="47"/>
      <c r="T91" s="45"/>
      <c r="U91" s="48"/>
      <c r="V91" s="44"/>
      <c r="W91" s="45"/>
      <c r="X91" s="46"/>
      <c r="Y91" s="44"/>
      <c r="Z91" s="45"/>
      <c r="AA91" s="46"/>
      <c r="AB91" s="44"/>
      <c r="AC91" s="45"/>
      <c r="AD91" s="46"/>
      <c r="AE91" s="237"/>
      <c r="AG91" s="171">
        <f>J91*F91</f>
        <v>0</v>
      </c>
      <c r="AH91" s="172">
        <f>K91*F91</f>
        <v>0</v>
      </c>
      <c r="AI91" s="173">
        <f>L91*F91</f>
        <v>0</v>
      </c>
      <c r="AJ91" s="174">
        <f>M91*F91</f>
        <v>0</v>
      </c>
      <c r="AK91" s="172">
        <f>N91*F91</f>
        <v>0</v>
      </c>
      <c r="AL91" s="173">
        <f>O91*F91</f>
        <v>0</v>
      </c>
      <c r="AM91" s="174">
        <f>P91*F91</f>
        <v>0</v>
      </c>
      <c r="AN91" s="172">
        <f>Q91*F91</f>
        <v>0</v>
      </c>
      <c r="AO91" s="173">
        <f>R91*F91</f>
        <v>0</v>
      </c>
      <c r="AP91" s="174">
        <f>S91*F91</f>
        <v>0</v>
      </c>
      <c r="AQ91" s="172">
        <f>T91*F91</f>
        <v>0</v>
      </c>
      <c r="AR91" s="173">
        <f>U91*F91</f>
        <v>0</v>
      </c>
      <c r="AS91" s="174">
        <f>V91*F91</f>
        <v>0</v>
      </c>
      <c r="AT91" s="172">
        <f>W91*F91</f>
        <v>0</v>
      </c>
      <c r="AU91" s="173">
        <f>X91*F91</f>
        <v>0</v>
      </c>
      <c r="AV91" s="174">
        <f>Y91*F91</f>
        <v>0</v>
      </c>
      <c r="AW91" s="172">
        <f>Z91*F91</f>
        <v>0</v>
      </c>
      <c r="AX91" s="173">
        <f>AA91*F91</f>
        <v>0</v>
      </c>
      <c r="AY91" s="174">
        <f>AB91*F91</f>
        <v>0</v>
      </c>
      <c r="AZ91" s="172">
        <f>AC91*F91</f>
        <v>0</v>
      </c>
      <c r="BA91" s="173">
        <f>AD91*F91</f>
        <v>0</v>
      </c>
    </row>
    <row r="92" spans="1:54" customHeight="1" ht="15.75" hidden="true">
      <c r="A92" s="396"/>
      <c r="B92" s="395"/>
      <c r="C92" s="381"/>
      <c r="D92" s="280"/>
      <c r="E92" s="27"/>
      <c r="F92" s="27"/>
      <c r="G92" s="27"/>
      <c r="H92" s="156"/>
      <c r="I92" s="156"/>
      <c r="J92" s="44"/>
      <c r="K92" s="51"/>
      <c r="L92" s="186">
        <v>0.0</v>
      </c>
      <c r="M92" s="44"/>
      <c r="N92" s="45"/>
      <c r="O92" s="48">
        <f>IF(M92&gt;N92,0,N92-M92)</f>
        <v>0</v>
      </c>
      <c r="P92" s="44"/>
      <c r="Q92" s="45"/>
      <c r="R92" s="46">
        <f>IF(P92&gt;Q92,0,Q92-P92)</f>
        <v>0</v>
      </c>
      <c r="S92" s="47"/>
      <c r="T92" s="45"/>
      <c r="U92" s="48"/>
      <c r="V92" s="44"/>
      <c r="W92" s="45"/>
      <c r="X92" s="46"/>
      <c r="Y92" s="44"/>
      <c r="Z92" s="45"/>
      <c r="AA92" s="46"/>
      <c r="AB92" s="44"/>
      <c r="AC92" s="45"/>
      <c r="AD92" s="46"/>
      <c r="AE92" s="237"/>
      <c r="AG92" s="171">
        <f>J92*F92</f>
        <v>0</v>
      </c>
      <c r="AH92" s="172">
        <f>K92*F92</f>
        <v>0</v>
      </c>
      <c r="AI92" s="173">
        <f>L92*F92</f>
        <v>0</v>
      </c>
      <c r="AJ92" s="174">
        <f>M92*F92</f>
        <v>0</v>
      </c>
      <c r="AK92" s="172">
        <f>N92*F92</f>
        <v>0</v>
      </c>
      <c r="AL92" s="173">
        <f>O92*F92</f>
        <v>0</v>
      </c>
      <c r="AM92" s="174">
        <f>P92*F92</f>
        <v>0</v>
      </c>
      <c r="AN92" s="172">
        <f>Q92*F92</f>
        <v>0</v>
      </c>
      <c r="AO92" s="173">
        <f>R92*F92</f>
        <v>0</v>
      </c>
      <c r="AP92" s="174">
        <f>S92*F92</f>
        <v>0</v>
      </c>
      <c r="AQ92" s="172">
        <f>T92*F92</f>
        <v>0</v>
      </c>
      <c r="AR92" s="173">
        <f>U92*F92</f>
        <v>0</v>
      </c>
      <c r="AS92" s="174">
        <f>V92*F92</f>
        <v>0</v>
      </c>
      <c r="AT92" s="172">
        <f>W92*F92</f>
        <v>0</v>
      </c>
      <c r="AU92" s="173">
        <f>X92*F92</f>
        <v>0</v>
      </c>
      <c r="AV92" s="174">
        <f>Y92*F92</f>
        <v>0</v>
      </c>
      <c r="AW92" s="172">
        <f>Z92*F92</f>
        <v>0</v>
      </c>
      <c r="AX92" s="173">
        <f>AA92*F92</f>
        <v>0</v>
      </c>
      <c r="AY92" s="174">
        <f>AB92*F92</f>
        <v>0</v>
      </c>
      <c r="AZ92" s="172">
        <f>AC92*F92</f>
        <v>0</v>
      </c>
      <c r="BA92" s="173">
        <f>AD92*F92</f>
        <v>0</v>
      </c>
    </row>
    <row r="93" spans="1:54" customHeight="1" ht="15.75" hidden="true">
      <c r="A93" s="396"/>
      <c r="B93" s="395"/>
      <c r="C93" s="381"/>
      <c r="D93" s="280"/>
      <c r="E93" s="27"/>
      <c r="F93" s="27"/>
      <c r="G93" s="27"/>
      <c r="H93" s="156"/>
      <c r="I93" s="156"/>
      <c r="J93" s="44"/>
      <c r="K93" s="51"/>
      <c r="L93" s="186">
        <v>0.0</v>
      </c>
      <c r="M93" s="44"/>
      <c r="N93" s="45"/>
      <c r="O93" s="48">
        <f>IF(M93&gt;N93,0,N93-M93)</f>
        <v>0</v>
      </c>
      <c r="P93" s="44"/>
      <c r="Q93" s="45"/>
      <c r="R93" s="46">
        <f>IF(P93&gt;Q93,0,Q93-P93)</f>
        <v>0</v>
      </c>
      <c r="S93" s="47"/>
      <c r="T93" s="45"/>
      <c r="U93" s="48"/>
      <c r="V93" s="44"/>
      <c r="W93" s="45"/>
      <c r="X93" s="46"/>
      <c r="Y93" s="44"/>
      <c r="Z93" s="45"/>
      <c r="AA93" s="46"/>
      <c r="AB93" s="44"/>
      <c r="AC93" s="45"/>
      <c r="AD93" s="46"/>
      <c r="AE93" s="237"/>
      <c r="AG93" s="171">
        <f>J93*F93</f>
        <v>0</v>
      </c>
      <c r="AH93" s="172">
        <f>K93*F93</f>
        <v>0</v>
      </c>
      <c r="AI93" s="173">
        <f>L93*F93</f>
        <v>0</v>
      </c>
      <c r="AJ93" s="174">
        <f>M93*F93</f>
        <v>0</v>
      </c>
      <c r="AK93" s="172">
        <f>N93*F93</f>
        <v>0</v>
      </c>
      <c r="AL93" s="173">
        <f>O93*F93</f>
        <v>0</v>
      </c>
      <c r="AM93" s="174">
        <f>P93*F93</f>
        <v>0</v>
      </c>
      <c r="AN93" s="172">
        <f>Q93*F93</f>
        <v>0</v>
      </c>
      <c r="AO93" s="173">
        <f>R93*F93</f>
        <v>0</v>
      </c>
      <c r="AP93" s="174">
        <f>S93*F93</f>
        <v>0</v>
      </c>
      <c r="AQ93" s="172">
        <f>T93*F93</f>
        <v>0</v>
      </c>
      <c r="AR93" s="173">
        <f>U93*F93</f>
        <v>0</v>
      </c>
      <c r="AS93" s="174">
        <f>V93*F93</f>
        <v>0</v>
      </c>
      <c r="AT93" s="172">
        <f>W93*F93</f>
        <v>0</v>
      </c>
      <c r="AU93" s="173">
        <f>X93*F93</f>
        <v>0</v>
      </c>
      <c r="AV93" s="174">
        <f>Y93*F93</f>
        <v>0</v>
      </c>
      <c r="AW93" s="172">
        <f>Z93*F93</f>
        <v>0</v>
      </c>
      <c r="AX93" s="173">
        <f>AA93*F93</f>
        <v>0</v>
      </c>
      <c r="AY93" s="174">
        <f>AB93*F93</f>
        <v>0</v>
      </c>
      <c r="AZ93" s="172">
        <f>AC93*F93</f>
        <v>0</v>
      </c>
      <c r="BA93" s="173">
        <f>AD93*F93</f>
        <v>0</v>
      </c>
    </row>
    <row r="94" spans="1:54" customHeight="1" ht="15.75" hidden="true">
      <c r="A94" s="396"/>
      <c r="B94" s="396"/>
      <c r="C94" s="381"/>
      <c r="D94" s="380"/>
      <c r="E94" s="387"/>
      <c r="F94" s="387"/>
      <c r="G94" s="387"/>
      <c r="H94" s="371"/>
      <c r="I94" s="371"/>
      <c r="J94" s="388"/>
      <c r="K94" s="373"/>
      <c r="L94" s="374"/>
      <c r="M94" s="388"/>
      <c r="N94" s="389"/>
      <c r="O94" s="48">
        <f>IF(M94&gt;N94,0,N94-M94)</f>
        <v>0</v>
      </c>
      <c r="P94" s="388"/>
      <c r="Q94" s="389"/>
      <c r="R94" s="375">
        <f>IF(P94&gt;Q94,0,Q94-P94)</f>
        <v>0</v>
      </c>
      <c r="S94" s="392"/>
      <c r="T94" s="389"/>
      <c r="U94" s="390"/>
      <c r="V94" s="388"/>
      <c r="W94" s="389"/>
      <c r="X94" s="391"/>
      <c r="Y94" s="388"/>
      <c r="Z94" s="389"/>
      <c r="AA94" s="391"/>
      <c r="AB94" s="388"/>
      <c r="AC94" s="389"/>
      <c r="AD94" s="391"/>
      <c r="AE94" s="393"/>
      <c r="AG94" s="171">
        <f>J94*F94</f>
        <v>0</v>
      </c>
      <c r="AH94" s="172">
        <f>K94*F94</f>
        <v>0</v>
      </c>
      <c r="AI94" s="173">
        <f>L94*F94</f>
        <v>0</v>
      </c>
      <c r="AJ94" s="174">
        <f>M94*F94</f>
        <v>0</v>
      </c>
      <c r="AK94" s="172">
        <f>N94*F94</f>
        <v>0</v>
      </c>
      <c r="AL94" s="173">
        <f>O94*F94</f>
        <v>0</v>
      </c>
      <c r="AM94" s="174">
        <f>P94*F94</f>
        <v>0</v>
      </c>
      <c r="AN94" s="172">
        <f>Q94*F94</f>
        <v>0</v>
      </c>
      <c r="AO94" s="173">
        <f>R94*F94</f>
        <v>0</v>
      </c>
      <c r="AP94" s="174">
        <f>S94*F94</f>
        <v>0</v>
      </c>
      <c r="AQ94" s="172">
        <f>T94*F94</f>
        <v>0</v>
      </c>
      <c r="AR94" s="173">
        <f>U94*F94</f>
        <v>0</v>
      </c>
      <c r="AS94" s="174">
        <f>V94*F94</f>
        <v>0</v>
      </c>
      <c r="AT94" s="172">
        <f>W94*F94</f>
        <v>0</v>
      </c>
      <c r="AU94" s="173">
        <f>X94*F94</f>
        <v>0</v>
      </c>
      <c r="AV94" s="174">
        <f>Y94*F94</f>
        <v>0</v>
      </c>
      <c r="AW94" s="172">
        <f>Z94*F94</f>
        <v>0</v>
      </c>
      <c r="AX94" s="173">
        <f>AA94*F94</f>
        <v>0</v>
      </c>
      <c r="AY94" s="174">
        <f>AB94*F94</f>
        <v>0</v>
      </c>
      <c r="AZ94" s="172">
        <f>AC94*F94</f>
        <v>0</v>
      </c>
      <c r="BA94" s="173">
        <f>AD94*F94</f>
        <v>0</v>
      </c>
    </row>
    <row r="95" spans="1:54" customHeight="1" ht="15.75">
      <c r="A95" s="396"/>
      <c r="B95" s="396"/>
      <c r="C95" s="381" t="s">
        <v>117</v>
      </c>
      <c r="D95" s="380"/>
      <c r="E95" s="370"/>
      <c r="F95" s="370"/>
      <c r="G95" s="370"/>
      <c r="H95" s="371"/>
      <c r="I95" s="371" t="s">
        <v>48</v>
      </c>
      <c r="J95" s="372">
        <f>SUMIF($B$9:$B$94,$I$95,J$9:J$94)</f>
        <v>24</v>
      </c>
      <c r="K95" s="217" t="e">
        <f>SUMIF($B$9:$B$94,$I$95,K$9:K$94)</f>
        <v>#REF!</v>
      </c>
      <c r="L95" s="218">
        <f>SUMIF($B$9:$B$94,$I$95,L$9:L$94)</f>
        <v>528</v>
      </c>
      <c r="M95" s="372" t="e">
        <f>SUMIF($B$9:$B$94,$I$95,M$9:M$94)</f>
        <v>#REF!</v>
      </c>
      <c r="N95" s="217" t="e">
        <f>SUMIF($B$9:$B$94,$I$95,N$9:N$94)</f>
        <v>#REF!</v>
      </c>
      <c r="O95" s="48" t="e">
        <f>SUMIF($B$9:$B$94,$I$95,O$9:O$94)</f>
        <v>#REF!</v>
      </c>
      <c r="P95" s="372" t="e">
        <f>SUMIF($B$9:$B$94,$I$95,P$9:P$94)</f>
        <v>#REF!</v>
      </c>
      <c r="Q95" s="217" t="e">
        <f>SUMIF($B$9:$B$94,$I$95,Q$9:Q$94)</f>
        <v>#REF!</v>
      </c>
      <c r="R95" s="375" t="e">
        <f>SUMIF($B$9:$B$94,$I$95,R$9:R$94)</f>
        <v>#REF!</v>
      </c>
      <c r="S95" s="376" t="e">
        <f>SUMIF($B$9:$B$94,$I$95,S$9:S$94)</f>
        <v>#REF!</v>
      </c>
      <c r="T95" s="217" t="e">
        <f>SUMIF($B$9:$B$94,$I$95,T$9:T$94)</f>
        <v>#REF!</v>
      </c>
      <c r="U95" s="218" t="e">
        <f>SUMIF($B$9:$B$94,$I$95,U$9:U$94)</f>
        <v>#REF!</v>
      </c>
      <c r="V95" s="372" t="e">
        <f>SUMIF($B$9:$B$94,$I$95,V$9:V$94)</f>
        <v>#REF!</v>
      </c>
      <c r="W95" s="217" t="e">
        <f>SUMIF($B$9:$B$94,$I$95,W$9:W$94)</f>
        <v>#REF!</v>
      </c>
      <c r="X95" s="375" t="e">
        <f>SUMIF($B$9:$B$94,$I$95,X$9:X$94)</f>
        <v>#REF!</v>
      </c>
      <c r="Y95" s="372" t="e">
        <f>SUMIF($B$9:$B$94,$I$95,Y$9:Y$94)</f>
        <v>#REF!</v>
      </c>
      <c r="Z95" s="217" t="e">
        <f>SUMIF($B$9:$B$94,$I$95,Z$9:Z$94)</f>
        <v>#REF!</v>
      </c>
      <c r="AA95" s="375" t="e">
        <f>SUMIF($B$9:$B$94,$I$95,AA$9:AA$94)</f>
        <v>#REF!</v>
      </c>
      <c r="AB95" s="372" t="e">
        <f>SUMIF($B$9:$B$94,$I$95,AB$9:AB$94)</f>
        <v>#REF!</v>
      </c>
      <c r="AC95" s="217" t="e">
        <f>SUMIF($B$9:$B$94,$I$95,AC$9:AC$94)</f>
        <v>#REF!</v>
      </c>
      <c r="AD95" s="375" t="e">
        <f>SUMIF($B$9:$B$94,$I$95,AD$9:AD$94)</f>
        <v>#REF!</v>
      </c>
      <c r="AE95" s="426"/>
      <c r="AG95" s="171">
        <f>J95*F95</f>
        <v>0</v>
      </c>
      <c r="AH95" s="172" t="e">
        <f>K95*F95</f>
        <v>#REF!</v>
      </c>
      <c r="AI95" s="173">
        <f>L95*F95</f>
        <v>0</v>
      </c>
      <c r="AJ95" s="174" t="e">
        <f>M95*F95</f>
        <v>#REF!</v>
      </c>
      <c r="AK95" s="172" t="e">
        <f>N95*F95</f>
        <v>#REF!</v>
      </c>
      <c r="AL95" s="173" t="e">
        <f>O95*F95</f>
        <v>#REF!</v>
      </c>
      <c r="AM95" s="174" t="e">
        <f>P95*F95</f>
        <v>#REF!</v>
      </c>
      <c r="AN95" s="172" t="e">
        <f>Q95*F95</f>
        <v>#REF!</v>
      </c>
      <c r="AO95" s="173" t="e">
        <f>R95*F95</f>
        <v>#REF!</v>
      </c>
      <c r="AP95" s="174" t="e">
        <f>S95*F95</f>
        <v>#REF!</v>
      </c>
      <c r="AQ95" s="172" t="e">
        <f>T95*F95</f>
        <v>#REF!</v>
      </c>
      <c r="AR95" s="173" t="e">
        <f>U95*F95</f>
        <v>#REF!</v>
      </c>
      <c r="AS95" s="174" t="e">
        <f>V95*F95</f>
        <v>#REF!</v>
      </c>
      <c r="AT95" s="172" t="e">
        <f>W95*F95</f>
        <v>#REF!</v>
      </c>
      <c r="AU95" s="173" t="e">
        <f>X95*F95</f>
        <v>#REF!</v>
      </c>
      <c r="AV95" s="174" t="e">
        <f>Y95*F95</f>
        <v>#REF!</v>
      </c>
      <c r="AW95" s="172" t="e">
        <f>Z95*F95</f>
        <v>#REF!</v>
      </c>
      <c r="AX95" s="173" t="e">
        <f>AA95*F95</f>
        <v>#REF!</v>
      </c>
      <c r="AY95" s="174" t="e">
        <f>AB95*F95</f>
        <v>#REF!</v>
      </c>
      <c r="AZ95" s="172" t="e">
        <f>AC95*F95</f>
        <v>#REF!</v>
      </c>
      <c r="BA95" s="173" t="e">
        <f>AD95*F95</f>
        <v>#REF!</v>
      </c>
    </row>
    <row r="96" spans="1:54" customHeight="1" ht="15.75">
      <c r="A96" s="396"/>
      <c r="B96" s="396"/>
      <c r="C96" s="381" t="s">
        <v>118</v>
      </c>
      <c r="D96" s="280"/>
      <c r="E96" s="362"/>
      <c r="F96" s="362"/>
      <c r="G96" s="362"/>
      <c r="H96" s="156"/>
      <c r="I96" s="439" t="s">
        <v>58</v>
      </c>
      <c r="J96" s="44">
        <f>SUMIF($B$9:$B$94,$I$96,J$9:J$94)</f>
        <v>33</v>
      </c>
      <c r="K96" s="217" t="e">
        <f>SUMIF($B$9:$B$94,$I$96,K$9:K$94)</f>
        <v>#REF!</v>
      </c>
      <c r="L96" s="48">
        <f>SUMIF($B$9:$B$94,$I$96,L$9:L$94)</f>
        <v>0</v>
      </c>
      <c r="M96" s="44" t="e">
        <f>SUMIF($B$9:$B$94,$I$96,M$9:M$94)</f>
        <v>#REF!</v>
      </c>
      <c r="N96" s="45" t="e">
        <f>SUMIF($B$9:$B$94,$I$96,N$9:N$94)</f>
        <v>#REF!</v>
      </c>
      <c r="O96" s="48" t="e">
        <f>SUMIF($B$9:$B$94,$I$96,O$9:O$94)</f>
        <v>#REF!</v>
      </c>
      <c r="P96" s="44" t="e">
        <f>SUMIF($B$9:$B$94,$I$96,P$9:P$94)</f>
        <v>#REF!</v>
      </c>
      <c r="Q96" s="45" t="e">
        <f>SUMIF($B$9:$B$94,$I$96,Q$9:Q$94)</f>
        <v>#REF!</v>
      </c>
      <c r="R96" s="46" t="e">
        <f>SUMIF($B$9:$B$94,$I$96,R$9:R$94)</f>
        <v>#REF!</v>
      </c>
      <c r="S96" s="47" t="e">
        <f>SUMIF($B$9:$B$94,$I$96,S$9:S$94)</f>
        <v>#REF!</v>
      </c>
      <c r="T96" s="45" t="e">
        <f>SUMIF($B$9:$B$94,$I$96,T$9:T$94)</f>
        <v>#REF!</v>
      </c>
      <c r="U96" s="48" t="e">
        <f>SUMIF($B$9:$B$94,$I$96,U$9:U$94)</f>
        <v>#REF!</v>
      </c>
      <c r="V96" s="44" t="e">
        <f>SUMIF($B$9:$B$94,$I$96,V$9:V$94)</f>
        <v>#REF!</v>
      </c>
      <c r="W96" s="45" t="e">
        <f>SUMIF($B$9:$B$94,$I$96,W$9:W$94)</f>
        <v>#REF!</v>
      </c>
      <c r="X96" s="46" t="e">
        <f>SUMIF($B$9:$B$94,$I$96,X$9:X$94)</f>
        <v>#REF!</v>
      </c>
      <c r="Y96" s="44" t="e">
        <f>SUMIF($B$9:$B$94,$I$96,Y$9:Y$94)</f>
        <v>#REF!</v>
      </c>
      <c r="Z96" s="45" t="e">
        <f>SUMIF($B$9:$B$94,$I$96,Z$9:Z$94)</f>
        <v>#REF!</v>
      </c>
      <c r="AA96" s="46" t="e">
        <f>SUMIF($B$9:$B$94,$I$96,AA$9:AA$94)</f>
        <v>#REF!</v>
      </c>
      <c r="AB96" s="44" t="e">
        <f>SUMIF($B$9:$B$94,$I$96,AB$9:AB$94)</f>
        <v>#REF!</v>
      </c>
      <c r="AC96" s="45" t="e">
        <f>SUMIF($B$9:$B$94,$I$96,AC$9:AC$94)</f>
        <v>#REF!</v>
      </c>
      <c r="AD96" s="46" t="e">
        <f>SUMIF($B$9:$B$94,$I$96,AD$9:AD$94)</f>
        <v>#REF!</v>
      </c>
      <c r="AE96" s="426"/>
      <c r="AG96" s="171">
        <f>J96*F96</f>
        <v>0</v>
      </c>
      <c r="AH96" s="172" t="e">
        <f>K96*F96</f>
        <v>#REF!</v>
      </c>
      <c r="AI96" s="173">
        <f>L96*F96</f>
        <v>0</v>
      </c>
      <c r="AJ96" s="174" t="e">
        <f>M96*F96</f>
        <v>#REF!</v>
      </c>
      <c r="AK96" s="172" t="e">
        <f>N96*F96</f>
        <v>#REF!</v>
      </c>
      <c r="AL96" s="173" t="e">
        <f>O96*F96</f>
        <v>#REF!</v>
      </c>
      <c r="AM96" s="174" t="e">
        <f>P96*F96</f>
        <v>#REF!</v>
      </c>
      <c r="AN96" s="172" t="e">
        <f>Q96*F96</f>
        <v>#REF!</v>
      </c>
      <c r="AO96" s="173" t="e">
        <f>R96*F96</f>
        <v>#REF!</v>
      </c>
      <c r="AP96" s="174" t="e">
        <f>S96*F96</f>
        <v>#REF!</v>
      </c>
      <c r="AQ96" s="172" t="e">
        <f>T96*F96</f>
        <v>#REF!</v>
      </c>
      <c r="AR96" s="173" t="e">
        <f>U96*F96</f>
        <v>#REF!</v>
      </c>
      <c r="AS96" s="174" t="e">
        <f>V96*F96</f>
        <v>#REF!</v>
      </c>
      <c r="AT96" s="172" t="e">
        <f>W96*F96</f>
        <v>#REF!</v>
      </c>
      <c r="AU96" s="173" t="e">
        <f>X96*F96</f>
        <v>#REF!</v>
      </c>
      <c r="AV96" s="174" t="e">
        <f>Y96*F96</f>
        <v>#REF!</v>
      </c>
      <c r="AW96" s="172" t="e">
        <f>Z96*F96</f>
        <v>#REF!</v>
      </c>
      <c r="AX96" s="173" t="e">
        <f>AA96*F96</f>
        <v>#REF!</v>
      </c>
      <c r="AY96" s="174" t="e">
        <f>AB96*F96</f>
        <v>#REF!</v>
      </c>
      <c r="AZ96" s="172" t="e">
        <f>AC96*F96</f>
        <v>#REF!</v>
      </c>
      <c r="BA96" s="173" t="e">
        <f>AD96*F96</f>
        <v>#REF!</v>
      </c>
    </row>
    <row r="97" spans="1:54" customHeight="1" ht="15.75">
      <c r="A97" s="412"/>
      <c r="B97" s="412"/>
      <c r="C97" s="382" t="s">
        <v>119</v>
      </c>
      <c r="D97" s="323"/>
      <c r="E97" s="366"/>
      <c r="F97" s="366"/>
      <c r="G97" s="366"/>
      <c r="H97" s="326"/>
      <c r="I97" s="440" t="s">
        <v>44</v>
      </c>
      <c r="J97" s="367">
        <f>SUMIF($B$9:$B$94,$I$97,J$9:J$94)</f>
        <v>120</v>
      </c>
      <c r="K97" s="367" t="e">
        <f>SUMIF($B$9:$B$94,$I$97,K$9:K$94)</f>
        <v>#REF!</v>
      </c>
      <c r="L97" s="367">
        <f>SUMIF($B$9:$B$94,$I$97,L$9:L$94)</f>
        <v>204</v>
      </c>
      <c r="M97" s="367" t="e">
        <f>SUMIF($B$9:$B$94,$I$97,M$9:M$94)</f>
        <v>#REF!</v>
      </c>
      <c r="N97" s="367" t="e">
        <f>SUMIF($B$9:$B$94,$I$97,N$9:N$94)</f>
        <v>#REF!</v>
      </c>
      <c r="O97" s="367" t="e">
        <f>SUMIF($B$9:$B$94,$I$97,O$9:O$94)</f>
        <v>#REF!</v>
      </c>
      <c r="P97" s="367" t="e">
        <f>SUMIF($B$9:$B$94,$I$97,P$9:P$94)</f>
        <v>#REF!</v>
      </c>
      <c r="Q97" s="367" t="e">
        <f>SUMIF($B$9:$B$94,$I$97,Q$9:Q$94)</f>
        <v>#REF!</v>
      </c>
      <c r="R97" s="367" t="e">
        <f>SUMIF($B$9:$B$94,$I$97,R$9:R$94)</f>
        <v>#REF!</v>
      </c>
      <c r="S97" s="367" t="e">
        <f>SUMIF($B$9:$B$94,$I$97,S$9:S$94)</f>
        <v>#REF!</v>
      </c>
      <c r="T97" s="367" t="e">
        <f>SUMIF($B$9:$B$94,$I$97,T$9:T$94)</f>
        <v>#REF!</v>
      </c>
      <c r="U97" s="367" t="e">
        <f>SUMIF($B$9:$B$94,$I$97,U$9:U$94)</f>
        <v>#REF!</v>
      </c>
      <c r="V97" s="367" t="e">
        <f>SUMIF($B$9:$B$94,$I$97,V$9:V$94)</f>
        <v>#REF!</v>
      </c>
      <c r="W97" s="367" t="e">
        <f>SUMIF($B$9:$B$94,$I$97,W$9:W$94)</f>
        <v>#REF!</v>
      </c>
      <c r="X97" s="367" t="e">
        <f>SUMIF($B$9:$B$94,$I$97,X$9:X$94)</f>
        <v>#REF!</v>
      </c>
      <c r="Y97" s="367" t="e">
        <f>SUMIF($B$9:$B$94,$I$97,Y$9:Y$94)</f>
        <v>#REF!</v>
      </c>
      <c r="Z97" s="367" t="e">
        <f>SUMIF($B$9:$B$94,$I$97,Z$9:Z$94)</f>
        <v>#REF!</v>
      </c>
      <c r="AA97" s="367" t="e">
        <f>SUMIF($B$9:$B$94,$I$97,AA$9:AA$94)</f>
        <v>#REF!</v>
      </c>
      <c r="AB97" s="367" t="e">
        <f>SUMIF($B$9:$B$94,$I$97,AB$9:AB$94)</f>
        <v>#REF!</v>
      </c>
      <c r="AC97" s="367" t="e">
        <f>SUMIF($B$9:$B$94,$I$97,AC$9:AC$94)</f>
        <v>#REF!</v>
      </c>
      <c r="AD97" s="367" t="e">
        <f>SUMIF($B$9:$B$94,$I$97,AD$9:AD$94)</f>
        <v>#REF!</v>
      </c>
      <c r="AE97" s="427"/>
      <c r="AG97" s="171">
        <f>J97*F97</f>
        <v>0</v>
      </c>
      <c r="AH97" s="172" t="e">
        <f>K97*F97</f>
        <v>#REF!</v>
      </c>
      <c r="AI97" s="173">
        <f>L97*F97</f>
        <v>0</v>
      </c>
      <c r="AJ97" s="174" t="e">
        <f>M97*F97</f>
        <v>#REF!</v>
      </c>
      <c r="AK97" s="172" t="e">
        <f>N97*F97</f>
        <v>#REF!</v>
      </c>
      <c r="AL97" s="173" t="e">
        <f>O97*F97</f>
        <v>#REF!</v>
      </c>
      <c r="AM97" s="174" t="e">
        <f>P97*F97</f>
        <v>#REF!</v>
      </c>
      <c r="AN97" s="172" t="e">
        <f>Q97*F97</f>
        <v>#REF!</v>
      </c>
      <c r="AO97" s="173" t="e">
        <f>R97*F97</f>
        <v>#REF!</v>
      </c>
      <c r="AP97" s="174" t="e">
        <f>S97*F97</f>
        <v>#REF!</v>
      </c>
      <c r="AQ97" s="172" t="e">
        <f>T97*F97</f>
        <v>#REF!</v>
      </c>
      <c r="AR97" s="173" t="e">
        <f>U97*F97</f>
        <v>#REF!</v>
      </c>
      <c r="AS97" s="174" t="e">
        <f>V97*F97</f>
        <v>#REF!</v>
      </c>
      <c r="AT97" s="172" t="e">
        <f>W97*F97</f>
        <v>#REF!</v>
      </c>
      <c r="AU97" s="173" t="e">
        <f>X97*F97</f>
        <v>#REF!</v>
      </c>
      <c r="AV97" s="174" t="e">
        <f>Y97*F97</f>
        <v>#REF!</v>
      </c>
      <c r="AW97" s="172" t="e">
        <f>Z97*F97</f>
        <v>#REF!</v>
      </c>
      <c r="AX97" s="173" t="e">
        <f>AA97*F97</f>
        <v>#REF!</v>
      </c>
      <c r="AY97" s="174" t="e">
        <f>AB97*F97</f>
        <v>#REF!</v>
      </c>
      <c r="AZ97" s="172" t="e">
        <f>AC97*F97</f>
        <v>#REF!</v>
      </c>
      <c r="BA97" s="173" t="e">
        <f>AD97*F97</f>
        <v>#REF!</v>
      </c>
    </row>
    <row r="98" spans="1:54" customHeight="1" ht="15.75" s="12" customFormat="1">
      <c r="A98" s="231"/>
      <c r="B98" s="67"/>
      <c r="C98" s="499" t="s">
        <v>120</v>
      </c>
      <c r="D98" s="500"/>
      <c r="E98" s="500"/>
      <c r="F98" s="500"/>
      <c r="G98" s="500"/>
      <c r="H98" s="501"/>
      <c r="I98" s="261"/>
      <c r="J98" s="190">
        <f>SUM(J9:J93)</f>
        <v>177</v>
      </c>
      <c r="K98" s="190" t="e">
        <f>SUM(K9:K93)</f>
        <v>#REF!</v>
      </c>
      <c r="L98" s="190">
        <f>SUM(L9:L93)</f>
        <v>732</v>
      </c>
      <c r="M98" s="190" t="e">
        <f>SUM(M9:M93)</f>
        <v>#REF!</v>
      </c>
      <c r="N98" s="190" t="e">
        <f>SUM(N9:N93)</f>
        <v>#REF!</v>
      </c>
      <c r="O98" s="190" t="e">
        <f>SUM(O9:O93)</f>
        <v>#REF!</v>
      </c>
      <c r="P98" s="190" t="e">
        <f>SUM(P9:P93)</f>
        <v>#REF!</v>
      </c>
      <c r="Q98" s="190" t="e">
        <f>SUM(Q9:Q93)</f>
        <v>#REF!</v>
      </c>
      <c r="R98" s="190" t="e">
        <f>SUM(R9:R93)</f>
        <v>#REF!</v>
      </c>
      <c r="S98" s="190" t="e">
        <f>SUM(S9:S93)</f>
        <v>#REF!</v>
      </c>
      <c r="T98" s="190" t="e">
        <f>SUM(T9:T93)</f>
        <v>#REF!</v>
      </c>
      <c r="U98" s="190" t="e">
        <f>SUM(U9:U93)</f>
        <v>#REF!</v>
      </c>
      <c r="V98" s="190" t="e">
        <f>SUM(V9:V93)</f>
        <v>#REF!</v>
      </c>
      <c r="W98" s="190" t="e">
        <f>SUM(W9:W93)</f>
        <v>#REF!</v>
      </c>
      <c r="X98" s="190" t="e">
        <f>SUM(X9:X93)</f>
        <v>#REF!</v>
      </c>
      <c r="Y98" s="190" t="e">
        <f>SUM(Y9:Y93)</f>
        <v>#REF!</v>
      </c>
      <c r="Z98" s="190" t="e">
        <f>SUM(Z9:Z93)</f>
        <v>#REF!</v>
      </c>
      <c r="AA98" s="190" t="e">
        <f>SUM(AA9:AA93)</f>
        <v>#REF!</v>
      </c>
      <c r="AB98" s="190" t="e">
        <f>SUM(AB9:AB93)</f>
        <v>#REF!</v>
      </c>
      <c r="AC98" s="190" t="e">
        <f>SUM(AC9:AC93)</f>
        <v>#REF!</v>
      </c>
      <c r="AD98" s="190" t="e">
        <f>SUM(AD9:AD93)</f>
        <v>#REF!</v>
      </c>
      <c r="AE98" s="190"/>
      <c r="AG98" s="175">
        <f>SUM(AG8:AG35)</f>
        <v>0</v>
      </c>
      <c r="AH98" s="176" t="e">
        <f>SUM(AH8:AH35)</f>
        <v>#REF!</v>
      </c>
      <c r="AI98" s="177">
        <f>SUM(AI8:AI35)</f>
        <v>0</v>
      </c>
      <c r="AJ98" s="178" t="e">
        <f>SUM(AJ8:AJ35)</f>
        <v>#REF!</v>
      </c>
      <c r="AK98" s="176" t="e">
        <f>SUM(AK8:AK35)</f>
        <v>#REF!</v>
      </c>
      <c r="AL98" s="177" t="e">
        <f>SUM(AL8:AL35)</f>
        <v>#REF!</v>
      </c>
      <c r="AM98" s="178" t="e">
        <f>SUM(AM8:AM35)</f>
        <v>#REF!</v>
      </c>
      <c r="AN98" s="176" t="e">
        <f>SUM(AN8:AN35)</f>
        <v>#REF!</v>
      </c>
      <c r="AO98" s="177" t="e">
        <f>SUM(AO8:AO35)</f>
        <v>#REF!</v>
      </c>
      <c r="AP98" s="178" t="e">
        <f>SUM(AP8:AP35)</f>
        <v>#REF!</v>
      </c>
      <c r="AQ98" s="176" t="e">
        <f>SUM(AQ8:AQ35)</f>
        <v>#REF!</v>
      </c>
      <c r="AR98" s="177" t="e">
        <f>SUM(AR8:AR35)</f>
        <v>#REF!</v>
      </c>
      <c r="AS98" s="178" t="e">
        <f>SUM(AS8:AS35)</f>
        <v>#REF!</v>
      </c>
      <c r="AT98" s="176" t="e">
        <f>SUM(AT8:AT35)</f>
        <v>#REF!</v>
      </c>
      <c r="AU98" s="177" t="e">
        <f>SUM(AU8:AU35)</f>
        <v>#REF!</v>
      </c>
      <c r="AV98" s="178" t="e">
        <f>SUM(AV8:AV35)</f>
        <v>#REF!</v>
      </c>
      <c r="AW98" s="176" t="e">
        <f>SUM(AW8:AW35)</f>
        <v>#REF!</v>
      </c>
      <c r="AX98" s="177" t="e">
        <f>SUM(AX8:AX35)</f>
        <v>#REF!</v>
      </c>
      <c r="AY98" s="178" t="e">
        <f>SUM(AY8:AY35)</f>
        <v>#REF!</v>
      </c>
      <c r="AZ98" s="176" t="e">
        <f>SUM(AZ8:AZ35)</f>
        <v>#REF!</v>
      </c>
      <c r="BA98" s="177" t="e">
        <f>SUM(BA8:BA35)</f>
        <v>#REF!</v>
      </c>
    </row>
    <row r="99" spans="1:54" customHeight="1" ht="15.75" s="12" customFormat="1">
      <c r="A99" s="232"/>
      <c r="B99" s="167"/>
      <c r="C99" s="79" t="s">
        <v>121</v>
      </c>
      <c r="D99" s="80"/>
      <c r="E99" s="80"/>
      <c r="F99" s="80"/>
      <c r="G99" s="80"/>
      <c r="H99" s="80"/>
      <c r="I99" s="80"/>
      <c r="J99" s="463" t="str">
        <f>J6</f>
        <v>FEB</v>
      </c>
      <c r="K99" s="463"/>
      <c r="L99" s="463"/>
      <c r="M99" s="463" t="str">
        <f>M6</f>
        <v>MAR</v>
      </c>
      <c r="N99" s="463"/>
      <c r="O99" s="464"/>
      <c r="P99" s="463" t="str">
        <f>P6</f>
        <v>APR</v>
      </c>
      <c r="Q99" s="463"/>
      <c r="R99" s="463"/>
      <c r="S99" s="503" t="str">
        <f>S6</f>
        <v>MAY</v>
      </c>
      <c r="T99" s="463"/>
      <c r="U99" s="464"/>
      <c r="V99" s="463" t="str">
        <f>V6</f>
        <v>JUN</v>
      </c>
      <c r="W99" s="463"/>
      <c r="X99" s="463"/>
      <c r="Y99" s="463" t="str">
        <f>Y6</f>
        <v>JUL</v>
      </c>
      <c r="Z99" s="463"/>
      <c r="AA99" s="463"/>
      <c r="AB99" s="463" t="str">
        <f>AB6</f>
        <v>AUG</v>
      </c>
      <c r="AC99" s="463"/>
      <c r="AD99" s="463"/>
      <c r="AE99" s="238"/>
    </row>
    <row r="100" spans="1:54" customHeight="1" ht="15.75" s="12" customFormat="1">
      <c r="A100" s="233"/>
      <c r="B100" s="234"/>
      <c r="C100" s="77" t="s">
        <v>122</v>
      </c>
      <c r="D100" s="78"/>
      <c r="E100" s="78"/>
      <c r="F100" s="78"/>
      <c r="G100" s="78"/>
      <c r="H100" s="78"/>
      <c r="I100" s="78"/>
      <c r="J100" s="471">
        <v>20</v>
      </c>
      <c r="K100" s="472"/>
      <c r="L100" s="473"/>
      <c r="M100" s="471">
        <v>23</v>
      </c>
      <c r="N100" s="472"/>
      <c r="O100" s="473"/>
      <c r="P100" s="471">
        <v>17</v>
      </c>
      <c r="Q100" s="472"/>
      <c r="R100" s="473"/>
      <c r="S100" s="471">
        <v>21</v>
      </c>
      <c r="T100" s="472"/>
      <c r="U100" s="473"/>
      <c r="V100" s="471">
        <v>21</v>
      </c>
      <c r="W100" s="472"/>
      <c r="X100" s="473"/>
      <c r="Y100" s="471">
        <v>20</v>
      </c>
      <c r="Z100" s="472"/>
      <c r="AA100" s="473"/>
      <c r="AB100" s="471">
        <v>20</v>
      </c>
      <c r="AC100" s="472"/>
      <c r="AD100" s="473"/>
      <c r="AE100" s="235"/>
    </row>
    <row r="101" spans="1:54" customHeight="1" ht="15.75" s="6" customFormat="1">
      <c r="A101" s="1"/>
      <c r="B101" s="1"/>
      <c r="C101" s="2"/>
      <c r="D101" s="2"/>
      <c r="E101" s="2"/>
      <c r="F101" s="2"/>
      <c r="G101" s="2"/>
      <c r="H101" s="3"/>
      <c r="I101" s="3"/>
      <c r="J101" s="267"/>
      <c r="K101" s="9"/>
      <c r="L101" s="5"/>
      <c r="M101" s="268" t="s">
        <v>123</v>
      </c>
      <c r="N101" s="268"/>
      <c r="O101" s="269"/>
      <c r="P101" s="268"/>
      <c r="Q101" s="268"/>
      <c r="R101" s="268"/>
      <c r="S101" s="268"/>
      <c r="T101" s="5"/>
      <c r="U101" s="5"/>
      <c r="V101" s="5"/>
      <c r="W101" s="9"/>
      <c r="X101" s="9"/>
      <c r="Y101" s="9"/>
      <c r="AB101" s="127"/>
      <c r="AC101" s="127"/>
      <c r="AD101" s="128"/>
      <c r="AE101" s="270"/>
    </row>
    <row r="102" spans="1:54" customHeight="1" ht="15.75">
      <c r="A102" s="241" t="str">
        <f>A2</f>
        <v>S/R NO     : </v>
      </c>
      <c r="B102" s="242" t="str">
        <f>B2</f>
        <v>202603-10</v>
      </c>
      <c r="C102" s="243"/>
      <c r="D102" s="7"/>
      <c r="E102" s="7"/>
      <c r="F102" s="7"/>
      <c r="G102" s="7"/>
      <c r="J102" s="271"/>
      <c r="K102" s="5"/>
      <c r="L102" s="5"/>
      <c r="M102" s="9"/>
      <c r="N102" s="9"/>
      <c r="O102" s="245" t="str">
        <f>O2</f>
        <v>900B-486D</v>
      </c>
      <c r="P102" s="474"/>
      <c r="Q102" s="474"/>
      <c r="R102" s="126"/>
      <c r="S102" s="126"/>
      <c r="T102" s="126"/>
      <c r="U102" s="126"/>
      <c r="V102" s="126"/>
      <c r="W102" s="126"/>
      <c r="X102" s="126"/>
      <c r="Y102" s="126"/>
      <c r="Z102" s="126"/>
      <c r="AA102" s="126"/>
      <c r="AB102" s="126"/>
      <c r="AC102" s="126"/>
      <c r="AD102" s="126"/>
      <c r="AE102" s="272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</row>
    <row r="103" spans="1:54" customHeight="1" ht="15.75" s="12" customFormat="1">
      <c r="A103" s="241" t="str">
        <f>A3</f>
        <v>FAX NO   :</v>
      </c>
      <c r="B103" s="242" t="str">
        <f>B3</f>
        <v>EMAIL</v>
      </c>
      <c r="C103" s="243"/>
      <c r="D103" s="7"/>
      <c r="E103" s="7"/>
      <c r="F103" s="7"/>
      <c r="G103" s="7"/>
      <c r="H103" s="4"/>
      <c r="I103" s="4"/>
      <c r="J103" s="271"/>
      <c r="K103" s="9"/>
      <c r="L103" s="9"/>
      <c r="M103" s="9"/>
      <c r="N103" s="126"/>
      <c r="O103" s="475">
        <f>O3</f>
        <v>46082</v>
      </c>
      <c r="P103" s="476"/>
      <c r="Q103" s="476"/>
      <c r="R103" s="101"/>
      <c r="U103" s="32"/>
      <c r="V103" s="32"/>
      <c r="AA103" s="101"/>
      <c r="AE103" s="273"/>
    </row>
    <row r="104" spans="1:54" customHeight="1" ht="15.75">
      <c r="A104" s="241" t="str">
        <f>A4</f>
        <v>DATE        :  </v>
      </c>
      <c r="B104" s="244">
        <f>B4</f>
        <v>46092</v>
      </c>
      <c r="C104" s="243"/>
      <c r="D104" s="73"/>
      <c r="E104" s="7"/>
      <c r="F104" s="7"/>
      <c r="G104" s="7"/>
      <c r="J104" s="407"/>
      <c r="K104" s="401"/>
      <c r="L104" s="401"/>
      <c r="M104" s="401"/>
      <c r="N104" s="126"/>
      <c r="O104" s="401"/>
      <c r="P104" s="401"/>
      <c r="Q104" s="401"/>
      <c r="R104" s="401"/>
      <c r="S104" s="401"/>
      <c r="T104" s="401"/>
      <c r="U104" s="401"/>
      <c r="V104" s="401"/>
      <c r="W104" s="401"/>
      <c r="X104" s="402"/>
      <c r="Y104" s="401"/>
      <c r="Z104" s="401"/>
      <c r="AA104" s="401"/>
      <c r="AB104" s="401"/>
      <c r="AC104" s="401"/>
      <c r="AD104" s="401"/>
      <c r="AE104" s="328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</row>
    <row r="105" spans="1:54" customHeight="1" ht="15.75" s="12" customFormat="1">
      <c r="A105" s="13"/>
      <c r="B105" s="13"/>
      <c r="C105" s="14"/>
      <c r="D105" s="14"/>
      <c r="E105" s="14"/>
      <c r="F105" s="14"/>
      <c r="G105" s="14"/>
      <c r="H105" s="15"/>
      <c r="I105" s="15"/>
      <c r="J105" s="408"/>
      <c r="K105" s="15"/>
      <c r="L105" s="401"/>
      <c r="M105" s="401"/>
      <c r="N105" s="403"/>
      <c r="O105" s="401"/>
      <c r="P105" s="401"/>
      <c r="Q105" s="404"/>
      <c r="R105" s="402"/>
      <c r="S105" s="402"/>
      <c r="T105" s="404"/>
      <c r="U105" s="405"/>
      <c r="V105" s="402"/>
      <c r="W105" s="406"/>
      <c r="X105" s="402"/>
      <c r="Y105" s="402"/>
      <c r="Z105" s="406"/>
      <c r="AA105" s="402"/>
      <c r="AB105" s="402"/>
      <c r="AC105" s="406"/>
      <c r="AD105" s="402"/>
      <c r="AE105" s="273"/>
    </row>
    <row r="106" spans="1:54" customHeight="1" ht="15.75" s="12" customFormat="1">
      <c r="A106" s="460" t="str">
        <f>A6</f>
        <v>DEST</v>
      </c>
      <c r="B106" s="460" t="str">
        <f>B6</f>
        <v>TYPE</v>
      </c>
      <c r="C106" s="447" t="str">
        <f>C6</f>
        <v>HARNESS No.</v>
      </c>
      <c r="D106" s="447" t="str">
        <f>D6</f>
        <v>LEVEL</v>
      </c>
      <c r="E106" s="516" t="str">
        <f>E6</f>
        <v>ASSY CODE</v>
      </c>
      <c r="F106" s="447" t="str">
        <f>F6</f>
        <v>CCT</v>
      </c>
      <c r="G106" s="516" t="str">
        <f>G6</f>
        <v>Std Pack</v>
      </c>
      <c r="H106" s="511">
        <f>H6</f>
        <v/>
      </c>
      <c r="I106" s="457" t="str">
        <f>I6</f>
        <v>UMH</v>
      </c>
      <c r="J106" s="450" t="str">
        <f>J6</f>
        <v>FEB</v>
      </c>
      <c r="K106" s="466"/>
      <c r="L106" s="452">
        <f>L6</f>
        <v/>
      </c>
      <c r="M106" s="450" t="str">
        <f>M6</f>
        <v>MAR</v>
      </c>
      <c r="N106" s="466"/>
      <c r="O106" s="467"/>
      <c r="P106" s="450" t="str">
        <f>P6</f>
        <v>APR</v>
      </c>
      <c r="Q106" s="466"/>
      <c r="R106" s="452">
        <f>R6</f>
        <v/>
      </c>
      <c r="S106" s="450" t="str">
        <f>S6</f>
        <v>MAY</v>
      </c>
      <c r="T106" s="466"/>
      <c r="U106" s="467"/>
      <c r="V106" s="450" t="str">
        <f>V6</f>
        <v>JUN</v>
      </c>
      <c r="W106" s="466"/>
      <c r="X106" s="452">
        <f>X6</f>
        <v/>
      </c>
      <c r="Y106" s="450" t="str">
        <f>Y6</f>
        <v>JUL</v>
      </c>
      <c r="Z106" s="510"/>
      <c r="AA106" s="452">
        <f>AA6</f>
        <v/>
      </c>
      <c r="AB106" s="450" t="str">
        <f>AB6</f>
        <v>AUG</v>
      </c>
      <c r="AC106" s="510"/>
      <c r="AD106" s="452">
        <f>AD6</f>
        <v/>
      </c>
      <c r="AE106" s="482"/>
    </row>
    <row r="107" spans="1:54" customHeight="1" ht="15.75" s="12" customFormat="1">
      <c r="A107" s="461"/>
      <c r="B107" s="461"/>
      <c r="C107" s="448"/>
      <c r="D107" s="448"/>
      <c r="E107" s="517"/>
      <c r="F107" s="448"/>
      <c r="G107" s="517"/>
      <c r="H107" s="512"/>
      <c r="I107" s="458"/>
      <c r="J107" s="468" t="str">
        <f>J7</f>
        <v>02/FEB ~ 27/FEB</v>
      </c>
      <c r="K107" s="469"/>
      <c r="L107" s="470">
        <f>L7</f>
        <v/>
      </c>
      <c r="M107" s="468" t="str">
        <f>M7</f>
        <v>02/MAR ~ 31/MAR</v>
      </c>
      <c r="N107" s="469"/>
      <c r="O107" s="470">
        <f>O7</f>
        <v/>
      </c>
      <c r="P107" s="468" t="str">
        <f>P7</f>
        <v>01/APR ~ 30/APR</v>
      </c>
      <c r="Q107" s="469"/>
      <c r="R107" s="470">
        <f>R7</f>
        <v/>
      </c>
      <c r="S107" s="468" t="str">
        <f>S7</f>
        <v>02/MAY ~ 30/MAY</v>
      </c>
      <c r="T107" s="469"/>
      <c r="U107" s="470">
        <f>U7</f>
        <v/>
      </c>
      <c r="V107" s="468" t="str">
        <f>V7</f>
        <v>02/JUN ~ 30/JUN</v>
      </c>
      <c r="W107" s="469"/>
      <c r="X107" s="470">
        <f>X7</f>
        <v/>
      </c>
      <c r="Y107" s="468" t="str">
        <f>Y7</f>
        <v>01/JUL ~ 31/JUL</v>
      </c>
      <c r="Z107" s="507"/>
      <c r="AA107" s="470">
        <f>AA7</f>
        <v/>
      </c>
      <c r="AB107" s="468" t="str">
        <f>AB7</f>
        <v>03/AUG ~ 31/AUG</v>
      </c>
      <c r="AC107" s="507"/>
      <c r="AD107" s="470">
        <f>AD7</f>
        <v/>
      </c>
      <c r="AE107" s="508"/>
    </row>
    <row r="108" spans="1:54" customHeight="1" ht="15.75" s="12" customFormat="1">
      <c r="A108" s="462"/>
      <c r="B108" s="462"/>
      <c r="C108" s="449"/>
      <c r="D108" s="449"/>
      <c r="E108" s="518"/>
      <c r="F108" s="449"/>
      <c r="G108" s="518"/>
      <c r="H108" s="513"/>
      <c r="I108" s="459"/>
      <c r="J108" s="22" t="str">
        <f>J8</f>
        <v>BAL</v>
      </c>
      <c r="K108" s="23" t="str">
        <f>K8</f>
        <v>DEL</v>
      </c>
      <c r="L108" s="24" t="str">
        <f>L8</f>
        <v>PROD</v>
      </c>
      <c r="M108" s="25" t="str">
        <f>J8</f>
        <v>BAL</v>
      </c>
      <c r="N108" s="23" t="str">
        <f>K8</f>
        <v>DEL</v>
      </c>
      <c r="O108" s="26" t="str">
        <f>L8</f>
        <v>PROD</v>
      </c>
      <c r="P108" s="22" t="str">
        <f>M8</f>
        <v>BAL</v>
      </c>
      <c r="Q108" s="23" t="str">
        <f>N8</f>
        <v>DEL</v>
      </c>
      <c r="R108" s="24" t="str">
        <f>O8</f>
        <v>PROD</v>
      </c>
      <c r="S108" s="25" t="str">
        <f>P8</f>
        <v>BAL</v>
      </c>
      <c r="T108" s="23" t="str">
        <f>Q8</f>
        <v>DEL</v>
      </c>
      <c r="U108" s="26" t="str">
        <f>R8</f>
        <v>PROD</v>
      </c>
      <c r="V108" s="22" t="str">
        <f>S8</f>
        <v>BAL</v>
      </c>
      <c r="W108" s="23" t="str">
        <f>T8</f>
        <v>DEL</v>
      </c>
      <c r="X108" s="24" t="str">
        <f>U8</f>
        <v>PROD</v>
      </c>
      <c r="Y108" s="22" t="str">
        <f>V8</f>
        <v>BAL</v>
      </c>
      <c r="Z108" s="23" t="str">
        <f>W8</f>
        <v>DEL</v>
      </c>
      <c r="AA108" s="24" t="str">
        <f>X8</f>
        <v>PROD</v>
      </c>
      <c r="AB108" s="22" t="str">
        <f>Y8</f>
        <v>BAL</v>
      </c>
      <c r="AC108" s="23" t="str">
        <f>Z8</f>
        <v>DEL</v>
      </c>
      <c r="AD108" s="24" t="str">
        <f>AA8</f>
        <v>PROD</v>
      </c>
      <c r="AE108" s="509"/>
    </row>
    <row r="109" spans="1:54" customHeight="1" ht="15.75">
      <c r="A109" s="454" t="s">
        <v>124</v>
      </c>
      <c r="B109" s="416" t="str">
        <f>+B9</f>
        <v>HEV-LHD</v>
      </c>
      <c r="C109" s="75" t="str">
        <f>+C9</f>
        <v>82111-4DT30</v>
      </c>
      <c r="D109" s="54">
        <f>D9</f>
        <v/>
      </c>
      <c r="E109" s="37">
        <f>E9</f>
        <v/>
      </c>
      <c r="F109" s="37">
        <f>F9</f>
        <v/>
      </c>
      <c r="G109" s="37">
        <f>G9</f>
        <v/>
      </c>
      <c r="H109" s="38">
        <f>$H9</f>
        <v/>
      </c>
      <c r="I109" s="38">
        <f>VLOOKUP(C109,C9:I63,7,0)</f>
        <v>5.69724</v>
      </c>
      <c r="J109" s="39">
        <f>I109*J9</f>
        <v>0</v>
      </c>
      <c r="K109" s="40" t="e">
        <f>I109*K9</f>
        <v>#REF!</v>
      </c>
      <c r="L109" s="43">
        <f>I109*L9</f>
        <v>0</v>
      </c>
      <c r="M109" s="39" t="e">
        <f>I109*M9</f>
        <v>#REF!</v>
      </c>
      <c r="N109" s="40" t="e">
        <f>I109*N9</f>
        <v>#REF!</v>
      </c>
      <c r="O109" s="43" t="e">
        <f>I109*O9</f>
        <v>#REF!</v>
      </c>
      <c r="P109" s="39" t="e">
        <f>I109*P9</f>
        <v>#REF!</v>
      </c>
      <c r="Q109" s="40" t="e">
        <f>I109*Q9</f>
        <v>#REF!</v>
      </c>
      <c r="R109" s="41" t="e">
        <f>I109*R9</f>
        <v>#REF!</v>
      </c>
      <c r="S109" s="42" t="e">
        <f>I109*S9</f>
        <v>#REF!</v>
      </c>
      <c r="T109" s="40" t="e">
        <f>I109*T9</f>
        <v>#REF!</v>
      </c>
      <c r="U109" s="43" t="e">
        <f>I109*U9</f>
        <v>#REF!</v>
      </c>
      <c r="V109" s="39" t="e">
        <f>I109*V9</f>
        <v>#REF!</v>
      </c>
      <c r="W109" s="40" t="e">
        <f>I109*W9</f>
        <v>#REF!</v>
      </c>
      <c r="X109" s="43" t="e">
        <f>I109*X9</f>
        <v>#REF!</v>
      </c>
      <c r="Y109" s="39" t="e">
        <f>I109*Y9</f>
        <v>#REF!</v>
      </c>
      <c r="Z109" s="40" t="e">
        <f>I109*Z9</f>
        <v>#REF!</v>
      </c>
      <c r="AA109" s="41" t="e">
        <f>I109*AA9</f>
        <v>#REF!</v>
      </c>
      <c r="AB109" s="39" t="e">
        <f>I109*AB9</f>
        <v>#REF!</v>
      </c>
      <c r="AC109" s="40" t="e">
        <f>I109*AC9</f>
        <v>#REF!</v>
      </c>
      <c r="AD109" s="41" t="e">
        <f>I109*AD9</f>
        <v>#REF!</v>
      </c>
      <c r="AE109" s="237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</row>
    <row r="110" spans="1:54" customHeight="1" ht="15.75">
      <c r="A110" s="455"/>
      <c r="B110" s="417" t="str">
        <f>+B10</f>
        <v>HEV-LHD</v>
      </c>
      <c r="C110" s="159" t="str">
        <f>+C10</f>
        <v>82111-4DT40</v>
      </c>
      <c r="D110" s="55">
        <f>D10</f>
        <v/>
      </c>
      <c r="E110" s="27">
        <f>E10</f>
        <v/>
      </c>
      <c r="F110" s="27">
        <f>F10</f>
        <v/>
      </c>
      <c r="G110" s="27">
        <f>G10</f>
        <v/>
      </c>
      <c r="H110" s="28">
        <f>$H10</f>
        <v/>
      </c>
      <c r="I110" s="28" t="e">
        <f>VLOOKUP(C110,C10:C64,7,0)</f>
        <v>#REF!</v>
      </c>
      <c r="J110" s="44" t="e">
        <f>I110*J10</f>
        <v>#REF!</v>
      </c>
      <c r="K110" s="45" t="e">
        <f>I110*K10</f>
        <v>#REF!</v>
      </c>
      <c r="L110" s="48" t="e">
        <f>I110*L10</f>
        <v>#REF!</v>
      </c>
      <c r="M110" s="44" t="e">
        <f>I110*M10</f>
        <v>#REF!</v>
      </c>
      <c r="N110" s="45" t="e">
        <f>I110*N10</f>
        <v>#REF!</v>
      </c>
      <c r="O110" s="48" t="e">
        <f>I110*O10</f>
        <v>#REF!</v>
      </c>
      <c r="P110" s="44" t="e">
        <f>I110*P10</f>
        <v>#REF!</v>
      </c>
      <c r="Q110" s="45" t="e">
        <f>I110*Q10</f>
        <v>#REF!</v>
      </c>
      <c r="R110" s="46" t="e">
        <f>I110*R10</f>
        <v>#REF!</v>
      </c>
      <c r="S110" s="47" t="e">
        <f>I110*S10</f>
        <v>#REF!</v>
      </c>
      <c r="T110" s="45" t="e">
        <f>I110*T10</f>
        <v>#REF!</v>
      </c>
      <c r="U110" s="48" t="e">
        <f>I110*U10</f>
        <v>#REF!</v>
      </c>
      <c r="V110" s="44" t="e">
        <f>I110*V10</f>
        <v>#REF!</v>
      </c>
      <c r="W110" s="45" t="e">
        <f>I110*W10</f>
        <v>#REF!</v>
      </c>
      <c r="X110" s="48" t="e">
        <f>I110*X10</f>
        <v>#REF!</v>
      </c>
      <c r="Y110" s="44" t="e">
        <f>I110*Y10</f>
        <v>#REF!</v>
      </c>
      <c r="Z110" s="45" t="e">
        <f>I110*Z10</f>
        <v>#REF!</v>
      </c>
      <c r="AA110" s="46" t="e">
        <f>I110*AA10</f>
        <v>#REF!</v>
      </c>
      <c r="AB110" s="44" t="e">
        <f>I110*AB10</f>
        <v>#REF!</v>
      </c>
      <c r="AC110" s="45" t="e">
        <f>I110*AC10</f>
        <v>#REF!</v>
      </c>
      <c r="AD110" s="46" t="e">
        <f>I110*AD10</f>
        <v>#REF!</v>
      </c>
      <c r="AE110" s="237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</row>
    <row r="111" spans="1:54" customHeight="1" ht="15.75">
      <c r="A111" s="455"/>
      <c r="B111" s="400" t="str">
        <f>+B11</f>
        <v>HEV-LHD</v>
      </c>
      <c r="C111" s="159" t="str">
        <f>+C11</f>
        <v>82111-4DT50</v>
      </c>
      <c r="D111" s="160">
        <f>D11</f>
        <v/>
      </c>
      <c r="E111" s="27">
        <f>E11</f>
        <v/>
      </c>
      <c r="F111" s="27">
        <f>F11</f>
        <v/>
      </c>
      <c r="G111" s="27">
        <f>G11</f>
        <v/>
      </c>
      <c r="H111" s="28">
        <f>$H11</f>
        <v/>
      </c>
      <c r="I111" s="28" t="e">
        <f>VLOOKUP(C111,C11:C65,7,0)</f>
        <v>#REF!</v>
      </c>
      <c r="J111" s="44" t="e">
        <f>I111*J11</f>
        <v>#REF!</v>
      </c>
      <c r="K111" s="45" t="e">
        <f>I111*K11</f>
        <v>#REF!</v>
      </c>
      <c r="L111" s="48" t="e">
        <f>I111*L11</f>
        <v>#REF!</v>
      </c>
      <c r="M111" s="44" t="e">
        <f>I111*M11</f>
        <v>#REF!</v>
      </c>
      <c r="N111" s="45" t="e">
        <f>I111*N11</f>
        <v>#REF!</v>
      </c>
      <c r="O111" s="48" t="e">
        <f>I111*O11</f>
        <v>#REF!</v>
      </c>
      <c r="P111" s="44" t="e">
        <f>I111*P11</f>
        <v>#REF!</v>
      </c>
      <c r="Q111" s="45" t="e">
        <f>I111*Q11</f>
        <v>#REF!</v>
      </c>
      <c r="R111" s="46" t="e">
        <f>I111*R11</f>
        <v>#REF!</v>
      </c>
      <c r="S111" s="47" t="e">
        <f>I111*S11</f>
        <v>#REF!</v>
      </c>
      <c r="T111" s="45" t="e">
        <f>I111*T11</f>
        <v>#REF!</v>
      </c>
      <c r="U111" s="48" t="e">
        <f>I111*U11</f>
        <v>#REF!</v>
      </c>
      <c r="V111" s="44" t="e">
        <f>I111*V11</f>
        <v>#REF!</v>
      </c>
      <c r="W111" s="45" t="e">
        <f>I111*W11</f>
        <v>#REF!</v>
      </c>
      <c r="X111" s="48" t="e">
        <f>I111*X11</f>
        <v>#REF!</v>
      </c>
      <c r="Y111" s="44" t="e">
        <f>I111*Y11</f>
        <v>#REF!</v>
      </c>
      <c r="Z111" s="45" t="e">
        <f>I111*Z11</f>
        <v>#REF!</v>
      </c>
      <c r="AA111" s="46" t="e">
        <f>I111*AA11</f>
        <v>#REF!</v>
      </c>
      <c r="AB111" s="44" t="e">
        <f>I111*AB11</f>
        <v>#REF!</v>
      </c>
      <c r="AC111" s="45" t="e">
        <f>I111*AC11</f>
        <v>#REF!</v>
      </c>
      <c r="AD111" s="46" t="e">
        <f>I111*AD11</f>
        <v>#REF!</v>
      </c>
      <c r="AE111" s="237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</row>
    <row r="112" spans="1:54" customHeight="1" ht="15.75">
      <c r="A112" s="455"/>
      <c r="B112" s="417" t="str">
        <f>+B12</f>
        <v>GAS-LHD</v>
      </c>
      <c r="C112" s="159" t="str">
        <f>+C12</f>
        <v>82111-4DT60</v>
      </c>
      <c r="D112" s="160">
        <f>D12</f>
        <v/>
      </c>
      <c r="E112" s="27">
        <f>E12</f>
        <v/>
      </c>
      <c r="F112" s="27">
        <f>F12</f>
        <v/>
      </c>
      <c r="G112" s="27">
        <f>G12</f>
        <v/>
      </c>
      <c r="H112" s="28">
        <f>$H12</f>
        <v/>
      </c>
      <c r="I112" s="28" t="e">
        <f>VLOOKUP(C112,C12:C66,7,0)</f>
        <v>#REF!</v>
      </c>
      <c r="J112" s="44" t="e">
        <f>I112*J12</f>
        <v>#REF!</v>
      </c>
      <c r="K112" s="45" t="e">
        <f>I112*K12</f>
        <v>#REF!</v>
      </c>
      <c r="L112" s="48" t="e">
        <f>I112*L12</f>
        <v>#REF!</v>
      </c>
      <c r="M112" s="44" t="e">
        <f>I112*M12</f>
        <v>#REF!</v>
      </c>
      <c r="N112" s="45" t="e">
        <f>I112*N12</f>
        <v>#REF!</v>
      </c>
      <c r="O112" s="48" t="e">
        <f>I112*O12</f>
        <v>#REF!</v>
      </c>
      <c r="P112" s="44" t="e">
        <f>I112*P12</f>
        <v>#REF!</v>
      </c>
      <c r="Q112" s="45" t="e">
        <f>I112*Q12</f>
        <v>#REF!</v>
      </c>
      <c r="R112" s="46" t="e">
        <f>I112*R12</f>
        <v>#REF!</v>
      </c>
      <c r="S112" s="47" t="e">
        <f>I112*S12</f>
        <v>#REF!</v>
      </c>
      <c r="T112" s="45" t="e">
        <f>I112*T12</f>
        <v>#REF!</v>
      </c>
      <c r="U112" s="48" t="e">
        <f>I112*U12</f>
        <v>#REF!</v>
      </c>
      <c r="V112" s="44" t="e">
        <f>I112*V12</f>
        <v>#REF!</v>
      </c>
      <c r="W112" s="45" t="e">
        <f>I112*W12</f>
        <v>#REF!</v>
      </c>
      <c r="X112" s="48" t="e">
        <f>I112*X12</f>
        <v>#REF!</v>
      </c>
      <c r="Y112" s="44" t="e">
        <f>I112*Y12</f>
        <v>#REF!</v>
      </c>
      <c r="Z112" s="45" t="e">
        <f>I112*Z12</f>
        <v>#REF!</v>
      </c>
      <c r="AA112" s="46" t="e">
        <f>I112*AA12</f>
        <v>#REF!</v>
      </c>
      <c r="AB112" s="44" t="e">
        <f>I112*AB12</f>
        <v>#REF!</v>
      </c>
      <c r="AC112" s="45" t="e">
        <f>I112*AC12</f>
        <v>#REF!</v>
      </c>
      <c r="AD112" s="46" t="e">
        <f>I112*AD12</f>
        <v>#REF!</v>
      </c>
      <c r="AE112" s="237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</row>
    <row r="113" spans="1:54" customHeight="1" ht="15.75">
      <c r="A113" s="455"/>
      <c r="B113" s="417" t="str">
        <f>+B13</f>
        <v>HEV-LHD</v>
      </c>
      <c r="C113" s="159" t="str">
        <f>+C13</f>
        <v>82111-4DT70</v>
      </c>
      <c r="D113" s="160">
        <f>D13</f>
        <v/>
      </c>
      <c r="E113" s="27">
        <f>E13</f>
        <v/>
      </c>
      <c r="F113" s="27">
        <f>F13</f>
        <v/>
      </c>
      <c r="G113" s="27">
        <f>G13</f>
        <v/>
      </c>
      <c r="H113" s="28">
        <f>$H13</f>
        <v/>
      </c>
      <c r="I113" s="28" t="e">
        <f>VLOOKUP(C113,C13:C67,7,0)</f>
        <v>#REF!</v>
      </c>
      <c r="J113" s="44" t="e">
        <f>I113*J13</f>
        <v>#REF!</v>
      </c>
      <c r="K113" s="45" t="e">
        <f>I113*K13</f>
        <v>#REF!</v>
      </c>
      <c r="L113" s="48" t="e">
        <f>I113*L13</f>
        <v>#REF!</v>
      </c>
      <c r="M113" s="44" t="e">
        <f>I113*M13</f>
        <v>#REF!</v>
      </c>
      <c r="N113" s="45" t="e">
        <f>I113*N13</f>
        <v>#REF!</v>
      </c>
      <c r="O113" s="48" t="e">
        <f>I113*O13</f>
        <v>#REF!</v>
      </c>
      <c r="P113" s="44" t="e">
        <f>I113*P13</f>
        <v>#REF!</v>
      </c>
      <c r="Q113" s="45" t="e">
        <f>I113*Q13</f>
        <v>#REF!</v>
      </c>
      <c r="R113" s="46" t="e">
        <f>I113*R13</f>
        <v>#REF!</v>
      </c>
      <c r="S113" s="47" t="e">
        <f>I113*S13</f>
        <v>#REF!</v>
      </c>
      <c r="T113" s="45" t="e">
        <f>I113*T13</f>
        <v>#REF!</v>
      </c>
      <c r="U113" s="48" t="e">
        <f>I113*U13</f>
        <v>#REF!</v>
      </c>
      <c r="V113" s="44" t="e">
        <f>I113*V13</f>
        <v>#REF!</v>
      </c>
      <c r="W113" s="45" t="e">
        <f>I113*W13</f>
        <v>#REF!</v>
      </c>
      <c r="X113" s="48" t="e">
        <f>I113*X13</f>
        <v>#REF!</v>
      </c>
      <c r="Y113" s="44" t="e">
        <f>I113*Y13</f>
        <v>#REF!</v>
      </c>
      <c r="Z113" s="45" t="e">
        <f>I113*Z13</f>
        <v>#REF!</v>
      </c>
      <c r="AA113" s="46" t="e">
        <f>I113*AA13</f>
        <v>#REF!</v>
      </c>
      <c r="AB113" s="44" t="e">
        <f>I113*AB13</f>
        <v>#REF!</v>
      </c>
      <c r="AC113" s="45" t="e">
        <f>I113*AC13</f>
        <v>#REF!</v>
      </c>
      <c r="AD113" s="46" t="e">
        <f>I113*AD13</f>
        <v>#REF!</v>
      </c>
      <c r="AE113" s="237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</row>
    <row r="114" spans="1:54" customHeight="1" ht="15.75" s="12" customFormat="1">
      <c r="A114" s="455"/>
      <c r="B114" s="417" t="str">
        <f>+B14</f>
        <v>HEV-LHD</v>
      </c>
      <c r="C114" s="159" t="str">
        <f>+C14</f>
        <v>82111-4DT80</v>
      </c>
      <c r="D114" s="55">
        <f>D14</f>
        <v/>
      </c>
      <c r="E114" s="27">
        <f>E14</f>
        <v/>
      </c>
      <c r="F114" s="27">
        <f>F14</f>
        <v/>
      </c>
      <c r="G114" s="27">
        <f>G14</f>
        <v/>
      </c>
      <c r="H114" s="28">
        <f>$H14</f>
        <v/>
      </c>
      <c r="I114" s="28" t="e">
        <f>VLOOKUP(C114,C14:C68,7,0)</f>
        <v>#REF!</v>
      </c>
      <c r="J114" s="44" t="e">
        <f>I114*J14</f>
        <v>#REF!</v>
      </c>
      <c r="K114" s="45" t="e">
        <f>I114*K14</f>
        <v>#REF!</v>
      </c>
      <c r="L114" s="48" t="e">
        <f>I114*L14</f>
        <v>#REF!</v>
      </c>
      <c r="M114" s="44" t="e">
        <f>I114*M14</f>
        <v>#REF!</v>
      </c>
      <c r="N114" s="45" t="e">
        <f>I114*N14</f>
        <v>#REF!</v>
      </c>
      <c r="O114" s="48" t="e">
        <f>I114*O14</f>
        <v>#REF!</v>
      </c>
      <c r="P114" s="44" t="e">
        <f>I114*P14</f>
        <v>#REF!</v>
      </c>
      <c r="Q114" s="45" t="e">
        <f>I114*Q14</f>
        <v>#REF!</v>
      </c>
      <c r="R114" s="46" t="e">
        <f>I114*R14</f>
        <v>#REF!</v>
      </c>
      <c r="S114" s="47" t="e">
        <f>I114*S14</f>
        <v>#REF!</v>
      </c>
      <c r="T114" s="45" t="e">
        <f>I114*T14</f>
        <v>#REF!</v>
      </c>
      <c r="U114" s="48" t="e">
        <f>I114*U14</f>
        <v>#REF!</v>
      </c>
      <c r="V114" s="44" t="e">
        <f>I114*V14</f>
        <v>#REF!</v>
      </c>
      <c r="W114" s="45" t="e">
        <f>I114*W14</f>
        <v>#REF!</v>
      </c>
      <c r="X114" s="48" t="e">
        <f>I114*X14</f>
        <v>#REF!</v>
      </c>
      <c r="Y114" s="44" t="e">
        <f>I114*Y14</f>
        <v>#REF!</v>
      </c>
      <c r="Z114" s="45" t="e">
        <f>I114*Z14</f>
        <v>#REF!</v>
      </c>
      <c r="AA114" s="46" t="e">
        <f>I114*AA14</f>
        <v>#REF!</v>
      </c>
      <c r="AB114" s="44" t="e">
        <f>I114*AB14</f>
        <v>#REF!</v>
      </c>
      <c r="AC114" s="45" t="e">
        <f>I114*AC14</f>
        <v>#REF!</v>
      </c>
      <c r="AD114" s="46" t="e">
        <f>I114*AD14</f>
        <v>#REF!</v>
      </c>
      <c r="AE114" s="237"/>
    </row>
    <row r="115" spans="1:54" customHeight="1" ht="15.75" s="12" customFormat="1">
      <c r="A115" s="455"/>
      <c r="B115" s="417" t="str">
        <f>+B15</f>
        <v>HEV-LHD</v>
      </c>
      <c r="C115" s="159" t="str">
        <f>+C15</f>
        <v>82111-4DT90</v>
      </c>
      <c r="D115" s="55">
        <f>D15</f>
        <v/>
      </c>
      <c r="E115" s="27">
        <f>E15</f>
        <v/>
      </c>
      <c r="F115" s="27">
        <f>F15</f>
        <v/>
      </c>
      <c r="G115" s="27">
        <f>G15</f>
        <v/>
      </c>
      <c r="H115" s="28">
        <f>$H15</f>
        <v/>
      </c>
      <c r="I115" s="28" t="e">
        <f>VLOOKUP(C115,C15:C69,7,0)</f>
        <v>#REF!</v>
      </c>
      <c r="J115" s="44" t="e">
        <f>I115*J15</f>
        <v>#REF!</v>
      </c>
      <c r="K115" s="45" t="e">
        <f>I115*K15</f>
        <v>#REF!</v>
      </c>
      <c r="L115" s="48" t="e">
        <f>I115*L15</f>
        <v>#REF!</v>
      </c>
      <c r="M115" s="44" t="e">
        <f>I115*M15</f>
        <v>#REF!</v>
      </c>
      <c r="N115" s="45" t="e">
        <f>I115*N15</f>
        <v>#REF!</v>
      </c>
      <c r="O115" s="48" t="e">
        <f>I115*O15</f>
        <v>#REF!</v>
      </c>
      <c r="P115" s="44" t="e">
        <f>I115*P15</f>
        <v>#REF!</v>
      </c>
      <c r="Q115" s="45" t="e">
        <f>I115*Q15</f>
        <v>#REF!</v>
      </c>
      <c r="R115" s="46" t="e">
        <f>I115*R15</f>
        <v>#REF!</v>
      </c>
      <c r="S115" s="47" t="e">
        <f>I115*S15</f>
        <v>#REF!</v>
      </c>
      <c r="T115" s="45" t="e">
        <f>I115*T15</f>
        <v>#REF!</v>
      </c>
      <c r="U115" s="48" t="e">
        <f>I115*U15</f>
        <v>#REF!</v>
      </c>
      <c r="V115" s="44" t="e">
        <f>I115*V15</f>
        <v>#REF!</v>
      </c>
      <c r="W115" s="45" t="e">
        <f>I115*W15</f>
        <v>#REF!</v>
      </c>
      <c r="X115" s="48" t="e">
        <f>I115*X15</f>
        <v>#REF!</v>
      </c>
      <c r="Y115" s="44" t="e">
        <f>I115*Y15</f>
        <v>#REF!</v>
      </c>
      <c r="Z115" s="45" t="e">
        <f>I115*Z15</f>
        <v>#REF!</v>
      </c>
      <c r="AA115" s="46" t="e">
        <f>I115*AA15</f>
        <v>#REF!</v>
      </c>
      <c r="AB115" s="44" t="e">
        <f>I115*AB15</f>
        <v>#REF!</v>
      </c>
      <c r="AC115" s="45" t="e">
        <f>I115*AC15</f>
        <v>#REF!</v>
      </c>
      <c r="AD115" s="46" t="e">
        <f>I115*AD15</f>
        <v>#REF!</v>
      </c>
      <c r="AE115" s="237"/>
    </row>
    <row r="116" spans="1:54" customHeight="1" ht="15.75">
      <c r="A116" s="455"/>
      <c r="B116" s="417" t="str">
        <f>+B16</f>
        <v>HEV-LHD</v>
      </c>
      <c r="C116" s="159" t="str">
        <f>+C16</f>
        <v>82111-4DU00</v>
      </c>
      <c r="D116" s="160">
        <f>D16</f>
        <v/>
      </c>
      <c r="E116" s="27">
        <f>E16</f>
        <v/>
      </c>
      <c r="F116" s="27">
        <f>F16</f>
        <v/>
      </c>
      <c r="G116" s="27">
        <f>G16</f>
        <v/>
      </c>
      <c r="H116" s="28">
        <f>$H16</f>
        <v/>
      </c>
      <c r="I116" s="28" t="e">
        <f>VLOOKUP(C116,C16:C70,7,0)</f>
        <v>#REF!</v>
      </c>
      <c r="J116" s="44" t="e">
        <f>I116*J16</f>
        <v>#REF!</v>
      </c>
      <c r="K116" s="45" t="e">
        <f>I116*K16</f>
        <v>#REF!</v>
      </c>
      <c r="L116" s="48" t="e">
        <f>I116*L16</f>
        <v>#REF!</v>
      </c>
      <c r="M116" s="44" t="e">
        <f>I116*M16</f>
        <v>#REF!</v>
      </c>
      <c r="N116" s="45" t="e">
        <f>I116*N16</f>
        <v>#REF!</v>
      </c>
      <c r="O116" s="48" t="e">
        <f>I116*O16</f>
        <v>#REF!</v>
      </c>
      <c r="P116" s="44" t="e">
        <f>I116*P16</f>
        <v>#REF!</v>
      </c>
      <c r="Q116" s="45" t="e">
        <f>I116*Q16</f>
        <v>#REF!</v>
      </c>
      <c r="R116" s="46" t="e">
        <f>I116*R16</f>
        <v>#REF!</v>
      </c>
      <c r="S116" s="47" t="e">
        <f>I116*S16</f>
        <v>#REF!</v>
      </c>
      <c r="T116" s="45" t="e">
        <f>I116*T16</f>
        <v>#REF!</v>
      </c>
      <c r="U116" s="48" t="e">
        <f>I116*U16</f>
        <v>#REF!</v>
      </c>
      <c r="V116" s="44" t="e">
        <f>I116*V16</f>
        <v>#REF!</v>
      </c>
      <c r="W116" s="45" t="e">
        <f>I116*W16</f>
        <v>#REF!</v>
      </c>
      <c r="X116" s="48" t="e">
        <f>I116*X16</f>
        <v>#REF!</v>
      </c>
      <c r="Y116" s="44" t="e">
        <f>I116*Y16</f>
        <v>#REF!</v>
      </c>
      <c r="Z116" s="45" t="e">
        <f>I116*Z16</f>
        <v>#REF!</v>
      </c>
      <c r="AA116" s="46" t="e">
        <f>I116*AA16</f>
        <v>#REF!</v>
      </c>
      <c r="AB116" s="44" t="e">
        <f>I116*AB16</f>
        <v>#REF!</v>
      </c>
      <c r="AC116" s="45" t="e">
        <f>I116*AC16</f>
        <v>#REF!</v>
      </c>
      <c r="AD116" s="46" t="e">
        <f>I116*AD16</f>
        <v>#REF!</v>
      </c>
      <c r="AE116" s="237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</row>
    <row r="117" spans="1:54" customHeight="1" ht="15.75" s="12" customFormat="1">
      <c r="A117" s="455"/>
      <c r="B117" s="417" t="str">
        <f>+B17</f>
        <v>HEV-LHD</v>
      </c>
      <c r="C117" s="159" t="str">
        <f>+C17</f>
        <v>82111-4DU10</v>
      </c>
      <c r="D117" s="55">
        <f>D17</f>
        <v/>
      </c>
      <c r="E117" s="27">
        <f>E17</f>
        <v/>
      </c>
      <c r="F117" s="27">
        <f>F17</f>
        <v/>
      </c>
      <c r="G117" s="27">
        <f>G17</f>
        <v/>
      </c>
      <c r="H117" s="28">
        <f>$H17</f>
        <v/>
      </c>
      <c r="I117" s="28" t="e">
        <f>VLOOKUP(C117,C17:C71,7,0)</f>
        <v>#REF!</v>
      </c>
      <c r="J117" s="44" t="e">
        <f>I117*J17</f>
        <v>#REF!</v>
      </c>
      <c r="K117" s="45" t="e">
        <f>I117*K17</f>
        <v>#REF!</v>
      </c>
      <c r="L117" s="48" t="e">
        <f>I117*L17</f>
        <v>#REF!</v>
      </c>
      <c r="M117" s="44" t="e">
        <f>I117*M17</f>
        <v>#REF!</v>
      </c>
      <c r="N117" s="45" t="e">
        <f>I117*N17</f>
        <v>#REF!</v>
      </c>
      <c r="O117" s="48" t="e">
        <f>I117*O17</f>
        <v>#REF!</v>
      </c>
      <c r="P117" s="44" t="e">
        <f>I117*P17</f>
        <v>#REF!</v>
      </c>
      <c r="Q117" s="45" t="e">
        <f>I117*Q17</f>
        <v>#REF!</v>
      </c>
      <c r="R117" s="46" t="e">
        <f>I117*R17</f>
        <v>#REF!</v>
      </c>
      <c r="S117" s="47" t="e">
        <f>I117*S17</f>
        <v>#REF!</v>
      </c>
      <c r="T117" s="45" t="e">
        <f>I117*T17</f>
        <v>#REF!</v>
      </c>
      <c r="U117" s="48" t="e">
        <f>I117*U17</f>
        <v>#REF!</v>
      </c>
      <c r="V117" s="44" t="e">
        <f>I117*V17</f>
        <v>#REF!</v>
      </c>
      <c r="W117" s="45" t="e">
        <f>I117*W17</f>
        <v>#REF!</v>
      </c>
      <c r="X117" s="48" t="e">
        <f>I117*X17</f>
        <v>#REF!</v>
      </c>
      <c r="Y117" s="44" t="e">
        <f>I117*Y17</f>
        <v>#REF!</v>
      </c>
      <c r="Z117" s="45" t="e">
        <f>I117*Z17</f>
        <v>#REF!</v>
      </c>
      <c r="AA117" s="46" t="e">
        <f>I117*AA17</f>
        <v>#REF!</v>
      </c>
      <c r="AB117" s="44" t="e">
        <f>I117*AB17</f>
        <v>#REF!</v>
      </c>
      <c r="AC117" s="45" t="e">
        <f>I117*AC17</f>
        <v>#REF!</v>
      </c>
      <c r="AD117" s="46" t="e">
        <f>I117*AD17</f>
        <v>#REF!</v>
      </c>
      <c r="AE117" s="237"/>
    </row>
    <row r="118" spans="1:54" customHeight="1" ht="15.75" s="12" customFormat="1">
      <c r="A118" s="455"/>
      <c r="B118" s="417" t="str">
        <f>+B18</f>
        <v>HEV-LHD</v>
      </c>
      <c r="C118" s="159" t="str">
        <f>+C18</f>
        <v>82111-4DU20</v>
      </c>
      <c r="D118" s="55">
        <f>D18</f>
        <v/>
      </c>
      <c r="E118" s="27">
        <f>E18</f>
        <v/>
      </c>
      <c r="F118" s="27">
        <f>F18</f>
        <v/>
      </c>
      <c r="G118" s="27">
        <f>G18</f>
        <v/>
      </c>
      <c r="H118" s="28">
        <f>$H18</f>
        <v/>
      </c>
      <c r="I118" s="28" t="e">
        <f>VLOOKUP(C118,C18:C72,7,0)</f>
        <v>#REF!</v>
      </c>
      <c r="J118" s="44" t="e">
        <f>I118*J18</f>
        <v>#REF!</v>
      </c>
      <c r="K118" s="45" t="e">
        <f>I118*K18</f>
        <v>#REF!</v>
      </c>
      <c r="L118" s="48" t="e">
        <f>I118*L18</f>
        <v>#REF!</v>
      </c>
      <c r="M118" s="44" t="e">
        <f>I118*M18</f>
        <v>#REF!</v>
      </c>
      <c r="N118" s="45" t="e">
        <f>I118*N18</f>
        <v>#REF!</v>
      </c>
      <c r="O118" s="48" t="e">
        <f>I118*O18</f>
        <v>#REF!</v>
      </c>
      <c r="P118" s="44" t="e">
        <f>I118*P18</f>
        <v>#REF!</v>
      </c>
      <c r="Q118" s="45" t="e">
        <f>I118*Q18</f>
        <v>#REF!</v>
      </c>
      <c r="R118" s="46" t="e">
        <f>I118*R18</f>
        <v>#REF!</v>
      </c>
      <c r="S118" s="47" t="e">
        <f>I118*S18</f>
        <v>#REF!</v>
      </c>
      <c r="T118" s="45" t="e">
        <f>I118*T18</f>
        <v>#REF!</v>
      </c>
      <c r="U118" s="48" t="e">
        <f>I118*U18</f>
        <v>#REF!</v>
      </c>
      <c r="V118" s="44" t="e">
        <f>I118*V18</f>
        <v>#REF!</v>
      </c>
      <c r="W118" s="45" t="e">
        <f>I118*W18</f>
        <v>#REF!</v>
      </c>
      <c r="X118" s="48" t="e">
        <f>I118*X18</f>
        <v>#REF!</v>
      </c>
      <c r="Y118" s="44" t="e">
        <f>I118*Y18</f>
        <v>#REF!</v>
      </c>
      <c r="Z118" s="45" t="e">
        <f>I118*Z18</f>
        <v>#REF!</v>
      </c>
      <c r="AA118" s="46" t="e">
        <f>I118*AA18</f>
        <v>#REF!</v>
      </c>
      <c r="AB118" s="44" t="e">
        <f>I118*AB18</f>
        <v>#REF!</v>
      </c>
      <c r="AC118" s="45" t="e">
        <f>I118*AC18</f>
        <v>#REF!</v>
      </c>
      <c r="AD118" s="46" t="e">
        <f>I118*AD18</f>
        <v>#REF!</v>
      </c>
      <c r="AE118" s="237"/>
    </row>
    <row r="119" spans="1:54" customHeight="1" ht="15.75">
      <c r="A119" s="455"/>
      <c r="B119" s="417" t="str">
        <f>+B19</f>
        <v>HEV-LHD</v>
      </c>
      <c r="C119" s="159" t="str">
        <f>+C19</f>
        <v>82111-4DU30</v>
      </c>
      <c r="D119" s="55">
        <f>D19</f>
        <v/>
      </c>
      <c r="E119" s="27">
        <f>E19</f>
        <v/>
      </c>
      <c r="F119" s="27">
        <f>F19</f>
        <v/>
      </c>
      <c r="G119" s="27">
        <f>G19</f>
        <v/>
      </c>
      <c r="H119" s="28">
        <f>$H19</f>
        <v/>
      </c>
      <c r="I119" s="28" t="e">
        <f>VLOOKUP(C119,C19:C73,7,0)</f>
        <v>#REF!</v>
      </c>
      <c r="J119" s="44" t="e">
        <f>I119*J19</f>
        <v>#REF!</v>
      </c>
      <c r="K119" s="45" t="e">
        <f>I119*K19</f>
        <v>#REF!</v>
      </c>
      <c r="L119" s="48" t="e">
        <f>I119*L19</f>
        <v>#REF!</v>
      </c>
      <c r="M119" s="44" t="e">
        <f>I119*M19</f>
        <v>#REF!</v>
      </c>
      <c r="N119" s="45" t="e">
        <f>I119*N19</f>
        <v>#REF!</v>
      </c>
      <c r="O119" s="48" t="e">
        <f>I119*O19</f>
        <v>#REF!</v>
      </c>
      <c r="P119" s="44" t="e">
        <f>I119*P19</f>
        <v>#REF!</v>
      </c>
      <c r="Q119" s="45" t="e">
        <f>I119*Q19</f>
        <v>#REF!</v>
      </c>
      <c r="R119" s="46" t="e">
        <f>I119*R19</f>
        <v>#REF!</v>
      </c>
      <c r="S119" s="47" t="e">
        <f>I119*S19</f>
        <v>#REF!</v>
      </c>
      <c r="T119" s="45" t="e">
        <f>I119*T19</f>
        <v>#REF!</v>
      </c>
      <c r="U119" s="48" t="e">
        <f>I119*U19</f>
        <v>#REF!</v>
      </c>
      <c r="V119" s="44" t="e">
        <f>I119*V19</f>
        <v>#REF!</v>
      </c>
      <c r="W119" s="45" t="e">
        <f>I119*W19</f>
        <v>#REF!</v>
      </c>
      <c r="X119" s="48" t="e">
        <f>I119*X19</f>
        <v>#REF!</v>
      </c>
      <c r="Y119" s="44" t="e">
        <f>I119*Y19</f>
        <v>#REF!</v>
      </c>
      <c r="Z119" s="45" t="e">
        <f>I119*Z19</f>
        <v>#REF!</v>
      </c>
      <c r="AA119" s="46" t="e">
        <f>I119*AA19</f>
        <v>#REF!</v>
      </c>
      <c r="AB119" s="44" t="e">
        <f>I119*AB19</f>
        <v>#REF!</v>
      </c>
      <c r="AC119" s="45" t="e">
        <f>I119*AC19</f>
        <v>#REF!</v>
      </c>
      <c r="AD119" s="46" t="e">
        <f>I119*AD19</f>
        <v>#REF!</v>
      </c>
      <c r="AE119" s="237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</row>
    <row r="120" spans="1:54" customHeight="1" ht="15.75">
      <c r="A120" s="455"/>
      <c r="B120" s="417" t="str">
        <f>+B20</f>
        <v>HEV-LHD</v>
      </c>
      <c r="C120" s="159" t="str">
        <f>+C20</f>
        <v>82111-4DU40</v>
      </c>
      <c r="D120" s="55">
        <f>D20</f>
        <v/>
      </c>
      <c r="E120" s="27">
        <f>E20</f>
        <v/>
      </c>
      <c r="F120" s="27">
        <f>F20</f>
        <v/>
      </c>
      <c r="G120" s="27">
        <f>G20</f>
        <v/>
      </c>
      <c r="H120" s="28">
        <f>$H20</f>
        <v/>
      </c>
      <c r="I120" s="28" t="e">
        <f>VLOOKUP(C120,C20:C74,7,0)</f>
        <v>#REF!</v>
      </c>
      <c r="J120" s="44" t="e">
        <f>I120*J20</f>
        <v>#REF!</v>
      </c>
      <c r="K120" s="45" t="e">
        <f>I120*K20</f>
        <v>#REF!</v>
      </c>
      <c r="L120" s="48" t="e">
        <f>I120*L20</f>
        <v>#REF!</v>
      </c>
      <c r="M120" s="44" t="e">
        <f>I120*M20</f>
        <v>#REF!</v>
      </c>
      <c r="N120" s="45" t="e">
        <f>I120*N20</f>
        <v>#REF!</v>
      </c>
      <c r="O120" s="48" t="e">
        <f>I120*O20</f>
        <v>#REF!</v>
      </c>
      <c r="P120" s="44" t="e">
        <f>I120*P20</f>
        <v>#REF!</v>
      </c>
      <c r="Q120" s="45" t="e">
        <f>I120*Q20</f>
        <v>#REF!</v>
      </c>
      <c r="R120" s="46" t="e">
        <f>I120*R20</f>
        <v>#REF!</v>
      </c>
      <c r="S120" s="47" t="e">
        <f>I120*S20</f>
        <v>#REF!</v>
      </c>
      <c r="T120" s="45" t="e">
        <f>I120*T20</f>
        <v>#REF!</v>
      </c>
      <c r="U120" s="48" t="e">
        <f>I120*U20</f>
        <v>#REF!</v>
      </c>
      <c r="V120" s="44" t="e">
        <f>I120*V20</f>
        <v>#REF!</v>
      </c>
      <c r="W120" s="45" t="e">
        <f>I120*W20</f>
        <v>#REF!</v>
      </c>
      <c r="X120" s="48" t="e">
        <f>I120*X20</f>
        <v>#REF!</v>
      </c>
      <c r="Y120" s="44" t="e">
        <f>I120*Y20</f>
        <v>#REF!</v>
      </c>
      <c r="Z120" s="45" t="e">
        <f>I120*Z20</f>
        <v>#REF!</v>
      </c>
      <c r="AA120" s="46" t="e">
        <f>I120*AA20</f>
        <v>#REF!</v>
      </c>
      <c r="AB120" s="44" t="e">
        <f>I120*AB20</f>
        <v>#REF!</v>
      </c>
      <c r="AC120" s="45" t="e">
        <f>I120*AC20</f>
        <v>#REF!</v>
      </c>
      <c r="AD120" s="46" t="e">
        <f>I120*AD20</f>
        <v>#REF!</v>
      </c>
      <c r="AE120" s="237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</row>
    <row r="121" spans="1:54" customHeight="1" ht="15.75">
      <c r="A121" s="455"/>
      <c r="B121" s="417" t="str">
        <f>+B21</f>
        <v>HEV-RHD</v>
      </c>
      <c r="C121" s="159" t="str">
        <f>+C21</f>
        <v>82111-4DU60</v>
      </c>
      <c r="D121" s="55">
        <f>D21</f>
        <v/>
      </c>
      <c r="E121" s="27">
        <f>E21</f>
        <v/>
      </c>
      <c r="F121" s="27">
        <f>F21</f>
        <v/>
      </c>
      <c r="G121" s="27">
        <f>G21</f>
        <v/>
      </c>
      <c r="H121" s="28">
        <f>$H21</f>
        <v/>
      </c>
      <c r="I121" s="28" t="e">
        <f>VLOOKUP(C121,C21:C75,7,0)</f>
        <v>#REF!</v>
      </c>
      <c r="J121" s="44" t="e">
        <f>I121*J21</f>
        <v>#REF!</v>
      </c>
      <c r="K121" s="45" t="e">
        <f>I121*K21</f>
        <v>#REF!</v>
      </c>
      <c r="L121" s="48" t="e">
        <f>I121*L21</f>
        <v>#REF!</v>
      </c>
      <c r="M121" s="44" t="e">
        <f>I121*M21</f>
        <v>#REF!</v>
      </c>
      <c r="N121" s="45" t="e">
        <f>I121*N21</f>
        <v>#REF!</v>
      </c>
      <c r="O121" s="48" t="e">
        <f>I121*O21</f>
        <v>#REF!</v>
      </c>
      <c r="P121" s="44" t="e">
        <f>I121*P21</f>
        <v>#REF!</v>
      </c>
      <c r="Q121" s="45" t="e">
        <f>I121*Q21</f>
        <v>#REF!</v>
      </c>
      <c r="R121" s="46" t="e">
        <f>I121*R21</f>
        <v>#REF!</v>
      </c>
      <c r="S121" s="47" t="e">
        <f>I121*S21</f>
        <v>#REF!</v>
      </c>
      <c r="T121" s="45" t="e">
        <f>I121*T21</f>
        <v>#REF!</v>
      </c>
      <c r="U121" s="48" t="e">
        <f>I121*U21</f>
        <v>#REF!</v>
      </c>
      <c r="V121" s="44" t="e">
        <f>I121*V21</f>
        <v>#REF!</v>
      </c>
      <c r="W121" s="45" t="e">
        <f>I121*W21</f>
        <v>#REF!</v>
      </c>
      <c r="X121" s="48" t="e">
        <f>I121*X21</f>
        <v>#REF!</v>
      </c>
      <c r="Y121" s="44" t="e">
        <f>I121*Y21</f>
        <v>#REF!</v>
      </c>
      <c r="Z121" s="45" t="e">
        <f>I121*Z21</f>
        <v>#REF!</v>
      </c>
      <c r="AA121" s="46" t="e">
        <f>I121*AA21</f>
        <v>#REF!</v>
      </c>
      <c r="AB121" s="44" t="e">
        <f>I121*AB21</f>
        <v>#REF!</v>
      </c>
      <c r="AC121" s="45" t="e">
        <f>I121*AC21</f>
        <v>#REF!</v>
      </c>
      <c r="AD121" s="46" t="e">
        <f>I121*AD21</f>
        <v>#REF!</v>
      </c>
      <c r="AE121" s="237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</row>
    <row r="122" spans="1:54" customHeight="1" ht="15.75">
      <c r="A122" s="455"/>
      <c r="B122" s="417" t="str">
        <f>+B22</f>
        <v>HEV-RHD</v>
      </c>
      <c r="C122" s="159" t="str">
        <f>+C22</f>
        <v>82111-4DU70</v>
      </c>
      <c r="D122" s="55">
        <f>D22</f>
        <v/>
      </c>
      <c r="E122" s="27">
        <f>E22</f>
        <v/>
      </c>
      <c r="F122" s="27">
        <f>F22</f>
        <v/>
      </c>
      <c r="G122" s="27">
        <f>G22</f>
        <v/>
      </c>
      <c r="H122" s="28">
        <f>$H22</f>
        <v/>
      </c>
      <c r="I122" s="28" t="e">
        <f>VLOOKUP(C122,C22:C76,7,0)</f>
        <v>#REF!</v>
      </c>
      <c r="J122" s="44" t="e">
        <f>I122*J22</f>
        <v>#REF!</v>
      </c>
      <c r="K122" s="45" t="e">
        <f>I122*K22</f>
        <v>#REF!</v>
      </c>
      <c r="L122" s="48" t="e">
        <f>I122*L22</f>
        <v>#REF!</v>
      </c>
      <c r="M122" s="44" t="e">
        <f>I122*M22</f>
        <v>#REF!</v>
      </c>
      <c r="N122" s="45" t="e">
        <f>I122*N22</f>
        <v>#REF!</v>
      </c>
      <c r="O122" s="48" t="e">
        <f>I122*O22</f>
        <v>#REF!</v>
      </c>
      <c r="P122" s="44" t="e">
        <f>I122*P22</f>
        <v>#REF!</v>
      </c>
      <c r="Q122" s="45" t="e">
        <f>I122*Q22</f>
        <v>#REF!</v>
      </c>
      <c r="R122" s="46" t="e">
        <f>I122*R22</f>
        <v>#REF!</v>
      </c>
      <c r="S122" s="47" t="e">
        <f>I122*S22</f>
        <v>#REF!</v>
      </c>
      <c r="T122" s="45" t="e">
        <f>I122*T22</f>
        <v>#REF!</v>
      </c>
      <c r="U122" s="48" t="e">
        <f>I122*U22</f>
        <v>#REF!</v>
      </c>
      <c r="V122" s="44" t="e">
        <f>I122*V22</f>
        <v>#REF!</v>
      </c>
      <c r="W122" s="45" t="e">
        <f>I122*W22</f>
        <v>#REF!</v>
      </c>
      <c r="X122" s="48" t="e">
        <f>I122*X22</f>
        <v>#REF!</v>
      </c>
      <c r="Y122" s="44" t="e">
        <f>I122*Y22</f>
        <v>#REF!</v>
      </c>
      <c r="Z122" s="45" t="e">
        <f>I122*Z22</f>
        <v>#REF!</v>
      </c>
      <c r="AA122" s="46" t="e">
        <f>I122*AA22</f>
        <v>#REF!</v>
      </c>
      <c r="AB122" s="44" t="e">
        <f>I122*AB22</f>
        <v>#REF!</v>
      </c>
      <c r="AC122" s="45" t="e">
        <f>I122*AC22</f>
        <v>#REF!</v>
      </c>
      <c r="AD122" s="46" t="e">
        <f>I122*AD22</f>
        <v>#REF!</v>
      </c>
      <c r="AE122" s="274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</row>
    <row r="123" spans="1:54" customHeight="1" ht="15.75">
      <c r="A123" s="455"/>
      <c r="B123" s="417" t="str">
        <f>+B23</f>
        <v>HEV-RHD</v>
      </c>
      <c r="C123" s="159" t="str">
        <f>+C23</f>
        <v>82111-4DU80</v>
      </c>
      <c r="D123" s="55">
        <f>D23</f>
        <v/>
      </c>
      <c r="E123" s="27">
        <f>E23</f>
        <v/>
      </c>
      <c r="F123" s="27">
        <f>F23</f>
        <v/>
      </c>
      <c r="G123" s="27">
        <f>G23</f>
        <v/>
      </c>
      <c r="H123" s="28">
        <f>$H23</f>
        <v/>
      </c>
      <c r="I123" s="28" t="e">
        <f>VLOOKUP(C123,C23:C77,7,0)</f>
        <v>#REF!</v>
      </c>
      <c r="J123" s="44" t="e">
        <f>I123*J23</f>
        <v>#REF!</v>
      </c>
      <c r="K123" s="45" t="e">
        <f>I123*K23</f>
        <v>#REF!</v>
      </c>
      <c r="L123" s="48" t="e">
        <f>I123*L23</f>
        <v>#REF!</v>
      </c>
      <c r="M123" s="44" t="e">
        <f>I123*M23</f>
        <v>#REF!</v>
      </c>
      <c r="N123" s="45" t="e">
        <f>I123*N23</f>
        <v>#REF!</v>
      </c>
      <c r="O123" s="48" t="e">
        <f>I123*O23</f>
        <v>#REF!</v>
      </c>
      <c r="P123" s="44" t="e">
        <f>I123*P23</f>
        <v>#REF!</v>
      </c>
      <c r="Q123" s="45" t="e">
        <f>I123*Q23</f>
        <v>#REF!</v>
      </c>
      <c r="R123" s="46" t="e">
        <f>I123*R23</f>
        <v>#REF!</v>
      </c>
      <c r="S123" s="47" t="e">
        <f>I123*S23</f>
        <v>#REF!</v>
      </c>
      <c r="T123" s="45" t="e">
        <f>I123*T23</f>
        <v>#REF!</v>
      </c>
      <c r="U123" s="48" t="e">
        <f>I123*U23</f>
        <v>#REF!</v>
      </c>
      <c r="V123" s="44" t="e">
        <f>I123*V23</f>
        <v>#REF!</v>
      </c>
      <c r="W123" s="45" t="e">
        <f>I123*W23</f>
        <v>#REF!</v>
      </c>
      <c r="X123" s="48" t="e">
        <f>I123*X23</f>
        <v>#REF!</v>
      </c>
      <c r="Y123" s="44" t="e">
        <f>I123*Y23</f>
        <v>#REF!</v>
      </c>
      <c r="Z123" s="45" t="e">
        <f>I123*Z23</f>
        <v>#REF!</v>
      </c>
      <c r="AA123" s="46" t="e">
        <f>I123*AA23</f>
        <v>#REF!</v>
      </c>
      <c r="AB123" s="44" t="e">
        <f>I123*AB23</f>
        <v>#REF!</v>
      </c>
      <c r="AC123" s="45" t="e">
        <f>I123*AC23</f>
        <v>#REF!</v>
      </c>
      <c r="AD123" s="46" t="e">
        <f>I123*AD23</f>
        <v>#REF!</v>
      </c>
      <c r="AE123" s="237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</row>
    <row r="124" spans="1:54" customHeight="1" ht="15.75">
      <c r="A124" s="455"/>
      <c r="B124" s="417" t="str">
        <f>+B24</f>
        <v>HEV-RHD</v>
      </c>
      <c r="C124" s="159" t="str">
        <f>+C24</f>
        <v>82111-4DU90</v>
      </c>
      <c r="D124" s="160">
        <f>D24</f>
        <v/>
      </c>
      <c r="E124" s="27">
        <f>E24</f>
        <v/>
      </c>
      <c r="F124" s="27">
        <f>F24</f>
        <v/>
      </c>
      <c r="G124" s="27">
        <f>G24</f>
        <v/>
      </c>
      <c r="H124" s="28">
        <f>$H24</f>
        <v/>
      </c>
      <c r="I124" s="28" t="e">
        <f>VLOOKUP(C124,C24:C78,7,0)</f>
        <v>#REF!</v>
      </c>
      <c r="J124" s="44" t="e">
        <f>I124*J24</f>
        <v>#REF!</v>
      </c>
      <c r="K124" s="45" t="e">
        <f>I124*K24</f>
        <v>#REF!</v>
      </c>
      <c r="L124" s="48" t="e">
        <f>I124*L24</f>
        <v>#REF!</v>
      </c>
      <c r="M124" s="44" t="e">
        <f>I124*M24</f>
        <v>#REF!</v>
      </c>
      <c r="N124" s="45" t="e">
        <f>I124*N24</f>
        <v>#REF!</v>
      </c>
      <c r="O124" s="48" t="e">
        <f>I124*O24</f>
        <v>#REF!</v>
      </c>
      <c r="P124" s="44" t="e">
        <f>I124*P24</f>
        <v>#REF!</v>
      </c>
      <c r="Q124" s="45" t="e">
        <f>I124*Q24</f>
        <v>#REF!</v>
      </c>
      <c r="R124" s="46" t="e">
        <f>I124*R24</f>
        <v>#REF!</v>
      </c>
      <c r="S124" s="47" t="e">
        <f>I124*S24</f>
        <v>#REF!</v>
      </c>
      <c r="T124" s="45" t="e">
        <f>I124*T24</f>
        <v>#REF!</v>
      </c>
      <c r="U124" s="48" t="e">
        <f>I124*U24</f>
        <v>#REF!</v>
      </c>
      <c r="V124" s="44" t="e">
        <f>I124*V24</f>
        <v>#REF!</v>
      </c>
      <c r="W124" s="45" t="e">
        <f>I124*W24</f>
        <v>#REF!</v>
      </c>
      <c r="X124" s="48" t="e">
        <f>I124*X24</f>
        <v>#REF!</v>
      </c>
      <c r="Y124" s="44" t="e">
        <f>I124*Y24</f>
        <v>#REF!</v>
      </c>
      <c r="Z124" s="45" t="e">
        <f>I124*Z24</f>
        <v>#REF!</v>
      </c>
      <c r="AA124" s="46" t="e">
        <f>I124*AA24</f>
        <v>#REF!</v>
      </c>
      <c r="AB124" s="44" t="e">
        <f>I124*AB24</f>
        <v>#REF!</v>
      </c>
      <c r="AC124" s="45" t="e">
        <f>I124*AC24</f>
        <v>#REF!</v>
      </c>
      <c r="AD124" s="46" t="e">
        <f>I124*AD24</f>
        <v>#REF!</v>
      </c>
      <c r="AE124" s="237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</row>
    <row r="125" spans="1:54" customHeight="1" ht="15.75">
      <c r="A125" s="455"/>
      <c r="B125" s="417" t="str">
        <f>+B25</f>
        <v>GAS-LHD</v>
      </c>
      <c r="C125" s="159" t="str">
        <f>+C25</f>
        <v>82111-4DV00</v>
      </c>
      <c r="D125" s="160">
        <f>D25</f>
        <v/>
      </c>
      <c r="E125" s="27">
        <f>E25</f>
        <v/>
      </c>
      <c r="F125" s="27">
        <f>F25</f>
        <v/>
      </c>
      <c r="G125" s="27">
        <f>G25</f>
        <v/>
      </c>
      <c r="H125" s="28">
        <f>$H25</f>
        <v/>
      </c>
      <c r="I125" s="28" t="e">
        <f>VLOOKUP(C125,C25:C79,7,0)</f>
        <v>#REF!</v>
      </c>
      <c r="J125" s="44" t="e">
        <f>I125*J25</f>
        <v>#REF!</v>
      </c>
      <c r="K125" s="45" t="e">
        <f>I125*K25</f>
        <v>#REF!</v>
      </c>
      <c r="L125" s="48" t="e">
        <f>I125*L25</f>
        <v>#REF!</v>
      </c>
      <c r="M125" s="44" t="e">
        <f>I125*M25</f>
        <v>#REF!</v>
      </c>
      <c r="N125" s="45" t="e">
        <f>I125*N25</f>
        <v>#REF!</v>
      </c>
      <c r="O125" s="48" t="e">
        <f>I125*O25</f>
        <v>#REF!</v>
      </c>
      <c r="P125" s="44" t="e">
        <f>I125*P25</f>
        <v>#REF!</v>
      </c>
      <c r="Q125" s="45" t="e">
        <f>I125*Q25</f>
        <v>#REF!</v>
      </c>
      <c r="R125" s="46" t="e">
        <f>I125*R25</f>
        <v>#REF!</v>
      </c>
      <c r="S125" s="47" t="e">
        <f>I125*S25</f>
        <v>#REF!</v>
      </c>
      <c r="T125" s="45" t="e">
        <f>I125*T25</f>
        <v>#REF!</v>
      </c>
      <c r="U125" s="48" t="e">
        <f>I125*U25</f>
        <v>#REF!</v>
      </c>
      <c r="V125" s="44" t="e">
        <f>I125*V25</f>
        <v>#REF!</v>
      </c>
      <c r="W125" s="45" t="e">
        <f>I125*W25</f>
        <v>#REF!</v>
      </c>
      <c r="X125" s="48" t="e">
        <f>I125*X25</f>
        <v>#REF!</v>
      </c>
      <c r="Y125" s="44" t="e">
        <f>I125*Y25</f>
        <v>#REF!</v>
      </c>
      <c r="Z125" s="45" t="e">
        <f>I125*Z25</f>
        <v>#REF!</v>
      </c>
      <c r="AA125" s="46" t="e">
        <f>I125*AA25</f>
        <v>#REF!</v>
      </c>
      <c r="AB125" s="44" t="e">
        <f>I125*AB25</f>
        <v>#REF!</v>
      </c>
      <c r="AC125" s="45" t="e">
        <f>I125*AC25</f>
        <v>#REF!</v>
      </c>
      <c r="AD125" s="46" t="e">
        <f>I125*AD25</f>
        <v>#REF!</v>
      </c>
      <c r="AE125" s="237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</row>
    <row r="126" spans="1:54" customHeight="1" ht="15.75">
      <c r="A126" s="455"/>
      <c r="B126" s="417" t="str">
        <f>+B26</f>
        <v>HEV-LHD</v>
      </c>
      <c r="C126" s="159" t="str">
        <f>+C26</f>
        <v>82111-4DV10</v>
      </c>
      <c r="D126" s="160">
        <f>D26</f>
        <v/>
      </c>
      <c r="E126" s="27">
        <f>E26</f>
        <v/>
      </c>
      <c r="F126" s="27">
        <f>F26</f>
        <v/>
      </c>
      <c r="G126" s="27">
        <f>G26</f>
        <v/>
      </c>
      <c r="H126" s="28">
        <f>$H26</f>
        <v/>
      </c>
      <c r="I126" s="28" t="e">
        <f>VLOOKUP(C126,C26:C80,7,0)</f>
        <v>#REF!</v>
      </c>
      <c r="J126" s="44" t="e">
        <f>I126*J26</f>
        <v>#REF!</v>
      </c>
      <c r="K126" s="45" t="e">
        <f>I126*K26</f>
        <v>#REF!</v>
      </c>
      <c r="L126" s="48" t="e">
        <f>I126*L26</f>
        <v>#REF!</v>
      </c>
      <c r="M126" s="44" t="e">
        <f>I126*M26</f>
        <v>#REF!</v>
      </c>
      <c r="N126" s="45" t="e">
        <f>I126*N26</f>
        <v>#REF!</v>
      </c>
      <c r="O126" s="48" t="e">
        <f>I126*O26</f>
        <v>#REF!</v>
      </c>
      <c r="P126" s="44" t="e">
        <f>I126*P26</f>
        <v>#REF!</v>
      </c>
      <c r="Q126" s="45" t="e">
        <f>I126*Q26</f>
        <v>#REF!</v>
      </c>
      <c r="R126" s="46" t="e">
        <f>I126*R26</f>
        <v>#REF!</v>
      </c>
      <c r="S126" s="47" t="e">
        <f>I126*S26</f>
        <v>#REF!</v>
      </c>
      <c r="T126" s="45" t="e">
        <f>I126*T26</f>
        <v>#REF!</v>
      </c>
      <c r="U126" s="48" t="e">
        <f>I126*U26</f>
        <v>#REF!</v>
      </c>
      <c r="V126" s="44" t="e">
        <f>I126*V26</f>
        <v>#REF!</v>
      </c>
      <c r="W126" s="45" t="e">
        <f>I126*W26</f>
        <v>#REF!</v>
      </c>
      <c r="X126" s="48" t="e">
        <f>I126*X26</f>
        <v>#REF!</v>
      </c>
      <c r="Y126" s="44" t="e">
        <f>I126*Y26</f>
        <v>#REF!</v>
      </c>
      <c r="Z126" s="45" t="e">
        <f>I126*Z26</f>
        <v>#REF!</v>
      </c>
      <c r="AA126" s="46" t="e">
        <f>I126*AA26</f>
        <v>#REF!</v>
      </c>
      <c r="AB126" s="44" t="e">
        <f>I126*AB26</f>
        <v>#REF!</v>
      </c>
      <c r="AC126" s="45" t="e">
        <f>I126*AC26</f>
        <v>#REF!</v>
      </c>
      <c r="AD126" s="46" t="e">
        <f>I126*AD26</f>
        <v>#REF!</v>
      </c>
      <c r="AE126" s="237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</row>
    <row r="127" spans="1:54" customHeight="1" ht="15.75" s="12" customFormat="1">
      <c r="A127" s="455"/>
      <c r="B127" s="417" t="str">
        <f>+B27</f>
        <v>HEV-RHD</v>
      </c>
      <c r="C127" s="159" t="str">
        <f>+C27</f>
        <v>82111-4DV30</v>
      </c>
      <c r="D127" s="55">
        <f>D27</f>
        <v/>
      </c>
      <c r="E127" s="27">
        <f>E27</f>
        <v/>
      </c>
      <c r="F127" s="27">
        <f>F27</f>
        <v/>
      </c>
      <c r="G127" s="27">
        <f>G27</f>
        <v/>
      </c>
      <c r="H127" s="28">
        <f>$H27</f>
        <v/>
      </c>
      <c r="I127" s="28" t="e">
        <f>VLOOKUP(C127,C27:C81,7,0)</f>
        <v>#REF!</v>
      </c>
      <c r="J127" s="44" t="e">
        <f>I127*J27</f>
        <v>#REF!</v>
      </c>
      <c r="K127" s="45" t="e">
        <f>I127*K27</f>
        <v>#REF!</v>
      </c>
      <c r="L127" s="48" t="e">
        <f>I127*L27</f>
        <v>#REF!</v>
      </c>
      <c r="M127" s="44" t="e">
        <f>I127*M27</f>
        <v>#REF!</v>
      </c>
      <c r="N127" s="45" t="e">
        <f>I127*N27</f>
        <v>#REF!</v>
      </c>
      <c r="O127" s="48" t="e">
        <f>I127*O27</f>
        <v>#REF!</v>
      </c>
      <c r="P127" s="44" t="e">
        <f>I127*P27</f>
        <v>#REF!</v>
      </c>
      <c r="Q127" s="45" t="e">
        <f>I127*Q27</f>
        <v>#REF!</v>
      </c>
      <c r="R127" s="46" t="e">
        <f>I127*R27</f>
        <v>#REF!</v>
      </c>
      <c r="S127" s="47" t="e">
        <f>I127*S27</f>
        <v>#REF!</v>
      </c>
      <c r="T127" s="45" t="e">
        <f>I127*T27</f>
        <v>#REF!</v>
      </c>
      <c r="U127" s="48" t="e">
        <f>I127*U27</f>
        <v>#REF!</v>
      </c>
      <c r="V127" s="44" t="e">
        <f>I127*V27</f>
        <v>#REF!</v>
      </c>
      <c r="W127" s="45" t="e">
        <f>I127*W27</f>
        <v>#REF!</v>
      </c>
      <c r="X127" s="48" t="e">
        <f>I127*X27</f>
        <v>#REF!</v>
      </c>
      <c r="Y127" s="44" t="e">
        <f>I127*Y27</f>
        <v>#REF!</v>
      </c>
      <c r="Z127" s="45" t="e">
        <f>I127*Z27</f>
        <v>#REF!</v>
      </c>
      <c r="AA127" s="46" t="e">
        <f>I127*AA27</f>
        <v>#REF!</v>
      </c>
      <c r="AB127" s="44" t="e">
        <f>I127*AB27</f>
        <v>#REF!</v>
      </c>
      <c r="AC127" s="45" t="e">
        <f>I127*AC27</f>
        <v>#REF!</v>
      </c>
      <c r="AD127" s="46" t="e">
        <f>I127*AD27</f>
        <v>#REF!</v>
      </c>
      <c r="AE127" s="237"/>
    </row>
    <row r="128" spans="1:54" customHeight="1" ht="15.75" hidden="true" s="12" customFormat="1">
      <c r="A128" s="455"/>
      <c r="B128" s="417"/>
      <c r="C128" s="159"/>
      <c r="D128" s="55"/>
      <c r="E128" s="27"/>
      <c r="F128" s="27"/>
      <c r="G128" s="27"/>
      <c r="H128" s="28"/>
      <c r="I128" s="156"/>
      <c r="J128" s="363"/>
      <c r="K128" s="51"/>
      <c r="L128" s="186"/>
      <c r="M128" s="363"/>
      <c r="N128" s="51"/>
      <c r="O128" s="186"/>
      <c r="P128" s="363"/>
      <c r="Q128" s="51"/>
      <c r="R128" s="52"/>
      <c r="S128" s="364"/>
      <c r="T128" s="51"/>
      <c r="U128" s="186"/>
      <c r="V128" s="363"/>
      <c r="W128" s="51"/>
      <c r="X128" s="186"/>
      <c r="Y128" s="363"/>
      <c r="Z128" s="51"/>
      <c r="AA128" s="52"/>
      <c r="AB128" s="363"/>
      <c r="AC128" s="51"/>
      <c r="AD128" s="52"/>
      <c r="AE128" s="237"/>
    </row>
    <row r="129" spans="1:54" customHeight="1" ht="15.75" hidden="true">
      <c r="A129" s="455"/>
      <c r="B129" s="417"/>
      <c r="C129" s="159"/>
      <c r="D129" s="161"/>
      <c r="E129" s="27"/>
      <c r="F129" s="27"/>
      <c r="G129" s="27"/>
      <c r="H129" s="28"/>
      <c r="I129" s="156"/>
      <c r="J129" s="363"/>
      <c r="K129" s="51"/>
      <c r="L129" s="186"/>
      <c r="M129" s="363"/>
      <c r="N129" s="51"/>
      <c r="O129" s="186"/>
      <c r="P129" s="363"/>
      <c r="Q129" s="51"/>
      <c r="R129" s="52"/>
      <c r="S129" s="364"/>
      <c r="T129" s="51"/>
      <c r="U129" s="186"/>
      <c r="V129" s="363"/>
      <c r="W129" s="51"/>
      <c r="X129" s="186"/>
      <c r="Y129" s="363"/>
      <c r="Z129" s="51"/>
      <c r="AA129" s="52"/>
      <c r="AB129" s="363"/>
      <c r="AC129" s="51"/>
      <c r="AD129" s="52"/>
      <c r="AE129" s="237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</row>
    <row r="130" spans="1:54" customHeight="1" ht="15.75" hidden="true" s="12" customFormat="1">
      <c r="A130" s="455"/>
      <c r="B130" s="417"/>
      <c r="C130" s="159"/>
      <c r="D130" s="55"/>
      <c r="E130" s="27"/>
      <c r="F130" s="27"/>
      <c r="G130" s="27"/>
      <c r="H130" s="28"/>
      <c r="I130" s="156"/>
      <c r="J130" s="363"/>
      <c r="K130" s="51"/>
      <c r="L130" s="186"/>
      <c r="M130" s="363"/>
      <c r="N130" s="51"/>
      <c r="O130" s="186"/>
      <c r="P130" s="363"/>
      <c r="Q130" s="51"/>
      <c r="R130" s="52"/>
      <c r="S130" s="364"/>
      <c r="T130" s="51"/>
      <c r="U130" s="186"/>
      <c r="V130" s="363"/>
      <c r="W130" s="51"/>
      <c r="X130" s="186"/>
      <c r="Y130" s="363"/>
      <c r="Z130" s="51"/>
      <c r="AA130" s="52"/>
      <c r="AB130" s="363"/>
      <c r="AC130" s="51"/>
      <c r="AD130" s="52"/>
      <c r="AE130" s="237"/>
    </row>
    <row r="131" spans="1:54" customHeight="1" ht="15.75" hidden="true" s="12" customFormat="1">
      <c r="A131" s="455"/>
      <c r="B131" s="417"/>
      <c r="C131" s="159"/>
      <c r="D131" s="55"/>
      <c r="E131" s="27"/>
      <c r="F131" s="27"/>
      <c r="G131" s="27"/>
      <c r="H131" s="28"/>
      <c r="I131" s="156"/>
      <c r="J131" s="363"/>
      <c r="K131" s="51"/>
      <c r="L131" s="186"/>
      <c r="M131" s="363"/>
      <c r="N131" s="51"/>
      <c r="O131" s="186"/>
      <c r="P131" s="363"/>
      <c r="Q131" s="51"/>
      <c r="R131" s="52"/>
      <c r="S131" s="364"/>
      <c r="T131" s="51"/>
      <c r="U131" s="186"/>
      <c r="V131" s="363"/>
      <c r="W131" s="51"/>
      <c r="X131" s="186"/>
      <c r="Y131" s="363"/>
      <c r="Z131" s="51"/>
      <c r="AA131" s="52"/>
      <c r="AB131" s="363"/>
      <c r="AC131" s="51"/>
      <c r="AD131" s="52"/>
      <c r="AE131" s="237"/>
    </row>
    <row r="132" spans="1:54" customHeight="1" ht="15.75" hidden="true">
      <c r="A132" s="455"/>
      <c r="B132" s="417"/>
      <c r="C132" s="159"/>
      <c r="D132" s="55"/>
      <c r="E132" s="27"/>
      <c r="F132" s="27"/>
      <c r="G132" s="27"/>
      <c r="H132" s="28"/>
      <c r="I132" s="156"/>
      <c r="J132" s="363"/>
      <c r="K132" s="51"/>
      <c r="L132" s="186"/>
      <c r="M132" s="363"/>
      <c r="N132" s="51"/>
      <c r="O132" s="186"/>
      <c r="P132" s="363"/>
      <c r="Q132" s="51"/>
      <c r="R132" s="52"/>
      <c r="S132" s="364"/>
      <c r="T132" s="51"/>
      <c r="U132" s="186"/>
      <c r="V132" s="363"/>
      <c r="W132" s="51"/>
      <c r="X132" s="186"/>
      <c r="Y132" s="363"/>
      <c r="Z132" s="51"/>
      <c r="AA132" s="52"/>
      <c r="AB132" s="363"/>
      <c r="AC132" s="51"/>
      <c r="AD132" s="52"/>
      <c r="AE132" s="237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</row>
    <row r="133" spans="1:54" customHeight="1" ht="15.75" hidden="true">
      <c r="A133" s="455"/>
      <c r="B133" s="417"/>
      <c r="C133" s="159"/>
      <c r="D133" s="55"/>
      <c r="E133" s="27"/>
      <c r="F133" s="27"/>
      <c r="G133" s="27"/>
      <c r="H133" s="28"/>
      <c r="I133" s="156"/>
      <c r="J133" s="363"/>
      <c r="K133" s="51"/>
      <c r="L133" s="186"/>
      <c r="M133" s="363"/>
      <c r="N133" s="51"/>
      <c r="O133" s="186"/>
      <c r="P133" s="363"/>
      <c r="Q133" s="51"/>
      <c r="R133" s="52"/>
      <c r="S133" s="364"/>
      <c r="T133" s="51"/>
      <c r="U133" s="186"/>
      <c r="V133" s="363"/>
      <c r="W133" s="51"/>
      <c r="X133" s="186"/>
      <c r="Y133" s="363"/>
      <c r="Z133" s="51"/>
      <c r="AA133" s="52"/>
      <c r="AB133" s="363"/>
      <c r="AC133" s="51"/>
      <c r="AD133" s="52"/>
      <c r="AE133" s="237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</row>
    <row r="134" spans="1:54" customHeight="1" ht="15.75" hidden="true">
      <c r="A134" s="455"/>
      <c r="B134" s="417"/>
      <c r="C134" s="159"/>
      <c r="D134" s="55"/>
      <c r="E134" s="27"/>
      <c r="F134" s="27"/>
      <c r="G134" s="27"/>
      <c r="H134" s="28"/>
      <c r="I134" s="156"/>
      <c r="J134" s="363"/>
      <c r="K134" s="51"/>
      <c r="L134" s="186"/>
      <c r="M134" s="363"/>
      <c r="N134" s="51"/>
      <c r="O134" s="186"/>
      <c r="P134" s="363"/>
      <c r="Q134" s="51"/>
      <c r="R134" s="52"/>
      <c r="S134" s="364"/>
      <c r="T134" s="51"/>
      <c r="U134" s="186"/>
      <c r="V134" s="363"/>
      <c r="W134" s="51"/>
      <c r="X134" s="186"/>
      <c r="Y134" s="363"/>
      <c r="Z134" s="51"/>
      <c r="AA134" s="52"/>
      <c r="AB134" s="363"/>
      <c r="AC134" s="51"/>
      <c r="AD134" s="52"/>
      <c r="AE134" s="237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</row>
    <row r="135" spans="1:54" customHeight="1" ht="15.75" hidden="true">
      <c r="A135" s="456"/>
      <c r="B135" s="417"/>
      <c r="C135" s="159"/>
      <c r="D135" s="55"/>
      <c r="E135" s="27"/>
      <c r="F135" s="27"/>
      <c r="G135" s="27"/>
      <c r="H135" s="28"/>
      <c r="I135" s="156"/>
      <c r="J135" s="363"/>
      <c r="K135" s="51"/>
      <c r="L135" s="186"/>
      <c r="M135" s="363"/>
      <c r="N135" s="51"/>
      <c r="O135" s="186"/>
      <c r="P135" s="363"/>
      <c r="Q135" s="51"/>
      <c r="R135" s="52"/>
      <c r="S135" s="364"/>
      <c r="T135" s="51"/>
      <c r="U135" s="186"/>
      <c r="V135" s="363"/>
      <c r="W135" s="51"/>
      <c r="X135" s="186"/>
      <c r="Y135" s="363"/>
      <c r="Z135" s="51"/>
      <c r="AA135" s="52"/>
      <c r="AB135" s="363"/>
      <c r="AC135" s="51"/>
      <c r="AD135" s="52"/>
      <c r="AE135" s="274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</row>
    <row r="136" spans="1:54" customHeight="1" ht="15.75">
      <c r="A136" s="441" t="s">
        <v>66</v>
      </c>
      <c r="B136" s="411" t="str">
        <f>+B36</f>
        <v>HEV-LHD</v>
      </c>
      <c r="C136" s="159" t="str">
        <f>+C36</f>
        <v>82111-4DG90</v>
      </c>
      <c r="D136" s="55">
        <f>D36</f>
        <v/>
      </c>
      <c r="E136" s="27">
        <f>E36</f>
        <v/>
      </c>
      <c r="F136" s="27">
        <f>F36</f>
        <v/>
      </c>
      <c r="G136" s="27">
        <f>G36</f>
        <v/>
      </c>
      <c r="H136" s="28">
        <f>$H36</f>
        <v/>
      </c>
      <c r="I136" s="28" t="e">
        <f>VLOOKUP(C136,C36:C90,7,0)</f>
        <v>#REF!</v>
      </c>
      <c r="J136" s="44" t="e">
        <f>I136*J36</f>
        <v>#REF!</v>
      </c>
      <c r="K136" s="45" t="e">
        <f>I136*K36</f>
        <v>#REF!</v>
      </c>
      <c r="L136" s="48" t="e">
        <f>I136*L36</f>
        <v>#REF!</v>
      </c>
      <c r="M136" s="44" t="e">
        <f>I136*M36</f>
        <v>#REF!</v>
      </c>
      <c r="N136" s="45" t="e">
        <f>I136*N36</f>
        <v>#REF!</v>
      </c>
      <c r="O136" s="48" t="e">
        <f>I136*O36</f>
        <v>#REF!</v>
      </c>
      <c r="P136" s="44" t="e">
        <f>I136*P36</f>
        <v>#REF!</v>
      </c>
      <c r="Q136" s="45" t="e">
        <f>I136*Q36</f>
        <v>#REF!</v>
      </c>
      <c r="R136" s="46" t="e">
        <f>I136*R36</f>
        <v>#REF!</v>
      </c>
      <c r="S136" s="47" t="e">
        <f>I136*S36</f>
        <v>#REF!</v>
      </c>
      <c r="T136" s="45" t="e">
        <f>I136*T36</f>
        <v>#REF!</v>
      </c>
      <c r="U136" s="48" t="e">
        <f>I136*U36</f>
        <v>#REF!</v>
      </c>
      <c r="V136" s="44" t="e">
        <f>I136*V36</f>
        <v>#REF!</v>
      </c>
      <c r="W136" s="45" t="e">
        <f>I136*W36</f>
        <v>#REF!</v>
      </c>
      <c r="X136" s="48" t="e">
        <f>I136*X36</f>
        <v>#REF!</v>
      </c>
      <c r="Y136" s="44" t="e">
        <f>I136*Y36</f>
        <v>#REF!</v>
      </c>
      <c r="Z136" s="45" t="e">
        <f>I136*Z36</f>
        <v>#REF!</v>
      </c>
      <c r="AA136" s="46" t="e">
        <f>I136*AA36</f>
        <v>#REF!</v>
      </c>
      <c r="AB136" s="44" t="e">
        <f>I136*AB36</f>
        <v>#REF!</v>
      </c>
      <c r="AC136" s="45" t="e">
        <f>I136*AC36</f>
        <v>#REF!</v>
      </c>
      <c r="AD136" s="46" t="e">
        <f>I136*AD36</f>
        <v>#REF!</v>
      </c>
      <c r="AE136" s="56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</row>
    <row r="137" spans="1:54" customHeight="1" ht="15.75">
      <c r="A137" s="442"/>
      <c r="B137" s="411" t="str">
        <f>+B37</f>
        <v>HEV-LHD</v>
      </c>
      <c r="C137" s="159" t="str">
        <f>+C37</f>
        <v>82111-4DJ00</v>
      </c>
      <c r="D137" s="55">
        <f>D37</f>
        <v/>
      </c>
      <c r="E137" s="27">
        <f>E37</f>
        <v/>
      </c>
      <c r="F137" s="27">
        <f>F37</f>
        <v/>
      </c>
      <c r="G137" s="27">
        <f>G37</f>
        <v/>
      </c>
      <c r="H137" s="28">
        <f>$H37</f>
        <v/>
      </c>
      <c r="I137" s="28" t="e">
        <f>VLOOKUP(C137,C37:C91,7,0)</f>
        <v>#REF!</v>
      </c>
      <c r="J137" s="44" t="e">
        <f>I137*J37</f>
        <v>#REF!</v>
      </c>
      <c r="K137" s="45" t="e">
        <f>I137*K37</f>
        <v>#REF!</v>
      </c>
      <c r="L137" s="48" t="e">
        <f>I137*L37</f>
        <v>#REF!</v>
      </c>
      <c r="M137" s="44" t="e">
        <f>I137*M37</f>
        <v>#REF!</v>
      </c>
      <c r="N137" s="45" t="e">
        <f>I137*N37</f>
        <v>#REF!</v>
      </c>
      <c r="O137" s="48" t="e">
        <f>I137*O37</f>
        <v>#REF!</v>
      </c>
      <c r="P137" s="44" t="e">
        <f>I137*P37</f>
        <v>#REF!</v>
      </c>
      <c r="Q137" s="45" t="e">
        <f>I137*Q37</f>
        <v>#REF!</v>
      </c>
      <c r="R137" s="46" t="e">
        <f>I137*R37</f>
        <v>#REF!</v>
      </c>
      <c r="S137" s="47" t="e">
        <f>I137*S37</f>
        <v>#REF!</v>
      </c>
      <c r="T137" s="45" t="e">
        <f>I137*T37</f>
        <v>#REF!</v>
      </c>
      <c r="U137" s="48" t="e">
        <f>I137*U37</f>
        <v>#REF!</v>
      </c>
      <c r="V137" s="44" t="e">
        <f>I137*V37</f>
        <v>#REF!</v>
      </c>
      <c r="W137" s="45" t="e">
        <f>I137*W37</f>
        <v>#REF!</v>
      </c>
      <c r="X137" s="48" t="e">
        <f>I137*X37</f>
        <v>#REF!</v>
      </c>
      <c r="Y137" s="44" t="e">
        <f>I137*Y37</f>
        <v>#REF!</v>
      </c>
      <c r="Z137" s="45" t="e">
        <f>I137*Z37</f>
        <v>#REF!</v>
      </c>
      <c r="AA137" s="46" t="e">
        <f>I137*AA37</f>
        <v>#REF!</v>
      </c>
      <c r="AB137" s="44" t="e">
        <f>I137*AB37</f>
        <v>#REF!</v>
      </c>
      <c r="AC137" s="45" t="e">
        <f>I137*AC37</f>
        <v>#REF!</v>
      </c>
      <c r="AD137" s="46" t="e">
        <f>I137*AD37</f>
        <v>#REF!</v>
      </c>
      <c r="AE137" s="53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</row>
    <row r="138" spans="1:54" customHeight="1" ht="15.75">
      <c r="A138" s="442"/>
      <c r="B138" s="411" t="str">
        <f>+B38</f>
        <v>GAS-LHD</v>
      </c>
      <c r="C138" s="159" t="str">
        <f>+C38</f>
        <v>82111-4DL51</v>
      </c>
      <c r="D138" s="55">
        <f>D38</f>
        <v/>
      </c>
      <c r="E138" s="27">
        <f>E38</f>
        <v/>
      </c>
      <c r="F138" s="27">
        <f>F38</f>
        <v/>
      </c>
      <c r="G138" s="27">
        <f>G38</f>
        <v/>
      </c>
      <c r="H138" s="28">
        <f>$H38</f>
        <v/>
      </c>
      <c r="I138" s="28" t="e">
        <f>VLOOKUP(C138,C38:C92,7,0)</f>
        <v>#REF!</v>
      </c>
      <c r="J138" s="44" t="e">
        <f>I138*J38</f>
        <v>#REF!</v>
      </c>
      <c r="K138" s="45" t="e">
        <f>I138*K38</f>
        <v>#REF!</v>
      </c>
      <c r="L138" s="48" t="e">
        <f>I138*L38</f>
        <v>#REF!</v>
      </c>
      <c r="M138" s="44" t="e">
        <f>I138*M38</f>
        <v>#REF!</v>
      </c>
      <c r="N138" s="45" t="e">
        <f>I138*N38</f>
        <v>#REF!</v>
      </c>
      <c r="O138" s="48" t="e">
        <f>I138*O38</f>
        <v>#REF!</v>
      </c>
      <c r="P138" s="44" t="e">
        <f>I138*P38</f>
        <v>#REF!</v>
      </c>
      <c r="Q138" s="45" t="e">
        <f>I138*Q38</f>
        <v>#REF!</v>
      </c>
      <c r="R138" s="46" t="e">
        <f>I138*R38</f>
        <v>#REF!</v>
      </c>
      <c r="S138" s="47" t="e">
        <f>I138*S38</f>
        <v>#REF!</v>
      </c>
      <c r="T138" s="45" t="e">
        <f>I138*T38</f>
        <v>#REF!</v>
      </c>
      <c r="U138" s="48" t="e">
        <f>I138*U38</f>
        <v>#REF!</v>
      </c>
      <c r="V138" s="44" t="e">
        <f>I138*V38</f>
        <v>#REF!</v>
      </c>
      <c r="W138" s="45" t="e">
        <f>I138*W38</f>
        <v>#REF!</v>
      </c>
      <c r="X138" s="48" t="e">
        <f>I138*X38</f>
        <v>#REF!</v>
      </c>
      <c r="Y138" s="44" t="e">
        <f>I138*Y38</f>
        <v>#REF!</v>
      </c>
      <c r="Z138" s="45" t="e">
        <f>I138*Z38</f>
        <v>#REF!</v>
      </c>
      <c r="AA138" s="46" t="e">
        <f>I138*AA38</f>
        <v>#REF!</v>
      </c>
      <c r="AB138" s="44" t="e">
        <f>I138*AB38</f>
        <v>#REF!</v>
      </c>
      <c r="AC138" s="45" t="e">
        <f>I138*AC38</f>
        <v>#REF!</v>
      </c>
      <c r="AD138" s="46" t="e">
        <f>I138*AD38</f>
        <v>#REF!</v>
      </c>
      <c r="AE138" s="53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</row>
    <row r="139" spans="1:54" customHeight="1" ht="15.75">
      <c r="A139" s="442"/>
      <c r="B139" s="411" t="str">
        <f>+B39</f>
        <v>GAS-LHD</v>
      </c>
      <c r="C139" s="159" t="str">
        <f>+C39</f>
        <v>82111-4DL61</v>
      </c>
      <c r="D139" s="55">
        <f>D39</f>
        <v/>
      </c>
      <c r="E139" s="27">
        <f>E39</f>
        <v/>
      </c>
      <c r="F139" s="27">
        <f>F39</f>
        <v/>
      </c>
      <c r="G139" s="27">
        <f>G39</f>
        <v/>
      </c>
      <c r="H139" s="28">
        <f>$H39</f>
        <v/>
      </c>
      <c r="I139" s="28" t="e">
        <f>VLOOKUP(C139,C39:C93,7,0)</f>
        <v>#REF!</v>
      </c>
      <c r="J139" s="44" t="e">
        <f>I139*J39</f>
        <v>#REF!</v>
      </c>
      <c r="K139" s="45" t="e">
        <f>I139*K39</f>
        <v>#REF!</v>
      </c>
      <c r="L139" s="48" t="e">
        <f>I139*L39</f>
        <v>#REF!</v>
      </c>
      <c r="M139" s="44" t="e">
        <f>I139*M39</f>
        <v>#REF!</v>
      </c>
      <c r="N139" s="45" t="e">
        <f>I139*N39</f>
        <v>#REF!</v>
      </c>
      <c r="O139" s="48" t="e">
        <f>I139*O39</f>
        <v>#REF!</v>
      </c>
      <c r="P139" s="44" t="e">
        <f>I139*P39</f>
        <v>#REF!</v>
      </c>
      <c r="Q139" s="45" t="e">
        <f>I139*Q39</f>
        <v>#REF!</v>
      </c>
      <c r="R139" s="46" t="e">
        <f>I139*R39</f>
        <v>#REF!</v>
      </c>
      <c r="S139" s="47" t="e">
        <f>I139*S39</f>
        <v>#REF!</v>
      </c>
      <c r="T139" s="45" t="e">
        <f>I139*T39</f>
        <v>#REF!</v>
      </c>
      <c r="U139" s="48" t="e">
        <f>I139*U39</f>
        <v>#REF!</v>
      </c>
      <c r="V139" s="44" t="e">
        <f>I139*V39</f>
        <v>#REF!</v>
      </c>
      <c r="W139" s="45" t="e">
        <f>I139*W39</f>
        <v>#REF!</v>
      </c>
      <c r="X139" s="48" t="e">
        <f>I139*X39</f>
        <v>#REF!</v>
      </c>
      <c r="Y139" s="44" t="e">
        <f>I139*Y39</f>
        <v>#REF!</v>
      </c>
      <c r="Z139" s="45" t="e">
        <f>I139*Z39</f>
        <v>#REF!</v>
      </c>
      <c r="AA139" s="46" t="e">
        <f>I139*AA39</f>
        <v>#REF!</v>
      </c>
      <c r="AB139" s="44" t="e">
        <f>I139*AB39</f>
        <v>#REF!</v>
      </c>
      <c r="AC139" s="45" t="e">
        <f>I139*AC39</f>
        <v>#REF!</v>
      </c>
      <c r="AD139" s="46" t="e">
        <f>I139*AD39</f>
        <v>#REF!</v>
      </c>
      <c r="AE139" s="53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</row>
    <row r="140" spans="1:54" customHeight="1" ht="15.75">
      <c r="A140" s="442"/>
      <c r="B140" s="411" t="str">
        <f>+B40</f>
        <v>GAS-LHD</v>
      </c>
      <c r="C140" s="159" t="str">
        <f>+C40</f>
        <v>82111-4DL71</v>
      </c>
      <c r="D140" s="55">
        <f>D40</f>
        <v/>
      </c>
      <c r="E140" s="27">
        <f>E40</f>
        <v/>
      </c>
      <c r="F140" s="27">
        <f>F40</f>
        <v/>
      </c>
      <c r="G140" s="27">
        <f>G40</f>
        <v/>
      </c>
      <c r="H140" s="28">
        <f>$H40</f>
        <v/>
      </c>
      <c r="I140" s="28" t="e">
        <f>VLOOKUP(C140,C40:C94,7,0)</f>
        <v>#REF!</v>
      </c>
      <c r="J140" s="44" t="e">
        <f>I140*J40</f>
        <v>#REF!</v>
      </c>
      <c r="K140" s="45" t="e">
        <f>I140*K40</f>
        <v>#REF!</v>
      </c>
      <c r="L140" s="48" t="e">
        <f>I140*L40</f>
        <v>#REF!</v>
      </c>
      <c r="M140" s="44" t="e">
        <f>I140*M40</f>
        <v>#REF!</v>
      </c>
      <c r="N140" s="45" t="e">
        <f>I140*N40</f>
        <v>#REF!</v>
      </c>
      <c r="O140" s="48" t="e">
        <f>I140*O40</f>
        <v>#REF!</v>
      </c>
      <c r="P140" s="44" t="e">
        <f>I140*P40</f>
        <v>#REF!</v>
      </c>
      <c r="Q140" s="45" t="e">
        <f>I140*Q40</f>
        <v>#REF!</v>
      </c>
      <c r="R140" s="46" t="e">
        <f>I140*R40</f>
        <v>#REF!</v>
      </c>
      <c r="S140" s="47" t="e">
        <f>I140*S40</f>
        <v>#REF!</v>
      </c>
      <c r="T140" s="45" t="e">
        <f>I140*T40</f>
        <v>#REF!</v>
      </c>
      <c r="U140" s="48" t="e">
        <f>I140*U40</f>
        <v>#REF!</v>
      </c>
      <c r="V140" s="44" t="e">
        <f>I140*V40</f>
        <v>#REF!</v>
      </c>
      <c r="W140" s="45" t="e">
        <f>I140*W40</f>
        <v>#REF!</v>
      </c>
      <c r="X140" s="48" t="e">
        <f>I140*X40</f>
        <v>#REF!</v>
      </c>
      <c r="Y140" s="44" t="e">
        <f>I140*Y40</f>
        <v>#REF!</v>
      </c>
      <c r="Z140" s="45" t="e">
        <f>I140*Z40</f>
        <v>#REF!</v>
      </c>
      <c r="AA140" s="46" t="e">
        <f>I140*AA40</f>
        <v>#REF!</v>
      </c>
      <c r="AB140" s="44" t="e">
        <f>I140*AB40</f>
        <v>#REF!</v>
      </c>
      <c r="AC140" s="45" t="e">
        <f>I140*AC40</f>
        <v>#REF!</v>
      </c>
      <c r="AD140" s="46" t="e">
        <f>I140*AD40</f>
        <v>#REF!</v>
      </c>
      <c r="AE140" s="53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</row>
    <row r="141" spans="1:54" customHeight="1" ht="15.75">
      <c r="A141" s="442"/>
      <c r="B141" s="411" t="str">
        <f>+B41</f>
        <v>HEV-LHD</v>
      </c>
      <c r="C141" s="159" t="str">
        <f>+C41</f>
        <v>82111-4DL81</v>
      </c>
      <c r="D141" s="55">
        <f>D41</f>
        <v/>
      </c>
      <c r="E141" s="27">
        <f>E41</f>
        <v/>
      </c>
      <c r="F141" s="27">
        <f>F41</f>
        <v/>
      </c>
      <c r="G141" s="27">
        <f>G41</f>
        <v/>
      </c>
      <c r="H141" s="28">
        <f>$H41</f>
        <v/>
      </c>
      <c r="I141" s="28" t="e">
        <f>VLOOKUP(C141,C41:C95,7,0)</f>
        <v>#REF!</v>
      </c>
      <c r="J141" s="44" t="e">
        <f>I141*J41</f>
        <v>#REF!</v>
      </c>
      <c r="K141" s="45" t="e">
        <f>I141*K41</f>
        <v>#REF!</v>
      </c>
      <c r="L141" s="48" t="e">
        <f>I141*L41</f>
        <v>#REF!</v>
      </c>
      <c r="M141" s="44" t="e">
        <f>I141*M41</f>
        <v>#REF!</v>
      </c>
      <c r="N141" s="45" t="e">
        <f>I141*N41</f>
        <v>#REF!</v>
      </c>
      <c r="O141" s="48" t="e">
        <f>I141*O41</f>
        <v>#REF!</v>
      </c>
      <c r="P141" s="44" t="e">
        <f>I141*P41</f>
        <v>#REF!</v>
      </c>
      <c r="Q141" s="45" t="e">
        <f>I141*Q41</f>
        <v>#REF!</v>
      </c>
      <c r="R141" s="46" t="e">
        <f>I141*R41</f>
        <v>#REF!</v>
      </c>
      <c r="S141" s="47" t="e">
        <f>I141*S41</f>
        <v>#REF!</v>
      </c>
      <c r="T141" s="45" t="e">
        <f>I141*T41</f>
        <v>#REF!</v>
      </c>
      <c r="U141" s="48" t="e">
        <f>I141*U41</f>
        <v>#REF!</v>
      </c>
      <c r="V141" s="44" t="e">
        <f>I141*V41</f>
        <v>#REF!</v>
      </c>
      <c r="W141" s="45" t="e">
        <f>I141*W41</f>
        <v>#REF!</v>
      </c>
      <c r="X141" s="48" t="e">
        <f>I141*X41</f>
        <v>#REF!</v>
      </c>
      <c r="Y141" s="44" t="e">
        <f>I141*Y41</f>
        <v>#REF!</v>
      </c>
      <c r="Z141" s="45" t="e">
        <f>I141*Z41</f>
        <v>#REF!</v>
      </c>
      <c r="AA141" s="46" t="e">
        <f>I141*AA41</f>
        <v>#REF!</v>
      </c>
      <c r="AB141" s="44" t="e">
        <f>I141*AB41</f>
        <v>#REF!</v>
      </c>
      <c r="AC141" s="45" t="e">
        <f>I141*AC41</f>
        <v>#REF!</v>
      </c>
      <c r="AD141" s="46" t="e">
        <f>I141*AD41</f>
        <v>#REF!</v>
      </c>
      <c r="AE141" s="53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</row>
    <row r="142" spans="1:54" customHeight="1" ht="15.75" s="12" customFormat="1">
      <c r="A142" s="442"/>
      <c r="B142" s="411" t="str">
        <f>+B42</f>
        <v>HEV-LHD</v>
      </c>
      <c r="C142" s="159" t="str">
        <f>+C42</f>
        <v>82111-4DL91</v>
      </c>
      <c r="D142" s="55">
        <f>D42</f>
        <v/>
      </c>
      <c r="E142" s="27">
        <f>E42</f>
        <v/>
      </c>
      <c r="F142" s="27">
        <f>F42</f>
        <v/>
      </c>
      <c r="G142" s="27">
        <f>G42</f>
        <v/>
      </c>
      <c r="H142" s="28">
        <f>$H42</f>
        <v/>
      </c>
      <c r="I142" s="28" t="e">
        <f>VLOOKUP(C142,C42:C96,7,0)</f>
        <v>#REF!</v>
      </c>
      <c r="J142" s="44" t="e">
        <f>I142*J42</f>
        <v>#REF!</v>
      </c>
      <c r="K142" s="45" t="e">
        <f>I142*K42</f>
        <v>#REF!</v>
      </c>
      <c r="L142" s="48" t="e">
        <f>I142*L42</f>
        <v>#REF!</v>
      </c>
      <c r="M142" s="44" t="e">
        <f>I142*M42</f>
        <v>#REF!</v>
      </c>
      <c r="N142" s="45" t="e">
        <f>I142*N42</f>
        <v>#REF!</v>
      </c>
      <c r="O142" s="48" t="e">
        <f>I142*O42</f>
        <v>#REF!</v>
      </c>
      <c r="P142" s="44" t="e">
        <f>I142*P42</f>
        <v>#REF!</v>
      </c>
      <c r="Q142" s="45" t="e">
        <f>I142*Q42</f>
        <v>#REF!</v>
      </c>
      <c r="R142" s="46" t="e">
        <f>I142*R42</f>
        <v>#REF!</v>
      </c>
      <c r="S142" s="47" t="e">
        <f>I142*S42</f>
        <v>#REF!</v>
      </c>
      <c r="T142" s="45" t="e">
        <f>I142*T42</f>
        <v>#REF!</v>
      </c>
      <c r="U142" s="48" t="e">
        <f>I142*U42</f>
        <v>#REF!</v>
      </c>
      <c r="V142" s="44" t="e">
        <f>I142*V42</f>
        <v>#REF!</v>
      </c>
      <c r="W142" s="45" t="e">
        <f>I142*W42</f>
        <v>#REF!</v>
      </c>
      <c r="X142" s="48" t="e">
        <f>I142*X42</f>
        <v>#REF!</v>
      </c>
      <c r="Y142" s="44" t="e">
        <f>I142*Y42</f>
        <v>#REF!</v>
      </c>
      <c r="Z142" s="45" t="e">
        <f>I142*Z42</f>
        <v>#REF!</v>
      </c>
      <c r="AA142" s="46" t="e">
        <f>I142*AA42</f>
        <v>#REF!</v>
      </c>
      <c r="AB142" s="44" t="e">
        <f>I142*AB42</f>
        <v>#REF!</v>
      </c>
      <c r="AC142" s="45" t="e">
        <f>I142*AC42</f>
        <v>#REF!</v>
      </c>
      <c r="AD142" s="46" t="e">
        <f>I142*AD42</f>
        <v>#REF!</v>
      </c>
      <c r="AE142" s="53"/>
    </row>
    <row r="143" spans="1:54" customHeight="1" ht="15.75" s="12" customFormat="1">
      <c r="A143" s="442"/>
      <c r="B143" s="411" t="str">
        <f>+B43</f>
        <v>HEV-LHD</v>
      </c>
      <c r="C143" s="159" t="str">
        <f>+C43</f>
        <v>82111-4DM01</v>
      </c>
      <c r="D143" s="55">
        <f>D43</f>
        <v/>
      </c>
      <c r="E143" s="27">
        <f>E43</f>
        <v/>
      </c>
      <c r="F143" s="27">
        <f>F43</f>
        <v/>
      </c>
      <c r="G143" s="27">
        <f>G43</f>
        <v/>
      </c>
      <c r="H143" s="28">
        <f>$H43</f>
        <v/>
      </c>
      <c r="I143" s="28" t="e">
        <f>VLOOKUP(C143,C43:C97,7,0)</f>
        <v>#REF!</v>
      </c>
      <c r="J143" s="44" t="e">
        <f>I143*J43</f>
        <v>#REF!</v>
      </c>
      <c r="K143" s="45" t="e">
        <f>I143*K43</f>
        <v>#REF!</v>
      </c>
      <c r="L143" s="48" t="e">
        <f>I143*L43</f>
        <v>#REF!</v>
      </c>
      <c r="M143" s="44" t="e">
        <f>I143*M43</f>
        <v>#REF!</v>
      </c>
      <c r="N143" s="45" t="e">
        <f>I143*N43</f>
        <v>#REF!</v>
      </c>
      <c r="O143" s="48" t="e">
        <f>I143*O43</f>
        <v>#REF!</v>
      </c>
      <c r="P143" s="44" t="e">
        <f>I143*P43</f>
        <v>#REF!</v>
      </c>
      <c r="Q143" s="45" t="e">
        <f>I143*Q43</f>
        <v>#REF!</v>
      </c>
      <c r="R143" s="46" t="e">
        <f>I143*R43</f>
        <v>#REF!</v>
      </c>
      <c r="S143" s="47" t="e">
        <f>I143*S43</f>
        <v>#REF!</v>
      </c>
      <c r="T143" s="45" t="e">
        <f>I143*T43</f>
        <v>#REF!</v>
      </c>
      <c r="U143" s="48" t="e">
        <f>I143*U43</f>
        <v>#REF!</v>
      </c>
      <c r="V143" s="44" t="e">
        <f>I143*V43</f>
        <v>#REF!</v>
      </c>
      <c r="W143" s="45" t="e">
        <f>I143*W43</f>
        <v>#REF!</v>
      </c>
      <c r="X143" s="48" t="e">
        <f>I143*X43</f>
        <v>#REF!</v>
      </c>
      <c r="Y143" s="44" t="e">
        <f>I143*Y43</f>
        <v>#REF!</v>
      </c>
      <c r="Z143" s="45" t="e">
        <f>I143*Z43</f>
        <v>#REF!</v>
      </c>
      <c r="AA143" s="46" t="e">
        <f>I143*AA43</f>
        <v>#REF!</v>
      </c>
      <c r="AB143" s="44" t="e">
        <f>I143*AB43</f>
        <v>#REF!</v>
      </c>
      <c r="AC143" s="45" t="e">
        <f>I143*AC43</f>
        <v>#REF!</v>
      </c>
      <c r="AD143" s="46" t="e">
        <f>I143*AD43</f>
        <v>#REF!</v>
      </c>
      <c r="AE143" s="53"/>
    </row>
    <row r="144" spans="1:54" customHeight="1" ht="15.75">
      <c r="A144" s="442"/>
      <c r="B144" s="411" t="str">
        <f>+B44</f>
        <v>HEV-LHD</v>
      </c>
      <c r="C144" s="159" t="str">
        <f>+C44</f>
        <v>82111-4DM11</v>
      </c>
      <c r="D144" s="55">
        <f>D44</f>
        <v/>
      </c>
      <c r="E144" s="27">
        <f>E44</f>
        <v/>
      </c>
      <c r="F144" s="27">
        <f>F44</f>
        <v/>
      </c>
      <c r="G144" s="27">
        <f>G44</f>
        <v/>
      </c>
      <c r="H144" s="28">
        <f>$H44</f>
        <v/>
      </c>
      <c r="I144" s="28" t="e">
        <f>VLOOKUP(C144,C44:C98,7,0)</f>
        <v>#REF!</v>
      </c>
      <c r="J144" s="44" t="e">
        <f>I144*J44</f>
        <v>#REF!</v>
      </c>
      <c r="K144" s="45" t="e">
        <f>I144*K44</f>
        <v>#REF!</v>
      </c>
      <c r="L144" s="48" t="e">
        <f>I144*L44</f>
        <v>#REF!</v>
      </c>
      <c r="M144" s="44" t="e">
        <f>I144*M44</f>
        <v>#REF!</v>
      </c>
      <c r="N144" s="45" t="e">
        <f>I144*N44</f>
        <v>#REF!</v>
      </c>
      <c r="O144" s="48" t="e">
        <f>I144*O44</f>
        <v>#REF!</v>
      </c>
      <c r="P144" s="44" t="e">
        <f>I144*P44</f>
        <v>#REF!</v>
      </c>
      <c r="Q144" s="45" t="e">
        <f>I144*Q44</f>
        <v>#REF!</v>
      </c>
      <c r="R144" s="46" t="e">
        <f>I144*R44</f>
        <v>#REF!</v>
      </c>
      <c r="S144" s="47" t="e">
        <f>I144*S44</f>
        <v>#REF!</v>
      </c>
      <c r="T144" s="45" t="e">
        <f>I144*T44</f>
        <v>#REF!</v>
      </c>
      <c r="U144" s="48" t="e">
        <f>I144*U44</f>
        <v>#REF!</v>
      </c>
      <c r="V144" s="44" t="e">
        <f>I144*V44</f>
        <v>#REF!</v>
      </c>
      <c r="W144" s="45" t="e">
        <f>I144*W44</f>
        <v>#REF!</v>
      </c>
      <c r="X144" s="48" t="e">
        <f>I144*X44</f>
        <v>#REF!</v>
      </c>
      <c r="Y144" s="44" t="e">
        <f>I144*Y44</f>
        <v>#REF!</v>
      </c>
      <c r="Z144" s="45" t="e">
        <f>I144*Z44</f>
        <v>#REF!</v>
      </c>
      <c r="AA144" s="46" t="e">
        <f>I144*AA44</f>
        <v>#REF!</v>
      </c>
      <c r="AB144" s="44" t="e">
        <f>I144*AB44</f>
        <v>#REF!</v>
      </c>
      <c r="AC144" s="45" t="e">
        <f>I144*AC44</f>
        <v>#REF!</v>
      </c>
      <c r="AD144" s="46" t="e">
        <f>I144*AD44</f>
        <v>#REF!</v>
      </c>
      <c r="AE144" s="53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</row>
    <row r="145" spans="1:54" customHeight="1" ht="15.75" s="12" customFormat="1">
      <c r="A145" s="442"/>
      <c r="B145" s="411" t="str">
        <f>+B45</f>
        <v>HEV-LHD</v>
      </c>
      <c r="C145" s="159" t="str">
        <f>+C45</f>
        <v>82111-4DM31</v>
      </c>
      <c r="D145" s="55">
        <f>D45</f>
        <v/>
      </c>
      <c r="E145" s="27">
        <f>E45</f>
        <v/>
      </c>
      <c r="F145" s="27">
        <f>F45</f>
        <v/>
      </c>
      <c r="G145" s="27">
        <f>G45</f>
        <v/>
      </c>
      <c r="H145" s="28">
        <f>$H45</f>
        <v/>
      </c>
      <c r="I145" s="28" t="e">
        <f>VLOOKUP(C145,C45:C99,7,0)</f>
        <v>#REF!</v>
      </c>
      <c r="J145" s="44" t="e">
        <f>I145*J45</f>
        <v>#REF!</v>
      </c>
      <c r="K145" s="45" t="e">
        <f>I145*K45</f>
        <v>#REF!</v>
      </c>
      <c r="L145" s="48" t="e">
        <f>I145*L45</f>
        <v>#REF!</v>
      </c>
      <c r="M145" s="44" t="e">
        <f>I145*M45</f>
        <v>#REF!</v>
      </c>
      <c r="N145" s="45" t="e">
        <f>I145*N45</f>
        <v>#REF!</v>
      </c>
      <c r="O145" s="48" t="e">
        <f>I145*O45</f>
        <v>#REF!</v>
      </c>
      <c r="P145" s="44" t="e">
        <f>I145*P45</f>
        <v>#REF!</v>
      </c>
      <c r="Q145" s="45" t="e">
        <f>I145*Q45</f>
        <v>#REF!</v>
      </c>
      <c r="R145" s="46" t="e">
        <f>I145*R45</f>
        <v>#REF!</v>
      </c>
      <c r="S145" s="47" t="e">
        <f>I145*S45</f>
        <v>#REF!</v>
      </c>
      <c r="T145" s="45" t="e">
        <f>I145*T45</f>
        <v>#REF!</v>
      </c>
      <c r="U145" s="48" t="e">
        <f>I145*U45</f>
        <v>#REF!</v>
      </c>
      <c r="V145" s="44" t="e">
        <f>I145*V45</f>
        <v>#REF!</v>
      </c>
      <c r="W145" s="45" t="e">
        <f>I145*W45</f>
        <v>#REF!</v>
      </c>
      <c r="X145" s="48" t="e">
        <f>I145*X45</f>
        <v>#REF!</v>
      </c>
      <c r="Y145" s="44" t="e">
        <f>I145*Y45</f>
        <v>#REF!</v>
      </c>
      <c r="Z145" s="45" t="e">
        <f>I145*Z45</f>
        <v>#REF!</v>
      </c>
      <c r="AA145" s="46" t="e">
        <f>I145*AA45</f>
        <v>#REF!</v>
      </c>
      <c r="AB145" s="44" t="e">
        <f>I145*AB45</f>
        <v>#REF!</v>
      </c>
      <c r="AC145" s="45" t="e">
        <f>I145*AC45</f>
        <v>#REF!</v>
      </c>
      <c r="AD145" s="46" t="e">
        <f>I145*AD45</f>
        <v>#REF!</v>
      </c>
      <c r="AE145" s="53"/>
    </row>
    <row r="146" spans="1:54" customHeight="1" ht="15.75" s="12" customFormat="1">
      <c r="A146" s="442"/>
      <c r="B146" s="411" t="str">
        <f>+B46</f>
        <v>HEV-LHD</v>
      </c>
      <c r="C146" s="159" t="str">
        <f>+C46</f>
        <v>82111-4DM41</v>
      </c>
      <c r="D146" s="55">
        <f>D46</f>
        <v/>
      </c>
      <c r="E146" s="27">
        <f>E46</f>
        <v/>
      </c>
      <c r="F146" s="27">
        <f>F46</f>
        <v/>
      </c>
      <c r="G146" s="27">
        <f>G46</f>
        <v/>
      </c>
      <c r="H146" s="28">
        <f>$H46</f>
        <v/>
      </c>
      <c r="I146" s="28" t="e">
        <f>VLOOKUP(C146,C46:C100,7,0)</f>
        <v>#REF!</v>
      </c>
      <c r="J146" s="44" t="e">
        <f>I146*J46</f>
        <v>#REF!</v>
      </c>
      <c r="K146" s="45" t="e">
        <f>I146*K46</f>
        <v>#REF!</v>
      </c>
      <c r="L146" s="48" t="e">
        <f>I146*L46</f>
        <v>#REF!</v>
      </c>
      <c r="M146" s="44" t="e">
        <f>I146*M46</f>
        <v>#REF!</v>
      </c>
      <c r="N146" s="45" t="e">
        <f>I146*N46</f>
        <v>#REF!</v>
      </c>
      <c r="O146" s="48" t="e">
        <f>I146*O46</f>
        <v>#REF!</v>
      </c>
      <c r="P146" s="44" t="e">
        <f>I146*P46</f>
        <v>#REF!</v>
      </c>
      <c r="Q146" s="45" t="e">
        <f>I146*Q46</f>
        <v>#REF!</v>
      </c>
      <c r="R146" s="46" t="e">
        <f>I146*R46</f>
        <v>#REF!</v>
      </c>
      <c r="S146" s="47" t="e">
        <f>I146*S46</f>
        <v>#REF!</v>
      </c>
      <c r="T146" s="45" t="e">
        <f>I146*T46</f>
        <v>#REF!</v>
      </c>
      <c r="U146" s="48" t="e">
        <f>I146*U46</f>
        <v>#REF!</v>
      </c>
      <c r="V146" s="44" t="e">
        <f>I146*V46</f>
        <v>#REF!</v>
      </c>
      <c r="W146" s="45" t="e">
        <f>I146*W46</f>
        <v>#REF!</v>
      </c>
      <c r="X146" s="48" t="e">
        <f>I146*X46</f>
        <v>#REF!</v>
      </c>
      <c r="Y146" s="44" t="e">
        <f>I146*Y46</f>
        <v>#REF!</v>
      </c>
      <c r="Z146" s="45" t="e">
        <f>I146*Z46</f>
        <v>#REF!</v>
      </c>
      <c r="AA146" s="46" t="e">
        <f>I146*AA46</f>
        <v>#REF!</v>
      </c>
      <c r="AB146" s="44" t="e">
        <f>I146*AB46</f>
        <v>#REF!</v>
      </c>
      <c r="AC146" s="45" t="e">
        <f>I146*AC46</f>
        <v>#REF!</v>
      </c>
      <c r="AD146" s="46" t="e">
        <f>I146*AD46</f>
        <v>#REF!</v>
      </c>
      <c r="AE146" s="53"/>
    </row>
    <row r="147" spans="1:54" customHeight="1" ht="15.75">
      <c r="A147" s="442"/>
      <c r="B147" s="411" t="str">
        <f>+B47</f>
        <v>HEV-LHD</v>
      </c>
      <c r="C147" s="159" t="str">
        <f>+C47</f>
        <v>82111-4DM51</v>
      </c>
      <c r="D147" s="55">
        <f>D47</f>
        <v/>
      </c>
      <c r="E147" s="27">
        <f>E47</f>
        <v/>
      </c>
      <c r="F147" s="27">
        <f>F47</f>
        <v/>
      </c>
      <c r="G147" s="27">
        <f>G47</f>
        <v/>
      </c>
      <c r="H147" s="28">
        <f>$H47</f>
        <v/>
      </c>
      <c r="I147" s="28" t="e">
        <f>VLOOKUP(C147,C47:C101,7,0)</f>
        <v>#REF!</v>
      </c>
      <c r="J147" s="44" t="e">
        <f>I147*J47</f>
        <v>#REF!</v>
      </c>
      <c r="K147" s="45" t="e">
        <f>I147*K47</f>
        <v>#REF!</v>
      </c>
      <c r="L147" s="48" t="e">
        <f>I147*L47</f>
        <v>#REF!</v>
      </c>
      <c r="M147" s="44" t="e">
        <f>I147*M47</f>
        <v>#REF!</v>
      </c>
      <c r="N147" s="45" t="e">
        <f>I147*N47</f>
        <v>#REF!</v>
      </c>
      <c r="O147" s="48" t="e">
        <f>I147*O47</f>
        <v>#REF!</v>
      </c>
      <c r="P147" s="44" t="e">
        <f>I147*P47</f>
        <v>#REF!</v>
      </c>
      <c r="Q147" s="45" t="e">
        <f>I147*Q47</f>
        <v>#REF!</v>
      </c>
      <c r="R147" s="46" t="e">
        <f>I147*R47</f>
        <v>#REF!</v>
      </c>
      <c r="S147" s="47" t="e">
        <f>I147*S47</f>
        <v>#REF!</v>
      </c>
      <c r="T147" s="45" t="e">
        <f>I147*T47</f>
        <v>#REF!</v>
      </c>
      <c r="U147" s="48" t="e">
        <f>I147*U47</f>
        <v>#REF!</v>
      </c>
      <c r="V147" s="44" t="e">
        <f>I147*V47</f>
        <v>#REF!</v>
      </c>
      <c r="W147" s="45" t="e">
        <f>I147*W47</f>
        <v>#REF!</v>
      </c>
      <c r="X147" s="48" t="e">
        <f>I147*X47</f>
        <v>#REF!</v>
      </c>
      <c r="Y147" s="44" t="e">
        <f>I147*Y47</f>
        <v>#REF!</v>
      </c>
      <c r="Z147" s="45" t="e">
        <f>I147*Z47</f>
        <v>#REF!</v>
      </c>
      <c r="AA147" s="46" t="e">
        <f>I147*AA47</f>
        <v>#REF!</v>
      </c>
      <c r="AB147" s="44" t="e">
        <f>I147*AB47</f>
        <v>#REF!</v>
      </c>
      <c r="AC147" s="45" t="e">
        <f>I147*AC47</f>
        <v>#REF!</v>
      </c>
      <c r="AD147" s="46" t="e">
        <f>I147*AD47</f>
        <v>#REF!</v>
      </c>
      <c r="AE147" s="53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</row>
    <row r="148" spans="1:54" customHeight="1" ht="15.75">
      <c r="A148" s="442"/>
      <c r="B148" s="411" t="str">
        <f>+B48</f>
        <v>HEV-LHD</v>
      </c>
      <c r="C148" s="159" t="str">
        <f>+C48</f>
        <v>82111-4DM61</v>
      </c>
      <c r="D148" s="55">
        <f>D48</f>
        <v/>
      </c>
      <c r="E148" s="27">
        <f>E48</f>
        <v/>
      </c>
      <c r="F148" s="27">
        <f>F48</f>
        <v/>
      </c>
      <c r="G148" s="27">
        <f>G48</f>
        <v/>
      </c>
      <c r="H148" s="28">
        <f>$H48</f>
        <v/>
      </c>
      <c r="I148" s="28" t="e">
        <f>VLOOKUP(C148,C48:C102,7,0)</f>
        <v>#REF!</v>
      </c>
      <c r="J148" s="44" t="e">
        <f>I148*J48</f>
        <v>#REF!</v>
      </c>
      <c r="K148" s="45" t="e">
        <f>I148*K48</f>
        <v>#REF!</v>
      </c>
      <c r="L148" s="48" t="e">
        <f>I148*L48</f>
        <v>#REF!</v>
      </c>
      <c r="M148" s="44" t="e">
        <f>I148*M48</f>
        <v>#REF!</v>
      </c>
      <c r="N148" s="45" t="e">
        <f>I148*N48</f>
        <v>#REF!</v>
      </c>
      <c r="O148" s="48" t="e">
        <f>I148*O48</f>
        <v>#REF!</v>
      </c>
      <c r="P148" s="44" t="e">
        <f>I148*P48</f>
        <v>#REF!</v>
      </c>
      <c r="Q148" s="45" t="e">
        <f>I148*Q48</f>
        <v>#REF!</v>
      </c>
      <c r="R148" s="46" t="e">
        <f>I148*R48</f>
        <v>#REF!</v>
      </c>
      <c r="S148" s="47" t="e">
        <f>I148*S48</f>
        <v>#REF!</v>
      </c>
      <c r="T148" s="45" t="e">
        <f>I148*T48</f>
        <v>#REF!</v>
      </c>
      <c r="U148" s="48" t="e">
        <f>I148*U48</f>
        <v>#REF!</v>
      </c>
      <c r="V148" s="44" t="e">
        <f>I148*V48</f>
        <v>#REF!</v>
      </c>
      <c r="W148" s="45" t="e">
        <f>I148*W48</f>
        <v>#REF!</v>
      </c>
      <c r="X148" s="48" t="e">
        <f>I148*X48</f>
        <v>#REF!</v>
      </c>
      <c r="Y148" s="44" t="e">
        <f>I148*Y48</f>
        <v>#REF!</v>
      </c>
      <c r="Z148" s="45" t="e">
        <f>I148*Z48</f>
        <v>#REF!</v>
      </c>
      <c r="AA148" s="46" t="e">
        <f>I148*AA48</f>
        <v>#REF!</v>
      </c>
      <c r="AB148" s="44" t="e">
        <f>I148*AB48</f>
        <v>#REF!</v>
      </c>
      <c r="AC148" s="45" t="e">
        <f>I148*AC48</f>
        <v>#REF!</v>
      </c>
      <c r="AD148" s="46" t="e">
        <f>I148*AD48</f>
        <v>#REF!</v>
      </c>
      <c r="AE148" s="53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</row>
    <row r="149" spans="1:54" customHeight="1" ht="15.75">
      <c r="A149" s="442"/>
      <c r="B149" s="411" t="str">
        <f>+B49</f>
        <v>HEV-LHD</v>
      </c>
      <c r="C149" s="159" t="str">
        <f>+C49</f>
        <v>82111-4DM71</v>
      </c>
      <c r="D149" s="55">
        <f>D49</f>
        <v/>
      </c>
      <c r="E149" s="27">
        <f>E49</f>
        <v/>
      </c>
      <c r="F149" s="27">
        <f>F49</f>
        <v/>
      </c>
      <c r="G149" s="27">
        <f>G49</f>
        <v/>
      </c>
      <c r="H149" s="28">
        <f>$H49</f>
        <v/>
      </c>
      <c r="I149" s="28" t="e">
        <f>VLOOKUP(C149,C49:C103,7,0)</f>
        <v>#REF!</v>
      </c>
      <c r="J149" s="44" t="e">
        <f>I149*J49</f>
        <v>#REF!</v>
      </c>
      <c r="K149" s="45" t="e">
        <f>I149*K49</f>
        <v>#REF!</v>
      </c>
      <c r="L149" s="48" t="e">
        <f>I149*L49</f>
        <v>#REF!</v>
      </c>
      <c r="M149" s="44" t="e">
        <f>I149*M49</f>
        <v>#REF!</v>
      </c>
      <c r="N149" s="45" t="e">
        <f>I149*N49</f>
        <v>#REF!</v>
      </c>
      <c r="O149" s="48" t="e">
        <f>I149*O49</f>
        <v>#REF!</v>
      </c>
      <c r="P149" s="44" t="e">
        <f>I149*P49</f>
        <v>#REF!</v>
      </c>
      <c r="Q149" s="45" t="e">
        <f>I149*Q49</f>
        <v>#REF!</v>
      </c>
      <c r="R149" s="46" t="e">
        <f>I149*R49</f>
        <v>#REF!</v>
      </c>
      <c r="S149" s="47" t="e">
        <f>I149*S49</f>
        <v>#REF!</v>
      </c>
      <c r="T149" s="45" t="e">
        <f>I149*T49</f>
        <v>#REF!</v>
      </c>
      <c r="U149" s="48" t="e">
        <f>I149*U49</f>
        <v>#REF!</v>
      </c>
      <c r="V149" s="44" t="e">
        <f>I149*V49</f>
        <v>#REF!</v>
      </c>
      <c r="W149" s="45" t="e">
        <f>I149*W49</f>
        <v>#REF!</v>
      </c>
      <c r="X149" s="48" t="e">
        <f>I149*X49</f>
        <v>#REF!</v>
      </c>
      <c r="Y149" s="44" t="e">
        <f>I149*Y49</f>
        <v>#REF!</v>
      </c>
      <c r="Z149" s="45" t="e">
        <f>I149*Z49</f>
        <v>#REF!</v>
      </c>
      <c r="AA149" s="46" t="e">
        <f>I149*AA49</f>
        <v>#REF!</v>
      </c>
      <c r="AB149" s="44" t="e">
        <f>I149*AB49</f>
        <v>#REF!</v>
      </c>
      <c r="AC149" s="45" t="e">
        <f>I149*AC49</f>
        <v>#REF!</v>
      </c>
      <c r="AD149" s="46" t="e">
        <f>I149*AD49</f>
        <v>#REF!</v>
      </c>
      <c r="AE149" s="53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</row>
    <row r="150" spans="1:54" customHeight="1" ht="15.75">
      <c r="A150" s="442"/>
      <c r="B150" s="411" t="str">
        <f>+B50</f>
        <v>HEV-LHD</v>
      </c>
      <c r="C150" s="159" t="str">
        <f>+C50</f>
        <v>82111-4DM81</v>
      </c>
      <c r="D150" s="55">
        <f>D50</f>
        <v/>
      </c>
      <c r="E150" s="27">
        <f>E50</f>
        <v/>
      </c>
      <c r="F150" s="27">
        <f>F50</f>
        <v/>
      </c>
      <c r="G150" s="27">
        <f>G50</f>
        <v/>
      </c>
      <c r="H150" s="28">
        <f>$H50</f>
        <v/>
      </c>
      <c r="I150" s="28" t="e">
        <f>VLOOKUP(C150,C50:C104,7,0)</f>
        <v>#REF!</v>
      </c>
      <c r="J150" s="44" t="e">
        <f>I150*J50</f>
        <v>#REF!</v>
      </c>
      <c r="K150" s="45" t="e">
        <f>I150*K50</f>
        <v>#REF!</v>
      </c>
      <c r="L150" s="48" t="e">
        <f>I150*L50</f>
        <v>#REF!</v>
      </c>
      <c r="M150" s="44" t="e">
        <f>I150*M50</f>
        <v>#REF!</v>
      </c>
      <c r="N150" s="45" t="e">
        <f>I150*N50</f>
        <v>#REF!</v>
      </c>
      <c r="O150" s="48" t="e">
        <f>I150*O50</f>
        <v>#REF!</v>
      </c>
      <c r="P150" s="44" t="e">
        <f>I150*P50</f>
        <v>#REF!</v>
      </c>
      <c r="Q150" s="45" t="e">
        <f>I150*Q50</f>
        <v>#REF!</v>
      </c>
      <c r="R150" s="46" t="e">
        <f>I150*R50</f>
        <v>#REF!</v>
      </c>
      <c r="S150" s="47" t="e">
        <f>I150*S50</f>
        <v>#REF!</v>
      </c>
      <c r="T150" s="45" t="e">
        <f>I150*T50</f>
        <v>#REF!</v>
      </c>
      <c r="U150" s="48" t="e">
        <f>I150*U50</f>
        <v>#REF!</v>
      </c>
      <c r="V150" s="44" t="e">
        <f>I150*V50</f>
        <v>#REF!</v>
      </c>
      <c r="W150" s="45" t="e">
        <f>I150*W50</f>
        <v>#REF!</v>
      </c>
      <c r="X150" s="48" t="e">
        <f>I150*X50</f>
        <v>#REF!</v>
      </c>
      <c r="Y150" s="44" t="e">
        <f>I150*Y50</f>
        <v>#REF!</v>
      </c>
      <c r="Z150" s="45" t="e">
        <f>I150*Z50</f>
        <v>#REF!</v>
      </c>
      <c r="AA150" s="46" t="e">
        <f>I150*AA50</f>
        <v>#REF!</v>
      </c>
      <c r="AB150" s="44" t="e">
        <f>I150*AB50</f>
        <v>#REF!</v>
      </c>
      <c r="AC150" s="45" t="e">
        <f>I150*AC50</f>
        <v>#REF!</v>
      </c>
      <c r="AD150" s="46" t="e">
        <f>I150*AD50</f>
        <v>#REF!</v>
      </c>
      <c r="AE150" s="53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</row>
    <row r="151" spans="1:54" customHeight="1" ht="15.75">
      <c r="A151" s="442"/>
      <c r="B151" s="411" t="str">
        <f>+B51</f>
        <v>HEV-LHD</v>
      </c>
      <c r="C151" s="159" t="str">
        <f>+C51</f>
        <v>82111-4DM91</v>
      </c>
      <c r="D151" s="55">
        <f>D51</f>
        <v/>
      </c>
      <c r="E151" s="27">
        <f>E51</f>
        <v/>
      </c>
      <c r="F151" s="27">
        <f>F51</f>
        <v/>
      </c>
      <c r="G151" s="27">
        <f>G51</f>
        <v/>
      </c>
      <c r="H151" s="28">
        <f>$H51</f>
        <v/>
      </c>
      <c r="I151" s="28" t="e">
        <f>VLOOKUP(C151,C51:C105,7,0)</f>
        <v>#REF!</v>
      </c>
      <c r="J151" s="44" t="e">
        <f>I151*J51</f>
        <v>#REF!</v>
      </c>
      <c r="K151" s="45" t="e">
        <f>I151*K51</f>
        <v>#REF!</v>
      </c>
      <c r="L151" s="48" t="e">
        <f>I151*L51</f>
        <v>#REF!</v>
      </c>
      <c r="M151" s="44" t="e">
        <f>I151*M51</f>
        <v>#REF!</v>
      </c>
      <c r="N151" s="45" t="e">
        <f>I151*N51</f>
        <v>#REF!</v>
      </c>
      <c r="O151" s="48" t="e">
        <f>I151*O51</f>
        <v>#REF!</v>
      </c>
      <c r="P151" s="44" t="e">
        <f>I151*P51</f>
        <v>#REF!</v>
      </c>
      <c r="Q151" s="45" t="e">
        <f>I151*Q51</f>
        <v>#REF!</v>
      </c>
      <c r="R151" s="46" t="e">
        <f>I151*R51</f>
        <v>#REF!</v>
      </c>
      <c r="S151" s="47" t="e">
        <f>I151*S51</f>
        <v>#REF!</v>
      </c>
      <c r="T151" s="45" t="e">
        <f>I151*T51</f>
        <v>#REF!</v>
      </c>
      <c r="U151" s="48" t="e">
        <f>I151*U51</f>
        <v>#REF!</v>
      </c>
      <c r="V151" s="44" t="e">
        <f>I151*V51</f>
        <v>#REF!</v>
      </c>
      <c r="W151" s="45" t="e">
        <f>I151*W51</f>
        <v>#REF!</v>
      </c>
      <c r="X151" s="48" t="e">
        <f>I151*X51</f>
        <v>#REF!</v>
      </c>
      <c r="Y151" s="44" t="e">
        <f>I151*Y51</f>
        <v>#REF!</v>
      </c>
      <c r="Z151" s="45" t="e">
        <f>I151*Z51</f>
        <v>#REF!</v>
      </c>
      <c r="AA151" s="46" t="e">
        <f>I151*AA51</f>
        <v>#REF!</v>
      </c>
      <c r="AB151" s="44" t="e">
        <f>I151*AB51</f>
        <v>#REF!</v>
      </c>
      <c r="AC151" s="45" t="e">
        <f>I151*AC51</f>
        <v>#REF!</v>
      </c>
      <c r="AD151" s="46" t="e">
        <f>I151*AD51</f>
        <v>#REF!</v>
      </c>
      <c r="AE151" s="53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</row>
    <row r="152" spans="1:54" customHeight="1" ht="15.75">
      <c r="A152" s="442"/>
      <c r="B152" s="411" t="str">
        <f>+B52</f>
        <v>HEV-RHD</v>
      </c>
      <c r="C152" s="159" t="str">
        <f>+C52</f>
        <v>82111-4DN31</v>
      </c>
      <c r="D152" s="55">
        <f>D52</f>
        <v/>
      </c>
      <c r="E152" s="27">
        <f>E52</f>
        <v/>
      </c>
      <c r="F152" s="27">
        <f>F52</f>
        <v/>
      </c>
      <c r="G152" s="27">
        <f>G52</f>
        <v/>
      </c>
      <c r="H152" s="28">
        <f>$H52</f>
        <v/>
      </c>
      <c r="I152" s="28" t="e">
        <f>VLOOKUP(C152,C52:C106,7,0)</f>
        <v>#REF!</v>
      </c>
      <c r="J152" s="44" t="e">
        <f>I152*J52</f>
        <v>#REF!</v>
      </c>
      <c r="K152" s="45" t="e">
        <f>I152*K52</f>
        <v>#REF!</v>
      </c>
      <c r="L152" s="48" t="e">
        <f>I152*L52</f>
        <v>#REF!</v>
      </c>
      <c r="M152" s="44" t="e">
        <f>I152*M52</f>
        <v>#REF!</v>
      </c>
      <c r="N152" s="45" t="e">
        <f>I152*N52</f>
        <v>#REF!</v>
      </c>
      <c r="O152" s="48" t="e">
        <f>I152*O52</f>
        <v>#REF!</v>
      </c>
      <c r="P152" s="44" t="e">
        <f>I152*P52</f>
        <v>#REF!</v>
      </c>
      <c r="Q152" s="45" t="e">
        <f>I152*Q52</f>
        <v>#REF!</v>
      </c>
      <c r="R152" s="46" t="e">
        <f>I152*R52</f>
        <v>#REF!</v>
      </c>
      <c r="S152" s="47" t="e">
        <f>I152*S52</f>
        <v>#REF!</v>
      </c>
      <c r="T152" s="45" t="e">
        <f>I152*T52</f>
        <v>#REF!</v>
      </c>
      <c r="U152" s="48" t="e">
        <f>I152*U52</f>
        <v>#REF!</v>
      </c>
      <c r="V152" s="44" t="e">
        <f>I152*V52</f>
        <v>#REF!</v>
      </c>
      <c r="W152" s="45" t="e">
        <f>I152*W52</f>
        <v>#REF!</v>
      </c>
      <c r="X152" s="48" t="e">
        <f>I152*X52</f>
        <v>#REF!</v>
      </c>
      <c r="Y152" s="44" t="e">
        <f>I152*Y52</f>
        <v>#REF!</v>
      </c>
      <c r="Z152" s="45" t="e">
        <f>I152*Z52</f>
        <v>#REF!</v>
      </c>
      <c r="AA152" s="46" t="e">
        <f>I152*AA52</f>
        <v>#REF!</v>
      </c>
      <c r="AB152" s="44" t="e">
        <f>I152*AB52</f>
        <v>#REF!</v>
      </c>
      <c r="AC152" s="45" t="e">
        <f>I152*AC52</f>
        <v>#REF!</v>
      </c>
      <c r="AD152" s="46" t="e">
        <f>I152*AD52</f>
        <v>#REF!</v>
      </c>
      <c r="AE152" s="53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</row>
    <row r="153" spans="1:54" customHeight="1" ht="15.75">
      <c r="A153" s="442"/>
      <c r="B153" s="411" t="str">
        <f>+B53</f>
        <v>HEV-RHD</v>
      </c>
      <c r="C153" s="159" t="str">
        <f>+C53</f>
        <v>82111-4DN41</v>
      </c>
      <c r="D153" s="55">
        <f>D53</f>
        <v/>
      </c>
      <c r="E153" s="27">
        <f>E53</f>
        <v/>
      </c>
      <c r="F153" s="27">
        <f>F53</f>
        <v/>
      </c>
      <c r="G153" s="27">
        <f>G53</f>
        <v/>
      </c>
      <c r="H153" s="28">
        <f>$H53</f>
        <v/>
      </c>
      <c r="I153" s="28" t="e">
        <f>VLOOKUP(C153,C53:C107,7,0)</f>
        <v>#REF!</v>
      </c>
      <c r="J153" s="44" t="e">
        <f>I153*J53</f>
        <v>#REF!</v>
      </c>
      <c r="K153" s="45" t="e">
        <f>I153*K53</f>
        <v>#REF!</v>
      </c>
      <c r="L153" s="48" t="e">
        <f>I153*L53</f>
        <v>#REF!</v>
      </c>
      <c r="M153" s="44" t="e">
        <f>I153*M53</f>
        <v>#REF!</v>
      </c>
      <c r="N153" s="45" t="e">
        <f>I153*N53</f>
        <v>#REF!</v>
      </c>
      <c r="O153" s="48" t="e">
        <f>I153*O53</f>
        <v>#REF!</v>
      </c>
      <c r="P153" s="44" t="e">
        <f>I153*P53</f>
        <v>#REF!</v>
      </c>
      <c r="Q153" s="45" t="e">
        <f>I153*Q53</f>
        <v>#REF!</v>
      </c>
      <c r="R153" s="46" t="e">
        <f>I153*R53</f>
        <v>#REF!</v>
      </c>
      <c r="S153" s="47" t="e">
        <f>I153*S53</f>
        <v>#REF!</v>
      </c>
      <c r="T153" s="45" t="e">
        <f>I153*T53</f>
        <v>#REF!</v>
      </c>
      <c r="U153" s="48" t="e">
        <f>I153*U53</f>
        <v>#REF!</v>
      </c>
      <c r="V153" s="44" t="e">
        <f>I153*V53</f>
        <v>#REF!</v>
      </c>
      <c r="W153" s="45" t="e">
        <f>I153*W53</f>
        <v>#REF!</v>
      </c>
      <c r="X153" s="48" t="e">
        <f>I153*X53</f>
        <v>#REF!</v>
      </c>
      <c r="Y153" s="44" t="e">
        <f>I153*Y53</f>
        <v>#REF!</v>
      </c>
      <c r="Z153" s="45" t="e">
        <f>I153*Z53</f>
        <v>#REF!</v>
      </c>
      <c r="AA153" s="46" t="e">
        <f>I153*AA53</f>
        <v>#REF!</v>
      </c>
      <c r="AB153" s="44" t="e">
        <f>I153*AB53</f>
        <v>#REF!</v>
      </c>
      <c r="AC153" s="45" t="e">
        <f>I153*AC53</f>
        <v>#REF!</v>
      </c>
      <c r="AD153" s="46" t="e">
        <f>I153*AD53</f>
        <v>#REF!</v>
      </c>
      <c r="AE153" s="53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</row>
    <row r="154" spans="1:54" customHeight="1" ht="15.75">
      <c r="A154" s="442"/>
      <c r="B154" s="411" t="str">
        <f>+B54</f>
        <v>HEV-RHD</v>
      </c>
      <c r="C154" s="159" t="str">
        <f>+C54</f>
        <v>82111-4DN51</v>
      </c>
      <c r="D154" s="55">
        <f>D54</f>
        <v/>
      </c>
      <c r="E154" s="27">
        <f>E54</f>
        <v/>
      </c>
      <c r="F154" s="27">
        <f>F54</f>
        <v/>
      </c>
      <c r="G154" s="27">
        <f>G54</f>
        <v/>
      </c>
      <c r="H154" s="28">
        <f>$H54</f>
        <v/>
      </c>
      <c r="I154" s="28" t="e">
        <f>VLOOKUP(C154,C54:C108,7,0)</f>
        <v>#REF!</v>
      </c>
      <c r="J154" s="44" t="e">
        <f>I154*J54</f>
        <v>#REF!</v>
      </c>
      <c r="K154" s="45" t="e">
        <f>I154*K54</f>
        <v>#REF!</v>
      </c>
      <c r="L154" s="48" t="e">
        <f>I154*L54</f>
        <v>#REF!</v>
      </c>
      <c r="M154" s="44" t="e">
        <f>I154*M54</f>
        <v>#REF!</v>
      </c>
      <c r="N154" s="45" t="e">
        <f>I154*N54</f>
        <v>#REF!</v>
      </c>
      <c r="O154" s="48" t="e">
        <f>I154*O54</f>
        <v>#REF!</v>
      </c>
      <c r="P154" s="44" t="e">
        <f>I154*P54</f>
        <v>#REF!</v>
      </c>
      <c r="Q154" s="45" t="e">
        <f>I154*Q54</f>
        <v>#REF!</v>
      </c>
      <c r="R154" s="46" t="e">
        <f>I154*R54</f>
        <v>#REF!</v>
      </c>
      <c r="S154" s="47" t="e">
        <f>I154*S54</f>
        <v>#REF!</v>
      </c>
      <c r="T154" s="45" t="e">
        <f>I154*T54</f>
        <v>#REF!</v>
      </c>
      <c r="U154" s="48" t="e">
        <f>I154*U54</f>
        <v>#REF!</v>
      </c>
      <c r="V154" s="44" t="e">
        <f>I154*V54</f>
        <v>#REF!</v>
      </c>
      <c r="W154" s="45" t="e">
        <f>I154*W54</f>
        <v>#REF!</v>
      </c>
      <c r="X154" s="48" t="e">
        <f>I154*X54</f>
        <v>#REF!</v>
      </c>
      <c r="Y154" s="44" t="e">
        <f>I154*Y54</f>
        <v>#REF!</v>
      </c>
      <c r="Z154" s="45" t="e">
        <f>I154*Z54</f>
        <v>#REF!</v>
      </c>
      <c r="AA154" s="46" t="e">
        <f>I154*AA54</f>
        <v>#REF!</v>
      </c>
      <c r="AB154" s="44" t="e">
        <f>I154*AB54</f>
        <v>#REF!</v>
      </c>
      <c r="AC154" s="45" t="e">
        <f>I154*AC54</f>
        <v>#REF!</v>
      </c>
      <c r="AD154" s="46" t="e">
        <f>I154*AD54</f>
        <v>#REF!</v>
      </c>
      <c r="AE154" s="53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</row>
    <row r="155" spans="1:54" customHeight="1" ht="15.75" s="12" customFormat="1">
      <c r="A155" s="442"/>
      <c r="B155" s="411" t="str">
        <f>+B55</f>
        <v>HEV-RHD</v>
      </c>
      <c r="C155" s="159" t="str">
        <f>+C55</f>
        <v>82111-4DN61</v>
      </c>
      <c r="D155" s="55">
        <f>D55</f>
        <v/>
      </c>
      <c r="E155" s="27">
        <f>E55</f>
        <v/>
      </c>
      <c r="F155" s="27">
        <f>F55</f>
        <v/>
      </c>
      <c r="G155" s="27">
        <f>G55</f>
        <v/>
      </c>
      <c r="H155" s="28">
        <f>$H55</f>
        <v/>
      </c>
      <c r="I155" s="28" t="e">
        <f>VLOOKUP(C155,C55:C109,7,0)</f>
        <v>#REF!</v>
      </c>
      <c r="J155" s="44" t="e">
        <f>I155*J55</f>
        <v>#REF!</v>
      </c>
      <c r="K155" s="45" t="e">
        <f>I155*K55</f>
        <v>#REF!</v>
      </c>
      <c r="L155" s="48" t="e">
        <f>I155*L55</f>
        <v>#REF!</v>
      </c>
      <c r="M155" s="44" t="e">
        <f>I155*M55</f>
        <v>#REF!</v>
      </c>
      <c r="N155" s="45" t="e">
        <f>I155*N55</f>
        <v>#REF!</v>
      </c>
      <c r="O155" s="48" t="e">
        <f>I155*O55</f>
        <v>#REF!</v>
      </c>
      <c r="P155" s="44" t="e">
        <f>I155*P55</f>
        <v>#REF!</v>
      </c>
      <c r="Q155" s="45" t="e">
        <f>I155*Q55</f>
        <v>#REF!</v>
      </c>
      <c r="R155" s="46" t="e">
        <f>I155*R55</f>
        <v>#REF!</v>
      </c>
      <c r="S155" s="47" t="e">
        <f>I155*S55</f>
        <v>#REF!</v>
      </c>
      <c r="T155" s="45" t="e">
        <f>I155*T55</f>
        <v>#REF!</v>
      </c>
      <c r="U155" s="48" t="e">
        <f>I155*U55</f>
        <v>#REF!</v>
      </c>
      <c r="V155" s="44" t="e">
        <f>I155*V55</f>
        <v>#REF!</v>
      </c>
      <c r="W155" s="45" t="e">
        <f>I155*W55</f>
        <v>#REF!</v>
      </c>
      <c r="X155" s="48" t="e">
        <f>I155*X55</f>
        <v>#REF!</v>
      </c>
      <c r="Y155" s="44" t="e">
        <f>I155*Y55</f>
        <v>#REF!</v>
      </c>
      <c r="Z155" s="45" t="e">
        <f>I155*Z55</f>
        <v>#REF!</v>
      </c>
      <c r="AA155" s="46" t="e">
        <f>I155*AA55</f>
        <v>#REF!</v>
      </c>
      <c r="AB155" s="44" t="e">
        <f>I155*AB55</f>
        <v>#REF!</v>
      </c>
      <c r="AC155" s="45" t="e">
        <f>I155*AC55</f>
        <v>#REF!</v>
      </c>
      <c r="AD155" s="46" t="e">
        <f>I155*AD55</f>
        <v>#REF!</v>
      </c>
      <c r="AE155" s="53"/>
    </row>
    <row r="156" spans="1:54" customHeight="1" ht="15.75" s="12" customFormat="1">
      <c r="A156" s="442"/>
      <c r="B156" s="411" t="str">
        <f>+B56</f>
        <v>HEV-RHD</v>
      </c>
      <c r="C156" s="159" t="str">
        <f>+C56</f>
        <v>82111-4DN71</v>
      </c>
      <c r="D156" s="55">
        <f>D56</f>
        <v/>
      </c>
      <c r="E156" s="27">
        <f>E56</f>
        <v/>
      </c>
      <c r="F156" s="27">
        <f>F56</f>
        <v/>
      </c>
      <c r="G156" s="27">
        <f>G56</f>
        <v/>
      </c>
      <c r="H156" s="28">
        <f>$H56</f>
        <v/>
      </c>
      <c r="I156" s="28" t="e">
        <f>VLOOKUP(C156,C56:C110,7,0)</f>
        <v>#REF!</v>
      </c>
      <c r="J156" s="44" t="e">
        <f>I156*J56</f>
        <v>#REF!</v>
      </c>
      <c r="K156" s="45" t="e">
        <f>I156*K56</f>
        <v>#REF!</v>
      </c>
      <c r="L156" s="48" t="e">
        <f>I156*L56</f>
        <v>#REF!</v>
      </c>
      <c r="M156" s="44" t="e">
        <f>I156*M56</f>
        <v>#REF!</v>
      </c>
      <c r="N156" s="45" t="e">
        <f>I156*N56</f>
        <v>#REF!</v>
      </c>
      <c r="O156" s="48" t="e">
        <f>I156*O56</f>
        <v>#REF!</v>
      </c>
      <c r="P156" s="44" t="e">
        <f>I156*P56</f>
        <v>#REF!</v>
      </c>
      <c r="Q156" s="45" t="e">
        <f>I156*Q56</f>
        <v>#REF!</v>
      </c>
      <c r="R156" s="46" t="e">
        <f>I156*R56</f>
        <v>#REF!</v>
      </c>
      <c r="S156" s="47" t="e">
        <f>I156*S56</f>
        <v>#REF!</v>
      </c>
      <c r="T156" s="45" t="e">
        <f>I156*T56</f>
        <v>#REF!</v>
      </c>
      <c r="U156" s="48" t="e">
        <f>I156*U56</f>
        <v>#REF!</v>
      </c>
      <c r="V156" s="44" t="e">
        <f>I156*V56</f>
        <v>#REF!</v>
      </c>
      <c r="W156" s="45" t="e">
        <f>I156*W56</f>
        <v>#REF!</v>
      </c>
      <c r="X156" s="48" t="e">
        <f>I156*X56</f>
        <v>#REF!</v>
      </c>
      <c r="Y156" s="44" t="e">
        <f>I156*Y56</f>
        <v>#REF!</v>
      </c>
      <c r="Z156" s="45" t="e">
        <f>I156*Z56</f>
        <v>#REF!</v>
      </c>
      <c r="AA156" s="46" t="e">
        <f>I156*AA56</f>
        <v>#REF!</v>
      </c>
      <c r="AB156" s="44" t="e">
        <f>I156*AB56</f>
        <v>#REF!</v>
      </c>
      <c r="AC156" s="45" t="e">
        <f>I156*AC56</f>
        <v>#REF!</v>
      </c>
      <c r="AD156" s="46" t="e">
        <f>I156*AD56</f>
        <v>#REF!</v>
      </c>
      <c r="AE156" s="53"/>
    </row>
    <row r="157" spans="1:54" customHeight="1" ht="15.75">
      <c r="A157" s="442"/>
      <c r="B157" s="411" t="str">
        <f>+B57</f>
        <v>GAS-LHD</v>
      </c>
      <c r="C157" s="159" t="str">
        <f>+C57</f>
        <v>82111-4DQ01</v>
      </c>
      <c r="D157" s="55">
        <f>D57</f>
        <v/>
      </c>
      <c r="E157" s="27">
        <f>E57</f>
        <v/>
      </c>
      <c r="F157" s="27">
        <f>F57</f>
        <v/>
      </c>
      <c r="G157" s="27">
        <f>G57</f>
        <v/>
      </c>
      <c r="H157" s="28">
        <f>$H57</f>
        <v/>
      </c>
      <c r="I157" s="28" t="e">
        <f>VLOOKUP(C157,C57:C111,7,0)</f>
        <v>#REF!</v>
      </c>
      <c r="J157" s="44" t="e">
        <f>I157*J57</f>
        <v>#REF!</v>
      </c>
      <c r="K157" s="45" t="e">
        <f>I157*K57</f>
        <v>#REF!</v>
      </c>
      <c r="L157" s="48" t="e">
        <f>I157*L57</f>
        <v>#REF!</v>
      </c>
      <c r="M157" s="44" t="e">
        <f>I157*M57</f>
        <v>#REF!</v>
      </c>
      <c r="N157" s="45" t="e">
        <f>I157*N57</f>
        <v>#REF!</v>
      </c>
      <c r="O157" s="48" t="e">
        <f>I157*O57</f>
        <v>#REF!</v>
      </c>
      <c r="P157" s="44" t="e">
        <f>I157*P57</f>
        <v>#REF!</v>
      </c>
      <c r="Q157" s="45" t="e">
        <f>I157*Q57</f>
        <v>#REF!</v>
      </c>
      <c r="R157" s="46" t="e">
        <f>I157*R57</f>
        <v>#REF!</v>
      </c>
      <c r="S157" s="47" t="e">
        <f>I157*S57</f>
        <v>#REF!</v>
      </c>
      <c r="T157" s="45" t="e">
        <f>I157*T57</f>
        <v>#REF!</v>
      </c>
      <c r="U157" s="48" t="e">
        <f>I157*U57</f>
        <v>#REF!</v>
      </c>
      <c r="V157" s="44" t="e">
        <f>I157*V57</f>
        <v>#REF!</v>
      </c>
      <c r="W157" s="45" t="e">
        <f>I157*W57</f>
        <v>#REF!</v>
      </c>
      <c r="X157" s="48" t="e">
        <f>I157*X57</f>
        <v>#REF!</v>
      </c>
      <c r="Y157" s="44" t="e">
        <f>I157*Y57</f>
        <v>#REF!</v>
      </c>
      <c r="Z157" s="45" t="e">
        <f>I157*Z57</f>
        <v>#REF!</v>
      </c>
      <c r="AA157" s="46" t="e">
        <f>I157*AA57</f>
        <v>#REF!</v>
      </c>
      <c r="AB157" s="44" t="e">
        <f>I157*AB57</f>
        <v>#REF!</v>
      </c>
      <c r="AC157" s="45" t="e">
        <f>I157*AC57</f>
        <v>#REF!</v>
      </c>
      <c r="AD157" s="46" t="e">
        <f>I157*AD57</f>
        <v>#REF!</v>
      </c>
      <c r="AE157" s="53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</row>
    <row r="158" spans="1:54" customHeight="1" ht="15.75" s="12" customFormat="1">
      <c r="A158" s="442"/>
      <c r="B158" s="411" t="str">
        <f>+B58</f>
        <v>GAS-LHD</v>
      </c>
      <c r="C158" s="159" t="str">
        <f>+C58</f>
        <v>82111-4DQ11</v>
      </c>
      <c r="D158" s="55">
        <f>D58</f>
        <v/>
      </c>
      <c r="E158" s="27">
        <f>E58</f>
        <v/>
      </c>
      <c r="F158" s="27">
        <f>F58</f>
        <v/>
      </c>
      <c r="G158" s="27">
        <f>G58</f>
        <v/>
      </c>
      <c r="H158" s="28">
        <f>$H58</f>
        <v/>
      </c>
      <c r="I158" s="28" t="e">
        <f>VLOOKUP(C158,C58:C112,7,0)</f>
        <v>#REF!</v>
      </c>
      <c r="J158" s="44" t="e">
        <f>I158*J58</f>
        <v>#REF!</v>
      </c>
      <c r="K158" s="45" t="e">
        <f>I158*K58</f>
        <v>#REF!</v>
      </c>
      <c r="L158" s="48" t="e">
        <f>I158*L58</f>
        <v>#REF!</v>
      </c>
      <c r="M158" s="44" t="e">
        <f>I158*M58</f>
        <v>#REF!</v>
      </c>
      <c r="N158" s="45" t="e">
        <f>I158*N58</f>
        <v>#REF!</v>
      </c>
      <c r="O158" s="48" t="e">
        <f>I158*O58</f>
        <v>#REF!</v>
      </c>
      <c r="P158" s="44" t="e">
        <f>I158*P58</f>
        <v>#REF!</v>
      </c>
      <c r="Q158" s="45" t="e">
        <f>I158*Q58</f>
        <v>#REF!</v>
      </c>
      <c r="R158" s="46" t="e">
        <f>I158*R58</f>
        <v>#REF!</v>
      </c>
      <c r="S158" s="47" t="e">
        <f>I158*S58</f>
        <v>#REF!</v>
      </c>
      <c r="T158" s="45" t="e">
        <f>I158*T58</f>
        <v>#REF!</v>
      </c>
      <c r="U158" s="48" t="e">
        <f>I158*U58</f>
        <v>#REF!</v>
      </c>
      <c r="V158" s="44" t="e">
        <f>I158*V58</f>
        <v>#REF!</v>
      </c>
      <c r="W158" s="45" t="e">
        <f>I158*W58</f>
        <v>#REF!</v>
      </c>
      <c r="X158" s="48" t="e">
        <f>I158*X58</f>
        <v>#REF!</v>
      </c>
      <c r="Y158" s="44" t="e">
        <f>I158*Y58</f>
        <v>#REF!</v>
      </c>
      <c r="Z158" s="45" t="e">
        <f>I158*Z58</f>
        <v>#REF!</v>
      </c>
      <c r="AA158" s="46" t="e">
        <f>I158*AA58</f>
        <v>#REF!</v>
      </c>
      <c r="AB158" s="44" t="e">
        <f>I158*AB58</f>
        <v>#REF!</v>
      </c>
      <c r="AC158" s="45" t="e">
        <f>I158*AC58</f>
        <v>#REF!</v>
      </c>
      <c r="AD158" s="46" t="e">
        <f>I158*AD58</f>
        <v>#REF!</v>
      </c>
      <c r="AE158" s="53"/>
    </row>
    <row r="159" spans="1:54" customHeight="1" ht="15.75" s="12" customFormat="1">
      <c r="A159" s="442"/>
      <c r="B159" s="411" t="str">
        <f>+B59</f>
        <v>HEV-LHD</v>
      </c>
      <c r="C159" s="159" t="str">
        <f>+C59</f>
        <v>82111-4DQ21</v>
      </c>
      <c r="D159" s="55">
        <f>D59</f>
        <v/>
      </c>
      <c r="E159" s="27">
        <f>E59</f>
        <v/>
      </c>
      <c r="F159" s="27">
        <f>F59</f>
        <v/>
      </c>
      <c r="G159" s="27">
        <f>G59</f>
        <v/>
      </c>
      <c r="H159" s="28">
        <f>$H59</f>
        <v/>
      </c>
      <c r="I159" s="28" t="e">
        <f>VLOOKUP(C159,C59:C113,7,0)</f>
        <v>#REF!</v>
      </c>
      <c r="J159" s="44" t="e">
        <f>I159*J59</f>
        <v>#REF!</v>
      </c>
      <c r="K159" s="45" t="e">
        <f>I159*K59</f>
        <v>#REF!</v>
      </c>
      <c r="L159" s="48" t="e">
        <f>I159*L59</f>
        <v>#REF!</v>
      </c>
      <c r="M159" s="44" t="e">
        <f>I159*M59</f>
        <v>#REF!</v>
      </c>
      <c r="N159" s="45" t="e">
        <f>I159*N59</f>
        <v>#REF!</v>
      </c>
      <c r="O159" s="48" t="e">
        <f>I159*O59</f>
        <v>#REF!</v>
      </c>
      <c r="P159" s="44" t="e">
        <f>I159*P59</f>
        <v>#REF!</v>
      </c>
      <c r="Q159" s="45" t="e">
        <f>I159*Q59</f>
        <v>#REF!</v>
      </c>
      <c r="R159" s="46" t="e">
        <f>I159*R59</f>
        <v>#REF!</v>
      </c>
      <c r="S159" s="47" t="e">
        <f>I159*S59</f>
        <v>#REF!</v>
      </c>
      <c r="T159" s="45" t="e">
        <f>I159*T59</f>
        <v>#REF!</v>
      </c>
      <c r="U159" s="48" t="e">
        <f>I159*U59</f>
        <v>#REF!</v>
      </c>
      <c r="V159" s="44" t="e">
        <f>I159*V59</f>
        <v>#REF!</v>
      </c>
      <c r="W159" s="45" t="e">
        <f>I159*W59</f>
        <v>#REF!</v>
      </c>
      <c r="X159" s="48" t="e">
        <f>I159*X59</f>
        <v>#REF!</v>
      </c>
      <c r="Y159" s="44" t="e">
        <f>I159*Y59</f>
        <v>#REF!</v>
      </c>
      <c r="Z159" s="45" t="e">
        <f>I159*Z59</f>
        <v>#REF!</v>
      </c>
      <c r="AA159" s="46" t="e">
        <f>I159*AA59</f>
        <v>#REF!</v>
      </c>
      <c r="AB159" s="44" t="e">
        <f>I159*AB59</f>
        <v>#REF!</v>
      </c>
      <c r="AC159" s="45" t="e">
        <f>I159*AC59</f>
        <v>#REF!</v>
      </c>
      <c r="AD159" s="46" t="e">
        <f>I159*AD59</f>
        <v>#REF!</v>
      </c>
      <c r="AE159" s="53"/>
    </row>
    <row r="160" spans="1:54" customHeight="1" ht="15.75">
      <c r="A160" s="442"/>
      <c r="B160" s="411" t="str">
        <f>+B60</f>
        <v>HEV-RHD</v>
      </c>
      <c r="C160" s="159" t="str">
        <f>+C60</f>
        <v>82111-4DQ41</v>
      </c>
      <c r="D160" s="55">
        <f>D60</f>
        <v/>
      </c>
      <c r="E160" s="27">
        <f>E60</f>
        <v/>
      </c>
      <c r="F160" s="27">
        <f>F60</f>
        <v/>
      </c>
      <c r="G160" s="27">
        <f>G60</f>
        <v/>
      </c>
      <c r="H160" s="28">
        <f>$H60</f>
        <v/>
      </c>
      <c r="I160" s="28" t="e">
        <f>VLOOKUP(C160,C60:C114,7,0)</f>
        <v>#REF!</v>
      </c>
      <c r="J160" s="44" t="e">
        <f>I160*J60</f>
        <v>#REF!</v>
      </c>
      <c r="K160" s="45" t="e">
        <f>I160*K60</f>
        <v>#REF!</v>
      </c>
      <c r="L160" s="48" t="e">
        <f>I160*L60</f>
        <v>#REF!</v>
      </c>
      <c r="M160" s="44" t="e">
        <f>I160*M60</f>
        <v>#REF!</v>
      </c>
      <c r="N160" s="45" t="e">
        <f>I160*N60</f>
        <v>#REF!</v>
      </c>
      <c r="O160" s="48" t="e">
        <f>I160*O60</f>
        <v>#REF!</v>
      </c>
      <c r="P160" s="44" t="e">
        <f>I160*P60</f>
        <v>#REF!</v>
      </c>
      <c r="Q160" s="45" t="e">
        <f>I160*Q60</f>
        <v>#REF!</v>
      </c>
      <c r="R160" s="46" t="e">
        <f>I160*R60</f>
        <v>#REF!</v>
      </c>
      <c r="S160" s="47" t="e">
        <f>I160*S60</f>
        <v>#REF!</v>
      </c>
      <c r="T160" s="45" t="e">
        <f>I160*T60</f>
        <v>#REF!</v>
      </c>
      <c r="U160" s="48" t="e">
        <f>I160*U60</f>
        <v>#REF!</v>
      </c>
      <c r="V160" s="44" t="e">
        <f>I160*V60</f>
        <v>#REF!</v>
      </c>
      <c r="W160" s="45" t="e">
        <f>I160*W60</f>
        <v>#REF!</v>
      </c>
      <c r="X160" s="48" t="e">
        <f>I160*X60</f>
        <v>#REF!</v>
      </c>
      <c r="Y160" s="44" t="e">
        <f>I160*Y60</f>
        <v>#REF!</v>
      </c>
      <c r="Z160" s="45" t="e">
        <f>I160*Z60</f>
        <v>#REF!</v>
      </c>
      <c r="AA160" s="46" t="e">
        <f>I160*AA60</f>
        <v>#REF!</v>
      </c>
      <c r="AB160" s="44" t="e">
        <f>I160*AB60</f>
        <v>#REF!</v>
      </c>
      <c r="AC160" s="45" t="e">
        <f>I160*AC60</f>
        <v>#REF!</v>
      </c>
      <c r="AD160" s="46" t="e">
        <f>I160*AD60</f>
        <v>#REF!</v>
      </c>
      <c r="AE160" s="53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</row>
    <row r="161" spans="1:54" customHeight="1" ht="15.75">
      <c r="A161" s="442"/>
      <c r="B161" s="411" t="str">
        <f>+B61</f>
        <v>HEV-LHD</v>
      </c>
      <c r="C161" s="159" t="str">
        <f>+C61</f>
        <v>82111-4DR50</v>
      </c>
      <c r="D161" s="55">
        <f>D61</f>
        <v/>
      </c>
      <c r="E161" s="27">
        <f>E61</f>
        <v/>
      </c>
      <c r="F161" s="27">
        <f>F61</f>
        <v/>
      </c>
      <c r="G161" s="27">
        <f>G61</f>
        <v/>
      </c>
      <c r="H161" s="28">
        <f>$H61</f>
        <v/>
      </c>
      <c r="I161" s="28" t="e">
        <f>VLOOKUP(C161,C61:C115,7,0)</f>
        <v>#REF!</v>
      </c>
      <c r="J161" s="44" t="e">
        <f>I161*J61</f>
        <v>#REF!</v>
      </c>
      <c r="K161" s="45" t="e">
        <f>I161*K61</f>
        <v>#REF!</v>
      </c>
      <c r="L161" s="48" t="e">
        <f>I161*L61</f>
        <v>#REF!</v>
      </c>
      <c r="M161" s="44" t="e">
        <f>I161*M61</f>
        <v>#REF!</v>
      </c>
      <c r="N161" s="45" t="e">
        <f>I161*N61</f>
        <v>#REF!</v>
      </c>
      <c r="O161" s="48" t="e">
        <f>I161*O61</f>
        <v>#REF!</v>
      </c>
      <c r="P161" s="44" t="e">
        <f>I161*P61</f>
        <v>#REF!</v>
      </c>
      <c r="Q161" s="45" t="e">
        <f>I161*Q61</f>
        <v>#REF!</v>
      </c>
      <c r="R161" s="46" t="e">
        <f>I161*R61</f>
        <v>#REF!</v>
      </c>
      <c r="S161" s="47" t="e">
        <f>I161*S61</f>
        <v>#REF!</v>
      </c>
      <c r="T161" s="45" t="e">
        <f>I161*T61</f>
        <v>#REF!</v>
      </c>
      <c r="U161" s="48" t="e">
        <f>I161*U61</f>
        <v>#REF!</v>
      </c>
      <c r="V161" s="44" t="e">
        <f>I161*V61</f>
        <v>#REF!</v>
      </c>
      <c r="W161" s="45" t="e">
        <f>I161*W61</f>
        <v>#REF!</v>
      </c>
      <c r="X161" s="48" t="e">
        <f>I161*X61</f>
        <v>#REF!</v>
      </c>
      <c r="Y161" s="44" t="e">
        <f>I161*Y61</f>
        <v>#REF!</v>
      </c>
      <c r="Z161" s="45" t="e">
        <f>I161*Z61</f>
        <v>#REF!</v>
      </c>
      <c r="AA161" s="46" t="e">
        <f>I161*AA61</f>
        <v>#REF!</v>
      </c>
      <c r="AB161" s="44" t="e">
        <f>I161*AB61</f>
        <v>#REF!</v>
      </c>
      <c r="AC161" s="45" t="e">
        <f>I161*AC61</f>
        <v>#REF!</v>
      </c>
      <c r="AD161" s="46" t="e">
        <f>I161*AD61</f>
        <v>#REF!</v>
      </c>
      <c r="AE161" s="53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</row>
    <row r="162" spans="1:54" customHeight="1" ht="15.75">
      <c r="A162" s="442"/>
      <c r="B162" s="411" t="str">
        <f>+B62</f>
        <v>HEV-LHD</v>
      </c>
      <c r="C162" s="159" t="str">
        <f>+C62</f>
        <v>82111-4DM21</v>
      </c>
      <c r="D162" s="55">
        <f>D62</f>
        <v/>
      </c>
      <c r="E162" s="27">
        <f>E62</f>
        <v/>
      </c>
      <c r="F162" s="27">
        <f>F62</f>
        <v/>
      </c>
      <c r="G162" s="27">
        <f>G62</f>
        <v/>
      </c>
      <c r="H162" s="28">
        <f>$H62</f>
        <v/>
      </c>
      <c r="I162" s="28" t="e">
        <f>VLOOKUP(C162,C62:C116,7,0)</f>
        <v>#REF!</v>
      </c>
      <c r="J162" s="44" t="e">
        <f>I162*J62</f>
        <v>#REF!</v>
      </c>
      <c r="K162" s="45" t="e">
        <f>I162*K62</f>
        <v>#REF!</v>
      </c>
      <c r="L162" s="48" t="e">
        <f>I162*L62</f>
        <v>#REF!</v>
      </c>
      <c r="M162" s="44" t="e">
        <f>I162*M62</f>
        <v>#REF!</v>
      </c>
      <c r="N162" s="45" t="e">
        <f>I162*N62</f>
        <v>#REF!</v>
      </c>
      <c r="O162" s="48" t="e">
        <f>I162*O62</f>
        <v>#REF!</v>
      </c>
      <c r="P162" s="44" t="e">
        <f>I162*P62</f>
        <v>#REF!</v>
      </c>
      <c r="Q162" s="45" t="e">
        <f>I162*Q62</f>
        <v>#REF!</v>
      </c>
      <c r="R162" s="46" t="e">
        <f>I162*R62</f>
        <v>#REF!</v>
      </c>
      <c r="S162" s="47" t="e">
        <f>I162*S62</f>
        <v>#REF!</v>
      </c>
      <c r="T162" s="45" t="e">
        <f>I162*T62</f>
        <v>#REF!</v>
      </c>
      <c r="U162" s="48" t="e">
        <f>I162*U62</f>
        <v>#REF!</v>
      </c>
      <c r="V162" s="44" t="e">
        <f>I162*V62</f>
        <v>#REF!</v>
      </c>
      <c r="W162" s="45" t="e">
        <f>I162*W62</f>
        <v>#REF!</v>
      </c>
      <c r="X162" s="48" t="e">
        <f>I162*X62</f>
        <v>#REF!</v>
      </c>
      <c r="Y162" s="44" t="e">
        <f>I162*Y62</f>
        <v>#REF!</v>
      </c>
      <c r="Z162" s="45" t="e">
        <f>I162*Z62</f>
        <v>#REF!</v>
      </c>
      <c r="AA162" s="46" t="e">
        <f>I162*AA62</f>
        <v>#REF!</v>
      </c>
      <c r="AB162" s="44" t="e">
        <f>I162*AB62</f>
        <v>#REF!</v>
      </c>
      <c r="AC162" s="45" t="e">
        <f>I162*AC62</f>
        <v>#REF!</v>
      </c>
      <c r="AD162" s="46" t="e">
        <f>I162*AD62</f>
        <v>#REF!</v>
      </c>
      <c r="AE162" s="53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</row>
    <row r="163" spans="1:54" customHeight="1" ht="15.75">
      <c r="A163" s="442"/>
      <c r="B163" s="417" t="str">
        <f>+B63</f>
        <v>HEV-LHD</v>
      </c>
      <c r="C163" s="159" t="str">
        <f>+C63</f>
        <v>82111-4D590</v>
      </c>
      <c r="D163" s="55">
        <f>D63</f>
        <v/>
      </c>
      <c r="E163" s="27">
        <f>E63</f>
        <v/>
      </c>
      <c r="F163" s="27">
        <f>F63</f>
        <v/>
      </c>
      <c r="G163" s="27">
        <f>G63</f>
        <v/>
      </c>
      <c r="H163" s="28">
        <f>$H63</f>
        <v/>
      </c>
      <c r="I163" s="28" t="e">
        <f>VLOOKUP(C163,C63:C117,7,0)</f>
        <v>#REF!</v>
      </c>
      <c r="J163" s="44" t="e">
        <f>I163*J63</f>
        <v>#REF!</v>
      </c>
      <c r="K163" s="45" t="e">
        <f>I163*K63</f>
        <v>#REF!</v>
      </c>
      <c r="L163" s="48" t="e">
        <f>I163*L63</f>
        <v>#REF!</v>
      </c>
      <c r="M163" s="44" t="e">
        <f>I163*M63</f>
        <v>#REF!</v>
      </c>
      <c r="N163" s="45" t="e">
        <f>I163*N63</f>
        <v>#REF!</v>
      </c>
      <c r="O163" s="48" t="e">
        <f>I163*O63</f>
        <v>#REF!</v>
      </c>
      <c r="P163" s="44" t="e">
        <f>I163*P63</f>
        <v>#REF!</v>
      </c>
      <c r="Q163" s="45" t="e">
        <f>I163*Q63</f>
        <v>#REF!</v>
      </c>
      <c r="R163" s="46" t="e">
        <f>I163*R63</f>
        <v>#REF!</v>
      </c>
      <c r="S163" s="47" t="e">
        <f>I163*S63</f>
        <v>#REF!</v>
      </c>
      <c r="T163" s="45" t="e">
        <f>I163*T63</f>
        <v>#REF!</v>
      </c>
      <c r="U163" s="48" t="e">
        <f>I163*U63</f>
        <v>#REF!</v>
      </c>
      <c r="V163" s="44" t="e">
        <f>I163*V63</f>
        <v>#REF!</v>
      </c>
      <c r="W163" s="45" t="e">
        <f>I163*W63</f>
        <v>#REF!</v>
      </c>
      <c r="X163" s="48" t="e">
        <f>I163*X63</f>
        <v>#REF!</v>
      </c>
      <c r="Y163" s="44" t="e">
        <f>I163*Y63</f>
        <v>#REF!</v>
      </c>
      <c r="Z163" s="45" t="e">
        <f>I163*Z63</f>
        <v>#REF!</v>
      </c>
      <c r="AA163" s="46" t="e">
        <f>I163*AA63</f>
        <v>#REF!</v>
      </c>
      <c r="AB163" s="44" t="e">
        <f>I163*AB63</f>
        <v>#REF!</v>
      </c>
      <c r="AC163" s="45" t="e">
        <f>I163*AC63</f>
        <v>#REF!</v>
      </c>
      <c r="AD163" s="46" t="e">
        <f>I163*AD63</f>
        <v>#REF!</v>
      </c>
      <c r="AE163" s="53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</row>
    <row r="164" spans="1:54" customHeight="1" ht="15.75">
      <c r="A164" s="445" t="s">
        <v>95</v>
      </c>
      <c r="B164" s="417" t="str">
        <f>+B64</f>
        <v>GAS-LHD</v>
      </c>
      <c r="C164" s="159" t="str">
        <f>+C64</f>
        <v>82111-4DV80</v>
      </c>
      <c r="D164" s="55">
        <f>D64</f>
        <v/>
      </c>
      <c r="E164" s="27">
        <f>E64</f>
        <v/>
      </c>
      <c r="F164" s="27">
        <f>F64</f>
        <v/>
      </c>
      <c r="G164" s="27">
        <f>G64</f>
        <v/>
      </c>
      <c r="H164" s="28">
        <f>$H64</f>
        <v/>
      </c>
      <c r="I164" s="28" t="e">
        <f>VLOOKUP(C164,C64:C118,7,0)</f>
        <v>#REF!</v>
      </c>
      <c r="J164" s="44" t="e">
        <f>I164*J64</f>
        <v>#REF!</v>
      </c>
      <c r="K164" s="45" t="e">
        <f>I164*K64</f>
        <v>#REF!</v>
      </c>
      <c r="L164" s="48" t="e">
        <f>I164*L64</f>
        <v>#REF!</v>
      </c>
      <c r="M164" s="44" t="e">
        <f>I164*M64</f>
        <v>#REF!</v>
      </c>
      <c r="N164" s="45" t="e">
        <f>I164*N64</f>
        <v>#REF!</v>
      </c>
      <c r="O164" s="48" t="e">
        <f>I164*O64</f>
        <v>#REF!</v>
      </c>
      <c r="P164" s="44" t="e">
        <f>I164*P64</f>
        <v>#REF!</v>
      </c>
      <c r="Q164" s="45" t="e">
        <f>I164*Q64</f>
        <v>#REF!</v>
      </c>
      <c r="R164" s="46" t="e">
        <f>I164*R64</f>
        <v>#REF!</v>
      </c>
      <c r="S164" s="47" t="e">
        <f>I164*S64</f>
        <v>#REF!</v>
      </c>
      <c r="T164" s="45" t="e">
        <f>I164*T64</f>
        <v>#REF!</v>
      </c>
      <c r="U164" s="48" t="e">
        <f>I164*U64</f>
        <v>#REF!</v>
      </c>
      <c r="V164" s="44" t="e">
        <f>I164*V64</f>
        <v>#REF!</v>
      </c>
      <c r="W164" s="45" t="e">
        <f>I164*W64</f>
        <v>#REF!</v>
      </c>
      <c r="X164" s="48" t="e">
        <f>I164*X64</f>
        <v>#REF!</v>
      </c>
      <c r="Y164" s="44" t="e">
        <f>I164*Y64</f>
        <v>#REF!</v>
      </c>
      <c r="Z164" s="45" t="e">
        <f>I164*Z64</f>
        <v>#REF!</v>
      </c>
      <c r="AA164" s="46" t="e">
        <f>I164*AA64</f>
        <v>#REF!</v>
      </c>
      <c r="AB164" s="44" t="e">
        <f>I164*AB64</f>
        <v>#REF!</v>
      </c>
      <c r="AC164" s="45" t="e">
        <f>I164*AC64</f>
        <v>#REF!</v>
      </c>
      <c r="AD164" s="46" t="e">
        <f>I164*AD64</f>
        <v>#REF!</v>
      </c>
      <c r="AE164" s="53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</row>
    <row r="165" spans="1:54" customHeight="1" ht="15.75">
      <c r="A165" s="445"/>
      <c r="B165" s="417" t="str">
        <f>+B65</f>
        <v>GAS-LHD</v>
      </c>
      <c r="C165" s="159" t="str">
        <f>+C65</f>
        <v>82111-4DV90</v>
      </c>
      <c r="D165" s="55">
        <f>D65</f>
        <v/>
      </c>
      <c r="E165" s="27">
        <f>E65</f>
        <v/>
      </c>
      <c r="F165" s="27">
        <f>F65</f>
        <v/>
      </c>
      <c r="G165" s="27">
        <f>G65</f>
        <v/>
      </c>
      <c r="H165" s="28">
        <f>$H65</f>
        <v/>
      </c>
      <c r="I165" s="28" t="e">
        <f>VLOOKUP(C165,C65:C119,7,0)</f>
        <v>#REF!</v>
      </c>
      <c r="J165" s="44" t="e">
        <f>I165*J65</f>
        <v>#REF!</v>
      </c>
      <c r="K165" s="45" t="e">
        <f>I165*K65</f>
        <v>#REF!</v>
      </c>
      <c r="L165" s="48" t="e">
        <f>I165*L65</f>
        <v>#REF!</v>
      </c>
      <c r="M165" s="44" t="e">
        <f>I165*M65</f>
        <v>#REF!</v>
      </c>
      <c r="N165" s="45" t="e">
        <f>I165*N65</f>
        <v>#REF!</v>
      </c>
      <c r="O165" s="48" t="e">
        <f>I165*O65</f>
        <v>#REF!</v>
      </c>
      <c r="P165" s="44" t="e">
        <f>I165*P65</f>
        <v>#REF!</v>
      </c>
      <c r="Q165" s="45" t="e">
        <f>I165*Q65</f>
        <v>#REF!</v>
      </c>
      <c r="R165" s="46" t="e">
        <f>I165*R65</f>
        <v>#REF!</v>
      </c>
      <c r="S165" s="47" t="e">
        <f>I165*S65</f>
        <v>#REF!</v>
      </c>
      <c r="T165" s="45" t="e">
        <f>I165*T65</f>
        <v>#REF!</v>
      </c>
      <c r="U165" s="48" t="e">
        <f>I165*U65</f>
        <v>#REF!</v>
      </c>
      <c r="V165" s="44" t="e">
        <f>I165*V65</f>
        <v>#REF!</v>
      </c>
      <c r="W165" s="45" t="e">
        <f>I165*W65</f>
        <v>#REF!</v>
      </c>
      <c r="X165" s="48" t="e">
        <f>I165*X65</f>
        <v>#REF!</v>
      </c>
      <c r="Y165" s="44" t="e">
        <f>I165*Y65</f>
        <v>#REF!</v>
      </c>
      <c r="Z165" s="45" t="e">
        <f>I165*Z65</f>
        <v>#REF!</v>
      </c>
      <c r="AA165" s="46" t="e">
        <f>I165*AA65</f>
        <v>#REF!</v>
      </c>
      <c r="AB165" s="44" t="e">
        <f>I165*AB65</f>
        <v>#REF!</v>
      </c>
      <c r="AC165" s="45" t="e">
        <f>I165*AC65</f>
        <v>#REF!</v>
      </c>
      <c r="AD165" s="46" t="e">
        <f>I165*AD65</f>
        <v>#REF!</v>
      </c>
      <c r="AE165" s="53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</row>
    <row r="166" spans="1:54" customHeight="1" ht="15.75">
      <c r="A166" s="445"/>
      <c r="B166" s="417" t="str">
        <f>+B66</f>
        <v>HEV-LHD</v>
      </c>
      <c r="C166" s="159" t="str">
        <f>+C66</f>
        <v>82111-4DW00</v>
      </c>
      <c r="D166" s="55">
        <f>D66</f>
        <v/>
      </c>
      <c r="E166" s="27">
        <f>E66</f>
        <v/>
      </c>
      <c r="F166" s="27">
        <f>F66</f>
        <v/>
      </c>
      <c r="G166" s="27">
        <f>G66</f>
        <v/>
      </c>
      <c r="H166" s="28">
        <f>$H66</f>
        <v/>
      </c>
      <c r="I166" s="28" t="e">
        <f>VLOOKUP(C166,C66:C120,7,0)</f>
        <v>#REF!</v>
      </c>
      <c r="J166" s="44" t="e">
        <f>I166*J66</f>
        <v>#REF!</v>
      </c>
      <c r="K166" s="45" t="e">
        <f>I166*K66</f>
        <v>#REF!</v>
      </c>
      <c r="L166" s="48" t="e">
        <f>I166*L66</f>
        <v>#REF!</v>
      </c>
      <c r="M166" s="44" t="e">
        <f>I166*M66</f>
        <v>#REF!</v>
      </c>
      <c r="N166" s="45" t="e">
        <f>I166*N66</f>
        <v>#REF!</v>
      </c>
      <c r="O166" s="48" t="e">
        <f>I166*O66</f>
        <v>#REF!</v>
      </c>
      <c r="P166" s="44" t="e">
        <f>I166*P66</f>
        <v>#REF!</v>
      </c>
      <c r="Q166" s="45" t="e">
        <f>I166*Q66</f>
        <v>#REF!</v>
      </c>
      <c r="R166" s="46" t="e">
        <f>I166*R66</f>
        <v>#REF!</v>
      </c>
      <c r="S166" s="47" t="e">
        <f>I166*S66</f>
        <v>#REF!</v>
      </c>
      <c r="T166" s="45" t="e">
        <f>I166*T66</f>
        <v>#REF!</v>
      </c>
      <c r="U166" s="48" t="e">
        <f>I166*U66</f>
        <v>#REF!</v>
      </c>
      <c r="V166" s="44" t="e">
        <f>I166*V66</f>
        <v>#REF!</v>
      </c>
      <c r="W166" s="45" t="e">
        <f>I166*W66</f>
        <v>#REF!</v>
      </c>
      <c r="X166" s="48" t="e">
        <f>I166*X66</f>
        <v>#REF!</v>
      </c>
      <c r="Y166" s="44" t="e">
        <f>I166*Y66</f>
        <v>#REF!</v>
      </c>
      <c r="Z166" s="45" t="e">
        <f>I166*Z66</f>
        <v>#REF!</v>
      </c>
      <c r="AA166" s="46" t="e">
        <f>I166*AA66</f>
        <v>#REF!</v>
      </c>
      <c r="AB166" s="44" t="e">
        <f>I166*AB66</f>
        <v>#REF!</v>
      </c>
      <c r="AC166" s="45" t="e">
        <f>I166*AC66</f>
        <v>#REF!</v>
      </c>
      <c r="AD166" s="46" t="e">
        <f>I166*AD66</f>
        <v>#REF!</v>
      </c>
      <c r="AE166" s="53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</row>
    <row r="167" spans="1:54" customHeight="1" ht="15.75">
      <c r="A167" s="445"/>
      <c r="B167" s="417" t="str">
        <f>+B67</f>
        <v>HEV-LHD</v>
      </c>
      <c r="C167" s="159" t="str">
        <f>+C67</f>
        <v>82111-4DW10</v>
      </c>
      <c r="D167" s="55">
        <f>D67</f>
        <v/>
      </c>
      <c r="E167" s="27">
        <f>E67</f>
        <v/>
      </c>
      <c r="F167" s="27">
        <f>F67</f>
        <v/>
      </c>
      <c r="G167" s="27">
        <f>G67</f>
        <v/>
      </c>
      <c r="H167" s="28">
        <f>$H67</f>
        <v/>
      </c>
      <c r="I167" s="28" t="e">
        <f>VLOOKUP(C167,C67:C121,7,0)</f>
        <v>#REF!</v>
      </c>
      <c r="J167" s="44" t="e">
        <f>I167*J67</f>
        <v>#REF!</v>
      </c>
      <c r="K167" s="45" t="e">
        <f>I167*K67</f>
        <v>#REF!</v>
      </c>
      <c r="L167" s="48" t="e">
        <f>I167*L67</f>
        <v>#REF!</v>
      </c>
      <c r="M167" s="44" t="e">
        <f>I167*M67</f>
        <v>#REF!</v>
      </c>
      <c r="N167" s="45" t="e">
        <f>I167*N67</f>
        <v>#REF!</v>
      </c>
      <c r="O167" s="48" t="e">
        <f>I167*O67</f>
        <v>#REF!</v>
      </c>
      <c r="P167" s="44" t="e">
        <f>I167*P67</f>
        <v>#REF!</v>
      </c>
      <c r="Q167" s="45" t="e">
        <f>I167*Q67</f>
        <v>#REF!</v>
      </c>
      <c r="R167" s="46" t="e">
        <f>I167*R67</f>
        <v>#REF!</v>
      </c>
      <c r="S167" s="47" t="e">
        <f>I167*S67</f>
        <v>#REF!</v>
      </c>
      <c r="T167" s="45" t="e">
        <f>I167*T67</f>
        <v>#REF!</v>
      </c>
      <c r="U167" s="48" t="e">
        <f>I167*U67</f>
        <v>#REF!</v>
      </c>
      <c r="V167" s="44" t="e">
        <f>I167*V67</f>
        <v>#REF!</v>
      </c>
      <c r="W167" s="45" t="e">
        <f>I167*W67</f>
        <v>#REF!</v>
      </c>
      <c r="X167" s="48" t="e">
        <f>I167*X67</f>
        <v>#REF!</v>
      </c>
      <c r="Y167" s="44" t="e">
        <f>I167*Y67</f>
        <v>#REF!</v>
      </c>
      <c r="Z167" s="45" t="e">
        <f>I167*Z67</f>
        <v>#REF!</v>
      </c>
      <c r="AA167" s="46" t="e">
        <f>I167*AA67</f>
        <v>#REF!</v>
      </c>
      <c r="AB167" s="44" t="e">
        <f>I167*AB67</f>
        <v>#REF!</v>
      </c>
      <c r="AC167" s="45" t="e">
        <f>I167*AC67</f>
        <v>#REF!</v>
      </c>
      <c r="AD167" s="46" t="e">
        <f>I167*AD67</f>
        <v>#REF!</v>
      </c>
      <c r="AE167" s="53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</row>
    <row r="168" spans="1:54" customHeight="1" ht="15.75" s="12" customFormat="1">
      <c r="A168" s="445"/>
      <c r="B168" s="417" t="str">
        <f>+B68</f>
        <v>GAS-LHD</v>
      </c>
      <c r="C168" s="159" t="str">
        <f>+C68</f>
        <v>82111-4DW20</v>
      </c>
      <c r="D168" s="55">
        <f>D68</f>
        <v/>
      </c>
      <c r="E168" s="27">
        <f>E68</f>
        <v/>
      </c>
      <c r="F168" s="27">
        <f>F68</f>
        <v/>
      </c>
      <c r="G168" s="27">
        <f>G68</f>
        <v/>
      </c>
      <c r="H168" s="28">
        <f>$H68</f>
        <v/>
      </c>
      <c r="I168" s="28" t="e">
        <f>VLOOKUP(C168,C68:C122,7,0)</f>
        <v>#REF!</v>
      </c>
      <c r="J168" s="44" t="e">
        <f>I168*J68</f>
        <v>#REF!</v>
      </c>
      <c r="K168" s="45" t="e">
        <f>I168*K68</f>
        <v>#REF!</v>
      </c>
      <c r="L168" s="48" t="e">
        <f>I168*L68</f>
        <v>#REF!</v>
      </c>
      <c r="M168" s="44" t="e">
        <f>I168*M68</f>
        <v>#REF!</v>
      </c>
      <c r="N168" s="45" t="e">
        <f>I168*N68</f>
        <v>#REF!</v>
      </c>
      <c r="O168" s="48" t="e">
        <f>I168*O68</f>
        <v>#REF!</v>
      </c>
      <c r="P168" s="44" t="e">
        <f>I168*P68</f>
        <v>#REF!</v>
      </c>
      <c r="Q168" s="45" t="e">
        <f>I168*Q68</f>
        <v>#REF!</v>
      </c>
      <c r="R168" s="46" t="e">
        <f>I168*R68</f>
        <v>#REF!</v>
      </c>
      <c r="S168" s="47" t="e">
        <f>I168*S68</f>
        <v>#REF!</v>
      </c>
      <c r="T168" s="45" t="e">
        <f>I168*T68</f>
        <v>#REF!</v>
      </c>
      <c r="U168" s="48" t="e">
        <f>I168*U68</f>
        <v>#REF!</v>
      </c>
      <c r="V168" s="44" t="e">
        <f>I168*V68</f>
        <v>#REF!</v>
      </c>
      <c r="W168" s="45" t="e">
        <f>I168*W68</f>
        <v>#REF!</v>
      </c>
      <c r="X168" s="48" t="e">
        <f>I168*X68</f>
        <v>#REF!</v>
      </c>
      <c r="Y168" s="44" t="e">
        <f>I168*Y68</f>
        <v>#REF!</v>
      </c>
      <c r="Z168" s="45" t="e">
        <f>I168*Z68</f>
        <v>#REF!</v>
      </c>
      <c r="AA168" s="46" t="e">
        <f>I168*AA68</f>
        <v>#REF!</v>
      </c>
      <c r="AB168" s="44" t="e">
        <f>I168*AB68</f>
        <v>#REF!</v>
      </c>
      <c r="AC168" s="45" t="e">
        <f>I168*AC68</f>
        <v>#REF!</v>
      </c>
      <c r="AD168" s="46" t="e">
        <f>I168*AD68</f>
        <v>#REF!</v>
      </c>
      <c r="AE168" s="53"/>
    </row>
    <row r="169" spans="1:54" customHeight="1" ht="15.75" s="12" customFormat="1">
      <c r="A169" s="445"/>
      <c r="B169" s="417" t="str">
        <f>+B69</f>
        <v>HEV-LHD</v>
      </c>
      <c r="C169" s="159" t="str">
        <f>+C69</f>
        <v>82111-4DW30</v>
      </c>
      <c r="D169" s="55">
        <f>D69</f>
        <v/>
      </c>
      <c r="E169" s="27">
        <f>E69</f>
        <v/>
      </c>
      <c r="F169" s="27">
        <f>F69</f>
        <v/>
      </c>
      <c r="G169" s="27">
        <f>G69</f>
        <v/>
      </c>
      <c r="H169" s="28">
        <f>$H69</f>
        <v/>
      </c>
      <c r="I169" s="28" t="e">
        <f>VLOOKUP(C169,C69:C123,7,0)</f>
        <v>#REF!</v>
      </c>
      <c r="J169" s="44" t="e">
        <f>I169*J69</f>
        <v>#REF!</v>
      </c>
      <c r="K169" s="45" t="e">
        <f>I169*K69</f>
        <v>#REF!</v>
      </c>
      <c r="L169" s="48" t="e">
        <f>I169*L69</f>
        <v>#REF!</v>
      </c>
      <c r="M169" s="44" t="e">
        <f>I169*M69</f>
        <v>#REF!</v>
      </c>
      <c r="N169" s="45" t="e">
        <f>I169*N69</f>
        <v>#REF!</v>
      </c>
      <c r="O169" s="48" t="e">
        <f>I169*O69</f>
        <v>#REF!</v>
      </c>
      <c r="P169" s="44" t="e">
        <f>I169*P69</f>
        <v>#REF!</v>
      </c>
      <c r="Q169" s="45" t="e">
        <f>I169*Q69</f>
        <v>#REF!</v>
      </c>
      <c r="R169" s="46" t="e">
        <f>I169*R69</f>
        <v>#REF!</v>
      </c>
      <c r="S169" s="47" t="e">
        <f>I169*S69</f>
        <v>#REF!</v>
      </c>
      <c r="T169" s="45" t="e">
        <f>I169*T69</f>
        <v>#REF!</v>
      </c>
      <c r="U169" s="48" t="e">
        <f>I169*U69</f>
        <v>#REF!</v>
      </c>
      <c r="V169" s="44" t="e">
        <f>I169*V69</f>
        <v>#REF!</v>
      </c>
      <c r="W169" s="45" t="e">
        <f>I169*W69</f>
        <v>#REF!</v>
      </c>
      <c r="X169" s="48" t="e">
        <f>I169*X69</f>
        <v>#REF!</v>
      </c>
      <c r="Y169" s="44" t="e">
        <f>I169*Y69</f>
        <v>#REF!</v>
      </c>
      <c r="Z169" s="45" t="e">
        <f>I169*Z69</f>
        <v>#REF!</v>
      </c>
      <c r="AA169" s="46" t="e">
        <f>I169*AA69</f>
        <v>#REF!</v>
      </c>
      <c r="AB169" s="44" t="e">
        <f>I169*AB69</f>
        <v>#REF!</v>
      </c>
      <c r="AC169" s="45" t="e">
        <f>I169*AC69</f>
        <v>#REF!</v>
      </c>
      <c r="AD169" s="46" t="e">
        <f>I169*AD69</f>
        <v>#REF!</v>
      </c>
      <c r="AE169" s="53"/>
    </row>
    <row r="170" spans="1:54" customHeight="1" ht="15.75">
      <c r="A170" s="445"/>
      <c r="B170" s="417" t="str">
        <f>+B70</f>
        <v>HEV-LHD</v>
      </c>
      <c r="C170" s="159" t="str">
        <f>+C70</f>
        <v>82111-4DW50</v>
      </c>
      <c r="D170" s="55">
        <f>D70</f>
        <v/>
      </c>
      <c r="E170" s="27">
        <f>E70</f>
        <v/>
      </c>
      <c r="F170" s="27">
        <f>F70</f>
        <v/>
      </c>
      <c r="G170" s="27">
        <f>G70</f>
        <v/>
      </c>
      <c r="H170" s="28">
        <f>$H70</f>
        <v/>
      </c>
      <c r="I170" s="28" t="e">
        <f>VLOOKUP(C170,C70:C124,7,0)</f>
        <v>#REF!</v>
      </c>
      <c r="J170" s="44" t="e">
        <f>I170*J70</f>
        <v>#REF!</v>
      </c>
      <c r="K170" s="45" t="e">
        <f>I170*K70</f>
        <v>#REF!</v>
      </c>
      <c r="L170" s="48" t="e">
        <f>I170*L70</f>
        <v>#REF!</v>
      </c>
      <c r="M170" s="44" t="e">
        <f>I170*M70</f>
        <v>#REF!</v>
      </c>
      <c r="N170" s="45" t="e">
        <f>I170*N70</f>
        <v>#REF!</v>
      </c>
      <c r="O170" s="48" t="e">
        <f>I170*O70</f>
        <v>#REF!</v>
      </c>
      <c r="P170" s="44" t="e">
        <f>I170*P70</f>
        <v>#REF!</v>
      </c>
      <c r="Q170" s="45" t="e">
        <f>I170*Q70</f>
        <v>#REF!</v>
      </c>
      <c r="R170" s="46" t="e">
        <f>I170*R70</f>
        <v>#REF!</v>
      </c>
      <c r="S170" s="47" t="e">
        <f>I170*S70</f>
        <v>#REF!</v>
      </c>
      <c r="T170" s="45" t="e">
        <f>I170*T70</f>
        <v>#REF!</v>
      </c>
      <c r="U170" s="48" t="e">
        <f>I170*U70</f>
        <v>#REF!</v>
      </c>
      <c r="V170" s="44" t="e">
        <f>I170*V70</f>
        <v>#REF!</v>
      </c>
      <c r="W170" s="45" t="e">
        <f>I170*W70</f>
        <v>#REF!</v>
      </c>
      <c r="X170" s="48" t="e">
        <f>I170*X70</f>
        <v>#REF!</v>
      </c>
      <c r="Y170" s="44" t="e">
        <f>I170*Y70</f>
        <v>#REF!</v>
      </c>
      <c r="Z170" s="45" t="e">
        <f>I170*Z70</f>
        <v>#REF!</v>
      </c>
      <c r="AA170" s="46" t="e">
        <f>I170*AA70</f>
        <v>#REF!</v>
      </c>
      <c r="AB170" s="44" t="e">
        <f>I170*AB70</f>
        <v>#REF!</v>
      </c>
      <c r="AC170" s="45" t="e">
        <f>I170*AC70</f>
        <v>#REF!</v>
      </c>
      <c r="AD170" s="46" t="e">
        <f>I170*AD70</f>
        <v>#REF!</v>
      </c>
      <c r="AE170" s="53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</row>
    <row r="171" spans="1:54" customHeight="1" ht="15.75" s="12" customFormat="1">
      <c r="A171" s="445"/>
      <c r="B171" s="417" t="str">
        <f>+B71</f>
        <v>HEV-LHD</v>
      </c>
      <c r="C171" s="159" t="str">
        <f>+C71</f>
        <v>82111-4DW60</v>
      </c>
      <c r="D171" s="55">
        <f>D71</f>
        <v/>
      </c>
      <c r="E171" s="27">
        <f>E71</f>
        <v/>
      </c>
      <c r="F171" s="27">
        <f>F71</f>
        <v/>
      </c>
      <c r="G171" s="27">
        <f>G71</f>
        <v/>
      </c>
      <c r="H171" s="28">
        <f>$H71</f>
        <v/>
      </c>
      <c r="I171" s="28" t="e">
        <f>VLOOKUP(C171,C71:C125,7,0)</f>
        <v>#REF!</v>
      </c>
      <c r="J171" s="44" t="e">
        <f>I171*J71</f>
        <v>#REF!</v>
      </c>
      <c r="K171" s="45" t="e">
        <f>I171*K71</f>
        <v>#REF!</v>
      </c>
      <c r="L171" s="48" t="e">
        <f>I171*L71</f>
        <v>#REF!</v>
      </c>
      <c r="M171" s="44" t="e">
        <f>I171*M71</f>
        <v>#REF!</v>
      </c>
      <c r="N171" s="45" t="e">
        <f>I171*N71</f>
        <v>#REF!</v>
      </c>
      <c r="O171" s="48" t="e">
        <f>I171*O71</f>
        <v>#REF!</v>
      </c>
      <c r="P171" s="44" t="e">
        <f>I171*P71</f>
        <v>#REF!</v>
      </c>
      <c r="Q171" s="45" t="e">
        <f>I171*Q71</f>
        <v>#REF!</v>
      </c>
      <c r="R171" s="46" t="e">
        <f>I171*R71</f>
        <v>#REF!</v>
      </c>
      <c r="S171" s="47" t="e">
        <f>I171*S71</f>
        <v>#REF!</v>
      </c>
      <c r="T171" s="45" t="e">
        <f>I171*T71</f>
        <v>#REF!</v>
      </c>
      <c r="U171" s="48" t="e">
        <f>I171*U71</f>
        <v>#REF!</v>
      </c>
      <c r="V171" s="44" t="e">
        <f>I171*V71</f>
        <v>#REF!</v>
      </c>
      <c r="W171" s="45" t="e">
        <f>I171*W71</f>
        <v>#REF!</v>
      </c>
      <c r="X171" s="48" t="e">
        <f>I171*X71</f>
        <v>#REF!</v>
      </c>
      <c r="Y171" s="44" t="e">
        <f>I171*Y71</f>
        <v>#REF!</v>
      </c>
      <c r="Z171" s="45" t="e">
        <f>I171*Z71</f>
        <v>#REF!</v>
      </c>
      <c r="AA171" s="46" t="e">
        <f>I171*AA71</f>
        <v>#REF!</v>
      </c>
      <c r="AB171" s="44" t="e">
        <f>I171*AB71</f>
        <v>#REF!</v>
      </c>
      <c r="AC171" s="45" t="e">
        <f>I171*AC71</f>
        <v>#REF!</v>
      </c>
      <c r="AD171" s="46" t="e">
        <f>I171*AD71</f>
        <v>#REF!</v>
      </c>
      <c r="AE171" s="53"/>
    </row>
    <row r="172" spans="1:54" customHeight="1" ht="15.75" s="12" customFormat="1">
      <c r="A172" s="445"/>
      <c r="B172" s="417" t="str">
        <f>+B72</f>
        <v>HEV-LHD</v>
      </c>
      <c r="C172" s="159" t="str">
        <f>+C72</f>
        <v>82111-4DW70</v>
      </c>
      <c r="D172" s="55">
        <f>D72</f>
        <v/>
      </c>
      <c r="E172" s="27">
        <f>E72</f>
        <v/>
      </c>
      <c r="F172" s="27">
        <f>F72</f>
        <v/>
      </c>
      <c r="G172" s="27">
        <f>G72</f>
        <v/>
      </c>
      <c r="H172" s="28">
        <f>$H72</f>
        <v/>
      </c>
      <c r="I172" s="28" t="e">
        <f>VLOOKUP(C172,C72:C126,7,0)</f>
        <v>#REF!</v>
      </c>
      <c r="J172" s="44" t="e">
        <f>I172*J72</f>
        <v>#REF!</v>
      </c>
      <c r="K172" s="45" t="e">
        <f>I172*K72</f>
        <v>#REF!</v>
      </c>
      <c r="L172" s="48" t="e">
        <f>I172*L72</f>
        <v>#REF!</v>
      </c>
      <c r="M172" s="44" t="e">
        <f>I172*M72</f>
        <v>#REF!</v>
      </c>
      <c r="N172" s="45" t="e">
        <f>I172*N72</f>
        <v>#REF!</v>
      </c>
      <c r="O172" s="48" t="e">
        <f>I172*O72</f>
        <v>#REF!</v>
      </c>
      <c r="P172" s="44" t="e">
        <f>I172*P72</f>
        <v>#REF!</v>
      </c>
      <c r="Q172" s="45" t="e">
        <f>I172*Q72</f>
        <v>#REF!</v>
      </c>
      <c r="R172" s="46" t="e">
        <f>I172*R72</f>
        <v>#REF!</v>
      </c>
      <c r="S172" s="47" t="e">
        <f>I172*S72</f>
        <v>#REF!</v>
      </c>
      <c r="T172" s="45" t="e">
        <f>I172*T72</f>
        <v>#REF!</v>
      </c>
      <c r="U172" s="48" t="e">
        <f>I172*U72</f>
        <v>#REF!</v>
      </c>
      <c r="V172" s="44" t="e">
        <f>I172*V72</f>
        <v>#REF!</v>
      </c>
      <c r="W172" s="45" t="e">
        <f>I172*W72</f>
        <v>#REF!</v>
      </c>
      <c r="X172" s="48" t="e">
        <f>I172*X72</f>
        <v>#REF!</v>
      </c>
      <c r="Y172" s="44" t="e">
        <f>I172*Y72</f>
        <v>#REF!</v>
      </c>
      <c r="Z172" s="45" t="e">
        <f>I172*Z72</f>
        <v>#REF!</v>
      </c>
      <c r="AA172" s="46" t="e">
        <f>I172*AA72</f>
        <v>#REF!</v>
      </c>
      <c r="AB172" s="44" t="e">
        <f>I172*AB72</f>
        <v>#REF!</v>
      </c>
      <c r="AC172" s="45" t="e">
        <f>I172*AC72</f>
        <v>#REF!</v>
      </c>
      <c r="AD172" s="46" t="e">
        <f>I172*AD72</f>
        <v>#REF!</v>
      </c>
      <c r="AE172" s="53"/>
    </row>
    <row r="173" spans="1:54" customHeight="1" ht="15.75">
      <c r="A173" s="445"/>
      <c r="B173" s="417" t="str">
        <f>+B73</f>
        <v>GAS-LHD</v>
      </c>
      <c r="C173" s="159" t="str">
        <f>+C73</f>
        <v>82111-4DW80</v>
      </c>
      <c r="D173" s="55">
        <f>D73</f>
        <v/>
      </c>
      <c r="E173" s="27">
        <f>E73</f>
        <v/>
      </c>
      <c r="F173" s="27">
        <f>F73</f>
        <v/>
      </c>
      <c r="G173" s="27">
        <f>G73</f>
        <v/>
      </c>
      <c r="H173" s="28">
        <f>$H73</f>
        <v/>
      </c>
      <c r="I173" s="28" t="e">
        <f>VLOOKUP(C173,C73:C127,7,0)</f>
        <v>#REF!</v>
      </c>
      <c r="J173" s="44" t="e">
        <f>I173*J73</f>
        <v>#REF!</v>
      </c>
      <c r="K173" s="45" t="e">
        <f>I173*K73</f>
        <v>#REF!</v>
      </c>
      <c r="L173" s="48" t="e">
        <f>I173*L73</f>
        <v>#REF!</v>
      </c>
      <c r="M173" s="44" t="e">
        <f>I173*M73</f>
        <v>#REF!</v>
      </c>
      <c r="N173" s="45" t="e">
        <f>I173*N73</f>
        <v>#REF!</v>
      </c>
      <c r="O173" s="48" t="e">
        <f>I173*O73</f>
        <v>#REF!</v>
      </c>
      <c r="P173" s="44" t="e">
        <f>I173*P73</f>
        <v>#REF!</v>
      </c>
      <c r="Q173" s="45" t="e">
        <f>I173*Q73</f>
        <v>#REF!</v>
      </c>
      <c r="R173" s="46" t="e">
        <f>I173*R73</f>
        <v>#REF!</v>
      </c>
      <c r="S173" s="47" t="e">
        <f>I173*S73</f>
        <v>#REF!</v>
      </c>
      <c r="T173" s="45" t="e">
        <f>I173*T73</f>
        <v>#REF!</v>
      </c>
      <c r="U173" s="48" t="e">
        <f>I173*U73</f>
        <v>#REF!</v>
      </c>
      <c r="V173" s="44" t="e">
        <f>I173*V73</f>
        <v>#REF!</v>
      </c>
      <c r="W173" s="45" t="e">
        <f>I173*W73</f>
        <v>#REF!</v>
      </c>
      <c r="X173" s="48" t="e">
        <f>I173*X73</f>
        <v>#REF!</v>
      </c>
      <c r="Y173" s="44" t="e">
        <f>I173*Y73</f>
        <v>#REF!</v>
      </c>
      <c r="Z173" s="45" t="e">
        <f>I173*Z73</f>
        <v>#REF!</v>
      </c>
      <c r="AA173" s="46" t="e">
        <f>I173*AA73</f>
        <v>#REF!</v>
      </c>
      <c r="AB173" s="44" t="e">
        <f>I173*AB73</f>
        <v>#REF!</v>
      </c>
      <c r="AC173" s="45" t="e">
        <f>I173*AC73</f>
        <v>#REF!</v>
      </c>
      <c r="AD173" s="46" t="e">
        <f>I173*AD73</f>
        <v>#REF!</v>
      </c>
      <c r="AE173" s="53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</row>
    <row r="174" spans="1:54" customHeight="1" ht="15.75">
      <c r="A174" s="445"/>
      <c r="B174" s="417" t="str">
        <f>+B74</f>
        <v>HEV-LHD</v>
      </c>
      <c r="C174" s="159" t="str">
        <f>+C74</f>
        <v>82111-4DW90</v>
      </c>
      <c r="D174" s="55">
        <f>D74</f>
        <v/>
      </c>
      <c r="E174" s="27">
        <f>E74</f>
        <v/>
      </c>
      <c r="F174" s="27">
        <f>F74</f>
        <v/>
      </c>
      <c r="G174" s="27">
        <f>G74</f>
        <v/>
      </c>
      <c r="H174" s="28">
        <f>$H74</f>
        <v/>
      </c>
      <c r="I174" s="28" t="e">
        <f>VLOOKUP(C174,C74:C128,7,0)</f>
        <v>#REF!</v>
      </c>
      <c r="J174" s="44" t="e">
        <f>I174*J74</f>
        <v>#REF!</v>
      </c>
      <c r="K174" s="45" t="e">
        <f>I174*K74</f>
        <v>#REF!</v>
      </c>
      <c r="L174" s="48" t="e">
        <f>I174*L74</f>
        <v>#REF!</v>
      </c>
      <c r="M174" s="44" t="e">
        <f>I174*M74</f>
        <v>#REF!</v>
      </c>
      <c r="N174" s="45" t="e">
        <f>I174*N74</f>
        <v>#REF!</v>
      </c>
      <c r="O174" s="48" t="e">
        <f>I174*O74</f>
        <v>#REF!</v>
      </c>
      <c r="P174" s="44" t="e">
        <f>I174*P74</f>
        <v>#REF!</v>
      </c>
      <c r="Q174" s="45" t="e">
        <f>I174*Q74</f>
        <v>#REF!</v>
      </c>
      <c r="R174" s="46" t="e">
        <f>I174*R74</f>
        <v>#REF!</v>
      </c>
      <c r="S174" s="47" t="e">
        <f>I174*S74</f>
        <v>#REF!</v>
      </c>
      <c r="T174" s="45" t="e">
        <f>I174*T74</f>
        <v>#REF!</v>
      </c>
      <c r="U174" s="48" t="e">
        <f>I174*U74</f>
        <v>#REF!</v>
      </c>
      <c r="V174" s="44" t="e">
        <f>I174*V74</f>
        <v>#REF!</v>
      </c>
      <c r="W174" s="45" t="e">
        <f>I174*W74</f>
        <v>#REF!</v>
      </c>
      <c r="X174" s="48" t="e">
        <f>I174*X74</f>
        <v>#REF!</v>
      </c>
      <c r="Y174" s="44" t="e">
        <f>I174*Y74</f>
        <v>#REF!</v>
      </c>
      <c r="Z174" s="45" t="e">
        <f>I174*Z74</f>
        <v>#REF!</v>
      </c>
      <c r="AA174" s="46" t="e">
        <f>I174*AA74</f>
        <v>#REF!</v>
      </c>
      <c r="AB174" s="44" t="e">
        <f>I174*AB74</f>
        <v>#REF!</v>
      </c>
      <c r="AC174" s="45" t="e">
        <f>I174*AC74</f>
        <v>#REF!</v>
      </c>
      <c r="AD174" s="46" t="e">
        <f>I174*AD74</f>
        <v>#REF!</v>
      </c>
      <c r="AE174" s="53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</row>
    <row r="175" spans="1:54" customHeight="1" ht="15.75">
      <c r="A175" s="445"/>
      <c r="B175" s="417" t="str">
        <f>+B75</f>
        <v>HEV-LHD</v>
      </c>
      <c r="C175" s="159" t="str">
        <f>+C75</f>
        <v>82111-4DX00</v>
      </c>
      <c r="D175" s="55">
        <f>D75</f>
        <v/>
      </c>
      <c r="E175" s="27">
        <f>E75</f>
        <v/>
      </c>
      <c r="F175" s="27">
        <f>F75</f>
        <v/>
      </c>
      <c r="G175" s="27">
        <f>G75</f>
        <v/>
      </c>
      <c r="H175" s="28">
        <f>$H75</f>
        <v/>
      </c>
      <c r="I175" s="28" t="e">
        <f>VLOOKUP(C175,C75:C129,7,0)</f>
        <v>#REF!</v>
      </c>
      <c r="J175" s="44" t="e">
        <f>I175*J75</f>
        <v>#REF!</v>
      </c>
      <c r="K175" s="45" t="e">
        <f>I175*K75</f>
        <v>#REF!</v>
      </c>
      <c r="L175" s="48" t="e">
        <f>I175*L75</f>
        <v>#REF!</v>
      </c>
      <c r="M175" s="44" t="e">
        <f>I175*M75</f>
        <v>#REF!</v>
      </c>
      <c r="N175" s="45" t="e">
        <f>I175*N75</f>
        <v>#REF!</v>
      </c>
      <c r="O175" s="48" t="e">
        <f>I175*O75</f>
        <v>#REF!</v>
      </c>
      <c r="P175" s="44" t="e">
        <f>I175*P75</f>
        <v>#REF!</v>
      </c>
      <c r="Q175" s="45" t="e">
        <f>I175*Q75</f>
        <v>#REF!</v>
      </c>
      <c r="R175" s="46" t="e">
        <f>I175*R75</f>
        <v>#REF!</v>
      </c>
      <c r="S175" s="47" t="e">
        <f>I175*S75</f>
        <v>#REF!</v>
      </c>
      <c r="T175" s="45" t="e">
        <f>I175*T75</f>
        <v>#REF!</v>
      </c>
      <c r="U175" s="48" t="e">
        <f>I175*U75</f>
        <v>#REF!</v>
      </c>
      <c r="V175" s="44" t="e">
        <f>I175*V75</f>
        <v>#REF!</v>
      </c>
      <c r="W175" s="45" t="e">
        <f>I175*W75</f>
        <v>#REF!</v>
      </c>
      <c r="X175" s="48" t="e">
        <f>I175*X75</f>
        <v>#REF!</v>
      </c>
      <c r="Y175" s="44" t="e">
        <f>I175*Y75</f>
        <v>#REF!</v>
      </c>
      <c r="Z175" s="45" t="e">
        <f>I175*Z75</f>
        <v>#REF!</v>
      </c>
      <c r="AA175" s="46" t="e">
        <f>I175*AA75</f>
        <v>#REF!</v>
      </c>
      <c r="AB175" s="44" t="e">
        <f>I175*AB75</f>
        <v>#REF!</v>
      </c>
      <c r="AC175" s="45" t="e">
        <f>I175*AC75</f>
        <v>#REF!</v>
      </c>
      <c r="AD175" s="46" t="e">
        <f>I175*AD75</f>
        <v>#REF!</v>
      </c>
      <c r="AE175" s="53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</row>
    <row r="176" spans="1:54" customHeight="1" ht="15.75">
      <c r="A176" s="445"/>
      <c r="B176" s="417" t="str">
        <f>+B76</f>
        <v>HEV-LHD</v>
      </c>
      <c r="C176" s="159" t="str">
        <f>+C76</f>
        <v>82111-4DX10</v>
      </c>
      <c r="D176" s="55">
        <f>D76</f>
        <v/>
      </c>
      <c r="E176" s="27">
        <f>E76</f>
        <v/>
      </c>
      <c r="F176" s="27">
        <f>F76</f>
        <v/>
      </c>
      <c r="G176" s="27">
        <f>G76</f>
        <v/>
      </c>
      <c r="H176" s="28">
        <f>$H76</f>
        <v/>
      </c>
      <c r="I176" s="28" t="e">
        <f>VLOOKUP(C176,C76:C130,7,0)</f>
        <v>#REF!</v>
      </c>
      <c r="J176" s="44" t="e">
        <f>I176*J76</f>
        <v>#REF!</v>
      </c>
      <c r="K176" s="45" t="e">
        <f>I176*K76</f>
        <v>#REF!</v>
      </c>
      <c r="L176" s="48" t="e">
        <f>I176*L76</f>
        <v>#REF!</v>
      </c>
      <c r="M176" s="44" t="e">
        <f>I176*M76</f>
        <v>#REF!</v>
      </c>
      <c r="N176" s="45" t="e">
        <f>I176*N76</f>
        <v>#REF!</v>
      </c>
      <c r="O176" s="48" t="e">
        <f>I176*O76</f>
        <v>#REF!</v>
      </c>
      <c r="P176" s="44" t="e">
        <f>I176*P76</f>
        <v>#REF!</v>
      </c>
      <c r="Q176" s="45" t="e">
        <f>I176*Q76</f>
        <v>#REF!</v>
      </c>
      <c r="R176" s="46" t="e">
        <f>I176*R76</f>
        <v>#REF!</v>
      </c>
      <c r="S176" s="47" t="e">
        <f>I176*S76</f>
        <v>#REF!</v>
      </c>
      <c r="T176" s="45" t="e">
        <f>I176*T76</f>
        <v>#REF!</v>
      </c>
      <c r="U176" s="48" t="e">
        <f>I176*U76</f>
        <v>#REF!</v>
      </c>
      <c r="V176" s="44" t="e">
        <f>I176*V76</f>
        <v>#REF!</v>
      </c>
      <c r="W176" s="45" t="e">
        <f>I176*W76</f>
        <v>#REF!</v>
      </c>
      <c r="X176" s="48" t="e">
        <f>I176*X76</f>
        <v>#REF!</v>
      </c>
      <c r="Y176" s="44" t="e">
        <f>I176*Y76</f>
        <v>#REF!</v>
      </c>
      <c r="Z176" s="45" t="e">
        <f>I176*Z76</f>
        <v>#REF!</v>
      </c>
      <c r="AA176" s="46" t="e">
        <f>I176*AA76</f>
        <v>#REF!</v>
      </c>
      <c r="AB176" s="44" t="e">
        <f>I176*AB76</f>
        <v>#REF!</v>
      </c>
      <c r="AC176" s="45" t="e">
        <f>I176*AC76</f>
        <v>#REF!</v>
      </c>
      <c r="AD176" s="46" t="e">
        <f>I176*AD76</f>
        <v>#REF!</v>
      </c>
      <c r="AE176" s="53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</row>
    <row r="177" spans="1:54" customHeight="1" ht="15.75">
      <c r="A177" s="445"/>
      <c r="B177" s="417" t="str">
        <f>+B77</f>
        <v>HEV-LHD</v>
      </c>
      <c r="C177" s="159" t="str">
        <f>+C77</f>
        <v>82111-4DX20</v>
      </c>
      <c r="D177" s="55">
        <f>D77</f>
        <v/>
      </c>
      <c r="E177" s="27">
        <f>E77</f>
        <v/>
      </c>
      <c r="F177" s="27">
        <f>F77</f>
        <v/>
      </c>
      <c r="G177" s="27">
        <f>G77</f>
        <v/>
      </c>
      <c r="H177" s="28">
        <f>$H77</f>
        <v/>
      </c>
      <c r="I177" s="28" t="e">
        <f>VLOOKUP(C177,C77:C131,7,0)</f>
        <v>#REF!</v>
      </c>
      <c r="J177" s="44" t="e">
        <f>I177*J77</f>
        <v>#REF!</v>
      </c>
      <c r="K177" s="45" t="e">
        <f>I177*K77</f>
        <v>#REF!</v>
      </c>
      <c r="L177" s="48" t="e">
        <f>I177*L77</f>
        <v>#REF!</v>
      </c>
      <c r="M177" s="44" t="e">
        <f>I177*M77</f>
        <v>#REF!</v>
      </c>
      <c r="N177" s="45" t="e">
        <f>I177*N77</f>
        <v>#REF!</v>
      </c>
      <c r="O177" s="48" t="e">
        <f>I177*O77</f>
        <v>#REF!</v>
      </c>
      <c r="P177" s="44" t="e">
        <f>I177*P77</f>
        <v>#REF!</v>
      </c>
      <c r="Q177" s="45" t="e">
        <f>I177*Q77</f>
        <v>#REF!</v>
      </c>
      <c r="R177" s="46" t="e">
        <f>I177*R77</f>
        <v>#REF!</v>
      </c>
      <c r="S177" s="47" t="e">
        <f>I177*S77</f>
        <v>#REF!</v>
      </c>
      <c r="T177" s="45" t="e">
        <f>I177*T77</f>
        <v>#REF!</v>
      </c>
      <c r="U177" s="48" t="e">
        <f>I177*U77</f>
        <v>#REF!</v>
      </c>
      <c r="V177" s="44" t="e">
        <f>I177*V77</f>
        <v>#REF!</v>
      </c>
      <c r="W177" s="45" t="e">
        <f>I177*W77</f>
        <v>#REF!</v>
      </c>
      <c r="X177" s="48" t="e">
        <f>I177*X77</f>
        <v>#REF!</v>
      </c>
      <c r="Y177" s="44" t="e">
        <f>I177*Y77</f>
        <v>#REF!</v>
      </c>
      <c r="Z177" s="45" t="e">
        <f>I177*Z77</f>
        <v>#REF!</v>
      </c>
      <c r="AA177" s="46" t="e">
        <f>I177*AA77</f>
        <v>#REF!</v>
      </c>
      <c r="AB177" s="44" t="e">
        <f>I177*AB77</f>
        <v>#REF!</v>
      </c>
      <c r="AC177" s="45" t="e">
        <f>I177*AC77</f>
        <v>#REF!</v>
      </c>
      <c r="AD177" s="46" t="e">
        <f>I177*AD77</f>
        <v>#REF!</v>
      </c>
      <c r="AE177" s="53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</row>
    <row r="178" spans="1:54" customHeight="1" ht="15.75">
      <c r="A178" s="445"/>
      <c r="B178" s="417" t="str">
        <f>+B78</f>
        <v>HEV-LHD</v>
      </c>
      <c r="C178" s="159" t="str">
        <f>+C78</f>
        <v>82111-4DX30</v>
      </c>
      <c r="D178" s="55">
        <f>D78</f>
        <v/>
      </c>
      <c r="E178" s="27">
        <f>E78</f>
        <v/>
      </c>
      <c r="F178" s="27">
        <f>F78</f>
        <v/>
      </c>
      <c r="G178" s="27">
        <f>G78</f>
        <v/>
      </c>
      <c r="H178" s="28">
        <f>$H78</f>
        <v/>
      </c>
      <c r="I178" s="28" t="e">
        <f>VLOOKUP(C178,C78:C132,7,0)</f>
        <v>#REF!</v>
      </c>
      <c r="J178" s="44" t="e">
        <f>I178*J78</f>
        <v>#REF!</v>
      </c>
      <c r="K178" s="45" t="e">
        <f>I178*K78</f>
        <v>#REF!</v>
      </c>
      <c r="L178" s="48" t="e">
        <f>I178*L78</f>
        <v>#REF!</v>
      </c>
      <c r="M178" s="44" t="e">
        <f>I178*M78</f>
        <v>#REF!</v>
      </c>
      <c r="N178" s="45" t="e">
        <f>I178*N78</f>
        <v>#REF!</v>
      </c>
      <c r="O178" s="48" t="e">
        <f>I178*O78</f>
        <v>#REF!</v>
      </c>
      <c r="P178" s="44" t="e">
        <f>I178*P78</f>
        <v>#REF!</v>
      </c>
      <c r="Q178" s="45" t="e">
        <f>I178*Q78</f>
        <v>#REF!</v>
      </c>
      <c r="R178" s="46" t="e">
        <f>I178*R78</f>
        <v>#REF!</v>
      </c>
      <c r="S178" s="47" t="e">
        <f>I178*S78</f>
        <v>#REF!</v>
      </c>
      <c r="T178" s="45" t="e">
        <f>I178*T78</f>
        <v>#REF!</v>
      </c>
      <c r="U178" s="48" t="e">
        <f>I178*U78</f>
        <v>#REF!</v>
      </c>
      <c r="V178" s="44" t="e">
        <f>I178*V78</f>
        <v>#REF!</v>
      </c>
      <c r="W178" s="45" t="e">
        <f>I178*W78</f>
        <v>#REF!</v>
      </c>
      <c r="X178" s="48" t="e">
        <f>I178*X78</f>
        <v>#REF!</v>
      </c>
      <c r="Y178" s="44" t="e">
        <f>I178*Y78</f>
        <v>#REF!</v>
      </c>
      <c r="Z178" s="45" t="e">
        <f>I178*Z78</f>
        <v>#REF!</v>
      </c>
      <c r="AA178" s="46" t="e">
        <f>I178*AA78</f>
        <v>#REF!</v>
      </c>
      <c r="AB178" s="44" t="e">
        <f>I178*AB78</f>
        <v>#REF!</v>
      </c>
      <c r="AC178" s="45" t="e">
        <f>I178*AC78</f>
        <v>#REF!</v>
      </c>
      <c r="AD178" s="46" t="e">
        <f>I178*AD78</f>
        <v>#REF!</v>
      </c>
      <c r="AE178" s="53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</row>
    <row r="179" spans="1:54" customHeight="1" ht="15.75" s="12" customFormat="1">
      <c r="A179" s="445"/>
      <c r="B179" s="417" t="str">
        <f>+B79</f>
        <v>HEV-RHD</v>
      </c>
      <c r="C179" s="159" t="str">
        <f>+C79</f>
        <v>82111-4DX50</v>
      </c>
      <c r="D179" s="55">
        <f>D79</f>
        <v/>
      </c>
      <c r="E179" s="27">
        <f>E79</f>
        <v/>
      </c>
      <c r="F179" s="27">
        <f>F79</f>
        <v/>
      </c>
      <c r="G179" s="27">
        <f>G79</f>
        <v/>
      </c>
      <c r="H179" s="28">
        <f>$H79</f>
        <v/>
      </c>
      <c r="I179" s="28" t="e">
        <f>VLOOKUP(C179,C79:C133,7,0)</f>
        <v>#REF!</v>
      </c>
      <c r="J179" s="44" t="e">
        <f>I179*J79</f>
        <v>#REF!</v>
      </c>
      <c r="K179" s="45" t="e">
        <f>I179*K79</f>
        <v>#REF!</v>
      </c>
      <c r="L179" s="48" t="e">
        <f>I179*L79</f>
        <v>#REF!</v>
      </c>
      <c r="M179" s="44" t="e">
        <f>I179*M79</f>
        <v>#REF!</v>
      </c>
      <c r="N179" s="45" t="e">
        <f>I179*N79</f>
        <v>#REF!</v>
      </c>
      <c r="O179" s="48" t="e">
        <f>I179*O79</f>
        <v>#REF!</v>
      </c>
      <c r="P179" s="44" t="e">
        <f>I179*P79</f>
        <v>#REF!</v>
      </c>
      <c r="Q179" s="45" t="e">
        <f>I179*Q79</f>
        <v>#REF!</v>
      </c>
      <c r="R179" s="46" t="e">
        <f>I179*R79</f>
        <v>#REF!</v>
      </c>
      <c r="S179" s="47" t="e">
        <f>I179*S79</f>
        <v>#REF!</v>
      </c>
      <c r="T179" s="45" t="e">
        <f>I179*T79</f>
        <v>#REF!</v>
      </c>
      <c r="U179" s="48" t="e">
        <f>I179*U79</f>
        <v>#REF!</v>
      </c>
      <c r="V179" s="44" t="e">
        <f>I179*V79</f>
        <v>#REF!</v>
      </c>
      <c r="W179" s="45" t="e">
        <f>I179*W79</f>
        <v>#REF!</v>
      </c>
      <c r="X179" s="48" t="e">
        <f>I179*X79</f>
        <v>#REF!</v>
      </c>
      <c r="Y179" s="44" t="e">
        <f>I179*Y79</f>
        <v>#REF!</v>
      </c>
      <c r="Z179" s="45" t="e">
        <f>I179*Z79</f>
        <v>#REF!</v>
      </c>
      <c r="AA179" s="46" t="e">
        <f>I179*AA79</f>
        <v>#REF!</v>
      </c>
      <c r="AB179" s="44" t="e">
        <f>I179*AB79</f>
        <v>#REF!</v>
      </c>
      <c r="AC179" s="45" t="e">
        <f>I179*AC79</f>
        <v>#REF!</v>
      </c>
      <c r="AD179" s="46" t="e">
        <f>I179*AD79</f>
        <v>#REF!</v>
      </c>
      <c r="AE179" s="53"/>
    </row>
    <row r="180" spans="1:54" customHeight="1" ht="15.75" s="12" customFormat="1">
      <c r="A180" s="445"/>
      <c r="B180" s="417" t="str">
        <f>+B80</f>
        <v>HEV-RHD</v>
      </c>
      <c r="C180" s="159" t="str">
        <f>+C80</f>
        <v>82111-4DX60</v>
      </c>
      <c r="D180" s="55">
        <f>D80</f>
        <v/>
      </c>
      <c r="E180" s="27">
        <f>E80</f>
        <v/>
      </c>
      <c r="F180" s="27">
        <f>F80</f>
        <v/>
      </c>
      <c r="G180" s="27">
        <f>G80</f>
        <v/>
      </c>
      <c r="H180" s="28">
        <f>$H80</f>
        <v/>
      </c>
      <c r="I180" s="28" t="e">
        <f>VLOOKUP(C180,C80:C134,7,0)</f>
        <v>#REF!</v>
      </c>
      <c r="J180" s="44" t="e">
        <f>I180*J80</f>
        <v>#REF!</v>
      </c>
      <c r="K180" s="45" t="e">
        <f>I180*K80</f>
        <v>#REF!</v>
      </c>
      <c r="L180" s="48" t="e">
        <f>I180*L80</f>
        <v>#REF!</v>
      </c>
      <c r="M180" s="44" t="e">
        <f>I180*M80</f>
        <v>#REF!</v>
      </c>
      <c r="N180" s="45" t="e">
        <f>I180*N80</f>
        <v>#REF!</v>
      </c>
      <c r="O180" s="48" t="e">
        <f>I180*O80</f>
        <v>#REF!</v>
      </c>
      <c r="P180" s="44" t="e">
        <f>I180*P80</f>
        <v>#REF!</v>
      </c>
      <c r="Q180" s="45" t="e">
        <f>I180*Q80</f>
        <v>#REF!</v>
      </c>
      <c r="R180" s="46" t="e">
        <f>I180*R80</f>
        <v>#REF!</v>
      </c>
      <c r="S180" s="47" t="e">
        <f>I180*S80</f>
        <v>#REF!</v>
      </c>
      <c r="T180" s="45" t="e">
        <f>I180*T80</f>
        <v>#REF!</v>
      </c>
      <c r="U180" s="48" t="e">
        <f>I180*U80</f>
        <v>#REF!</v>
      </c>
      <c r="V180" s="44" t="e">
        <f>I180*V80</f>
        <v>#REF!</v>
      </c>
      <c r="W180" s="45" t="e">
        <f>I180*W80</f>
        <v>#REF!</v>
      </c>
      <c r="X180" s="48" t="e">
        <f>I180*X80</f>
        <v>#REF!</v>
      </c>
      <c r="Y180" s="44" t="e">
        <f>I180*Y80</f>
        <v>#REF!</v>
      </c>
      <c r="Z180" s="45" t="e">
        <f>I180*Z80</f>
        <v>#REF!</v>
      </c>
      <c r="AA180" s="46" t="e">
        <f>I180*AA80</f>
        <v>#REF!</v>
      </c>
      <c r="AB180" s="44" t="e">
        <f>I180*AB80</f>
        <v>#REF!</v>
      </c>
      <c r="AC180" s="45" t="e">
        <f>I180*AC80</f>
        <v>#REF!</v>
      </c>
      <c r="AD180" s="46" t="e">
        <f>I180*AD80</f>
        <v>#REF!</v>
      </c>
      <c r="AE180" s="53"/>
    </row>
    <row r="181" spans="1:54" customHeight="1" ht="15.75">
      <c r="A181" s="445"/>
      <c r="B181" s="417" t="str">
        <f>+B81</f>
        <v>HEV-RHD</v>
      </c>
      <c r="C181" s="159" t="str">
        <f>+C81</f>
        <v>82111-4DX70</v>
      </c>
      <c r="D181" s="55">
        <f>D81</f>
        <v/>
      </c>
      <c r="E181" s="27">
        <f>E81</f>
        <v/>
      </c>
      <c r="F181" s="27">
        <f>F81</f>
        <v/>
      </c>
      <c r="G181" s="27">
        <f>G81</f>
        <v/>
      </c>
      <c r="H181" s="28">
        <f>$H81</f>
        <v/>
      </c>
      <c r="I181" s="28" t="e">
        <f>VLOOKUP(C181,C81:C135,7,0)</f>
        <v>#REF!</v>
      </c>
      <c r="J181" s="44" t="e">
        <f>I181*J81</f>
        <v>#REF!</v>
      </c>
      <c r="K181" s="45" t="e">
        <f>I181*K81</f>
        <v>#REF!</v>
      </c>
      <c r="L181" s="48" t="e">
        <f>I181*L81</f>
        <v>#REF!</v>
      </c>
      <c r="M181" s="44" t="e">
        <f>I181*M81</f>
        <v>#REF!</v>
      </c>
      <c r="N181" s="45" t="e">
        <f>I181*N81</f>
        <v>#REF!</v>
      </c>
      <c r="O181" s="48" t="e">
        <f>I181*O81</f>
        <v>#REF!</v>
      </c>
      <c r="P181" s="44" t="e">
        <f>I181*P81</f>
        <v>#REF!</v>
      </c>
      <c r="Q181" s="45" t="e">
        <f>I181*Q81</f>
        <v>#REF!</v>
      </c>
      <c r="R181" s="46" t="e">
        <f>I181*R81</f>
        <v>#REF!</v>
      </c>
      <c r="S181" s="47" t="e">
        <f>I181*S81</f>
        <v>#REF!</v>
      </c>
      <c r="T181" s="45" t="e">
        <f>I181*T81</f>
        <v>#REF!</v>
      </c>
      <c r="U181" s="48" t="e">
        <f>I181*U81</f>
        <v>#REF!</v>
      </c>
      <c r="V181" s="44" t="e">
        <f>I181*V81</f>
        <v>#REF!</v>
      </c>
      <c r="W181" s="45" t="e">
        <f>I181*W81</f>
        <v>#REF!</v>
      </c>
      <c r="X181" s="48" t="e">
        <f>I181*X81</f>
        <v>#REF!</v>
      </c>
      <c r="Y181" s="44" t="e">
        <f>I181*Y81</f>
        <v>#REF!</v>
      </c>
      <c r="Z181" s="45" t="e">
        <f>I181*Z81</f>
        <v>#REF!</v>
      </c>
      <c r="AA181" s="46" t="e">
        <f>I181*AA81</f>
        <v>#REF!</v>
      </c>
      <c r="AB181" s="44" t="e">
        <f>I181*AB81</f>
        <v>#REF!</v>
      </c>
      <c r="AC181" s="45" t="e">
        <f>I181*AC81</f>
        <v>#REF!</v>
      </c>
      <c r="AD181" s="46" t="e">
        <f>I181*AD81</f>
        <v>#REF!</v>
      </c>
      <c r="AE181" s="53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</row>
    <row r="182" spans="1:54" customHeight="1" ht="15.75" s="12" customFormat="1">
      <c r="A182" s="445"/>
      <c r="B182" s="417" t="str">
        <f>+B82</f>
        <v>GAS-LHD</v>
      </c>
      <c r="C182" s="159" t="str">
        <f>+C82</f>
        <v>82111-4DX80</v>
      </c>
      <c r="D182" s="55">
        <f>D82</f>
        <v/>
      </c>
      <c r="E182" s="27">
        <f>E82</f>
        <v/>
      </c>
      <c r="F182" s="27">
        <f>F82</f>
        <v/>
      </c>
      <c r="G182" s="27">
        <f>G82</f>
        <v/>
      </c>
      <c r="H182" s="28">
        <f>$H82</f>
        <v/>
      </c>
      <c r="I182" s="28" t="e">
        <f>VLOOKUP(C182,C82:C136,7,0)</f>
        <v>#REF!</v>
      </c>
      <c r="J182" s="44" t="e">
        <f>I182*J82</f>
        <v>#REF!</v>
      </c>
      <c r="K182" s="45" t="e">
        <f>I182*K82</f>
        <v>#REF!</v>
      </c>
      <c r="L182" s="48" t="e">
        <f>I182*L82</f>
        <v>#REF!</v>
      </c>
      <c r="M182" s="44" t="e">
        <f>I182*M82</f>
        <v>#REF!</v>
      </c>
      <c r="N182" s="45" t="e">
        <f>I182*N82</f>
        <v>#REF!</v>
      </c>
      <c r="O182" s="48" t="e">
        <f>I182*O82</f>
        <v>#REF!</v>
      </c>
      <c r="P182" s="44" t="e">
        <f>I182*P82</f>
        <v>#REF!</v>
      </c>
      <c r="Q182" s="45" t="e">
        <f>I182*Q82</f>
        <v>#REF!</v>
      </c>
      <c r="R182" s="46" t="e">
        <f>I182*R82</f>
        <v>#REF!</v>
      </c>
      <c r="S182" s="47" t="e">
        <f>I182*S82</f>
        <v>#REF!</v>
      </c>
      <c r="T182" s="45" t="e">
        <f>I182*T82</f>
        <v>#REF!</v>
      </c>
      <c r="U182" s="48" t="e">
        <f>I182*U82</f>
        <v>#REF!</v>
      </c>
      <c r="V182" s="44" t="e">
        <f>I182*V82</f>
        <v>#REF!</v>
      </c>
      <c r="W182" s="45" t="e">
        <f>I182*W82</f>
        <v>#REF!</v>
      </c>
      <c r="X182" s="48" t="e">
        <f>I182*X82</f>
        <v>#REF!</v>
      </c>
      <c r="Y182" s="44" t="e">
        <f>I182*Y82</f>
        <v>#REF!</v>
      </c>
      <c r="Z182" s="45" t="e">
        <f>I182*Z82</f>
        <v>#REF!</v>
      </c>
      <c r="AA182" s="46" t="e">
        <f>I182*AA82</f>
        <v>#REF!</v>
      </c>
      <c r="AB182" s="44" t="e">
        <f>I182*AB82</f>
        <v>#REF!</v>
      </c>
      <c r="AC182" s="45" t="e">
        <f>I182*AC82</f>
        <v>#REF!</v>
      </c>
      <c r="AD182" s="46" t="e">
        <f>I182*AD82</f>
        <v>#REF!</v>
      </c>
      <c r="AE182" s="53"/>
    </row>
    <row r="183" spans="1:54" customHeight="1" ht="15.75" s="12" customFormat="1">
      <c r="A183" s="445"/>
      <c r="B183" s="417" t="str">
        <f>+B83</f>
        <v>HEV-LHD</v>
      </c>
      <c r="C183" s="159" t="str">
        <f>+C83</f>
        <v>82111-4DX90</v>
      </c>
      <c r="D183" s="55">
        <f>D83</f>
        <v/>
      </c>
      <c r="E183" s="27">
        <f>E83</f>
        <v/>
      </c>
      <c r="F183" s="27">
        <f>F83</f>
        <v/>
      </c>
      <c r="G183" s="27">
        <f>G83</f>
        <v/>
      </c>
      <c r="H183" s="28">
        <f>$H83</f>
        <v/>
      </c>
      <c r="I183" s="28" t="e">
        <f>VLOOKUP(C183,C83:C137,7,0)</f>
        <v>#REF!</v>
      </c>
      <c r="J183" s="44" t="e">
        <f>I183*J83</f>
        <v>#REF!</v>
      </c>
      <c r="K183" s="45" t="e">
        <f>I183*K83</f>
        <v>#REF!</v>
      </c>
      <c r="L183" s="48" t="e">
        <f>I183*L83</f>
        <v>#REF!</v>
      </c>
      <c r="M183" s="44" t="e">
        <f>I183*M83</f>
        <v>#REF!</v>
      </c>
      <c r="N183" s="45" t="e">
        <f>I183*N83</f>
        <v>#REF!</v>
      </c>
      <c r="O183" s="48" t="e">
        <f>I183*O83</f>
        <v>#REF!</v>
      </c>
      <c r="P183" s="44" t="e">
        <f>I183*P83</f>
        <v>#REF!</v>
      </c>
      <c r="Q183" s="45" t="e">
        <f>I183*Q83</f>
        <v>#REF!</v>
      </c>
      <c r="R183" s="46" t="e">
        <f>I183*R83</f>
        <v>#REF!</v>
      </c>
      <c r="S183" s="47" t="e">
        <f>I183*S83</f>
        <v>#REF!</v>
      </c>
      <c r="T183" s="45" t="e">
        <f>I183*T83</f>
        <v>#REF!</v>
      </c>
      <c r="U183" s="48" t="e">
        <f>I183*U83</f>
        <v>#REF!</v>
      </c>
      <c r="V183" s="44" t="e">
        <f>I183*V83</f>
        <v>#REF!</v>
      </c>
      <c r="W183" s="45" t="e">
        <f>I183*W83</f>
        <v>#REF!</v>
      </c>
      <c r="X183" s="48" t="e">
        <f>I183*X83</f>
        <v>#REF!</v>
      </c>
      <c r="Y183" s="44" t="e">
        <f>I183*Y83</f>
        <v>#REF!</v>
      </c>
      <c r="Z183" s="45" t="e">
        <f>I183*Z83</f>
        <v>#REF!</v>
      </c>
      <c r="AA183" s="46" t="e">
        <f>I183*AA83</f>
        <v>#REF!</v>
      </c>
      <c r="AB183" s="44" t="e">
        <f>I183*AB83</f>
        <v>#REF!</v>
      </c>
      <c r="AC183" s="45" t="e">
        <f>I183*AC83</f>
        <v>#REF!</v>
      </c>
      <c r="AD183" s="46" t="e">
        <f>I183*AD83</f>
        <v>#REF!</v>
      </c>
      <c r="AE183" s="53"/>
    </row>
    <row r="184" spans="1:54" customHeight="1" ht="15.75">
      <c r="A184" s="445"/>
      <c r="B184" s="417" t="str">
        <f>+B84</f>
        <v>HEV-RHD</v>
      </c>
      <c r="C184" s="159" t="str">
        <f>+C84</f>
        <v>82111-4DY10</v>
      </c>
      <c r="D184" s="55">
        <f>D84</f>
        <v/>
      </c>
      <c r="E184" s="27">
        <f>E84</f>
        <v/>
      </c>
      <c r="F184" s="27">
        <f>F84</f>
        <v/>
      </c>
      <c r="G184" s="27">
        <f>G84</f>
        <v/>
      </c>
      <c r="H184" s="28">
        <f>$H84</f>
        <v/>
      </c>
      <c r="I184" s="28" t="e">
        <f>VLOOKUP(C184,C84:C138,7,0)</f>
        <v>#REF!</v>
      </c>
      <c r="J184" s="44" t="e">
        <f>I184*J84</f>
        <v>#REF!</v>
      </c>
      <c r="K184" s="45" t="e">
        <f>I184*K84</f>
        <v>#REF!</v>
      </c>
      <c r="L184" s="48" t="e">
        <f>I184*L84</f>
        <v>#REF!</v>
      </c>
      <c r="M184" s="44" t="e">
        <f>I184*M84</f>
        <v>#REF!</v>
      </c>
      <c r="N184" s="45" t="e">
        <f>I184*N84</f>
        <v>#REF!</v>
      </c>
      <c r="O184" s="48" t="e">
        <f>I184*O84</f>
        <v>#REF!</v>
      </c>
      <c r="P184" s="44" t="e">
        <f>I184*P84</f>
        <v>#REF!</v>
      </c>
      <c r="Q184" s="45" t="e">
        <f>I184*Q84</f>
        <v>#REF!</v>
      </c>
      <c r="R184" s="46" t="e">
        <f>I184*R84</f>
        <v>#REF!</v>
      </c>
      <c r="S184" s="47" t="e">
        <f>I184*S84</f>
        <v>#REF!</v>
      </c>
      <c r="T184" s="45" t="e">
        <f>I184*T84</f>
        <v>#REF!</v>
      </c>
      <c r="U184" s="48" t="e">
        <f>I184*U84</f>
        <v>#REF!</v>
      </c>
      <c r="V184" s="44" t="e">
        <f>I184*V84</f>
        <v>#REF!</v>
      </c>
      <c r="W184" s="45" t="e">
        <f>I184*W84</f>
        <v>#REF!</v>
      </c>
      <c r="X184" s="48" t="e">
        <f>I184*X84</f>
        <v>#REF!</v>
      </c>
      <c r="Y184" s="44" t="e">
        <f>I184*Y84</f>
        <v>#REF!</v>
      </c>
      <c r="Z184" s="45" t="e">
        <f>I184*Z84</f>
        <v>#REF!</v>
      </c>
      <c r="AA184" s="46" t="e">
        <f>I184*AA84</f>
        <v>#REF!</v>
      </c>
      <c r="AB184" s="44" t="e">
        <f>I184*AB84</f>
        <v>#REF!</v>
      </c>
      <c r="AC184" s="45" t="e">
        <f>I184*AC84</f>
        <v>#REF!</v>
      </c>
      <c r="AD184" s="46" t="e">
        <f>I184*AD84</f>
        <v>#REF!</v>
      </c>
      <c r="AE184" s="53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</row>
    <row r="185" spans="1:54" customHeight="1" ht="15.75" hidden="true">
      <c r="A185" s="399"/>
      <c r="B185" s="417"/>
      <c r="C185" s="159"/>
      <c r="D185" s="55"/>
      <c r="E185" s="27"/>
      <c r="F185" s="27"/>
      <c r="G185" s="27"/>
      <c r="H185" s="28"/>
      <c r="I185" s="156"/>
      <c r="J185" s="363"/>
      <c r="K185" s="51"/>
      <c r="L185" s="186"/>
      <c r="M185" s="363"/>
      <c r="N185" s="51"/>
      <c r="O185" s="186"/>
      <c r="P185" s="363"/>
      <c r="Q185" s="51"/>
      <c r="R185" s="52"/>
      <c r="S185" s="364"/>
      <c r="T185" s="51"/>
      <c r="U185" s="186"/>
      <c r="V185" s="363"/>
      <c r="W185" s="51"/>
      <c r="X185" s="186"/>
      <c r="Y185" s="363"/>
      <c r="Z185" s="51"/>
      <c r="AA185" s="52"/>
      <c r="AB185" s="363"/>
      <c r="AC185" s="51"/>
      <c r="AD185" s="52"/>
      <c r="AE185" s="53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</row>
    <row r="186" spans="1:54" customHeight="1" ht="15.75" hidden="true">
      <c r="A186" s="399"/>
      <c r="B186" s="417"/>
      <c r="C186" s="159"/>
      <c r="D186" s="55"/>
      <c r="E186" s="27"/>
      <c r="F186" s="27"/>
      <c r="G186" s="27"/>
      <c r="H186" s="28"/>
      <c r="I186" s="156"/>
      <c r="J186" s="363"/>
      <c r="K186" s="51"/>
      <c r="L186" s="186"/>
      <c r="M186" s="363"/>
      <c r="N186" s="51"/>
      <c r="O186" s="186"/>
      <c r="P186" s="363"/>
      <c r="Q186" s="51"/>
      <c r="R186" s="52"/>
      <c r="S186" s="364"/>
      <c r="T186" s="51"/>
      <c r="U186" s="186"/>
      <c r="V186" s="363"/>
      <c r="W186" s="51"/>
      <c r="X186" s="186"/>
      <c r="Y186" s="363"/>
      <c r="Z186" s="51"/>
      <c r="AA186" s="52"/>
      <c r="AB186" s="363"/>
      <c r="AC186" s="51"/>
      <c r="AD186" s="52"/>
      <c r="AE186" s="53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</row>
    <row r="187" spans="1:54" customHeight="1" ht="15.75" hidden="true">
      <c r="A187" s="399"/>
      <c r="B187" s="417"/>
      <c r="C187" s="159"/>
      <c r="D187" s="55"/>
      <c r="E187" s="27"/>
      <c r="F187" s="27"/>
      <c r="G187" s="27"/>
      <c r="H187" s="28"/>
      <c r="I187" s="156"/>
      <c r="J187" s="363"/>
      <c r="K187" s="51"/>
      <c r="L187" s="186"/>
      <c r="M187" s="363"/>
      <c r="N187" s="51"/>
      <c r="O187" s="186"/>
      <c r="P187" s="363"/>
      <c r="Q187" s="51"/>
      <c r="R187" s="52"/>
      <c r="S187" s="364"/>
      <c r="T187" s="51"/>
      <c r="U187" s="186"/>
      <c r="V187" s="363"/>
      <c r="W187" s="51"/>
      <c r="X187" s="186"/>
      <c r="Y187" s="363"/>
      <c r="Z187" s="51"/>
      <c r="AA187" s="52"/>
      <c r="AB187" s="363"/>
      <c r="AC187" s="51"/>
      <c r="AD187" s="52"/>
      <c r="AE187" s="53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</row>
    <row r="188" spans="1:54" customHeight="1" ht="15.75" hidden="true">
      <c r="A188" s="399"/>
      <c r="B188" s="417"/>
      <c r="C188" s="159"/>
      <c r="D188" s="55"/>
      <c r="E188" s="27"/>
      <c r="F188" s="27"/>
      <c r="G188" s="27"/>
      <c r="H188" s="28"/>
      <c r="I188" s="156"/>
      <c r="J188" s="363"/>
      <c r="K188" s="51"/>
      <c r="L188" s="186"/>
      <c r="M188" s="363"/>
      <c r="N188" s="51"/>
      <c r="O188" s="186"/>
      <c r="P188" s="363"/>
      <c r="Q188" s="51"/>
      <c r="R188" s="52"/>
      <c r="S188" s="364"/>
      <c r="T188" s="51"/>
      <c r="U188" s="186"/>
      <c r="V188" s="363"/>
      <c r="W188" s="51"/>
      <c r="X188" s="186"/>
      <c r="Y188" s="363"/>
      <c r="Z188" s="51"/>
      <c r="AA188" s="52"/>
      <c r="AB188" s="363"/>
      <c r="AC188" s="51"/>
      <c r="AD188" s="52"/>
      <c r="AE188" s="53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</row>
    <row r="189" spans="1:54" customHeight="1" ht="15.75" hidden="true">
      <c r="A189" s="399"/>
      <c r="B189" s="417"/>
      <c r="C189" s="159"/>
      <c r="D189" s="55"/>
      <c r="E189" s="27"/>
      <c r="F189" s="27"/>
      <c r="G189" s="27"/>
      <c r="H189" s="28"/>
      <c r="I189" s="156"/>
      <c r="J189" s="363"/>
      <c r="K189" s="51"/>
      <c r="L189" s="186"/>
      <c r="M189" s="363"/>
      <c r="N189" s="51"/>
      <c r="O189" s="186"/>
      <c r="P189" s="363"/>
      <c r="Q189" s="51"/>
      <c r="R189" s="52"/>
      <c r="S189" s="364"/>
      <c r="T189" s="51"/>
      <c r="U189" s="186"/>
      <c r="V189" s="363"/>
      <c r="W189" s="51"/>
      <c r="X189" s="186"/>
      <c r="Y189" s="363"/>
      <c r="Z189" s="51"/>
      <c r="AA189" s="52"/>
      <c r="AB189" s="363"/>
      <c r="AC189" s="51"/>
      <c r="AD189" s="52"/>
      <c r="AE189" s="53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</row>
    <row r="190" spans="1:54" customHeight="1" ht="15.75" hidden="true">
      <c r="A190" s="399"/>
      <c r="B190" s="417"/>
      <c r="C190" s="159"/>
      <c r="D190" s="55"/>
      <c r="E190" s="27"/>
      <c r="F190" s="27"/>
      <c r="G190" s="27"/>
      <c r="H190" s="28"/>
      <c r="I190" s="156"/>
      <c r="J190" s="363"/>
      <c r="K190" s="51"/>
      <c r="L190" s="186"/>
      <c r="M190" s="363"/>
      <c r="N190" s="51"/>
      <c r="O190" s="186"/>
      <c r="P190" s="363"/>
      <c r="Q190" s="51"/>
      <c r="R190" s="52"/>
      <c r="S190" s="364"/>
      <c r="T190" s="51"/>
      <c r="U190" s="186"/>
      <c r="V190" s="363"/>
      <c r="W190" s="51"/>
      <c r="X190" s="186"/>
      <c r="Y190" s="363"/>
      <c r="Z190" s="51"/>
      <c r="AA190" s="52"/>
      <c r="AB190" s="363"/>
      <c r="AC190" s="51"/>
      <c r="AD190" s="52"/>
      <c r="AE190" s="53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</row>
    <row r="191" spans="1:54" customHeight="1" ht="15.75" hidden="true">
      <c r="A191" s="399"/>
      <c r="B191" s="417"/>
      <c r="C191" s="159"/>
      <c r="D191" s="55"/>
      <c r="E191" s="27"/>
      <c r="F191" s="27"/>
      <c r="G191" s="27"/>
      <c r="H191" s="28"/>
      <c r="I191" s="156"/>
      <c r="J191" s="363"/>
      <c r="K191" s="51"/>
      <c r="L191" s="186"/>
      <c r="M191" s="363"/>
      <c r="N191" s="51"/>
      <c r="O191" s="186"/>
      <c r="P191" s="363"/>
      <c r="Q191" s="51"/>
      <c r="R191" s="52"/>
      <c r="S191" s="364"/>
      <c r="T191" s="51"/>
      <c r="U191" s="186"/>
      <c r="V191" s="363"/>
      <c r="W191" s="51"/>
      <c r="X191" s="186"/>
      <c r="Y191" s="363"/>
      <c r="Z191" s="51"/>
      <c r="AA191" s="52"/>
      <c r="AB191" s="363"/>
      <c r="AC191" s="51"/>
      <c r="AD191" s="52"/>
      <c r="AE191" s="53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</row>
    <row r="192" spans="1:54" customHeight="1" ht="15.75" hidden="true" s="12" customFormat="1">
      <c r="A192" s="399"/>
      <c r="B192" s="411"/>
      <c r="C192" s="355"/>
      <c r="D192" s="55"/>
      <c r="E192" s="27"/>
      <c r="F192" s="27"/>
      <c r="G192" s="27"/>
      <c r="H192" s="28"/>
      <c r="I192" s="156"/>
      <c r="J192" s="363"/>
      <c r="K192" s="51"/>
      <c r="L192" s="186"/>
      <c r="M192" s="363"/>
      <c r="N192" s="51"/>
      <c r="O192" s="186"/>
      <c r="P192" s="363"/>
      <c r="Q192" s="51"/>
      <c r="R192" s="52"/>
      <c r="S192" s="364"/>
      <c r="T192" s="51"/>
      <c r="U192" s="186"/>
      <c r="V192" s="363"/>
      <c r="W192" s="51"/>
      <c r="X192" s="186"/>
      <c r="Y192" s="363"/>
      <c r="Z192" s="51"/>
      <c r="AA192" s="52"/>
      <c r="AB192" s="363"/>
      <c r="AC192" s="51"/>
      <c r="AD192" s="52"/>
      <c r="AE192" s="237"/>
    </row>
    <row r="193" spans="1:54" customHeight="1" ht="15.75" hidden="true" s="12" customFormat="1">
      <c r="A193" s="399"/>
      <c r="B193" s="411"/>
      <c r="C193" s="355"/>
      <c r="D193" s="55"/>
      <c r="E193" s="27"/>
      <c r="F193" s="27"/>
      <c r="G193" s="27"/>
      <c r="H193" s="28"/>
      <c r="I193" s="156"/>
      <c r="J193" s="363"/>
      <c r="K193" s="51"/>
      <c r="L193" s="186"/>
      <c r="M193" s="363"/>
      <c r="N193" s="51"/>
      <c r="O193" s="186"/>
      <c r="P193" s="363"/>
      <c r="Q193" s="51"/>
      <c r="R193" s="52"/>
      <c r="S193" s="364"/>
      <c r="T193" s="51"/>
      <c r="U193" s="186"/>
      <c r="V193" s="363"/>
      <c r="W193" s="51"/>
      <c r="X193" s="186"/>
      <c r="Y193" s="363"/>
      <c r="Z193" s="51"/>
      <c r="AA193" s="52"/>
      <c r="AB193" s="363"/>
      <c r="AC193" s="51"/>
      <c r="AD193" s="52"/>
      <c r="AE193" s="237"/>
    </row>
    <row r="194" spans="1:54" customHeight="1" ht="15.75" hidden="true">
      <c r="A194" s="399"/>
      <c r="B194" s="411"/>
      <c r="C194" s="355"/>
      <c r="D194" s="161"/>
      <c r="E194" s="27"/>
      <c r="F194" s="27"/>
      <c r="G194" s="27"/>
      <c r="H194" s="28"/>
      <c r="I194" s="156"/>
      <c r="J194" s="363"/>
      <c r="K194" s="51"/>
      <c r="L194" s="186"/>
      <c r="M194" s="363"/>
      <c r="N194" s="51"/>
      <c r="O194" s="186"/>
      <c r="P194" s="363"/>
      <c r="Q194" s="51"/>
      <c r="R194" s="52"/>
      <c r="S194" s="364"/>
      <c r="T194" s="51"/>
      <c r="U194" s="186"/>
      <c r="V194" s="363"/>
      <c r="W194" s="51"/>
      <c r="X194" s="186"/>
      <c r="Y194" s="363"/>
      <c r="Z194" s="51"/>
      <c r="AA194" s="52"/>
      <c r="AB194" s="363"/>
      <c r="AC194" s="51"/>
      <c r="AD194" s="52"/>
      <c r="AE194" s="237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</row>
    <row r="195" spans="1:54" customHeight="1" ht="15.75" hidden="true">
      <c r="A195" s="399"/>
      <c r="B195" s="397"/>
      <c r="C195" s="159"/>
      <c r="D195" s="160"/>
      <c r="E195" s="27"/>
      <c r="F195" s="27"/>
      <c r="G195" s="27"/>
      <c r="H195" s="28"/>
      <c r="I195" s="327"/>
      <c r="J195" s="44"/>
      <c r="K195" s="51"/>
      <c r="L195" s="52"/>
      <c r="M195" s="44"/>
      <c r="N195" s="51"/>
      <c r="O195" s="48"/>
      <c r="P195" s="44"/>
      <c r="Q195" s="51"/>
      <c r="R195" s="46"/>
      <c r="S195" s="44"/>
      <c r="T195" s="45"/>
      <c r="U195" s="46"/>
      <c r="V195" s="44"/>
      <c r="W195" s="45"/>
      <c r="X195" s="48"/>
      <c r="Y195" s="44"/>
      <c r="Z195" s="45"/>
      <c r="AA195" s="46"/>
      <c r="AB195" s="44"/>
      <c r="AC195" s="45"/>
      <c r="AD195" s="46"/>
      <c r="AE195" s="237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</row>
    <row r="196" spans="1:54" customHeight="1" ht="15.75" hidden="true">
      <c r="A196" s="399"/>
      <c r="B196" s="397"/>
      <c r="C196" s="159"/>
      <c r="D196" s="55"/>
      <c r="E196" s="27"/>
      <c r="F196" s="27"/>
      <c r="G196" s="27"/>
      <c r="H196" s="28"/>
      <c r="I196" s="263"/>
      <c r="J196" s="44"/>
      <c r="K196" s="45"/>
      <c r="L196" s="46"/>
      <c r="M196" s="44"/>
      <c r="N196" s="45"/>
      <c r="O196" s="46"/>
      <c r="P196" s="47"/>
      <c r="Q196" s="45"/>
      <c r="R196" s="48"/>
      <c r="S196" s="44"/>
      <c r="T196" s="45"/>
      <c r="U196" s="46"/>
      <c r="V196" s="47"/>
      <c r="W196" s="45"/>
      <c r="X196" s="48"/>
      <c r="Y196" s="44"/>
      <c r="Z196" s="45"/>
      <c r="AA196" s="46"/>
      <c r="AB196" s="44"/>
      <c r="AC196" s="45"/>
      <c r="AD196" s="46"/>
      <c r="AE196" s="237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</row>
    <row r="197" spans="1:54" customHeight="1" ht="15.75">
      <c r="A197" s="399"/>
      <c r="B197" s="397"/>
      <c r="C197" s="378" t="str">
        <f>C95</f>
        <v>TOTAL GAS-LHD</v>
      </c>
      <c r="D197" s="379">
        <f>D95</f>
        <v/>
      </c>
      <c r="E197" s="370">
        <f>E95</f>
        <v/>
      </c>
      <c r="F197" s="370">
        <f>F95</f>
        <v/>
      </c>
      <c r="G197" s="370">
        <f>G95</f>
        <v/>
      </c>
      <c r="H197" s="371">
        <f>$H95</f>
        <v/>
      </c>
      <c r="I197" s="384" t="s">
        <v>48</v>
      </c>
      <c r="J197" s="372" t="e">
        <f>SUMIF($B$109:$B$194,$I$197,J$109:J$194)</f>
        <v>#REF!</v>
      </c>
      <c r="K197" s="217" t="e">
        <f>SUMIF($B$109:$B$194,$I$197,K$109:K$194)</f>
        <v>#REF!</v>
      </c>
      <c r="L197" s="375" t="e">
        <f>SUMIF($B$109:$B$194,$I$197,L$109:L$194)</f>
        <v>#REF!</v>
      </c>
      <c r="M197" s="372" t="e">
        <f>SUMIF($B$109:$B$194,$I$197,M$109:M$194)</f>
        <v>#REF!</v>
      </c>
      <c r="N197" s="217" t="e">
        <f>SUMIF($B$109:$B$194,$I$197,N$109:N$194)</f>
        <v>#REF!</v>
      </c>
      <c r="O197" s="375" t="e">
        <f>SUMIF($B$109:$B$194,$I$197,O$109:O$194)</f>
        <v>#REF!</v>
      </c>
      <c r="P197" s="376" t="e">
        <f>SUMIF($B$109:$B$194,$I$197,P$109:P$194)</f>
        <v>#REF!</v>
      </c>
      <c r="Q197" s="217" t="e">
        <f>SUMIF($B$109:$B$194,$I$197,Q$109:Q$194)</f>
        <v>#REF!</v>
      </c>
      <c r="R197" s="218" t="e">
        <f>SUMIF($B$109:$B$194,$I$197,R$109:R$194)</f>
        <v>#REF!</v>
      </c>
      <c r="S197" s="372" t="e">
        <f>SUMIF($B$109:$B$194,$I$197,S$109:S$194)</f>
        <v>#REF!</v>
      </c>
      <c r="T197" s="217" t="e">
        <f>SUMIF($B$109:$B$194,$I$197,T$109:T$194)</f>
        <v>#REF!</v>
      </c>
      <c r="U197" s="375" t="e">
        <f>SUMIF($B$109:$B$194,$I$197,U$109:U$194)</f>
        <v>#REF!</v>
      </c>
      <c r="V197" s="376" t="e">
        <f>SUMIF($B$109:$B$194,$I$197,V$109:V$194)</f>
        <v>#REF!</v>
      </c>
      <c r="W197" s="217" t="e">
        <f>SUMIF($B$109:$B$194,$I$197,W$109:W$194)</f>
        <v>#REF!</v>
      </c>
      <c r="X197" s="218" t="e">
        <f>SUMIF($B$109:$B$194,$I$197,X$109:X$194)</f>
        <v>#REF!</v>
      </c>
      <c r="Y197" s="372" t="e">
        <f>SUMIF($B$109:$B$194,$I$197,Y$109:Y$194)</f>
        <v>#REF!</v>
      </c>
      <c r="Z197" s="217" t="e">
        <f>SUMIF($B$109:$B$194,$I$197,Z$109:Z$194)</f>
        <v>#REF!</v>
      </c>
      <c r="AA197" s="375" t="e">
        <f>SUMIF($B$109:$B$194,$I$197,AA$109:AA$194)</f>
        <v>#REF!</v>
      </c>
      <c r="AB197" s="372" t="e">
        <f>SUMIF($B$109:$B$194,$I$197,AB$109:AB$194)</f>
        <v>#REF!</v>
      </c>
      <c r="AC197" s="217" t="e">
        <f>SUMIF($B$109:$B$194,$I$197,AC$109:AC$194)</f>
        <v>#REF!</v>
      </c>
      <c r="AD197" s="375" t="e">
        <f>SUMIF($B$109:$B$194,$I$197,AD$109:AD$194)</f>
        <v>#REF!</v>
      </c>
      <c r="AE197" s="237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</row>
    <row r="198" spans="1:54" customHeight="1" ht="15.75">
      <c r="A198" s="399"/>
      <c r="B198" s="397"/>
      <c r="C198" s="159" t="str">
        <f>C96</f>
        <v>TOTAL HV-RHD</v>
      </c>
      <c r="D198" s="55">
        <f>D96</f>
        <v/>
      </c>
      <c r="E198" s="27">
        <f>E96</f>
        <v/>
      </c>
      <c r="F198" s="27">
        <f>F96</f>
        <v/>
      </c>
      <c r="G198" s="27">
        <f>G96</f>
        <v/>
      </c>
      <c r="H198" s="28">
        <f>$H96</f>
        <v/>
      </c>
      <c r="I198" s="265" t="s">
        <v>58</v>
      </c>
      <c r="J198" s="44" t="e">
        <f>SUMIF($B$109:$B$194,$I$198,J$109:J$194)</f>
        <v>#REF!</v>
      </c>
      <c r="K198" s="45" t="e">
        <f>SUMIF($B$109:$B$194,$I$198,K$109:K$194)</f>
        <v>#REF!</v>
      </c>
      <c r="L198" s="46" t="e">
        <f>SUMIF($B$109:$B$194,$I$198,L$109:L$194)</f>
        <v>#REF!</v>
      </c>
      <c r="M198" s="44" t="e">
        <f>SUMIF($B$109:$B$194,$I$198,M$109:M$194)</f>
        <v>#REF!</v>
      </c>
      <c r="N198" s="45" t="e">
        <f>SUMIF($B$109:$B$194,$I$198,N$109:N$194)</f>
        <v>#REF!</v>
      </c>
      <c r="O198" s="46" t="e">
        <f>SUMIF($B$109:$B$194,$I$198,O$109:O$194)</f>
        <v>#REF!</v>
      </c>
      <c r="P198" s="47" t="e">
        <f>SUMIF($B$109:$B$194,$I$198,P$109:P$194)</f>
        <v>#REF!</v>
      </c>
      <c r="Q198" s="45" t="e">
        <f>SUMIF($B$109:$B$194,$I$198,Q$109:Q$194)</f>
        <v>#REF!</v>
      </c>
      <c r="R198" s="48" t="e">
        <f>SUMIF($B$109:$B$194,$I$198,R$109:R$194)</f>
        <v>#REF!</v>
      </c>
      <c r="S198" s="44" t="e">
        <f>SUMIF($B$109:$B$194,$I$198,S$109:S$194)</f>
        <v>#REF!</v>
      </c>
      <c r="T198" s="45" t="e">
        <f>SUMIF($B$109:$B$194,$I$198,T$109:T$194)</f>
        <v>#REF!</v>
      </c>
      <c r="U198" s="46" t="e">
        <f>SUMIF($B$109:$B$194,$I$198,U$109:U$194)</f>
        <v>#REF!</v>
      </c>
      <c r="V198" s="47" t="e">
        <f>SUMIF($B$109:$B$194,$I$198,V$109:V$194)</f>
        <v>#REF!</v>
      </c>
      <c r="W198" s="45" t="e">
        <f>SUMIF($B$109:$B$194,$I$198,W$109:W$194)</f>
        <v>#REF!</v>
      </c>
      <c r="X198" s="48" t="e">
        <f>SUMIF($B$109:$B$194,$I$198,X$109:X$194)</f>
        <v>#REF!</v>
      </c>
      <c r="Y198" s="44" t="e">
        <f>SUMIF($B$109:$B$194,$I$198,Y$109:Y$194)</f>
        <v>#REF!</v>
      </c>
      <c r="Z198" s="45" t="e">
        <f>SUMIF($B$109:$B$194,$I$198,Z$109:Z$194)</f>
        <v>#REF!</v>
      </c>
      <c r="AA198" s="46" t="e">
        <f>SUMIF($B$109:$B$194,$I$198,AA$109:AA$194)</f>
        <v>#REF!</v>
      </c>
      <c r="AB198" s="44" t="e">
        <f>SUMIF($B$109:$B$194,$I$198,AB$109:AB$194)</f>
        <v>#REF!</v>
      </c>
      <c r="AC198" s="45" t="e">
        <f>SUMIF($B$109:$B$194,$I$198,AC$109:AC$194)</f>
        <v>#REF!</v>
      </c>
      <c r="AD198" s="46" t="e">
        <f>SUMIF($B$109:$B$194,$I$198,AD$109:AD$194)</f>
        <v>#REF!</v>
      </c>
      <c r="AE198" s="237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</row>
    <row r="199" spans="1:54" customHeight="1" ht="15.75">
      <c r="A199" s="399"/>
      <c r="B199" s="398"/>
      <c r="C199" s="278" t="str">
        <f>C97</f>
        <v>TOTAL HV-LHD</v>
      </c>
      <c r="D199" s="377"/>
      <c r="E199" s="366"/>
      <c r="F199" s="366"/>
      <c r="G199" s="366"/>
      <c r="H199" s="326"/>
      <c r="I199" s="383" t="s">
        <v>44</v>
      </c>
      <c r="J199" s="367" t="e">
        <f>SUMIF($B$109:$B$194,$I$199,J$109:J$194)</f>
        <v>#REF!</v>
      </c>
      <c r="K199" s="341" t="e">
        <f>SUMIF($B$109:$B$194,$I$199,K$109:K$194)</f>
        <v>#REF!</v>
      </c>
      <c r="L199" s="368" t="e">
        <f>SUMIF($B$109:$B$194,$I$199,L$109:L$194)</f>
        <v>#REF!</v>
      </c>
      <c r="M199" s="367" t="e">
        <f>SUMIF($B$109:$B$194,$I$199,M$109:M$194)</f>
        <v>#REF!</v>
      </c>
      <c r="N199" s="341" t="e">
        <f>SUMIF($B$109:$B$194,$I$199,N$109:N$194)</f>
        <v>#REF!</v>
      </c>
      <c r="O199" s="368" t="e">
        <f>SUMIF($B$109:$B$194,$I$199,O$109:O$194)</f>
        <v>#REF!</v>
      </c>
      <c r="P199" s="369" t="e">
        <f>SUMIF($B$109:$B$194,$I$199,P$109:P$194)</f>
        <v>#REF!</v>
      </c>
      <c r="Q199" s="341" t="e">
        <f>SUMIF($B$109:$B$194,$I$199,Q$109:Q$194)</f>
        <v>#REF!</v>
      </c>
      <c r="R199" s="347" t="e">
        <f>SUMIF($B$109:$B$194,$I$199,R$109:R$194)</f>
        <v>#REF!</v>
      </c>
      <c r="S199" s="367" t="e">
        <f>SUMIF($B$109:$B$194,$I$199,S$109:S$194)</f>
        <v>#REF!</v>
      </c>
      <c r="T199" s="341" t="e">
        <f>SUMIF($B$109:$B$194,$I$199,T$109:T$194)</f>
        <v>#REF!</v>
      </c>
      <c r="U199" s="368" t="e">
        <f>SUMIF($B$109:$B$194,$I$199,U$109:U$194)</f>
        <v>#REF!</v>
      </c>
      <c r="V199" s="369" t="e">
        <f>SUMIF($B$109:$B$194,$I$199,V$109:V$194)</f>
        <v>#REF!</v>
      </c>
      <c r="W199" s="341" t="e">
        <f>SUMIF($B$109:$B$194,$I$199,W$109:W$194)</f>
        <v>#REF!</v>
      </c>
      <c r="X199" s="347" t="e">
        <f>SUMIF($B$109:$B$194,$I$199,X$109:X$194)</f>
        <v>#REF!</v>
      </c>
      <c r="Y199" s="367" t="e">
        <f>SUMIF($B$109:$B$194,$I$199,Y$109:Y$194)</f>
        <v>#REF!</v>
      </c>
      <c r="Z199" s="341" t="e">
        <f>SUMIF($B$109:$B$194,$I$199,Z$109:Z$194)</f>
        <v>#REF!</v>
      </c>
      <c r="AA199" s="368" t="e">
        <f>SUMIF($B$109:$B$194,$I$199,AA$109:AA$194)</f>
        <v>#REF!</v>
      </c>
      <c r="AB199" s="367" t="e">
        <f>SUMIF($B$109:$B$194,$I$199,AB$109:AB$194)</f>
        <v>#REF!</v>
      </c>
      <c r="AC199" s="341" t="e">
        <f>SUMIF($B$109:$B$194,$I$199,AC$109:AC$194)</f>
        <v>#REF!</v>
      </c>
      <c r="AD199" s="368" t="e">
        <f>SUMIF($B$109:$B$194,$I$199,AD$109:AD$194)</f>
        <v>#REF!</v>
      </c>
      <c r="AE199" s="274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</row>
    <row r="200" spans="1:54" customHeight="1" ht="15.75" s="12" customFormat="1">
      <c r="A200" s="415"/>
      <c r="B200" s="261"/>
      <c r="C200" s="329" t="s">
        <v>125</v>
      </c>
      <c r="D200" s="261"/>
      <c r="E200" s="261"/>
      <c r="F200" s="261"/>
      <c r="G200" s="261"/>
      <c r="H200" s="330"/>
      <c r="I200" s="261"/>
      <c r="J200" s="190" t="e">
        <f>SUM(J109:J194)</f>
        <v>#REF!</v>
      </c>
      <c r="K200" s="275" t="e">
        <f>SUM(K109:K194)</f>
        <v>#REF!</v>
      </c>
      <c r="L200" s="92" t="e">
        <f>SUM(L109:L194)</f>
        <v>#REF!</v>
      </c>
      <c r="M200" s="275" t="e">
        <f>SUM(M109:M194)</f>
        <v>#REF!</v>
      </c>
      <c r="N200" s="275" t="e">
        <f>SUM(N109:N194)</f>
        <v>#REF!</v>
      </c>
      <c r="O200" s="92" t="e">
        <f>SUM(O109:O194)</f>
        <v>#REF!</v>
      </c>
      <c r="P200" s="275" t="e">
        <f>SUM(P109:P194)</f>
        <v>#REF!</v>
      </c>
      <c r="Q200" s="275" t="e">
        <f>SUM(Q109:Q194)</f>
        <v>#REF!</v>
      </c>
      <c r="R200" s="353" t="e">
        <f>SUM(R109:R194)</f>
        <v>#REF!</v>
      </c>
      <c r="S200" s="275" t="e">
        <f>SUM(S109:S194)</f>
        <v>#REF!</v>
      </c>
      <c r="T200" s="275" t="e">
        <f>SUM(T109:T194)</f>
        <v>#REF!</v>
      </c>
      <c r="U200" s="92" t="e">
        <f>SUM(U109:U194)</f>
        <v>#REF!</v>
      </c>
      <c r="V200" s="275" t="e">
        <f>SUM(V109:V194)</f>
        <v>#REF!</v>
      </c>
      <c r="W200" s="275" t="e">
        <f>SUM(W109:W194)</f>
        <v>#REF!</v>
      </c>
      <c r="X200" s="92" t="e">
        <f>SUM(X109:X194)</f>
        <v>#REF!</v>
      </c>
      <c r="Y200" s="275" t="e">
        <f>SUM(Y109:Y194)</f>
        <v>#REF!</v>
      </c>
      <c r="Z200" s="275" t="e">
        <f>SUM(Z109:Z194)</f>
        <v>#REF!</v>
      </c>
      <c r="AA200" s="92" t="e">
        <f>SUM(AA109:AA194)</f>
        <v>#REF!</v>
      </c>
      <c r="AB200" s="275" t="e">
        <f>SUM(AB109:AB194)</f>
        <v>#REF!</v>
      </c>
      <c r="AC200" s="275" t="e">
        <f>SUM(AC109:AC194)</f>
        <v>#REF!</v>
      </c>
      <c r="AD200" s="92" t="e">
        <f>SUM(AD109:AD194)</f>
        <v>#REF!</v>
      </c>
      <c r="AE200" s="163"/>
    </row>
    <row r="201" spans="1:54" customHeight="1" ht="15.75">
      <c r="A201" s="31"/>
      <c r="B201" s="31"/>
      <c r="C201" s="79" t="s">
        <v>121</v>
      </c>
      <c r="D201" s="80"/>
      <c r="E201" s="80"/>
      <c r="F201" s="80"/>
      <c r="G201" s="80"/>
      <c r="H201" s="80"/>
      <c r="I201" s="80"/>
      <c r="J201" s="463" t="str">
        <f>J106</f>
        <v>FEB</v>
      </c>
      <c r="K201" s="463"/>
      <c r="L201" s="463"/>
      <c r="M201" s="463" t="str">
        <f>M106</f>
        <v>MAR</v>
      </c>
      <c r="N201" s="463"/>
      <c r="O201" s="463"/>
      <c r="P201" s="463" t="str">
        <f>P106</f>
        <v>APR</v>
      </c>
      <c r="Q201" s="463"/>
      <c r="R201" s="463"/>
      <c r="S201" s="463" t="str">
        <f>S106</f>
        <v>MAY</v>
      </c>
      <c r="T201" s="463"/>
      <c r="U201" s="463"/>
      <c r="V201" s="463" t="str">
        <f>V106</f>
        <v>JUN</v>
      </c>
      <c r="W201" s="463"/>
      <c r="X201" s="463"/>
      <c r="Y201" s="463" t="str">
        <f>Y106</f>
        <v>JUL</v>
      </c>
      <c r="Z201" s="463"/>
      <c r="AA201" s="463"/>
      <c r="AB201" s="463" t="str">
        <f>AB106</f>
        <v>AUG</v>
      </c>
      <c r="AC201" s="463"/>
      <c r="AD201" s="463"/>
      <c r="AE201" s="32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</row>
    <row r="202" spans="1:54" customHeight="1" ht="15.75">
      <c r="A202" s="31"/>
      <c r="B202" s="31"/>
      <c r="C202" s="77" t="s">
        <v>122</v>
      </c>
      <c r="D202" s="78"/>
      <c r="E202" s="78"/>
      <c r="F202" s="78"/>
      <c r="G202" s="78"/>
      <c r="H202" s="78"/>
      <c r="I202" s="78"/>
      <c r="J202" s="471">
        <f>J100</f>
        <v>20</v>
      </c>
      <c r="K202" s="472"/>
      <c r="L202" s="473"/>
      <c r="M202" s="471">
        <f>M100</f>
        <v>23</v>
      </c>
      <c r="N202" s="472"/>
      <c r="O202" s="473"/>
      <c r="P202" s="471">
        <f>P100</f>
        <v>17</v>
      </c>
      <c r="Q202" s="472"/>
      <c r="R202" s="473"/>
      <c r="S202" s="471">
        <f>S100</f>
        <v>21</v>
      </c>
      <c r="T202" s="472"/>
      <c r="U202" s="473"/>
      <c r="V202" s="471">
        <f>V100</f>
        <v>21</v>
      </c>
      <c r="W202" s="472"/>
      <c r="X202" s="473"/>
      <c r="Y202" s="506">
        <f>Y100</f>
        <v>20</v>
      </c>
      <c r="Z202" s="506"/>
      <c r="AA202" s="506"/>
      <c r="AB202" s="506">
        <f>AB100</f>
        <v>20</v>
      </c>
      <c r="AC202" s="506"/>
      <c r="AD202" s="506"/>
      <c r="AE202" s="32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</row>
    <row r="203" spans="1:54" customHeight="1" ht="15.75" s="254" customFormat="1">
      <c r="A203" s="246"/>
      <c r="B203" s="246"/>
      <c r="C203" s="247"/>
      <c r="D203" s="247"/>
      <c r="E203" s="247"/>
      <c r="F203" s="247"/>
      <c r="G203" s="247"/>
      <c r="H203" s="248"/>
      <c r="I203" s="248"/>
      <c r="J203" s="248"/>
      <c r="K203" s="249"/>
      <c r="L203" s="250"/>
      <c r="M203" s="251"/>
      <c r="N203" s="249"/>
      <c r="O203" s="251"/>
      <c r="P203" s="251"/>
      <c r="Q203" s="249"/>
      <c r="R203" s="251"/>
      <c r="S203" s="251"/>
      <c r="T203" s="249"/>
      <c r="U203" s="250"/>
      <c r="V203" s="250"/>
      <c r="W203" s="249"/>
      <c r="X203" s="249"/>
      <c r="Y203" s="249"/>
      <c r="Z203" s="249"/>
      <c r="AA203" s="250"/>
      <c r="AB203" s="252"/>
      <c r="AC203" s="249"/>
      <c r="AD203" s="253"/>
      <c r="AE203" s="253"/>
    </row>
    <row r="204" spans="1:54" customHeight="1" ht="15.75">
      <c r="A204" s="7"/>
      <c r="B204" s="7"/>
      <c r="C204" s="7"/>
      <c r="D204" s="7"/>
      <c r="E204" s="7"/>
      <c r="F204" s="7"/>
      <c r="G204" s="7"/>
      <c r="H204" s="12"/>
      <c r="I204" s="12"/>
      <c r="J204" s="12"/>
      <c r="K204" s="32"/>
      <c r="L204" s="32"/>
      <c r="M204" s="12"/>
      <c r="N204" s="12"/>
      <c r="O204" s="245"/>
      <c r="P204" s="245"/>
      <c r="Q204" s="245"/>
      <c r="R204" s="12"/>
      <c r="S204" s="12"/>
      <c r="T204" s="12"/>
      <c r="U204" s="32"/>
      <c r="V204" s="32"/>
      <c r="W204" s="32"/>
      <c r="X204" s="101"/>
      <c r="Y204" s="12"/>
      <c r="Z204" s="12"/>
      <c r="AA204" s="12"/>
      <c r="AB204" s="66"/>
      <c r="AC204" s="66"/>
      <c r="AD204" s="68"/>
      <c r="AE204" s="66"/>
      <c r="AF204" s="12"/>
    </row>
    <row r="205" spans="1:54" customHeight="1" ht="14.25">
      <c r="A205" s="7"/>
      <c r="B205" s="7"/>
      <c r="C205" s="7"/>
      <c r="D205" s="7"/>
      <c r="E205" s="7"/>
      <c r="F205" s="7"/>
      <c r="G205" s="7"/>
      <c r="H205" s="12"/>
      <c r="I205" s="12"/>
      <c r="J205" s="12"/>
      <c r="K205" s="101"/>
      <c r="L205" s="245"/>
      <c r="M205" s="12"/>
      <c r="N205" s="101"/>
      <c r="O205" s="245"/>
      <c r="P205" s="12"/>
      <c r="Q205" s="101"/>
      <c r="R205" s="245"/>
      <c r="S205" s="12"/>
      <c r="T205" s="101"/>
      <c r="U205" s="245"/>
      <c r="V205" s="12"/>
      <c r="W205" s="101"/>
      <c r="X205" s="245"/>
      <c r="Y205" s="12"/>
      <c r="Z205" s="101"/>
      <c r="AA205" s="245"/>
      <c r="AB205" s="66"/>
      <c r="AC205" s="66"/>
      <c r="AD205" s="66"/>
      <c r="AE205" s="66"/>
      <c r="AF205" s="12"/>
    </row>
    <row r="206" spans="1:54" customHeight="1" ht="12">
      <c r="A206" s="7"/>
      <c r="B206" s="7"/>
      <c r="C206" s="73"/>
      <c r="D206" s="73"/>
      <c r="E206" s="7"/>
      <c r="F206" s="7"/>
      <c r="G206" s="7"/>
      <c r="H206" s="12"/>
      <c r="I206" s="12"/>
      <c r="J206" s="101"/>
      <c r="K206" s="101"/>
      <c r="L206" s="101"/>
      <c r="M206" s="12"/>
      <c r="N206" s="101"/>
      <c r="O206" s="245"/>
      <c r="P206" s="12"/>
      <c r="Q206" s="101"/>
      <c r="R206" s="245"/>
      <c r="S206" s="12"/>
      <c r="T206" s="101"/>
      <c r="U206" s="245"/>
      <c r="V206" s="12"/>
      <c r="W206" s="101"/>
      <c r="X206" s="245"/>
      <c r="Y206" s="12"/>
      <c r="Z206" s="101"/>
      <c r="AA206" s="245"/>
      <c r="AB206" s="66"/>
      <c r="AC206" s="66"/>
      <c r="AD206" s="66"/>
      <c r="AE206" s="66"/>
      <c r="AF206" s="12"/>
    </row>
    <row r="207" spans="1:54" customHeight="1" ht="11.25">
      <c r="A207" s="13"/>
      <c r="B207" s="13"/>
      <c r="C207" s="94"/>
      <c r="D207" s="94"/>
      <c r="E207" s="94"/>
      <c r="F207" s="94"/>
      <c r="G207" s="94"/>
      <c r="H207" s="15"/>
      <c r="I207" s="15"/>
      <c r="J207" s="16"/>
      <c r="K207" s="17"/>
      <c r="L207" s="12"/>
      <c r="M207" s="12"/>
      <c r="N207" s="66"/>
      <c r="O207" s="12"/>
      <c r="P207" s="12"/>
      <c r="Q207" s="95"/>
      <c r="R207" s="12"/>
      <c r="S207" s="12"/>
      <c r="T207" s="95"/>
      <c r="U207" s="96"/>
      <c r="V207" s="12"/>
      <c r="W207" s="66"/>
      <c r="X207" s="12"/>
      <c r="Y207" s="12"/>
      <c r="Z207" s="66"/>
      <c r="AA207" s="12"/>
      <c r="AB207" s="12"/>
      <c r="AC207" s="66"/>
      <c r="AD207" s="12"/>
      <c r="AE207" s="12"/>
      <c r="AF207" s="12"/>
    </row>
    <row r="208" spans="1:54" customHeight="1" ht="12.75">
      <c r="A208" s="12"/>
      <c r="B208" s="66"/>
      <c r="C208" s="81"/>
      <c r="D208" s="81"/>
      <c r="E208" s="97"/>
      <c r="F208" s="81"/>
      <c r="G208" s="97"/>
      <c r="H208" s="98"/>
      <c r="I208" s="98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414"/>
      <c r="Z208" s="414"/>
      <c r="AA208" s="414"/>
      <c r="AB208" s="414"/>
      <c r="AC208" s="414"/>
      <c r="AD208" s="414"/>
      <c r="AE208" s="498"/>
      <c r="AF208" s="12"/>
    </row>
    <row r="209" spans="1:54" customHeight="1" ht="12.75" s="435" customFormat="1">
      <c r="A209" s="425"/>
      <c r="B209" s="429"/>
      <c r="C209" s="436" t="s">
        <v>126</v>
      </c>
      <c r="D209" s="430"/>
      <c r="E209" s="431"/>
      <c r="F209" s="430"/>
      <c r="G209" s="431"/>
      <c r="H209" s="432"/>
      <c r="I209" s="432" t="s">
        <v>127</v>
      </c>
      <c r="J209" s="425"/>
      <c r="K209" s="433" t="e">
        <f>K18+K19+K27+K28+K45+K46+K53+K54</f>
        <v>#REF!</v>
      </c>
      <c r="L209" s="425"/>
      <c r="M209" s="425"/>
      <c r="N209" s="433" t="e">
        <f>N18+N19+N27+N28+N45+N46+N53+N54</f>
        <v>#REF!</v>
      </c>
      <c r="O209" s="425"/>
      <c r="P209" s="425"/>
      <c r="Q209" s="433" t="e">
        <f>Q18+Q19+Q27+Q28+Q45+Q46+Q53+Q54</f>
        <v>#REF!</v>
      </c>
      <c r="R209" s="425"/>
      <c r="S209" s="425"/>
      <c r="T209" s="433" t="e">
        <f>T18+T19+T27+T28+T45+T46+T53+T54</f>
        <v>#REF!</v>
      </c>
      <c r="U209" s="425"/>
      <c r="V209" s="425"/>
      <c r="W209" s="433" t="e">
        <f>W18+W19+W27+W28+W45+W46+W53+W54</f>
        <v>#REF!</v>
      </c>
      <c r="X209" s="425"/>
      <c r="Y209" s="434"/>
      <c r="Z209" s="433" t="e">
        <f>Z18+Z19+Z27+Z28+Z45+Z46+Z53+Z54</f>
        <v>#REF!</v>
      </c>
      <c r="AA209" s="434"/>
      <c r="AB209" s="434"/>
      <c r="AC209" s="433" t="e">
        <f>AC18+AC19+AC27+AC28+AC45+AC46+AC53+AC54</f>
        <v>#REF!</v>
      </c>
      <c r="AD209" s="434"/>
      <c r="AE209" s="498"/>
      <c r="AF209" s="425"/>
      <c r="AG209" s="425"/>
      <c r="AH209" s="425"/>
      <c r="AI209" s="425"/>
      <c r="AJ209" s="425"/>
      <c r="AK209" s="425"/>
      <c r="AL209" s="425"/>
      <c r="AM209" s="425"/>
      <c r="AN209" s="425"/>
      <c r="AO209" s="425"/>
      <c r="AP209" s="425"/>
      <c r="AQ209" s="425"/>
      <c r="AR209" s="425"/>
      <c r="AS209" s="425"/>
      <c r="AT209" s="425"/>
      <c r="AU209" s="425"/>
      <c r="AV209" s="425"/>
      <c r="AW209" s="425"/>
      <c r="AX209" s="425"/>
      <c r="AY209" s="425"/>
    </row>
    <row r="210" spans="1:54" customHeight="1" ht="12.75">
      <c r="A210" s="12"/>
      <c r="B210" s="66"/>
      <c r="C210" s="428"/>
      <c r="D210" s="81"/>
      <c r="E210" s="97"/>
      <c r="F210" s="81"/>
      <c r="G210" s="97"/>
      <c r="H210" s="98"/>
      <c r="I210" s="98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498"/>
      <c r="AF210" s="12"/>
    </row>
    <row r="211" spans="1:54" customHeight="1" ht="12.75" s="12" customFormat="1">
      <c r="A211" s="7"/>
      <c r="B211" s="84"/>
      <c r="C211" s="99"/>
      <c r="D211" s="99"/>
      <c r="E211" s="81"/>
      <c r="F211" s="81"/>
      <c r="G211" s="81"/>
      <c r="H211" s="100"/>
      <c r="I211" s="100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</row>
    <row r="212" spans="1:54" customHeight="1" ht="12.75" s="12" customFormat="1">
      <c r="A212" s="7"/>
      <c r="B212" s="84"/>
      <c r="C212" s="99"/>
      <c r="D212" s="99"/>
      <c r="E212" s="81"/>
      <c r="F212" s="81"/>
      <c r="G212" s="81"/>
      <c r="H212" s="100"/>
      <c r="I212" s="100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  <c r="AA212" s="101"/>
      <c r="AB212" s="101"/>
      <c r="AC212" s="101"/>
      <c r="AD212" s="101"/>
      <c r="AE212" s="101"/>
    </row>
    <row r="213" spans="1:54" customHeight="1" ht="12.75" s="12" customFormat="1">
      <c r="A213" s="7"/>
      <c r="B213" s="84"/>
      <c r="C213" s="99"/>
      <c r="D213" s="99"/>
      <c r="E213" s="81"/>
      <c r="F213" s="81"/>
      <c r="G213" s="81"/>
      <c r="H213" s="100"/>
      <c r="I213" s="100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  <c r="AA213" s="101"/>
      <c r="AB213" s="101"/>
      <c r="AC213" s="101"/>
      <c r="AD213" s="101"/>
      <c r="AE213" s="101"/>
    </row>
    <row r="214" spans="1:54" customHeight="1" ht="12.75" s="12" customFormat="1">
      <c r="A214" s="7"/>
      <c r="B214" s="84"/>
      <c r="C214" s="99"/>
      <c r="D214" s="99"/>
      <c r="E214" s="81"/>
      <c r="F214" s="81"/>
      <c r="G214" s="81"/>
      <c r="H214" s="100"/>
      <c r="I214" s="100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</row>
    <row r="215" spans="1:54" customHeight="1" ht="12.75" s="12" customFormat="1">
      <c r="A215" s="7"/>
      <c r="B215" s="84"/>
      <c r="C215" s="99"/>
      <c r="D215" s="99"/>
      <c r="E215" s="81"/>
      <c r="F215" s="81"/>
      <c r="G215" s="81"/>
      <c r="H215" s="100"/>
      <c r="I215" s="100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  <c r="AA215" s="101"/>
      <c r="AB215" s="101"/>
      <c r="AC215" s="101"/>
      <c r="AD215" s="101"/>
      <c r="AE215" s="101"/>
    </row>
    <row r="216" spans="1:54" customHeight="1" ht="12.75" s="12" customFormat="1">
      <c r="A216" s="7"/>
      <c r="B216" s="84"/>
      <c r="C216" s="99"/>
      <c r="D216" s="99"/>
      <c r="E216" s="81"/>
      <c r="F216" s="81"/>
      <c r="G216" s="81"/>
      <c r="H216" s="100"/>
      <c r="I216" s="100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  <c r="AA216" s="101"/>
      <c r="AB216" s="101"/>
      <c r="AC216" s="101"/>
      <c r="AD216" s="101"/>
      <c r="AE216" s="101"/>
    </row>
    <row r="217" spans="1:54" customHeight="1" ht="12.75" s="12" customFormat="1">
      <c r="A217" s="7"/>
      <c r="B217" s="84"/>
      <c r="C217" s="99"/>
      <c r="D217" s="99"/>
      <c r="E217" s="81"/>
      <c r="F217" s="81"/>
      <c r="G217" s="81"/>
      <c r="H217" s="100"/>
      <c r="I217" s="100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  <c r="AA217" s="101"/>
      <c r="AB217" s="101"/>
      <c r="AC217" s="101"/>
      <c r="AD217" s="101"/>
      <c r="AE217" s="101"/>
    </row>
    <row r="218" spans="1:54" customHeight="1" ht="12.75" s="12" customFormat="1">
      <c r="A218" s="7"/>
      <c r="B218" s="84"/>
      <c r="C218" s="99"/>
      <c r="D218" s="99"/>
      <c r="E218" s="81"/>
      <c r="F218" s="81"/>
      <c r="G218" s="81"/>
      <c r="H218" s="100"/>
      <c r="I218" s="100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  <c r="AA218" s="101"/>
      <c r="AB218" s="101"/>
      <c r="AC218" s="101"/>
      <c r="AD218" s="101"/>
      <c r="AE218" s="101"/>
    </row>
    <row r="219" spans="1:54" customHeight="1" ht="12.75" s="29" customFormat="1">
      <c r="A219" s="7"/>
      <c r="B219" s="84"/>
      <c r="C219" s="82"/>
      <c r="D219" s="82"/>
      <c r="E219" s="82"/>
      <c r="F219" s="82"/>
      <c r="G219" s="82"/>
      <c r="H219" s="82"/>
      <c r="I219" s="8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</row>
    <row r="220" spans="1:54" customHeight="1" ht="12.75" s="12" customFormat="1">
      <c r="A220" s="7"/>
      <c r="B220" s="84"/>
      <c r="C220" s="99"/>
      <c r="D220" s="99"/>
      <c r="E220" s="81"/>
      <c r="F220" s="81"/>
      <c r="G220" s="81"/>
      <c r="H220" s="100"/>
      <c r="I220" s="100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  <c r="AA220" s="101"/>
      <c r="AB220" s="101"/>
      <c r="AC220" s="101"/>
      <c r="AD220" s="101"/>
      <c r="AE220" s="101"/>
    </row>
    <row r="221" spans="1:54" customHeight="1" ht="12.75" s="12" customFormat="1">
      <c r="A221" s="7"/>
      <c r="B221" s="84"/>
      <c r="C221" s="99"/>
      <c r="D221" s="99"/>
      <c r="E221" s="81"/>
      <c r="F221" s="81"/>
      <c r="G221" s="81"/>
      <c r="H221" s="100"/>
      <c r="I221" s="100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  <c r="AA221" s="101"/>
      <c r="AB221" s="101"/>
      <c r="AC221" s="101"/>
      <c r="AD221" s="101"/>
      <c r="AE221" s="101"/>
    </row>
    <row r="222" spans="1:54" customHeight="1" ht="12.75" s="12" customFormat="1">
      <c r="A222" s="7"/>
      <c r="B222" s="84"/>
      <c r="C222" s="99"/>
      <c r="D222" s="99"/>
      <c r="E222" s="81"/>
      <c r="F222" s="81"/>
      <c r="G222" s="81"/>
      <c r="H222" s="100"/>
      <c r="I222" s="100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G222" s="69"/>
      <c r="AH222" s="69"/>
      <c r="AI222" s="69"/>
      <c r="AJ222" s="69"/>
      <c r="AK222" s="69"/>
      <c r="AL222" s="69"/>
      <c r="AM222" s="69"/>
      <c r="AN222" s="69"/>
      <c r="AO222" s="69"/>
      <c r="AP222" s="69"/>
      <c r="AQ222" s="69"/>
      <c r="AR222" s="69"/>
      <c r="AS222" s="69"/>
      <c r="AT222" s="69"/>
      <c r="AU222" s="69"/>
      <c r="AV222" s="69"/>
      <c r="AW222" s="69"/>
      <c r="AX222" s="69"/>
      <c r="AY222" s="70"/>
    </row>
    <row r="223" spans="1:54" customHeight="1" ht="12.75" s="12" customFormat="1">
      <c r="A223" s="7"/>
      <c r="B223" s="84"/>
      <c r="C223" s="99"/>
      <c r="D223" s="99"/>
      <c r="E223" s="81"/>
      <c r="F223" s="81"/>
      <c r="G223" s="81"/>
      <c r="H223" s="100"/>
      <c r="I223" s="100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  <c r="AG223" s="71"/>
      <c r="AH223" s="71"/>
      <c r="AI223" s="71"/>
      <c r="AJ223" s="71"/>
      <c r="AK223" s="71"/>
      <c r="AL223" s="71"/>
      <c r="AM223" s="71"/>
      <c r="AN223" s="71"/>
      <c r="AO223" s="71"/>
      <c r="AP223" s="71"/>
      <c r="AQ223" s="71"/>
      <c r="AR223" s="71"/>
      <c r="AS223" s="71"/>
      <c r="AT223" s="71"/>
      <c r="AU223" s="71"/>
      <c r="AV223" s="71"/>
      <c r="AW223" s="71"/>
      <c r="AX223" s="71"/>
      <c r="AY223" s="72"/>
    </row>
    <row r="224" spans="1:54" customHeight="1" ht="12.75" s="12" customFormat="1">
      <c r="A224" s="7"/>
      <c r="B224" s="84"/>
      <c r="C224" s="99"/>
      <c r="D224" s="99"/>
      <c r="E224" s="81"/>
      <c r="F224" s="81"/>
      <c r="G224" s="81"/>
      <c r="H224" s="100"/>
      <c r="I224" s="100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  <c r="AG224" s="71"/>
      <c r="AH224" s="71"/>
      <c r="AI224" s="71"/>
      <c r="AJ224" s="71"/>
      <c r="AK224" s="71"/>
      <c r="AL224" s="71"/>
      <c r="AM224" s="71"/>
      <c r="AN224" s="71"/>
      <c r="AO224" s="71"/>
      <c r="AP224" s="71"/>
      <c r="AQ224" s="71"/>
      <c r="AR224" s="71"/>
      <c r="AS224" s="71"/>
      <c r="AT224" s="71"/>
      <c r="AU224" s="71"/>
      <c r="AV224" s="71"/>
      <c r="AW224" s="71"/>
      <c r="AX224" s="71"/>
      <c r="AY224" s="72"/>
    </row>
    <row r="225" spans="1:54" customHeight="1" ht="12.75" s="12" customFormat="1">
      <c r="A225" s="7"/>
      <c r="B225" s="84"/>
      <c r="C225" s="99"/>
      <c r="D225" s="99"/>
      <c r="E225" s="81"/>
      <c r="F225" s="81"/>
      <c r="G225" s="81"/>
      <c r="H225" s="100"/>
      <c r="I225" s="100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G225" s="71"/>
      <c r="AH225" s="71"/>
      <c r="AI225" s="71"/>
      <c r="AJ225" s="71"/>
      <c r="AK225" s="71"/>
      <c r="AL225" s="71"/>
      <c r="AM225" s="71"/>
      <c r="AN225" s="71"/>
      <c r="AO225" s="71"/>
      <c r="AP225" s="71"/>
      <c r="AQ225" s="71"/>
      <c r="AR225" s="71"/>
      <c r="AS225" s="71"/>
      <c r="AT225" s="71"/>
      <c r="AU225" s="71"/>
      <c r="AV225" s="71"/>
      <c r="AW225" s="71"/>
      <c r="AX225" s="71"/>
      <c r="AY225" s="72"/>
    </row>
    <row r="226" spans="1:54" customHeight="1" ht="12.75" s="12" customFormat="1">
      <c r="A226" s="7"/>
      <c r="B226" s="84"/>
      <c r="C226" s="99"/>
      <c r="D226" s="99"/>
      <c r="E226" s="81"/>
      <c r="F226" s="81"/>
      <c r="G226" s="81"/>
      <c r="H226" s="100"/>
      <c r="I226" s="100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  <c r="AA226" s="101"/>
      <c r="AB226" s="101"/>
      <c r="AC226" s="101"/>
      <c r="AD226" s="101"/>
      <c r="AE226" s="101"/>
      <c r="AG226" s="71"/>
      <c r="AH226" s="71"/>
      <c r="AI226" s="71"/>
      <c r="AJ226" s="71"/>
      <c r="AK226" s="71"/>
      <c r="AL226" s="71"/>
      <c r="AM226" s="71"/>
      <c r="AN226" s="71"/>
      <c r="AO226" s="71"/>
      <c r="AP226" s="71"/>
      <c r="AQ226" s="71"/>
      <c r="AR226" s="71"/>
      <c r="AS226" s="71"/>
      <c r="AT226" s="71"/>
      <c r="AU226" s="71"/>
      <c r="AV226" s="71"/>
      <c r="AW226" s="71"/>
      <c r="AX226" s="71"/>
      <c r="AY226" s="72"/>
    </row>
    <row r="227" spans="1:54" customHeight="1" ht="12.75" s="12" customFormat="1">
      <c r="A227" s="7"/>
      <c r="B227" s="84"/>
      <c r="C227" s="99"/>
      <c r="D227" s="99"/>
      <c r="E227" s="81"/>
      <c r="F227" s="81"/>
      <c r="G227" s="81"/>
      <c r="H227" s="100"/>
      <c r="I227" s="100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  <c r="AA227" s="101"/>
      <c r="AB227" s="101"/>
      <c r="AC227" s="101"/>
      <c r="AD227" s="101"/>
      <c r="AE227" s="101"/>
      <c r="AG227" s="71"/>
      <c r="AH227" s="71"/>
      <c r="AI227" s="71"/>
      <c r="AJ227" s="71"/>
      <c r="AK227" s="71"/>
      <c r="AL227" s="71"/>
      <c r="AM227" s="71"/>
      <c r="AN227" s="71"/>
      <c r="AO227" s="71"/>
      <c r="AP227" s="71"/>
      <c r="AQ227" s="71"/>
      <c r="AR227" s="71"/>
      <c r="AS227" s="71"/>
      <c r="AT227" s="71"/>
      <c r="AU227" s="71"/>
      <c r="AV227" s="71"/>
      <c r="AW227" s="71"/>
      <c r="AX227" s="71"/>
      <c r="AY227" s="72"/>
    </row>
    <row r="228" spans="1:54" customHeight="1" ht="12.75" s="12" customFormat="1">
      <c r="A228" s="7"/>
      <c r="B228" s="84"/>
      <c r="C228" s="83"/>
      <c r="D228" s="83"/>
      <c r="E228" s="83"/>
      <c r="F228" s="83"/>
      <c r="G228" s="83"/>
      <c r="H228" s="83"/>
      <c r="I228" s="83"/>
      <c r="J228" s="103"/>
      <c r="K228" s="103"/>
      <c r="L228" s="103"/>
      <c r="M228" s="103"/>
      <c r="N228" s="103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  <c r="AA228" s="103"/>
      <c r="AB228" s="103"/>
      <c r="AC228" s="103"/>
      <c r="AD228" s="103"/>
      <c r="AE228" s="103"/>
      <c r="AG228" s="71"/>
      <c r="AH228" s="71"/>
      <c r="AI228" s="71"/>
      <c r="AJ228" s="71"/>
      <c r="AK228" s="71"/>
      <c r="AL228" s="71"/>
      <c r="AM228" s="71"/>
      <c r="AN228" s="71"/>
      <c r="AO228" s="71"/>
      <c r="AP228" s="71"/>
      <c r="AQ228" s="71"/>
      <c r="AR228" s="71"/>
      <c r="AS228" s="71"/>
      <c r="AT228" s="71"/>
      <c r="AU228" s="71"/>
      <c r="AV228" s="71"/>
      <c r="AW228" s="71"/>
      <c r="AX228" s="71"/>
      <c r="AY228" s="72"/>
    </row>
    <row r="229" spans="1:54" customHeight="1" ht="12.75" s="12" customFormat="1">
      <c r="A229" s="104"/>
      <c r="B229" s="105"/>
      <c r="C229" s="99"/>
      <c r="D229" s="99"/>
      <c r="E229" s="81"/>
      <c r="F229" s="81"/>
      <c r="G229" s="81"/>
      <c r="H229" s="100"/>
      <c r="I229" s="100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  <c r="AA229" s="101"/>
      <c r="AB229" s="101"/>
      <c r="AC229" s="101"/>
      <c r="AD229" s="101"/>
      <c r="AE229" s="101"/>
      <c r="AG229" s="71"/>
      <c r="AH229" s="71"/>
      <c r="AI229" s="71"/>
      <c r="AJ229" s="71"/>
      <c r="AK229" s="71"/>
      <c r="AL229" s="71"/>
      <c r="AM229" s="71"/>
      <c r="AN229" s="71"/>
      <c r="AO229" s="71"/>
      <c r="AP229" s="71"/>
      <c r="AQ229" s="71"/>
      <c r="AR229" s="71"/>
      <c r="AS229" s="71"/>
      <c r="AT229" s="71"/>
      <c r="AU229" s="71"/>
      <c r="AV229" s="71"/>
      <c r="AW229" s="71"/>
      <c r="AX229" s="71"/>
      <c r="AY229" s="71"/>
    </row>
    <row r="230" spans="1:54" customHeight="1" ht="12.75" s="12" customFormat="1">
      <c r="A230" s="83"/>
      <c r="B230" s="105"/>
      <c r="C230" s="83"/>
      <c r="D230" s="83"/>
      <c r="E230" s="83"/>
      <c r="F230" s="83"/>
      <c r="G230" s="83"/>
      <c r="H230" s="83"/>
      <c r="I230" s="83"/>
      <c r="J230" s="103"/>
      <c r="K230" s="103"/>
      <c r="L230" s="103"/>
      <c r="M230" s="103"/>
      <c r="N230" s="103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  <c r="AA230" s="103"/>
      <c r="AB230" s="103"/>
      <c r="AC230" s="103"/>
      <c r="AD230" s="103"/>
      <c r="AE230" s="103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  <c r="AR230" s="71"/>
      <c r="AS230" s="71"/>
      <c r="AT230" s="71"/>
      <c r="AU230" s="71"/>
      <c r="AV230" s="71"/>
      <c r="AW230" s="71"/>
      <c r="AX230" s="71"/>
      <c r="AY230" s="71"/>
    </row>
    <row r="231" spans="1:54" customHeight="1" ht="12.75" s="12" customFormat="1">
      <c r="A231" s="30"/>
      <c r="B231" s="30"/>
      <c r="C231" s="106"/>
      <c r="D231" s="106"/>
      <c r="E231" s="106"/>
      <c r="F231" s="106"/>
      <c r="G231" s="106"/>
      <c r="H231" s="106"/>
      <c r="I231" s="106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107"/>
      <c r="AB231" s="107"/>
      <c r="AC231" s="107"/>
      <c r="AD231" s="107"/>
      <c r="AE231" s="107"/>
      <c r="AG231" s="69"/>
      <c r="AH231" s="69"/>
      <c r="AI231" s="69"/>
      <c r="AJ231" s="69"/>
      <c r="AK231" s="69"/>
      <c r="AL231" s="69"/>
      <c r="AM231" s="69"/>
      <c r="AN231" s="69"/>
      <c r="AO231" s="69"/>
      <c r="AP231" s="69"/>
      <c r="AQ231" s="69"/>
      <c r="AR231" s="69"/>
      <c r="AS231" s="69"/>
      <c r="AT231" s="69"/>
      <c r="AU231" s="69"/>
      <c r="AV231" s="69"/>
      <c r="AW231" s="69"/>
      <c r="AX231" s="69"/>
      <c r="AY231" s="70"/>
    </row>
    <row r="232" spans="1:54" customHeight="1" ht="17.1" s="12" customFormat="1">
      <c r="A232" s="31"/>
      <c r="B232" s="31"/>
      <c r="C232" s="65"/>
      <c r="D232" s="65"/>
      <c r="E232" s="65"/>
      <c r="F232" s="65"/>
      <c r="G232" s="65"/>
      <c r="H232" s="65"/>
      <c r="I232" s="65"/>
      <c r="J232" s="497"/>
      <c r="K232" s="497"/>
      <c r="L232" s="497"/>
      <c r="M232" s="497"/>
      <c r="N232" s="497"/>
      <c r="O232" s="497"/>
      <c r="P232" s="497"/>
      <c r="Q232" s="497"/>
      <c r="R232" s="497"/>
      <c r="S232" s="497"/>
      <c r="T232" s="497"/>
      <c r="U232" s="497"/>
      <c r="V232" s="497"/>
      <c r="W232" s="497"/>
      <c r="X232" s="497"/>
      <c r="Y232" s="505"/>
      <c r="Z232" s="505"/>
      <c r="AA232" s="505"/>
      <c r="AB232" s="505"/>
      <c r="AC232" s="505"/>
      <c r="AD232" s="505"/>
      <c r="AE232" s="32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  <c r="AR232" s="71"/>
      <c r="AS232" s="71"/>
      <c r="AT232" s="71"/>
      <c r="AU232" s="71"/>
      <c r="AV232" s="71"/>
      <c r="AW232" s="71"/>
      <c r="AX232" s="71"/>
      <c r="AY232" s="72"/>
    </row>
    <row r="233" spans="1:54" customHeight="1" ht="12.75" s="12" customFormat="1">
      <c r="A233" s="31"/>
      <c r="B233" s="31"/>
      <c r="C233" s="65"/>
      <c r="D233" s="65"/>
      <c r="E233" s="65"/>
      <c r="F233" s="65"/>
      <c r="G233" s="65"/>
      <c r="H233" s="65"/>
      <c r="I233" s="65"/>
      <c r="J233" s="498"/>
      <c r="K233" s="498"/>
      <c r="L233" s="498"/>
      <c r="M233" s="498"/>
      <c r="N233" s="498"/>
      <c r="O233" s="498"/>
      <c r="P233" s="498"/>
      <c r="Q233" s="498"/>
      <c r="R233" s="498"/>
      <c r="S233" s="498"/>
      <c r="T233" s="498"/>
      <c r="U233" s="498"/>
      <c r="V233" s="498"/>
      <c r="W233" s="498"/>
      <c r="X233" s="498"/>
      <c r="Y233" s="504"/>
      <c r="Z233" s="504"/>
      <c r="AA233" s="504"/>
      <c r="AB233" s="504"/>
      <c r="AC233" s="504"/>
      <c r="AD233" s="504"/>
      <c r="AE233" s="3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  <c r="AQ233" s="72"/>
      <c r="AR233" s="72"/>
      <c r="AS233" s="72"/>
      <c r="AT233" s="72"/>
      <c r="AU233" s="72"/>
      <c r="AV233" s="72"/>
      <c r="AW233" s="72"/>
      <c r="AX233" s="72"/>
      <c r="AY233" s="72"/>
    </row>
    <row r="234" spans="1:54" customHeight="1" ht="12.75">
      <c r="A234" s="9"/>
      <c r="B234" s="9"/>
      <c r="C234" s="9"/>
      <c r="D234" s="9"/>
      <c r="E234" s="33"/>
      <c r="F234" s="33"/>
      <c r="G234" s="33"/>
      <c r="H234" s="5"/>
      <c r="I234" s="5"/>
      <c r="J234" s="34"/>
      <c r="K234" s="35"/>
      <c r="L234" s="36"/>
      <c r="M234" s="34"/>
      <c r="N234" s="35"/>
      <c r="O234" s="36"/>
      <c r="P234" s="34"/>
      <c r="Q234" s="35"/>
      <c r="R234" s="36"/>
      <c r="S234" s="34"/>
      <c r="T234" s="35"/>
      <c r="U234" s="36"/>
      <c r="V234" s="34"/>
      <c r="W234" s="35"/>
      <c r="X234" s="36"/>
      <c r="Y234" s="34"/>
      <c r="Z234" s="35"/>
      <c r="AA234" s="36"/>
      <c r="AB234" s="34"/>
      <c r="AC234" s="35"/>
      <c r="AD234" s="36"/>
      <c r="AE234" s="5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  <c r="AQ234" s="72"/>
      <c r="AR234" s="72"/>
      <c r="AS234" s="72"/>
      <c r="AT234" s="72"/>
      <c r="AU234" s="72"/>
      <c r="AV234" s="72"/>
      <c r="AW234" s="72"/>
      <c r="AX234" s="72"/>
      <c r="AY234" s="72"/>
    </row>
    <row r="235" spans="1:54" customHeight="1" ht="12.75">
      <c r="A235" s="108"/>
      <c r="B235" s="108"/>
      <c r="C235" s="9"/>
      <c r="D235" s="9"/>
      <c r="E235" s="33"/>
      <c r="F235" s="33"/>
      <c r="G235" s="33"/>
      <c r="H235" s="5"/>
      <c r="I235" s="5"/>
      <c r="J235" s="34"/>
      <c r="K235" s="35"/>
      <c r="L235" s="36"/>
      <c r="M235" s="34"/>
      <c r="N235" s="35"/>
      <c r="O235" s="36"/>
      <c r="P235" s="34"/>
      <c r="Q235" s="35"/>
      <c r="R235" s="36"/>
      <c r="S235" s="34"/>
      <c r="T235" s="35"/>
      <c r="U235" s="36"/>
      <c r="V235" s="34"/>
      <c r="W235" s="35"/>
      <c r="X235" s="36"/>
      <c r="Y235" s="34"/>
      <c r="Z235" s="35"/>
      <c r="AA235" s="36"/>
      <c r="AB235" s="34"/>
      <c r="AC235" s="35"/>
      <c r="AD235" s="36"/>
      <c r="AE235" s="5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  <c r="AQ235" s="72"/>
      <c r="AR235" s="72"/>
      <c r="AS235" s="72"/>
      <c r="AT235" s="72"/>
      <c r="AU235" s="72"/>
      <c r="AV235" s="72"/>
      <c r="AW235" s="72"/>
      <c r="AX235" s="72"/>
      <c r="AY235" s="72"/>
    </row>
    <row r="236" spans="1:54" customHeight="1" ht="13.5" hidden="true">
      <c r="A236" s="9"/>
      <c r="B236" s="9"/>
      <c r="C236" s="9"/>
      <c r="D236" s="9"/>
      <c r="E236" s="33"/>
      <c r="F236" s="33"/>
      <c r="G236" s="33"/>
      <c r="H236" s="5"/>
      <c r="I236" s="5"/>
      <c r="J236" s="34"/>
      <c r="K236" s="35"/>
      <c r="L236" s="36"/>
      <c r="M236" s="34"/>
      <c r="N236" s="35"/>
      <c r="O236" s="36"/>
      <c r="P236" s="34"/>
      <c r="Q236" s="35"/>
      <c r="R236" s="36"/>
      <c r="S236" s="34"/>
      <c r="T236" s="35"/>
      <c r="U236" s="36"/>
      <c r="V236" s="34"/>
      <c r="W236" s="35"/>
      <c r="X236" s="36"/>
      <c r="Y236" s="34"/>
      <c r="Z236" s="35"/>
      <c r="AA236" s="36"/>
      <c r="AB236" s="34"/>
      <c r="AC236" s="35"/>
      <c r="AD236" s="36"/>
      <c r="AE236" s="5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  <c r="AS236" s="70"/>
      <c r="AT236" s="70"/>
      <c r="AU236" s="70"/>
      <c r="AV236" s="70"/>
      <c r="AW236" s="70"/>
      <c r="AX236" s="70"/>
      <c r="AY236" s="70"/>
    </row>
    <row r="237" spans="1:54" customHeight="1" ht="17.1" hidden="true" s="58" customFormat="1">
      <c r="A237" s="109"/>
      <c r="B237" s="109"/>
      <c r="C237" s="109"/>
      <c r="D237" s="109"/>
      <c r="E237" s="109"/>
      <c r="F237" s="109"/>
      <c r="G237" s="109"/>
      <c r="H237" s="109"/>
      <c r="I237" s="109"/>
      <c r="J237" s="502"/>
      <c r="K237" s="502"/>
      <c r="L237" s="502"/>
      <c r="M237" s="502"/>
      <c r="N237" s="502"/>
      <c r="O237" s="502"/>
      <c r="P237" s="502"/>
      <c r="Q237" s="502"/>
      <c r="R237" s="502"/>
      <c r="S237" s="502"/>
      <c r="T237" s="502"/>
      <c r="U237" s="502"/>
      <c r="V237" s="502"/>
      <c r="W237" s="502"/>
      <c r="X237" s="502"/>
      <c r="Y237" s="502"/>
      <c r="Z237" s="502"/>
      <c r="AA237" s="502"/>
      <c r="AB237" s="502"/>
      <c r="AC237" s="502"/>
      <c r="AD237" s="502"/>
      <c r="AE237" s="57"/>
      <c r="AF237" s="57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 s="70"/>
      <c r="AX237" s="70"/>
      <c r="AY237" s="70"/>
      <c r="AZ237" s="57"/>
      <c r="BA237" s="57"/>
      <c r="BB237" s="57"/>
    </row>
    <row r="238" spans="1:54" customHeight="1" ht="18" hidden="true" s="60" customFormat="1">
      <c r="A238" s="110"/>
      <c r="B238" s="110"/>
      <c r="C238" s="110"/>
      <c r="D238" s="110"/>
      <c r="E238" s="110"/>
      <c r="F238" s="110"/>
      <c r="G238" s="110"/>
      <c r="H238" s="110"/>
      <c r="I238" s="110"/>
      <c r="J238" s="111"/>
      <c r="K238" s="112"/>
      <c r="L238" s="112"/>
      <c r="M238" s="112"/>
      <c r="N238" s="112"/>
      <c r="O238" s="112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  <c r="Z238" s="112"/>
      <c r="AA238" s="112"/>
      <c r="AB238" s="112"/>
      <c r="AC238" s="112"/>
      <c r="AD238" s="112"/>
      <c r="AE238" s="111"/>
      <c r="AF238" s="59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  <c r="AQ238" s="72"/>
      <c r="AR238" s="72"/>
      <c r="AS238" s="72"/>
      <c r="AT238" s="72"/>
      <c r="AU238" s="72"/>
      <c r="AV238" s="72"/>
      <c r="AW238" s="72"/>
      <c r="AX238" s="72"/>
      <c r="AY238" s="72"/>
      <c r="AZ238" s="59"/>
      <c r="BA238" s="59"/>
      <c r="BB238" s="59"/>
    </row>
    <row r="239" spans="1:54" customHeight="1" ht="18" hidden="true" s="60" customFormat="1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3"/>
      <c r="L239" s="113"/>
      <c r="M239" s="113"/>
      <c r="N239" s="113"/>
      <c r="O239" s="113"/>
      <c r="P239" s="113"/>
      <c r="Q239" s="113"/>
      <c r="R239" s="112"/>
      <c r="S239" s="113"/>
      <c r="T239" s="113"/>
      <c r="U239" s="113"/>
      <c r="V239" s="113"/>
      <c r="W239" s="113"/>
      <c r="X239" s="113"/>
      <c r="Y239" s="113"/>
      <c r="Z239" s="113"/>
      <c r="AA239" s="113"/>
      <c r="AB239" s="113"/>
      <c r="AC239" s="113"/>
      <c r="AD239" s="113"/>
      <c r="AE239" s="110"/>
      <c r="AF239" s="59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59"/>
      <c r="BA239" s="59"/>
      <c r="BB239" s="59"/>
    </row>
    <row r="240" spans="1:54" customHeight="1" ht="18" hidden="true" s="60" customFormat="1">
      <c r="A240" s="110"/>
      <c r="B240" s="110"/>
      <c r="C240" s="110"/>
      <c r="D240" s="110"/>
      <c r="E240" s="110"/>
      <c r="F240" s="110"/>
      <c r="G240" s="110"/>
      <c r="H240" s="110"/>
      <c r="I240" s="110"/>
      <c r="J240" s="114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14"/>
      <c r="AF240" s="59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59"/>
      <c r="BA240" s="59"/>
      <c r="BB240" s="59"/>
    </row>
    <row r="241" spans="1:54" customHeight="1" ht="18" hidden="true" s="60" customFormat="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3"/>
      <c r="L241" s="113"/>
      <c r="M241" s="110"/>
      <c r="N241" s="113"/>
      <c r="O241" s="113"/>
      <c r="P241" s="110"/>
      <c r="Q241" s="113"/>
      <c r="R241" s="112"/>
      <c r="S241" s="110"/>
      <c r="T241" s="113"/>
      <c r="U241" s="113"/>
      <c r="V241" s="110"/>
      <c r="W241" s="113"/>
      <c r="X241" s="113"/>
      <c r="Y241" s="110"/>
      <c r="Z241" s="113"/>
      <c r="AA241" s="113"/>
      <c r="AB241" s="110"/>
      <c r="AC241" s="113"/>
      <c r="AD241" s="113"/>
      <c r="AE241" s="110"/>
      <c r="AF241" s="59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59"/>
      <c r="BA241" s="59"/>
      <c r="BB241" s="59"/>
    </row>
    <row r="242" spans="1:54" customHeight="1" ht="18" hidden="true" s="60" customFormat="1">
      <c r="A242" s="116"/>
      <c r="B242" s="116"/>
      <c r="C242" s="116"/>
      <c r="D242" s="116"/>
      <c r="E242" s="116"/>
      <c r="F242" s="116"/>
      <c r="G242" s="116"/>
      <c r="H242" s="116"/>
      <c r="I242" s="116"/>
      <c r="J242" s="110"/>
      <c r="K242" s="113"/>
      <c r="L242" s="113"/>
      <c r="M242" s="113"/>
      <c r="N242" s="113"/>
      <c r="O242" s="113"/>
      <c r="P242" s="113"/>
      <c r="Q242" s="113"/>
      <c r="R242" s="112"/>
      <c r="S242" s="113"/>
      <c r="T242" s="113"/>
      <c r="U242" s="113"/>
      <c r="V242" s="113"/>
      <c r="W242" s="113"/>
      <c r="X242" s="113"/>
      <c r="Y242" s="113"/>
      <c r="Z242" s="113"/>
      <c r="AA242" s="113"/>
      <c r="AB242" s="113"/>
      <c r="AC242" s="113"/>
      <c r="AD242" s="113"/>
      <c r="AE242" s="110"/>
      <c r="AF242" s="59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59"/>
      <c r="BA242" s="59"/>
      <c r="BB242" s="59"/>
    </row>
    <row r="243" spans="1:54" customHeight="1" ht="18" hidden="true" s="60" customFormat="1">
      <c r="A243" s="116"/>
      <c r="B243" s="116"/>
      <c r="C243" s="116"/>
      <c r="D243" s="116"/>
      <c r="E243" s="116"/>
      <c r="F243" s="116"/>
      <c r="G243" s="116"/>
      <c r="H243" s="116"/>
      <c r="I243" s="116"/>
      <c r="J243" s="110"/>
      <c r="K243" s="113"/>
      <c r="L243" s="113"/>
      <c r="M243" s="113"/>
      <c r="N243" s="113"/>
      <c r="O243" s="113"/>
      <c r="P243" s="113"/>
      <c r="Q243" s="113"/>
      <c r="R243" s="112"/>
      <c r="S243" s="113"/>
      <c r="T243" s="113"/>
      <c r="U243" s="113"/>
      <c r="V243" s="113"/>
      <c r="W243" s="113"/>
      <c r="X243" s="113"/>
      <c r="Y243" s="113"/>
      <c r="Z243" s="113"/>
      <c r="AA243" s="113"/>
      <c r="AB243" s="113"/>
      <c r="AC243" s="113"/>
      <c r="AD243" s="113"/>
      <c r="AE243" s="110"/>
      <c r="AF243" s="59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59"/>
      <c r="BA243" s="59"/>
      <c r="BB243" s="59"/>
    </row>
    <row r="244" spans="1:54" customHeight="1" ht="6.75" hidden="true" s="59" customFormat="1">
      <c r="A244" s="61"/>
      <c r="B244" s="61"/>
      <c r="C244" s="62"/>
      <c r="D244" s="62"/>
      <c r="E244" s="62"/>
      <c r="F244" s="62"/>
      <c r="G244" s="62"/>
      <c r="H244" s="62"/>
      <c r="I244" s="62"/>
      <c r="J244" s="63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</row>
    <row r="245" spans="1:54" customHeight="1" ht="17.1" hidden="true" s="59" customFormat="1">
      <c r="A245" s="61"/>
      <c r="B245" s="61"/>
      <c r="C245" s="62"/>
      <c r="D245" s="62"/>
      <c r="E245" s="62"/>
      <c r="F245" s="62"/>
      <c r="G245" s="62"/>
      <c r="H245" s="62"/>
      <c r="I245" s="62"/>
      <c r="J245" s="502"/>
      <c r="K245" s="502"/>
      <c r="L245" s="502"/>
      <c r="M245" s="502"/>
      <c r="N245" s="502"/>
      <c r="O245" s="502"/>
      <c r="P245" s="502"/>
      <c r="Q245" s="502"/>
      <c r="R245" s="502"/>
      <c r="S245" s="502"/>
      <c r="T245" s="502"/>
      <c r="U245" s="502"/>
      <c r="V245" s="502"/>
      <c r="W245" s="502"/>
      <c r="X245" s="502"/>
      <c r="Y245" s="502"/>
      <c r="Z245" s="502"/>
      <c r="AA245" s="502"/>
      <c r="AB245" s="502"/>
      <c r="AC245" s="502"/>
      <c r="AD245" s="502"/>
      <c r="AE245" s="64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</row>
    <row r="246" spans="1:54" customHeight="1" ht="17.1" hidden="true" s="58" customFormat="1">
      <c r="A246" s="109"/>
      <c r="B246" s="109"/>
      <c r="C246" s="109"/>
      <c r="D246" s="109"/>
      <c r="E246" s="109"/>
      <c r="F246" s="109"/>
      <c r="G246" s="109"/>
      <c r="H246" s="109"/>
      <c r="I246" s="109"/>
      <c r="J246" s="60"/>
      <c r="K246" s="60"/>
      <c r="L246" s="60"/>
      <c r="N246" s="60"/>
      <c r="O246" s="60"/>
      <c r="Q246" s="60"/>
      <c r="R246" s="59"/>
      <c r="T246" s="60"/>
      <c r="U246" s="60"/>
      <c r="W246" s="60"/>
      <c r="X246" s="60"/>
      <c r="Z246" s="60"/>
      <c r="AA246" s="60"/>
      <c r="AC246" s="60"/>
      <c r="AD246" s="60"/>
      <c r="AE246" s="57"/>
      <c r="AF246" s="57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57"/>
      <c r="BA246" s="57"/>
      <c r="BB246" s="57"/>
    </row>
    <row r="247" spans="1:54" customHeight="1" ht="18" hidden="true" s="60" customFormat="1">
      <c r="A247" s="117"/>
      <c r="B247" s="117"/>
      <c r="C247" s="117"/>
      <c r="D247" s="117"/>
      <c r="E247" s="117"/>
      <c r="F247" s="117"/>
      <c r="G247" s="117"/>
      <c r="H247" s="117"/>
      <c r="I247" s="117"/>
      <c r="J247" s="118"/>
      <c r="K247" s="119"/>
      <c r="L247" s="115"/>
      <c r="M247" s="120"/>
      <c r="N247" s="119"/>
      <c r="O247" s="115"/>
      <c r="P247" s="120"/>
      <c r="Q247" s="119"/>
      <c r="R247" s="115"/>
      <c r="S247" s="120"/>
      <c r="T247" s="119"/>
      <c r="U247" s="115"/>
      <c r="V247" s="120"/>
      <c r="W247" s="119"/>
      <c r="X247" s="115"/>
      <c r="Y247" s="120"/>
      <c r="Z247" s="119"/>
      <c r="AA247" s="115"/>
      <c r="AB247" s="120"/>
      <c r="AC247" s="119"/>
      <c r="AD247" s="115"/>
      <c r="AE247" s="111"/>
      <c r="AF247" s="59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59"/>
      <c r="BA247" s="59"/>
      <c r="BB247" s="59"/>
    </row>
    <row r="248" spans="1:54" customHeight="1" ht="18" hidden="true" s="60" customFormat="1">
      <c r="A248" s="117"/>
      <c r="B248" s="117"/>
      <c r="C248" s="117"/>
      <c r="D248" s="117"/>
      <c r="E248" s="117"/>
      <c r="F248" s="117"/>
      <c r="G248" s="117"/>
      <c r="H248" s="117"/>
      <c r="I248" s="117"/>
      <c r="J248" s="118"/>
      <c r="K248" s="119"/>
      <c r="L248" s="115"/>
      <c r="M248" s="120"/>
      <c r="N248" s="119"/>
      <c r="O248" s="115"/>
      <c r="P248" s="120"/>
      <c r="Q248" s="119"/>
      <c r="R248" s="115"/>
      <c r="S248" s="120"/>
      <c r="T248" s="119"/>
      <c r="U248" s="115"/>
      <c r="V248" s="120"/>
      <c r="W248" s="119"/>
      <c r="X248" s="115"/>
      <c r="Y248" s="120"/>
      <c r="Z248" s="119"/>
      <c r="AA248" s="115"/>
      <c r="AB248" s="120"/>
      <c r="AC248" s="119"/>
      <c r="AD248" s="115"/>
      <c r="AE248" s="121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</row>
    <row r="249" spans="1:54" customHeight="1" ht="18" hidden="true" s="60" customFormat="1">
      <c r="A249" s="117"/>
      <c r="B249" s="117"/>
      <c r="C249" s="117"/>
      <c r="D249" s="117"/>
      <c r="E249" s="117"/>
      <c r="F249" s="117"/>
      <c r="G249" s="117"/>
      <c r="H249" s="117"/>
      <c r="I249" s="117"/>
      <c r="J249" s="118"/>
      <c r="K249" s="119"/>
      <c r="L249" s="115"/>
      <c r="M249" s="120"/>
      <c r="N249" s="119"/>
      <c r="O249" s="115"/>
      <c r="P249" s="120"/>
      <c r="Q249" s="119"/>
      <c r="R249" s="115"/>
      <c r="S249" s="120"/>
      <c r="T249" s="119"/>
      <c r="U249" s="115"/>
      <c r="V249" s="120"/>
      <c r="W249" s="119"/>
      <c r="X249" s="115"/>
      <c r="Y249" s="120"/>
      <c r="Z249" s="119"/>
      <c r="AA249" s="115"/>
      <c r="AB249" s="120"/>
      <c r="AC249" s="119"/>
      <c r="AD249" s="115"/>
      <c r="AE249" s="121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</row>
    <row r="250" spans="1:54" customHeight="1" ht="18" hidden="true" s="60" customFormat="1">
      <c r="A250" s="117"/>
      <c r="B250" s="117"/>
      <c r="C250" s="117"/>
      <c r="D250" s="117"/>
      <c r="E250" s="117"/>
      <c r="F250" s="117"/>
      <c r="G250" s="117"/>
      <c r="H250" s="117"/>
      <c r="I250" s="117"/>
      <c r="J250" s="118"/>
      <c r="K250" s="119"/>
      <c r="L250" s="115"/>
      <c r="M250" s="120"/>
      <c r="N250" s="119"/>
      <c r="O250" s="115"/>
      <c r="P250" s="120"/>
      <c r="Q250" s="119"/>
      <c r="R250" s="115"/>
      <c r="S250" s="122"/>
      <c r="T250" s="119"/>
      <c r="U250" s="115"/>
      <c r="V250" s="120"/>
      <c r="W250" s="119"/>
      <c r="X250" s="115"/>
      <c r="Y250" s="120"/>
      <c r="Z250" s="119"/>
      <c r="AA250" s="115"/>
      <c r="AB250" s="120"/>
      <c r="AC250" s="119"/>
      <c r="AD250" s="115"/>
      <c r="AE250" s="121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</row>
    <row r="251" spans="1:54" customHeight="1" ht="18" hidden="true" s="58" customFormat="1">
      <c r="A251" s="123"/>
      <c r="B251" s="123"/>
      <c r="C251" s="123"/>
      <c r="D251" s="123"/>
      <c r="E251" s="123"/>
      <c r="F251" s="123"/>
      <c r="G251" s="123"/>
      <c r="H251" s="123"/>
      <c r="I251" s="123"/>
      <c r="K251" s="119"/>
      <c r="L251" s="115"/>
      <c r="M251" s="122"/>
      <c r="N251" s="119"/>
      <c r="O251" s="115"/>
      <c r="P251" s="122"/>
      <c r="Q251" s="119"/>
      <c r="R251" s="115"/>
      <c r="S251" s="122"/>
      <c r="T251" s="119"/>
      <c r="U251" s="115"/>
      <c r="V251" s="122"/>
      <c r="W251" s="119"/>
      <c r="X251" s="115"/>
      <c r="Y251" s="122"/>
      <c r="Z251" s="119"/>
      <c r="AA251" s="115"/>
      <c r="AB251" s="122"/>
      <c r="AC251" s="119"/>
      <c r="AD251" s="115"/>
      <c r="AE251" s="121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</row>
    <row r="252" spans="1:54" customHeight="1" ht="18" hidden="true" s="58" customFormat="1">
      <c r="A252" s="123"/>
      <c r="B252" s="123"/>
      <c r="C252" s="123"/>
      <c r="D252" s="123"/>
      <c r="E252" s="123"/>
      <c r="F252" s="123"/>
      <c r="G252" s="123"/>
      <c r="H252" s="123"/>
      <c r="I252" s="123"/>
      <c r="K252" s="119"/>
      <c r="L252" s="115"/>
      <c r="M252" s="122"/>
      <c r="N252" s="119"/>
      <c r="O252" s="115"/>
      <c r="P252" s="122"/>
      <c r="Q252" s="119"/>
      <c r="R252" s="115"/>
      <c r="S252" s="122"/>
      <c r="T252" s="119"/>
      <c r="U252" s="115"/>
      <c r="V252" s="122"/>
      <c r="W252" s="119"/>
      <c r="X252" s="115"/>
      <c r="Y252" s="122"/>
      <c r="Z252" s="119"/>
      <c r="AA252" s="115"/>
      <c r="AB252" s="122"/>
      <c r="AC252" s="119"/>
      <c r="AD252" s="115"/>
      <c r="AE252" s="121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</row>
    <row r="253" spans="1:54" customHeight="1" ht="18" hidden="true" s="60" customFormat="1">
      <c r="A253" s="124"/>
      <c r="B253" s="124"/>
      <c r="C253" s="124"/>
      <c r="D253" s="124"/>
      <c r="E253" s="124"/>
      <c r="F253" s="124"/>
      <c r="G253" s="124"/>
      <c r="H253" s="124"/>
      <c r="I253" s="124"/>
      <c r="K253" s="125"/>
      <c r="L253" s="125"/>
      <c r="M253" s="125"/>
      <c r="N253" s="125"/>
      <c r="O253" s="125"/>
      <c r="P253" s="125"/>
      <c r="Q253" s="125"/>
      <c r="R253" s="354"/>
      <c r="S253" s="125"/>
      <c r="T253" s="125"/>
      <c r="U253" s="125"/>
      <c r="V253" s="125"/>
      <c r="W253" s="125"/>
      <c r="X253" s="125"/>
      <c r="Y253" s="125"/>
      <c r="Z253" s="125"/>
      <c r="AA253" s="125"/>
      <c r="AB253" s="125"/>
      <c r="AC253" s="125"/>
      <c r="AD253" s="125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</row>
    <row r="254" spans="1:54" customHeight="1" ht="12.75" hidden="true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</row>
    <row r="255" spans="1:54" customHeight="1" ht="12.7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126"/>
      <c r="Y255" s="9"/>
      <c r="Z255" s="9"/>
      <c r="AA255" s="9"/>
      <c r="AB255" s="9"/>
      <c r="AC255" s="9"/>
      <c r="AD255" s="9"/>
      <c r="AE255" s="9"/>
    </row>
    <row r="256" spans="1:54" customHeight="1" ht="12.7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126"/>
      <c r="S256" s="9"/>
      <c r="T256" s="9"/>
      <c r="U256" s="126"/>
      <c r="V256" s="9"/>
      <c r="W256" s="9"/>
      <c r="X256" s="9"/>
      <c r="Y256" s="9"/>
      <c r="Z256" s="9"/>
      <c r="AA256" s="9"/>
      <c r="AB256" s="9"/>
      <c r="AC256" s="9"/>
      <c r="AD256" s="9"/>
      <c r="AE256" s="9"/>
    </row>
    <row r="257" spans="1:54" customHeight="1" ht="12.7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126"/>
      <c r="V257" s="9"/>
      <c r="W257" s="9"/>
      <c r="X257" s="9"/>
      <c r="Y257" s="9"/>
      <c r="Z257" s="9"/>
      <c r="AA257" s="9"/>
      <c r="AB257" s="9"/>
      <c r="AC257" s="9"/>
      <c r="AD257" s="9"/>
      <c r="AE257" s="9"/>
    </row>
    <row r="258" spans="1:54" customHeight="1" ht="12.7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126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</row>
    <row r="259" spans="1:54" customHeight="1" ht="12.7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</row>
    <row r="260" spans="1:54" customHeight="1" ht="12.7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</row>
    <row r="261" spans="1:54" customHeight="1" ht="12.7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</row>
    <row r="262" spans="1:54" customHeight="1" ht="12.7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</row>
    <row r="263" spans="1:54" customHeight="1" ht="12.7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</row>
    <row r="264" spans="1:54" customHeight="1" ht="12.7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</row>
    <row r="265" spans="1:54" customHeight="1" ht="12.7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</row>
    <row r="266" spans="1:54" customHeight="1" ht="12.7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</row>
    <row r="267" spans="1:54" customHeight="1" ht="12.7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</row>
    <row r="268" spans="1:54" customHeight="1" ht="12.7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</row>
    <row r="269" spans="1:54" customHeight="1" ht="12.7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</row>
    <row r="270" spans="1:54" customHeight="1" ht="12.7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</row>
    <row r="271" spans="1:54" customHeight="1" ht="12.7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</row>
    <row r="272" spans="1:54" customHeight="1" ht="12.7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</row>
    <row r="273" spans="1:54" customHeight="1" ht="12.7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</row>
    <row r="274" spans="1:54" customHeight="1" ht="12.7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</row>
    <row r="275" spans="1:54" customHeight="1" ht="12.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</row>
    <row r="276" spans="1:54" customHeight="1" ht="12.7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</row>
    <row r="277" spans="1:54" customHeight="1" ht="12.7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</row>
    <row r="278" spans="1:54" customHeight="1" ht="12.7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</row>
    <row r="279" spans="1:54" customHeight="1" ht="12.7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</row>
    <row r="280" spans="1:54" customHeight="1" ht="12.7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</row>
    <row r="281" spans="1:54" customHeight="1" ht="12.7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</row>
    <row r="282" spans="1:54" customHeight="1" ht="12.7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</row>
    <row r="283" spans="1:54" customHeight="1" ht="12.7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</row>
    <row r="284" spans="1:54" customHeight="1" ht="12.7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</row>
    <row r="285" spans="1:54" customHeight="1" ht="12.7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</row>
    <row r="286" spans="1:54" customHeight="1" ht="12.7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</row>
    <row r="287" spans="1:54" customHeight="1" ht="12.7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</row>
    <row r="288" spans="1:54" customHeight="1" ht="12.7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</row>
    <row r="289" spans="1:54" customHeight="1" ht="12.7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</row>
    <row r="290" spans="1:54" customHeight="1" ht="12.7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</row>
    <row r="291" spans="1:54" customHeight="1" ht="12.7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</row>
    <row r="292" spans="1:54" customHeight="1" ht="12.7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</row>
    <row r="293" spans="1:54" customHeight="1" ht="12.7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</row>
    <row r="294" spans="1:54" customHeight="1" ht="12.7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</row>
    <row r="295" spans="1:54" customHeight="1" ht="12.7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</row>
    <row r="296" spans="1:54" customHeight="1" ht="12.7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</row>
    <row r="297" spans="1:54" customHeight="1" ht="12.7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</row>
    <row r="298" spans="1:54" customHeight="1" ht="12.7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</row>
    <row r="299" spans="1:54" customHeight="1" ht="12.7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</row>
    <row r="300" spans="1:54" customHeight="1" ht="12.7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</row>
    <row r="301" spans="1:54" customHeight="1" ht="12.7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</row>
    <row r="302" spans="1:54" customHeight="1" ht="12.7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</row>
    <row r="303" spans="1:54" customHeight="1" ht="12.7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</row>
    <row r="304" spans="1:54" customHeight="1" ht="12.7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</row>
    <row r="305" spans="1:54" customHeight="1" ht="12.7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</row>
    <row r="306" spans="1:54" customHeight="1" ht="12.7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</row>
    <row r="307" spans="1:54" customHeight="1" ht="12.7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</row>
    <row r="308" spans="1:54" customHeight="1" ht="12.7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</row>
    <row r="309" spans="1:54" customHeight="1" ht="12.7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</row>
    <row r="310" spans="1:54" customHeight="1" ht="12.7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</row>
    <row r="311" spans="1:54" customHeight="1" ht="12.7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</row>
    <row r="312" spans="1:54" customHeight="1" ht="12.7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</row>
    <row r="313" spans="1:54" customHeight="1" ht="12.7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</row>
    <row r="314" spans="1:54" customHeight="1" ht="12.7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</row>
    <row r="315" spans="1:54" customHeight="1" ht="12.7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</row>
    <row r="316" spans="1:54" customHeight="1" ht="12.7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</row>
    <row r="317" spans="1:54" customHeight="1" ht="12.7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</row>
    <row r="318" spans="1:54" customHeight="1" ht="12.7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</row>
    <row r="319" spans="1:54" customHeight="1" ht="12.7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</row>
    <row r="320" spans="1:54" customHeight="1" ht="12.7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</row>
    <row r="321" spans="1:54" customHeight="1" ht="12.7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</row>
    <row r="322" spans="1:54" customHeight="1" ht="12.7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</row>
    <row r="323" spans="1:54" customHeight="1" ht="12.7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</row>
  </sheetData>
  <sheetProtection objects="1" scenarios="1" formatCells="1" formatColumns="1" formatRows="1" insertColumns="1" insertRows="1" insertHyperlinks="1" deleteColumns="1" deleteRows="1" sort="1" autoFilter="1" pivotTables="1" selectLockedCells="0" selectUnlockedCells="0"/>
  <mergeCells>
    <mergeCell ref="A6:A8"/>
    <mergeCell ref="J7:L7"/>
    <mergeCell ref="H106:H108"/>
    <mergeCell ref="G6:G8"/>
    <mergeCell ref="I6:I8"/>
    <mergeCell ref="E6:E8"/>
    <mergeCell ref="E106:E108"/>
    <mergeCell ref="G106:G108"/>
    <mergeCell ref="F106:F108"/>
    <mergeCell ref="B106:B108"/>
    <mergeCell ref="V99:X99"/>
    <mergeCell ref="B6:B8"/>
    <mergeCell ref="C6:C8"/>
    <mergeCell ref="H6:H8"/>
    <mergeCell ref="Y100:AA100"/>
    <mergeCell ref="Y6:AA6"/>
    <mergeCell ref="S7:U7"/>
    <mergeCell ref="Y7:AA7"/>
    <mergeCell ref="D6:D8"/>
    <mergeCell ref="M6:O6"/>
    <mergeCell ref="AB100:AD100"/>
    <mergeCell ref="S107:U107"/>
    <mergeCell ref="AB106:AD106"/>
    <mergeCell ref="S100:U100"/>
    <mergeCell ref="V100:X100"/>
    <mergeCell ref="V106:X106"/>
    <mergeCell ref="AE208:AE210"/>
    <mergeCell ref="AB202:AD202"/>
    <mergeCell ref="Y107:AA107"/>
    <mergeCell ref="AE106:AE108"/>
    <mergeCell ref="AB107:AD107"/>
    <mergeCell ref="AB201:AD201"/>
    <mergeCell ref="Y201:AA201"/>
    <mergeCell ref="Y202:AA202"/>
    <mergeCell ref="Y106:AA106"/>
    <mergeCell ref="Y245:AA245"/>
    <mergeCell ref="AB232:AD232"/>
    <mergeCell ref="AB245:AD245"/>
    <mergeCell ref="AB237:AD237"/>
    <mergeCell ref="Y237:AA237"/>
    <mergeCell ref="V233:X233"/>
    <mergeCell ref="V232:X232"/>
    <mergeCell ref="Y232:AA232"/>
    <mergeCell ref="Y233:AA233"/>
    <mergeCell ref="J232:L232"/>
    <mergeCell ref="AB233:AD233"/>
    <mergeCell ref="J245:L245"/>
    <mergeCell ref="M245:O245"/>
    <mergeCell ref="P245:R245"/>
    <mergeCell ref="S245:U245"/>
    <mergeCell ref="J237:L237"/>
    <mergeCell ref="V245:X245"/>
    <mergeCell ref="V237:X237"/>
    <mergeCell ref="S237:U237"/>
    <mergeCell ref="S233:U233"/>
    <mergeCell ref="M237:O237"/>
    <mergeCell ref="P237:R237"/>
    <mergeCell ref="O3:Q3"/>
    <mergeCell ref="P99:R99"/>
    <mergeCell ref="P233:R233"/>
    <mergeCell ref="S99:U99"/>
    <mergeCell ref="S232:U232"/>
    <mergeCell ref="P202:R202"/>
    <mergeCell ref="M201:O201"/>
    <mergeCell ref="M233:O233"/>
    <mergeCell ref="C98:H98"/>
    <mergeCell ref="P232:R232"/>
    <mergeCell ref="J106:L106"/>
    <mergeCell ref="M100:O100"/>
    <mergeCell ref="M107:O107"/>
    <mergeCell ref="J100:L100"/>
    <mergeCell ref="J233:L233"/>
    <mergeCell ref="J201:L201"/>
    <mergeCell ref="J202:L202"/>
    <mergeCell ref="M232:O232"/>
    <mergeCell ref="M202:O202"/>
    <mergeCell ref="S202:U202"/>
    <mergeCell ref="S201:U201"/>
    <mergeCell ref="V107:X107"/>
    <mergeCell ref="V202:X202"/>
    <mergeCell ref="P201:R201"/>
    <mergeCell ref="V201:X201"/>
    <mergeCell ref="L1:T1"/>
    <mergeCell ref="P6:R6"/>
    <mergeCell ref="AD2:AE3"/>
    <mergeCell ref="AB4:AC4"/>
    <mergeCell ref="O2:Q2"/>
    <mergeCell ref="S6:U6"/>
    <mergeCell ref="Z1:AA1"/>
    <mergeCell ref="AD1:AE1"/>
    <mergeCell ref="AB2:AC3"/>
    <mergeCell ref="AB1:AC1"/>
    <mergeCell ref="Z2:AA3"/>
    <mergeCell ref="Z4:AA4"/>
    <mergeCell ref="AD4:AE4"/>
    <mergeCell ref="AY7:BA7"/>
    <mergeCell ref="AG6:AI6"/>
    <mergeCell ref="AS6:AU6"/>
    <mergeCell ref="AJ6:AL6"/>
    <mergeCell ref="AM6:AO6"/>
    <mergeCell ref="AY6:BA6"/>
    <mergeCell ref="AE6:AE8"/>
    <mergeCell ref="M7:O7"/>
    <mergeCell ref="P7:R7"/>
    <mergeCell ref="AV6:AX6"/>
    <mergeCell ref="AS7:AU7"/>
    <mergeCell ref="AP7:AR7"/>
    <mergeCell ref="AJ7:AL7"/>
    <mergeCell ref="AP6:AR6"/>
    <mergeCell ref="V6:X6"/>
    <mergeCell ref="AB6:AD6"/>
    <mergeCell ref="AB7:AD7"/>
    <mergeCell ref="AV7:AX7"/>
    <mergeCell ref="AM7:AO7"/>
    <mergeCell ref="AG7:AI7"/>
    <mergeCell ref="P106:R106"/>
    <mergeCell ref="J99:L99"/>
    <mergeCell ref="V7:X7"/>
    <mergeCell ref="AB99:AD99"/>
    <mergeCell ref="Y99:AA99"/>
    <mergeCell ref="O102:Q102"/>
    <mergeCell ref="O103:Q103"/>
    <mergeCell ref="A106:A108"/>
    <mergeCell ref="C106:C108"/>
    <mergeCell ref="M99:O99"/>
    <mergeCell ref="S106:U106"/>
    <mergeCell ref="J107:L107"/>
    <mergeCell ref="P107:R107"/>
    <mergeCell ref="M106:O106"/>
    <mergeCell ref="P100:R100"/>
    <mergeCell ref="A136:A163"/>
    <mergeCell ref="A36:A63"/>
    <mergeCell ref="A64:A84"/>
    <mergeCell ref="A164:A184"/>
    <mergeCell ref="F6:F8"/>
    <mergeCell ref="J6:L6"/>
    <mergeCell ref="A9:A35"/>
    <mergeCell ref="A109:A135"/>
    <mergeCell ref="I106:I108"/>
    <mergeCell ref="D106:D108"/>
  </mergeCells>
  <printOptions gridLines="false" gridLinesSet="true" horizontalCentered="true"/>
  <pageMargins left="0" right="0" top="0.59055118110236" bottom="0.39370078740157" header="0.39370078740157" footer="0.23622047244094"/>
  <pageSetup paperSize="9" orientation="landscape" scale="68" fitToHeight="1" fitToWidth="1" pageOrder="downThenOver"/>
  <headerFooter differentOddEven="false" differentFirst="false" scaleWithDoc="true" alignWithMargins="true">
    <oddHeader>&amp;LPT. JATIM AUTOCOMP INDONESIA</oddHeader>
    <oddFooter>&amp;LSIX MONTH PRODUCTION PLAN.xls&amp;R&amp;"Times New Roman,Regular"&amp;9&amp;P / &amp;N</oddFooter>
    <evenHeader>&amp;LPT. JATIM AUTOCOMP INDONESIA</evenHeader>
    <evenFooter>&amp;LSIX MONTH PRODUCTION PLAN.xls&amp;R&amp;"Times New Roman,Regular"&amp;9&amp;P / &amp;N</evenFooter>
    <firstHeader/>
    <firstFooter/>
  </headerFooter>
  <rowBreaks count="3" manualBreakCount="3">
    <brk id="51" man="1"/>
    <brk id="100" man="1"/>
    <brk id="103" man="1"/>
  </rowBreaks>
  <legacyDrawing r:id="rId_comments_vml1"/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O174"/>
  <sheetViews>
    <sheetView tabSelected="0" workbookViewId="0" showGridLines="true" showRowColHeaders="1">
      <selection activeCell="AB52" sqref="AB52"/>
    </sheetView>
  </sheetViews>
  <sheetFormatPr customHeight="true" defaultRowHeight="12.75" defaultColWidth="9.140625" outlineLevelRow="0" outlineLevelCol="0"/>
  <cols>
    <col min="1" max="1" width="10.42578125" customWidth="true" style="4"/>
    <col min="2" max="2" width="9" customWidth="true" style="4"/>
    <col min="3" max="3" width="14.85546875" customWidth="true" style="4"/>
    <col min="4" max="4" width="8.7109375" customWidth="true" style="4"/>
    <col min="5" max="5" width="7" customWidth="true" style="4"/>
    <col min="6" max="6" width="5.140625" customWidth="true" style="4"/>
    <col min="7" max="7" width="6.7109375" customWidth="true" style="4"/>
    <col min="8" max="8" width="8" customWidth="true" style="4"/>
    <col min="9" max="9" width="8" customWidth="true" style="4"/>
    <col min="10" max="10" width="7.5703125" customWidth="true" style="4"/>
    <col min="11" max="11" width="8.5703125" customWidth="true" style="4"/>
    <col min="12" max="12" width="8.5703125" customWidth="true" style="4"/>
    <col min="13" max="13" width="7.85546875" customWidth="true" style="4"/>
    <col min="14" max="14" width="8.5703125" customWidth="true" style="4"/>
    <col min="15" max="15" width="8.5703125" customWidth="true" style="4"/>
    <col min="16" max="16" width="7.85546875" customWidth="true" style="4"/>
    <col min="17" max="17" width="8.5703125" customWidth="true" style="4"/>
    <col min="18" max="18" width="8.5703125" customWidth="true" style="4"/>
    <col min="19" max="19" width="7.85546875" customWidth="true" style="4"/>
    <col min="20" max="20" width="8.5703125" customWidth="true" style="4"/>
    <col min="21" max="21" width="8.5703125" customWidth="true" style="4"/>
    <col min="22" max="22" width="7.85546875" customWidth="true" style="4"/>
    <col min="23" max="23" width="8.5703125" customWidth="true" style="4"/>
    <col min="24" max="24" width="8.5703125" customWidth="true" style="4"/>
    <col min="25" max="25" width="7.85546875" customWidth="true" style="4"/>
    <col min="26" max="26" width="8.5703125" customWidth="true" style="4"/>
    <col min="27" max="27" width="8.5703125" customWidth="true" style="4"/>
    <col min="28" max="28" width="7.140625" customWidth="true" style="4"/>
    <col min="29" max="29" width="8.5703125" customWidth="true" style="4"/>
    <col min="30" max="30" width="8.5703125" customWidth="true" style="4"/>
    <col min="31" max="31" width="7.140625" customWidth="true" style="4"/>
    <col min="32" max="32" width="9.140625" style="9"/>
    <col min="33" max="33" width="9.5703125" customWidth="true" style="12"/>
    <col min="34" max="34" width="9.140625" style="12"/>
    <col min="35" max="35" width="9.140625" style="12"/>
    <col min="36" max="36" width="9.5703125" customWidth="true" style="12"/>
    <col min="37" max="37" width="9.140625" style="12"/>
    <col min="38" max="38" width="9.140625" style="12"/>
    <col min="39" max="39" width="9.5703125" customWidth="true" style="12"/>
    <col min="40" max="40" width="9.140625" style="12"/>
    <col min="41" max="41" width="9.140625" style="12"/>
    <col min="42" max="42" width="9.140625" style="12"/>
    <col min="43" max="43" width="9.140625" style="12"/>
    <col min="44" max="44" width="9.140625" style="12"/>
    <col min="45" max="45" width="9.5703125" customWidth="true" style="12"/>
    <col min="46" max="46" width="9.140625" style="12"/>
    <col min="47" max="47" width="9.140625" style="12"/>
    <col min="48" max="48" width="9.140625" style="12"/>
    <col min="49" max="49" width="9.140625" style="12"/>
    <col min="50" max="50" width="9.140625" style="12"/>
    <col min="51" max="51" width="9.5703125" customWidth="true" style="12"/>
    <col min="52" max="52" width="9.140625" style="9"/>
    <col min="53" max="53" width="10.140625" customWidth="true" style="9"/>
  </cols>
  <sheetData>
    <row r="1" spans="1:67" customHeight="1" ht="17.25" s="6" customFormat="1">
      <c r="A1" s="1"/>
      <c r="B1" s="1"/>
      <c r="C1" s="2"/>
      <c r="D1" s="2"/>
      <c r="E1" s="2"/>
      <c r="F1" s="2"/>
      <c r="G1" s="2"/>
      <c r="H1" s="3"/>
      <c r="I1" s="3"/>
      <c r="J1" s="3"/>
      <c r="K1" s="4"/>
      <c r="L1" s="5"/>
      <c r="M1" s="483" t="s">
        <v>128</v>
      </c>
      <c r="N1" s="483"/>
      <c r="O1" s="483"/>
      <c r="P1" s="483"/>
      <c r="Q1" s="483"/>
      <c r="R1" s="483"/>
      <c r="S1" s="483"/>
      <c r="T1" s="5"/>
      <c r="U1" s="5"/>
      <c r="V1" s="5"/>
      <c r="W1" s="4"/>
      <c r="X1" s="4"/>
      <c r="Y1" s="4"/>
      <c r="Z1" s="127"/>
      <c r="AA1" s="127"/>
      <c r="AB1" s="127"/>
      <c r="AC1" s="202"/>
      <c r="AD1" s="490" t="s">
        <v>1</v>
      </c>
      <c r="AE1" s="491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</row>
    <row r="2" spans="1:67" customHeight="1" ht="18">
      <c r="A2" s="255" t="str">
        <f>'Qty &amp; UMH GUM'!A2:C2</f>
        <v>S/R NO     : </v>
      </c>
      <c r="B2" s="256" t="str">
        <f>'Qty &amp; UMH GUM'!B2</f>
        <v>202603-10</v>
      </c>
      <c r="C2" s="257"/>
      <c r="D2" s="7"/>
      <c r="E2" s="7"/>
      <c r="F2" s="7"/>
      <c r="G2" s="7"/>
      <c r="K2" s="8"/>
      <c r="L2" s="8"/>
      <c r="O2" s="245" t="str">
        <f>'Qty &amp; UMH GUM'!O2</f>
        <v>900B-486D</v>
      </c>
      <c r="P2" s="488"/>
      <c r="Q2" s="488"/>
      <c r="U2" s="145"/>
      <c r="V2" s="8"/>
      <c r="W2" s="8"/>
      <c r="Z2" s="9"/>
      <c r="AA2" s="9"/>
      <c r="AB2" s="9"/>
      <c r="AC2" s="203"/>
      <c r="AD2" s="484"/>
      <c r="AE2" s="481"/>
    </row>
    <row r="3" spans="1:67" customHeight="1" ht="14.25" s="12" customFormat="1">
      <c r="A3" s="255" t="str">
        <f>'Qty &amp; UMH GUM'!A3:C3</f>
        <v>FAX NO   :</v>
      </c>
      <c r="B3" s="256" t="str">
        <f>'Qty &amp; UMH GUM'!B3</f>
        <v>EMAIL</v>
      </c>
      <c r="C3" s="257"/>
      <c r="D3" s="7"/>
      <c r="E3" s="7"/>
      <c r="F3" s="7"/>
      <c r="G3" s="7"/>
      <c r="H3" s="4"/>
      <c r="I3" s="4"/>
      <c r="J3" s="4"/>
      <c r="K3" s="4"/>
      <c r="L3" s="4"/>
      <c r="M3" s="4"/>
      <c r="N3" s="4"/>
      <c r="O3" s="82">
        <f>'Qty &amp; UMH GUM'!O3</f>
        <v>46082</v>
      </c>
      <c r="P3" s="476"/>
      <c r="Q3" s="476"/>
      <c r="R3" s="10"/>
      <c r="S3" s="10"/>
      <c r="T3" s="169"/>
      <c r="U3" s="11"/>
      <c r="V3" s="11"/>
      <c r="W3" s="10"/>
      <c r="X3" s="10"/>
      <c r="Y3" s="10"/>
      <c r="AC3" s="204"/>
      <c r="AD3" s="485"/>
      <c r="AE3" s="486"/>
    </row>
    <row r="4" spans="1:67" customHeight="1" ht="12">
      <c r="A4" s="255" t="str">
        <f>'Qty &amp; UMH GUM'!A4:C4</f>
        <v>DATE        :  </v>
      </c>
      <c r="B4" s="258">
        <f>'Qty &amp; UMH GUM'!B4</f>
        <v>46092</v>
      </c>
      <c r="C4" s="257"/>
      <c r="D4" s="73"/>
      <c r="E4" s="7"/>
      <c r="F4" s="7"/>
      <c r="G4" s="7"/>
      <c r="O4" s="144"/>
      <c r="P4" s="144"/>
      <c r="R4" s="144" t="e">
        <v>#REF!</v>
      </c>
      <c r="T4" s="144"/>
      <c r="V4" s="144"/>
      <c r="X4" s="144" t="e">
        <v>#REF!</v>
      </c>
      <c r="Z4" s="144"/>
      <c r="AB4" s="144"/>
      <c r="AC4" s="205"/>
      <c r="AD4" s="480" t="str">
        <f>'Qty &amp; UMH GUM'!AD4:AE4</f>
        <v>LSR</v>
      </c>
      <c r="AE4" s="481"/>
      <c r="AG4" s="130" t="s">
        <v>10</v>
      </c>
    </row>
    <row r="5" spans="1:67" customHeight="1" ht="11.25" s="12" customFormat="1">
      <c r="A5" s="13"/>
      <c r="B5" s="13"/>
      <c r="C5" s="14">
        <f>NOW()</f>
        <v>46196.164652778</v>
      </c>
      <c r="D5" s="14"/>
      <c r="E5" s="14"/>
      <c r="F5" s="14"/>
      <c r="G5" s="14"/>
      <c r="H5" s="15"/>
      <c r="I5" s="15"/>
      <c r="J5" s="16"/>
      <c r="K5" s="143"/>
      <c r="L5" s="4"/>
      <c r="M5" s="4"/>
      <c r="N5" s="18"/>
      <c r="O5" s="4"/>
      <c r="P5" s="4"/>
      <c r="Q5" s="19"/>
      <c r="R5" s="10"/>
      <c r="S5" s="10"/>
      <c r="T5" s="19"/>
      <c r="U5" s="20">
        <f>'Qty &amp; UMH GUM'!U5</f>
        <v/>
      </c>
      <c r="V5" s="10"/>
      <c r="W5" s="21"/>
      <c r="X5" s="10"/>
      <c r="Y5" s="10"/>
      <c r="Z5" s="21"/>
      <c r="AA5" s="10"/>
      <c r="AB5" s="10"/>
      <c r="AC5" s="21"/>
      <c r="AD5" s="10"/>
      <c r="AE5" s="10"/>
    </row>
    <row r="6" spans="1:67" customHeight="1" ht="12.75" s="12" customFormat="1">
      <c r="A6" s="460" t="s">
        <v>17</v>
      </c>
      <c r="B6" s="460" t="s">
        <v>18</v>
      </c>
      <c r="C6" s="447" t="s">
        <v>19</v>
      </c>
      <c r="D6" s="514" t="s">
        <v>20</v>
      </c>
      <c r="E6" s="516" t="s">
        <v>21</v>
      </c>
      <c r="F6" s="447" t="s">
        <v>22</v>
      </c>
      <c r="G6" s="516" t="s">
        <v>23</v>
      </c>
      <c r="H6" s="531" t="s">
        <v>129</v>
      </c>
      <c r="I6" s="531" t="s">
        <v>130</v>
      </c>
      <c r="J6" s="451" t="str">
        <f>'Qty &amp; UMH GUM'!J6</f>
        <v>FEB</v>
      </c>
      <c r="K6" s="466"/>
      <c r="L6" s="466"/>
      <c r="M6" s="450" t="str">
        <f>'Qty &amp; UMH GUM'!M6</f>
        <v>MAR</v>
      </c>
      <c r="N6" s="466"/>
      <c r="O6" s="467"/>
      <c r="P6" s="450" t="str">
        <f>'Qty &amp; UMH GUM'!P6</f>
        <v>APR</v>
      </c>
      <c r="Q6" s="466"/>
      <c r="R6" s="467"/>
      <c r="S6" s="451" t="str">
        <f>'Qty &amp; UMH GUM'!S6</f>
        <v>MAY</v>
      </c>
      <c r="T6" s="466"/>
      <c r="U6" s="466"/>
      <c r="V6" s="450" t="str">
        <f>'Qty &amp; UMH GUM'!V6</f>
        <v>JUN</v>
      </c>
      <c r="W6" s="466"/>
      <c r="X6" s="467"/>
      <c r="Y6" s="451" t="str">
        <f>'Qty &amp; UMH GUM'!Y6</f>
        <v>JUL</v>
      </c>
      <c r="Z6" s="466"/>
      <c r="AA6" s="466"/>
      <c r="AB6" s="450" t="str">
        <f>'Qty &amp; UMH GUM'!AB6</f>
        <v>AUG</v>
      </c>
      <c r="AC6" s="466"/>
      <c r="AD6" s="467"/>
      <c r="AE6" s="529" t="s">
        <v>40</v>
      </c>
      <c r="AG6" s="465" t="s">
        <v>32</v>
      </c>
      <c r="AH6" s="466"/>
      <c r="AI6" s="467"/>
      <c r="AJ6" s="465" t="s">
        <v>25</v>
      </c>
      <c r="AK6" s="466"/>
      <c r="AL6" s="467"/>
      <c r="AM6" s="465" t="s">
        <v>26</v>
      </c>
      <c r="AN6" s="466"/>
      <c r="AO6" s="467"/>
      <c r="AP6" s="465" t="s">
        <v>27</v>
      </c>
      <c r="AQ6" s="466"/>
      <c r="AR6" s="467"/>
      <c r="AS6" s="465" t="s">
        <v>28</v>
      </c>
      <c r="AT6" s="466"/>
      <c r="AU6" s="467"/>
      <c r="AV6" s="465" t="s">
        <v>29</v>
      </c>
      <c r="AW6" s="466"/>
      <c r="AX6" s="467"/>
      <c r="AY6" s="465" t="s">
        <v>30</v>
      </c>
      <c r="AZ6" s="466"/>
      <c r="BA6" s="467"/>
    </row>
    <row r="7" spans="1:67" customHeight="1" ht="12.75" s="12" customFormat="1">
      <c r="A7" s="461"/>
      <c r="B7" s="461"/>
      <c r="C7" s="448"/>
      <c r="D7" s="482"/>
      <c r="E7" s="517"/>
      <c r="F7" s="448"/>
      <c r="G7" s="517"/>
      <c r="H7" s="532"/>
      <c r="I7" s="532"/>
      <c r="J7" s="281" t="str">
        <f>'Qty &amp; UMH GUM'!J7</f>
        <v>02/FEB ~ 27/FEB</v>
      </c>
      <c r="K7" s="469"/>
      <c r="L7" s="469"/>
      <c r="M7" s="468" t="str">
        <f>'Qty &amp; UMH GUM'!M7</f>
        <v>02/MAR ~ 31/MAR</v>
      </c>
      <c r="N7" s="469"/>
      <c r="O7" s="470"/>
      <c r="P7" s="468" t="str">
        <f>'Qty &amp; UMH GUM'!P7</f>
        <v>01/APR ~ 30/APR</v>
      </c>
      <c r="Q7" s="469"/>
      <c r="R7" s="470"/>
      <c r="S7" s="281" t="str">
        <f>'Qty &amp; UMH GUM'!S7</f>
        <v>02/MAY ~ 30/MAY</v>
      </c>
      <c r="T7" s="469"/>
      <c r="U7" s="469"/>
      <c r="V7" s="468" t="str">
        <f>'Qty &amp; UMH GUM'!V7</f>
        <v>02/JUN ~ 30/JUN</v>
      </c>
      <c r="W7" s="469"/>
      <c r="X7" s="470"/>
      <c r="Y7" s="281" t="str">
        <f>'Qty &amp; UMH GUM'!Y7</f>
        <v>01/JUL ~ 31/JUL</v>
      </c>
      <c r="Z7" s="469"/>
      <c r="AA7" s="469"/>
      <c r="AB7" s="468" t="str">
        <f>'Qty &amp; UMH GUM'!AB7</f>
        <v>03/AUG ~ 31/AUG</v>
      </c>
      <c r="AC7" s="469"/>
      <c r="AD7" s="470"/>
      <c r="AE7" s="448"/>
      <c r="AG7" s="468" t="s">
        <v>33</v>
      </c>
      <c r="AH7" s="469"/>
      <c r="AI7" s="470"/>
      <c r="AJ7" s="468" t="s">
        <v>34</v>
      </c>
      <c r="AK7" s="469"/>
      <c r="AL7" s="470"/>
      <c r="AM7" s="468" t="s">
        <v>35</v>
      </c>
      <c r="AN7" s="469"/>
      <c r="AO7" s="470"/>
      <c r="AP7" s="468" t="s">
        <v>36</v>
      </c>
      <c r="AQ7" s="469"/>
      <c r="AR7" s="470"/>
      <c r="AS7" s="468" t="s">
        <v>37</v>
      </c>
      <c r="AT7" s="469"/>
      <c r="AU7" s="470"/>
      <c r="AV7" s="468" t="s">
        <v>38</v>
      </c>
      <c r="AW7" s="469"/>
      <c r="AX7" s="470"/>
      <c r="AY7" s="468" t="s">
        <v>39</v>
      </c>
      <c r="AZ7" s="469"/>
      <c r="BA7" s="470"/>
    </row>
    <row r="8" spans="1:67" customHeight="1" ht="13.5" s="12" customFormat="1">
      <c r="A8" s="462"/>
      <c r="B8" s="462"/>
      <c r="C8" s="449"/>
      <c r="D8" s="515"/>
      <c r="E8" s="518"/>
      <c r="F8" s="449"/>
      <c r="G8" s="518"/>
      <c r="H8" s="533"/>
      <c r="I8" s="533"/>
      <c r="J8" s="25" t="s">
        <v>40</v>
      </c>
      <c r="K8" s="23" t="s">
        <v>41</v>
      </c>
      <c r="L8" s="26" t="s">
        <v>42</v>
      </c>
      <c r="M8" s="22" t="s">
        <v>40</v>
      </c>
      <c r="N8" s="23" t="s">
        <v>41</v>
      </c>
      <c r="O8" s="24" t="s">
        <v>42</v>
      </c>
      <c r="P8" s="22" t="s">
        <v>40</v>
      </c>
      <c r="Q8" s="23" t="s">
        <v>41</v>
      </c>
      <c r="R8" s="24" t="s">
        <v>42</v>
      </c>
      <c r="S8" s="25" t="s">
        <v>40</v>
      </c>
      <c r="T8" s="23" t="s">
        <v>41</v>
      </c>
      <c r="U8" s="26" t="s">
        <v>42</v>
      </c>
      <c r="V8" s="22" t="s">
        <v>40</v>
      </c>
      <c r="W8" s="23" t="s">
        <v>41</v>
      </c>
      <c r="X8" s="24" t="s">
        <v>42</v>
      </c>
      <c r="Y8" s="25" t="s">
        <v>40</v>
      </c>
      <c r="Z8" s="23" t="s">
        <v>41</v>
      </c>
      <c r="AA8" s="26" t="s">
        <v>42</v>
      </c>
      <c r="AB8" s="22" t="s">
        <v>40</v>
      </c>
      <c r="AC8" s="23" t="s">
        <v>41</v>
      </c>
      <c r="AD8" s="24" t="s">
        <v>42</v>
      </c>
      <c r="AE8" s="530"/>
      <c r="AG8" s="22" t="s">
        <v>40</v>
      </c>
      <c r="AH8" s="23" t="s">
        <v>41</v>
      </c>
      <c r="AI8" s="24" t="s">
        <v>42</v>
      </c>
      <c r="AJ8" s="25" t="s">
        <v>40</v>
      </c>
      <c r="AK8" s="23" t="s">
        <v>41</v>
      </c>
      <c r="AL8" s="26" t="s">
        <v>42</v>
      </c>
      <c r="AM8" s="22" t="s">
        <v>40</v>
      </c>
      <c r="AN8" s="23" t="s">
        <v>41</v>
      </c>
      <c r="AO8" s="24" t="s">
        <v>42</v>
      </c>
      <c r="AP8" s="25" t="s">
        <v>40</v>
      </c>
      <c r="AQ8" s="23" t="s">
        <v>41</v>
      </c>
      <c r="AR8" s="26" t="s">
        <v>42</v>
      </c>
      <c r="AS8" s="22" t="s">
        <v>40</v>
      </c>
      <c r="AT8" s="23" t="s">
        <v>41</v>
      </c>
      <c r="AU8" s="24" t="s">
        <v>42</v>
      </c>
      <c r="AV8" s="25" t="s">
        <v>40</v>
      </c>
      <c r="AW8" s="23" t="s">
        <v>41</v>
      </c>
      <c r="AX8" s="26" t="s">
        <v>42</v>
      </c>
      <c r="AY8" s="22" t="s">
        <v>40</v>
      </c>
      <c r="AZ8" s="23" t="s">
        <v>41</v>
      </c>
      <c r="BA8" s="24" t="s">
        <v>42</v>
      </c>
    </row>
    <row r="9" spans="1:67" customHeight="1" ht="15.75">
      <c r="A9" s="520" t="s">
        <v>131</v>
      </c>
      <c r="B9" s="521"/>
      <c r="C9" s="158" t="e">
        <v>#REF!</v>
      </c>
      <c r="D9" s="54" t="e">
        <v>#REF!</v>
      </c>
      <c r="E9" s="37"/>
      <c r="F9" s="37" t="e">
        <v>#REF!</v>
      </c>
      <c r="G9" s="37" t="e">
        <v>#REF!</v>
      </c>
      <c r="H9" s="38" t="e">
        <v>#REF!</v>
      </c>
      <c r="I9" s="38"/>
      <c r="J9" s="42" t="e">
        <v>#REF!</v>
      </c>
      <c r="K9" s="49" t="e">
        <v>#REF!</v>
      </c>
      <c r="L9" s="185" t="e">
        <v>#REF!</v>
      </c>
      <c r="M9" s="39" t="e">
        <v>#REF!</v>
      </c>
      <c r="N9" s="40" t="e">
        <v>#REF!</v>
      </c>
      <c r="O9" s="41" t="e">
        <v>#REF!</v>
      </c>
      <c r="P9" s="39" t="e">
        <v>#REF!</v>
      </c>
      <c r="Q9" s="40" t="e">
        <v>#REF!</v>
      </c>
      <c r="R9" s="41" t="e">
        <v>#REF!</v>
      </c>
      <c r="S9" s="42" t="e">
        <v>#REF!</v>
      </c>
      <c r="T9" s="40" t="e">
        <v>#REF!</v>
      </c>
      <c r="U9" s="43" t="e">
        <v>#REF!</v>
      </c>
      <c r="V9" s="39" t="e">
        <v>#REF!</v>
      </c>
      <c r="W9" s="40" t="e">
        <v>#REF!</v>
      </c>
      <c r="X9" s="41" t="e">
        <v>#REF!</v>
      </c>
      <c r="Y9" s="42" t="e">
        <v>#REF!</v>
      </c>
      <c r="Z9" s="40" t="e">
        <v>#REF!</v>
      </c>
      <c r="AA9" s="43" t="e">
        <v>#REF!</v>
      </c>
      <c r="AB9" s="39" t="e">
        <v>#REF!</v>
      </c>
      <c r="AC9" s="40" t="e">
        <v>#REF!</v>
      </c>
      <c r="AD9" s="41" t="e">
        <v>#REF!</v>
      </c>
      <c r="AE9" s="56" t="e">
        <v>#REF!</v>
      </c>
      <c r="AG9" s="131" t="e">
        <f>J9*F9</f>
        <v>#REF!</v>
      </c>
      <c r="AH9" s="132" t="e">
        <f>K9*F9</f>
        <v>#REF!</v>
      </c>
      <c r="AI9" s="133" t="e">
        <f>L9*F9</f>
        <v>#REF!</v>
      </c>
      <c r="AJ9" s="33" t="e">
        <f>M9*F9</f>
        <v>#REF!</v>
      </c>
      <c r="AK9" s="132" t="e">
        <f>N9*F9</f>
        <v>#REF!</v>
      </c>
      <c r="AL9" s="133" t="e">
        <f>O9*F9</f>
        <v>#REF!</v>
      </c>
      <c r="AM9" s="33" t="e">
        <f>P9*F9</f>
        <v>#REF!</v>
      </c>
      <c r="AN9" s="132" t="e">
        <f>Q9*F9</f>
        <v>#REF!</v>
      </c>
      <c r="AO9" s="133" t="e">
        <f>R9*F9</f>
        <v>#REF!</v>
      </c>
      <c r="AP9" s="33" t="e">
        <f>S9*F9</f>
        <v>#REF!</v>
      </c>
      <c r="AQ9" s="132" t="e">
        <f>T9*F9</f>
        <v>#REF!</v>
      </c>
      <c r="AR9" s="133" t="e">
        <f>U9*F9</f>
        <v>#REF!</v>
      </c>
      <c r="AS9" s="33" t="e">
        <f>V9*F9</f>
        <v>#REF!</v>
      </c>
      <c r="AT9" s="132" t="e">
        <f>W9*F9</f>
        <v>#REF!</v>
      </c>
      <c r="AU9" s="133" t="e">
        <f>X9*F9</f>
        <v>#REF!</v>
      </c>
      <c r="AV9" s="33" t="e">
        <f>Y9*F9</f>
        <v>#REF!</v>
      </c>
      <c r="AW9" s="132" t="e">
        <f>Z9*F9</f>
        <v>#REF!</v>
      </c>
      <c r="AX9" s="133" t="e">
        <f>AA9*F9</f>
        <v>#REF!</v>
      </c>
      <c r="AY9" s="33" t="e">
        <f>AB9*F9</f>
        <v>#REF!</v>
      </c>
      <c r="AZ9" s="132" t="e">
        <f>AC9*F9</f>
        <v>#REF!</v>
      </c>
      <c r="BA9" s="133" t="e">
        <f>AD9*F9</f>
        <v>#REF!</v>
      </c>
    </row>
    <row r="10" spans="1:67" customHeight="1" ht="15.75">
      <c r="A10" s="445"/>
      <c r="B10" s="522"/>
      <c r="C10" s="159" t="e">
        <v>#REF!</v>
      </c>
      <c r="D10" s="55" t="e">
        <v>#REF!</v>
      </c>
      <c r="E10" s="27"/>
      <c r="F10" s="27" t="e">
        <v>#REF!</v>
      </c>
      <c r="G10" s="27" t="e">
        <v>#REF!</v>
      </c>
      <c r="H10" s="28" t="e">
        <v>#REF!</v>
      </c>
      <c r="I10" s="28"/>
      <c r="J10" s="47" t="e">
        <v>#REF!</v>
      </c>
      <c r="K10" s="51" t="e">
        <v>#REF!</v>
      </c>
      <c r="L10" s="186" t="e">
        <v>#REF!</v>
      </c>
      <c r="M10" s="44" t="e">
        <v>#REF!</v>
      </c>
      <c r="N10" s="45" t="e">
        <v>#REF!</v>
      </c>
      <c r="O10" s="46" t="e">
        <v>#REF!</v>
      </c>
      <c r="P10" s="44" t="e">
        <v>#REF!</v>
      </c>
      <c r="Q10" s="45" t="e">
        <v>#REF!</v>
      </c>
      <c r="R10" s="46" t="e">
        <v>#REF!</v>
      </c>
      <c r="S10" s="47" t="e">
        <v>#REF!</v>
      </c>
      <c r="T10" s="45" t="e">
        <v>#REF!</v>
      </c>
      <c r="U10" s="48" t="e">
        <v>#REF!</v>
      </c>
      <c r="V10" s="44" t="e">
        <v>#REF!</v>
      </c>
      <c r="W10" s="45" t="e">
        <v>#REF!</v>
      </c>
      <c r="X10" s="46" t="e">
        <v>#REF!</v>
      </c>
      <c r="Y10" s="47" t="e">
        <v>#REF!</v>
      </c>
      <c r="Z10" s="45" t="e">
        <v>#REF!</v>
      </c>
      <c r="AA10" s="48" t="e">
        <v>#REF!</v>
      </c>
      <c r="AB10" s="44" t="e">
        <v>#REF!</v>
      </c>
      <c r="AC10" s="45" t="e">
        <v>#REF!</v>
      </c>
      <c r="AD10" s="46" t="e">
        <v>#REF!</v>
      </c>
      <c r="AE10" s="53" t="e">
        <v>#REF!</v>
      </c>
      <c r="AG10" s="131" t="e">
        <f>J10*F10</f>
        <v>#REF!</v>
      </c>
      <c r="AH10" s="132" t="e">
        <f>K10*F10</f>
        <v>#REF!</v>
      </c>
      <c r="AI10" s="133" t="e">
        <f>L10*F10</f>
        <v>#REF!</v>
      </c>
      <c r="AJ10" s="33" t="e">
        <f>M10*F10</f>
        <v>#REF!</v>
      </c>
      <c r="AK10" s="132" t="e">
        <f>N10*F10</f>
        <v>#REF!</v>
      </c>
      <c r="AL10" s="133" t="e">
        <f>O10*F10</f>
        <v>#REF!</v>
      </c>
      <c r="AM10" s="33" t="e">
        <f>P10*F10</f>
        <v>#REF!</v>
      </c>
      <c r="AN10" s="132" t="e">
        <f>Q10*F10</f>
        <v>#REF!</v>
      </c>
      <c r="AO10" s="133" t="e">
        <f>R10*F10</f>
        <v>#REF!</v>
      </c>
      <c r="AP10" s="33" t="e">
        <f>S10*F10</f>
        <v>#REF!</v>
      </c>
      <c r="AQ10" s="132" t="e">
        <f>T10*F10</f>
        <v>#REF!</v>
      </c>
      <c r="AR10" s="133" t="e">
        <f>U10*F10</f>
        <v>#REF!</v>
      </c>
      <c r="AS10" s="33" t="e">
        <f>V10*F10</f>
        <v>#REF!</v>
      </c>
      <c r="AT10" s="132" t="e">
        <f>W10*F10</f>
        <v>#REF!</v>
      </c>
      <c r="AU10" s="133" t="e">
        <f>X10*F10</f>
        <v>#REF!</v>
      </c>
      <c r="AV10" s="33" t="e">
        <f>Y10*F10</f>
        <v>#REF!</v>
      </c>
      <c r="AW10" s="132" t="e">
        <f>Z10*F10</f>
        <v>#REF!</v>
      </c>
      <c r="AX10" s="133" t="e">
        <f>AA10*F10</f>
        <v>#REF!</v>
      </c>
      <c r="AY10" s="33" t="e">
        <f>AB10*F10</f>
        <v>#REF!</v>
      </c>
      <c r="AZ10" s="132" t="e">
        <f>AC10*F10</f>
        <v>#REF!</v>
      </c>
      <c r="BA10" s="133" t="e">
        <f>AD10*F10</f>
        <v>#REF!</v>
      </c>
    </row>
    <row r="11" spans="1:67" customHeight="1" ht="15.75">
      <c r="A11" s="445"/>
      <c r="B11" s="522"/>
      <c r="C11" s="159" t="e">
        <v>#REF!</v>
      </c>
      <c r="D11" s="55" t="e">
        <v>#REF!</v>
      </c>
      <c r="E11" s="27"/>
      <c r="F11" s="27" t="e">
        <v>#REF!</v>
      </c>
      <c r="G11" s="27" t="e">
        <v>#REF!</v>
      </c>
      <c r="H11" s="28" t="e">
        <v>#REF!</v>
      </c>
      <c r="I11" s="28"/>
      <c r="J11" s="47" t="e">
        <v>#REF!</v>
      </c>
      <c r="K11" s="45" t="e">
        <v>#REF!</v>
      </c>
      <c r="L11" s="48" t="e">
        <v>#REF!</v>
      </c>
      <c r="M11" s="44" t="e">
        <v>#REF!</v>
      </c>
      <c r="N11" s="45" t="e">
        <v>#REF!</v>
      </c>
      <c r="O11" s="46" t="e">
        <v>#REF!</v>
      </c>
      <c r="P11" s="44" t="e">
        <v>#REF!</v>
      </c>
      <c r="Q11" s="45" t="e">
        <v>#REF!</v>
      </c>
      <c r="R11" s="46" t="e">
        <v>#REF!</v>
      </c>
      <c r="S11" s="47" t="e">
        <v>#REF!</v>
      </c>
      <c r="T11" s="45" t="e">
        <v>#REF!</v>
      </c>
      <c r="U11" s="48" t="e">
        <v>#REF!</v>
      </c>
      <c r="V11" s="44" t="e">
        <v>#REF!</v>
      </c>
      <c r="W11" s="45" t="e">
        <v>#REF!</v>
      </c>
      <c r="X11" s="46" t="e">
        <v>#REF!</v>
      </c>
      <c r="Y11" s="47" t="e">
        <v>#REF!</v>
      </c>
      <c r="Z11" s="45" t="e">
        <v>#REF!</v>
      </c>
      <c r="AA11" s="48" t="e">
        <v>#REF!</v>
      </c>
      <c r="AB11" s="44" t="e">
        <v>#REF!</v>
      </c>
      <c r="AC11" s="45" t="e">
        <v>#REF!</v>
      </c>
      <c r="AD11" s="46" t="e">
        <v>#REF!</v>
      </c>
      <c r="AE11" s="53" t="e">
        <v>#REF!</v>
      </c>
      <c r="AG11" s="131" t="e">
        <f>J11*F11</f>
        <v>#REF!</v>
      </c>
      <c r="AH11" s="132" t="e">
        <f>K11*F11</f>
        <v>#REF!</v>
      </c>
      <c r="AI11" s="133" t="e">
        <f>L11*F11</f>
        <v>#REF!</v>
      </c>
      <c r="AJ11" s="33" t="e">
        <f>M11*F11</f>
        <v>#REF!</v>
      </c>
      <c r="AK11" s="132" t="e">
        <f>N11*F11</f>
        <v>#REF!</v>
      </c>
      <c r="AL11" s="133" t="e">
        <f>O11*F11</f>
        <v>#REF!</v>
      </c>
      <c r="AM11" s="33" t="e">
        <f>P11*F11</f>
        <v>#REF!</v>
      </c>
      <c r="AN11" s="132" t="e">
        <f>Q11*F11</f>
        <v>#REF!</v>
      </c>
      <c r="AO11" s="133" t="e">
        <f>R11*F11</f>
        <v>#REF!</v>
      </c>
      <c r="AP11" s="33" t="e">
        <f>S11*F11</f>
        <v>#REF!</v>
      </c>
      <c r="AQ11" s="132" t="e">
        <f>T11*F11</f>
        <v>#REF!</v>
      </c>
      <c r="AR11" s="133" t="e">
        <f>U11*F11</f>
        <v>#REF!</v>
      </c>
      <c r="AS11" s="33" t="e">
        <f>V11*F11</f>
        <v>#REF!</v>
      </c>
      <c r="AT11" s="132" t="e">
        <f>W11*F11</f>
        <v>#REF!</v>
      </c>
      <c r="AU11" s="133" t="e">
        <f>X11*F11</f>
        <v>#REF!</v>
      </c>
      <c r="AV11" s="33" t="e">
        <f>Y11*F11</f>
        <v>#REF!</v>
      </c>
      <c r="AW11" s="132" t="e">
        <f>Z11*F11</f>
        <v>#REF!</v>
      </c>
      <c r="AX11" s="133" t="e">
        <f>AA11*F11</f>
        <v>#REF!</v>
      </c>
      <c r="AY11" s="33" t="e">
        <f>AB11*F11</f>
        <v>#REF!</v>
      </c>
      <c r="AZ11" s="132" t="e">
        <f>AC11*F11</f>
        <v>#REF!</v>
      </c>
      <c r="BA11" s="133" t="e">
        <f>AD11*F11</f>
        <v>#REF!</v>
      </c>
    </row>
    <row r="12" spans="1:67" customHeight="1" ht="15.75">
      <c r="A12" s="445"/>
      <c r="B12" s="522"/>
      <c r="C12" s="159" t="e">
        <v>#REF!</v>
      </c>
      <c r="D12" s="55" t="e">
        <v>#REF!</v>
      </c>
      <c r="E12" s="27"/>
      <c r="F12" s="27" t="e">
        <v>#REF!</v>
      </c>
      <c r="G12" s="27" t="e">
        <v>#REF!</v>
      </c>
      <c r="H12" s="28" t="e">
        <v>#REF!</v>
      </c>
      <c r="I12" s="28"/>
      <c r="J12" s="47" t="e">
        <v>#REF!</v>
      </c>
      <c r="K12" s="45" t="e">
        <v>#REF!</v>
      </c>
      <c r="L12" s="48" t="e">
        <v>#REF!</v>
      </c>
      <c r="M12" s="44" t="e">
        <v>#REF!</v>
      </c>
      <c r="N12" s="45" t="e">
        <v>#REF!</v>
      </c>
      <c r="O12" s="46" t="e">
        <v>#REF!</v>
      </c>
      <c r="P12" s="44" t="e">
        <v>#REF!</v>
      </c>
      <c r="Q12" s="45" t="e">
        <v>#REF!</v>
      </c>
      <c r="R12" s="46" t="e">
        <v>#REF!</v>
      </c>
      <c r="S12" s="47" t="e">
        <v>#REF!</v>
      </c>
      <c r="T12" s="45" t="e">
        <v>#REF!</v>
      </c>
      <c r="U12" s="48" t="e">
        <v>#REF!</v>
      </c>
      <c r="V12" s="44" t="e">
        <v>#REF!</v>
      </c>
      <c r="W12" s="45" t="e">
        <v>#REF!</v>
      </c>
      <c r="X12" s="46" t="e">
        <v>#REF!</v>
      </c>
      <c r="Y12" s="47" t="e">
        <v>#REF!</v>
      </c>
      <c r="Z12" s="45" t="e">
        <v>#REF!</v>
      </c>
      <c r="AA12" s="48" t="e">
        <v>#REF!</v>
      </c>
      <c r="AB12" s="44" t="e">
        <v>#REF!</v>
      </c>
      <c r="AC12" s="45" t="e">
        <v>#REF!</v>
      </c>
      <c r="AD12" s="46" t="e">
        <v>#REF!</v>
      </c>
      <c r="AE12" s="53" t="e">
        <v>#REF!</v>
      </c>
      <c r="AG12" s="131" t="e">
        <f>J12*F12</f>
        <v>#REF!</v>
      </c>
      <c r="AH12" s="132" t="e">
        <f>K12*F12</f>
        <v>#REF!</v>
      </c>
      <c r="AI12" s="133" t="e">
        <f>L12*F12</f>
        <v>#REF!</v>
      </c>
      <c r="AJ12" s="33" t="e">
        <f>M12*F12</f>
        <v>#REF!</v>
      </c>
      <c r="AK12" s="132" t="e">
        <f>N12*F12</f>
        <v>#REF!</v>
      </c>
      <c r="AL12" s="133" t="e">
        <f>O12*F12</f>
        <v>#REF!</v>
      </c>
      <c r="AM12" s="33" t="e">
        <f>P12*F12</f>
        <v>#REF!</v>
      </c>
      <c r="AN12" s="132" t="e">
        <f>Q12*F12</f>
        <v>#REF!</v>
      </c>
      <c r="AO12" s="133" t="e">
        <f>R12*F12</f>
        <v>#REF!</v>
      </c>
      <c r="AP12" s="33" t="e">
        <f>S12*F12</f>
        <v>#REF!</v>
      </c>
      <c r="AQ12" s="132" t="e">
        <f>T12*F12</f>
        <v>#REF!</v>
      </c>
      <c r="AR12" s="133" t="e">
        <f>U12*F12</f>
        <v>#REF!</v>
      </c>
      <c r="AS12" s="33" t="e">
        <f>V12*F12</f>
        <v>#REF!</v>
      </c>
      <c r="AT12" s="132" t="e">
        <f>W12*F12</f>
        <v>#REF!</v>
      </c>
      <c r="AU12" s="133" t="e">
        <f>X12*F12</f>
        <v>#REF!</v>
      </c>
      <c r="AV12" s="33" t="e">
        <f>Y12*F12</f>
        <v>#REF!</v>
      </c>
      <c r="AW12" s="132" t="e">
        <f>Z12*F12</f>
        <v>#REF!</v>
      </c>
      <c r="AX12" s="133" t="e">
        <f>AA12*F12</f>
        <v>#REF!</v>
      </c>
      <c r="AY12" s="33" t="e">
        <f>AB12*F12</f>
        <v>#REF!</v>
      </c>
      <c r="AZ12" s="132" t="e">
        <f>AC12*F12</f>
        <v>#REF!</v>
      </c>
      <c r="BA12" s="133" t="e">
        <f>AD12*F12</f>
        <v>#REF!</v>
      </c>
    </row>
    <row r="13" spans="1:67" customHeight="1" ht="15.75">
      <c r="A13" s="445"/>
      <c r="B13" s="522"/>
      <c r="C13" s="159" t="e">
        <v>#REF!</v>
      </c>
      <c r="D13" s="55" t="e">
        <v>#REF!</v>
      </c>
      <c r="E13" s="27"/>
      <c r="F13" s="27" t="e">
        <v>#REF!</v>
      </c>
      <c r="G13" s="27" t="e">
        <v>#REF!</v>
      </c>
      <c r="H13" s="28" t="e">
        <v>#REF!</v>
      </c>
      <c r="I13" s="28"/>
      <c r="J13" s="47" t="e">
        <v>#REF!</v>
      </c>
      <c r="K13" s="45" t="e">
        <v>#REF!</v>
      </c>
      <c r="L13" s="48" t="e">
        <v>#REF!</v>
      </c>
      <c r="M13" s="44" t="e">
        <v>#REF!</v>
      </c>
      <c r="N13" s="45" t="e">
        <v>#REF!</v>
      </c>
      <c r="O13" s="46" t="e">
        <v>#REF!</v>
      </c>
      <c r="P13" s="44" t="e">
        <v>#REF!</v>
      </c>
      <c r="Q13" s="45" t="e">
        <v>#REF!</v>
      </c>
      <c r="R13" s="46" t="e">
        <v>#REF!</v>
      </c>
      <c r="S13" s="47" t="e">
        <v>#REF!</v>
      </c>
      <c r="T13" s="45" t="e">
        <v>#REF!</v>
      </c>
      <c r="U13" s="48" t="e">
        <v>#REF!</v>
      </c>
      <c r="V13" s="44" t="e">
        <v>#REF!</v>
      </c>
      <c r="W13" s="45" t="e">
        <v>#REF!</v>
      </c>
      <c r="X13" s="46" t="e">
        <v>#REF!</v>
      </c>
      <c r="Y13" s="47" t="e">
        <v>#REF!</v>
      </c>
      <c r="Z13" s="45" t="e">
        <v>#REF!</v>
      </c>
      <c r="AA13" s="48" t="e">
        <v>#REF!</v>
      </c>
      <c r="AB13" s="44" t="e">
        <v>#REF!</v>
      </c>
      <c r="AC13" s="45" t="e">
        <v>#REF!</v>
      </c>
      <c r="AD13" s="46" t="e">
        <v>#REF!</v>
      </c>
      <c r="AE13" s="53" t="e">
        <v>#REF!</v>
      </c>
      <c r="AG13" s="131" t="e">
        <f>J13*F13</f>
        <v>#REF!</v>
      </c>
      <c r="AH13" s="132" t="e">
        <f>K13*F13</f>
        <v>#REF!</v>
      </c>
      <c r="AI13" s="133" t="e">
        <f>L13*F13</f>
        <v>#REF!</v>
      </c>
      <c r="AJ13" s="33" t="e">
        <f>M13*F13</f>
        <v>#REF!</v>
      </c>
      <c r="AK13" s="132" t="e">
        <f>N13*F13</f>
        <v>#REF!</v>
      </c>
      <c r="AL13" s="133" t="e">
        <f>O13*F13</f>
        <v>#REF!</v>
      </c>
      <c r="AM13" s="33" t="e">
        <f>P13*F13</f>
        <v>#REF!</v>
      </c>
      <c r="AN13" s="132" t="e">
        <f>Q13*F13</f>
        <v>#REF!</v>
      </c>
      <c r="AO13" s="133" t="e">
        <f>R13*F13</f>
        <v>#REF!</v>
      </c>
      <c r="AP13" s="33" t="e">
        <f>S13*F13</f>
        <v>#REF!</v>
      </c>
      <c r="AQ13" s="132" t="e">
        <f>T13*F13</f>
        <v>#REF!</v>
      </c>
      <c r="AR13" s="133" t="e">
        <f>U13*F13</f>
        <v>#REF!</v>
      </c>
      <c r="AS13" s="33" t="e">
        <f>V13*F13</f>
        <v>#REF!</v>
      </c>
      <c r="AT13" s="132" t="e">
        <f>W13*F13</f>
        <v>#REF!</v>
      </c>
      <c r="AU13" s="133" t="e">
        <f>X13*F13</f>
        <v>#REF!</v>
      </c>
      <c r="AV13" s="33" t="e">
        <f>Y13*F13</f>
        <v>#REF!</v>
      </c>
      <c r="AW13" s="132" t="e">
        <f>Z13*F13</f>
        <v>#REF!</v>
      </c>
      <c r="AX13" s="133" t="e">
        <f>AA13*F13</f>
        <v>#REF!</v>
      </c>
      <c r="AY13" s="33" t="e">
        <f>AB13*F13</f>
        <v>#REF!</v>
      </c>
      <c r="AZ13" s="132" t="e">
        <f>AC13*F13</f>
        <v>#REF!</v>
      </c>
      <c r="BA13" s="133" t="e">
        <f>AD13*F13</f>
        <v>#REF!</v>
      </c>
    </row>
    <row r="14" spans="1:67" customHeight="1" ht="15.75">
      <c r="A14" s="445"/>
      <c r="B14" s="522"/>
      <c r="C14" s="159" t="e">
        <v>#REF!</v>
      </c>
      <c r="D14" s="55" t="e">
        <v>#REF!</v>
      </c>
      <c r="E14" s="27"/>
      <c r="F14" s="27" t="e">
        <v>#REF!</v>
      </c>
      <c r="G14" s="27" t="e">
        <v>#REF!</v>
      </c>
      <c r="H14" s="28" t="e">
        <v>#REF!</v>
      </c>
      <c r="I14" s="28"/>
      <c r="J14" s="47" t="e">
        <v>#REF!</v>
      </c>
      <c r="K14" s="45" t="e">
        <v>#REF!</v>
      </c>
      <c r="L14" s="48" t="e">
        <v>#REF!</v>
      </c>
      <c r="M14" s="44" t="e">
        <v>#REF!</v>
      </c>
      <c r="N14" s="45" t="e">
        <v>#REF!</v>
      </c>
      <c r="O14" s="46" t="e">
        <v>#REF!</v>
      </c>
      <c r="P14" s="44" t="e">
        <v>#REF!</v>
      </c>
      <c r="Q14" s="45" t="e">
        <v>#REF!</v>
      </c>
      <c r="R14" s="46" t="e">
        <v>#REF!</v>
      </c>
      <c r="S14" s="47" t="e">
        <v>#REF!</v>
      </c>
      <c r="T14" s="45" t="e">
        <v>#REF!</v>
      </c>
      <c r="U14" s="48" t="e">
        <v>#REF!</v>
      </c>
      <c r="V14" s="44" t="e">
        <v>#REF!</v>
      </c>
      <c r="W14" s="45" t="e">
        <v>#REF!</v>
      </c>
      <c r="X14" s="46" t="e">
        <v>#REF!</v>
      </c>
      <c r="Y14" s="47" t="e">
        <v>#REF!</v>
      </c>
      <c r="Z14" s="45" t="e">
        <v>#REF!</v>
      </c>
      <c r="AA14" s="48" t="e">
        <v>#REF!</v>
      </c>
      <c r="AB14" s="44" t="e">
        <v>#REF!</v>
      </c>
      <c r="AC14" s="45" t="e">
        <v>#REF!</v>
      </c>
      <c r="AD14" s="46" t="e">
        <v>#REF!</v>
      </c>
      <c r="AE14" s="53" t="e">
        <v>#REF!</v>
      </c>
      <c r="AG14" s="131" t="e">
        <f>J14*F14</f>
        <v>#REF!</v>
      </c>
      <c r="AH14" s="132" t="e">
        <f>K14*F14</f>
        <v>#REF!</v>
      </c>
      <c r="AI14" s="133" t="e">
        <f>L14*F14</f>
        <v>#REF!</v>
      </c>
      <c r="AJ14" s="33" t="e">
        <f>M14*F14</f>
        <v>#REF!</v>
      </c>
      <c r="AK14" s="132" t="e">
        <f>N14*F14</f>
        <v>#REF!</v>
      </c>
      <c r="AL14" s="133" t="e">
        <f>O14*F14</f>
        <v>#REF!</v>
      </c>
      <c r="AM14" s="33" t="e">
        <f>P14*F14</f>
        <v>#REF!</v>
      </c>
      <c r="AN14" s="132" t="e">
        <f>Q14*F14</f>
        <v>#REF!</v>
      </c>
      <c r="AO14" s="133" t="e">
        <f>R14*F14</f>
        <v>#REF!</v>
      </c>
      <c r="AP14" s="33" t="e">
        <f>S14*F14</f>
        <v>#REF!</v>
      </c>
      <c r="AQ14" s="132" t="e">
        <f>T14*F14</f>
        <v>#REF!</v>
      </c>
      <c r="AR14" s="133" t="e">
        <f>U14*F14</f>
        <v>#REF!</v>
      </c>
      <c r="AS14" s="33" t="e">
        <f>V14*F14</f>
        <v>#REF!</v>
      </c>
      <c r="AT14" s="132" t="e">
        <f>W14*F14</f>
        <v>#REF!</v>
      </c>
      <c r="AU14" s="133" t="e">
        <f>X14*F14</f>
        <v>#REF!</v>
      </c>
      <c r="AV14" s="33" t="e">
        <f>Y14*F14</f>
        <v>#REF!</v>
      </c>
      <c r="AW14" s="132" t="e">
        <f>Z14*F14</f>
        <v>#REF!</v>
      </c>
      <c r="AX14" s="133" t="e">
        <f>AA14*F14</f>
        <v>#REF!</v>
      </c>
      <c r="AY14" s="33" t="e">
        <f>AB14*F14</f>
        <v>#REF!</v>
      </c>
      <c r="AZ14" s="132" t="e">
        <f>AC14*F14</f>
        <v>#REF!</v>
      </c>
      <c r="BA14" s="133" t="e">
        <f>AD14*F14</f>
        <v>#REF!</v>
      </c>
    </row>
    <row r="15" spans="1:67" customHeight="1" ht="15.75">
      <c r="A15" s="445"/>
      <c r="B15" s="523"/>
      <c r="C15" s="159" t="e">
        <v>#REF!</v>
      </c>
      <c r="D15" s="55" t="e">
        <v>#REF!</v>
      </c>
      <c r="E15" s="27"/>
      <c r="F15" s="27" t="e">
        <v>#REF!</v>
      </c>
      <c r="G15" s="27" t="e">
        <v>#REF!</v>
      </c>
      <c r="H15" s="28" t="e">
        <v>#REF!</v>
      </c>
      <c r="I15" s="28"/>
      <c r="J15" s="47" t="e">
        <v>#REF!</v>
      </c>
      <c r="K15" s="45" t="e">
        <v>#REF!</v>
      </c>
      <c r="L15" s="48" t="e">
        <v>#REF!</v>
      </c>
      <c r="M15" s="44" t="e">
        <v>#REF!</v>
      </c>
      <c r="N15" s="45" t="e">
        <v>#REF!</v>
      </c>
      <c r="O15" s="46" t="e">
        <v>#REF!</v>
      </c>
      <c r="P15" s="44" t="e">
        <v>#REF!</v>
      </c>
      <c r="Q15" s="45" t="e">
        <v>#REF!</v>
      </c>
      <c r="R15" s="46" t="e">
        <v>#REF!</v>
      </c>
      <c r="S15" s="47" t="e">
        <v>#REF!</v>
      </c>
      <c r="T15" s="45" t="e">
        <v>#REF!</v>
      </c>
      <c r="U15" s="48" t="e">
        <v>#REF!</v>
      </c>
      <c r="V15" s="44" t="e">
        <v>#REF!</v>
      </c>
      <c r="W15" s="45" t="e">
        <v>#REF!</v>
      </c>
      <c r="X15" s="46" t="e">
        <v>#REF!</v>
      </c>
      <c r="Y15" s="47" t="e">
        <v>#REF!</v>
      </c>
      <c r="Z15" s="45" t="e">
        <v>#REF!</v>
      </c>
      <c r="AA15" s="48" t="e">
        <v>#REF!</v>
      </c>
      <c r="AB15" s="44" t="e">
        <v>#REF!</v>
      </c>
      <c r="AC15" s="45" t="e">
        <v>#REF!</v>
      </c>
      <c r="AD15" s="46" t="e">
        <v>#REF!</v>
      </c>
      <c r="AE15" s="53" t="e">
        <v>#REF!</v>
      </c>
      <c r="AG15" s="131" t="e">
        <f>J15*F15</f>
        <v>#REF!</v>
      </c>
      <c r="AH15" s="132" t="e">
        <f>K15*F15</f>
        <v>#REF!</v>
      </c>
      <c r="AI15" s="133" t="e">
        <f>L15*F15</f>
        <v>#REF!</v>
      </c>
      <c r="AJ15" s="33" t="e">
        <f>M15*F15</f>
        <v>#REF!</v>
      </c>
      <c r="AK15" s="132" t="e">
        <f>N15*F15</f>
        <v>#REF!</v>
      </c>
      <c r="AL15" s="133" t="e">
        <f>O15*F15</f>
        <v>#REF!</v>
      </c>
      <c r="AM15" s="33" t="e">
        <f>P15*F15</f>
        <v>#REF!</v>
      </c>
      <c r="AN15" s="132" t="e">
        <f>Q15*F15</f>
        <v>#REF!</v>
      </c>
      <c r="AO15" s="133" t="e">
        <f>R15*F15</f>
        <v>#REF!</v>
      </c>
      <c r="AP15" s="33" t="e">
        <f>S15*F15</f>
        <v>#REF!</v>
      </c>
      <c r="AQ15" s="132" t="e">
        <f>T15*F15</f>
        <v>#REF!</v>
      </c>
      <c r="AR15" s="133" t="e">
        <f>U15*F15</f>
        <v>#REF!</v>
      </c>
      <c r="AS15" s="33" t="e">
        <f>V15*F15</f>
        <v>#REF!</v>
      </c>
      <c r="AT15" s="132" t="e">
        <f>W15*F15</f>
        <v>#REF!</v>
      </c>
      <c r="AU15" s="133" t="e">
        <f>X15*F15</f>
        <v>#REF!</v>
      </c>
      <c r="AV15" s="33" t="e">
        <f>Y15*F15</f>
        <v>#REF!</v>
      </c>
      <c r="AW15" s="132" t="e">
        <f>Z15*F15</f>
        <v>#REF!</v>
      </c>
      <c r="AX15" s="133" t="e">
        <f>AA15*F15</f>
        <v>#REF!</v>
      </c>
      <c r="AY15" s="33" t="e">
        <f>AB15*F15</f>
        <v>#REF!</v>
      </c>
      <c r="AZ15" s="135" t="e">
        <f>AC15*F15</f>
        <v>#REF!</v>
      </c>
      <c r="BA15" s="134" t="e">
        <f>AD15*F15</f>
        <v>#REF!</v>
      </c>
    </row>
    <row r="16" spans="1:67" customHeight="1" ht="15.75">
      <c r="A16" s="445"/>
      <c r="B16" s="525" t="s">
        <v>132</v>
      </c>
      <c r="C16" s="159" t="str">
        <f>'Qty &amp; UMH GUM'!C9</f>
        <v>82111-4DT30</v>
      </c>
      <c r="D16" s="55">
        <f>'Qty &amp; UMH GUM'!D9</f>
        <v/>
      </c>
      <c r="E16" s="27"/>
      <c r="F16" s="27">
        <f>'Qty &amp; UMH GUM'!F9</f>
        <v/>
      </c>
      <c r="G16" s="27">
        <f>'Qty &amp; UMH GUM'!G9</f>
        <v/>
      </c>
      <c r="H16" s="28">
        <f>'Qty &amp; UMH GUM'!H9</f>
        <v/>
      </c>
      <c r="I16" s="28"/>
      <c r="J16" s="47">
        <f>'Qty &amp; UMH GUM'!J9</f>
        <v>0</v>
      </c>
      <c r="K16" s="45" t="e">
        <f>'Qty &amp; UMH GUM'!K9</f>
        <v>#REF!</v>
      </c>
      <c r="L16" s="48">
        <f>'Qty &amp; UMH GUM'!L9</f>
        <v>0</v>
      </c>
      <c r="M16" s="44" t="e">
        <f>'Qty &amp; UMH GUM'!M9</f>
        <v>#REF!</v>
      </c>
      <c r="N16" s="45" t="e">
        <f>'Qty &amp; UMH GUM'!N9</f>
        <v>#REF!</v>
      </c>
      <c r="O16" s="46" t="e">
        <f>'Qty &amp; UMH GUM'!O9</f>
        <v>#REF!</v>
      </c>
      <c r="P16" s="44" t="e">
        <f>'Qty &amp; UMH GUM'!P9</f>
        <v>#REF!</v>
      </c>
      <c r="Q16" s="45" t="e">
        <f>'Qty &amp; UMH GUM'!Q9</f>
        <v>#REF!</v>
      </c>
      <c r="R16" s="46" t="e">
        <f>'Qty &amp; UMH GUM'!R9</f>
        <v>#REF!</v>
      </c>
      <c r="S16" s="47" t="e">
        <f>'Qty &amp; UMH GUM'!S9</f>
        <v>#REF!</v>
      </c>
      <c r="T16" s="45" t="e">
        <f>'Qty &amp; UMH GUM'!T9</f>
        <v>#REF!</v>
      </c>
      <c r="U16" s="48" t="e">
        <f>'Qty &amp; UMH GUM'!U9</f>
        <v>#REF!</v>
      </c>
      <c r="V16" s="44" t="e">
        <f>'Qty &amp; UMH GUM'!V9</f>
        <v>#REF!</v>
      </c>
      <c r="W16" s="45" t="e">
        <f>'Qty &amp; UMH GUM'!W9</f>
        <v>#REF!</v>
      </c>
      <c r="X16" s="46" t="e">
        <f>'Qty &amp; UMH GUM'!X9</f>
        <v>#REF!</v>
      </c>
      <c r="Y16" s="47" t="e">
        <f>'Qty &amp; UMH GUM'!Y9</f>
        <v>#REF!</v>
      </c>
      <c r="Z16" s="45" t="e">
        <f>'Qty &amp; UMH GUM'!Z9</f>
        <v>#REF!</v>
      </c>
      <c r="AA16" s="48" t="e">
        <f>'Qty &amp; UMH GUM'!AA9</f>
        <v>#REF!</v>
      </c>
      <c r="AB16" s="44" t="e">
        <f>'Qty &amp; UMH GUM'!AB9</f>
        <v>#REF!</v>
      </c>
      <c r="AC16" s="45" t="e">
        <f>'Qty &amp; UMH GUM'!AC9</f>
        <v>#REF!</v>
      </c>
      <c r="AD16" s="46" t="e">
        <f>'Qty &amp; UMH GUM'!AD9</f>
        <v>#REF!</v>
      </c>
      <c r="AE16" s="53">
        <f>'Qty &amp; UMH GUM'!AE9</f>
        <v/>
      </c>
      <c r="AG16" s="131">
        <f>J16*F16</f>
        <v>0</v>
      </c>
      <c r="AH16" s="132" t="e">
        <f>K16*F16</f>
        <v>#REF!</v>
      </c>
      <c r="AI16" s="133">
        <f>L16*F16</f>
        <v>0</v>
      </c>
      <c r="AJ16" s="33" t="e">
        <f>M16*F16</f>
        <v>#REF!</v>
      </c>
      <c r="AK16" s="132" t="e">
        <f>N16*F16</f>
        <v>#REF!</v>
      </c>
      <c r="AL16" s="133" t="e">
        <f>O16*F16</f>
        <v>#REF!</v>
      </c>
      <c r="AM16" s="33" t="e">
        <f>P16*F16</f>
        <v>#REF!</v>
      </c>
      <c r="AN16" s="132" t="e">
        <f>Q16*F16</f>
        <v>#REF!</v>
      </c>
      <c r="AO16" s="133" t="e">
        <f>R16*F16</f>
        <v>#REF!</v>
      </c>
      <c r="AP16" s="33" t="e">
        <f>S16*F16</f>
        <v>#REF!</v>
      </c>
      <c r="AQ16" s="132" t="e">
        <f>T16*F16</f>
        <v>#REF!</v>
      </c>
      <c r="AR16" s="133" t="e">
        <f>U16*F16</f>
        <v>#REF!</v>
      </c>
      <c r="AS16" s="33" t="e">
        <f>V16*F16</f>
        <v>#REF!</v>
      </c>
      <c r="AT16" s="132" t="e">
        <f>W16*F16</f>
        <v>#REF!</v>
      </c>
      <c r="AU16" s="133" t="e">
        <f>X16*F16</f>
        <v>#REF!</v>
      </c>
      <c r="AV16" s="33" t="e">
        <f>Y16*F16</f>
        <v>#REF!</v>
      </c>
      <c r="AW16" s="132" t="e">
        <f>Z16*F16</f>
        <v>#REF!</v>
      </c>
      <c r="AX16" s="133" t="e">
        <f>AA16*F16</f>
        <v>#REF!</v>
      </c>
      <c r="AY16" s="33" t="e">
        <f>AB16*F16</f>
        <v>#REF!</v>
      </c>
      <c r="AZ16" s="132" t="e">
        <f>AC16*F16</f>
        <v>#REF!</v>
      </c>
      <c r="BA16" s="133" t="e">
        <f>AD16*F16</f>
        <v>#REF!</v>
      </c>
    </row>
    <row r="17" spans="1:67" customHeight="1" ht="15.75">
      <c r="A17" s="445"/>
      <c r="B17" s="525"/>
      <c r="C17" s="159" t="e">
        <v>#REF!</v>
      </c>
      <c r="D17" s="55" t="e">
        <v>#REF!</v>
      </c>
      <c r="E17" s="27"/>
      <c r="F17" s="27" t="e">
        <v>#REF!</v>
      </c>
      <c r="G17" s="27" t="e">
        <v>#REF!</v>
      </c>
      <c r="H17" s="156" t="e">
        <v>#REF!</v>
      </c>
      <c r="I17" s="156"/>
      <c r="J17" s="47" t="e">
        <v>#REF!</v>
      </c>
      <c r="K17" s="45" t="e">
        <v>#REF!</v>
      </c>
      <c r="L17" s="48" t="e">
        <v>#REF!</v>
      </c>
      <c r="M17" s="44" t="e">
        <v>#REF!</v>
      </c>
      <c r="N17" s="45" t="e">
        <v>#REF!</v>
      </c>
      <c r="O17" s="46" t="e">
        <v>#REF!</v>
      </c>
      <c r="P17" s="44" t="e">
        <v>#REF!</v>
      </c>
      <c r="Q17" s="45" t="e">
        <v>#REF!</v>
      </c>
      <c r="R17" s="46" t="e">
        <v>#REF!</v>
      </c>
      <c r="S17" s="47" t="e">
        <v>#REF!</v>
      </c>
      <c r="T17" s="45" t="e">
        <v>#REF!</v>
      </c>
      <c r="U17" s="48" t="e">
        <v>#REF!</v>
      </c>
      <c r="V17" s="44" t="e">
        <v>#REF!</v>
      </c>
      <c r="W17" s="45" t="e">
        <v>#REF!</v>
      </c>
      <c r="X17" s="46" t="e">
        <v>#REF!</v>
      </c>
      <c r="Y17" s="47" t="e">
        <v>#REF!</v>
      </c>
      <c r="Z17" s="45" t="e">
        <v>#REF!</v>
      </c>
      <c r="AA17" s="48" t="e">
        <v>#REF!</v>
      </c>
      <c r="AB17" s="44" t="e">
        <v>#REF!</v>
      </c>
      <c r="AC17" s="45" t="e">
        <v>#REF!</v>
      </c>
      <c r="AD17" s="46" t="e">
        <v>#REF!</v>
      </c>
      <c r="AE17" s="53" t="e">
        <v>#REF!</v>
      </c>
      <c r="AG17" s="131" t="e">
        <f>J17*F17</f>
        <v>#REF!</v>
      </c>
      <c r="AH17" s="132" t="e">
        <f>K17*F17</f>
        <v>#REF!</v>
      </c>
      <c r="AI17" s="133" t="e">
        <f>L17*F17</f>
        <v>#REF!</v>
      </c>
      <c r="AJ17" s="33" t="e">
        <f>M17*F17</f>
        <v>#REF!</v>
      </c>
      <c r="AK17" s="132" t="e">
        <f>N17*F17</f>
        <v>#REF!</v>
      </c>
      <c r="AL17" s="133" t="e">
        <f>O17*F17</f>
        <v>#REF!</v>
      </c>
      <c r="AM17" s="33" t="e">
        <f>P17*F17</f>
        <v>#REF!</v>
      </c>
      <c r="AN17" s="132" t="e">
        <f>Q17*F17</f>
        <v>#REF!</v>
      </c>
      <c r="AO17" s="133" t="e">
        <f>R17*F17</f>
        <v>#REF!</v>
      </c>
      <c r="AP17" s="33" t="e">
        <f>S17*F17</f>
        <v>#REF!</v>
      </c>
      <c r="AQ17" s="132" t="e">
        <f>T17*F17</f>
        <v>#REF!</v>
      </c>
      <c r="AR17" s="133" t="e">
        <f>U17*F17</f>
        <v>#REF!</v>
      </c>
      <c r="AS17" s="33" t="e">
        <f>V17*F17</f>
        <v>#REF!</v>
      </c>
      <c r="AT17" s="132" t="e">
        <f>W17*F17</f>
        <v>#REF!</v>
      </c>
      <c r="AU17" s="133" t="e">
        <f>X17*F17</f>
        <v>#REF!</v>
      </c>
      <c r="AV17" s="33" t="e">
        <f>Y17*F17</f>
        <v>#REF!</v>
      </c>
      <c r="AW17" s="132" t="e">
        <f>Z17*F17</f>
        <v>#REF!</v>
      </c>
      <c r="AX17" s="133" t="e">
        <f>AA17*F17</f>
        <v>#REF!</v>
      </c>
      <c r="AY17" s="33" t="e">
        <f>AB17*F17</f>
        <v>#REF!</v>
      </c>
      <c r="AZ17" s="132" t="e">
        <f>AC17*F17</f>
        <v>#REF!</v>
      </c>
      <c r="BA17" s="133" t="e">
        <f>AD17*F17</f>
        <v>#REF!</v>
      </c>
    </row>
    <row r="18" spans="1:67" customHeight="1" ht="15.75">
      <c r="A18" s="445"/>
      <c r="B18" s="525"/>
      <c r="C18" s="159" t="e">
        <v>#REF!</v>
      </c>
      <c r="D18" s="160" t="e">
        <v>#REF!</v>
      </c>
      <c r="E18" s="27"/>
      <c r="F18" s="27" t="e">
        <v>#REF!</v>
      </c>
      <c r="G18" s="27" t="e">
        <v>#REF!</v>
      </c>
      <c r="H18" s="28" t="e">
        <v>#REF!</v>
      </c>
      <c r="I18" s="28"/>
      <c r="J18" s="47" t="e">
        <v>#REF!</v>
      </c>
      <c r="K18" s="51" t="e">
        <v>#REF!</v>
      </c>
      <c r="L18" s="186" t="e">
        <v>#REF!</v>
      </c>
      <c r="M18" s="44" t="e">
        <v>#REF!</v>
      </c>
      <c r="N18" s="51" t="e">
        <v>#REF!</v>
      </c>
      <c r="O18" s="46" t="e">
        <v>#REF!</v>
      </c>
      <c r="P18" s="44" t="e">
        <v>#REF!</v>
      </c>
      <c r="Q18" s="45" t="e">
        <v>#REF!</v>
      </c>
      <c r="R18" s="46" t="e">
        <v>#REF!</v>
      </c>
      <c r="S18" s="47" t="e">
        <v>#REF!</v>
      </c>
      <c r="T18" s="45" t="e">
        <v>#REF!</v>
      </c>
      <c r="U18" s="48" t="e">
        <v>#REF!</v>
      </c>
      <c r="V18" s="44" t="e">
        <v>#REF!</v>
      </c>
      <c r="W18" s="45" t="e">
        <v>#REF!</v>
      </c>
      <c r="X18" s="46" t="e">
        <v>#REF!</v>
      </c>
      <c r="Y18" s="47" t="e">
        <v>#REF!</v>
      </c>
      <c r="Z18" s="45" t="e">
        <v>#REF!</v>
      </c>
      <c r="AA18" s="48" t="e">
        <v>#REF!</v>
      </c>
      <c r="AB18" s="44" t="e">
        <v>#REF!</v>
      </c>
      <c r="AC18" s="45" t="e">
        <v>#REF!</v>
      </c>
      <c r="AD18" s="46" t="e">
        <v>#REF!</v>
      </c>
      <c r="AE18" s="53" t="e">
        <v>#REF!</v>
      </c>
      <c r="AG18" s="131" t="e">
        <f>J18*F18</f>
        <v>#REF!</v>
      </c>
      <c r="AH18" s="132" t="e">
        <f>K18*F18</f>
        <v>#REF!</v>
      </c>
      <c r="AI18" s="133" t="e">
        <f>L18*F18</f>
        <v>#REF!</v>
      </c>
      <c r="AJ18" s="33" t="e">
        <f>M18*F18</f>
        <v>#REF!</v>
      </c>
      <c r="AK18" s="132" t="e">
        <f>N18*F18</f>
        <v>#REF!</v>
      </c>
      <c r="AL18" s="133" t="e">
        <f>O18*F18</f>
        <v>#REF!</v>
      </c>
      <c r="AM18" s="33" t="e">
        <f>P18*F18</f>
        <v>#REF!</v>
      </c>
      <c r="AN18" s="132" t="e">
        <f>Q18*F18</f>
        <v>#REF!</v>
      </c>
      <c r="AO18" s="133" t="e">
        <f>R18*F18</f>
        <v>#REF!</v>
      </c>
      <c r="AP18" s="33" t="e">
        <f>S18*F18</f>
        <v>#REF!</v>
      </c>
      <c r="AQ18" s="132" t="e">
        <f>T18*F18</f>
        <v>#REF!</v>
      </c>
      <c r="AR18" s="133" t="e">
        <f>U18*F18</f>
        <v>#REF!</v>
      </c>
      <c r="AS18" s="33" t="e">
        <f>V18*F18</f>
        <v>#REF!</v>
      </c>
      <c r="AT18" s="132" t="e">
        <f>W18*F18</f>
        <v>#REF!</v>
      </c>
      <c r="AU18" s="133" t="e">
        <f>X18*F18</f>
        <v>#REF!</v>
      </c>
      <c r="AV18" s="33" t="e">
        <f>Y18*F18</f>
        <v>#REF!</v>
      </c>
      <c r="AW18" s="132" t="e">
        <f>Z18*F18</f>
        <v>#REF!</v>
      </c>
      <c r="AX18" s="133" t="e">
        <f>AA18*F18</f>
        <v>#REF!</v>
      </c>
      <c r="AY18" s="33" t="e">
        <f>AB18*F18</f>
        <v>#REF!</v>
      </c>
      <c r="AZ18" s="132" t="e">
        <f>AC18*F18</f>
        <v>#REF!</v>
      </c>
      <c r="BA18" s="133" t="e">
        <f>AD18*F18</f>
        <v>#REF!</v>
      </c>
    </row>
    <row r="19" spans="1:67" customHeight="1" ht="15.75">
      <c r="A19" s="445"/>
      <c r="B19" s="525"/>
      <c r="C19" s="159" t="e">
        <v>#REF!</v>
      </c>
      <c r="D19" s="160" t="e">
        <v>#REF!</v>
      </c>
      <c r="E19" s="27"/>
      <c r="F19" s="27" t="e">
        <v>#REF!</v>
      </c>
      <c r="G19" s="27" t="e">
        <v>#REF!</v>
      </c>
      <c r="H19" s="28" t="e">
        <v>#REF!</v>
      </c>
      <c r="I19" s="28"/>
      <c r="J19" s="47" t="e">
        <v>#REF!</v>
      </c>
      <c r="K19" s="51" t="e">
        <v>#REF!</v>
      </c>
      <c r="L19" s="186" t="e">
        <v>#REF!</v>
      </c>
      <c r="M19" s="44" t="e">
        <v>#REF!</v>
      </c>
      <c r="N19" s="51" t="e">
        <v>#REF!</v>
      </c>
      <c r="O19" s="46" t="e">
        <v>#REF!</v>
      </c>
      <c r="P19" s="44" t="e">
        <v>#REF!</v>
      </c>
      <c r="Q19" s="45" t="e">
        <v>#REF!</v>
      </c>
      <c r="R19" s="46" t="e">
        <v>#REF!</v>
      </c>
      <c r="S19" s="47" t="e">
        <v>#REF!</v>
      </c>
      <c r="T19" s="45" t="e">
        <v>#REF!</v>
      </c>
      <c r="U19" s="48" t="e">
        <v>#REF!</v>
      </c>
      <c r="V19" s="44" t="e">
        <v>#REF!</v>
      </c>
      <c r="W19" s="45" t="e">
        <v>#REF!</v>
      </c>
      <c r="X19" s="46" t="e">
        <v>#REF!</v>
      </c>
      <c r="Y19" s="47" t="e">
        <v>#REF!</v>
      </c>
      <c r="Z19" s="45" t="e">
        <v>#REF!</v>
      </c>
      <c r="AA19" s="48" t="e">
        <v>#REF!</v>
      </c>
      <c r="AB19" s="44" t="e">
        <v>#REF!</v>
      </c>
      <c r="AC19" s="45" t="e">
        <v>#REF!</v>
      </c>
      <c r="AD19" s="46" t="e">
        <v>#REF!</v>
      </c>
      <c r="AE19" s="53" t="e">
        <v>#REF!</v>
      </c>
      <c r="AG19" s="131"/>
      <c r="AH19" s="132"/>
      <c r="AI19" s="133"/>
      <c r="AJ19" s="33"/>
      <c r="AK19" s="132"/>
      <c r="AL19" s="133"/>
      <c r="AM19" s="33"/>
      <c r="AN19" s="132"/>
      <c r="AO19" s="133"/>
      <c r="AP19" s="33"/>
      <c r="AQ19" s="132"/>
      <c r="AR19" s="133"/>
      <c r="AS19" s="33"/>
      <c r="AT19" s="132"/>
      <c r="AU19" s="133"/>
      <c r="AV19" s="33"/>
      <c r="AW19" s="132"/>
      <c r="AX19" s="133"/>
      <c r="AY19" s="33"/>
      <c r="AZ19" s="132"/>
      <c r="BA19" s="133"/>
    </row>
    <row r="20" spans="1:67" customHeight="1" ht="15.75">
      <c r="A20" s="445"/>
      <c r="B20" s="525"/>
      <c r="C20" s="159" t="e">
        <v>#REF!</v>
      </c>
      <c r="D20" s="161" t="e">
        <v>#REF!</v>
      </c>
      <c r="E20" s="27"/>
      <c r="F20" s="27" t="e">
        <v>#REF!</v>
      </c>
      <c r="G20" s="27" t="e">
        <v>#REF!</v>
      </c>
      <c r="H20" s="28" t="e">
        <v>#REF!</v>
      </c>
      <c r="I20" s="28"/>
      <c r="J20" s="47" t="e">
        <v>#REF!</v>
      </c>
      <c r="K20" s="51" t="e">
        <v>#REF!</v>
      </c>
      <c r="L20" s="186" t="e">
        <v>#REF!</v>
      </c>
      <c r="M20" s="44" t="e">
        <v>#REF!</v>
      </c>
      <c r="N20" s="51" t="e">
        <v>#REF!</v>
      </c>
      <c r="O20" s="46" t="e">
        <v>#REF!</v>
      </c>
      <c r="P20" s="44" t="e">
        <v>#REF!</v>
      </c>
      <c r="Q20" s="45" t="e">
        <v>#REF!</v>
      </c>
      <c r="R20" s="46" t="e">
        <v>#REF!</v>
      </c>
      <c r="S20" s="47" t="e">
        <v>#REF!</v>
      </c>
      <c r="T20" s="45" t="e">
        <v>#REF!</v>
      </c>
      <c r="U20" s="48" t="e">
        <v>#REF!</v>
      </c>
      <c r="V20" s="44" t="e">
        <v>#REF!</v>
      </c>
      <c r="W20" s="45" t="e">
        <v>#REF!</v>
      </c>
      <c r="X20" s="46" t="e">
        <v>#REF!</v>
      </c>
      <c r="Y20" s="47" t="e">
        <v>#REF!</v>
      </c>
      <c r="Z20" s="45" t="e">
        <v>#REF!</v>
      </c>
      <c r="AA20" s="48" t="e">
        <v>#REF!</v>
      </c>
      <c r="AB20" s="44" t="e">
        <v>#REF!</v>
      </c>
      <c r="AC20" s="45" t="e">
        <v>#REF!</v>
      </c>
      <c r="AD20" s="46" t="e">
        <v>#REF!</v>
      </c>
      <c r="AE20" s="53" t="e">
        <v>#REF!</v>
      </c>
      <c r="AG20" s="131"/>
      <c r="AH20" s="132"/>
      <c r="AI20" s="133"/>
      <c r="AJ20" s="33"/>
      <c r="AK20" s="132"/>
      <c r="AL20" s="133"/>
      <c r="AM20" s="33"/>
      <c r="AN20" s="132"/>
      <c r="AO20" s="133"/>
      <c r="AP20" s="33"/>
      <c r="AQ20" s="132"/>
      <c r="AR20" s="133"/>
      <c r="AS20" s="33"/>
      <c r="AT20" s="132"/>
      <c r="AU20" s="133"/>
      <c r="AV20" s="33"/>
      <c r="AW20" s="132"/>
      <c r="AX20" s="133"/>
      <c r="AY20" s="33"/>
      <c r="AZ20" s="132"/>
      <c r="BA20" s="133"/>
    </row>
    <row r="21" spans="1:67" customHeight="1" ht="15.75" s="12" customFormat="1">
      <c r="A21" s="445"/>
      <c r="B21" s="525"/>
      <c r="C21" s="159" t="e">
        <v>#REF!</v>
      </c>
      <c r="D21" s="55" t="e">
        <v>#REF!</v>
      </c>
      <c r="E21" s="27"/>
      <c r="F21" s="27" t="e">
        <v>#REF!</v>
      </c>
      <c r="G21" s="27" t="e">
        <v>#REF!</v>
      </c>
      <c r="H21" s="28" t="e">
        <v>#REF!</v>
      </c>
      <c r="I21" s="28"/>
      <c r="J21" s="47" t="e">
        <v>#REF!</v>
      </c>
      <c r="K21" s="45" t="e">
        <v>#REF!</v>
      </c>
      <c r="L21" s="48" t="e">
        <v>#REF!</v>
      </c>
      <c r="M21" s="44" t="e">
        <v>#REF!</v>
      </c>
      <c r="N21" s="45" t="e">
        <v>#REF!</v>
      </c>
      <c r="O21" s="46" t="e">
        <v>#REF!</v>
      </c>
      <c r="P21" s="44" t="e">
        <v>#REF!</v>
      </c>
      <c r="Q21" s="45" t="e">
        <v>#REF!</v>
      </c>
      <c r="R21" s="46" t="e">
        <v>#REF!</v>
      </c>
      <c r="S21" s="47" t="e">
        <v>#REF!</v>
      </c>
      <c r="T21" s="45" t="e">
        <v>#REF!</v>
      </c>
      <c r="U21" s="48" t="e">
        <v>#REF!</v>
      </c>
      <c r="V21" s="44" t="e">
        <v>#REF!</v>
      </c>
      <c r="W21" s="45" t="e">
        <v>#REF!</v>
      </c>
      <c r="X21" s="46" t="e">
        <v>#REF!</v>
      </c>
      <c r="Y21" s="47" t="e">
        <v>#REF!</v>
      </c>
      <c r="Z21" s="45" t="e">
        <v>#REF!</v>
      </c>
      <c r="AA21" s="48" t="e">
        <v>#REF!</v>
      </c>
      <c r="AB21" s="44" t="e">
        <v>#REF!</v>
      </c>
      <c r="AC21" s="45" t="e">
        <v>#REF!</v>
      </c>
      <c r="AD21" s="46" t="e">
        <v>#REF!</v>
      </c>
      <c r="AE21" s="53" t="e">
        <v>#REF!</v>
      </c>
      <c r="AG21" s="131" t="e">
        <f>J21*F21</f>
        <v>#REF!</v>
      </c>
      <c r="AH21" s="132" t="e">
        <f>K21*F21</f>
        <v>#REF!</v>
      </c>
      <c r="AI21" s="133" t="e">
        <f>L21*F21</f>
        <v>#REF!</v>
      </c>
      <c r="AJ21" s="33" t="e">
        <f>M21*F21</f>
        <v>#REF!</v>
      </c>
      <c r="AK21" s="132" t="e">
        <f>N21*F21</f>
        <v>#REF!</v>
      </c>
      <c r="AL21" s="133" t="e">
        <f>O21*F21</f>
        <v>#REF!</v>
      </c>
      <c r="AM21" s="33" t="e">
        <f>P21*F21</f>
        <v>#REF!</v>
      </c>
      <c r="AN21" s="132" t="e">
        <f>Q21*F21</f>
        <v>#REF!</v>
      </c>
      <c r="AO21" s="133" t="e">
        <f>R21*F21</f>
        <v>#REF!</v>
      </c>
      <c r="AP21" s="33" t="e">
        <f>S21*F21</f>
        <v>#REF!</v>
      </c>
      <c r="AQ21" s="132" t="e">
        <f>T21*F21</f>
        <v>#REF!</v>
      </c>
      <c r="AR21" s="133" t="e">
        <f>U21*F21</f>
        <v>#REF!</v>
      </c>
      <c r="AS21" s="33" t="e">
        <f>V21*F21</f>
        <v>#REF!</v>
      </c>
      <c r="AT21" s="132" t="e">
        <f>W21*F21</f>
        <v>#REF!</v>
      </c>
      <c r="AU21" s="133" t="e">
        <f>X21*F21</f>
        <v>#REF!</v>
      </c>
      <c r="AV21" s="33" t="e">
        <f>Y21*F21</f>
        <v>#REF!</v>
      </c>
      <c r="AW21" s="132" t="e">
        <f>Z21*F21</f>
        <v>#REF!</v>
      </c>
      <c r="AX21" s="133" t="e">
        <f>AA21*F21</f>
        <v>#REF!</v>
      </c>
      <c r="AY21" s="33" t="e">
        <f>AB21*F21</f>
        <v>#REF!</v>
      </c>
      <c r="AZ21" s="132" t="e">
        <f>AC21*F21</f>
        <v>#REF!</v>
      </c>
      <c r="BA21" s="133" t="e">
        <f>AD21*F21</f>
        <v>#REF!</v>
      </c>
    </row>
    <row r="22" spans="1:67" customHeight="1" ht="15.75" s="12" customFormat="1">
      <c r="A22" s="445"/>
      <c r="B22" s="525"/>
      <c r="C22" s="159" t="e">
        <v>#REF!</v>
      </c>
      <c r="D22" s="55" t="e">
        <v>#REF!</v>
      </c>
      <c r="E22" s="27"/>
      <c r="F22" s="27" t="e">
        <v>#REF!</v>
      </c>
      <c r="G22" s="27" t="e">
        <v>#REF!</v>
      </c>
      <c r="H22" s="28" t="e">
        <v>#REF!</v>
      </c>
      <c r="I22" s="28"/>
      <c r="J22" s="47" t="e">
        <v>#REF!</v>
      </c>
      <c r="K22" s="45" t="e">
        <v>#REF!</v>
      </c>
      <c r="L22" s="48" t="e">
        <v>#REF!</v>
      </c>
      <c r="M22" s="44" t="e">
        <v>#REF!</v>
      </c>
      <c r="N22" s="45" t="e">
        <v>#REF!</v>
      </c>
      <c r="O22" s="46" t="e">
        <v>#REF!</v>
      </c>
      <c r="P22" s="44" t="e">
        <v>#REF!</v>
      </c>
      <c r="Q22" s="45" t="e">
        <v>#REF!</v>
      </c>
      <c r="R22" s="46" t="e">
        <v>#REF!</v>
      </c>
      <c r="S22" s="47" t="e">
        <v>#REF!</v>
      </c>
      <c r="T22" s="45" t="e">
        <v>#REF!</v>
      </c>
      <c r="U22" s="48" t="e">
        <v>#REF!</v>
      </c>
      <c r="V22" s="44" t="e">
        <v>#REF!</v>
      </c>
      <c r="W22" s="45" t="e">
        <v>#REF!</v>
      </c>
      <c r="X22" s="46" t="e">
        <v>#REF!</v>
      </c>
      <c r="Y22" s="47" t="e">
        <v>#REF!</v>
      </c>
      <c r="Z22" s="45" t="e">
        <v>#REF!</v>
      </c>
      <c r="AA22" s="48" t="e">
        <v>#REF!</v>
      </c>
      <c r="AB22" s="44" t="e">
        <v>#REF!</v>
      </c>
      <c r="AC22" s="45" t="e">
        <v>#REF!</v>
      </c>
      <c r="AD22" s="46" t="e">
        <v>#REF!</v>
      </c>
      <c r="AE22" s="53" t="e">
        <v>#REF!</v>
      </c>
      <c r="AG22" s="131" t="e">
        <f>J22*F22</f>
        <v>#REF!</v>
      </c>
      <c r="AH22" s="132" t="e">
        <f>K22*F22</f>
        <v>#REF!</v>
      </c>
      <c r="AI22" s="133" t="e">
        <f>L22*F22</f>
        <v>#REF!</v>
      </c>
      <c r="AJ22" s="33" t="e">
        <f>M22*F22</f>
        <v>#REF!</v>
      </c>
      <c r="AK22" s="132" t="e">
        <f>N22*F22</f>
        <v>#REF!</v>
      </c>
      <c r="AL22" s="133" t="e">
        <f>O22*F22</f>
        <v>#REF!</v>
      </c>
      <c r="AM22" s="33" t="e">
        <f>P22*F22</f>
        <v>#REF!</v>
      </c>
      <c r="AN22" s="132" t="e">
        <f>Q22*F22</f>
        <v>#REF!</v>
      </c>
      <c r="AO22" s="133" t="e">
        <f>R22*F22</f>
        <v>#REF!</v>
      </c>
      <c r="AP22" s="33" t="e">
        <f>S22*F22</f>
        <v>#REF!</v>
      </c>
      <c r="AQ22" s="132" t="e">
        <f>T22*F22</f>
        <v>#REF!</v>
      </c>
      <c r="AR22" s="133" t="e">
        <f>U22*F22</f>
        <v>#REF!</v>
      </c>
      <c r="AS22" s="33" t="e">
        <f>V22*F22</f>
        <v>#REF!</v>
      </c>
      <c r="AT22" s="132" t="e">
        <f>W22*F22</f>
        <v>#REF!</v>
      </c>
      <c r="AU22" s="133" t="e">
        <f>X22*F22</f>
        <v>#REF!</v>
      </c>
      <c r="AV22" s="33" t="e">
        <f>Y22*F22</f>
        <v>#REF!</v>
      </c>
      <c r="AW22" s="132" t="e">
        <f>Z22*F22</f>
        <v>#REF!</v>
      </c>
      <c r="AX22" s="133" t="e">
        <f>AA22*F22</f>
        <v>#REF!</v>
      </c>
      <c r="AY22" s="33" t="e">
        <f>AB22*F22</f>
        <v>#REF!</v>
      </c>
      <c r="AZ22" s="132" t="e">
        <f>AC22*F22</f>
        <v>#REF!</v>
      </c>
      <c r="BA22" s="133" t="e">
        <f>AD22*F22</f>
        <v>#REF!</v>
      </c>
    </row>
    <row r="23" spans="1:67" customHeight="1" ht="15.75">
      <c r="A23" s="445"/>
      <c r="B23" s="525"/>
      <c r="C23" s="155" t="e">
        <v>#REF!</v>
      </c>
      <c r="D23" s="162" t="e">
        <v>#REF!</v>
      </c>
      <c r="E23" s="76"/>
      <c r="F23" s="76" t="e">
        <v>#REF!</v>
      </c>
      <c r="G23" s="76" t="e">
        <v>#REF!</v>
      </c>
      <c r="H23" s="146" t="e">
        <v>#REF!</v>
      </c>
      <c r="I23" s="279"/>
      <c r="J23" s="47" t="e">
        <v>#REF!</v>
      </c>
      <c r="K23" s="153" t="e">
        <v>#REF!</v>
      </c>
      <c r="L23" s="150" t="e">
        <v>#REF!</v>
      </c>
      <c r="M23" s="151" t="e">
        <v>#REF!</v>
      </c>
      <c r="N23" s="153" t="e">
        <v>#REF!</v>
      </c>
      <c r="O23" s="152" t="e">
        <v>#REF!</v>
      </c>
      <c r="P23" s="44" t="e">
        <v>#REF!</v>
      </c>
      <c r="Q23" s="45" t="e">
        <v>#REF!</v>
      </c>
      <c r="R23" s="46" t="e">
        <v>#REF!</v>
      </c>
      <c r="S23" s="147" t="e">
        <v>#REF!</v>
      </c>
      <c r="T23" s="153" t="e">
        <v>#REF!</v>
      </c>
      <c r="U23" s="150" t="e">
        <v>#REF!</v>
      </c>
      <c r="V23" s="151" t="e">
        <v>#REF!</v>
      </c>
      <c r="W23" s="153" t="e">
        <v>#REF!</v>
      </c>
      <c r="X23" s="152" t="e">
        <v>#REF!</v>
      </c>
      <c r="Y23" s="147" t="e">
        <v>#REF!</v>
      </c>
      <c r="Z23" s="153" t="e">
        <v>#REF!</v>
      </c>
      <c r="AA23" s="150" t="e">
        <v>#REF!</v>
      </c>
      <c r="AB23" s="151" t="e">
        <v>#REF!</v>
      </c>
      <c r="AC23" s="153" t="e">
        <v>#REF!</v>
      </c>
      <c r="AD23" s="152" t="e">
        <v>#REF!</v>
      </c>
      <c r="AE23" s="154" t="e">
        <v>#REF!</v>
      </c>
      <c r="AG23" s="131" t="e">
        <f>J23*F23</f>
        <v>#REF!</v>
      </c>
      <c r="AH23" s="132" t="e">
        <f>K23*F23</f>
        <v>#REF!</v>
      </c>
      <c r="AI23" s="133" t="e">
        <f>L23*F23</f>
        <v>#REF!</v>
      </c>
      <c r="AJ23" s="33" t="e">
        <f>M23*F23</f>
        <v>#REF!</v>
      </c>
      <c r="AK23" s="132" t="e">
        <f>N23*F23</f>
        <v>#REF!</v>
      </c>
      <c r="AL23" s="133" t="e">
        <f>O23*F23</f>
        <v>#REF!</v>
      </c>
      <c r="AM23" s="33" t="e">
        <f>P23*F23</f>
        <v>#REF!</v>
      </c>
      <c r="AN23" s="132" t="e">
        <f>Q23*F23</f>
        <v>#REF!</v>
      </c>
      <c r="AO23" s="133" t="e">
        <f>R23*F23</f>
        <v>#REF!</v>
      </c>
      <c r="AP23" s="33" t="e">
        <f>S23*F23</f>
        <v>#REF!</v>
      </c>
      <c r="AQ23" s="132" t="e">
        <f>T23*F23</f>
        <v>#REF!</v>
      </c>
      <c r="AR23" s="133" t="e">
        <f>U23*F23</f>
        <v>#REF!</v>
      </c>
      <c r="AS23" s="33" t="e">
        <f>V23*F23</f>
        <v>#REF!</v>
      </c>
      <c r="AT23" s="132" t="e">
        <f>W23*F23</f>
        <v>#REF!</v>
      </c>
      <c r="AU23" s="133" t="e">
        <f>X23*F23</f>
        <v>#REF!</v>
      </c>
      <c r="AV23" s="33" t="e">
        <f>Y23*F23</f>
        <v>#REF!</v>
      </c>
      <c r="AW23" s="132" t="e">
        <f>Z23*F23</f>
        <v>#REF!</v>
      </c>
      <c r="AX23" s="133" t="e">
        <f>AA23*F23</f>
        <v>#REF!</v>
      </c>
      <c r="AY23" s="33" t="e">
        <f>AB23*F23</f>
        <v>#REF!</v>
      </c>
      <c r="AZ23" s="132" t="e">
        <f>AC23*F23</f>
        <v>#REF!</v>
      </c>
      <c r="BA23" s="133" t="e">
        <f>AD23*F23</f>
        <v>#REF!</v>
      </c>
    </row>
    <row r="24" spans="1:67" customHeight="1" ht="15.75" s="12" customFormat="1">
      <c r="A24" s="67"/>
      <c r="B24" s="67"/>
      <c r="C24" s="499" t="s">
        <v>133</v>
      </c>
      <c r="D24" s="500"/>
      <c r="E24" s="500"/>
      <c r="F24" s="500"/>
      <c r="G24" s="500"/>
      <c r="H24" s="501"/>
      <c r="I24" s="261"/>
      <c r="J24" s="190" t="e">
        <f>SUM(J9:J23)</f>
        <v>#REF!</v>
      </c>
      <c r="K24" s="191" t="e">
        <f>SUM(K9:K23)</f>
        <v>#REF!</v>
      </c>
      <c r="L24" s="92" t="e">
        <f>SUM(L9:L23)</f>
        <v>#REF!</v>
      </c>
      <c r="M24" s="187" t="e">
        <f>SUM(M9:M23)</f>
        <v>#REF!</v>
      </c>
      <c r="N24" s="90" t="e">
        <f>SUM(N9:N23)</f>
        <v>#REF!</v>
      </c>
      <c r="O24" s="92" t="e">
        <f>SUM(O9:O23)</f>
        <v>#REF!</v>
      </c>
      <c r="P24" s="187" t="e">
        <f>SUM(P9:P23)</f>
        <v>#REF!</v>
      </c>
      <c r="Q24" s="90" t="e">
        <f>SUM(Q9:Q23)</f>
        <v>#REF!</v>
      </c>
      <c r="R24" s="92" t="e">
        <f>SUM(R9:R23)</f>
        <v>#REF!</v>
      </c>
      <c r="S24" s="90" t="e">
        <f>SUM(S9:S23)</f>
        <v>#REF!</v>
      </c>
      <c r="T24" s="90" t="e">
        <f>SUM(T9:T23)</f>
        <v>#REF!</v>
      </c>
      <c r="U24" s="184" t="e">
        <f>SUM(U9:U23)</f>
        <v>#REF!</v>
      </c>
      <c r="V24" s="187" t="e">
        <f>SUM(V9:V23)</f>
        <v>#REF!</v>
      </c>
      <c r="W24" s="90" t="e">
        <f>SUM(W9:W23)</f>
        <v>#REF!</v>
      </c>
      <c r="X24" s="92" t="e">
        <f>SUM(X9:X23)</f>
        <v>#REF!</v>
      </c>
      <c r="Y24" s="90" t="e">
        <f>SUM(Y9:Y23)</f>
        <v>#REF!</v>
      </c>
      <c r="Z24" s="90" t="e">
        <f>SUM(Z9:Z23)</f>
        <v>#REF!</v>
      </c>
      <c r="AA24" s="184" t="e">
        <f>SUM(AA9:AA23)</f>
        <v>#REF!</v>
      </c>
      <c r="AB24" s="187" t="e">
        <f>SUM(AB9:AB23)</f>
        <v>#REF!</v>
      </c>
      <c r="AC24" s="90" t="e">
        <f>SUM(AC9:AC23)</f>
        <v>#REF!</v>
      </c>
      <c r="AD24" s="92" t="e">
        <f>SUM(AD9:AD23)</f>
        <v>#REF!</v>
      </c>
      <c r="AE24" s="163" t="e">
        <f>SUM(AE9:AE23)</f>
        <v>#REF!</v>
      </c>
      <c r="AG24" s="136" t="e">
        <f>SUM(AG9:AG23)</f>
        <v>#REF!</v>
      </c>
      <c r="AH24" s="137" t="e">
        <f>SUM(AH9:AH23)</f>
        <v>#REF!</v>
      </c>
      <c r="AI24" s="138" t="e">
        <f>SUM(AI9:AI23)</f>
        <v>#REF!</v>
      </c>
      <c r="AJ24" s="139" t="e">
        <f>SUM(AJ9:AJ23)</f>
        <v>#REF!</v>
      </c>
      <c r="AK24" s="137" t="e">
        <f>SUM(AK9:AK23)</f>
        <v>#REF!</v>
      </c>
      <c r="AL24" s="138" t="e">
        <f>SUM(AL9:AL23)</f>
        <v>#REF!</v>
      </c>
      <c r="AM24" s="139" t="e">
        <f>SUM(AM9:AM23)</f>
        <v>#REF!</v>
      </c>
      <c r="AN24" s="137" t="e">
        <f>SUM(AN9:AN23)</f>
        <v>#REF!</v>
      </c>
      <c r="AO24" s="138" t="e">
        <f>SUM(AO9:AO23)</f>
        <v>#REF!</v>
      </c>
      <c r="AP24" s="139" t="e">
        <f>SUM(AP9:AP23)</f>
        <v>#REF!</v>
      </c>
      <c r="AQ24" s="137" t="e">
        <f>SUM(AQ9:AQ23)</f>
        <v>#REF!</v>
      </c>
      <c r="AR24" s="138" t="e">
        <f>SUM(AR9:AR23)</f>
        <v>#REF!</v>
      </c>
      <c r="AS24" s="139" t="e">
        <f>SUM(AS9:AS23)</f>
        <v>#REF!</v>
      </c>
      <c r="AT24" s="137" t="e">
        <f>SUM(AT9:AT23)</f>
        <v>#REF!</v>
      </c>
      <c r="AU24" s="138" t="e">
        <f>SUM(AU9:AU23)</f>
        <v>#REF!</v>
      </c>
      <c r="AV24" s="139" t="e">
        <f>SUM(AV9:AV23)</f>
        <v>#REF!</v>
      </c>
      <c r="AW24" s="137" t="e">
        <f>SUM(AW9:AW23)</f>
        <v>#REF!</v>
      </c>
      <c r="AX24" s="138" t="e">
        <f>SUM(AX9:AX23)</f>
        <v>#REF!</v>
      </c>
      <c r="AY24" s="139" t="e">
        <f>SUM(AY9:AY23)</f>
        <v>#REF!</v>
      </c>
      <c r="AZ24" s="140" t="e">
        <f>SUM(AZ9:AZ23)</f>
        <v>#REF!</v>
      </c>
      <c r="BA24" s="141" t="e">
        <f>SUM(BA9:BA23)</f>
        <v>#REF!</v>
      </c>
    </row>
    <row r="25" spans="1:67" customHeight="1" ht="15.75" s="12" customFormat="1">
      <c r="A25" s="31"/>
      <c r="B25" s="167"/>
      <c r="C25" s="79" t="s">
        <v>121</v>
      </c>
      <c r="D25" s="80"/>
      <c r="E25" s="80"/>
      <c r="F25" s="80"/>
      <c r="G25" s="80"/>
      <c r="H25" s="80"/>
      <c r="I25" s="80"/>
      <c r="J25" s="463" t="str">
        <f>J6</f>
        <v>FEB</v>
      </c>
      <c r="K25" s="463"/>
      <c r="L25" s="464"/>
      <c r="M25" s="463" t="str">
        <f>M6</f>
        <v>MAR</v>
      </c>
      <c r="N25" s="463"/>
      <c r="O25" s="463"/>
      <c r="P25" s="463" t="str">
        <f>P6</f>
        <v>APR</v>
      </c>
      <c r="Q25" s="463"/>
      <c r="R25" s="463"/>
      <c r="S25" s="503" t="str">
        <f>S6</f>
        <v>MAY</v>
      </c>
      <c r="T25" s="463"/>
      <c r="U25" s="464"/>
      <c r="V25" s="463" t="str">
        <f>V6</f>
        <v>JUN</v>
      </c>
      <c r="W25" s="463"/>
      <c r="X25" s="463"/>
      <c r="Y25" s="503" t="str">
        <f>Y6</f>
        <v>JUL</v>
      </c>
      <c r="Z25" s="463"/>
      <c r="AA25" s="464"/>
      <c r="AB25" s="463" t="str">
        <f>AB6</f>
        <v>AUG</v>
      </c>
      <c r="AC25" s="463"/>
      <c r="AD25" s="463"/>
      <c r="AE25" s="32"/>
    </row>
    <row r="26" spans="1:67" customHeight="1" ht="15.75" s="12" customFormat="1">
      <c r="A26" s="31"/>
      <c r="B26" s="31"/>
      <c r="C26" s="77" t="s">
        <v>122</v>
      </c>
      <c r="D26" s="78"/>
      <c r="E26" s="78"/>
      <c r="F26" s="78"/>
      <c r="G26" s="78"/>
      <c r="H26" s="78"/>
      <c r="I26" s="78"/>
      <c r="J26" s="471">
        <f>'Qty &amp; UMH GUM'!J100:L100</f>
        <v>20</v>
      </c>
      <c r="K26" s="472"/>
      <c r="L26" s="472"/>
      <c r="M26" s="471">
        <f>'Qty &amp; UMH GUM'!M100:O100</f>
        <v>23</v>
      </c>
      <c r="N26" s="472"/>
      <c r="O26" s="473"/>
      <c r="P26" s="471">
        <f>'Qty &amp; UMH GUM'!P100:R100</f>
        <v>17</v>
      </c>
      <c r="Q26" s="472"/>
      <c r="R26" s="473"/>
      <c r="S26" s="472">
        <f>'Qty &amp; UMH GUM'!S100:U100</f>
        <v>21</v>
      </c>
      <c r="T26" s="472"/>
      <c r="U26" s="472"/>
      <c r="V26" s="471">
        <f>'Qty &amp; UMH GUM'!V100:X100</f>
        <v>21</v>
      </c>
      <c r="W26" s="472"/>
      <c r="X26" s="473"/>
      <c r="Y26" s="472">
        <f>'Qty &amp; UMH GUM'!Y100:AA100</f>
        <v>20</v>
      </c>
      <c r="Z26" s="472"/>
      <c r="AA26" s="472"/>
      <c r="AB26" s="506">
        <f>'Qty &amp; UMH GUM'!AB100:AD100</f>
        <v>20</v>
      </c>
      <c r="AC26" s="506"/>
      <c r="AD26" s="506"/>
      <c r="AE26" s="32"/>
    </row>
    <row r="27" spans="1:67" customHeight="1" ht="15.75" s="6" customFormat="1">
      <c r="A27" s="1"/>
      <c r="B27" s="1"/>
      <c r="C27" s="2"/>
      <c r="D27" s="2"/>
      <c r="E27" s="2"/>
      <c r="F27" s="2"/>
      <c r="G27" s="2"/>
      <c r="H27" s="3"/>
      <c r="I27" s="3"/>
      <c r="J27" s="3"/>
      <c r="K27" s="4"/>
      <c r="L27" s="5"/>
      <c r="M27" s="129" t="s">
        <v>123</v>
      </c>
      <c r="N27" s="129"/>
      <c r="O27" s="168"/>
      <c r="P27" s="129"/>
      <c r="Q27" s="129"/>
      <c r="R27" s="129"/>
      <c r="S27" s="129"/>
      <c r="T27" s="5"/>
      <c r="U27" s="5"/>
      <c r="V27" s="5"/>
      <c r="W27" s="4"/>
      <c r="X27" s="5"/>
      <c r="Y27" s="4"/>
      <c r="AA27" s="5"/>
      <c r="AB27" s="127"/>
      <c r="AC27" s="127"/>
      <c r="AD27" s="5"/>
      <c r="AE27" s="128"/>
      <c r="AG27" s="276" t="s">
        <v>134</v>
      </c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</row>
    <row r="28" spans="1:67" customHeight="1" ht="15.75">
      <c r="A28" s="241" t="str">
        <f>A2</f>
        <v>S/R NO     : </v>
      </c>
      <c r="B28" s="242" t="str">
        <f>B2</f>
        <v>202603-10</v>
      </c>
      <c r="C28" s="243"/>
      <c r="D28" s="7"/>
      <c r="E28" s="7"/>
      <c r="F28" s="7"/>
      <c r="G28" s="7"/>
      <c r="K28" s="8"/>
      <c r="L28" s="8"/>
      <c r="O28" s="245" t="str">
        <f>O2</f>
        <v>900B-486D</v>
      </c>
      <c r="P28" s="488"/>
      <c r="Q28" s="488"/>
      <c r="R28" s="5"/>
      <c r="S28" s="144"/>
      <c r="T28" s="144"/>
      <c r="U28" s="144"/>
      <c r="V28" s="144"/>
      <c r="W28" s="144"/>
      <c r="X28" s="144"/>
      <c r="Y28" s="144"/>
      <c r="Z28" s="144"/>
      <c r="AA28" s="144"/>
      <c r="AB28" s="126"/>
      <c r="AC28" s="126"/>
      <c r="AD28" s="144"/>
      <c r="AE28" s="9"/>
    </row>
    <row r="29" spans="1:67" customHeight="1" ht="15.75" s="12" customFormat="1">
      <c r="A29" s="241" t="str">
        <f>A3</f>
        <v>FAX NO   :</v>
      </c>
      <c r="B29" s="242" t="str">
        <f>B3</f>
        <v>EMAIL</v>
      </c>
      <c r="C29" s="243"/>
      <c r="D29" s="7"/>
      <c r="E29" s="7"/>
      <c r="F29" s="7"/>
      <c r="G29" s="7"/>
      <c r="H29" s="4"/>
      <c r="I29" s="4"/>
      <c r="J29" s="4"/>
      <c r="K29" s="4"/>
      <c r="L29" s="4"/>
      <c r="M29" s="4"/>
      <c r="N29" s="4"/>
      <c r="O29" s="82">
        <f>O3</f>
        <v>46082</v>
      </c>
      <c r="P29" s="476"/>
      <c r="Q29" s="476"/>
      <c r="R29" s="169"/>
      <c r="S29" s="10"/>
      <c r="T29" s="10"/>
      <c r="U29" s="144"/>
      <c r="V29" s="11"/>
      <c r="W29" s="10"/>
      <c r="X29" s="144"/>
      <c r="Y29" s="10"/>
    </row>
    <row r="30" spans="1:67" customHeight="1" ht="15.75">
      <c r="A30" s="241" t="str">
        <f>A4</f>
        <v>DATE        :  </v>
      </c>
      <c r="B30" s="244">
        <f>B4</f>
        <v>46092</v>
      </c>
      <c r="C30" s="243"/>
      <c r="D30" s="73"/>
      <c r="E30" s="7"/>
      <c r="F30" s="7"/>
      <c r="G30" s="7"/>
      <c r="J30" s="277"/>
      <c r="K30" s="277"/>
      <c r="L30" s="277"/>
      <c r="M30" s="277"/>
      <c r="O30" s="259"/>
      <c r="R30" s="259"/>
      <c r="U30" s="259"/>
      <c r="X30" s="259"/>
      <c r="AA30" s="259"/>
      <c r="AB30" s="5"/>
      <c r="AC30" s="5"/>
      <c r="AD30" s="259"/>
      <c r="AE30" s="9"/>
    </row>
    <row r="31" spans="1:67" customHeight="1" ht="15.75" s="12" customFormat="1">
      <c r="A31" s="13"/>
      <c r="B31" s="13"/>
      <c r="C31" s="14">
        <f>NOW()</f>
        <v>46196.164652778</v>
      </c>
      <c r="D31" s="14"/>
      <c r="E31" s="14"/>
      <c r="F31" s="14"/>
      <c r="G31" s="14"/>
      <c r="H31" s="15"/>
      <c r="I31" s="15"/>
      <c r="J31" s="16"/>
      <c r="K31" s="17"/>
      <c r="L31" s="4"/>
      <c r="M31" s="4"/>
      <c r="N31" s="18"/>
      <c r="O31" s="144"/>
      <c r="P31" s="4"/>
      <c r="Q31" s="19"/>
      <c r="R31" s="10"/>
      <c r="S31" s="10"/>
      <c r="T31" s="19"/>
      <c r="U31" s="20">
        <f>U5</f>
        <v/>
      </c>
      <c r="V31" s="10"/>
      <c r="W31" s="21"/>
      <c r="X31" s="10"/>
      <c r="Y31" s="10"/>
      <c r="Z31" s="21"/>
      <c r="AA31" s="10"/>
      <c r="AB31" s="10"/>
      <c r="AC31" s="21"/>
      <c r="AD31" s="10"/>
      <c r="AE31" s="10"/>
    </row>
    <row r="32" spans="1:67" customHeight="1" ht="15.75" s="12" customFormat="1">
      <c r="A32" s="460" t="str">
        <f>A6</f>
        <v>DEST</v>
      </c>
      <c r="B32" s="460" t="str">
        <f>B6</f>
        <v>TYPE</v>
      </c>
      <c r="C32" s="447" t="str">
        <f>C6</f>
        <v>HARNESS No.</v>
      </c>
      <c r="D32" s="447" t="str">
        <f>D6</f>
        <v>LEVEL</v>
      </c>
      <c r="E32" s="516" t="str">
        <f>E6</f>
        <v>ASSY CODE</v>
      </c>
      <c r="F32" s="447" t="str">
        <f>F6</f>
        <v>CCT</v>
      </c>
      <c r="G32" s="516" t="str">
        <f>G6</f>
        <v>Std Pack</v>
      </c>
      <c r="H32" s="534" t="str">
        <f>H6</f>
        <v>UMH GUM JUL-DEC</v>
      </c>
      <c r="I32" s="531" t="s">
        <v>135</v>
      </c>
      <c r="J32" s="450" t="str">
        <f>J6</f>
        <v>FEB</v>
      </c>
      <c r="K32" s="466"/>
      <c r="L32" s="451">
        <f>L6</f>
        <v/>
      </c>
      <c r="M32" s="450" t="str">
        <f>M6</f>
        <v>MAR</v>
      </c>
      <c r="N32" s="466"/>
      <c r="O32" s="452">
        <f>O6</f>
        <v/>
      </c>
      <c r="P32" s="451" t="str">
        <f>P6</f>
        <v>APR</v>
      </c>
      <c r="Q32" s="466"/>
      <c r="R32" s="451">
        <f>R6</f>
        <v/>
      </c>
      <c r="S32" s="450" t="str">
        <f>S6</f>
        <v>MAY</v>
      </c>
      <c r="T32" s="466"/>
      <c r="U32" s="452">
        <f>U6</f>
        <v/>
      </c>
      <c r="V32" s="451" t="str">
        <f>V6</f>
        <v>JUN</v>
      </c>
      <c r="W32" s="466"/>
      <c r="X32" s="451">
        <f>X6</f>
        <v/>
      </c>
      <c r="Y32" s="450" t="str">
        <f>Y6</f>
        <v>JUL</v>
      </c>
      <c r="Z32" s="510"/>
      <c r="AA32" s="452">
        <f>AA6</f>
        <v/>
      </c>
      <c r="AB32" s="451" t="str">
        <f>AB6</f>
        <v>AUG</v>
      </c>
      <c r="AC32" s="510"/>
      <c r="AD32" s="451">
        <f>AD6</f>
        <v/>
      </c>
      <c r="AE32" s="529" t="str">
        <f>AE6</f>
        <v>BAL</v>
      </c>
    </row>
    <row r="33" spans="1:67" customHeight="1" ht="15.75" s="12" customFormat="1">
      <c r="A33" s="461"/>
      <c r="B33" s="461"/>
      <c r="C33" s="448"/>
      <c r="D33" s="448"/>
      <c r="E33" s="517"/>
      <c r="F33" s="448"/>
      <c r="G33" s="517"/>
      <c r="H33" s="535"/>
      <c r="I33" s="532"/>
      <c r="J33" s="281" t="str">
        <f>J7</f>
        <v>02/FEB ~ 27/FEB</v>
      </c>
      <c r="K33" s="469"/>
      <c r="L33" s="281">
        <f>L7</f>
        <v/>
      </c>
      <c r="M33" s="468" t="str">
        <f>M7</f>
        <v>02/MAR ~ 31/MAR</v>
      </c>
      <c r="N33" s="469"/>
      <c r="O33" s="470">
        <f>O7</f>
        <v/>
      </c>
      <c r="P33" s="281" t="str">
        <f>P7</f>
        <v>01/APR ~ 30/APR</v>
      </c>
      <c r="Q33" s="469"/>
      <c r="R33" s="281">
        <f>R7</f>
        <v/>
      </c>
      <c r="S33" s="468" t="str">
        <f>S7</f>
        <v>02/MAY ~ 30/MAY</v>
      </c>
      <c r="T33" s="469"/>
      <c r="U33" s="470">
        <f>U7</f>
        <v/>
      </c>
      <c r="V33" s="281" t="str">
        <f>V7</f>
        <v>02/JUN ~ 30/JUN</v>
      </c>
      <c r="W33" s="469"/>
      <c r="X33" s="281">
        <f>X7</f>
        <v/>
      </c>
      <c r="Y33" s="468" t="str">
        <f>Y7</f>
        <v>01/JUL ~ 31/JUL</v>
      </c>
      <c r="Z33" s="507"/>
      <c r="AA33" s="470">
        <f>AA7</f>
        <v/>
      </c>
      <c r="AB33" s="281" t="str">
        <f>AB7</f>
        <v>03/AUG ~ 31/AUG</v>
      </c>
      <c r="AC33" s="507"/>
      <c r="AD33" s="281">
        <f>AD7</f>
        <v/>
      </c>
      <c r="AE33" s="448"/>
    </row>
    <row r="34" spans="1:67" customHeight="1" ht="15.75" s="12" customFormat="1">
      <c r="A34" s="462"/>
      <c r="B34" s="462"/>
      <c r="C34" s="449"/>
      <c r="D34" s="449"/>
      <c r="E34" s="518"/>
      <c r="F34" s="449"/>
      <c r="G34" s="518"/>
      <c r="H34" s="536"/>
      <c r="I34" s="533"/>
      <c r="J34" s="25" t="str">
        <f>J8</f>
        <v>BAL</v>
      </c>
      <c r="K34" s="23"/>
      <c r="L34" s="26" t="str">
        <f>L8</f>
        <v>PROD</v>
      </c>
      <c r="M34" s="22" t="str">
        <f>J8</f>
        <v>BAL</v>
      </c>
      <c r="N34" s="23" t="str">
        <f>K8</f>
        <v>DEL</v>
      </c>
      <c r="O34" s="24" t="str">
        <f>L8</f>
        <v>PROD</v>
      </c>
      <c r="P34" s="25" t="str">
        <f>M8</f>
        <v>BAL</v>
      </c>
      <c r="Q34" s="23" t="str">
        <f>N8</f>
        <v>DEL</v>
      </c>
      <c r="R34" s="26" t="str">
        <f>O8</f>
        <v>PROD</v>
      </c>
      <c r="S34" s="22" t="str">
        <f>P8</f>
        <v>BAL</v>
      </c>
      <c r="T34" s="23" t="str">
        <f>Q8</f>
        <v>DEL</v>
      </c>
      <c r="U34" s="24" t="str">
        <f>R8</f>
        <v>PROD</v>
      </c>
      <c r="V34" s="25" t="str">
        <f>S8</f>
        <v>BAL</v>
      </c>
      <c r="W34" s="23" t="str">
        <f>T8</f>
        <v>DEL</v>
      </c>
      <c r="X34" s="26" t="str">
        <f>U8</f>
        <v>PROD</v>
      </c>
      <c r="Y34" s="22" t="str">
        <f>V8</f>
        <v>BAL</v>
      </c>
      <c r="Z34" s="23" t="str">
        <f>W8</f>
        <v>DEL</v>
      </c>
      <c r="AA34" s="24" t="str">
        <f>X8</f>
        <v>PROD</v>
      </c>
      <c r="AB34" s="25" t="str">
        <f>Y8</f>
        <v>BAL</v>
      </c>
      <c r="AC34" s="23" t="str">
        <f>Z8</f>
        <v>DEL</v>
      </c>
      <c r="AD34" s="26" t="str">
        <f>AA8</f>
        <v>PROD</v>
      </c>
      <c r="AE34" s="530"/>
      <c r="AG34" s="32"/>
      <c r="AJ34" s="32"/>
      <c r="AM34" s="32"/>
      <c r="AP34" s="32"/>
      <c r="AS34" s="32"/>
      <c r="AV34" s="32"/>
      <c r="AY34" s="32"/>
    </row>
    <row r="35" spans="1:67" customHeight="1" ht="15.75">
      <c r="A35" s="520" t="str">
        <f>+A9</f>
        <v>NASHVILLE &amp; CANTON TK09</v>
      </c>
      <c r="B35" s="521"/>
      <c r="C35" s="75" t="e">
        <f>C9</f>
        <v>#REF!</v>
      </c>
      <c r="D35" s="54" t="e">
        <f>D9</f>
        <v>#REF!</v>
      </c>
      <c r="E35" s="37">
        <f>E9</f>
        <v/>
      </c>
      <c r="F35" s="37" t="e">
        <f>F9</f>
        <v>#REF!</v>
      </c>
      <c r="G35" s="37" t="e">
        <f>G9</f>
        <v>#REF!</v>
      </c>
      <c r="H35" s="38" t="e">
        <f>H9</f>
        <v>#REF!</v>
      </c>
      <c r="I35" s="262"/>
      <c r="J35" s="42" t="e">
        <f>$H35*J9</f>
        <v>#REF!</v>
      </c>
      <c r="K35" s="40" t="e">
        <f>$H35*K9</f>
        <v>#REF!</v>
      </c>
      <c r="L35" s="43" t="e">
        <f>$H35*L9</f>
        <v>#REF!</v>
      </c>
      <c r="M35" s="39" t="e">
        <f>$H35*M9</f>
        <v>#REF!</v>
      </c>
      <c r="N35" s="40" t="e">
        <f>$H35*N9</f>
        <v>#REF!</v>
      </c>
      <c r="O35" s="41" t="e">
        <f>$H35*O9</f>
        <v>#REF!</v>
      </c>
      <c r="P35" s="42" t="e">
        <f>$H35*P9</f>
        <v>#REF!</v>
      </c>
      <c r="Q35" s="40" t="e">
        <f>$H35*Q9</f>
        <v>#REF!</v>
      </c>
      <c r="R35" s="43" t="e">
        <f>$H35*R9</f>
        <v>#REF!</v>
      </c>
      <c r="S35" s="39" t="e">
        <f>$H35*S9</f>
        <v>#REF!</v>
      </c>
      <c r="T35" s="40" t="e">
        <f>$H35*T9</f>
        <v>#REF!</v>
      </c>
      <c r="U35" s="41" t="e">
        <f>$H35*U9</f>
        <v>#REF!</v>
      </c>
      <c r="V35" s="42" t="e">
        <f>$H35*V9</f>
        <v>#REF!</v>
      </c>
      <c r="W35" s="40" t="e">
        <f>$H35*W9</f>
        <v>#REF!</v>
      </c>
      <c r="X35" s="43" t="e">
        <f>$H35*X9</f>
        <v>#REF!</v>
      </c>
      <c r="Y35" s="39" t="e">
        <f>$H35*Y9</f>
        <v>#REF!</v>
      </c>
      <c r="Z35" s="40" t="e">
        <f>$H35*Z9</f>
        <v>#REF!</v>
      </c>
      <c r="AA35" s="41" t="e">
        <f>$H35*AA9</f>
        <v>#REF!</v>
      </c>
      <c r="AB35" s="42" t="e">
        <f>$H35*AB9</f>
        <v>#REF!</v>
      </c>
      <c r="AC35" s="40" t="e">
        <f>$H35*AC9</f>
        <v>#REF!</v>
      </c>
      <c r="AD35" s="43" t="e">
        <f>$H35*AD9</f>
        <v>#REF!</v>
      </c>
      <c r="AE35" s="56" t="e">
        <f>$H35*AE9</f>
        <v>#REF!</v>
      </c>
      <c r="AG35" s="32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</row>
    <row r="36" spans="1:67" customHeight="1" ht="15.75">
      <c r="A36" s="445"/>
      <c r="B36" s="522"/>
      <c r="C36" s="159" t="e">
        <f>C10</f>
        <v>#REF!</v>
      </c>
      <c r="D36" s="55" t="e">
        <f>D10</f>
        <v>#REF!</v>
      </c>
      <c r="E36" s="27">
        <f>E10</f>
        <v/>
      </c>
      <c r="F36" s="27" t="e">
        <f>F10</f>
        <v>#REF!</v>
      </c>
      <c r="G36" s="27" t="e">
        <f>G10</f>
        <v>#REF!</v>
      </c>
      <c r="H36" s="28" t="e">
        <f>H10</f>
        <v>#REF!</v>
      </c>
      <c r="I36" s="263"/>
      <c r="J36" s="47" t="e">
        <f>$H36*J10</f>
        <v>#REF!</v>
      </c>
      <c r="K36" s="45" t="e">
        <f>$H36*K10</f>
        <v>#REF!</v>
      </c>
      <c r="L36" s="48" t="e">
        <f>$H36*L10</f>
        <v>#REF!</v>
      </c>
      <c r="M36" s="44" t="e">
        <f>$H36*M10</f>
        <v>#REF!</v>
      </c>
      <c r="N36" s="45" t="e">
        <f>$H36*N10</f>
        <v>#REF!</v>
      </c>
      <c r="O36" s="46" t="e">
        <f>$H36*O10</f>
        <v>#REF!</v>
      </c>
      <c r="P36" s="47" t="e">
        <f>$H36*P10</f>
        <v>#REF!</v>
      </c>
      <c r="Q36" s="45" t="e">
        <f>$H36*Q10</f>
        <v>#REF!</v>
      </c>
      <c r="R36" s="48" t="e">
        <f>$H36*R10</f>
        <v>#REF!</v>
      </c>
      <c r="S36" s="44" t="e">
        <f>$H36*S10</f>
        <v>#REF!</v>
      </c>
      <c r="T36" s="45" t="e">
        <f>$H36*T10</f>
        <v>#REF!</v>
      </c>
      <c r="U36" s="46" t="e">
        <f>$H36*U10</f>
        <v>#REF!</v>
      </c>
      <c r="V36" s="47" t="e">
        <f>$H36*V10</f>
        <v>#REF!</v>
      </c>
      <c r="W36" s="45" t="e">
        <f>$H36*W10</f>
        <v>#REF!</v>
      </c>
      <c r="X36" s="48" t="e">
        <f>$H36*X10</f>
        <v>#REF!</v>
      </c>
      <c r="Y36" s="44" t="e">
        <f>$H36*Y10</f>
        <v>#REF!</v>
      </c>
      <c r="Z36" s="45" t="e">
        <f>$H36*Z10</f>
        <v>#REF!</v>
      </c>
      <c r="AA36" s="46" t="e">
        <f>$H36*AA10</f>
        <v>#REF!</v>
      </c>
      <c r="AB36" s="47" t="e">
        <f>$H36*AB10</f>
        <v>#REF!</v>
      </c>
      <c r="AC36" s="45" t="e">
        <f>$H36*AC10</f>
        <v>#REF!</v>
      </c>
      <c r="AD36" s="48" t="e">
        <f>$H36*AD10</f>
        <v>#REF!</v>
      </c>
      <c r="AE36" s="53" t="e">
        <f>$H36*AE10</f>
        <v>#REF!</v>
      </c>
      <c r="AG36" s="32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</row>
    <row r="37" spans="1:67" customHeight="1" ht="15.75">
      <c r="A37" s="445"/>
      <c r="B37" s="522"/>
      <c r="C37" s="159" t="e">
        <f>C11</f>
        <v>#REF!</v>
      </c>
      <c r="D37" s="55" t="e">
        <f>D11</f>
        <v>#REF!</v>
      </c>
      <c r="E37" s="27">
        <f>E11</f>
        <v/>
      </c>
      <c r="F37" s="27" t="e">
        <f>F11</f>
        <v>#REF!</v>
      </c>
      <c r="G37" s="27" t="e">
        <f>G11</f>
        <v>#REF!</v>
      </c>
      <c r="H37" s="28" t="e">
        <f>H11</f>
        <v>#REF!</v>
      </c>
      <c r="I37" s="263"/>
      <c r="J37" s="47" t="e">
        <f>$H37*J11</f>
        <v>#REF!</v>
      </c>
      <c r="K37" s="45" t="e">
        <f>$H37*K11</f>
        <v>#REF!</v>
      </c>
      <c r="L37" s="48" t="e">
        <f>$H37*L11</f>
        <v>#REF!</v>
      </c>
      <c r="M37" s="44" t="e">
        <f>$H37*M11</f>
        <v>#REF!</v>
      </c>
      <c r="N37" s="45" t="e">
        <f>$H37*N11</f>
        <v>#REF!</v>
      </c>
      <c r="O37" s="46" t="e">
        <f>$H37*O11</f>
        <v>#REF!</v>
      </c>
      <c r="P37" s="47" t="e">
        <f>$H37*P11</f>
        <v>#REF!</v>
      </c>
      <c r="Q37" s="45" t="e">
        <f>$H37*Q11</f>
        <v>#REF!</v>
      </c>
      <c r="R37" s="48" t="e">
        <f>$H37*R11</f>
        <v>#REF!</v>
      </c>
      <c r="S37" s="44" t="e">
        <f>$H37*S11</f>
        <v>#REF!</v>
      </c>
      <c r="T37" s="45" t="e">
        <f>$H37*T11</f>
        <v>#REF!</v>
      </c>
      <c r="U37" s="46" t="e">
        <f>$H37*U11</f>
        <v>#REF!</v>
      </c>
      <c r="V37" s="47" t="e">
        <f>$H37*V11</f>
        <v>#REF!</v>
      </c>
      <c r="W37" s="45" t="e">
        <f>$H37*W11</f>
        <v>#REF!</v>
      </c>
      <c r="X37" s="48" t="e">
        <f>$H37*X11</f>
        <v>#REF!</v>
      </c>
      <c r="Y37" s="44" t="e">
        <f>$H37*Y11</f>
        <v>#REF!</v>
      </c>
      <c r="Z37" s="45" t="e">
        <f>$H37*Z11</f>
        <v>#REF!</v>
      </c>
      <c r="AA37" s="46" t="e">
        <f>$H37*AA11</f>
        <v>#REF!</v>
      </c>
      <c r="AB37" s="47" t="e">
        <f>$H37*AB11</f>
        <v>#REF!</v>
      </c>
      <c r="AC37" s="45" t="e">
        <f>$H37*AC11</f>
        <v>#REF!</v>
      </c>
      <c r="AD37" s="48" t="e">
        <f>$H37*AD11</f>
        <v>#REF!</v>
      </c>
      <c r="AE37" s="53" t="e">
        <f>$H37*AE11</f>
        <v>#REF!</v>
      </c>
      <c r="AG37" s="32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</row>
    <row r="38" spans="1:67" customHeight="1" ht="15.75">
      <c r="A38" s="445"/>
      <c r="B38" s="522"/>
      <c r="C38" s="159" t="e">
        <f>C12</f>
        <v>#REF!</v>
      </c>
      <c r="D38" s="55" t="e">
        <f>D12</f>
        <v>#REF!</v>
      </c>
      <c r="E38" s="27">
        <f>E12</f>
        <v/>
      </c>
      <c r="F38" s="27" t="e">
        <f>F12</f>
        <v>#REF!</v>
      </c>
      <c r="G38" s="27" t="e">
        <f>G12</f>
        <v>#REF!</v>
      </c>
      <c r="H38" s="28" t="e">
        <f>H12</f>
        <v>#REF!</v>
      </c>
      <c r="I38" s="263"/>
      <c r="J38" s="47" t="e">
        <f>$H38*J12</f>
        <v>#REF!</v>
      </c>
      <c r="K38" s="45" t="e">
        <f>$H38*K12</f>
        <v>#REF!</v>
      </c>
      <c r="L38" s="48" t="e">
        <f>$H38*L12</f>
        <v>#REF!</v>
      </c>
      <c r="M38" s="44" t="e">
        <f>$H38*M12</f>
        <v>#REF!</v>
      </c>
      <c r="N38" s="45" t="e">
        <f>$H38*N12</f>
        <v>#REF!</v>
      </c>
      <c r="O38" s="46" t="e">
        <f>$H38*O12</f>
        <v>#REF!</v>
      </c>
      <c r="P38" s="47" t="e">
        <f>$H38*P12</f>
        <v>#REF!</v>
      </c>
      <c r="Q38" s="45" t="e">
        <f>$H38*Q12</f>
        <v>#REF!</v>
      </c>
      <c r="R38" s="48" t="e">
        <f>$H38*R12</f>
        <v>#REF!</v>
      </c>
      <c r="S38" s="44" t="e">
        <f>$H38*S12</f>
        <v>#REF!</v>
      </c>
      <c r="T38" s="45" t="e">
        <f>$H38*T12</f>
        <v>#REF!</v>
      </c>
      <c r="U38" s="46" t="e">
        <f>$H38*U12</f>
        <v>#REF!</v>
      </c>
      <c r="V38" s="47" t="e">
        <f>$H38*V12</f>
        <v>#REF!</v>
      </c>
      <c r="W38" s="45" t="e">
        <f>$H38*W12</f>
        <v>#REF!</v>
      </c>
      <c r="X38" s="48" t="e">
        <f>$H38*X12</f>
        <v>#REF!</v>
      </c>
      <c r="Y38" s="44" t="e">
        <f>$H38*Y12</f>
        <v>#REF!</v>
      </c>
      <c r="Z38" s="45" t="e">
        <f>$H38*Z12</f>
        <v>#REF!</v>
      </c>
      <c r="AA38" s="46" t="e">
        <f>$H38*AA12</f>
        <v>#REF!</v>
      </c>
      <c r="AB38" s="47" t="e">
        <f>$H38*AB12</f>
        <v>#REF!</v>
      </c>
      <c r="AC38" s="45" t="e">
        <f>$H38*AC12</f>
        <v>#REF!</v>
      </c>
      <c r="AD38" s="48" t="e">
        <f>$H38*AD12</f>
        <v>#REF!</v>
      </c>
      <c r="AE38" s="53" t="e">
        <f>$H38*AE12</f>
        <v>#REF!</v>
      </c>
      <c r="AG38" s="32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</row>
    <row r="39" spans="1:67" customHeight="1" ht="15.75">
      <c r="A39" s="445"/>
      <c r="B39" s="522"/>
      <c r="C39" s="159" t="e">
        <f>C13</f>
        <v>#REF!</v>
      </c>
      <c r="D39" s="55" t="e">
        <f>D13</f>
        <v>#REF!</v>
      </c>
      <c r="E39" s="27">
        <f>E13</f>
        <v/>
      </c>
      <c r="F39" s="27" t="e">
        <f>F13</f>
        <v>#REF!</v>
      </c>
      <c r="G39" s="27" t="e">
        <f>G13</f>
        <v>#REF!</v>
      </c>
      <c r="H39" s="28" t="e">
        <f>H13</f>
        <v>#REF!</v>
      </c>
      <c r="I39" s="263"/>
      <c r="J39" s="47" t="e">
        <f>$H39*J13</f>
        <v>#REF!</v>
      </c>
      <c r="K39" s="45" t="e">
        <f>$H39*K13</f>
        <v>#REF!</v>
      </c>
      <c r="L39" s="48" t="e">
        <f>$H39*L13</f>
        <v>#REF!</v>
      </c>
      <c r="M39" s="44" t="e">
        <f>$H39*M13</f>
        <v>#REF!</v>
      </c>
      <c r="N39" s="45" t="e">
        <f>$H39*N13</f>
        <v>#REF!</v>
      </c>
      <c r="O39" s="46" t="e">
        <f>$H39*O13</f>
        <v>#REF!</v>
      </c>
      <c r="P39" s="47" t="e">
        <f>$H39*P13</f>
        <v>#REF!</v>
      </c>
      <c r="Q39" s="45" t="e">
        <f>$H39*Q13</f>
        <v>#REF!</v>
      </c>
      <c r="R39" s="48" t="e">
        <f>$H39*R13</f>
        <v>#REF!</v>
      </c>
      <c r="S39" s="44" t="e">
        <f>$H39*S13</f>
        <v>#REF!</v>
      </c>
      <c r="T39" s="45" t="e">
        <f>$H39*T13</f>
        <v>#REF!</v>
      </c>
      <c r="U39" s="46" t="e">
        <f>$H39*U13</f>
        <v>#REF!</v>
      </c>
      <c r="V39" s="47" t="e">
        <f>$H39*V13</f>
        <v>#REF!</v>
      </c>
      <c r="W39" s="45" t="e">
        <f>$H39*W13</f>
        <v>#REF!</v>
      </c>
      <c r="X39" s="48" t="e">
        <f>$H39*X13</f>
        <v>#REF!</v>
      </c>
      <c r="Y39" s="44" t="e">
        <f>$H39*Y13</f>
        <v>#REF!</v>
      </c>
      <c r="Z39" s="45" t="e">
        <f>$H39*Z13</f>
        <v>#REF!</v>
      </c>
      <c r="AA39" s="46" t="e">
        <f>$H39*AA13</f>
        <v>#REF!</v>
      </c>
      <c r="AB39" s="47" t="e">
        <f>$H39*AB13</f>
        <v>#REF!</v>
      </c>
      <c r="AC39" s="45" t="e">
        <f>$H39*AC13</f>
        <v>#REF!</v>
      </c>
      <c r="AD39" s="48" t="e">
        <f>$H39*AD13</f>
        <v>#REF!</v>
      </c>
      <c r="AE39" s="53" t="e">
        <f>$H39*AE13</f>
        <v>#REF!</v>
      </c>
      <c r="AG39" s="32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</row>
    <row r="40" spans="1:67" customHeight="1" ht="15.75">
      <c r="A40" s="445"/>
      <c r="B40" s="522"/>
      <c r="C40" s="159" t="e">
        <f>C14</f>
        <v>#REF!</v>
      </c>
      <c r="D40" s="55" t="e">
        <f>D14</f>
        <v>#REF!</v>
      </c>
      <c r="E40" s="27">
        <f>E14</f>
        <v/>
      </c>
      <c r="F40" s="27" t="e">
        <f>F14</f>
        <v>#REF!</v>
      </c>
      <c r="G40" s="27" t="e">
        <f>G14</f>
        <v>#REF!</v>
      </c>
      <c r="H40" s="28" t="e">
        <f>H14</f>
        <v>#REF!</v>
      </c>
      <c r="I40" s="263"/>
      <c r="J40" s="47" t="e">
        <f>$H40*J14</f>
        <v>#REF!</v>
      </c>
      <c r="K40" s="45" t="e">
        <f>$H40*K14</f>
        <v>#REF!</v>
      </c>
      <c r="L40" s="48" t="e">
        <f>$H40*L14</f>
        <v>#REF!</v>
      </c>
      <c r="M40" s="44" t="e">
        <f>$H40*M14</f>
        <v>#REF!</v>
      </c>
      <c r="N40" s="45" t="e">
        <f>$H40*N14</f>
        <v>#REF!</v>
      </c>
      <c r="O40" s="46" t="e">
        <f>$H40*O14</f>
        <v>#REF!</v>
      </c>
      <c r="P40" s="47" t="e">
        <f>$H40*P14</f>
        <v>#REF!</v>
      </c>
      <c r="Q40" s="45" t="e">
        <f>$H40*Q14</f>
        <v>#REF!</v>
      </c>
      <c r="R40" s="48" t="e">
        <f>$H40*R14</f>
        <v>#REF!</v>
      </c>
      <c r="S40" s="44" t="e">
        <f>$H40*S14</f>
        <v>#REF!</v>
      </c>
      <c r="T40" s="45" t="e">
        <f>$H40*T14</f>
        <v>#REF!</v>
      </c>
      <c r="U40" s="46" t="e">
        <f>$H40*U14</f>
        <v>#REF!</v>
      </c>
      <c r="V40" s="47" t="e">
        <f>$H40*V14</f>
        <v>#REF!</v>
      </c>
      <c r="W40" s="45" t="e">
        <f>$H40*W14</f>
        <v>#REF!</v>
      </c>
      <c r="X40" s="48" t="e">
        <f>$H40*X14</f>
        <v>#REF!</v>
      </c>
      <c r="Y40" s="44" t="e">
        <f>$H40*Y14</f>
        <v>#REF!</v>
      </c>
      <c r="Z40" s="45" t="e">
        <f>$H40*Z14</f>
        <v>#REF!</v>
      </c>
      <c r="AA40" s="46" t="e">
        <f>$H40*AA14</f>
        <v>#REF!</v>
      </c>
      <c r="AB40" s="47" t="e">
        <f>$H40*AB14</f>
        <v>#REF!</v>
      </c>
      <c r="AC40" s="45" t="e">
        <f>$H40*AC14</f>
        <v>#REF!</v>
      </c>
      <c r="AD40" s="48" t="e">
        <f>$H40*AD14</f>
        <v>#REF!</v>
      </c>
      <c r="AE40" s="53" t="e">
        <f>$H40*AE14</f>
        <v>#REF!</v>
      </c>
      <c r="AG40" s="32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</row>
    <row r="41" spans="1:67" customHeight="1" ht="15.75">
      <c r="A41" s="445"/>
      <c r="B41" s="523"/>
      <c r="C41" s="159" t="e">
        <f>C15</f>
        <v>#REF!</v>
      </c>
      <c r="D41" s="55" t="e">
        <f>D15</f>
        <v>#REF!</v>
      </c>
      <c r="E41" s="27">
        <f>E15</f>
        <v/>
      </c>
      <c r="F41" s="27" t="e">
        <f>F15</f>
        <v>#REF!</v>
      </c>
      <c r="G41" s="27" t="e">
        <f>G15</f>
        <v>#REF!</v>
      </c>
      <c r="H41" s="28" t="e">
        <f>H15</f>
        <v>#REF!</v>
      </c>
      <c r="I41" s="263"/>
      <c r="J41" s="47" t="e">
        <f>$H41*J15</f>
        <v>#REF!</v>
      </c>
      <c r="K41" s="45" t="e">
        <f>$H41*K15</f>
        <v>#REF!</v>
      </c>
      <c r="L41" s="48" t="e">
        <f>$H41*L15</f>
        <v>#REF!</v>
      </c>
      <c r="M41" s="44" t="e">
        <f>$H41*M15</f>
        <v>#REF!</v>
      </c>
      <c r="N41" s="45" t="e">
        <f>$H41*N15</f>
        <v>#REF!</v>
      </c>
      <c r="O41" s="46" t="e">
        <f>$H41*O15</f>
        <v>#REF!</v>
      </c>
      <c r="P41" s="47" t="e">
        <f>$H41*P15</f>
        <v>#REF!</v>
      </c>
      <c r="Q41" s="45" t="e">
        <f>$H41*Q15</f>
        <v>#REF!</v>
      </c>
      <c r="R41" s="48" t="e">
        <f>$H41*R15</f>
        <v>#REF!</v>
      </c>
      <c r="S41" s="44" t="e">
        <f>$H41*S15</f>
        <v>#REF!</v>
      </c>
      <c r="T41" s="45" t="e">
        <f>$H41*T15</f>
        <v>#REF!</v>
      </c>
      <c r="U41" s="46" t="e">
        <f>$H41*U15</f>
        <v>#REF!</v>
      </c>
      <c r="V41" s="47" t="e">
        <f>$H41*V15</f>
        <v>#REF!</v>
      </c>
      <c r="W41" s="45" t="e">
        <f>$H41*W15</f>
        <v>#REF!</v>
      </c>
      <c r="X41" s="48" t="e">
        <f>$H41*X15</f>
        <v>#REF!</v>
      </c>
      <c r="Y41" s="44" t="e">
        <f>$H41*Y15</f>
        <v>#REF!</v>
      </c>
      <c r="Z41" s="45" t="e">
        <f>$H41*Z15</f>
        <v>#REF!</v>
      </c>
      <c r="AA41" s="46" t="e">
        <f>$H41*AA15</f>
        <v>#REF!</v>
      </c>
      <c r="AB41" s="47" t="e">
        <f>$H41*AB15</f>
        <v>#REF!</v>
      </c>
      <c r="AC41" s="45" t="e">
        <f>$H41*AC15</f>
        <v>#REF!</v>
      </c>
      <c r="AD41" s="48" t="e">
        <f>$H41*AD15</f>
        <v>#REF!</v>
      </c>
      <c r="AE41" s="53" t="e">
        <f>$H41*AE15</f>
        <v>#REF!</v>
      </c>
      <c r="AG41" s="32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7"/>
      <c r="BA41" s="7"/>
    </row>
    <row r="42" spans="1:67" customHeight="1" ht="15.75">
      <c r="A42" s="445"/>
      <c r="B42" s="524" t="str">
        <f>B16</f>
        <v>GCC</v>
      </c>
      <c r="C42" s="75" t="str">
        <f>C16</f>
        <v>82111-4DT30</v>
      </c>
      <c r="D42" s="54">
        <f>D16</f>
        <v/>
      </c>
      <c r="E42" s="37">
        <f>E16</f>
        <v/>
      </c>
      <c r="F42" s="37">
        <f>F16</f>
        <v/>
      </c>
      <c r="G42" s="37">
        <f>G16</f>
        <v/>
      </c>
      <c r="H42" s="38">
        <f>H16</f>
        <v/>
      </c>
      <c r="I42" s="264"/>
      <c r="J42" s="47">
        <f>$H42*J16</f>
        <v>0</v>
      </c>
      <c r="K42" s="45" t="e">
        <f>$H42*K16</f>
        <v>#REF!</v>
      </c>
      <c r="L42" s="48">
        <f>$H42*L16</f>
        <v>0</v>
      </c>
      <c r="M42" s="44" t="e">
        <f>$H42*M16</f>
        <v>#REF!</v>
      </c>
      <c r="N42" s="45" t="e">
        <f>$H42*N16</f>
        <v>#REF!</v>
      </c>
      <c r="O42" s="46" t="e">
        <f>$H42*O16</f>
        <v>#REF!</v>
      </c>
      <c r="P42" s="47" t="e">
        <f>$H42*P16</f>
        <v>#REF!</v>
      </c>
      <c r="Q42" s="45" t="e">
        <f>$H42*Q16</f>
        <v>#REF!</v>
      </c>
      <c r="R42" s="48" t="e">
        <f>$H42*R16</f>
        <v>#REF!</v>
      </c>
      <c r="S42" s="44" t="e">
        <f>$H42*S16</f>
        <v>#REF!</v>
      </c>
      <c r="T42" s="45" t="e">
        <f>$H42*T16</f>
        <v>#REF!</v>
      </c>
      <c r="U42" s="46" t="e">
        <f>$H42*U16</f>
        <v>#REF!</v>
      </c>
      <c r="V42" s="47" t="e">
        <f>$H42*V16</f>
        <v>#REF!</v>
      </c>
      <c r="W42" s="45" t="e">
        <f>$H42*W16</f>
        <v>#REF!</v>
      </c>
      <c r="X42" s="48" t="e">
        <f>$H42*X16</f>
        <v>#REF!</v>
      </c>
      <c r="Y42" s="44" t="e">
        <f>$H42*Y16</f>
        <v>#REF!</v>
      </c>
      <c r="Z42" s="45" t="e">
        <f>$H42*Z16</f>
        <v>#REF!</v>
      </c>
      <c r="AA42" s="46" t="e">
        <f>$H42*AA16</f>
        <v>#REF!</v>
      </c>
      <c r="AB42" s="47" t="e">
        <f>$H42*AB16</f>
        <v>#REF!</v>
      </c>
      <c r="AC42" s="45" t="e">
        <f>$H42*AC16</f>
        <v>#REF!</v>
      </c>
      <c r="AD42" s="48" t="e">
        <f>$H42*AD16</f>
        <v>#REF!</v>
      </c>
      <c r="AE42" s="53">
        <f>$H42*AE16</f>
        <v>0</v>
      </c>
      <c r="AG42" s="32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</row>
    <row r="43" spans="1:67" customHeight="1" ht="15.75">
      <c r="A43" s="445"/>
      <c r="B43" s="525"/>
      <c r="C43" s="159" t="e">
        <f>C17</f>
        <v>#REF!</v>
      </c>
      <c r="D43" s="55" t="e">
        <f>D17</f>
        <v>#REF!</v>
      </c>
      <c r="E43" s="27">
        <f>E17</f>
        <v/>
      </c>
      <c r="F43" s="27" t="e">
        <f>F17</f>
        <v>#REF!</v>
      </c>
      <c r="G43" s="27" t="e">
        <f>G17</f>
        <v>#REF!</v>
      </c>
      <c r="H43" s="28" t="e">
        <f>H17</f>
        <v>#REF!</v>
      </c>
      <c r="I43" s="265"/>
      <c r="J43" s="47" t="e">
        <f>$H43*J17</f>
        <v>#REF!</v>
      </c>
      <c r="K43" s="45" t="e">
        <f>$H43*K17</f>
        <v>#REF!</v>
      </c>
      <c r="L43" s="48" t="e">
        <f>$H43*L17</f>
        <v>#REF!</v>
      </c>
      <c r="M43" s="44" t="e">
        <f>$H43*M17</f>
        <v>#REF!</v>
      </c>
      <c r="N43" s="45" t="e">
        <f>$H43*N17</f>
        <v>#REF!</v>
      </c>
      <c r="O43" s="46" t="e">
        <f>$H43*O17</f>
        <v>#REF!</v>
      </c>
      <c r="P43" s="47" t="e">
        <f>$H43*P17</f>
        <v>#REF!</v>
      </c>
      <c r="Q43" s="45" t="e">
        <f>$H43*Q17</f>
        <v>#REF!</v>
      </c>
      <c r="R43" s="48" t="e">
        <f>$H43*R17</f>
        <v>#REF!</v>
      </c>
      <c r="S43" s="44" t="e">
        <f>$H43*S17</f>
        <v>#REF!</v>
      </c>
      <c r="T43" s="45" t="e">
        <f>$H43*T17</f>
        <v>#REF!</v>
      </c>
      <c r="U43" s="46" t="e">
        <f>$H43*U17</f>
        <v>#REF!</v>
      </c>
      <c r="V43" s="47" t="e">
        <f>$H43*V17</f>
        <v>#REF!</v>
      </c>
      <c r="W43" s="45" t="e">
        <f>$H43*W17</f>
        <v>#REF!</v>
      </c>
      <c r="X43" s="48" t="e">
        <f>$H43*X17</f>
        <v>#REF!</v>
      </c>
      <c r="Y43" s="44" t="e">
        <f>$H43*Y17</f>
        <v>#REF!</v>
      </c>
      <c r="Z43" s="45" t="e">
        <f>$H43*Z17</f>
        <v>#REF!</v>
      </c>
      <c r="AA43" s="46" t="e">
        <f>$H43*AA17</f>
        <v>#REF!</v>
      </c>
      <c r="AB43" s="47" t="e">
        <f>$H43*AB17</f>
        <v>#REF!</v>
      </c>
      <c r="AC43" s="45" t="e">
        <f>$H43*AC17</f>
        <v>#REF!</v>
      </c>
      <c r="AD43" s="48" t="e">
        <f>$H43*AD17</f>
        <v>#REF!</v>
      </c>
      <c r="AE43" s="53" t="e">
        <f>$H43*AE17</f>
        <v>#REF!</v>
      </c>
      <c r="AG43" s="32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</row>
    <row r="44" spans="1:67" customHeight="1" ht="15.75">
      <c r="A44" s="445"/>
      <c r="B44" s="525"/>
      <c r="C44" s="159" t="e">
        <f>C18</f>
        <v>#REF!</v>
      </c>
      <c r="D44" s="160" t="e">
        <f>D18</f>
        <v>#REF!</v>
      </c>
      <c r="E44" s="27">
        <f>E18</f>
        <v/>
      </c>
      <c r="F44" s="27" t="e">
        <f>F18</f>
        <v>#REF!</v>
      </c>
      <c r="G44" s="27" t="e">
        <f>G18</f>
        <v>#REF!</v>
      </c>
      <c r="H44" s="28" t="e">
        <f>H18</f>
        <v>#REF!</v>
      </c>
      <c r="I44" s="263"/>
      <c r="J44" s="47" t="e">
        <f>$H44*J18</f>
        <v>#REF!</v>
      </c>
      <c r="K44" s="45" t="e">
        <f>$H44*K18</f>
        <v>#REF!</v>
      </c>
      <c r="L44" s="48" t="e">
        <f>$H44*L18</f>
        <v>#REF!</v>
      </c>
      <c r="M44" s="44" t="e">
        <f>$H44*M18</f>
        <v>#REF!</v>
      </c>
      <c r="N44" s="45" t="e">
        <f>$H44*N18</f>
        <v>#REF!</v>
      </c>
      <c r="O44" s="46" t="e">
        <f>$H44*O18</f>
        <v>#REF!</v>
      </c>
      <c r="P44" s="47" t="e">
        <f>$H44*P18</f>
        <v>#REF!</v>
      </c>
      <c r="Q44" s="45" t="e">
        <f>$H44*Q18</f>
        <v>#REF!</v>
      </c>
      <c r="R44" s="48" t="e">
        <f>$H44*R18</f>
        <v>#REF!</v>
      </c>
      <c r="S44" s="44" t="e">
        <f>$H44*S18</f>
        <v>#REF!</v>
      </c>
      <c r="T44" s="45" t="e">
        <f>$H44*T18</f>
        <v>#REF!</v>
      </c>
      <c r="U44" s="46" t="e">
        <f>$H44*U18</f>
        <v>#REF!</v>
      </c>
      <c r="V44" s="47" t="e">
        <f>$H44*V18</f>
        <v>#REF!</v>
      </c>
      <c r="W44" s="45" t="e">
        <f>$H44*W18</f>
        <v>#REF!</v>
      </c>
      <c r="X44" s="48" t="e">
        <f>$H44*X18</f>
        <v>#REF!</v>
      </c>
      <c r="Y44" s="44" t="e">
        <f>$H44*Y18</f>
        <v>#REF!</v>
      </c>
      <c r="Z44" s="45" t="e">
        <f>$H44*Z18</f>
        <v>#REF!</v>
      </c>
      <c r="AA44" s="46" t="e">
        <f>$H44*AA18</f>
        <v>#REF!</v>
      </c>
      <c r="AB44" s="47" t="e">
        <f>$H44*AB18</f>
        <v>#REF!</v>
      </c>
      <c r="AC44" s="45" t="e">
        <f>$H44*AC18</f>
        <v>#REF!</v>
      </c>
      <c r="AD44" s="48" t="e">
        <f>$H44*AD18</f>
        <v>#REF!</v>
      </c>
      <c r="AE44" s="53" t="e">
        <f>$H44*AE18</f>
        <v>#REF!</v>
      </c>
      <c r="AG44" s="32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</row>
    <row r="45" spans="1:67" customHeight="1" ht="15.75">
      <c r="A45" s="445"/>
      <c r="B45" s="525"/>
      <c r="C45" s="159" t="e">
        <f>C19</f>
        <v>#REF!</v>
      </c>
      <c r="D45" s="160" t="e">
        <f>D19</f>
        <v>#REF!</v>
      </c>
      <c r="E45" s="27">
        <f>E19</f>
        <v/>
      </c>
      <c r="F45" s="27" t="e">
        <f>F19</f>
        <v>#REF!</v>
      </c>
      <c r="G45" s="27" t="e">
        <f>G19</f>
        <v>#REF!</v>
      </c>
      <c r="H45" s="28" t="e">
        <f>H19</f>
        <v>#REF!</v>
      </c>
      <c r="I45" s="263"/>
      <c r="J45" s="47" t="e">
        <f>$H45*J19</f>
        <v>#REF!</v>
      </c>
      <c r="K45" s="45" t="e">
        <f>$H45*K19</f>
        <v>#REF!</v>
      </c>
      <c r="L45" s="48" t="e">
        <f>$H45*L19</f>
        <v>#REF!</v>
      </c>
      <c r="M45" s="44" t="e">
        <f>$H45*M19</f>
        <v>#REF!</v>
      </c>
      <c r="N45" s="45" t="e">
        <f>$H45*N19</f>
        <v>#REF!</v>
      </c>
      <c r="O45" s="46" t="e">
        <f>$H45*O19</f>
        <v>#REF!</v>
      </c>
      <c r="P45" s="47" t="e">
        <f>$H45*P19</f>
        <v>#REF!</v>
      </c>
      <c r="Q45" s="45" t="e">
        <f>$H45*Q19</f>
        <v>#REF!</v>
      </c>
      <c r="R45" s="48" t="e">
        <f>$H45*R19</f>
        <v>#REF!</v>
      </c>
      <c r="S45" s="44" t="e">
        <f>$H45*S19</f>
        <v>#REF!</v>
      </c>
      <c r="T45" s="45" t="e">
        <f>$H45*T19</f>
        <v>#REF!</v>
      </c>
      <c r="U45" s="46" t="e">
        <f>$H45*U19</f>
        <v>#REF!</v>
      </c>
      <c r="V45" s="47" t="e">
        <f>$H45*V19</f>
        <v>#REF!</v>
      </c>
      <c r="W45" s="45" t="e">
        <f>$H45*W19</f>
        <v>#REF!</v>
      </c>
      <c r="X45" s="48" t="e">
        <f>$H45*X19</f>
        <v>#REF!</v>
      </c>
      <c r="Y45" s="44" t="e">
        <f>$H45*Y19</f>
        <v>#REF!</v>
      </c>
      <c r="Z45" s="45" t="e">
        <f>$H45*Z19</f>
        <v>#REF!</v>
      </c>
      <c r="AA45" s="46" t="e">
        <f>$H45*AA19</f>
        <v>#REF!</v>
      </c>
      <c r="AB45" s="47" t="e">
        <f>$H45*AB19</f>
        <v>#REF!</v>
      </c>
      <c r="AC45" s="45" t="e">
        <f>$H45*AC19</f>
        <v>#REF!</v>
      </c>
      <c r="AD45" s="48" t="e">
        <f>$H45*AD19</f>
        <v>#REF!</v>
      </c>
      <c r="AE45" s="53" t="e">
        <f>$H45*AE19</f>
        <v>#REF!</v>
      </c>
      <c r="AG45" s="32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</row>
    <row r="46" spans="1:67" customHeight="1" ht="15.75">
      <c r="A46" s="445"/>
      <c r="B46" s="525"/>
      <c r="C46" s="159" t="e">
        <f>C20</f>
        <v>#REF!</v>
      </c>
      <c r="D46" s="160" t="e">
        <f>D20</f>
        <v>#REF!</v>
      </c>
      <c r="E46" s="27">
        <f>E20</f>
        <v/>
      </c>
      <c r="F46" s="27" t="e">
        <f>F20</f>
        <v>#REF!</v>
      </c>
      <c r="G46" s="27" t="e">
        <f>G20</f>
        <v>#REF!</v>
      </c>
      <c r="H46" s="28" t="e">
        <f>H20</f>
        <v>#REF!</v>
      </c>
      <c r="I46" s="263"/>
      <c r="J46" s="47" t="e">
        <f>$H46*J20</f>
        <v>#REF!</v>
      </c>
      <c r="K46" s="45" t="e">
        <f>$H46*K20</f>
        <v>#REF!</v>
      </c>
      <c r="L46" s="48" t="e">
        <f>$H46*L20</f>
        <v>#REF!</v>
      </c>
      <c r="M46" s="44" t="e">
        <f>$H46*M20</f>
        <v>#REF!</v>
      </c>
      <c r="N46" s="45" t="e">
        <f>$H46*N20</f>
        <v>#REF!</v>
      </c>
      <c r="O46" s="46" t="e">
        <f>$H46*O20</f>
        <v>#REF!</v>
      </c>
      <c r="P46" s="47" t="e">
        <f>$H46*P20</f>
        <v>#REF!</v>
      </c>
      <c r="Q46" s="45" t="e">
        <f>$H46*Q20</f>
        <v>#REF!</v>
      </c>
      <c r="R46" s="48" t="e">
        <f>$H46*R20</f>
        <v>#REF!</v>
      </c>
      <c r="S46" s="44" t="e">
        <f>$H46*S20</f>
        <v>#REF!</v>
      </c>
      <c r="T46" s="45" t="e">
        <f>$H46*T20</f>
        <v>#REF!</v>
      </c>
      <c r="U46" s="46" t="e">
        <f>$H46*U20</f>
        <v>#REF!</v>
      </c>
      <c r="V46" s="47" t="e">
        <f>$H46*V20</f>
        <v>#REF!</v>
      </c>
      <c r="W46" s="45" t="e">
        <f>$H46*W20</f>
        <v>#REF!</v>
      </c>
      <c r="X46" s="48" t="e">
        <f>$H46*X20</f>
        <v>#REF!</v>
      </c>
      <c r="Y46" s="44" t="e">
        <f>$H46*Y20</f>
        <v>#REF!</v>
      </c>
      <c r="Z46" s="45" t="e">
        <f>$H46*Z20</f>
        <v>#REF!</v>
      </c>
      <c r="AA46" s="46" t="e">
        <f>$H46*AA20</f>
        <v>#REF!</v>
      </c>
      <c r="AB46" s="47" t="e">
        <f>$H46*AB20</f>
        <v>#REF!</v>
      </c>
      <c r="AC46" s="45" t="e">
        <f>$H46*AC20</f>
        <v>#REF!</v>
      </c>
      <c r="AD46" s="48" t="e">
        <f>$H46*AD20</f>
        <v>#REF!</v>
      </c>
      <c r="AE46" s="53" t="e">
        <f>$H46*AE20</f>
        <v>#REF!</v>
      </c>
      <c r="AG46" s="32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</row>
    <row r="47" spans="1:67" customHeight="1" ht="15.75" s="12" customFormat="1">
      <c r="A47" s="445"/>
      <c r="B47" s="525"/>
      <c r="C47" s="159" t="e">
        <f>C21</f>
        <v>#REF!</v>
      </c>
      <c r="D47" s="55" t="e">
        <f>D21</f>
        <v>#REF!</v>
      </c>
      <c r="E47" s="27">
        <f>E21</f>
        <v/>
      </c>
      <c r="F47" s="27" t="e">
        <f>F21</f>
        <v>#REF!</v>
      </c>
      <c r="G47" s="27" t="e">
        <f>G21</f>
        <v>#REF!</v>
      </c>
      <c r="H47" s="28" t="e">
        <f>H21</f>
        <v>#REF!</v>
      </c>
      <c r="I47" s="263"/>
      <c r="J47" s="47" t="e">
        <f>$H47*J21</f>
        <v>#REF!</v>
      </c>
      <c r="K47" s="45" t="e">
        <f>$H47*K21</f>
        <v>#REF!</v>
      </c>
      <c r="L47" s="48" t="e">
        <f>$H47*L21</f>
        <v>#REF!</v>
      </c>
      <c r="M47" s="44" t="e">
        <f>$H47*M21</f>
        <v>#REF!</v>
      </c>
      <c r="N47" s="45" t="e">
        <f>$H47*N21</f>
        <v>#REF!</v>
      </c>
      <c r="O47" s="46" t="e">
        <f>$H47*O21</f>
        <v>#REF!</v>
      </c>
      <c r="P47" s="47" t="e">
        <f>$H47*P21</f>
        <v>#REF!</v>
      </c>
      <c r="Q47" s="45" t="e">
        <f>$H47*Q21</f>
        <v>#REF!</v>
      </c>
      <c r="R47" s="48" t="e">
        <f>$H47*R21</f>
        <v>#REF!</v>
      </c>
      <c r="S47" s="44" t="e">
        <f>$H47*S21</f>
        <v>#REF!</v>
      </c>
      <c r="T47" s="45" t="e">
        <f>$H47*T21</f>
        <v>#REF!</v>
      </c>
      <c r="U47" s="46" t="e">
        <f>$H47*U21</f>
        <v>#REF!</v>
      </c>
      <c r="V47" s="47" t="e">
        <f>$H47*V21</f>
        <v>#REF!</v>
      </c>
      <c r="W47" s="45" t="e">
        <f>$H47*W21</f>
        <v>#REF!</v>
      </c>
      <c r="X47" s="48" t="e">
        <f>$H47*X21</f>
        <v>#REF!</v>
      </c>
      <c r="Y47" s="44" t="e">
        <f>$H47*Y21</f>
        <v>#REF!</v>
      </c>
      <c r="Z47" s="45" t="e">
        <f>$H47*Z21</f>
        <v>#REF!</v>
      </c>
      <c r="AA47" s="46" t="e">
        <f>$H47*AA21</f>
        <v>#REF!</v>
      </c>
      <c r="AB47" s="47" t="e">
        <f>$H47*AB21</f>
        <v>#REF!</v>
      </c>
      <c r="AC47" s="45" t="e">
        <f>$H47*AC21</f>
        <v>#REF!</v>
      </c>
      <c r="AD47" s="48" t="e">
        <f>$H47*AD21</f>
        <v>#REF!</v>
      </c>
      <c r="AE47" s="53" t="e">
        <f>$H47*AE21</f>
        <v>#REF!</v>
      </c>
      <c r="AG47" s="32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</row>
    <row r="48" spans="1:67" customHeight="1" ht="15.75" s="12" customFormat="1">
      <c r="A48" s="445"/>
      <c r="B48" s="525"/>
      <c r="C48" s="159" t="e">
        <f>C22</f>
        <v>#REF!</v>
      </c>
      <c r="D48" s="55" t="e">
        <f>D22</f>
        <v>#REF!</v>
      </c>
      <c r="E48" s="27">
        <f>E22</f>
        <v/>
      </c>
      <c r="F48" s="27" t="e">
        <f>F22</f>
        <v>#REF!</v>
      </c>
      <c r="G48" s="27" t="e">
        <f>G22</f>
        <v>#REF!</v>
      </c>
      <c r="H48" s="28" t="e">
        <f>H22</f>
        <v>#REF!</v>
      </c>
      <c r="I48" s="263"/>
      <c r="J48" s="47" t="e">
        <f>$H48*J22</f>
        <v>#REF!</v>
      </c>
      <c r="K48" s="45" t="e">
        <f>$H48*K22</f>
        <v>#REF!</v>
      </c>
      <c r="L48" s="48" t="e">
        <f>$H48*L22</f>
        <v>#REF!</v>
      </c>
      <c r="M48" s="44" t="e">
        <f>$H48*M22</f>
        <v>#REF!</v>
      </c>
      <c r="N48" s="45" t="e">
        <f>$H48*N22</f>
        <v>#REF!</v>
      </c>
      <c r="O48" s="46" t="e">
        <f>$H48*O22</f>
        <v>#REF!</v>
      </c>
      <c r="P48" s="47" t="e">
        <f>$H48*P22</f>
        <v>#REF!</v>
      </c>
      <c r="Q48" s="45" t="e">
        <f>$H48*Q22</f>
        <v>#REF!</v>
      </c>
      <c r="R48" s="48" t="e">
        <f>$H48*R22</f>
        <v>#REF!</v>
      </c>
      <c r="S48" s="44" t="e">
        <f>$H48*S22</f>
        <v>#REF!</v>
      </c>
      <c r="T48" s="45" t="e">
        <f>$H48*T22</f>
        <v>#REF!</v>
      </c>
      <c r="U48" s="46" t="e">
        <f>$H48*U22</f>
        <v>#REF!</v>
      </c>
      <c r="V48" s="47" t="e">
        <f>$H48*V22</f>
        <v>#REF!</v>
      </c>
      <c r="W48" s="45" t="e">
        <f>$H48*W22</f>
        <v>#REF!</v>
      </c>
      <c r="X48" s="48" t="e">
        <f>$H48*X22</f>
        <v>#REF!</v>
      </c>
      <c r="Y48" s="44" t="e">
        <f>$H48*Y22</f>
        <v>#REF!</v>
      </c>
      <c r="Z48" s="45" t="e">
        <f>$H48*Z22</f>
        <v>#REF!</v>
      </c>
      <c r="AA48" s="46" t="e">
        <f>$H48*AA22</f>
        <v>#REF!</v>
      </c>
      <c r="AB48" s="47" t="e">
        <f>$H48*AB22</f>
        <v>#REF!</v>
      </c>
      <c r="AC48" s="45" t="e">
        <f>$H48*AC22</f>
        <v>#REF!</v>
      </c>
      <c r="AD48" s="48" t="e">
        <f>$H48*AD22</f>
        <v>#REF!</v>
      </c>
      <c r="AE48" s="53" t="e">
        <f>$H48*AE22</f>
        <v>#REF!</v>
      </c>
      <c r="AG48" s="32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</row>
    <row r="49" spans="1:67" customHeight="1" ht="15.75">
      <c r="A49" s="445"/>
      <c r="B49" s="525"/>
      <c r="C49" s="155" t="e">
        <f>C23</f>
        <v>#REF!</v>
      </c>
      <c r="D49" s="162" t="e">
        <f>D23</f>
        <v>#REF!</v>
      </c>
      <c r="E49" s="76">
        <f>E23</f>
        <v/>
      </c>
      <c r="F49" s="76" t="e">
        <f>F23</f>
        <v>#REF!</v>
      </c>
      <c r="G49" s="76" t="e">
        <f>G23</f>
        <v>#REF!</v>
      </c>
      <c r="H49" s="146" t="e">
        <f>H23</f>
        <v>#REF!</v>
      </c>
      <c r="I49" s="266"/>
      <c r="J49" s="147" t="e">
        <f>$H49*J23</f>
        <v>#REF!</v>
      </c>
      <c r="K49" s="148" t="e">
        <f>$H49*K23</f>
        <v>#REF!</v>
      </c>
      <c r="L49" s="150" t="e">
        <f>$H49*L23</f>
        <v>#REF!</v>
      </c>
      <c r="M49" s="151" t="e">
        <f>$H49*M23</f>
        <v>#REF!</v>
      </c>
      <c r="N49" s="148" t="e">
        <f>$H49*N23</f>
        <v>#REF!</v>
      </c>
      <c r="O49" s="149" t="e">
        <f>$H49*O23</f>
        <v>#REF!</v>
      </c>
      <c r="P49" s="147" t="e">
        <f>$H49*P23</f>
        <v>#REF!</v>
      </c>
      <c r="Q49" s="148" t="e">
        <f>$H49*Q23</f>
        <v>#REF!</v>
      </c>
      <c r="R49" s="150" t="e">
        <f>$H49*R23</f>
        <v>#REF!</v>
      </c>
      <c r="S49" s="151" t="e">
        <f>$H49*S23</f>
        <v>#REF!</v>
      </c>
      <c r="T49" s="148" t="e">
        <f>$H49*T23</f>
        <v>#REF!</v>
      </c>
      <c r="U49" s="149" t="e">
        <f>$H49*U23</f>
        <v>#REF!</v>
      </c>
      <c r="V49" s="147" t="e">
        <f>$H49*V23</f>
        <v>#REF!</v>
      </c>
      <c r="W49" s="148" t="e">
        <f>$H49*W23</f>
        <v>#REF!</v>
      </c>
      <c r="X49" s="150" t="e">
        <f>$H49*X23</f>
        <v>#REF!</v>
      </c>
      <c r="Y49" s="151" t="e">
        <f>$H49*Y23</f>
        <v>#REF!</v>
      </c>
      <c r="Z49" s="148" t="e">
        <f>$H49*Z23</f>
        <v>#REF!</v>
      </c>
      <c r="AA49" s="149" t="e">
        <f>$H49*AA23</f>
        <v>#REF!</v>
      </c>
      <c r="AB49" s="147" t="e">
        <f>$H49*AB23</f>
        <v>#REF!</v>
      </c>
      <c r="AC49" s="148" t="e">
        <f>$H49*AC23</f>
        <v>#REF!</v>
      </c>
      <c r="AD49" s="150" t="e">
        <f>$H49*AD23</f>
        <v>#REF!</v>
      </c>
      <c r="AE49" s="154" t="e">
        <f>$H49*AE23</f>
        <v>#REF!</v>
      </c>
      <c r="AG49" s="32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</row>
    <row r="50" spans="1:67" customHeight="1" ht="15.75">
      <c r="A50" s="67"/>
      <c r="B50" s="67"/>
      <c r="C50" s="526" t="s">
        <v>133</v>
      </c>
      <c r="D50" s="527"/>
      <c r="E50" s="527"/>
      <c r="F50" s="527"/>
      <c r="G50" s="527"/>
      <c r="H50" s="528"/>
      <c r="I50" s="260"/>
      <c r="J50" s="192" t="e">
        <f>SUM(J35:J49)</f>
        <v>#REF!</v>
      </c>
      <c r="K50" s="192" t="e">
        <f>SUM(K35:K49)</f>
        <v>#REF!</v>
      </c>
      <c r="L50" s="192" t="e">
        <f>SUM(L35:L49)</f>
        <v>#REF!</v>
      </c>
      <c r="M50" s="192" t="e">
        <f>SUM(M35:M49)</f>
        <v>#REF!</v>
      </c>
      <c r="N50" s="192" t="e">
        <f>SUM(N35:N49)</f>
        <v>#REF!</v>
      </c>
      <c r="O50" s="192" t="e">
        <f>SUM(O35:O49)</f>
        <v>#REF!</v>
      </c>
      <c r="P50" s="192" t="e">
        <f>SUM(P35:P49)</f>
        <v>#REF!</v>
      </c>
      <c r="Q50" s="192" t="e">
        <f>SUM(Q35:Q49)</f>
        <v>#REF!</v>
      </c>
      <c r="R50" s="192" t="e">
        <f>SUM(R35:R49)</f>
        <v>#REF!</v>
      </c>
      <c r="S50" s="192" t="e">
        <f>SUM(S35:S49)</f>
        <v>#REF!</v>
      </c>
      <c r="T50" s="192" t="e">
        <f>SUM(T35:T49)</f>
        <v>#REF!</v>
      </c>
      <c r="U50" s="192" t="e">
        <f>SUM(U35:U49)</f>
        <v>#REF!</v>
      </c>
      <c r="V50" s="192" t="e">
        <f>SUM(V35:V49)</f>
        <v>#REF!</v>
      </c>
      <c r="W50" s="192" t="e">
        <f>SUM(W35:W49)</f>
        <v>#REF!</v>
      </c>
      <c r="X50" s="192" t="e">
        <f>SUM(X35:X49)</f>
        <v>#REF!</v>
      </c>
      <c r="Y50" s="192" t="e">
        <f>SUM(Y35:Y49)</f>
        <v>#REF!</v>
      </c>
      <c r="Z50" s="192" t="e">
        <f>SUM(Z35:Z49)</f>
        <v>#REF!</v>
      </c>
      <c r="AA50" s="192" t="e">
        <f>SUM(AA35:AA49)</f>
        <v>#REF!</v>
      </c>
      <c r="AB50" s="192" t="e">
        <f>SUM(AB35:AB49)</f>
        <v>#REF!</v>
      </c>
      <c r="AC50" s="192" t="e">
        <f>SUM(AC35:AC49)</f>
        <v>#REF!</v>
      </c>
      <c r="AD50" s="192" t="e">
        <f>SUM(AD35:AD49)</f>
        <v>#REF!</v>
      </c>
      <c r="AE50" s="192" t="e">
        <f>SUM(AE35:AE49)</f>
        <v>#REF!</v>
      </c>
      <c r="AF50" s="12"/>
    </row>
    <row r="51" spans="1:67" customHeight="1" ht="15.75">
      <c r="A51" s="31"/>
      <c r="B51" s="31"/>
      <c r="C51" s="79" t="s">
        <v>121</v>
      </c>
      <c r="D51" s="80"/>
      <c r="E51" s="80"/>
      <c r="F51" s="80"/>
      <c r="G51" s="80"/>
      <c r="H51" s="80"/>
      <c r="I51" s="80"/>
      <c r="J51" s="463" t="str">
        <f>J32</f>
        <v>FEB</v>
      </c>
      <c r="K51" s="463"/>
      <c r="L51" s="464"/>
      <c r="M51" s="463" t="str">
        <f>M32</f>
        <v>MAR</v>
      </c>
      <c r="N51" s="463"/>
      <c r="O51" s="463"/>
      <c r="P51" s="503" t="str">
        <f>P32</f>
        <v>APR</v>
      </c>
      <c r="Q51" s="463"/>
      <c r="R51" s="464"/>
      <c r="S51" s="463" t="str">
        <f>S32</f>
        <v>MAY</v>
      </c>
      <c r="T51" s="463"/>
      <c r="U51" s="463"/>
      <c r="V51" s="503" t="str">
        <f>V32</f>
        <v>JUN</v>
      </c>
      <c r="W51" s="463"/>
      <c r="X51" s="464"/>
      <c r="Y51" s="463" t="str">
        <f>Y32</f>
        <v>JUL</v>
      </c>
      <c r="Z51" s="463"/>
      <c r="AA51" s="463"/>
      <c r="AB51" s="503" t="str">
        <f>AB32</f>
        <v>AUG</v>
      </c>
      <c r="AC51" s="463"/>
      <c r="AD51" s="463"/>
      <c r="AE51" s="32"/>
      <c r="AF51" s="12"/>
      <c r="AG51" s="32"/>
    </row>
    <row r="52" spans="1:67" customHeight="1" ht="15.75">
      <c r="A52" s="31"/>
      <c r="B52" s="31"/>
      <c r="C52" s="77" t="s">
        <v>122</v>
      </c>
      <c r="D52" s="78"/>
      <c r="E52" s="78"/>
      <c r="F52" s="78"/>
      <c r="G52" s="78"/>
      <c r="H52" s="78"/>
      <c r="I52" s="78"/>
      <c r="J52" s="471">
        <f>J26</f>
        <v>20</v>
      </c>
      <c r="K52" s="472"/>
      <c r="L52" s="472"/>
      <c r="M52" s="471">
        <f>M26</f>
        <v>23</v>
      </c>
      <c r="N52" s="472"/>
      <c r="O52" s="473"/>
      <c r="P52" s="472">
        <f>P26</f>
        <v>17</v>
      </c>
      <c r="Q52" s="472"/>
      <c r="R52" s="472"/>
      <c r="S52" s="471">
        <f>S26</f>
        <v>21</v>
      </c>
      <c r="T52" s="472"/>
      <c r="U52" s="473"/>
      <c r="V52" s="472">
        <f>V26</f>
        <v>21</v>
      </c>
      <c r="W52" s="472"/>
      <c r="X52" s="472"/>
      <c r="Y52" s="506">
        <f>Y26</f>
        <v>20</v>
      </c>
      <c r="Z52" s="506"/>
      <c r="AA52" s="506"/>
      <c r="AB52" s="473">
        <f>AB26</f>
        <v>20</v>
      </c>
      <c r="AC52" s="506"/>
      <c r="AD52" s="506"/>
      <c r="AE52" s="32"/>
      <c r="AF52" s="12"/>
    </row>
    <row r="53" spans="1:67" customHeight="1" ht="21" s="193" customFormat="1">
      <c r="A53" s="197"/>
      <c r="B53" s="197"/>
      <c r="C53" s="194" t="s">
        <v>136</v>
      </c>
      <c r="D53" s="194"/>
      <c r="E53" s="194"/>
      <c r="F53" s="194"/>
      <c r="G53" s="194"/>
      <c r="H53" s="198"/>
      <c r="I53" s="198"/>
      <c r="J53" s="196" t="e">
        <v>#REF!</v>
      </c>
      <c r="K53" s="199" t="e">
        <v>#REF!</v>
      </c>
      <c r="L53" s="196" t="e">
        <v>#REF!</v>
      </c>
      <c r="M53" s="200" t="e">
        <v>#REF!</v>
      </c>
      <c r="N53" s="200" t="e">
        <v>#REF!</v>
      </c>
      <c r="O53" s="200" t="e">
        <v>#REF!</v>
      </c>
      <c r="P53" s="200" t="e">
        <v>#REF!</v>
      </c>
      <c r="Q53" s="200" t="e">
        <v>#REF!</v>
      </c>
      <c r="R53" s="200" t="e">
        <v>#REF!</v>
      </c>
      <c r="S53" s="200" t="e">
        <v>#REF!</v>
      </c>
      <c r="T53" s="196" t="e">
        <v>#REF!</v>
      </c>
      <c r="U53" s="196" t="e">
        <v>#REF!</v>
      </c>
      <c r="V53" s="196" t="e">
        <v>#REF!</v>
      </c>
      <c r="W53" s="199" t="e">
        <v>#REF!</v>
      </c>
      <c r="X53" s="199" t="e">
        <v>#REF!</v>
      </c>
      <c r="Y53" s="199" t="e">
        <v>#REF!</v>
      </c>
      <c r="Z53" s="196" t="e">
        <v>#REF!</v>
      </c>
      <c r="AA53" s="196" t="e">
        <v>#REF!</v>
      </c>
      <c r="AB53" s="200" t="e">
        <v>#REF!</v>
      </c>
      <c r="AC53" s="200" t="e">
        <v>#REF!</v>
      </c>
      <c r="AD53" s="196" t="e">
        <v>#REF!</v>
      </c>
      <c r="AE53" s="196" t="e">
        <v>#REF!</v>
      </c>
      <c r="AF53" s="195"/>
    </row>
    <row r="54" spans="1:67" customHeight="1" ht="21" s="193" customFormat="1">
      <c r="C54" s="193" t="s">
        <v>137</v>
      </c>
      <c r="J54" s="196" t="e">
        <v>#REF!</v>
      </c>
      <c r="K54" s="196" t="e">
        <v>#REF!</v>
      </c>
      <c r="L54" s="196" t="e">
        <v>#REF!</v>
      </c>
      <c r="M54" s="196" t="e">
        <v>#REF!</v>
      </c>
      <c r="N54" s="196" t="e">
        <v>#REF!</v>
      </c>
      <c r="O54" s="196" t="e">
        <v>#REF!</v>
      </c>
      <c r="P54" s="196" t="e">
        <v>#REF!</v>
      </c>
      <c r="Q54" s="196" t="e">
        <v>#REF!</v>
      </c>
      <c r="R54" s="196" t="e">
        <v>#REF!</v>
      </c>
      <c r="S54" s="196" t="e">
        <v>#REF!</v>
      </c>
      <c r="T54" s="196" t="e">
        <v>#REF!</v>
      </c>
      <c r="U54" s="196" t="e">
        <v>#REF!</v>
      </c>
      <c r="V54" s="196" t="e">
        <v>#REF!</v>
      </c>
      <c r="W54" s="196" t="e">
        <v>#REF!</v>
      </c>
      <c r="X54" s="196" t="e">
        <v>#REF!</v>
      </c>
      <c r="Y54" s="196" t="e">
        <v>#REF!</v>
      </c>
      <c r="Z54" s="196" t="e">
        <v>#REF!</v>
      </c>
      <c r="AA54" s="196" t="e">
        <v>#REF!</v>
      </c>
      <c r="AB54" s="196" t="e">
        <v>#REF!</v>
      </c>
      <c r="AC54" s="196" t="e">
        <v>#REF!</v>
      </c>
      <c r="AD54" s="196" t="e">
        <v>#REF!</v>
      </c>
      <c r="AE54" s="196" t="e">
        <v>#REF!</v>
      </c>
      <c r="AF54" s="195"/>
    </row>
    <row r="55" spans="1:67" customHeight="1" ht="21" s="193" customFormat="1">
      <c r="C55" s="193" t="s">
        <v>138</v>
      </c>
      <c r="J55" s="196" t="e">
        <v>#REF!</v>
      </c>
      <c r="K55" s="196" t="e">
        <v>#REF!</v>
      </c>
      <c r="L55" s="196" t="e">
        <v>#REF!</v>
      </c>
      <c r="M55" s="196" t="e">
        <v>#REF!</v>
      </c>
      <c r="N55" s="196" t="e">
        <v>#REF!</v>
      </c>
      <c r="O55" s="196" t="e">
        <v>#REF!</v>
      </c>
      <c r="P55" s="196" t="e">
        <v>#REF!</v>
      </c>
      <c r="Q55" s="196" t="e">
        <v>#REF!</v>
      </c>
      <c r="R55" s="196" t="e">
        <v>#REF!</v>
      </c>
      <c r="S55" s="196" t="e">
        <v>#REF!</v>
      </c>
      <c r="T55" s="196" t="e">
        <v>#REF!</v>
      </c>
      <c r="U55" s="196" t="e">
        <v>#REF!</v>
      </c>
      <c r="V55" s="196" t="e">
        <v>#REF!</v>
      </c>
      <c r="W55" s="196" t="e">
        <v>#REF!</v>
      </c>
      <c r="X55" s="196" t="e">
        <v>#REF!</v>
      </c>
      <c r="Y55" s="196" t="e">
        <v>#REF!</v>
      </c>
      <c r="Z55" s="196" t="e">
        <v>#REF!</v>
      </c>
      <c r="AA55" s="196" t="e">
        <v>#REF!</v>
      </c>
      <c r="AB55" s="196" t="e">
        <v>#REF!</v>
      </c>
      <c r="AC55" s="196" t="e">
        <v>#REF!</v>
      </c>
      <c r="AD55" s="196" t="e">
        <v>#REF!</v>
      </c>
      <c r="AE55" s="196" t="e">
        <v>#REF!</v>
      </c>
      <c r="AF55" s="195"/>
    </row>
    <row r="56" spans="1:67" customHeight="1" ht="21" s="193" customFormat="1">
      <c r="C56" s="193" t="s">
        <v>139</v>
      </c>
      <c r="J56" s="196" t="e">
        <v>#REF!</v>
      </c>
      <c r="K56" s="196" t="e">
        <v>#REF!</v>
      </c>
      <c r="L56" s="196" t="e">
        <v>#REF!</v>
      </c>
      <c r="M56" s="196" t="e">
        <v>#REF!</v>
      </c>
      <c r="N56" s="196" t="e">
        <v>#REF!</v>
      </c>
      <c r="O56" s="196" t="e">
        <v>#REF!</v>
      </c>
      <c r="P56" s="196" t="e">
        <v>#REF!</v>
      </c>
      <c r="Q56" s="196" t="e">
        <v>#REF!</v>
      </c>
      <c r="R56" s="196" t="e">
        <v>#REF!</v>
      </c>
      <c r="S56" s="196" t="e">
        <v>#REF!</v>
      </c>
      <c r="T56" s="196" t="e">
        <v>#REF!</v>
      </c>
      <c r="U56" s="196" t="e">
        <v>#REF!</v>
      </c>
      <c r="V56" s="196" t="e">
        <v>#REF!</v>
      </c>
      <c r="W56" s="196" t="e">
        <v>#REF!</v>
      </c>
      <c r="X56" s="196" t="e">
        <v>#REF!</v>
      </c>
      <c r="Y56" s="196" t="e">
        <v>#REF!</v>
      </c>
      <c r="Z56" s="196" t="e">
        <v>#REF!</v>
      </c>
      <c r="AA56" s="196" t="e">
        <v>#REF!</v>
      </c>
      <c r="AB56" s="196" t="e">
        <v>#REF!</v>
      </c>
      <c r="AC56" s="196" t="e">
        <v>#REF!</v>
      </c>
      <c r="AD56" s="196" t="e">
        <v>#REF!</v>
      </c>
      <c r="AE56" s="196" t="e">
        <v>#REF!</v>
      </c>
      <c r="AF56" s="195"/>
    </row>
    <row r="57" spans="1:67" customHeight="1" ht="21" s="12" customFormat="1">
      <c r="A57" s="7"/>
      <c r="B57" s="7"/>
      <c r="C57" s="73"/>
      <c r="D57" s="73"/>
      <c r="E57" s="7"/>
      <c r="F57" s="7"/>
      <c r="G57" s="7"/>
      <c r="L57" s="142"/>
      <c r="M57" s="142"/>
      <c r="N57" s="142"/>
      <c r="O57" s="142"/>
      <c r="P57" s="142"/>
      <c r="Q57" s="142"/>
      <c r="R57" s="142"/>
      <c r="S57" s="142"/>
      <c r="T57" s="142"/>
      <c r="U57" s="142"/>
      <c r="V57" s="142"/>
      <c r="W57" s="142"/>
      <c r="X57" s="142"/>
      <c r="Y57" s="142"/>
      <c r="Z57" s="142"/>
      <c r="AA57" s="142"/>
      <c r="AB57" s="142"/>
      <c r="AC57" s="142"/>
      <c r="AD57" s="142"/>
      <c r="AE57" s="142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</row>
    <row r="58" spans="1:67" customHeight="1" ht="21" s="12" customFormat="1">
      <c r="A58" s="13"/>
      <c r="B58" s="13"/>
      <c r="C58" s="94"/>
      <c r="D58" s="94"/>
      <c r="E58" s="94"/>
      <c r="F58" s="94"/>
      <c r="G58" s="94"/>
      <c r="H58" s="15"/>
      <c r="I58" s="15"/>
      <c r="J58" s="16"/>
      <c r="K58" s="17"/>
      <c r="N58" s="66"/>
      <c r="Q58" s="95"/>
      <c r="T58" s="95"/>
      <c r="U58" s="96"/>
      <c r="W58" s="66"/>
      <c r="Z58" s="66"/>
      <c r="AC58" s="66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</row>
    <row r="59" spans="1:67" customHeight="1" ht="21" s="12" customFormat="1">
      <c r="B59" s="66"/>
      <c r="C59" s="81"/>
      <c r="D59" s="81"/>
      <c r="E59" s="97"/>
      <c r="F59" s="81"/>
      <c r="G59" s="97"/>
      <c r="H59" s="98"/>
      <c r="I59" s="98"/>
      <c r="J59" s="498"/>
      <c r="K59" s="498"/>
      <c r="L59" s="498"/>
      <c r="M59" s="498"/>
      <c r="N59" s="498"/>
      <c r="O59" s="498"/>
      <c r="P59" s="498"/>
      <c r="Q59" s="498"/>
      <c r="R59" s="498"/>
      <c r="S59" s="498"/>
      <c r="T59" s="498"/>
      <c r="U59" s="498"/>
      <c r="V59" s="498"/>
      <c r="W59" s="498"/>
      <c r="X59" s="498"/>
      <c r="Y59" s="504"/>
      <c r="Z59" s="504"/>
      <c r="AA59" s="504"/>
      <c r="AB59" s="504"/>
      <c r="AC59" s="504"/>
      <c r="AD59" s="504"/>
      <c r="AE59" s="498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</row>
    <row r="60" spans="1:67" customHeight="1" ht="21" s="12" customFormat="1">
      <c r="B60" s="66"/>
      <c r="C60" s="81"/>
      <c r="D60" s="81"/>
      <c r="E60" s="97"/>
      <c r="F60" s="81"/>
      <c r="G60" s="97"/>
      <c r="H60" s="98"/>
      <c r="I60" s="98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Y60" s="519"/>
      <c r="Z60" s="519"/>
      <c r="AA60" s="519"/>
      <c r="AB60" s="519"/>
      <c r="AC60" s="519"/>
      <c r="AD60" s="519"/>
      <c r="AE60" s="498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</row>
    <row r="61" spans="1:67" customHeight="1" ht="21" s="12" customFormat="1">
      <c r="B61" s="66"/>
      <c r="C61" s="81"/>
      <c r="D61" s="81"/>
      <c r="E61" s="97"/>
      <c r="F61" s="81"/>
      <c r="G61" s="97"/>
      <c r="H61" s="98"/>
      <c r="I61" s="98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498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</row>
    <row r="62" spans="1:67" customHeight="1" ht="21" s="12" customFormat="1">
      <c r="A62" s="7"/>
      <c r="B62" s="84"/>
      <c r="C62" s="99"/>
      <c r="D62" s="99"/>
      <c r="E62" s="81"/>
      <c r="F62" s="81"/>
      <c r="G62" s="81"/>
      <c r="H62" s="100"/>
      <c r="I62" s="100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</row>
    <row r="63" spans="1:67" customHeight="1" ht="21" s="12" customFormat="1">
      <c r="A63" s="7"/>
      <c r="B63" s="84"/>
      <c r="C63" s="201">
        <v>1</v>
      </c>
      <c r="D63" s="201">
        <v>2</v>
      </c>
      <c r="E63" s="201">
        <v>3</v>
      </c>
      <c r="F63" s="201">
        <v>4</v>
      </c>
      <c r="G63" s="201">
        <v>5</v>
      </c>
      <c r="H63" s="201">
        <v>6</v>
      </c>
      <c r="I63" s="201"/>
      <c r="J63" s="201">
        <v>7</v>
      </c>
      <c r="K63" s="201">
        <v>8</v>
      </c>
      <c r="L63" s="201">
        <v>9</v>
      </c>
      <c r="M63" s="201">
        <v>10</v>
      </c>
      <c r="N63" s="201">
        <v>11</v>
      </c>
      <c r="O63" s="201">
        <v>12</v>
      </c>
      <c r="P63" s="201">
        <v>13</v>
      </c>
      <c r="Q63" s="201">
        <v>14</v>
      </c>
      <c r="R63" s="201">
        <v>15</v>
      </c>
      <c r="S63" s="201">
        <v>16</v>
      </c>
      <c r="T63" s="201">
        <v>17</v>
      </c>
      <c r="U63" s="201">
        <v>18</v>
      </c>
      <c r="V63" s="201">
        <v>19</v>
      </c>
      <c r="W63" s="201">
        <v>20</v>
      </c>
      <c r="X63" s="201">
        <v>21</v>
      </c>
      <c r="Y63" s="201">
        <v>22</v>
      </c>
      <c r="Z63" s="201">
        <v>23</v>
      </c>
      <c r="AA63" s="201">
        <v>24</v>
      </c>
      <c r="AB63" s="201">
        <v>25</v>
      </c>
      <c r="AC63" s="201">
        <v>26</v>
      </c>
      <c r="AD63" s="201">
        <v>27</v>
      </c>
      <c r="AE63" s="101"/>
    </row>
    <row r="64" spans="1:67" customHeight="1" ht="21" s="12" customFormat="1">
      <c r="A64" s="7"/>
      <c r="B64" s="84"/>
      <c r="C64" s="99"/>
      <c r="D64" s="99"/>
      <c r="E64" s="81"/>
      <c r="F64" s="81"/>
      <c r="G64" s="81"/>
      <c r="H64" s="100"/>
      <c r="I64" s="100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</row>
    <row r="65" spans="1:67" customHeight="1" ht="21" s="12" customFormat="1">
      <c r="A65" s="7"/>
      <c r="B65" s="84"/>
      <c r="C65" s="99"/>
      <c r="D65" s="99"/>
      <c r="E65" s="81"/>
      <c r="F65" s="81"/>
      <c r="G65" s="81"/>
      <c r="H65" s="100"/>
      <c r="I65" s="100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</row>
    <row r="66" spans="1:67" customHeight="1" ht="21" s="12" customFormat="1">
      <c r="A66" s="7"/>
      <c r="B66" s="84"/>
      <c r="C66" s="99"/>
      <c r="D66" s="99"/>
      <c r="E66" s="81"/>
      <c r="F66" s="81"/>
      <c r="G66" s="81"/>
      <c r="H66" s="100"/>
      <c r="I66" s="100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</row>
    <row r="67" spans="1:67" customHeight="1" ht="21" s="12" customFormat="1">
      <c r="A67" s="7"/>
      <c r="B67" s="84"/>
      <c r="C67" s="99"/>
      <c r="D67" s="99"/>
      <c r="E67" s="81"/>
      <c r="F67" s="81"/>
      <c r="G67" s="81"/>
      <c r="H67" s="100"/>
      <c r="I67" s="100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</row>
    <row r="68" spans="1:67" customHeight="1" ht="21" s="12" customFormat="1">
      <c r="A68" s="7"/>
      <c r="B68" s="84"/>
      <c r="C68" s="99"/>
      <c r="D68" s="99"/>
      <c r="E68" s="81"/>
      <c r="F68" s="81"/>
      <c r="G68" s="81"/>
      <c r="H68" s="100"/>
      <c r="I68" s="100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</row>
    <row r="69" spans="1:67" customHeight="1" ht="21" s="12" customFormat="1">
      <c r="A69" s="7"/>
      <c r="B69" s="84"/>
      <c r="C69" s="99"/>
      <c r="D69" s="99"/>
      <c r="E69" s="81"/>
      <c r="F69" s="81"/>
      <c r="G69" s="81"/>
      <c r="H69" s="100"/>
      <c r="I69" s="100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</row>
    <row r="70" spans="1:67" customHeight="1" ht="12.75" s="29" customFormat="1">
      <c r="A70" s="7"/>
      <c r="B70" s="84"/>
      <c r="C70" s="82"/>
      <c r="D70" s="82"/>
      <c r="E70" s="82"/>
      <c r="F70" s="82"/>
      <c r="G70" s="82"/>
      <c r="H70" s="82"/>
      <c r="I70" s="8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</row>
    <row r="71" spans="1:67" customHeight="1" ht="12.75" s="12" customFormat="1">
      <c r="A71" s="7"/>
      <c r="B71" s="84"/>
      <c r="C71" s="99"/>
      <c r="D71" s="99"/>
      <c r="E71" s="81"/>
      <c r="F71" s="81"/>
      <c r="G71" s="81"/>
      <c r="H71" s="100"/>
      <c r="I71" s="100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</row>
    <row r="72" spans="1:67" customHeight="1" ht="12.75" s="12" customFormat="1">
      <c r="A72" s="7"/>
      <c r="B72" s="84"/>
      <c r="C72" s="99"/>
      <c r="D72" s="99"/>
      <c r="E72" s="81"/>
      <c r="F72" s="81"/>
      <c r="G72" s="81"/>
      <c r="H72" s="100"/>
      <c r="I72" s="100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</row>
    <row r="73" spans="1:67" customHeight="1" ht="12.75" s="12" customFormat="1">
      <c r="A73" s="7"/>
      <c r="B73" s="84"/>
      <c r="C73" s="99"/>
      <c r="D73" s="99"/>
      <c r="E73" s="81"/>
      <c r="F73" s="81"/>
      <c r="G73" s="81"/>
      <c r="H73" s="100"/>
      <c r="I73" s="100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G73" s="69"/>
      <c r="AH73" s="69"/>
      <c r="AI73" s="69"/>
      <c r="AJ73" s="69"/>
      <c r="AK73" s="69"/>
      <c r="AL73" s="69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70"/>
    </row>
    <row r="74" spans="1:67" customHeight="1" ht="12.75" s="12" customFormat="1">
      <c r="A74" s="7"/>
      <c r="B74" s="84"/>
      <c r="C74" s="99"/>
      <c r="D74" s="99"/>
      <c r="E74" s="81"/>
      <c r="F74" s="81"/>
      <c r="G74" s="81"/>
      <c r="H74" s="100"/>
      <c r="I74" s="100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G74" s="71"/>
      <c r="AH74" s="71"/>
      <c r="AI74" s="71"/>
      <c r="AJ74" s="71"/>
      <c r="AK74" s="71"/>
      <c r="AL74" s="71"/>
      <c r="AM74" s="71"/>
      <c r="AN74" s="71"/>
      <c r="AO74" s="71"/>
      <c r="AP74" s="71"/>
      <c r="AQ74" s="71"/>
      <c r="AR74" s="71"/>
      <c r="AS74" s="71"/>
      <c r="AT74" s="71"/>
      <c r="AU74" s="71"/>
      <c r="AV74" s="71"/>
      <c r="AW74" s="71"/>
      <c r="AX74" s="71"/>
      <c r="AY74" s="72"/>
    </row>
    <row r="75" spans="1:67" customHeight="1" ht="12.75" s="12" customFormat="1">
      <c r="A75" s="7"/>
      <c r="B75" s="84"/>
      <c r="C75" s="99"/>
      <c r="D75" s="99"/>
      <c r="E75" s="81"/>
      <c r="F75" s="81"/>
      <c r="G75" s="81"/>
      <c r="H75" s="100"/>
      <c r="I75" s="100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G75" s="71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1"/>
      <c r="AS75" s="71"/>
      <c r="AT75" s="71"/>
      <c r="AU75" s="71"/>
      <c r="AV75" s="71"/>
      <c r="AW75" s="71"/>
      <c r="AX75" s="71"/>
      <c r="AY75" s="72"/>
    </row>
    <row r="76" spans="1:67" customHeight="1" ht="12.75" s="12" customFormat="1">
      <c r="A76" s="7"/>
      <c r="B76" s="84"/>
      <c r="C76" s="99"/>
      <c r="D76" s="99"/>
      <c r="E76" s="81"/>
      <c r="F76" s="81"/>
      <c r="G76" s="81"/>
      <c r="H76" s="100"/>
      <c r="I76" s="100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G76" s="71"/>
      <c r="AH76" s="71"/>
      <c r="AI76" s="71"/>
      <c r="AJ76" s="71"/>
      <c r="AK76" s="71"/>
      <c r="AL76" s="71"/>
      <c r="AM76" s="71"/>
      <c r="AN76" s="71"/>
      <c r="AO76" s="71"/>
      <c r="AP76" s="71"/>
      <c r="AQ76" s="71"/>
      <c r="AR76" s="71"/>
      <c r="AS76" s="71"/>
      <c r="AT76" s="71"/>
      <c r="AU76" s="71"/>
      <c r="AV76" s="71"/>
      <c r="AW76" s="71"/>
      <c r="AX76" s="71"/>
      <c r="AY76" s="72"/>
    </row>
    <row r="77" spans="1:67" customHeight="1" ht="12.75" s="12" customFormat="1">
      <c r="A77" s="7"/>
      <c r="B77" s="84"/>
      <c r="C77" s="99"/>
      <c r="D77" s="99"/>
      <c r="E77" s="81"/>
      <c r="F77" s="81"/>
      <c r="G77" s="81"/>
      <c r="H77" s="100"/>
      <c r="I77" s="100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G77" s="71"/>
      <c r="AH77" s="71"/>
      <c r="AI77" s="71"/>
      <c r="AJ77" s="71"/>
      <c r="AK77" s="71"/>
      <c r="AL77" s="71"/>
      <c r="AM77" s="71"/>
      <c r="AN77" s="71"/>
      <c r="AO77" s="71"/>
      <c r="AP77" s="71"/>
      <c r="AQ77" s="71"/>
      <c r="AR77" s="71"/>
      <c r="AS77" s="71"/>
      <c r="AT77" s="71"/>
      <c r="AU77" s="71"/>
      <c r="AV77" s="71"/>
      <c r="AW77" s="71"/>
      <c r="AX77" s="71"/>
      <c r="AY77" s="72"/>
    </row>
    <row r="78" spans="1:67" customHeight="1" ht="12.75" s="12" customFormat="1">
      <c r="A78" s="7"/>
      <c r="B78" s="84"/>
      <c r="C78" s="99"/>
      <c r="D78" s="99"/>
      <c r="E78" s="81"/>
      <c r="F78" s="81"/>
      <c r="G78" s="81"/>
      <c r="H78" s="100"/>
      <c r="I78" s="100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Q78" s="71"/>
      <c r="AR78" s="71"/>
      <c r="AS78" s="71"/>
      <c r="AT78" s="71"/>
      <c r="AU78" s="71"/>
      <c r="AV78" s="71"/>
      <c r="AW78" s="71"/>
      <c r="AX78" s="71"/>
      <c r="AY78" s="72"/>
    </row>
    <row r="79" spans="1:67" customHeight="1" ht="12.75" s="12" customFormat="1">
      <c r="A79" s="7"/>
      <c r="B79" s="84"/>
      <c r="C79" s="83"/>
      <c r="D79" s="83"/>
      <c r="E79" s="83"/>
      <c r="F79" s="83"/>
      <c r="G79" s="83"/>
      <c r="H79" s="83"/>
      <c r="I79" s="8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  <c r="AD79" s="103"/>
      <c r="AE79" s="103"/>
      <c r="AG79" s="71"/>
      <c r="AH79" s="71"/>
      <c r="AI79" s="71"/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71"/>
      <c r="AU79" s="71"/>
      <c r="AV79" s="71"/>
      <c r="AW79" s="71"/>
      <c r="AX79" s="71"/>
      <c r="AY79" s="72"/>
    </row>
    <row r="80" spans="1:67" customHeight="1" ht="12.75" s="12" customFormat="1">
      <c r="A80" s="104"/>
      <c r="B80" s="105"/>
      <c r="C80" s="99"/>
      <c r="D80" s="99"/>
      <c r="E80" s="81"/>
      <c r="F80" s="81"/>
      <c r="G80" s="81"/>
      <c r="H80" s="100"/>
      <c r="I80" s="100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G80" s="71"/>
      <c r="AH80" s="71"/>
      <c r="AI80" s="71"/>
      <c r="AJ80" s="71"/>
      <c r="AK80" s="71"/>
      <c r="AL80" s="71"/>
      <c r="AM80" s="71"/>
      <c r="AN80" s="71"/>
      <c r="AO80" s="71"/>
      <c r="AP80" s="71"/>
      <c r="AQ80" s="71"/>
      <c r="AR80" s="71"/>
      <c r="AS80" s="71"/>
      <c r="AT80" s="71"/>
      <c r="AU80" s="71"/>
      <c r="AV80" s="71"/>
      <c r="AW80" s="71"/>
      <c r="AX80" s="71"/>
      <c r="AY80" s="71"/>
    </row>
    <row r="81" spans="1:67" customHeight="1" ht="12.75" s="12" customFormat="1">
      <c r="A81" s="83"/>
      <c r="B81" s="105"/>
      <c r="C81" s="83"/>
      <c r="D81" s="83"/>
      <c r="E81" s="83"/>
      <c r="F81" s="83"/>
      <c r="G81" s="83"/>
      <c r="H81" s="83"/>
      <c r="I81" s="8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G81" s="71"/>
      <c r="AH81" s="71"/>
      <c r="AI81" s="71"/>
      <c r="AJ81" s="71"/>
      <c r="AK81" s="71"/>
      <c r="AL81" s="71"/>
      <c r="AM81" s="71"/>
      <c r="AN81" s="71"/>
      <c r="AO81" s="71"/>
      <c r="AP81" s="71"/>
      <c r="AQ81" s="71"/>
      <c r="AR81" s="71"/>
      <c r="AS81" s="71"/>
      <c r="AT81" s="71"/>
      <c r="AU81" s="71"/>
      <c r="AV81" s="71"/>
      <c r="AW81" s="71"/>
      <c r="AX81" s="71"/>
      <c r="AY81" s="71"/>
    </row>
    <row r="82" spans="1:67" customHeight="1" ht="12.75" s="12" customFormat="1">
      <c r="A82" s="30"/>
      <c r="B82" s="30"/>
      <c r="C82" s="106"/>
      <c r="D82" s="106"/>
      <c r="E82" s="106"/>
      <c r="F82" s="106"/>
      <c r="G82" s="106"/>
      <c r="H82" s="106"/>
      <c r="I82" s="106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  <c r="AB82" s="107"/>
      <c r="AC82" s="107"/>
      <c r="AD82" s="107"/>
      <c r="AE82" s="107"/>
      <c r="AG82" s="69"/>
      <c r="AH82" s="69"/>
      <c r="AI82" s="69"/>
      <c r="AJ82" s="69"/>
      <c r="AK82" s="69"/>
      <c r="AL82" s="69"/>
      <c r="AM82" s="69"/>
      <c r="AN82" s="69"/>
      <c r="AO82" s="69"/>
      <c r="AP82" s="69"/>
      <c r="AQ82" s="69"/>
      <c r="AR82" s="69"/>
      <c r="AS82" s="69"/>
      <c r="AT82" s="69"/>
      <c r="AU82" s="69"/>
      <c r="AV82" s="69"/>
      <c r="AW82" s="69"/>
      <c r="AX82" s="69"/>
      <c r="AY82" s="70"/>
    </row>
    <row r="83" spans="1:67" customHeight="1" ht="17.1" s="12" customFormat="1">
      <c r="A83" s="31"/>
      <c r="B83" s="31"/>
      <c r="C83" s="65"/>
      <c r="D83" s="65"/>
      <c r="E83" s="65"/>
      <c r="F83" s="65"/>
      <c r="G83" s="65"/>
      <c r="H83" s="65"/>
      <c r="I83" s="65"/>
      <c r="J83" s="497"/>
      <c r="K83" s="497"/>
      <c r="L83" s="497"/>
      <c r="M83" s="497"/>
      <c r="N83" s="497"/>
      <c r="O83" s="497"/>
      <c r="P83" s="497"/>
      <c r="Q83" s="497"/>
      <c r="R83" s="497"/>
      <c r="S83" s="497"/>
      <c r="T83" s="497"/>
      <c r="U83" s="497"/>
      <c r="V83" s="497"/>
      <c r="W83" s="497"/>
      <c r="X83" s="497"/>
      <c r="Y83" s="505"/>
      <c r="Z83" s="505"/>
      <c r="AA83" s="505"/>
      <c r="AB83" s="505"/>
      <c r="AC83" s="505"/>
      <c r="AD83" s="505"/>
      <c r="AE83" s="32"/>
      <c r="AG83" s="71"/>
      <c r="AH83" s="71"/>
      <c r="AI83" s="71"/>
      <c r="AJ83" s="71"/>
      <c r="AK83" s="71"/>
      <c r="AL83" s="71"/>
      <c r="AM83" s="71"/>
      <c r="AN83" s="71"/>
      <c r="AO83" s="71"/>
      <c r="AP83" s="71"/>
      <c r="AQ83" s="71"/>
      <c r="AR83" s="71"/>
      <c r="AS83" s="71"/>
      <c r="AT83" s="71"/>
      <c r="AU83" s="71"/>
      <c r="AV83" s="71"/>
      <c r="AW83" s="71"/>
      <c r="AX83" s="71"/>
      <c r="AY83" s="72"/>
    </row>
    <row r="84" spans="1:67" customHeight="1" ht="12.75" s="12" customFormat="1">
      <c r="A84" s="31"/>
      <c r="B84" s="31"/>
      <c r="C84" s="65"/>
      <c r="D84" s="65"/>
      <c r="E84" s="65"/>
      <c r="F84" s="65"/>
      <c r="G84" s="65"/>
      <c r="H84" s="65"/>
      <c r="I84" s="65"/>
      <c r="J84" s="498"/>
      <c r="K84" s="498"/>
      <c r="L84" s="498"/>
      <c r="M84" s="498"/>
      <c r="N84" s="498"/>
      <c r="O84" s="498"/>
      <c r="P84" s="498"/>
      <c r="Q84" s="498"/>
      <c r="R84" s="498"/>
      <c r="S84" s="498"/>
      <c r="T84" s="498"/>
      <c r="U84" s="498"/>
      <c r="V84" s="498"/>
      <c r="W84" s="498"/>
      <c r="X84" s="498"/>
      <c r="Y84" s="504"/>
      <c r="Z84" s="504"/>
      <c r="AA84" s="504"/>
      <c r="AB84" s="504"/>
      <c r="AC84" s="504"/>
      <c r="AD84" s="504"/>
      <c r="AE84" s="32"/>
      <c r="AG84" s="72"/>
      <c r="AH84" s="72"/>
      <c r="AI84" s="72"/>
      <c r="AJ84" s="72"/>
      <c r="AK84" s="72"/>
      <c r="AL84" s="72"/>
      <c r="AM84" s="72"/>
      <c r="AN84" s="72"/>
      <c r="AO84" s="72"/>
      <c r="AP84" s="72"/>
      <c r="AQ84" s="72"/>
      <c r="AR84" s="72"/>
      <c r="AS84" s="72"/>
      <c r="AT84" s="72"/>
      <c r="AU84" s="72"/>
      <c r="AV84" s="72"/>
      <c r="AW84" s="72"/>
      <c r="AX84" s="72"/>
      <c r="AY84" s="72"/>
    </row>
    <row r="85" spans="1:67" customHeight="1" ht="12.75">
      <c r="A85" s="9"/>
      <c r="B85" s="9"/>
      <c r="C85" s="9"/>
      <c r="D85" s="9"/>
      <c r="E85" s="33"/>
      <c r="F85" s="33"/>
      <c r="G85" s="33"/>
      <c r="H85" s="5"/>
      <c r="I85" s="5"/>
      <c r="J85" s="34"/>
      <c r="K85" s="35"/>
      <c r="L85" s="36"/>
      <c r="M85" s="34"/>
      <c r="N85" s="35"/>
      <c r="O85" s="36"/>
      <c r="P85" s="34"/>
      <c r="Q85" s="35"/>
      <c r="R85" s="36"/>
      <c r="S85" s="34"/>
      <c r="T85" s="35"/>
      <c r="U85" s="36"/>
      <c r="V85" s="34"/>
      <c r="W85" s="35"/>
      <c r="X85" s="36"/>
      <c r="Y85" s="34"/>
      <c r="Z85" s="35"/>
      <c r="AA85" s="36"/>
      <c r="AB85" s="34"/>
      <c r="AC85" s="35"/>
      <c r="AD85" s="36"/>
      <c r="AE85" s="5"/>
      <c r="AG85" s="72"/>
      <c r="AH85" s="72"/>
      <c r="AI85" s="72"/>
      <c r="AJ85" s="72"/>
      <c r="AK85" s="72"/>
      <c r="AL85" s="72"/>
      <c r="AM85" s="72"/>
      <c r="AN85" s="72"/>
      <c r="AO85" s="72"/>
      <c r="AP85" s="72"/>
      <c r="AQ85" s="72"/>
      <c r="AR85" s="72"/>
      <c r="AS85" s="72"/>
      <c r="AT85" s="72"/>
      <c r="AU85" s="72"/>
      <c r="AV85" s="72"/>
      <c r="AW85" s="72"/>
      <c r="AX85" s="72"/>
      <c r="AY85" s="72"/>
    </row>
    <row r="86" spans="1:67" customHeight="1" ht="12.75">
      <c r="A86" s="108"/>
      <c r="B86" s="108"/>
      <c r="C86" s="9"/>
      <c r="D86" s="9"/>
      <c r="E86" s="33"/>
      <c r="F86" s="33"/>
      <c r="G86" s="33"/>
      <c r="H86" s="5"/>
      <c r="I86" s="5"/>
      <c r="J86" s="34"/>
      <c r="K86" s="35"/>
      <c r="L86" s="36"/>
      <c r="M86" s="34"/>
      <c r="N86" s="35"/>
      <c r="O86" s="36"/>
      <c r="P86" s="34"/>
      <c r="Q86" s="35"/>
      <c r="R86" s="36"/>
      <c r="S86" s="34"/>
      <c r="T86" s="35"/>
      <c r="U86" s="36"/>
      <c r="V86" s="34"/>
      <c r="W86" s="35"/>
      <c r="X86" s="36"/>
      <c r="Y86" s="34"/>
      <c r="Z86" s="35"/>
      <c r="AA86" s="36"/>
      <c r="AB86" s="34"/>
      <c r="AC86" s="35"/>
      <c r="AD86" s="36"/>
      <c r="AE86" s="5"/>
      <c r="AG86" s="72"/>
      <c r="AH86" s="72"/>
      <c r="AI86" s="72"/>
      <c r="AJ86" s="72"/>
      <c r="AK86" s="72"/>
      <c r="AL86" s="72"/>
      <c r="AM86" s="72"/>
      <c r="AN86" s="72"/>
      <c r="AO86" s="72"/>
      <c r="AP86" s="72"/>
      <c r="AQ86" s="72"/>
      <c r="AR86" s="72"/>
      <c r="AS86" s="72"/>
      <c r="AT86" s="72"/>
      <c r="AU86" s="72"/>
      <c r="AV86" s="72"/>
      <c r="AW86" s="72"/>
      <c r="AX86" s="72"/>
      <c r="AY86" s="72"/>
    </row>
    <row r="87" spans="1:67" customHeight="1" ht="13.5" hidden="true">
      <c r="A87" s="9"/>
      <c r="B87" s="9"/>
      <c r="C87" s="9"/>
      <c r="D87" s="9"/>
      <c r="E87" s="33"/>
      <c r="F87" s="33"/>
      <c r="G87" s="33"/>
      <c r="H87" s="5"/>
      <c r="I87" s="5"/>
      <c r="J87" s="34"/>
      <c r="K87" s="35"/>
      <c r="L87" s="36"/>
      <c r="M87" s="34"/>
      <c r="N87" s="35"/>
      <c r="O87" s="36"/>
      <c r="P87" s="34"/>
      <c r="Q87" s="35"/>
      <c r="R87" s="36"/>
      <c r="S87" s="34"/>
      <c r="T87" s="35"/>
      <c r="U87" s="36"/>
      <c r="V87" s="34"/>
      <c r="W87" s="35"/>
      <c r="X87" s="36"/>
      <c r="Y87" s="34"/>
      <c r="Z87" s="35"/>
      <c r="AA87" s="36"/>
      <c r="AB87" s="34"/>
      <c r="AC87" s="35"/>
      <c r="AD87" s="36"/>
      <c r="AE87" s="5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  <c r="AW87" s="70"/>
      <c r="AX87" s="70"/>
      <c r="AY87" s="70"/>
    </row>
    <row r="88" spans="1:67" customHeight="1" ht="17.1" hidden="true" s="58" customFormat="1">
      <c r="A88" s="109"/>
      <c r="B88" s="109"/>
      <c r="C88" s="109"/>
      <c r="D88" s="109"/>
      <c r="E88" s="109"/>
      <c r="F88" s="109"/>
      <c r="G88" s="109"/>
      <c r="H88" s="109"/>
      <c r="I88" s="109"/>
      <c r="J88" s="502"/>
      <c r="K88" s="502"/>
      <c r="L88" s="502"/>
      <c r="M88" s="502"/>
      <c r="N88" s="502"/>
      <c r="O88" s="502"/>
      <c r="P88" s="502"/>
      <c r="Q88" s="502"/>
      <c r="R88" s="502"/>
      <c r="S88" s="502"/>
      <c r="T88" s="502"/>
      <c r="U88" s="502"/>
      <c r="V88" s="502"/>
      <c r="W88" s="502"/>
      <c r="X88" s="502"/>
      <c r="Y88" s="502"/>
      <c r="Z88" s="502"/>
      <c r="AA88" s="502"/>
      <c r="AB88" s="502"/>
      <c r="AC88" s="502"/>
      <c r="AD88" s="502"/>
      <c r="AE88" s="57"/>
      <c r="AF88" s="57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  <c r="AW88" s="70"/>
      <c r="AX88" s="70"/>
      <c r="AY88" s="70"/>
      <c r="AZ88" s="57"/>
      <c r="BA88" s="57"/>
      <c r="BB88" s="57"/>
      <c r="BC88" s="57"/>
      <c r="BD88" s="57"/>
      <c r="BE88" s="57"/>
      <c r="BF88" s="57"/>
      <c r="BG88" s="57"/>
      <c r="BH88" s="57"/>
      <c r="BI88" s="57"/>
      <c r="BJ88" s="57"/>
      <c r="BK88" s="57"/>
      <c r="BL88" s="57"/>
      <c r="BM88" s="57"/>
      <c r="BN88" s="57"/>
      <c r="BO88" s="57"/>
    </row>
    <row r="89" spans="1:67" customHeight="1" ht="18" hidden="true" s="60" customFormat="1">
      <c r="A89" s="110"/>
      <c r="B89" s="110"/>
      <c r="C89" s="110"/>
      <c r="D89" s="110"/>
      <c r="E89" s="110"/>
      <c r="F89" s="110"/>
      <c r="G89" s="110"/>
      <c r="H89" s="110"/>
      <c r="I89" s="110"/>
      <c r="J89" s="111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  <c r="AA89" s="112"/>
      <c r="AB89" s="112"/>
      <c r="AC89" s="112"/>
      <c r="AD89" s="112"/>
      <c r="AE89" s="111"/>
      <c r="AF89" s="59"/>
      <c r="AG89" s="72"/>
      <c r="AH89" s="72"/>
      <c r="AI89" s="72"/>
      <c r="AJ89" s="72"/>
      <c r="AK89" s="72"/>
      <c r="AL89" s="72"/>
      <c r="AM89" s="72"/>
      <c r="AN89" s="72"/>
      <c r="AO89" s="72"/>
      <c r="AP89" s="72"/>
      <c r="AQ89" s="72"/>
      <c r="AR89" s="72"/>
      <c r="AS89" s="72"/>
      <c r="AT89" s="72"/>
      <c r="AU89" s="72"/>
      <c r="AV89" s="72"/>
      <c r="AW89" s="72"/>
      <c r="AX89" s="72"/>
      <c r="AY89" s="72"/>
      <c r="AZ89" s="59"/>
      <c r="BA89" s="59"/>
      <c r="BB89" s="59"/>
      <c r="BC89" s="59"/>
      <c r="BD89" s="59"/>
      <c r="BE89" s="59"/>
      <c r="BF89" s="59"/>
      <c r="BG89" s="59"/>
      <c r="BH89" s="59"/>
      <c r="BI89" s="59"/>
      <c r="BJ89" s="59"/>
      <c r="BK89" s="59"/>
      <c r="BL89" s="59"/>
      <c r="BM89" s="59"/>
      <c r="BN89" s="59"/>
      <c r="BO89" s="59"/>
    </row>
    <row r="90" spans="1:67" customHeight="1" ht="18" hidden="true" s="60" customFormat="1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  <c r="AA90" s="113"/>
      <c r="AB90" s="113"/>
      <c r="AC90" s="113"/>
      <c r="AD90" s="113"/>
      <c r="AE90" s="110"/>
      <c r="AF90" s="59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59"/>
      <c r="BA90" s="59"/>
      <c r="BB90" s="59"/>
      <c r="BC90" s="59"/>
      <c r="BD90" s="59"/>
      <c r="BE90" s="59"/>
      <c r="BF90" s="59"/>
      <c r="BG90" s="59"/>
      <c r="BH90" s="59"/>
      <c r="BI90" s="59"/>
      <c r="BJ90" s="59"/>
      <c r="BK90" s="59"/>
      <c r="BL90" s="59"/>
      <c r="BM90" s="59"/>
      <c r="BN90" s="59"/>
      <c r="BO90" s="59"/>
    </row>
    <row r="91" spans="1:67" customHeight="1" ht="18" hidden="true" s="60" customFormat="1">
      <c r="A91" s="110"/>
      <c r="B91" s="110"/>
      <c r="C91" s="110"/>
      <c r="D91" s="110"/>
      <c r="E91" s="110"/>
      <c r="F91" s="110"/>
      <c r="G91" s="110"/>
      <c r="H91" s="110"/>
      <c r="I91" s="110"/>
      <c r="J91" s="114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  <c r="AC91" s="115"/>
      <c r="AD91" s="115"/>
      <c r="AE91" s="114"/>
      <c r="AF91" s="59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59"/>
      <c r="BA91" s="59"/>
      <c r="BB91" s="59"/>
      <c r="BC91" s="59"/>
      <c r="BD91" s="59"/>
      <c r="BE91" s="59"/>
      <c r="BF91" s="59"/>
      <c r="BG91" s="59"/>
      <c r="BH91" s="59"/>
      <c r="BI91" s="59"/>
      <c r="BJ91" s="59"/>
      <c r="BK91" s="59"/>
      <c r="BL91" s="59"/>
      <c r="BM91" s="59"/>
      <c r="BN91" s="59"/>
      <c r="BO91" s="59"/>
    </row>
    <row r="92" spans="1:67" customHeight="1" ht="18" hidden="true" s="60" customFormat="1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3"/>
      <c r="L92" s="113"/>
      <c r="M92" s="110"/>
      <c r="N92" s="113"/>
      <c r="O92" s="113"/>
      <c r="P92" s="110"/>
      <c r="Q92" s="113"/>
      <c r="R92" s="113"/>
      <c r="S92" s="110"/>
      <c r="T92" s="113"/>
      <c r="U92" s="113"/>
      <c r="V92" s="110"/>
      <c r="W92" s="113"/>
      <c r="X92" s="113"/>
      <c r="Y92" s="110"/>
      <c r="Z92" s="113"/>
      <c r="AA92" s="113"/>
      <c r="AB92" s="110"/>
      <c r="AC92" s="113"/>
      <c r="AD92" s="113"/>
      <c r="AE92" s="110"/>
      <c r="AF92" s="59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59"/>
      <c r="BA92" s="59"/>
      <c r="BB92" s="59"/>
      <c r="BC92" s="59"/>
      <c r="BD92" s="59"/>
      <c r="BE92" s="59"/>
      <c r="BF92" s="59"/>
      <c r="BG92" s="59"/>
      <c r="BH92" s="59"/>
      <c r="BI92" s="59"/>
      <c r="BJ92" s="59"/>
      <c r="BK92" s="59"/>
      <c r="BL92" s="59"/>
      <c r="BM92" s="59"/>
      <c r="BN92" s="59"/>
      <c r="BO92" s="59"/>
    </row>
    <row r="93" spans="1:67" customHeight="1" ht="18" hidden="true" s="60" customFormat="1">
      <c r="A93" s="116"/>
      <c r="B93" s="116"/>
      <c r="C93" s="116"/>
      <c r="D93" s="116"/>
      <c r="E93" s="116"/>
      <c r="F93" s="116"/>
      <c r="G93" s="116"/>
      <c r="H93" s="116"/>
      <c r="I93" s="116"/>
      <c r="J93" s="110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B93" s="113"/>
      <c r="AC93" s="113"/>
      <c r="AD93" s="113"/>
      <c r="AE93" s="110"/>
      <c r="AF93" s="59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59"/>
      <c r="BA93" s="59"/>
      <c r="BB93" s="59"/>
      <c r="BC93" s="59"/>
      <c r="BD93" s="59"/>
      <c r="BE93" s="59"/>
      <c r="BF93" s="59"/>
      <c r="BG93" s="59"/>
      <c r="BH93" s="59"/>
      <c r="BI93" s="59"/>
      <c r="BJ93" s="59"/>
      <c r="BK93" s="59"/>
      <c r="BL93" s="59"/>
      <c r="BM93" s="59"/>
      <c r="BN93" s="59"/>
      <c r="BO93" s="59"/>
    </row>
    <row r="94" spans="1:67" customHeight="1" ht="18" hidden="true" s="60" customFormat="1">
      <c r="A94" s="116"/>
      <c r="B94" s="116"/>
      <c r="C94" s="116"/>
      <c r="D94" s="116"/>
      <c r="E94" s="116"/>
      <c r="F94" s="116"/>
      <c r="G94" s="116"/>
      <c r="H94" s="116"/>
      <c r="I94" s="116"/>
      <c r="J94" s="110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  <c r="AA94" s="113"/>
      <c r="AB94" s="113"/>
      <c r="AC94" s="113"/>
      <c r="AD94" s="113"/>
      <c r="AE94" s="110"/>
      <c r="AF94" s="59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59"/>
      <c r="BA94" s="59"/>
      <c r="BB94" s="59"/>
      <c r="BC94" s="59"/>
      <c r="BD94" s="59"/>
      <c r="BE94" s="59"/>
      <c r="BF94" s="59"/>
      <c r="BG94" s="59"/>
      <c r="BH94" s="59"/>
      <c r="BI94" s="59"/>
      <c r="BJ94" s="59"/>
      <c r="BK94" s="59"/>
      <c r="BL94" s="59"/>
      <c r="BM94" s="59"/>
      <c r="BN94" s="59"/>
      <c r="BO94" s="59"/>
    </row>
    <row r="95" spans="1:67" customHeight="1" ht="6.75" hidden="true" s="59" customFormat="1">
      <c r="A95" s="61"/>
      <c r="B95" s="61"/>
      <c r="C95" s="62"/>
      <c r="D95" s="62"/>
      <c r="E95" s="62"/>
      <c r="F95" s="62"/>
      <c r="G95" s="62"/>
      <c r="H95" s="62"/>
      <c r="I95" s="62"/>
      <c r="J95" s="63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</row>
    <row r="96" spans="1:67" customHeight="1" ht="17.1" hidden="true" s="59" customFormat="1">
      <c r="A96" s="61"/>
      <c r="B96" s="61"/>
      <c r="C96" s="62"/>
      <c r="D96" s="62"/>
      <c r="E96" s="62"/>
      <c r="F96" s="62"/>
      <c r="G96" s="62"/>
      <c r="H96" s="62"/>
      <c r="I96" s="62"/>
      <c r="J96" s="502"/>
      <c r="K96" s="502"/>
      <c r="L96" s="502"/>
      <c r="M96" s="502"/>
      <c r="N96" s="502"/>
      <c r="O96" s="502"/>
      <c r="P96" s="502"/>
      <c r="Q96" s="502"/>
      <c r="R96" s="502"/>
      <c r="S96" s="502"/>
      <c r="T96" s="502"/>
      <c r="U96" s="502"/>
      <c r="V96" s="502"/>
      <c r="W96" s="502"/>
      <c r="X96" s="502"/>
      <c r="Y96" s="502"/>
      <c r="Z96" s="502"/>
      <c r="AA96" s="502"/>
      <c r="AB96" s="502"/>
      <c r="AC96" s="502"/>
      <c r="AD96" s="502"/>
      <c r="AE96" s="64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</row>
    <row r="97" spans="1:67" customHeight="1" ht="17.1" hidden="true" s="58" customFormat="1">
      <c r="A97" s="109"/>
      <c r="B97" s="109"/>
      <c r="C97" s="109"/>
      <c r="D97" s="109"/>
      <c r="E97" s="109"/>
      <c r="F97" s="109"/>
      <c r="G97" s="109"/>
      <c r="H97" s="109"/>
      <c r="I97" s="109"/>
      <c r="J97" s="60"/>
      <c r="K97" s="60"/>
      <c r="L97" s="60"/>
      <c r="N97" s="60"/>
      <c r="O97" s="60"/>
      <c r="Q97" s="60"/>
      <c r="R97" s="60"/>
      <c r="T97" s="60"/>
      <c r="U97" s="60"/>
      <c r="W97" s="60"/>
      <c r="X97" s="60"/>
      <c r="Z97" s="60"/>
      <c r="AA97" s="60"/>
      <c r="AC97" s="60"/>
      <c r="AD97" s="60"/>
      <c r="AE97" s="57"/>
      <c r="AF97" s="57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57"/>
      <c r="BA97" s="57"/>
      <c r="BB97" s="57"/>
      <c r="BC97" s="57"/>
      <c r="BD97" s="57"/>
      <c r="BE97" s="57"/>
      <c r="BF97" s="57"/>
      <c r="BG97" s="57"/>
      <c r="BH97" s="57"/>
      <c r="BI97" s="57"/>
      <c r="BJ97" s="57"/>
      <c r="BK97" s="57"/>
      <c r="BL97" s="57"/>
      <c r="BM97" s="57"/>
      <c r="BN97" s="57"/>
      <c r="BO97" s="57"/>
    </row>
    <row r="98" spans="1:67" customHeight="1" ht="18" hidden="true" s="60" customFormat="1">
      <c r="A98" s="117"/>
      <c r="B98" s="117"/>
      <c r="C98" s="117"/>
      <c r="D98" s="117"/>
      <c r="E98" s="117"/>
      <c r="F98" s="117"/>
      <c r="G98" s="117"/>
      <c r="H98" s="117"/>
      <c r="I98" s="117"/>
      <c r="J98" s="118"/>
      <c r="K98" s="119"/>
      <c r="L98" s="115"/>
      <c r="M98" s="120"/>
      <c r="N98" s="119"/>
      <c r="O98" s="115"/>
      <c r="P98" s="120"/>
      <c r="Q98" s="119"/>
      <c r="R98" s="115"/>
      <c r="S98" s="120"/>
      <c r="T98" s="119"/>
      <c r="U98" s="115"/>
      <c r="V98" s="120"/>
      <c r="W98" s="119"/>
      <c r="X98" s="115"/>
      <c r="Y98" s="120"/>
      <c r="Z98" s="119"/>
      <c r="AA98" s="115"/>
      <c r="AB98" s="120"/>
      <c r="AC98" s="119"/>
      <c r="AD98" s="115"/>
      <c r="AE98" s="111"/>
      <c r="AF98" s="59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59"/>
      <c r="BA98" s="59"/>
      <c r="BB98" s="59"/>
      <c r="BC98" s="59"/>
      <c r="BD98" s="59"/>
      <c r="BE98" s="59"/>
      <c r="BF98" s="59"/>
      <c r="BG98" s="59"/>
      <c r="BH98" s="59"/>
      <c r="BI98" s="59"/>
      <c r="BJ98" s="59"/>
      <c r="BK98" s="59"/>
      <c r="BL98" s="59"/>
      <c r="BM98" s="59"/>
      <c r="BN98" s="59"/>
      <c r="BO98" s="59"/>
    </row>
    <row r="99" spans="1:67" customHeight="1" ht="18" hidden="true" s="60" customFormat="1">
      <c r="A99" s="117"/>
      <c r="B99" s="117"/>
      <c r="C99" s="117"/>
      <c r="D99" s="117"/>
      <c r="E99" s="117"/>
      <c r="F99" s="117"/>
      <c r="G99" s="117"/>
      <c r="H99" s="117"/>
      <c r="I99" s="117"/>
      <c r="J99" s="118"/>
      <c r="K99" s="119"/>
      <c r="L99" s="115"/>
      <c r="M99" s="120"/>
      <c r="N99" s="119"/>
      <c r="O99" s="115"/>
      <c r="P99" s="120"/>
      <c r="Q99" s="119"/>
      <c r="R99" s="115"/>
      <c r="S99" s="120"/>
      <c r="T99" s="119"/>
      <c r="U99" s="115"/>
      <c r="V99" s="120"/>
      <c r="W99" s="119"/>
      <c r="X99" s="115"/>
      <c r="Y99" s="120"/>
      <c r="Z99" s="119"/>
      <c r="AA99" s="115"/>
      <c r="AB99" s="120"/>
      <c r="AC99" s="119"/>
      <c r="AD99" s="115"/>
      <c r="AE99" s="121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</row>
    <row r="100" spans="1:67" customHeight="1" ht="18" hidden="true" s="60" customFormat="1">
      <c r="A100" s="117"/>
      <c r="B100" s="117"/>
      <c r="C100" s="117"/>
      <c r="D100" s="117"/>
      <c r="E100" s="117"/>
      <c r="F100" s="117"/>
      <c r="G100" s="117"/>
      <c r="H100" s="117"/>
      <c r="I100" s="117"/>
      <c r="J100" s="118"/>
      <c r="K100" s="119"/>
      <c r="L100" s="115"/>
      <c r="M100" s="120"/>
      <c r="N100" s="119"/>
      <c r="O100" s="115"/>
      <c r="P100" s="120"/>
      <c r="Q100" s="119"/>
      <c r="R100" s="115"/>
      <c r="S100" s="120"/>
      <c r="T100" s="119"/>
      <c r="U100" s="115"/>
      <c r="V100" s="120"/>
      <c r="W100" s="119"/>
      <c r="X100" s="115"/>
      <c r="Y100" s="120"/>
      <c r="Z100" s="119"/>
      <c r="AA100" s="115"/>
      <c r="AB100" s="120"/>
      <c r="AC100" s="119"/>
      <c r="AD100" s="115"/>
      <c r="AE100" s="121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</row>
    <row r="101" spans="1:67" customHeight="1" ht="18" hidden="true" s="60" customFormat="1">
      <c r="A101" s="117"/>
      <c r="B101" s="117"/>
      <c r="C101" s="117"/>
      <c r="D101" s="117"/>
      <c r="E101" s="117"/>
      <c r="F101" s="117"/>
      <c r="G101" s="117"/>
      <c r="H101" s="117"/>
      <c r="I101" s="117"/>
      <c r="J101" s="118"/>
      <c r="K101" s="119"/>
      <c r="L101" s="115"/>
      <c r="M101" s="120"/>
      <c r="N101" s="119"/>
      <c r="O101" s="115"/>
      <c r="P101" s="120"/>
      <c r="Q101" s="119"/>
      <c r="R101" s="115"/>
      <c r="S101" s="122"/>
      <c r="T101" s="119"/>
      <c r="U101" s="115"/>
      <c r="V101" s="120"/>
      <c r="W101" s="119"/>
      <c r="X101" s="115"/>
      <c r="Y101" s="120"/>
      <c r="Z101" s="119"/>
      <c r="AA101" s="115"/>
      <c r="AB101" s="120"/>
      <c r="AC101" s="119"/>
      <c r="AD101" s="115"/>
      <c r="AE101" s="121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</row>
    <row r="102" spans="1:67" customHeight="1" ht="18" hidden="true" s="58" customFormat="1">
      <c r="A102" s="123"/>
      <c r="B102" s="123"/>
      <c r="C102" s="123"/>
      <c r="D102" s="123"/>
      <c r="E102" s="123"/>
      <c r="F102" s="123"/>
      <c r="G102" s="123"/>
      <c r="H102" s="123"/>
      <c r="I102" s="123"/>
      <c r="K102" s="119"/>
      <c r="L102" s="115"/>
      <c r="M102" s="122"/>
      <c r="N102" s="119"/>
      <c r="O102" s="115"/>
      <c r="P102" s="122"/>
      <c r="Q102" s="119"/>
      <c r="R102" s="115"/>
      <c r="S102" s="122"/>
      <c r="T102" s="119"/>
      <c r="U102" s="115"/>
      <c r="V102" s="122"/>
      <c r="W102" s="119"/>
      <c r="X102" s="115"/>
      <c r="Y102" s="122"/>
      <c r="Z102" s="119"/>
      <c r="AA102" s="115"/>
      <c r="AB102" s="122"/>
      <c r="AC102" s="119"/>
      <c r="AD102" s="115"/>
      <c r="AE102" s="121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</row>
    <row r="103" spans="1:67" customHeight="1" ht="18" hidden="true" s="58" customFormat="1">
      <c r="A103" s="123"/>
      <c r="B103" s="123"/>
      <c r="C103" s="123"/>
      <c r="D103" s="123"/>
      <c r="E103" s="123"/>
      <c r="F103" s="123"/>
      <c r="G103" s="123"/>
      <c r="H103" s="123"/>
      <c r="I103" s="123"/>
      <c r="K103" s="119"/>
      <c r="L103" s="115"/>
      <c r="M103" s="122"/>
      <c r="N103" s="119"/>
      <c r="O103" s="115"/>
      <c r="P103" s="122"/>
      <c r="Q103" s="119"/>
      <c r="R103" s="115"/>
      <c r="S103" s="122"/>
      <c r="T103" s="119"/>
      <c r="U103" s="115"/>
      <c r="V103" s="122"/>
      <c r="W103" s="119"/>
      <c r="X103" s="115"/>
      <c r="Y103" s="122"/>
      <c r="Z103" s="119"/>
      <c r="AA103" s="115"/>
      <c r="AB103" s="122"/>
      <c r="AC103" s="119"/>
      <c r="AD103" s="115"/>
      <c r="AE103" s="121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</row>
    <row r="104" spans="1:67" customHeight="1" ht="18" hidden="true" s="60" customFormat="1">
      <c r="A104" s="124"/>
      <c r="B104" s="124"/>
      <c r="C104" s="124"/>
      <c r="D104" s="124"/>
      <c r="E104" s="124"/>
      <c r="F104" s="124"/>
      <c r="G104" s="124"/>
      <c r="H104" s="124"/>
      <c r="I104" s="124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  <c r="AA104" s="125"/>
      <c r="AB104" s="125"/>
      <c r="AC104" s="125"/>
      <c r="AD104" s="125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</row>
    <row r="105" spans="1:67" customHeight="1" ht="12.75" hidden="true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 spans="1:67" customHeight="1" ht="12.7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26"/>
      <c r="Y106" s="9"/>
      <c r="Z106" s="9"/>
      <c r="AA106" s="9"/>
      <c r="AB106" s="9"/>
      <c r="AC106" s="9"/>
      <c r="AD106" s="9"/>
      <c r="AE106" s="9"/>
    </row>
    <row r="107" spans="1:67" customHeight="1" ht="12.7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126"/>
      <c r="S107" s="9"/>
      <c r="T107" s="9"/>
      <c r="U107" s="126"/>
      <c r="V107" s="9"/>
      <c r="W107" s="9"/>
      <c r="X107" s="9"/>
      <c r="Y107" s="9"/>
      <c r="Z107" s="9"/>
      <c r="AA107" s="9"/>
      <c r="AB107" s="9"/>
      <c r="AC107" s="9"/>
      <c r="AD107" s="9"/>
      <c r="AE107" s="9"/>
    </row>
    <row r="108" spans="1:67" customHeight="1" ht="12.7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126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spans="1:67" customHeight="1" ht="12.7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126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 spans="1:67" customHeight="1" ht="12.7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 spans="1:67" customHeight="1" ht="12.7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 spans="1:67" customHeight="1" ht="12.7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 spans="1:67" customHeight="1" ht="12.7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 spans="1:67" customHeight="1" ht="12.7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 spans="1:67" customHeight="1" ht="12.7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</row>
    <row r="116" spans="1:67" customHeight="1" ht="12.7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 spans="1:67" customHeight="1" ht="12.7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</row>
    <row r="118" spans="1:67" customHeight="1" ht="12.7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</row>
    <row r="119" spans="1:67" customHeight="1" ht="12.7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</row>
    <row r="120" spans="1:67" customHeight="1" ht="12.7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</row>
    <row r="121" spans="1:67" customHeight="1" ht="12.7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</row>
    <row r="122" spans="1:67" customHeight="1" ht="12.7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</row>
    <row r="123" spans="1:67" customHeight="1" ht="12.7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</row>
    <row r="124" spans="1:67" customHeight="1" ht="12.7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</row>
    <row r="125" spans="1:67" customHeight="1" ht="12.7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</row>
    <row r="126" spans="1:67" customHeight="1" ht="12.7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</row>
    <row r="127" spans="1:67" customHeight="1" ht="12.7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</row>
    <row r="128" spans="1:67" customHeight="1" ht="12.7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</row>
    <row r="129" spans="1:67" customHeight="1" ht="12.7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</row>
    <row r="130" spans="1:67" customHeight="1" ht="12.7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</row>
    <row r="131" spans="1:67" customHeight="1" ht="12.7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</row>
    <row r="132" spans="1:67" customHeight="1" ht="12.7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</row>
    <row r="133" spans="1:67" customHeight="1" ht="12.7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</row>
    <row r="134" spans="1:67" customHeight="1" ht="12.7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</row>
    <row r="135" spans="1:67" customHeight="1" ht="12.7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</row>
    <row r="136" spans="1:67" customHeight="1" ht="12.7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</row>
    <row r="137" spans="1:67" customHeight="1" ht="12.7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</row>
    <row r="138" spans="1:67" customHeight="1" ht="12.7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</row>
    <row r="139" spans="1:67" customHeight="1" ht="12.7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</row>
    <row r="140" spans="1:67" customHeight="1" ht="12.7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</row>
    <row r="141" spans="1:67" customHeight="1" ht="12.7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</row>
    <row r="142" spans="1:67" customHeight="1" ht="12.7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</row>
    <row r="143" spans="1:67" customHeight="1" ht="12.7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</row>
    <row r="144" spans="1:67" customHeight="1" ht="12.7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</row>
    <row r="145" spans="1:67" customHeight="1" ht="12.7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</row>
    <row r="146" spans="1:67" customHeight="1" ht="12.7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</row>
    <row r="147" spans="1:67" customHeight="1" ht="12.7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</row>
    <row r="148" spans="1:67" customHeight="1" ht="12.7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</row>
    <row r="149" spans="1:67" customHeight="1" ht="12.7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</row>
    <row r="150" spans="1:67" customHeight="1" ht="12.7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</row>
    <row r="151" spans="1:67" customHeight="1" ht="12.7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</row>
    <row r="152" spans="1:67" customHeight="1" ht="12.7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</row>
    <row r="153" spans="1:67" customHeight="1" ht="12.7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</row>
    <row r="154" spans="1:67" customHeight="1" ht="12.7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</row>
    <row r="155" spans="1:67" customHeight="1" ht="12.7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</row>
    <row r="156" spans="1:67" customHeight="1" ht="12.7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</row>
    <row r="157" spans="1:67" customHeight="1" ht="12.7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</row>
    <row r="158" spans="1:67" customHeight="1" ht="12.7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</row>
    <row r="159" spans="1:67" customHeight="1" ht="12.7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</row>
    <row r="160" spans="1:67" customHeight="1" ht="12.7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</row>
    <row r="161" spans="1:67" customHeight="1" ht="12.7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</row>
    <row r="162" spans="1:67" customHeight="1" ht="12.7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</row>
    <row r="163" spans="1:67" customHeight="1" ht="12.7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</row>
    <row r="164" spans="1:67" customHeight="1" ht="12.7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</row>
    <row r="165" spans="1:67" customHeight="1" ht="12.7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</row>
    <row r="166" spans="1:67" customHeight="1" ht="12.7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</row>
    <row r="167" spans="1:67" customHeight="1" ht="12.7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</row>
    <row r="168" spans="1:67" customHeight="1" ht="12.7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</row>
    <row r="169" spans="1:67" customHeight="1" ht="12.7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</row>
    <row r="170" spans="1:67" customHeight="1" ht="12.7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</row>
    <row r="171" spans="1:67" customHeight="1" ht="12.7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</row>
    <row r="172" spans="1:67" customHeight="1" ht="12.7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</row>
    <row r="173" spans="1:67" customHeight="1" ht="12.7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</row>
    <row r="174" spans="1:67" customHeight="1" ht="12.7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</row>
  </sheetData>
  <sheetProtection objects="1" scenarios="1" formatCells="1" formatColumns="1" formatRows="1" insertColumns="1" insertRows="1" insertHyperlinks="1" deleteColumns="1" deleteRows="1" sort="1" autoFilter="1" pivotTables="1" selectLockedCells="0" selectUnlockedCells="0"/>
  <mergeCells>
    <mergeCell ref="Y25:AA25"/>
    <mergeCell ref="S26:U26"/>
    <mergeCell ref="S6:U6"/>
    <mergeCell ref="AD4:AE4"/>
    <mergeCell ref="S25:U25"/>
    <mergeCell ref="P25:R25"/>
    <mergeCell ref="P26:R26"/>
    <mergeCell ref="AB25:AD25"/>
    <mergeCell ref="V26:X26"/>
    <mergeCell ref="Y26:AA26"/>
    <mergeCell ref="AB26:AD26"/>
    <mergeCell ref="V25:X25"/>
    <mergeCell ref="AS6:AU6"/>
    <mergeCell ref="AS7:AU7"/>
    <mergeCell ref="M1:S1"/>
    <mergeCell ref="AD1:AE1"/>
    <mergeCell ref="O2:Q2"/>
    <mergeCell ref="AD2:AE3"/>
    <mergeCell ref="O3:Q3"/>
    <mergeCell ref="Y6:AA6"/>
    <mergeCell ref="A9:A23"/>
    <mergeCell ref="B9:B15"/>
    <mergeCell ref="B16:B23"/>
    <mergeCell ref="A6:A8"/>
    <mergeCell ref="D6:D8"/>
    <mergeCell ref="E6:E8"/>
    <mergeCell ref="B6:B8"/>
    <mergeCell ref="C6:C8"/>
    <mergeCell ref="J6:L6"/>
    <mergeCell ref="AM6:AO6"/>
    <mergeCell ref="M7:O7"/>
    <mergeCell ref="P7:R7"/>
    <mergeCell ref="S7:U7"/>
    <mergeCell ref="AV7:AX7"/>
    <mergeCell ref="AV6:AX6"/>
    <mergeCell ref="AG6:AI6"/>
    <mergeCell ref="AJ6:AL6"/>
    <mergeCell ref="AB7:AD7"/>
    <mergeCell ref="AB6:AD6"/>
    <mergeCell ref="M6:O6"/>
    <mergeCell ref="P6:R6"/>
    <mergeCell ref="AE6:AE8"/>
    <mergeCell ref="AP6:AR6"/>
    <mergeCell ref="AG7:AI7"/>
    <mergeCell ref="AJ7:AL7"/>
    <mergeCell ref="AM7:AO7"/>
    <mergeCell ref="AP7:AR7"/>
    <mergeCell ref="AY7:BA7"/>
    <mergeCell ref="J25:L25"/>
    <mergeCell ref="M25:O25"/>
    <mergeCell ref="J26:L26"/>
    <mergeCell ref="M26:O26"/>
    <mergeCell ref="V6:X6"/>
    <mergeCell ref="V7:X7"/>
    <mergeCell ref="AY6:BA6"/>
    <mergeCell ref="J7:L7"/>
    <mergeCell ref="Y7:AA7"/>
    <mergeCell ref="H6:H8"/>
    <mergeCell ref="I6:I8"/>
    <mergeCell ref="C24:H24"/>
    <mergeCell ref="F6:F8"/>
    <mergeCell ref="G6:G8"/>
    <mergeCell ref="A32:A34"/>
    <mergeCell ref="B32:B34"/>
    <mergeCell ref="C32:C34"/>
    <mergeCell ref="D32:D34"/>
    <mergeCell ref="E32:E34"/>
    <mergeCell ref="G32:G34"/>
    <mergeCell ref="I32:I34"/>
    <mergeCell ref="Y32:AA32"/>
    <mergeCell ref="AB32:AD32"/>
    <mergeCell ref="AB33:AD33"/>
    <mergeCell ref="J32:L32"/>
    <mergeCell ref="S32:U32"/>
    <mergeCell ref="V32:X32"/>
    <mergeCell ref="H32:H34"/>
    <mergeCell ref="AE32:AE34"/>
    <mergeCell ref="Y33:AA33"/>
    <mergeCell ref="O28:Q28"/>
    <mergeCell ref="O29:Q29"/>
    <mergeCell ref="M33:O33"/>
    <mergeCell ref="P33:R33"/>
    <mergeCell ref="S33:U33"/>
    <mergeCell ref="V33:X33"/>
    <mergeCell ref="M32:O32"/>
    <mergeCell ref="P32:R32"/>
    <mergeCell ref="A35:A49"/>
    <mergeCell ref="B35:B41"/>
    <mergeCell ref="B42:B49"/>
    <mergeCell ref="M51:O51"/>
    <mergeCell ref="P51:R51"/>
    <mergeCell ref="C50:H50"/>
    <mergeCell ref="F32:F34"/>
    <mergeCell ref="J33:L33"/>
    <mergeCell ref="S51:U51"/>
    <mergeCell ref="AE59:AE61"/>
    <mergeCell ref="J60:L60"/>
    <mergeCell ref="M60:O60"/>
    <mergeCell ref="P60:R60"/>
    <mergeCell ref="S60:U60"/>
    <mergeCell ref="J51:L51"/>
    <mergeCell ref="V51:X51"/>
    <mergeCell ref="Y51:AA51"/>
    <mergeCell ref="AB51:AD51"/>
    <mergeCell ref="V60:X60"/>
    <mergeCell ref="Y60:AA60"/>
    <mergeCell ref="AB60:AD60"/>
    <mergeCell ref="AB52:AD52"/>
    <mergeCell ref="AB59:AD59"/>
    <mergeCell ref="J59:L59"/>
    <mergeCell ref="M59:O59"/>
    <mergeCell ref="P59:R59"/>
    <mergeCell ref="S59:U59"/>
    <mergeCell ref="V59:X59"/>
    <mergeCell ref="Y59:AA59"/>
    <mergeCell ref="J52:L52"/>
    <mergeCell ref="M52:O52"/>
    <mergeCell ref="P52:R52"/>
    <mergeCell ref="S52:U52"/>
    <mergeCell ref="V52:X52"/>
    <mergeCell ref="Y52:AA52"/>
    <mergeCell ref="J84:L84"/>
    <mergeCell ref="M84:O84"/>
    <mergeCell ref="P84:R84"/>
    <mergeCell ref="S84:U84"/>
    <mergeCell ref="V84:X84"/>
    <mergeCell ref="J83:L83"/>
    <mergeCell ref="M83:O83"/>
    <mergeCell ref="P83:R83"/>
    <mergeCell ref="S83:U83"/>
    <mergeCell ref="V83:X83"/>
    <mergeCell ref="Y83:AA83"/>
    <mergeCell ref="Y84:AA84"/>
    <mergeCell ref="AB84:AD84"/>
    <mergeCell ref="P88:R88"/>
    <mergeCell ref="S88:U88"/>
    <mergeCell ref="V88:X88"/>
    <mergeCell ref="Y88:AA88"/>
    <mergeCell ref="AB88:AD88"/>
    <mergeCell ref="AB83:AD83"/>
    <mergeCell ref="AB96:AD96"/>
    <mergeCell ref="J88:L88"/>
    <mergeCell ref="M88:O88"/>
    <mergeCell ref="J96:L96"/>
    <mergeCell ref="M96:O96"/>
    <mergeCell ref="P96:R96"/>
    <mergeCell ref="S96:U96"/>
    <mergeCell ref="V96:X96"/>
    <mergeCell ref="Y96:AA96"/>
  </mergeCells>
  <printOptions gridLines="false" gridLinesSet="true" horizontalCentered="true"/>
  <pageMargins left="0" right="0" top="0.74803149606299" bottom="0.51181102362205" header="0.39370078740157" footer="0.23622047244094"/>
  <pageSetup paperSize="9" orientation="landscape" scale="55" fitToHeight="2" fitToWidth="1" pageOrder="downThenOver"/>
  <headerFooter differentOddEven="false" differentFirst="false" scaleWithDoc="true" alignWithMargins="true">
    <oddHeader>&amp;LPT. JATIM AUTOCOMP INDONESIA</oddHeader>
    <oddFooter>&amp;LSIX MONTH PRODUCTION PLAN.xls&amp;R&amp;"Times New Roman,Regular"&amp;9&amp;P / &amp;N</oddFooter>
    <evenHeader>&amp;LPT. JATIM AUTOCOMP INDONESIA</evenHeader>
    <evenFooter>&amp;LSIX MONTH PRODUCTION PLAN.xls&amp;R&amp;"Times New Roman,Regular"&amp;9&amp;P / &amp;N</evenFooter>
    <firstHeader/>
    <firstFooter/>
  </headerFooter>
  <rowBreaks count="3" manualBreakCount="3">
    <brk id="26" man="1"/>
    <brk id="52" man="1"/>
    <brk id="55" man="1"/>
  </rowBreaks>
  <legacyDrawing r:id="rId_comments_vml1"/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W133"/>
  <sheetViews>
    <sheetView tabSelected="0" workbookViewId="0" zoomScale="70" zoomScaleNormal="70" showGridLines="true" showRowColHeaders="1">
      <pane xSplit="3" ySplit="8" topLeftCell="D9" activePane="bottomRight" state="frozen"/>
      <selection pane="topRight"/>
      <selection pane="bottomLeft"/>
      <selection pane="bottomRight" activeCell="AV95" sqref="AV95"/>
    </sheetView>
  </sheetViews>
  <sheetFormatPr customHeight="true" defaultRowHeight="12.75" defaultColWidth="9.140625" outlineLevelRow="0" outlineLevelCol="0"/>
  <cols>
    <col min="1" max="1" width="10.7109375" customWidth="true" style="21"/>
    <col min="2" max="2" width="18.28515625" customWidth="true" style="21"/>
    <col min="3" max="3" width="11.5703125" customWidth="true" style="21"/>
    <col min="4" max="4" width="9.85546875" customWidth="true" style="12"/>
    <col min="5" max="5" width="9.85546875" customWidth="true" style="12"/>
    <col min="6" max="6" width="9.85546875" customWidth="true" style="12"/>
    <col min="7" max="7" width="9.85546875" customWidth="true" style="12"/>
    <col min="8" max="8" width="9.85546875" customWidth="true" style="12"/>
    <col min="9" max="9" width="9.85546875" customWidth="true" style="12"/>
    <col min="10" max="10" width="9.85546875" customWidth="true" style="21"/>
    <col min="11" max="11" width="9.85546875" customWidth="true" style="21"/>
    <col min="12" max="12" width="9.85546875" customWidth="true" style="21"/>
    <col min="13" max="13" width="9.85546875" customWidth="true" style="12"/>
    <col min="14" max="14" width="9.85546875" customWidth="true" style="12"/>
    <col min="15" max="15" width="9.85546875" customWidth="true" style="12"/>
    <col min="16" max="16" width="9.85546875" customWidth="true" style="12"/>
    <col min="17" max="17" width="9.85546875" customWidth="true" style="12"/>
    <col min="18" max="18" width="9.85546875" customWidth="true" style="12"/>
    <col min="19" max="19" width="9.85546875" customWidth="true" style="12"/>
    <col min="20" max="20" width="9.85546875" customWidth="true" style="12"/>
    <col min="21" max="21" width="9.85546875" customWidth="true" style="12"/>
    <col min="22" max="22" width="9.85546875" customWidth="true" style="12"/>
    <col min="23" max="23" width="9.85546875" customWidth="true" style="12"/>
    <col min="24" max="24" width="9.85546875" customWidth="true" style="12"/>
    <col min="25" max="25" width="9.85546875" customWidth="true" style="12"/>
    <col min="26" max="26" width="9.85546875" customWidth="true" style="12"/>
    <col min="27" max="27" width="9.85546875" customWidth="true" style="12"/>
    <col min="28" max="28" width="12.28515625" customWidth="true" style="12"/>
    <col min="29" max="29" width="9.85546875" customWidth="true" style="12"/>
    <col min="30" max="30" width="9.85546875" customWidth="true" style="12"/>
    <col min="31" max="31" width="9.85546875" customWidth="true" style="12"/>
    <col min="32" max="32" width="9.85546875" customWidth="true" style="12"/>
    <col min="33" max="33" width="9.85546875" customWidth="true" style="12"/>
    <col min="34" max="34" width="9.85546875" customWidth="true" style="12"/>
    <col min="35" max="35" width="9.85546875" customWidth="true" style="12"/>
    <col min="36" max="36" width="9.85546875" customWidth="true" style="12"/>
    <col min="37" max="37" width="9.85546875" customWidth="true" style="12"/>
    <col min="38" max="38" width="9.85546875" customWidth="true" style="12"/>
    <col min="39" max="39" width="9.85546875" customWidth="true" style="12"/>
    <col min="40" max="40" width="9.85546875" customWidth="true" style="12"/>
    <col min="41" max="41" width="9.85546875" customWidth="true" style="12"/>
    <col min="42" max="42" width="9.85546875" customWidth="true" style="12"/>
    <col min="43" max="43" width="9.85546875" customWidth="true" style="12"/>
    <col min="44" max="44" width="9.85546875" customWidth="true" style="12"/>
    <col min="45" max="45" width="9.85546875" customWidth="true" style="12"/>
    <col min="46" max="46" width="9.85546875" customWidth="true" style="12"/>
    <col min="47" max="47" width="9.85546875" customWidth="true" style="12"/>
    <col min="48" max="48" width="9.85546875" customWidth="true" style="12"/>
  </cols>
  <sheetData>
    <row r="1" spans="1:49" customHeight="1" ht="17.25">
      <c r="A1" s="282"/>
      <c r="B1" s="283"/>
      <c r="C1" s="283"/>
      <c r="D1" s="284"/>
      <c r="E1" s="284"/>
      <c r="F1" s="284"/>
      <c r="G1" s="284"/>
      <c r="H1" s="284"/>
      <c r="I1" s="284"/>
      <c r="J1" s="283"/>
      <c r="K1" s="283"/>
      <c r="L1" s="283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  <c r="AA1" s="284"/>
      <c r="AB1" s="284"/>
      <c r="AC1" s="284"/>
      <c r="AD1" s="284"/>
      <c r="AE1" s="284"/>
      <c r="AF1" s="284"/>
      <c r="AG1" s="284"/>
      <c r="AH1" s="284"/>
      <c r="AI1" s="284"/>
      <c r="AJ1" s="284"/>
      <c r="AK1" s="284"/>
      <c r="AL1" s="284"/>
      <c r="AM1" s="284"/>
      <c r="AN1" s="284"/>
      <c r="AO1" s="284"/>
      <c r="AP1" s="284"/>
      <c r="AQ1" s="284"/>
      <c r="AR1" s="284"/>
      <c r="AS1" s="284"/>
      <c r="AT1" s="284"/>
      <c r="AU1" s="284"/>
      <c r="AV1" s="284"/>
    </row>
    <row r="2" spans="1:49" customHeight="1" ht="18">
      <c r="A2" s="285" t="s">
        <v>2</v>
      </c>
      <c r="B2" s="286" t="str">
        <f>'Qty &amp; UMH GUM'!B2</f>
        <v>202603-10</v>
      </c>
      <c r="C2" s="287"/>
      <c r="D2" s="288"/>
      <c r="E2" s="289"/>
      <c r="F2" s="289"/>
      <c r="G2" s="289"/>
      <c r="H2" s="289"/>
      <c r="I2" s="289"/>
      <c r="J2" s="290"/>
      <c r="K2" s="290"/>
      <c r="L2" s="290"/>
      <c r="M2" s="289"/>
      <c r="N2" s="289"/>
      <c r="O2" s="289"/>
      <c r="P2" s="289"/>
      <c r="Q2" s="289"/>
      <c r="R2" s="289"/>
      <c r="S2" s="289"/>
      <c r="T2" s="289"/>
      <c r="U2" s="289"/>
      <c r="V2" s="289"/>
      <c r="W2" s="289"/>
      <c r="X2" s="289"/>
      <c r="Y2" s="289"/>
      <c r="Z2" s="289"/>
      <c r="AA2" s="289"/>
      <c r="AB2" s="289"/>
      <c r="AC2" s="289"/>
      <c r="AD2" s="289"/>
      <c r="AE2" s="289"/>
      <c r="AF2" s="289"/>
      <c r="AG2" s="289"/>
      <c r="AH2" s="289"/>
      <c r="AI2" s="289"/>
      <c r="AJ2" s="289"/>
      <c r="AK2" s="289"/>
      <c r="AL2" s="289"/>
      <c r="AM2" s="289"/>
      <c r="AN2" s="289"/>
      <c r="AO2" s="289"/>
      <c r="AP2" s="289"/>
      <c r="AQ2" s="289"/>
      <c r="AR2" s="289"/>
      <c r="AS2" s="289"/>
      <c r="AT2" s="289"/>
      <c r="AU2" s="289"/>
      <c r="AV2" s="289"/>
    </row>
    <row r="3" spans="1:49" customHeight="1" ht="14.25">
      <c r="A3" s="285" t="s">
        <v>7</v>
      </c>
      <c r="B3" s="291">
        <f>'Qty &amp; UMH GUM'!B4</f>
        <v>46092</v>
      </c>
      <c r="C3" s="287"/>
      <c r="D3" s="284"/>
      <c r="E3" s="284"/>
      <c r="F3" s="284"/>
      <c r="G3" s="284"/>
      <c r="H3" s="284"/>
      <c r="I3" s="284"/>
      <c r="J3" s="290"/>
      <c r="K3" s="290"/>
      <c r="L3" s="290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  <c r="AA3" s="284"/>
      <c r="AB3" s="284"/>
      <c r="AC3" s="284"/>
      <c r="AD3" s="284"/>
      <c r="AE3" s="284"/>
      <c r="AF3" s="284"/>
      <c r="AG3" s="284"/>
      <c r="AH3" s="284"/>
      <c r="AI3" s="284"/>
      <c r="AJ3" s="284"/>
      <c r="AK3" s="284"/>
      <c r="AL3" s="284"/>
      <c r="AM3" s="284"/>
      <c r="AN3" s="284"/>
      <c r="AO3" s="284"/>
      <c r="AP3" s="284"/>
      <c r="AQ3" s="284"/>
      <c r="AR3" s="284"/>
      <c r="AS3" s="284"/>
      <c r="AT3" s="284"/>
      <c r="AU3" s="284"/>
      <c r="AV3" s="284"/>
    </row>
    <row r="4" spans="1:49" customHeight="1" ht="12">
      <c r="A4" s="241"/>
      <c r="B4" s="286"/>
      <c r="C4" s="287"/>
      <c r="D4" s="292">
        <f>VLOOKUP(D$6,WEEK!$A$55:$D$66,4,0)</f>
        <v>5</v>
      </c>
      <c r="E4" s="292"/>
      <c r="F4" s="292"/>
      <c r="G4" s="292"/>
      <c r="H4" s="292"/>
      <c r="I4" s="292"/>
      <c r="J4" s="293"/>
      <c r="K4" s="293"/>
      <c r="L4" s="293"/>
      <c r="M4" s="292">
        <f>VLOOKUP(M$6,WEEK!$A$55:$D$66,4,0)</f>
        <v>4</v>
      </c>
      <c r="N4" s="292"/>
      <c r="O4" s="292"/>
      <c r="P4" s="292"/>
      <c r="Q4" s="292"/>
      <c r="R4" s="292"/>
      <c r="S4" s="292"/>
      <c r="T4" s="292"/>
      <c r="U4" s="292"/>
      <c r="V4" s="292">
        <f>VLOOKUP(V$6,WEEK!$A$55:$D$66,4,0)</f>
        <v>4</v>
      </c>
      <c r="W4" s="292"/>
      <c r="X4" s="292"/>
      <c r="Y4" s="292"/>
      <c r="Z4" s="292"/>
      <c r="AA4" s="292"/>
      <c r="AB4" s="292"/>
      <c r="AC4" s="292"/>
      <c r="AD4" s="292"/>
      <c r="AE4" s="292">
        <f>VLOOKUP(AE$6,WEEK!$A$55:$D$66,4,0)</f>
        <v>5</v>
      </c>
      <c r="AF4" s="292"/>
      <c r="AG4" s="292"/>
      <c r="AH4" s="292"/>
      <c r="AI4" s="292"/>
      <c r="AJ4" s="292"/>
      <c r="AK4" s="292"/>
      <c r="AL4" s="292"/>
      <c r="AM4" s="292"/>
      <c r="AN4" s="292">
        <f>VLOOKUP(AN$6,WEEK!$A$55:$D$66,4,0)</f>
        <v>4</v>
      </c>
      <c r="AO4" s="292"/>
      <c r="AP4" s="292"/>
      <c r="AQ4" s="292"/>
      <c r="AR4" s="292"/>
      <c r="AS4" s="292"/>
      <c r="AT4" s="292"/>
      <c r="AU4" s="292"/>
      <c r="AV4" s="292"/>
    </row>
    <row r="5" spans="1:49" customHeight="1" ht="19.5">
      <c r="A5" s="290" t="s">
        <v>140</v>
      </c>
      <c r="B5" s="294">
        <f>NOW()</f>
        <v>46196.164652778</v>
      </c>
      <c r="C5" s="294"/>
      <c r="D5" s="295" t="s">
        <v>141</v>
      </c>
      <c r="E5" s="295"/>
      <c r="F5" s="295"/>
      <c r="G5" s="295"/>
      <c r="H5" s="295"/>
      <c r="I5" s="295"/>
      <c r="J5" s="294"/>
      <c r="K5" s="294"/>
      <c r="L5" s="294"/>
      <c r="M5" s="295" t="s">
        <v>142</v>
      </c>
      <c r="N5" s="295"/>
      <c r="O5" s="295"/>
      <c r="P5" s="295"/>
      <c r="Q5" s="295"/>
      <c r="R5" s="295"/>
      <c r="S5" s="295"/>
      <c r="T5" s="295"/>
      <c r="U5" s="295"/>
      <c r="V5" s="295" t="s">
        <v>143</v>
      </c>
      <c r="W5" s="295"/>
      <c r="X5" s="295"/>
      <c r="Y5" s="295"/>
      <c r="Z5" s="295"/>
      <c r="AA5" s="295"/>
      <c r="AB5" s="295"/>
      <c r="AC5" s="295"/>
      <c r="AD5" s="295"/>
      <c r="AE5" s="295" t="s">
        <v>144</v>
      </c>
      <c r="AF5" s="295"/>
      <c r="AG5" s="295"/>
      <c r="AH5" s="295"/>
      <c r="AI5" s="295"/>
      <c r="AJ5" s="295"/>
      <c r="AK5" s="295"/>
      <c r="AL5" s="295"/>
      <c r="AM5" s="295"/>
      <c r="AN5" s="295" t="s">
        <v>145</v>
      </c>
      <c r="AO5" s="295"/>
      <c r="AP5" s="295"/>
      <c r="AQ5" s="295"/>
      <c r="AR5" s="295"/>
      <c r="AS5" s="295"/>
      <c r="AT5" s="295"/>
      <c r="AU5" s="295"/>
      <c r="AV5" s="295"/>
    </row>
    <row r="6" spans="1:49" customHeight="1" ht="12.75">
      <c r="A6" s="549" t="s">
        <v>18</v>
      </c>
      <c r="B6" s="551" t="s">
        <v>19</v>
      </c>
      <c r="C6" s="553" t="s">
        <v>20</v>
      </c>
      <c r="D6" s="540" t="str">
        <f>'Qty &amp; UMH GUM'!P6</f>
        <v>APR</v>
      </c>
      <c r="E6" s="540"/>
      <c r="F6" s="540"/>
      <c r="G6" s="540"/>
      <c r="H6" s="540"/>
      <c r="I6" s="540"/>
      <c r="J6" s="540"/>
      <c r="K6" s="540"/>
      <c r="L6" s="541"/>
      <c r="M6" s="539" t="str">
        <f>'Qty &amp; UMH GUM'!S6</f>
        <v>MAY</v>
      </c>
      <c r="N6" s="540"/>
      <c r="O6" s="540"/>
      <c r="P6" s="540"/>
      <c r="Q6" s="540"/>
      <c r="R6" s="540"/>
      <c r="S6" s="540"/>
      <c r="T6" s="540"/>
      <c r="U6" s="541"/>
      <c r="V6" s="539" t="str">
        <f>'Qty &amp; UMH GUM'!V6</f>
        <v>JUN</v>
      </c>
      <c r="W6" s="540"/>
      <c r="X6" s="540"/>
      <c r="Y6" s="540"/>
      <c r="Z6" s="540"/>
      <c r="AA6" s="540"/>
      <c r="AB6" s="540"/>
      <c r="AC6" s="540"/>
      <c r="AD6" s="541"/>
      <c r="AE6" s="539" t="str">
        <f>'Qty &amp; UMH GUM'!Y6</f>
        <v>JUL</v>
      </c>
      <c r="AF6" s="540"/>
      <c r="AG6" s="540"/>
      <c r="AH6" s="540"/>
      <c r="AI6" s="540"/>
      <c r="AJ6" s="540"/>
      <c r="AK6" s="540"/>
      <c r="AL6" s="540"/>
      <c r="AM6" s="545"/>
      <c r="AN6" s="547" t="str">
        <f>'Qty &amp; UMH GUM'!AB6</f>
        <v>AUG</v>
      </c>
      <c r="AO6" s="548"/>
      <c r="AP6" s="548"/>
      <c r="AQ6" s="548"/>
      <c r="AR6" s="548"/>
      <c r="AS6" s="548"/>
      <c r="AT6" s="548"/>
      <c r="AU6" s="548"/>
      <c r="AV6" s="548"/>
      <c r="AW6" s="349"/>
    </row>
    <row r="7" spans="1:49" customHeight="1" ht="16.5">
      <c r="A7" s="549"/>
      <c r="B7" s="551"/>
      <c r="C7" s="553"/>
      <c r="D7" s="543"/>
      <c r="E7" s="543"/>
      <c r="F7" s="543"/>
      <c r="G7" s="543"/>
      <c r="H7" s="543"/>
      <c r="I7" s="543"/>
      <c r="J7" s="543"/>
      <c r="K7" s="543"/>
      <c r="L7" s="544"/>
      <c r="M7" s="542"/>
      <c r="N7" s="543"/>
      <c r="O7" s="543"/>
      <c r="P7" s="543"/>
      <c r="Q7" s="543"/>
      <c r="R7" s="543"/>
      <c r="S7" s="543"/>
      <c r="T7" s="543"/>
      <c r="U7" s="544"/>
      <c r="V7" s="542"/>
      <c r="W7" s="543"/>
      <c r="X7" s="543"/>
      <c r="Y7" s="543"/>
      <c r="Z7" s="543"/>
      <c r="AA7" s="543"/>
      <c r="AB7" s="543"/>
      <c r="AC7" s="543"/>
      <c r="AD7" s="544"/>
      <c r="AE7" s="542"/>
      <c r="AF7" s="543"/>
      <c r="AG7" s="543"/>
      <c r="AH7" s="543"/>
      <c r="AI7" s="543"/>
      <c r="AJ7" s="543"/>
      <c r="AK7" s="543"/>
      <c r="AL7" s="543"/>
      <c r="AM7" s="546"/>
      <c r="AN7" s="547"/>
      <c r="AO7" s="548"/>
      <c r="AP7" s="548"/>
      <c r="AQ7" s="548"/>
      <c r="AR7" s="548"/>
      <c r="AS7" s="548"/>
      <c r="AT7" s="548"/>
      <c r="AU7" s="548"/>
      <c r="AV7" s="548"/>
      <c r="AW7" s="349"/>
    </row>
    <row r="8" spans="1:49" customHeight="1" ht="16.5">
      <c r="A8" s="550"/>
      <c r="B8" s="552"/>
      <c r="C8" s="554"/>
      <c r="D8" s="297">
        <v>1</v>
      </c>
      <c r="E8" s="297">
        <v>2</v>
      </c>
      <c r="F8" s="297">
        <v>3</v>
      </c>
      <c r="G8" s="297">
        <v>4</v>
      </c>
      <c r="H8" s="297">
        <v>5</v>
      </c>
      <c r="I8" s="298" t="s">
        <v>146</v>
      </c>
      <c r="J8" s="299" t="s">
        <v>147</v>
      </c>
      <c r="K8" s="299" t="s">
        <v>40</v>
      </c>
      <c r="L8" s="300" t="s">
        <v>148</v>
      </c>
      <c r="M8" s="301">
        <v>1</v>
      </c>
      <c r="N8" s="297">
        <v>2</v>
      </c>
      <c r="O8" s="297">
        <v>3</v>
      </c>
      <c r="P8" s="297">
        <v>4</v>
      </c>
      <c r="Q8" s="297">
        <v>5</v>
      </c>
      <c r="R8" s="298" t="s">
        <v>146</v>
      </c>
      <c r="S8" s="298" t="s">
        <v>147</v>
      </c>
      <c r="T8" s="299" t="s">
        <v>40</v>
      </c>
      <c r="U8" s="300" t="s">
        <v>148</v>
      </c>
      <c r="V8" s="301">
        <v>1</v>
      </c>
      <c r="W8" s="297">
        <v>2</v>
      </c>
      <c r="X8" s="297">
        <v>3</v>
      </c>
      <c r="Y8" s="297">
        <v>4</v>
      </c>
      <c r="Z8" s="297">
        <v>5</v>
      </c>
      <c r="AA8" s="298" t="s">
        <v>146</v>
      </c>
      <c r="AB8" s="298" t="s">
        <v>147</v>
      </c>
      <c r="AC8" s="299" t="s">
        <v>40</v>
      </c>
      <c r="AD8" s="300" t="s">
        <v>148</v>
      </c>
      <c r="AE8" s="301">
        <v>1</v>
      </c>
      <c r="AF8" s="297">
        <v>2</v>
      </c>
      <c r="AG8" s="297">
        <v>3</v>
      </c>
      <c r="AH8" s="297">
        <v>4</v>
      </c>
      <c r="AI8" s="297">
        <v>5</v>
      </c>
      <c r="AJ8" s="298" t="s">
        <v>146</v>
      </c>
      <c r="AK8" s="298" t="s">
        <v>147</v>
      </c>
      <c r="AL8" s="299" t="s">
        <v>40</v>
      </c>
      <c r="AM8" s="300" t="s">
        <v>148</v>
      </c>
      <c r="AN8" s="301">
        <v>1</v>
      </c>
      <c r="AO8" s="297">
        <v>2</v>
      </c>
      <c r="AP8" s="297">
        <v>3</v>
      </c>
      <c r="AQ8" s="297">
        <v>4</v>
      </c>
      <c r="AR8" s="297">
        <v>5</v>
      </c>
      <c r="AS8" s="298" t="s">
        <v>146</v>
      </c>
      <c r="AT8" s="298" t="s">
        <v>147</v>
      </c>
      <c r="AU8" s="299" t="s">
        <v>40</v>
      </c>
      <c r="AV8" s="300" t="s">
        <v>148</v>
      </c>
      <c r="AW8" s="349"/>
    </row>
    <row r="9" spans="1:49" customHeight="1" ht="18.75">
      <c r="A9" s="537" t="s">
        <v>149</v>
      </c>
      <c r="B9" s="331" t="str">
        <f>'Qty &amp; UMH GUM'!C9</f>
        <v>82111-4DT30</v>
      </c>
      <c r="C9" s="303" t="str">
        <f>+'Qty &amp; UMH GUM'!B9</f>
        <v>HEV-LHD</v>
      </c>
      <c r="D9" s="324" t="e">
        <f>VLOOKUP($B9,#REF!,10,0)</f>
        <v>#REF!</v>
      </c>
      <c r="E9" s="324" t="e">
        <f>VLOOKUP($B9,#REF!,11,0)</f>
        <v>#REF!</v>
      </c>
      <c r="F9" s="324" t="e">
        <f>VLOOKUP($B9,#REF!,12,0)</f>
        <v>#REF!</v>
      </c>
      <c r="G9" s="324" t="e">
        <f>VLOOKUP($B9,#REF!,13,0)</f>
        <v>#REF!</v>
      </c>
      <c r="H9" s="324" t="e">
        <f>VLOOKUP($B9,#REF!,14,0)</f>
        <v>#REF!</v>
      </c>
      <c r="I9" s="304" t="e">
        <f>SUM(D9:H9)</f>
        <v>#REF!</v>
      </c>
      <c r="J9" s="305" t="e">
        <f>'Qty &amp; UMH GUM'!R9</f>
        <v>#REF!</v>
      </c>
      <c r="K9" s="305" t="e">
        <f>ROUNDUP((J9-I9)/$D$4,0)</f>
        <v>#REF!</v>
      </c>
      <c r="L9" s="306"/>
      <c r="M9" s="324" t="e">
        <f>VLOOKUP($B9,#REF!,16,0)</f>
        <v>#REF!</v>
      </c>
      <c r="N9" s="324" t="e">
        <f>VLOOKUP($B9,#REF!,17,0)</f>
        <v>#REF!</v>
      </c>
      <c r="O9" s="324" t="e">
        <f>VLOOKUP($B9,#REF!,18,0)</f>
        <v>#REF!</v>
      </c>
      <c r="P9" s="324" t="e">
        <f>VLOOKUP($B9,#REF!,19,0)</f>
        <v>#REF!</v>
      </c>
      <c r="Q9" s="324" t="e">
        <f>VLOOKUP($B9,#REF!,20,0)</f>
        <v>#REF!</v>
      </c>
      <c r="R9" s="304" t="e">
        <f>SUM(M9:Q9)</f>
        <v>#REF!</v>
      </c>
      <c r="S9" s="305" t="e">
        <f>'Qty &amp; UMH GUM'!U9</f>
        <v>#REF!</v>
      </c>
      <c r="T9" s="305" t="e">
        <f>ROUNDUP((S9-R9)/$M$4,0)</f>
        <v>#REF!</v>
      </c>
      <c r="U9" s="307"/>
      <c r="V9" s="324" t="e">
        <f>VLOOKUP($B9,#REF!,22,0)</f>
        <v>#REF!</v>
      </c>
      <c r="W9" s="324" t="e">
        <f>VLOOKUP($B9,#REF!,23,0)</f>
        <v>#REF!</v>
      </c>
      <c r="X9" s="324" t="e">
        <f>VLOOKUP($B9,#REF!,24,0)</f>
        <v>#REF!</v>
      </c>
      <c r="Y9" s="324" t="e">
        <f>VLOOKUP($B9,#REF!,25,0)</f>
        <v>#REF!</v>
      </c>
      <c r="Z9" s="324" t="e">
        <f>VLOOKUP($B9,#REF!,26,0)</f>
        <v>#REF!</v>
      </c>
      <c r="AA9" s="304" t="e">
        <f>SUM(V9:Z9)</f>
        <v>#REF!</v>
      </c>
      <c r="AB9" s="305" t="e">
        <f>'Qty &amp; UMH GUM'!X9</f>
        <v>#REF!</v>
      </c>
      <c r="AC9" s="304" t="e">
        <f>ROUNDUP((AB9-AA9)/$V$4,0)</f>
        <v>#REF!</v>
      </c>
      <c r="AD9" s="307"/>
      <c r="AE9" s="324" t="e">
        <f>VLOOKUP($B9,#REF!,28,0)</f>
        <v>#REF!</v>
      </c>
      <c r="AF9" s="324" t="e">
        <f>VLOOKUP($B9,#REF!,29,0)</f>
        <v>#REF!</v>
      </c>
      <c r="AG9" s="324" t="e">
        <f>VLOOKUP($B9,#REF!,30,0)</f>
        <v>#REF!</v>
      </c>
      <c r="AH9" s="324" t="e">
        <f>VLOOKUP($B9,#REF!,31,0)</f>
        <v>#REF!</v>
      </c>
      <c r="AI9" s="324" t="e">
        <f>VLOOKUP($B9,#REF!,32,0)</f>
        <v>#REF!</v>
      </c>
      <c r="AJ9" s="304" t="e">
        <f>SUM(AE9:AI9)</f>
        <v>#REF!</v>
      </c>
      <c r="AK9" s="305" t="e">
        <f>'Qty &amp; UMH GUM'!AA9</f>
        <v>#REF!</v>
      </c>
      <c r="AL9" s="304" t="e">
        <f>ROUNDUP((AK9-AJ9)/$AE$4,0)</f>
        <v>#REF!</v>
      </c>
      <c r="AM9" s="307"/>
      <c r="AN9" s="308" t="e">
        <f>VLOOKUP($B9,#REF!,34,0)</f>
        <v>#REF!</v>
      </c>
      <c r="AO9" s="304" t="e">
        <f>VLOOKUP($B9,#REF!,35,0)</f>
        <v>#REF!</v>
      </c>
      <c r="AP9" s="304" t="e">
        <f>VLOOKUP($B9,#REF!,36,0)</f>
        <v>#REF!</v>
      </c>
      <c r="AQ9" s="304" t="e">
        <f>VLOOKUP($B9,#REF!,37,0)</f>
        <v>#REF!</v>
      </c>
      <c r="AR9" s="304"/>
      <c r="AS9" s="304" t="e">
        <f>SUM(AN9:AR9)</f>
        <v>#REF!</v>
      </c>
      <c r="AT9" s="305" t="e">
        <f>'Qty &amp; UMH GUM'!AD9</f>
        <v>#REF!</v>
      </c>
      <c r="AU9" s="304" t="e">
        <f>ROUNDUP((AT9-AS9)/$AN$4,0)</f>
        <v>#REF!</v>
      </c>
      <c r="AV9" s="307"/>
    </row>
    <row r="10" spans="1:49" customHeight="1" ht="18.75">
      <c r="A10" s="537"/>
      <c r="B10" s="331" t="str">
        <f>'Qty &amp; UMH GUM'!C10</f>
        <v>82111-4DT40</v>
      </c>
      <c r="C10" s="303" t="str">
        <f>+'Qty &amp; UMH GUM'!B10</f>
        <v>HEV-LHD</v>
      </c>
      <c r="D10" s="324" t="e">
        <f>VLOOKUP($B10,#REF!,10,0)</f>
        <v>#REF!</v>
      </c>
      <c r="E10" s="324" t="e">
        <f>VLOOKUP($B10,#REF!,11,0)</f>
        <v>#REF!</v>
      </c>
      <c r="F10" s="324" t="e">
        <f>VLOOKUP($B10,#REF!,12,0)</f>
        <v>#REF!</v>
      </c>
      <c r="G10" s="324" t="e">
        <f>VLOOKUP($B10,#REF!,13,0)</f>
        <v>#REF!</v>
      </c>
      <c r="H10" s="324" t="e">
        <f>VLOOKUP($B10,#REF!,14,0)</f>
        <v>#REF!</v>
      </c>
      <c r="I10" s="304" t="e">
        <f>SUM(D10:D10)</f>
        <v>#REF!</v>
      </c>
      <c r="J10" s="305" t="e">
        <f>'Qty &amp; UMH GUM'!R10</f>
        <v>#REF!</v>
      </c>
      <c r="K10" s="305" t="e">
        <f>ROUNDUP((J10-I10)/$D$4,0)</f>
        <v>#REF!</v>
      </c>
      <c r="L10" s="306"/>
      <c r="M10" s="324" t="e">
        <f>VLOOKUP($B10,#REF!,16,0)</f>
        <v>#REF!</v>
      </c>
      <c r="N10" s="324" t="e">
        <f>VLOOKUP($B10,#REF!,17,0)</f>
        <v>#REF!</v>
      </c>
      <c r="O10" s="324" t="e">
        <f>VLOOKUP($B10,#REF!,18,0)</f>
        <v>#REF!</v>
      </c>
      <c r="P10" s="324" t="e">
        <f>VLOOKUP($B10,#REF!,19,0)</f>
        <v>#REF!</v>
      </c>
      <c r="Q10" s="324" t="e">
        <f>VLOOKUP($B10,#REF!,20,0)</f>
        <v>#REF!</v>
      </c>
      <c r="R10" s="304" t="e">
        <f>SUM(M10:M10)</f>
        <v>#REF!</v>
      </c>
      <c r="S10" s="305" t="e">
        <f>'Qty &amp; UMH GUM'!U10</f>
        <v>#REF!</v>
      </c>
      <c r="T10" s="305" t="e">
        <f>ROUNDUP((S10-R10)/$M$4,0)</f>
        <v>#REF!</v>
      </c>
      <c r="U10" s="307"/>
      <c r="V10" s="324" t="e">
        <f>VLOOKUP($B10,#REF!,22,0)</f>
        <v>#REF!</v>
      </c>
      <c r="W10" s="324" t="e">
        <f>VLOOKUP($B10,#REF!,23,0)</f>
        <v>#REF!</v>
      </c>
      <c r="X10" s="324" t="e">
        <f>VLOOKUP($B10,#REF!,24,0)</f>
        <v>#REF!</v>
      </c>
      <c r="Y10" s="324" t="e">
        <f>VLOOKUP($B10,#REF!,25,0)</f>
        <v>#REF!</v>
      </c>
      <c r="Z10" s="324" t="e">
        <f>VLOOKUP($B10,#REF!,26,0)</f>
        <v>#REF!</v>
      </c>
      <c r="AA10" s="304" t="e">
        <f>SUM(V10:V10)</f>
        <v>#REF!</v>
      </c>
      <c r="AB10" s="305" t="e">
        <f>'Qty &amp; UMH GUM'!X10</f>
        <v>#REF!</v>
      </c>
      <c r="AC10" s="304" t="e">
        <f>ROUNDUP((AB10-AA10)/$V$4,0)</f>
        <v>#REF!</v>
      </c>
      <c r="AD10" s="307"/>
      <c r="AE10" s="324" t="e">
        <f>VLOOKUP($B10,#REF!,28,0)</f>
        <v>#REF!</v>
      </c>
      <c r="AF10" s="324" t="e">
        <f>VLOOKUP($B10,#REF!,29,0)</f>
        <v>#REF!</v>
      </c>
      <c r="AG10" s="324" t="e">
        <f>VLOOKUP($B10,#REF!,30,0)</f>
        <v>#REF!</v>
      </c>
      <c r="AH10" s="324" t="e">
        <f>VLOOKUP($B10,#REF!,31,0)</f>
        <v>#REF!</v>
      </c>
      <c r="AI10" s="324" t="e">
        <f>VLOOKUP($B10,#REF!,32,0)</f>
        <v>#REF!</v>
      </c>
      <c r="AJ10" s="304" t="e">
        <f>SUM(AE10:AE10)</f>
        <v>#REF!</v>
      </c>
      <c r="AK10" s="305" t="e">
        <f>'Qty &amp; UMH GUM'!AA10</f>
        <v>#REF!</v>
      </c>
      <c r="AL10" s="304" t="e">
        <f>ROUNDUP((AK10-AJ10)/$AE$4,0)</f>
        <v>#REF!</v>
      </c>
      <c r="AM10" s="307"/>
      <c r="AN10" s="308" t="e">
        <f>VLOOKUP($B10,#REF!,34,0)</f>
        <v>#REF!</v>
      </c>
      <c r="AO10" s="304" t="e">
        <f>VLOOKUP($B10,#REF!,35,0)</f>
        <v>#REF!</v>
      </c>
      <c r="AP10" s="304" t="e">
        <f>VLOOKUP($B10,#REF!,36,0)</f>
        <v>#REF!</v>
      </c>
      <c r="AQ10" s="304" t="e">
        <f>VLOOKUP($B10,#REF!,37,0)</f>
        <v>#REF!</v>
      </c>
      <c r="AR10" s="304"/>
      <c r="AS10" s="304" t="e">
        <f>SUM(AN10:AN10)</f>
        <v>#REF!</v>
      </c>
      <c r="AT10" s="305" t="e">
        <f>'Qty &amp; UMH GUM'!AD10</f>
        <v>#REF!</v>
      </c>
      <c r="AU10" s="304" t="e">
        <f>ROUNDUP((AT10-AS10)/$AN$4,0)</f>
        <v>#REF!</v>
      </c>
      <c r="AV10" s="307"/>
    </row>
    <row r="11" spans="1:49" customHeight="1" ht="18.75">
      <c r="A11" s="537"/>
      <c r="B11" s="331" t="str">
        <f>'Qty &amp; UMH GUM'!C11</f>
        <v>82111-4DT50</v>
      </c>
      <c r="C11" s="303" t="str">
        <f>+'Qty &amp; UMH GUM'!B11</f>
        <v>HEV-LHD</v>
      </c>
      <c r="D11" s="324" t="e">
        <f>VLOOKUP($B11,#REF!,10,0)</f>
        <v>#REF!</v>
      </c>
      <c r="E11" s="324" t="e">
        <f>VLOOKUP($B11,#REF!,11,0)</f>
        <v>#REF!</v>
      </c>
      <c r="F11" s="324" t="e">
        <f>VLOOKUP($B11,#REF!,12,0)</f>
        <v>#REF!</v>
      </c>
      <c r="G11" s="324" t="e">
        <f>VLOOKUP($B11,#REF!,13,0)</f>
        <v>#REF!</v>
      </c>
      <c r="H11" s="324" t="e">
        <f>VLOOKUP($B11,#REF!,14,0)</f>
        <v>#REF!</v>
      </c>
      <c r="I11" s="304" t="e">
        <f>SUM(D11:D11)</f>
        <v>#REF!</v>
      </c>
      <c r="J11" s="305" t="e">
        <f>'Qty &amp; UMH GUM'!R11</f>
        <v>#REF!</v>
      </c>
      <c r="K11" s="305" t="e">
        <f>ROUNDUP((J11-I11)/$D$4,0)</f>
        <v>#REF!</v>
      </c>
      <c r="L11" s="306"/>
      <c r="M11" s="324" t="e">
        <f>VLOOKUP($B11,#REF!,16,0)</f>
        <v>#REF!</v>
      </c>
      <c r="N11" s="324" t="e">
        <f>VLOOKUP($B11,#REF!,17,0)</f>
        <v>#REF!</v>
      </c>
      <c r="O11" s="324" t="e">
        <f>VLOOKUP($B11,#REF!,18,0)</f>
        <v>#REF!</v>
      </c>
      <c r="P11" s="324" t="e">
        <f>VLOOKUP($B11,#REF!,19,0)</f>
        <v>#REF!</v>
      </c>
      <c r="Q11" s="324" t="e">
        <f>VLOOKUP($B11,#REF!,20,0)</f>
        <v>#REF!</v>
      </c>
      <c r="R11" s="304" t="e">
        <f>SUM(M11:M11)</f>
        <v>#REF!</v>
      </c>
      <c r="S11" s="305" t="e">
        <f>'Qty &amp; UMH GUM'!U11</f>
        <v>#REF!</v>
      </c>
      <c r="T11" s="305" t="e">
        <f>ROUNDUP((S11-R11)/$M$4,0)</f>
        <v>#REF!</v>
      </c>
      <c r="U11" s="307"/>
      <c r="V11" s="324" t="e">
        <f>VLOOKUP($B11,#REF!,22,0)</f>
        <v>#REF!</v>
      </c>
      <c r="W11" s="324" t="e">
        <f>VLOOKUP($B11,#REF!,23,0)</f>
        <v>#REF!</v>
      </c>
      <c r="X11" s="324" t="e">
        <f>VLOOKUP($B11,#REF!,24,0)</f>
        <v>#REF!</v>
      </c>
      <c r="Y11" s="324" t="e">
        <f>VLOOKUP($B11,#REF!,25,0)</f>
        <v>#REF!</v>
      </c>
      <c r="Z11" s="324" t="e">
        <f>VLOOKUP($B11,#REF!,26,0)</f>
        <v>#REF!</v>
      </c>
      <c r="AA11" s="304" t="e">
        <f>SUM(V11:V11)</f>
        <v>#REF!</v>
      </c>
      <c r="AB11" s="305" t="e">
        <f>'Qty &amp; UMH GUM'!X11</f>
        <v>#REF!</v>
      </c>
      <c r="AC11" s="304" t="e">
        <f>ROUNDUP((AB11-AA11)/$V$4,0)</f>
        <v>#REF!</v>
      </c>
      <c r="AD11" s="307"/>
      <c r="AE11" s="324" t="e">
        <f>VLOOKUP($B11,#REF!,28,0)</f>
        <v>#REF!</v>
      </c>
      <c r="AF11" s="324" t="e">
        <f>VLOOKUP($B11,#REF!,29,0)</f>
        <v>#REF!</v>
      </c>
      <c r="AG11" s="324" t="e">
        <f>VLOOKUP($B11,#REF!,30,0)</f>
        <v>#REF!</v>
      </c>
      <c r="AH11" s="324" t="e">
        <f>VLOOKUP($B11,#REF!,31,0)</f>
        <v>#REF!</v>
      </c>
      <c r="AI11" s="324" t="e">
        <f>VLOOKUP($B11,#REF!,32,0)</f>
        <v>#REF!</v>
      </c>
      <c r="AJ11" s="304" t="e">
        <f>SUM(AE11:AE11)</f>
        <v>#REF!</v>
      </c>
      <c r="AK11" s="305" t="e">
        <f>'Qty &amp; UMH GUM'!AA11</f>
        <v>#REF!</v>
      </c>
      <c r="AL11" s="304" t="e">
        <f>ROUNDUP((AK11-AJ11)/$AE$4,0)</f>
        <v>#REF!</v>
      </c>
      <c r="AM11" s="307"/>
      <c r="AN11" s="308" t="e">
        <f>VLOOKUP($B11,#REF!,34,0)</f>
        <v>#REF!</v>
      </c>
      <c r="AO11" s="304" t="e">
        <f>VLOOKUP($B11,#REF!,35,0)</f>
        <v>#REF!</v>
      </c>
      <c r="AP11" s="304" t="e">
        <f>VLOOKUP($B11,#REF!,36,0)</f>
        <v>#REF!</v>
      </c>
      <c r="AQ11" s="304" t="e">
        <f>VLOOKUP($B11,#REF!,37,0)</f>
        <v>#REF!</v>
      </c>
      <c r="AR11" s="304"/>
      <c r="AS11" s="304" t="e">
        <f>SUM(AN11:AN11)</f>
        <v>#REF!</v>
      </c>
      <c r="AT11" s="305" t="e">
        <f>'Qty &amp; UMH GUM'!AD11</f>
        <v>#REF!</v>
      </c>
      <c r="AU11" s="304" t="e">
        <f>ROUNDUP((AT11-AS11)/$AN$4,0)</f>
        <v>#REF!</v>
      </c>
      <c r="AV11" s="307"/>
    </row>
    <row r="12" spans="1:49" customHeight="1" ht="18.75">
      <c r="A12" s="537"/>
      <c r="B12" s="331" t="str">
        <f>'Qty &amp; UMH GUM'!C12</f>
        <v>82111-4DT60</v>
      </c>
      <c r="C12" s="303" t="str">
        <f>+'Qty &amp; UMH GUM'!B12</f>
        <v>GAS-LHD</v>
      </c>
      <c r="D12" s="324" t="e">
        <f>VLOOKUP($B12,#REF!,10,0)</f>
        <v>#REF!</v>
      </c>
      <c r="E12" s="324" t="e">
        <f>VLOOKUP($B12,#REF!,11,0)</f>
        <v>#REF!</v>
      </c>
      <c r="F12" s="324" t="e">
        <f>VLOOKUP($B12,#REF!,12,0)</f>
        <v>#REF!</v>
      </c>
      <c r="G12" s="324" t="e">
        <f>VLOOKUP($B12,#REF!,13,0)</f>
        <v>#REF!</v>
      </c>
      <c r="H12" s="324" t="e">
        <f>VLOOKUP($B12,#REF!,14,0)</f>
        <v>#REF!</v>
      </c>
      <c r="I12" s="304" t="e">
        <f>SUM(D12:D12)</f>
        <v>#REF!</v>
      </c>
      <c r="J12" s="305" t="e">
        <f>'Qty &amp; UMH GUM'!R12</f>
        <v>#REF!</v>
      </c>
      <c r="K12" s="305" t="e">
        <f>ROUNDUP((J12-I12)/$D$4,0)</f>
        <v>#REF!</v>
      </c>
      <c r="L12" s="306"/>
      <c r="M12" s="324" t="e">
        <f>VLOOKUP($B12,#REF!,16,0)</f>
        <v>#REF!</v>
      </c>
      <c r="N12" s="324" t="e">
        <f>VLOOKUP($B12,#REF!,17,0)</f>
        <v>#REF!</v>
      </c>
      <c r="O12" s="324" t="e">
        <f>VLOOKUP($B12,#REF!,18,0)</f>
        <v>#REF!</v>
      </c>
      <c r="P12" s="324" t="e">
        <f>VLOOKUP($B12,#REF!,19,0)</f>
        <v>#REF!</v>
      </c>
      <c r="Q12" s="324" t="e">
        <f>VLOOKUP($B12,#REF!,20,0)</f>
        <v>#REF!</v>
      </c>
      <c r="R12" s="304" t="e">
        <f>SUM(M12:M12)</f>
        <v>#REF!</v>
      </c>
      <c r="S12" s="305" t="e">
        <f>'Qty &amp; UMH GUM'!U12</f>
        <v>#REF!</v>
      </c>
      <c r="T12" s="305" t="e">
        <f>ROUNDUP((S12-R12)/$M$4,0)</f>
        <v>#REF!</v>
      </c>
      <c r="U12" s="307"/>
      <c r="V12" s="324" t="e">
        <f>VLOOKUP($B12,#REF!,22,0)</f>
        <v>#REF!</v>
      </c>
      <c r="W12" s="324" t="e">
        <f>VLOOKUP($B12,#REF!,23,0)</f>
        <v>#REF!</v>
      </c>
      <c r="X12" s="324" t="e">
        <f>VLOOKUP($B12,#REF!,24,0)</f>
        <v>#REF!</v>
      </c>
      <c r="Y12" s="324" t="e">
        <f>VLOOKUP($B12,#REF!,25,0)</f>
        <v>#REF!</v>
      </c>
      <c r="Z12" s="324" t="e">
        <f>VLOOKUP($B12,#REF!,26,0)</f>
        <v>#REF!</v>
      </c>
      <c r="AA12" s="304" t="e">
        <f>SUM(V12:V12)</f>
        <v>#REF!</v>
      </c>
      <c r="AB12" s="305" t="e">
        <f>'Qty &amp; UMH GUM'!X12</f>
        <v>#REF!</v>
      </c>
      <c r="AC12" s="304" t="e">
        <f>ROUNDUP((AB12-AA12)/$V$4,0)</f>
        <v>#REF!</v>
      </c>
      <c r="AD12" s="307"/>
      <c r="AE12" s="324" t="e">
        <f>VLOOKUP($B12,#REF!,28,0)</f>
        <v>#REF!</v>
      </c>
      <c r="AF12" s="324" t="e">
        <f>VLOOKUP($B12,#REF!,29,0)</f>
        <v>#REF!</v>
      </c>
      <c r="AG12" s="324" t="e">
        <f>VLOOKUP($B12,#REF!,30,0)</f>
        <v>#REF!</v>
      </c>
      <c r="AH12" s="324" t="e">
        <f>VLOOKUP($B12,#REF!,31,0)</f>
        <v>#REF!</v>
      </c>
      <c r="AI12" s="324" t="e">
        <f>VLOOKUP($B12,#REF!,32,0)</f>
        <v>#REF!</v>
      </c>
      <c r="AJ12" s="304" t="e">
        <f>SUM(AE12:AE12)</f>
        <v>#REF!</v>
      </c>
      <c r="AK12" s="305" t="e">
        <f>'Qty &amp; UMH GUM'!AA12</f>
        <v>#REF!</v>
      </c>
      <c r="AL12" s="304" t="e">
        <f>ROUNDUP((AK12-AJ12)/$AE$4,0)</f>
        <v>#REF!</v>
      </c>
      <c r="AM12" s="307"/>
      <c r="AN12" s="308" t="e">
        <f>VLOOKUP($B12,#REF!,34,0)</f>
        <v>#REF!</v>
      </c>
      <c r="AO12" s="304" t="e">
        <f>VLOOKUP($B12,#REF!,35,0)</f>
        <v>#REF!</v>
      </c>
      <c r="AP12" s="304" t="e">
        <f>VLOOKUP($B12,#REF!,36,0)</f>
        <v>#REF!</v>
      </c>
      <c r="AQ12" s="304" t="e">
        <f>VLOOKUP($B12,#REF!,37,0)</f>
        <v>#REF!</v>
      </c>
      <c r="AR12" s="304"/>
      <c r="AS12" s="304" t="e">
        <f>SUM(AN12:AN12)</f>
        <v>#REF!</v>
      </c>
      <c r="AT12" s="305" t="e">
        <f>'Qty &amp; UMH GUM'!AD12</f>
        <v>#REF!</v>
      </c>
      <c r="AU12" s="304" t="e">
        <f>ROUNDUP((AT12-AS12)/$AN$4,0)</f>
        <v>#REF!</v>
      </c>
      <c r="AV12" s="307"/>
    </row>
    <row r="13" spans="1:49" customHeight="1" ht="18.75">
      <c r="A13" s="537"/>
      <c r="B13" s="331" t="str">
        <f>'Qty &amp; UMH GUM'!C13</f>
        <v>82111-4DT70</v>
      </c>
      <c r="C13" s="303" t="str">
        <f>+'Qty &amp; UMH GUM'!B13</f>
        <v>HEV-LHD</v>
      </c>
      <c r="D13" s="324" t="e">
        <f>VLOOKUP($B13,#REF!,10,0)</f>
        <v>#REF!</v>
      </c>
      <c r="E13" s="324" t="e">
        <f>VLOOKUP($B13,#REF!,11,0)</f>
        <v>#REF!</v>
      </c>
      <c r="F13" s="324" t="e">
        <f>VLOOKUP($B13,#REF!,12,0)</f>
        <v>#REF!</v>
      </c>
      <c r="G13" s="324" t="e">
        <f>VLOOKUP($B13,#REF!,13,0)</f>
        <v>#REF!</v>
      </c>
      <c r="H13" s="324" t="e">
        <f>VLOOKUP($B13,#REF!,14,0)</f>
        <v>#REF!</v>
      </c>
      <c r="I13" s="304" t="e">
        <f>SUM(D13:D13)</f>
        <v>#REF!</v>
      </c>
      <c r="J13" s="305" t="e">
        <f>'Qty &amp; UMH GUM'!R13</f>
        <v>#REF!</v>
      </c>
      <c r="K13" s="305" t="e">
        <f>ROUNDUP((J13-I13)/$D$4,0)</f>
        <v>#REF!</v>
      </c>
      <c r="L13" s="306"/>
      <c r="M13" s="324" t="e">
        <f>VLOOKUP($B13,#REF!,16,0)</f>
        <v>#REF!</v>
      </c>
      <c r="N13" s="324" t="e">
        <f>VLOOKUP($B13,#REF!,17,0)</f>
        <v>#REF!</v>
      </c>
      <c r="O13" s="324" t="e">
        <f>VLOOKUP($B13,#REF!,18,0)</f>
        <v>#REF!</v>
      </c>
      <c r="P13" s="324" t="e">
        <f>VLOOKUP($B13,#REF!,19,0)</f>
        <v>#REF!</v>
      </c>
      <c r="Q13" s="324" t="e">
        <f>VLOOKUP($B13,#REF!,20,0)</f>
        <v>#REF!</v>
      </c>
      <c r="R13" s="304" t="e">
        <f>SUM(M13:M13)</f>
        <v>#REF!</v>
      </c>
      <c r="S13" s="305" t="e">
        <f>'Qty &amp; UMH GUM'!U13</f>
        <v>#REF!</v>
      </c>
      <c r="T13" s="305" t="e">
        <f>ROUNDUP((S13-R13)/$M$4,0)</f>
        <v>#REF!</v>
      </c>
      <c r="U13" s="307"/>
      <c r="V13" s="324" t="e">
        <f>VLOOKUP($B13,#REF!,22,0)</f>
        <v>#REF!</v>
      </c>
      <c r="W13" s="324" t="e">
        <f>VLOOKUP($B13,#REF!,23,0)</f>
        <v>#REF!</v>
      </c>
      <c r="X13" s="324" t="e">
        <f>VLOOKUP($B13,#REF!,24,0)</f>
        <v>#REF!</v>
      </c>
      <c r="Y13" s="324" t="e">
        <f>VLOOKUP($B13,#REF!,25,0)</f>
        <v>#REF!</v>
      </c>
      <c r="Z13" s="324" t="e">
        <f>VLOOKUP($B13,#REF!,26,0)</f>
        <v>#REF!</v>
      </c>
      <c r="AA13" s="304" t="e">
        <f>SUM(V13:V13)</f>
        <v>#REF!</v>
      </c>
      <c r="AB13" s="305" t="e">
        <f>'Qty &amp; UMH GUM'!X13</f>
        <v>#REF!</v>
      </c>
      <c r="AC13" s="304" t="e">
        <f>ROUNDUP((AB13-AA13)/$V$4,0)</f>
        <v>#REF!</v>
      </c>
      <c r="AD13" s="307"/>
      <c r="AE13" s="324" t="e">
        <f>VLOOKUP($B13,#REF!,28,0)</f>
        <v>#REF!</v>
      </c>
      <c r="AF13" s="324" t="e">
        <f>VLOOKUP($B13,#REF!,29,0)</f>
        <v>#REF!</v>
      </c>
      <c r="AG13" s="324" t="e">
        <f>VLOOKUP($B13,#REF!,30,0)</f>
        <v>#REF!</v>
      </c>
      <c r="AH13" s="324" t="e">
        <f>VLOOKUP($B13,#REF!,31,0)</f>
        <v>#REF!</v>
      </c>
      <c r="AI13" s="324" t="e">
        <f>VLOOKUP($B13,#REF!,32,0)</f>
        <v>#REF!</v>
      </c>
      <c r="AJ13" s="304" t="e">
        <f>SUM(AE13:AE13)</f>
        <v>#REF!</v>
      </c>
      <c r="AK13" s="305" t="e">
        <f>'Qty &amp; UMH GUM'!AA13</f>
        <v>#REF!</v>
      </c>
      <c r="AL13" s="304" t="e">
        <f>ROUNDUP((AK13-AJ13)/$AE$4,0)</f>
        <v>#REF!</v>
      </c>
      <c r="AM13" s="307"/>
      <c r="AN13" s="308" t="e">
        <f>VLOOKUP($B13,#REF!,34,0)</f>
        <v>#REF!</v>
      </c>
      <c r="AO13" s="304" t="e">
        <f>VLOOKUP($B13,#REF!,35,0)</f>
        <v>#REF!</v>
      </c>
      <c r="AP13" s="304" t="e">
        <f>VLOOKUP($B13,#REF!,36,0)</f>
        <v>#REF!</v>
      </c>
      <c r="AQ13" s="304" t="e">
        <f>VLOOKUP($B13,#REF!,37,0)</f>
        <v>#REF!</v>
      </c>
      <c r="AR13" s="304"/>
      <c r="AS13" s="304" t="e">
        <f>SUM(AN13:AN13)</f>
        <v>#REF!</v>
      </c>
      <c r="AT13" s="305" t="e">
        <f>'Qty &amp; UMH GUM'!AD13</f>
        <v>#REF!</v>
      </c>
      <c r="AU13" s="304" t="e">
        <f>ROUNDUP((AT13-AS13)/$AN$4,0)</f>
        <v>#REF!</v>
      </c>
      <c r="AV13" s="307"/>
    </row>
    <row r="14" spans="1:49" customHeight="1" ht="18.75">
      <c r="A14" s="537"/>
      <c r="B14" s="331" t="str">
        <f>'Qty &amp; UMH GUM'!C14</f>
        <v>82111-4DT80</v>
      </c>
      <c r="C14" s="303" t="str">
        <f>+'Qty &amp; UMH GUM'!B14</f>
        <v>HEV-LHD</v>
      </c>
      <c r="D14" s="324" t="e">
        <f>VLOOKUP($B14,#REF!,10,0)</f>
        <v>#REF!</v>
      </c>
      <c r="E14" s="324" t="e">
        <f>VLOOKUP($B14,#REF!,11,0)</f>
        <v>#REF!</v>
      </c>
      <c r="F14" s="324" t="e">
        <f>VLOOKUP($B14,#REF!,12,0)</f>
        <v>#REF!</v>
      </c>
      <c r="G14" s="324" t="e">
        <f>VLOOKUP($B14,#REF!,13,0)</f>
        <v>#REF!</v>
      </c>
      <c r="H14" s="324" t="e">
        <f>VLOOKUP($B14,#REF!,14,0)</f>
        <v>#REF!</v>
      </c>
      <c r="I14" s="304" t="e">
        <f>SUM(D14:D14)</f>
        <v>#REF!</v>
      </c>
      <c r="J14" s="305" t="e">
        <f>'Qty &amp; UMH GUM'!R14</f>
        <v>#REF!</v>
      </c>
      <c r="K14" s="305" t="e">
        <f>ROUNDUP((J14-I14)/$D$4,0)</f>
        <v>#REF!</v>
      </c>
      <c r="L14" s="306"/>
      <c r="M14" s="324" t="e">
        <f>VLOOKUP($B14,#REF!,16,0)</f>
        <v>#REF!</v>
      </c>
      <c r="N14" s="324" t="e">
        <f>VLOOKUP($B14,#REF!,17,0)</f>
        <v>#REF!</v>
      </c>
      <c r="O14" s="324" t="e">
        <f>VLOOKUP($B14,#REF!,18,0)</f>
        <v>#REF!</v>
      </c>
      <c r="P14" s="324" t="e">
        <f>VLOOKUP($B14,#REF!,19,0)</f>
        <v>#REF!</v>
      </c>
      <c r="Q14" s="324" t="e">
        <f>VLOOKUP($B14,#REF!,20,0)</f>
        <v>#REF!</v>
      </c>
      <c r="R14" s="304" t="e">
        <f>SUM(M14:M14)</f>
        <v>#REF!</v>
      </c>
      <c r="S14" s="305" t="e">
        <f>'Qty &amp; UMH GUM'!U14</f>
        <v>#REF!</v>
      </c>
      <c r="T14" s="305" t="e">
        <f>ROUNDUP((S14-R14)/$M$4,0)</f>
        <v>#REF!</v>
      </c>
      <c r="U14" s="307"/>
      <c r="V14" s="324" t="e">
        <f>VLOOKUP($B14,#REF!,22,0)</f>
        <v>#REF!</v>
      </c>
      <c r="W14" s="324" t="e">
        <f>VLOOKUP($B14,#REF!,23,0)</f>
        <v>#REF!</v>
      </c>
      <c r="X14" s="324" t="e">
        <f>VLOOKUP($B14,#REF!,24,0)</f>
        <v>#REF!</v>
      </c>
      <c r="Y14" s="324" t="e">
        <f>VLOOKUP($B14,#REF!,25,0)</f>
        <v>#REF!</v>
      </c>
      <c r="Z14" s="324" t="e">
        <f>VLOOKUP($B14,#REF!,26,0)</f>
        <v>#REF!</v>
      </c>
      <c r="AA14" s="304" t="e">
        <f>SUM(V14:V14)</f>
        <v>#REF!</v>
      </c>
      <c r="AB14" s="305" t="e">
        <f>'Qty &amp; UMH GUM'!X14</f>
        <v>#REF!</v>
      </c>
      <c r="AC14" s="304" t="e">
        <f>ROUNDUP((AB14-AA14)/$V$4,0)</f>
        <v>#REF!</v>
      </c>
      <c r="AD14" s="307"/>
      <c r="AE14" s="324" t="e">
        <f>VLOOKUP($B14,#REF!,28,0)</f>
        <v>#REF!</v>
      </c>
      <c r="AF14" s="324" t="e">
        <f>VLOOKUP($B14,#REF!,29,0)</f>
        <v>#REF!</v>
      </c>
      <c r="AG14" s="324" t="e">
        <f>VLOOKUP($B14,#REF!,30,0)</f>
        <v>#REF!</v>
      </c>
      <c r="AH14" s="324" t="e">
        <f>VLOOKUP($B14,#REF!,31,0)</f>
        <v>#REF!</v>
      </c>
      <c r="AI14" s="324" t="e">
        <f>VLOOKUP($B14,#REF!,32,0)</f>
        <v>#REF!</v>
      </c>
      <c r="AJ14" s="304" t="e">
        <f>SUM(AE14:AE14)</f>
        <v>#REF!</v>
      </c>
      <c r="AK14" s="305" t="e">
        <f>'Qty &amp; UMH GUM'!AA14</f>
        <v>#REF!</v>
      </c>
      <c r="AL14" s="304" t="e">
        <f>ROUNDUP((AK14-AJ14)/$AE$4,0)</f>
        <v>#REF!</v>
      </c>
      <c r="AM14" s="307"/>
      <c r="AN14" s="308" t="e">
        <f>VLOOKUP($B14,#REF!,34,0)</f>
        <v>#REF!</v>
      </c>
      <c r="AO14" s="304" t="e">
        <f>VLOOKUP($B14,#REF!,35,0)</f>
        <v>#REF!</v>
      </c>
      <c r="AP14" s="304" t="e">
        <f>VLOOKUP($B14,#REF!,36,0)</f>
        <v>#REF!</v>
      </c>
      <c r="AQ14" s="304" t="e">
        <f>VLOOKUP($B14,#REF!,37,0)</f>
        <v>#REF!</v>
      </c>
      <c r="AR14" s="304"/>
      <c r="AS14" s="304" t="e">
        <f>SUM(AN14:AN14)</f>
        <v>#REF!</v>
      </c>
      <c r="AT14" s="305" t="e">
        <f>'Qty &amp; UMH GUM'!AD14</f>
        <v>#REF!</v>
      </c>
      <c r="AU14" s="304" t="e">
        <f>ROUNDUP((AT14-AS14)/$AN$4,0)</f>
        <v>#REF!</v>
      </c>
      <c r="AV14" s="307"/>
    </row>
    <row r="15" spans="1:49" customHeight="1" ht="18.75">
      <c r="A15" s="537"/>
      <c r="B15" s="332" t="str">
        <f>'Qty &amp; UMH GUM'!C15</f>
        <v>82111-4DT90</v>
      </c>
      <c r="C15" s="303" t="str">
        <f>+'Qty &amp; UMH GUM'!B15</f>
        <v>HEV-LHD</v>
      </c>
      <c r="D15" s="324" t="e">
        <f>VLOOKUP($B15,#REF!,10,0)</f>
        <v>#REF!</v>
      </c>
      <c r="E15" s="324" t="e">
        <f>VLOOKUP($B15,#REF!,11,0)</f>
        <v>#REF!</v>
      </c>
      <c r="F15" s="324" t="e">
        <f>VLOOKUP($B15,#REF!,12,0)</f>
        <v>#REF!</v>
      </c>
      <c r="G15" s="324" t="e">
        <f>VLOOKUP($B15,#REF!,13,0)</f>
        <v>#REF!</v>
      </c>
      <c r="H15" s="324" t="e">
        <f>VLOOKUP($B15,#REF!,14,0)</f>
        <v>#REF!</v>
      </c>
      <c r="I15" s="304" t="e">
        <f>SUM(D15:D15)</f>
        <v>#REF!</v>
      </c>
      <c r="J15" s="305" t="e">
        <f>'Qty &amp; UMH GUM'!R15</f>
        <v>#REF!</v>
      </c>
      <c r="K15" s="305" t="e">
        <f>ROUNDUP((J15-I15)/$D$4,0)</f>
        <v>#REF!</v>
      </c>
      <c r="L15" s="306"/>
      <c r="M15" s="324" t="e">
        <f>VLOOKUP($B15,#REF!,16,0)</f>
        <v>#REF!</v>
      </c>
      <c r="N15" s="324" t="e">
        <f>VLOOKUP($B15,#REF!,17,0)</f>
        <v>#REF!</v>
      </c>
      <c r="O15" s="324" t="e">
        <f>VLOOKUP($B15,#REF!,18,0)</f>
        <v>#REF!</v>
      </c>
      <c r="P15" s="324" t="e">
        <f>VLOOKUP($B15,#REF!,19,0)</f>
        <v>#REF!</v>
      </c>
      <c r="Q15" s="324" t="e">
        <f>VLOOKUP($B15,#REF!,20,0)</f>
        <v>#REF!</v>
      </c>
      <c r="R15" s="304" t="e">
        <f>SUM(M15:M15)</f>
        <v>#REF!</v>
      </c>
      <c r="S15" s="305" t="e">
        <f>'Qty &amp; UMH GUM'!U15</f>
        <v>#REF!</v>
      </c>
      <c r="T15" s="305" t="e">
        <f>ROUNDUP((S15-R15)/$M$4,0)</f>
        <v>#REF!</v>
      </c>
      <c r="U15" s="307"/>
      <c r="V15" s="324" t="e">
        <f>VLOOKUP($B15,#REF!,22,0)</f>
        <v>#REF!</v>
      </c>
      <c r="W15" s="324" t="e">
        <f>VLOOKUP($B15,#REF!,23,0)</f>
        <v>#REF!</v>
      </c>
      <c r="X15" s="324" t="e">
        <f>VLOOKUP($B15,#REF!,24,0)</f>
        <v>#REF!</v>
      </c>
      <c r="Y15" s="324" t="e">
        <f>VLOOKUP($B15,#REF!,25,0)</f>
        <v>#REF!</v>
      </c>
      <c r="Z15" s="324" t="e">
        <f>VLOOKUP($B15,#REF!,26,0)</f>
        <v>#REF!</v>
      </c>
      <c r="AA15" s="304" t="e">
        <f>SUM(V15:V15)</f>
        <v>#REF!</v>
      </c>
      <c r="AB15" s="305" t="e">
        <f>'Qty &amp; UMH GUM'!X15</f>
        <v>#REF!</v>
      </c>
      <c r="AC15" s="304" t="e">
        <f>ROUNDUP((AB15-AA15)/$V$4,0)</f>
        <v>#REF!</v>
      </c>
      <c r="AD15" s="307"/>
      <c r="AE15" s="324" t="e">
        <f>VLOOKUP($B15,#REF!,28,0)</f>
        <v>#REF!</v>
      </c>
      <c r="AF15" s="324" t="e">
        <f>VLOOKUP($B15,#REF!,29,0)</f>
        <v>#REF!</v>
      </c>
      <c r="AG15" s="324" t="e">
        <f>VLOOKUP($B15,#REF!,30,0)</f>
        <v>#REF!</v>
      </c>
      <c r="AH15" s="324" t="e">
        <f>VLOOKUP($B15,#REF!,31,0)</f>
        <v>#REF!</v>
      </c>
      <c r="AI15" s="324" t="e">
        <f>VLOOKUP($B15,#REF!,32,0)</f>
        <v>#REF!</v>
      </c>
      <c r="AJ15" s="304" t="e">
        <f>SUM(AE15:AE15)</f>
        <v>#REF!</v>
      </c>
      <c r="AK15" s="305" t="e">
        <f>'Qty &amp; UMH GUM'!AA15</f>
        <v>#REF!</v>
      </c>
      <c r="AL15" s="304" t="e">
        <f>ROUNDUP((AK15-AJ15)/$AE$4,0)</f>
        <v>#REF!</v>
      </c>
      <c r="AM15" s="309"/>
      <c r="AN15" s="308" t="e">
        <f>VLOOKUP($B15,#REF!,34,0)</f>
        <v>#REF!</v>
      </c>
      <c r="AO15" s="304" t="e">
        <f>VLOOKUP($B15,#REF!,35,0)</f>
        <v>#REF!</v>
      </c>
      <c r="AP15" s="304" t="e">
        <f>VLOOKUP($B15,#REF!,36,0)</f>
        <v>#REF!</v>
      </c>
      <c r="AQ15" s="304" t="e">
        <f>VLOOKUP($B15,#REF!,37,0)</f>
        <v>#REF!</v>
      </c>
      <c r="AR15" s="304"/>
      <c r="AS15" s="304" t="e">
        <f>SUM(AN15:AN15)</f>
        <v>#REF!</v>
      </c>
      <c r="AT15" s="305" t="e">
        <f>'Qty &amp; UMH GUM'!AD15</f>
        <v>#REF!</v>
      </c>
      <c r="AU15" s="304" t="e">
        <f>ROUNDUP((AT15-AS15)/$AN$4,0)</f>
        <v>#REF!</v>
      </c>
      <c r="AV15" s="310"/>
    </row>
    <row r="16" spans="1:49" customHeight="1" ht="18.75">
      <c r="A16" s="537"/>
      <c r="B16" s="331" t="str">
        <f>'Qty &amp; UMH GUM'!C16</f>
        <v>82111-4DU00</v>
      </c>
      <c r="C16" s="303" t="str">
        <f>+'Qty &amp; UMH GUM'!B16</f>
        <v>HEV-LHD</v>
      </c>
      <c r="D16" s="324" t="e">
        <f>VLOOKUP($B16,#REF!,10,0)</f>
        <v>#REF!</v>
      </c>
      <c r="E16" s="324" t="e">
        <f>VLOOKUP($B16,#REF!,11,0)</f>
        <v>#REF!</v>
      </c>
      <c r="F16" s="324" t="e">
        <f>VLOOKUP($B16,#REF!,12,0)</f>
        <v>#REF!</v>
      </c>
      <c r="G16" s="324" t="e">
        <f>VLOOKUP($B16,#REF!,13,0)</f>
        <v>#REF!</v>
      </c>
      <c r="H16" s="324" t="e">
        <f>VLOOKUP($B16,#REF!,14,0)</f>
        <v>#REF!</v>
      </c>
      <c r="I16" s="304" t="e">
        <f>SUM(D16:D16)</f>
        <v>#REF!</v>
      </c>
      <c r="J16" s="305" t="e">
        <f>'Qty &amp; UMH GUM'!R16</f>
        <v>#REF!</v>
      </c>
      <c r="K16" s="305" t="e">
        <f>ROUNDUP((J16-I16)/$D$4,0)</f>
        <v>#REF!</v>
      </c>
      <c r="L16" s="306"/>
      <c r="M16" s="324" t="e">
        <f>VLOOKUP($B16,#REF!,16,0)</f>
        <v>#REF!</v>
      </c>
      <c r="N16" s="324" t="e">
        <f>VLOOKUP($B16,#REF!,17,0)</f>
        <v>#REF!</v>
      </c>
      <c r="O16" s="324" t="e">
        <f>VLOOKUP($B16,#REF!,18,0)</f>
        <v>#REF!</v>
      </c>
      <c r="P16" s="324" t="e">
        <f>VLOOKUP($B16,#REF!,19,0)</f>
        <v>#REF!</v>
      </c>
      <c r="Q16" s="324" t="e">
        <f>VLOOKUP($B16,#REF!,20,0)</f>
        <v>#REF!</v>
      </c>
      <c r="R16" s="304" t="e">
        <f>SUM(M16:M16)</f>
        <v>#REF!</v>
      </c>
      <c r="S16" s="305" t="e">
        <f>'Qty &amp; UMH GUM'!U16</f>
        <v>#REF!</v>
      </c>
      <c r="T16" s="305" t="e">
        <f>ROUNDUP((S16-R16)/$M$4,0)</f>
        <v>#REF!</v>
      </c>
      <c r="U16" s="307"/>
      <c r="V16" s="324" t="e">
        <f>VLOOKUP($B16,#REF!,22,0)</f>
        <v>#REF!</v>
      </c>
      <c r="W16" s="324" t="e">
        <f>VLOOKUP($B16,#REF!,23,0)</f>
        <v>#REF!</v>
      </c>
      <c r="X16" s="324" t="e">
        <f>VLOOKUP($B16,#REF!,24,0)</f>
        <v>#REF!</v>
      </c>
      <c r="Y16" s="324" t="e">
        <f>VLOOKUP($B16,#REF!,25,0)</f>
        <v>#REF!</v>
      </c>
      <c r="Z16" s="324" t="e">
        <f>VLOOKUP($B16,#REF!,26,0)</f>
        <v>#REF!</v>
      </c>
      <c r="AA16" s="304" t="e">
        <f>SUM(V16:V16)</f>
        <v>#REF!</v>
      </c>
      <c r="AB16" s="305" t="e">
        <f>'Qty &amp; UMH GUM'!X16</f>
        <v>#REF!</v>
      </c>
      <c r="AC16" s="304" t="e">
        <f>ROUNDUP((AB16-AA16)/$V$4,0)</f>
        <v>#REF!</v>
      </c>
      <c r="AD16" s="307"/>
      <c r="AE16" s="324" t="e">
        <f>VLOOKUP($B16,#REF!,28,0)</f>
        <v>#REF!</v>
      </c>
      <c r="AF16" s="324" t="e">
        <f>VLOOKUP($B16,#REF!,29,0)</f>
        <v>#REF!</v>
      </c>
      <c r="AG16" s="324" t="e">
        <f>VLOOKUP($B16,#REF!,30,0)</f>
        <v>#REF!</v>
      </c>
      <c r="AH16" s="324" t="e">
        <f>VLOOKUP($B16,#REF!,31,0)</f>
        <v>#REF!</v>
      </c>
      <c r="AI16" s="324" t="e">
        <f>VLOOKUP($B16,#REF!,32,0)</f>
        <v>#REF!</v>
      </c>
      <c r="AJ16" s="304" t="e">
        <f>SUM(AE16:AE16)</f>
        <v>#REF!</v>
      </c>
      <c r="AK16" s="305" t="e">
        <f>'Qty &amp; UMH GUM'!AA16</f>
        <v>#REF!</v>
      </c>
      <c r="AL16" s="304" t="e">
        <f>ROUNDUP((AK16-AJ16)/$AE$4,0)</f>
        <v>#REF!</v>
      </c>
      <c r="AM16" s="307"/>
      <c r="AN16" s="308" t="e">
        <f>VLOOKUP($B16,#REF!,34,0)</f>
        <v>#REF!</v>
      </c>
      <c r="AO16" s="304" t="e">
        <f>VLOOKUP($B16,#REF!,35,0)</f>
        <v>#REF!</v>
      </c>
      <c r="AP16" s="304" t="e">
        <f>VLOOKUP($B16,#REF!,36,0)</f>
        <v>#REF!</v>
      </c>
      <c r="AQ16" s="304" t="e">
        <f>VLOOKUP($B16,#REF!,37,0)</f>
        <v>#REF!</v>
      </c>
      <c r="AR16" s="304"/>
      <c r="AS16" s="304" t="e">
        <f>SUM(AN16:AN16)</f>
        <v>#REF!</v>
      </c>
      <c r="AT16" s="305" t="e">
        <f>'Qty &amp; UMH GUM'!AD16</f>
        <v>#REF!</v>
      </c>
      <c r="AU16" s="304" t="e">
        <f>ROUNDUP((AT16-AS16)/$AN$4,0)</f>
        <v>#REF!</v>
      </c>
      <c r="AV16" s="307"/>
    </row>
    <row r="17" spans="1:49" customHeight="1" ht="18.75">
      <c r="A17" s="537"/>
      <c r="B17" s="331" t="str">
        <f>'Qty &amp; UMH GUM'!C17</f>
        <v>82111-4DU10</v>
      </c>
      <c r="C17" s="303" t="str">
        <f>+'Qty &amp; UMH GUM'!B17</f>
        <v>HEV-LHD</v>
      </c>
      <c r="D17" s="324" t="e">
        <f>VLOOKUP($B17,#REF!,10,0)</f>
        <v>#REF!</v>
      </c>
      <c r="E17" s="324" t="e">
        <f>VLOOKUP($B17,#REF!,11,0)</f>
        <v>#REF!</v>
      </c>
      <c r="F17" s="324" t="e">
        <f>VLOOKUP($B17,#REF!,12,0)</f>
        <v>#REF!</v>
      </c>
      <c r="G17" s="324" t="e">
        <f>VLOOKUP($B17,#REF!,13,0)</f>
        <v>#REF!</v>
      </c>
      <c r="H17" s="324" t="e">
        <f>VLOOKUP($B17,#REF!,14,0)</f>
        <v>#REF!</v>
      </c>
      <c r="I17" s="304" t="e">
        <f>SUM(D17:D17)</f>
        <v>#REF!</v>
      </c>
      <c r="J17" s="305" t="e">
        <f>'Qty &amp; UMH GUM'!R17</f>
        <v>#REF!</v>
      </c>
      <c r="K17" s="305" t="e">
        <f>ROUNDUP((J17-I17)/$D$4,0)</f>
        <v>#REF!</v>
      </c>
      <c r="L17" s="306"/>
      <c r="M17" s="324" t="e">
        <f>VLOOKUP($B17,#REF!,16,0)</f>
        <v>#REF!</v>
      </c>
      <c r="N17" s="324" t="e">
        <f>VLOOKUP($B17,#REF!,17,0)</f>
        <v>#REF!</v>
      </c>
      <c r="O17" s="324" t="e">
        <f>VLOOKUP($B17,#REF!,18,0)</f>
        <v>#REF!</v>
      </c>
      <c r="P17" s="324" t="e">
        <f>VLOOKUP($B17,#REF!,19,0)</f>
        <v>#REF!</v>
      </c>
      <c r="Q17" s="324" t="e">
        <f>VLOOKUP($B17,#REF!,20,0)</f>
        <v>#REF!</v>
      </c>
      <c r="R17" s="304" t="e">
        <f>SUM(M17:M17)</f>
        <v>#REF!</v>
      </c>
      <c r="S17" s="305" t="e">
        <f>'Qty &amp; UMH GUM'!U17</f>
        <v>#REF!</v>
      </c>
      <c r="T17" s="305" t="e">
        <f>ROUNDUP((S17-R17)/$M$4,0)</f>
        <v>#REF!</v>
      </c>
      <c r="U17" s="307"/>
      <c r="V17" s="324" t="e">
        <f>VLOOKUP($B17,#REF!,22,0)</f>
        <v>#REF!</v>
      </c>
      <c r="W17" s="324" t="e">
        <f>VLOOKUP($B17,#REF!,23,0)</f>
        <v>#REF!</v>
      </c>
      <c r="X17" s="324" t="e">
        <f>VLOOKUP($B17,#REF!,24,0)</f>
        <v>#REF!</v>
      </c>
      <c r="Y17" s="324" t="e">
        <f>VLOOKUP($B17,#REF!,25,0)</f>
        <v>#REF!</v>
      </c>
      <c r="Z17" s="324" t="e">
        <f>VLOOKUP($B17,#REF!,26,0)</f>
        <v>#REF!</v>
      </c>
      <c r="AA17" s="304" t="e">
        <f>SUM(V17:V17)</f>
        <v>#REF!</v>
      </c>
      <c r="AB17" s="305" t="e">
        <f>'Qty &amp; UMH GUM'!X17</f>
        <v>#REF!</v>
      </c>
      <c r="AC17" s="304" t="e">
        <f>ROUNDUP((AB17-AA17)/$V$4,0)</f>
        <v>#REF!</v>
      </c>
      <c r="AD17" s="307"/>
      <c r="AE17" s="324" t="e">
        <f>VLOOKUP($B17,#REF!,28,0)</f>
        <v>#REF!</v>
      </c>
      <c r="AF17" s="324" t="e">
        <f>VLOOKUP($B17,#REF!,29,0)</f>
        <v>#REF!</v>
      </c>
      <c r="AG17" s="324" t="e">
        <f>VLOOKUP($B17,#REF!,30,0)</f>
        <v>#REF!</v>
      </c>
      <c r="AH17" s="324" t="e">
        <f>VLOOKUP($B17,#REF!,31,0)</f>
        <v>#REF!</v>
      </c>
      <c r="AI17" s="324" t="e">
        <f>VLOOKUP($B17,#REF!,32,0)</f>
        <v>#REF!</v>
      </c>
      <c r="AJ17" s="304" t="e">
        <f>SUM(AE17:AE17)</f>
        <v>#REF!</v>
      </c>
      <c r="AK17" s="305" t="e">
        <f>'Qty &amp; UMH GUM'!AA17</f>
        <v>#REF!</v>
      </c>
      <c r="AL17" s="304" t="e">
        <f>ROUNDUP((AK17-AJ17)/$AE$4,0)</f>
        <v>#REF!</v>
      </c>
      <c r="AM17" s="307"/>
      <c r="AN17" s="308" t="e">
        <f>VLOOKUP($B17,#REF!,34,0)</f>
        <v>#REF!</v>
      </c>
      <c r="AO17" s="304" t="e">
        <f>VLOOKUP($B17,#REF!,35,0)</f>
        <v>#REF!</v>
      </c>
      <c r="AP17" s="304" t="e">
        <f>VLOOKUP($B17,#REF!,36,0)</f>
        <v>#REF!</v>
      </c>
      <c r="AQ17" s="304" t="e">
        <f>VLOOKUP($B17,#REF!,37,0)</f>
        <v>#REF!</v>
      </c>
      <c r="AR17" s="304"/>
      <c r="AS17" s="304" t="e">
        <f>SUM(AN17:AN17)</f>
        <v>#REF!</v>
      </c>
      <c r="AT17" s="305" t="e">
        <f>'Qty &amp; UMH GUM'!AD17</f>
        <v>#REF!</v>
      </c>
      <c r="AU17" s="304" t="e">
        <f>ROUNDUP((AT17-AS17)/$AN$4,0)</f>
        <v>#REF!</v>
      </c>
      <c r="AV17" s="307"/>
    </row>
    <row r="18" spans="1:49" customHeight="1" ht="18.75">
      <c r="A18" s="537"/>
      <c r="B18" s="332" t="str">
        <f>'Qty &amp; UMH GUM'!C18</f>
        <v>82111-4DU20</v>
      </c>
      <c r="C18" s="303" t="str">
        <f>+'Qty &amp; UMH GUM'!B18</f>
        <v>HEV-LHD</v>
      </c>
      <c r="D18" s="324" t="e">
        <f>VLOOKUP($B18,#REF!,10,0)</f>
        <v>#REF!</v>
      </c>
      <c r="E18" s="324" t="e">
        <f>VLOOKUP($B18,#REF!,11,0)</f>
        <v>#REF!</v>
      </c>
      <c r="F18" s="324" t="e">
        <f>VLOOKUP($B18,#REF!,12,0)</f>
        <v>#REF!</v>
      </c>
      <c r="G18" s="324" t="e">
        <f>VLOOKUP($B18,#REF!,13,0)</f>
        <v>#REF!</v>
      </c>
      <c r="H18" s="324" t="e">
        <f>VLOOKUP($B18,#REF!,14,0)</f>
        <v>#REF!</v>
      </c>
      <c r="I18" s="304" t="e">
        <f>SUM(D18:D18)</f>
        <v>#REF!</v>
      </c>
      <c r="J18" s="305" t="e">
        <f>'Qty &amp; UMH GUM'!R18</f>
        <v>#REF!</v>
      </c>
      <c r="K18" s="305" t="e">
        <f>ROUNDUP((J18-I18)/$D$4,0)</f>
        <v>#REF!</v>
      </c>
      <c r="L18" s="306"/>
      <c r="M18" s="324" t="e">
        <f>VLOOKUP($B18,#REF!,16,0)</f>
        <v>#REF!</v>
      </c>
      <c r="N18" s="324" t="e">
        <f>VLOOKUP($B18,#REF!,17,0)</f>
        <v>#REF!</v>
      </c>
      <c r="O18" s="324" t="e">
        <f>VLOOKUP($B18,#REF!,18,0)</f>
        <v>#REF!</v>
      </c>
      <c r="P18" s="324" t="e">
        <f>VLOOKUP($B18,#REF!,19,0)</f>
        <v>#REF!</v>
      </c>
      <c r="Q18" s="324" t="e">
        <f>VLOOKUP($B18,#REF!,20,0)</f>
        <v>#REF!</v>
      </c>
      <c r="R18" s="304" t="e">
        <f>SUM(M18:M18)</f>
        <v>#REF!</v>
      </c>
      <c r="S18" s="305" t="e">
        <f>'Qty &amp; UMH GUM'!U18</f>
        <v>#REF!</v>
      </c>
      <c r="T18" s="305" t="e">
        <f>ROUNDUP((S18-R18)/$M$4,0)</f>
        <v>#REF!</v>
      </c>
      <c r="U18" s="307"/>
      <c r="V18" s="324" t="e">
        <f>VLOOKUP($B18,#REF!,22,0)</f>
        <v>#REF!</v>
      </c>
      <c r="W18" s="324" t="e">
        <f>VLOOKUP($B18,#REF!,23,0)</f>
        <v>#REF!</v>
      </c>
      <c r="X18" s="324" t="e">
        <f>VLOOKUP($B18,#REF!,24,0)</f>
        <v>#REF!</v>
      </c>
      <c r="Y18" s="324" t="e">
        <f>VLOOKUP($B18,#REF!,25,0)</f>
        <v>#REF!</v>
      </c>
      <c r="Z18" s="324" t="e">
        <f>VLOOKUP($B18,#REF!,26,0)</f>
        <v>#REF!</v>
      </c>
      <c r="AA18" s="304" t="e">
        <f>SUM(V18:V18)</f>
        <v>#REF!</v>
      </c>
      <c r="AB18" s="305" t="e">
        <f>'Qty &amp; UMH GUM'!X18</f>
        <v>#REF!</v>
      </c>
      <c r="AC18" s="304" t="e">
        <f>ROUNDUP((AB18-AA18)/$V$4,0)</f>
        <v>#REF!</v>
      </c>
      <c r="AD18" s="307"/>
      <c r="AE18" s="324" t="e">
        <f>VLOOKUP($B18,#REF!,28,0)</f>
        <v>#REF!</v>
      </c>
      <c r="AF18" s="324" t="e">
        <f>VLOOKUP($B18,#REF!,29,0)</f>
        <v>#REF!</v>
      </c>
      <c r="AG18" s="324" t="e">
        <f>VLOOKUP($B18,#REF!,30,0)</f>
        <v>#REF!</v>
      </c>
      <c r="AH18" s="324" t="e">
        <f>VLOOKUP($B18,#REF!,31,0)</f>
        <v>#REF!</v>
      </c>
      <c r="AI18" s="324" t="e">
        <f>VLOOKUP($B18,#REF!,32,0)</f>
        <v>#REF!</v>
      </c>
      <c r="AJ18" s="304" t="e">
        <f>SUM(AE18:AE18)</f>
        <v>#REF!</v>
      </c>
      <c r="AK18" s="305" t="e">
        <f>'Qty &amp; UMH GUM'!AA18</f>
        <v>#REF!</v>
      </c>
      <c r="AL18" s="304" t="e">
        <f>ROUNDUP((AK18-AJ18)/$AE$4,0)</f>
        <v>#REF!</v>
      </c>
      <c r="AM18" s="309"/>
      <c r="AN18" s="308" t="e">
        <f>VLOOKUP($B18,#REF!,34,0)</f>
        <v>#REF!</v>
      </c>
      <c r="AO18" s="304" t="e">
        <f>VLOOKUP($B18,#REF!,35,0)</f>
        <v>#REF!</v>
      </c>
      <c r="AP18" s="304" t="e">
        <f>VLOOKUP($B18,#REF!,36,0)</f>
        <v>#REF!</v>
      </c>
      <c r="AQ18" s="304" t="e">
        <f>VLOOKUP($B18,#REF!,37,0)</f>
        <v>#REF!</v>
      </c>
      <c r="AR18" s="304"/>
      <c r="AS18" s="304" t="e">
        <f>SUM(AN18:AN18)</f>
        <v>#REF!</v>
      </c>
      <c r="AT18" s="305" t="e">
        <f>'Qty &amp; UMH GUM'!AD18</f>
        <v>#REF!</v>
      </c>
      <c r="AU18" s="304" t="e">
        <f>ROUNDUP((AT18-AS18)/$AN$4,0)</f>
        <v>#REF!</v>
      </c>
      <c r="AV18" s="310"/>
    </row>
    <row r="19" spans="1:49" customHeight="1" ht="18.75">
      <c r="A19" s="537"/>
      <c r="B19" s="332" t="str">
        <f>'Qty &amp; UMH GUM'!C19</f>
        <v>82111-4DU30</v>
      </c>
      <c r="C19" s="303" t="str">
        <f>+'Qty &amp; UMH GUM'!B19</f>
        <v>HEV-LHD</v>
      </c>
      <c r="D19" s="324" t="e">
        <f>VLOOKUP($B19,#REF!,10,0)</f>
        <v>#REF!</v>
      </c>
      <c r="E19" s="324" t="e">
        <f>VLOOKUP($B19,#REF!,11,0)</f>
        <v>#REF!</v>
      </c>
      <c r="F19" s="324" t="e">
        <f>VLOOKUP($B19,#REF!,12,0)</f>
        <v>#REF!</v>
      </c>
      <c r="G19" s="324" t="e">
        <f>VLOOKUP($B19,#REF!,13,0)</f>
        <v>#REF!</v>
      </c>
      <c r="H19" s="324" t="e">
        <f>VLOOKUP($B19,#REF!,14,0)</f>
        <v>#REF!</v>
      </c>
      <c r="I19" s="304" t="e">
        <f>SUM(D19:D19)</f>
        <v>#REF!</v>
      </c>
      <c r="J19" s="305" t="e">
        <f>'Qty &amp; UMH GUM'!R19</f>
        <v>#REF!</v>
      </c>
      <c r="K19" s="305" t="e">
        <f>ROUNDUP((J19-I19)/$D$4,0)</f>
        <v>#REF!</v>
      </c>
      <c r="L19" s="306"/>
      <c r="M19" s="324" t="e">
        <f>VLOOKUP($B19,#REF!,16,0)</f>
        <v>#REF!</v>
      </c>
      <c r="N19" s="324" t="e">
        <f>VLOOKUP($B19,#REF!,17,0)</f>
        <v>#REF!</v>
      </c>
      <c r="O19" s="324" t="e">
        <f>VLOOKUP($B19,#REF!,18,0)</f>
        <v>#REF!</v>
      </c>
      <c r="P19" s="324" t="e">
        <f>VLOOKUP($B19,#REF!,19,0)</f>
        <v>#REF!</v>
      </c>
      <c r="Q19" s="324" t="e">
        <f>VLOOKUP($B19,#REF!,20,0)</f>
        <v>#REF!</v>
      </c>
      <c r="R19" s="304" t="e">
        <f>SUM(M19:M19)</f>
        <v>#REF!</v>
      </c>
      <c r="S19" s="305" t="e">
        <f>'Qty &amp; UMH GUM'!U19</f>
        <v>#REF!</v>
      </c>
      <c r="T19" s="305" t="e">
        <f>ROUNDUP((S19-R19)/$M$4,0)</f>
        <v>#REF!</v>
      </c>
      <c r="U19" s="307"/>
      <c r="V19" s="324" t="e">
        <f>VLOOKUP($B19,#REF!,22,0)</f>
        <v>#REF!</v>
      </c>
      <c r="W19" s="324" t="e">
        <f>VLOOKUP($B19,#REF!,23,0)</f>
        <v>#REF!</v>
      </c>
      <c r="X19" s="324" t="e">
        <f>VLOOKUP($B19,#REF!,24,0)</f>
        <v>#REF!</v>
      </c>
      <c r="Y19" s="324" t="e">
        <f>VLOOKUP($B19,#REF!,25,0)</f>
        <v>#REF!</v>
      </c>
      <c r="Z19" s="324" t="e">
        <f>VLOOKUP($B19,#REF!,26,0)</f>
        <v>#REF!</v>
      </c>
      <c r="AA19" s="304" t="e">
        <f>SUM(V19:V19)</f>
        <v>#REF!</v>
      </c>
      <c r="AB19" s="305" t="e">
        <f>'Qty &amp; UMH GUM'!X19</f>
        <v>#REF!</v>
      </c>
      <c r="AC19" s="304" t="e">
        <f>ROUNDUP((AB19-AA19)/$V$4,0)</f>
        <v>#REF!</v>
      </c>
      <c r="AD19" s="307"/>
      <c r="AE19" s="324" t="e">
        <f>VLOOKUP($B19,#REF!,28,0)</f>
        <v>#REF!</v>
      </c>
      <c r="AF19" s="324" t="e">
        <f>VLOOKUP($B19,#REF!,29,0)</f>
        <v>#REF!</v>
      </c>
      <c r="AG19" s="324" t="e">
        <f>VLOOKUP($B19,#REF!,30,0)</f>
        <v>#REF!</v>
      </c>
      <c r="AH19" s="324" t="e">
        <f>VLOOKUP($B19,#REF!,31,0)</f>
        <v>#REF!</v>
      </c>
      <c r="AI19" s="324" t="e">
        <f>VLOOKUP($B19,#REF!,32,0)</f>
        <v>#REF!</v>
      </c>
      <c r="AJ19" s="304" t="e">
        <f>SUM(AE19:AE19)</f>
        <v>#REF!</v>
      </c>
      <c r="AK19" s="305" t="e">
        <f>'Qty &amp; UMH GUM'!AA19</f>
        <v>#REF!</v>
      </c>
      <c r="AL19" s="304" t="e">
        <f>ROUNDUP((AK19-AJ19)/$AE$4,0)</f>
        <v>#REF!</v>
      </c>
      <c r="AM19" s="309"/>
      <c r="AN19" s="308" t="e">
        <f>VLOOKUP($B19,#REF!,34,0)</f>
        <v>#REF!</v>
      </c>
      <c r="AO19" s="304" t="e">
        <f>VLOOKUP($B19,#REF!,35,0)</f>
        <v>#REF!</v>
      </c>
      <c r="AP19" s="304" t="e">
        <f>VLOOKUP($B19,#REF!,36,0)</f>
        <v>#REF!</v>
      </c>
      <c r="AQ19" s="304" t="e">
        <f>VLOOKUP($B19,#REF!,37,0)</f>
        <v>#REF!</v>
      </c>
      <c r="AR19" s="304"/>
      <c r="AS19" s="304" t="e">
        <f>SUM(AN19:AN19)</f>
        <v>#REF!</v>
      </c>
      <c r="AT19" s="305" t="e">
        <f>'Qty &amp; UMH GUM'!AD19</f>
        <v>#REF!</v>
      </c>
      <c r="AU19" s="304" t="e">
        <f>ROUNDUP((AT19-AS19)/$AN$4,0)</f>
        <v>#REF!</v>
      </c>
      <c r="AV19" s="311"/>
    </row>
    <row r="20" spans="1:49" customHeight="1" ht="18.75">
      <c r="A20" s="537"/>
      <c r="B20" s="332" t="str">
        <f>'Qty &amp; UMH GUM'!C20</f>
        <v>82111-4DU40</v>
      </c>
      <c r="C20" s="303" t="str">
        <f>+'Qty &amp; UMH GUM'!B20</f>
        <v>HEV-LHD</v>
      </c>
      <c r="D20" s="324" t="e">
        <f>VLOOKUP($B20,#REF!,10,0)</f>
        <v>#REF!</v>
      </c>
      <c r="E20" s="324" t="e">
        <f>VLOOKUP($B20,#REF!,11,0)</f>
        <v>#REF!</v>
      </c>
      <c r="F20" s="324" t="e">
        <f>VLOOKUP($B20,#REF!,12,0)</f>
        <v>#REF!</v>
      </c>
      <c r="G20" s="324" t="e">
        <f>VLOOKUP($B20,#REF!,13,0)</f>
        <v>#REF!</v>
      </c>
      <c r="H20" s="324" t="e">
        <f>VLOOKUP($B20,#REF!,14,0)</f>
        <v>#REF!</v>
      </c>
      <c r="I20" s="304" t="e">
        <f>SUM(D20:D20)</f>
        <v>#REF!</v>
      </c>
      <c r="J20" s="305" t="e">
        <f>'Qty &amp; UMH GUM'!R20</f>
        <v>#REF!</v>
      </c>
      <c r="K20" s="305" t="e">
        <f>ROUNDUP((J20-I20)/$D$4,0)</f>
        <v>#REF!</v>
      </c>
      <c r="L20" s="306"/>
      <c r="M20" s="324" t="e">
        <f>VLOOKUP($B20,#REF!,16,0)</f>
        <v>#REF!</v>
      </c>
      <c r="N20" s="324" t="e">
        <f>VLOOKUP($B20,#REF!,17,0)</f>
        <v>#REF!</v>
      </c>
      <c r="O20" s="324" t="e">
        <f>VLOOKUP($B20,#REF!,18,0)</f>
        <v>#REF!</v>
      </c>
      <c r="P20" s="324" t="e">
        <f>VLOOKUP($B20,#REF!,19,0)</f>
        <v>#REF!</v>
      </c>
      <c r="Q20" s="324" t="e">
        <f>VLOOKUP($B20,#REF!,20,0)</f>
        <v>#REF!</v>
      </c>
      <c r="R20" s="304" t="e">
        <f>SUM(M20:M20)</f>
        <v>#REF!</v>
      </c>
      <c r="S20" s="305" t="e">
        <f>'Qty &amp; UMH GUM'!U20</f>
        <v>#REF!</v>
      </c>
      <c r="T20" s="305" t="e">
        <f>ROUNDUP((S20-R20)/$M$4,0)</f>
        <v>#REF!</v>
      </c>
      <c r="U20" s="307"/>
      <c r="V20" s="324" t="e">
        <f>VLOOKUP($B20,#REF!,22,0)</f>
        <v>#REF!</v>
      </c>
      <c r="W20" s="324" t="e">
        <f>VLOOKUP($B20,#REF!,23,0)</f>
        <v>#REF!</v>
      </c>
      <c r="X20" s="324" t="e">
        <f>VLOOKUP($B20,#REF!,24,0)</f>
        <v>#REF!</v>
      </c>
      <c r="Y20" s="324" t="e">
        <f>VLOOKUP($B20,#REF!,25,0)</f>
        <v>#REF!</v>
      </c>
      <c r="Z20" s="324" t="e">
        <f>VLOOKUP($B20,#REF!,26,0)</f>
        <v>#REF!</v>
      </c>
      <c r="AA20" s="304" t="e">
        <f>SUM(V20:V20)</f>
        <v>#REF!</v>
      </c>
      <c r="AB20" s="305" t="e">
        <f>'Qty &amp; UMH GUM'!X20</f>
        <v>#REF!</v>
      </c>
      <c r="AC20" s="304" t="e">
        <f>ROUNDUP((AB20-AA20)/$V$4,0)</f>
        <v>#REF!</v>
      </c>
      <c r="AD20" s="307"/>
      <c r="AE20" s="324" t="e">
        <f>VLOOKUP($B20,#REF!,28,0)</f>
        <v>#REF!</v>
      </c>
      <c r="AF20" s="324" t="e">
        <f>VLOOKUP($B20,#REF!,29,0)</f>
        <v>#REF!</v>
      </c>
      <c r="AG20" s="324" t="e">
        <f>VLOOKUP($B20,#REF!,30,0)</f>
        <v>#REF!</v>
      </c>
      <c r="AH20" s="324" t="e">
        <f>VLOOKUP($B20,#REF!,31,0)</f>
        <v>#REF!</v>
      </c>
      <c r="AI20" s="324" t="e">
        <f>VLOOKUP($B20,#REF!,32,0)</f>
        <v>#REF!</v>
      </c>
      <c r="AJ20" s="304" t="e">
        <f>SUM(AE20:AE20)</f>
        <v>#REF!</v>
      </c>
      <c r="AK20" s="305" t="e">
        <f>'Qty &amp; UMH GUM'!AA20</f>
        <v>#REF!</v>
      </c>
      <c r="AL20" s="304" t="e">
        <f>ROUNDUP((AK20-AJ20)/$AE$4,0)</f>
        <v>#REF!</v>
      </c>
      <c r="AM20" s="309"/>
      <c r="AN20" s="308" t="e">
        <f>VLOOKUP($B20,#REF!,34,0)</f>
        <v>#REF!</v>
      </c>
      <c r="AO20" s="304" t="e">
        <f>VLOOKUP($B20,#REF!,35,0)</f>
        <v>#REF!</v>
      </c>
      <c r="AP20" s="304" t="e">
        <f>VLOOKUP($B20,#REF!,36,0)</f>
        <v>#REF!</v>
      </c>
      <c r="AQ20" s="304" t="e">
        <f>VLOOKUP($B20,#REF!,37,0)</f>
        <v>#REF!</v>
      </c>
      <c r="AR20" s="304"/>
      <c r="AS20" s="304" t="e">
        <f>SUM(AN20:AN20)</f>
        <v>#REF!</v>
      </c>
      <c r="AT20" s="305" t="e">
        <f>'Qty &amp; UMH GUM'!AD20</f>
        <v>#REF!</v>
      </c>
      <c r="AU20" s="304" t="e">
        <f>ROUNDUP((AT20-AS20)/$AN$4,0)</f>
        <v>#REF!</v>
      </c>
      <c r="AV20" s="311"/>
    </row>
    <row r="21" spans="1:49" customHeight="1" ht="18.75">
      <c r="A21" s="537"/>
      <c r="B21" s="332" t="str">
        <f>'Qty &amp; UMH GUM'!C21</f>
        <v>82111-4DU60</v>
      </c>
      <c r="C21" s="303" t="str">
        <f>+'Qty &amp; UMH GUM'!B21</f>
        <v>HEV-RHD</v>
      </c>
      <c r="D21" s="324" t="e">
        <f>VLOOKUP($B21,#REF!,10,0)</f>
        <v>#REF!</v>
      </c>
      <c r="E21" s="324" t="e">
        <f>VLOOKUP($B21,#REF!,11,0)</f>
        <v>#REF!</v>
      </c>
      <c r="F21" s="324" t="e">
        <f>VLOOKUP($B21,#REF!,12,0)</f>
        <v>#REF!</v>
      </c>
      <c r="G21" s="324" t="e">
        <f>VLOOKUP($B21,#REF!,13,0)</f>
        <v>#REF!</v>
      </c>
      <c r="H21" s="324" t="e">
        <f>VLOOKUP($B21,#REF!,14,0)</f>
        <v>#REF!</v>
      </c>
      <c r="I21" s="304" t="e">
        <f>SUM(D21:D21)</f>
        <v>#REF!</v>
      </c>
      <c r="J21" s="305" t="e">
        <f>'Qty &amp; UMH GUM'!R21</f>
        <v>#REF!</v>
      </c>
      <c r="K21" s="305" t="e">
        <f>ROUNDUP((J21-I21)/$D$4,0)</f>
        <v>#REF!</v>
      </c>
      <c r="L21" s="306"/>
      <c r="M21" s="324" t="e">
        <f>VLOOKUP($B21,#REF!,16,0)</f>
        <v>#REF!</v>
      </c>
      <c r="N21" s="324" t="e">
        <f>VLOOKUP($B21,#REF!,17,0)</f>
        <v>#REF!</v>
      </c>
      <c r="O21" s="324" t="e">
        <f>VLOOKUP($B21,#REF!,18,0)</f>
        <v>#REF!</v>
      </c>
      <c r="P21" s="324" t="e">
        <f>VLOOKUP($B21,#REF!,19,0)</f>
        <v>#REF!</v>
      </c>
      <c r="Q21" s="324" t="e">
        <f>VLOOKUP($B21,#REF!,20,0)</f>
        <v>#REF!</v>
      </c>
      <c r="R21" s="304" t="e">
        <f>SUM(M21:M21)</f>
        <v>#REF!</v>
      </c>
      <c r="S21" s="305" t="e">
        <f>'Qty &amp; UMH GUM'!U21</f>
        <v>#REF!</v>
      </c>
      <c r="T21" s="305" t="e">
        <f>ROUNDUP((S21-R21)/$M$4,0)</f>
        <v>#REF!</v>
      </c>
      <c r="U21" s="307"/>
      <c r="V21" s="324" t="e">
        <f>VLOOKUP($B21,#REF!,22,0)</f>
        <v>#REF!</v>
      </c>
      <c r="W21" s="324" t="e">
        <f>VLOOKUP($B21,#REF!,23,0)</f>
        <v>#REF!</v>
      </c>
      <c r="X21" s="324" t="e">
        <f>VLOOKUP($B21,#REF!,24,0)</f>
        <v>#REF!</v>
      </c>
      <c r="Y21" s="324" t="e">
        <f>VLOOKUP($B21,#REF!,25,0)</f>
        <v>#REF!</v>
      </c>
      <c r="Z21" s="324" t="e">
        <f>VLOOKUP($B21,#REF!,26,0)</f>
        <v>#REF!</v>
      </c>
      <c r="AA21" s="304" t="e">
        <f>SUM(V21:V21)</f>
        <v>#REF!</v>
      </c>
      <c r="AB21" s="305" t="e">
        <f>'Qty &amp; UMH GUM'!X21</f>
        <v>#REF!</v>
      </c>
      <c r="AC21" s="304" t="e">
        <f>ROUNDUP((AB21-AA21)/$V$4,0)</f>
        <v>#REF!</v>
      </c>
      <c r="AD21" s="307"/>
      <c r="AE21" s="324" t="e">
        <f>VLOOKUP($B21,#REF!,28,0)</f>
        <v>#REF!</v>
      </c>
      <c r="AF21" s="324" t="e">
        <f>VLOOKUP($B21,#REF!,29,0)</f>
        <v>#REF!</v>
      </c>
      <c r="AG21" s="324" t="e">
        <f>VLOOKUP($B21,#REF!,30,0)</f>
        <v>#REF!</v>
      </c>
      <c r="AH21" s="324" t="e">
        <f>VLOOKUP($B21,#REF!,31,0)</f>
        <v>#REF!</v>
      </c>
      <c r="AI21" s="324" t="e">
        <f>VLOOKUP($B21,#REF!,32,0)</f>
        <v>#REF!</v>
      </c>
      <c r="AJ21" s="304" t="e">
        <f>SUM(AE21:AE21)</f>
        <v>#REF!</v>
      </c>
      <c r="AK21" s="305" t="e">
        <f>'Qty &amp; UMH GUM'!AA21</f>
        <v>#REF!</v>
      </c>
      <c r="AL21" s="304" t="e">
        <f>ROUNDUP((AK21-AJ21)/$AE$4,0)</f>
        <v>#REF!</v>
      </c>
      <c r="AM21" s="309"/>
      <c r="AN21" s="308" t="e">
        <f>VLOOKUP($B21,#REF!,34,0)</f>
        <v>#REF!</v>
      </c>
      <c r="AO21" s="304" t="e">
        <f>VLOOKUP($B21,#REF!,35,0)</f>
        <v>#REF!</v>
      </c>
      <c r="AP21" s="304" t="e">
        <f>VLOOKUP($B21,#REF!,36,0)</f>
        <v>#REF!</v>
      </c>
      <c r="AQ21" s="304" t="e">
        <f>VLOOKUP($B21,#REF!,37,0)</f>
        <v>#REF!</v>
      </c>
      <c r="AR21" s="304"/>
      <c r="AS21" s="304" t="e">
        <f>SUM(AN21:AN21)</f>
        <v>#REF!</v>
      </c>
      <c r="AT21" s="305" t="e">
        <f>'Qty &amp; UMH GUM'!AD21</f>
        <v>#REF!</v>
      </c>
      <c r="AU21" s="304" t="e">
        <f>ROUNDUP((AT21-AS21)/$AN$4,0)</f>
        <v>#REF!</v>
      </c>
      <c r="AV21" s="311"/>
    </row>
    <row r="22" spans="1:49" customHeight="1" ht="18.75">
      <c r="A22" s="537"/>
      <c r="B22" s="332" t="str">
        <f>'Qty &amp; UMH GUM'!C22</f>
        <v>82111-4DU70</v>
      </c>
      <c r="C22" s="303" t="str">
        <f>+'Qty &amp; UMH GUM'!B22</f>
        <v>HEV-RHD</v>
      </c>
      <c r="D22" s="324" t="e">
        <f>VLOOKUP($B22,#REF!,10,0)</f>
        <v>#REF!</v>
      </c>
      <c r="E22" s="324" t="e">
        <f>VLOOKUP($B22,#REF!,11,0)</f>
        <v>#REF!</v>
      </c>
      <c r="F22" s="324" t="e">
        <f>VLOOKUP($B22,#REF!,12,0)</f>
        <v>#REF!</v>
      </c>
      <c r="G22" s="324" t="e">
        <f>VLOOKUP($B22,#REF!,13,0)</f>
        <v>#REF!</v>
      </c>
      <c r="H22" s="324" t="e">
        <f>VLOOKUP($B22,#REF!,14,0)</f>
        <v>#REF!</v>
      </c>
      <c r="I22" s="304" t="e">
        <f>SUM(D22:D22)</f>
        <v>#REF!</v>
      </c>
      <c r="J22" s="305" t="e">
        <f>'Qty &amp; UMH GUM'!R22</f>
        <v>#REF!</v>
      </c>
      <c r="K22" s="305" t="e">
        <f>ROUNDUP((J22-I22)/$D$4,0)</f>
        <v>#REF!</v>
      </c>
      <c r="L22" s="306"/>
      <c r="M22" s="324" t="e">
        <f>VLOOKUP($B22,#REF!,16,0)</f>
        <v>#REF!</v>
      </c>
      <c r="N22" s="324" t="e">
        <f>VLOOKUP($B22,#REF!,17,0)</f>
        <v>#REF!</v>
      </c>
      <c r="O22" s="324" t="e">
        <f>VLOOKUP($B22,#REF!,18,0)</f>
        <v>#REF!</v>
      </c>
      <c r="P22" s="324" t="e">
        <f>VLOOKUP($B22,#REF!,19,0)</f>
        <v>#REF!</v>
      </c>
      <c r="Q22" s="324" t="e">
        <f>VLOOKUP($B22,#REF!,20,0)</f>
        <v>#REF!</v>
      </c>
      <c r="R22" s="304" t="e">
        <f>SUM(M22:M22)</f>
        <v>#REF!</v>
      </c>
      <c r="S22" s="305" t="e">
        <f>'Qty &amp; UMH GUM'!U22</f>
        <v>#REF!</v>
      </c>
      <c r="T22" s="305" t="e">
        <f>ROUNDUP((S22-R22)/$M$4,0)</f>
        <v>#REF!</v>
      </c>
      <c r="U22" s="307"/>
      <c r="V22" s="324" t="e">
        <f>VLOOKUP($B22,#REF!,22,0)</f>
        <v>#REF!</v>
      </c>
      <c r="W22" s="324" t="e">
        <f>VLOOKUP($B22,#REF!,23,0)</f>
        <v>#REF!</v>
      </c>
      <c r="X22" s="324" t="e">
        <f>VLOOKUP($B22,#REF!,24,0)</f>
        <v>#REF!</v>
      </c>
      <c r="Y22" s="324" t="e">
        <f>VLOOKUP($B22,#REF!,25,0)</f>
        <v>#REF!</v>
      </c>
      <c r="Z22" s="324" t="e">
        <f>VLOOKUP($B22,#REF!,26,0)</f>
        <v>#REF!</v>
      </c>
      <c r="AA22" s="304" t="e">
        <f>SUM(V22:V22)</f>
        <v>#REF!</v>
      </c>
      <c r="AB22" s="305" t="e">
        <f>'Qty &amp; UMH GUM'!X22</f>
        <v>#REF!</v>
      </c>
      <c r="AC22" s="304" t="e">
        <f>ROUNDUP((AB22-AA22)/$V$4,0)</f>
        <v>#REF!</v>
      </c>
      <c r="AD22" s="307"/>
      <c r="AE22" s="324" t="e">
        <f>VLOOKUP($B22,#REF!,28,0)</f>
        <v>#REF!</v>
      </c>
      <c r="AF22" s="324" t="e">
        <f>VLOOKUP($B22,#REF!,29,0)</f>
        <v>#REF!</v>
      </c>
      <c r="AG22" s="324" t="e">
        <f>VLOOKUP($B22,#REF!,30,0)</f>
        <v>#REF!</v>
      </c>
      <c r="AH22" s="324" t="e">
        <f>VLOOKUP($B22,#REF!,31,0)</f>
        <v>#REF!</v>
      </c>
      <c r="AI22" s="324" t="e">
        <f>VLOOKUP($B22,#REF!,32,0)</f>
        <v>#REF!</v>
      </c>
      <c r="AJ22" s="304" t="e">
        <f>SUM(AE22:AE22)</f>
        <v>#REF!</v>
      </c>
      <c r="AK22" s="305" t="e">
        <f>'Qty &amp; UMH GUM'!AA22</f>
        <v>#REF!</v>
      </c>
      <c r="AL22" s="304" t="e">
        <f>ROUNDUP((AK22-AJ22)/$AE$4,0)</f>
        <v>#REF!</v>
      </c>
      <c r="AM22" s="309"/>
      <c r="AN22" s="308" t="e">
        <f>VLOOKUP($B22,#REF!,34,0)</f>
        <v>#REF!</v>
      </c>
      <c r="AO22" s="304" t="e">
        <f>VLOOKUP($B22,#REF!,35,0)</f>
        <v>#REF!</v>
      </c>
      <c r="AP22" s="304" t="e">
        <f>VLOOKUP($B22,#REF!,36,0)</f>
        <v>#REF!</v>
      </c>
      <c r="AQ22" s="304" t="e">
        <f>VLOOKUP($B22,#REF!,37,0)</f>
        <v>#REF!</v>
      </c>
      <c r="AR22" s="304"/>
      <c r="AS22" s="304" t="e">
        <f>SUM(AN22:AN22)</f>
        <v>#REF!</v>
      </c>
      <c r="AT22" s="305" t="e">
        <f>'Qty &amp; UMH GUM'!AD22</f>
        <v>#REF!</v>
      </c>
      <c r="AU22" s="304" t="e">
        <f>ROUNDUP((AT22-AS22)/$AN$4,0)</f>
        <v>#REF!</v>
      </c>
      <c r="AV22" s="311"/>
    </row>
    <row r="23" spans="1:49" customHeight="1" ht="18.75">
      <c r="A23" s="537"/>
      <c r="B23" s="332" t="str">
        <f>'Qty &amp; UMH GUM'!C23</f>
        <v>82111-4DU80</v>
      </c>
      <c r="C23" s="303" t="str">
        <f>+'Qty &amp; UMH GUM'!B23</f>
        <v>HEV-RHD</v>
      </c>
      <c r="D23" s="324" t="e">
        <f>VLOOKUP($B23,#REF!,10,0)</f>
        <v>#REF!</v>
      </c>
      <c r="E23" s="324" t="e">
        <f>VLOOKUP($B23,#REF!,11,0)</f>
        <v>#REF!</v>
      </c>
      <c r="F23" s="324" t="e">
        <f>VLOOKUP($B23,#REF!,12,0)</f>
        <v>#REF!</v>
      </c>
      <c r="G23" s="324" t="e">
        <f>VLOOKUP($B23,#REF!,13,0)</f>
        <v>#REF!</v>
      </c>
      <c r="H23" s="324" t="e">
        <f>VLOOKUP($B23,#REF!,14,0)</f>
        <v>#REF!</v>
      </c>
      <c r="I23" s="304" t="e">
        <f>SUM(D23:D23)</f>
        <v>#REF!</v>
      </c>
      <c r="J23" s="305" t="e">
        <f>'Qty &amp; UMH GUM'!R23</f>
        <v>#REF!</v>
      </c>
      <c r="K23" s="305" t="e">
        <f>ROUNDUP((J23-I23)/$D$4,0)</f>
        <v>#REF!</v>
      </c>
      <c r="L23" s="306"/>
      <c r="M23" s="324" t="e">
        <f>VLOOKUP($B23,#REF!,16,0)</f>
        <v>#REF!</v>
      </c>
      <c r="N23" s="324" t="e">
        <f>VLOOKUP($B23,#REF!,17,0)</f>
        <v>#REF!</v>
      </c>
      <c r="O23" s="324" t="e">
        <f>VLOOKUP($B23,#REF!,18,0)</f>
        <v>#REF!</v>
      </c>
      <c r="P23" s="324" t="e">
        <f>VLOOKUP($B23,#REF!,19,0)</f>
        <v>#REF!</v>
      </c>
      <c r="Q23" s="324" t="e">
        <f>VLOOKUP($B23,#REF!,20,0)</f>
        <v>#REF!</v>
      </c>
      <c r="R23" s="304" t="e">
        <f>SUM(M23:M23)</f>
        <v>#REF!</v>
      </c>
      <c r="S23" s="305" t="e">
        <f>'Qty &amp; UMH GUM'!U23</f>
        <v>#REF!</v>
      </c>
      <c r="T23" s="305" t="e">
        <f>ROUNDUP((S23-R23)/$M$4,0)</f>
        <v>#REF!</v>
      </c>
      <c r="U23" s="307"/>
      <c r="V23" s="324" t="e">
        <f>VLOOKUP($B23,#REF!,22,0)</f>
        <v>#REF!</v>
      </c>
      <c r="W23" s="324" t="e">
        <f>VLOOKUP($B23,#REF!,23,0)</f>
        <v>#REF!</v>
      </c>
      <c r="X23" s="324" t="e">
        <f>VLOOKUP($B23,#REF!,24,0)</f>
        <v>#REF!</v>
      </c>
      <c r="Y23" s="324" t="e">
        <f>VLOOKUP($B23,#REF!,25,0)</f>
        <v>#REF!</v>
      </c>
      <c r="Z23" s="324" t="e">
        <f>VLOOKUP($B23,#REF!,26,0)</f>
        <v>#REF!</v>
      </c>
      <c r="AA23" s="304" t="e">
        <f>SUM(V23:V23)</f>
        <v>#REF!</v>
      </c>
      <c r="AB23" s="305" t="e">
        <f>'Qty &amp; UMH GUM'!X23</f>
        <v>#REF!</v>
      </c>
      <c r="AC23" s="304" t="e">
        <f>ROUNDUP((AB23-AA23)/$V$4,0)</f>
        <v>#REF!</v>
      </c>
      <c r="AD23" s="307"/>
      <c r="AE23" s="324" t="e">
        <f>VLOOKUP($B23,#REF!,28,0)</f>
        <v>#REF!</v>
      </c>
      <c r="AF23" s="324" t="e">
        <f>VLOOKUP($B23,#REF!,29,0)</f>
        <v>#REF!</v>
      </c>
      <c r="AG23" s="324" t="e">
        <f>VLOOKUP($B23,#REF!,30,0)</f>
        <v>#REF!</v>
      </c>
      <c r="AH23" s="324" t="e">
        <f>VLOOKUP($B23,#REF!,31,0)</f>
        <v>#REF!</v>
      </c>
      <c r="AI23" s="324" t="e">
        <f>VLOOKUP($B23,#REF!,32,0)</f>
        <v>#REF!</v>
      </c>
      <c r="AJ23" s="304" t="e">
        <f>SUM(AE23:AE23)</f>
        <v>#REF!</v>
      </c>
      <c r="AK23" s="305" t="e">
        <f>'Qty &amp; UMH GUM'!AA23</f>
        <v>#REF!</v>
      </c>
      <c r="AL23" s="304" t="e">
        <f>ROUNDUP((AK23-AJ23)/$AE$4,0)</f>
        <v>#REF!</v>
      </c>
      <c r="AM23" s="309"/>
      <c r="AN23" s="308" t="e">
        <f>VLOOKUP($B23,#REF!,34,0)</f>
        <v>#REF!</v>
      </c>
      <c r="AO23" s="304" t="e">
        <f>VLOOKUP($B23,#REF!,35,0)</f>
        <v>#REF!</v>
      </c>
      <c r="AP23" s="304" t="e">
        <f>VLOOKUP($B23,#REF!,36,0)</f>
        <v>#REF!</v>
      </c>
      <c r="AQ23" s="304" t="e">
        <f>VLOOKUP($B23,#REF!,37,0)</f>
        <v>#REF!</v>
      </c>
      <c r="AR23" s="304"/>
      <c r="AS23" s="304" t="e">
        <f>SUM(AN23:AN23)</f>
        <v>#REF!</v>
      </c>
      <c r="AT23" s="305" t="e">
        <f>'Qty &amp; UMH GUM'!AD23</f>
        <v>#REF!</v>
      </c>
      <c r="AU23" s="304" t="e">
        <f>ROUNDUP((AT23-AS23)/$AN$4,0)</f>
        <v>#REF!</v>
      </c>
      <c r="AV23" s="311"/>
    </row>
    <row r="24" spans="1:49" customHeight="1" ht="18.75">
      <c r="A24" s="537"/>
      <c r="B24" s="332" t="str">
        <f>'Qty &amp; UMH GUM'!C24</f>
        <v>82111-4DU90</v>
      </c>
      <c r="C24" s="303" t="str">
        <f>+'Qty &amp; UMH GUM'!B24</f>
        <v>HEV-RHD</v>
      </c>
      <c r="D24" s="324" t="e">
        <f>VLOOKUP($B24,#REF!,10,0)</f>
        <v>#REF!</v>
      </c>
      <c r="E24" s="324" t="e">
        <f>VLOOKUP($B24,#REF!,11,0)</f>
        <v>#REF!</v>
      </c>
      <c r="F24" s="324" t="e">
        <f>VLOOKUP($B24,#REF!,12,0)</f>
        <v>#REF!</v>
      </c>
      <c r="G24" s="324" t="e">
        <f>VLOOKUP($B24,#REF!,13,0)</f>
        <v>#REF!</v>
      </c>
      <c r="H24" s="324" t="e">
        <f>VLOOKUP($B24,#REF!,14,0)</f>
        <v>#REF!</v>
      </c>
      <c r="I24" s="304" t="e">
        <f>SUM(D24:D24)</f>
        <v>#REF!</v>
      </c>
      <c r="J24" s="305" t="e">
        <f>'Qty &amp; UMH GUM'!R24</f>
        <v>#REF!</v>
      </c>
      <c r="K24" s="305" t="e">
        <f>ROUNDUP((J24-I24)/$D$4,0)</f>
        <v>#REF!</v>
      </c>
      <c r="L24" s="306"/>
      <c r="M24" s="324" t="e">
        <f>VLOOKUP($B24,#REF!,16,0)</f>
        <v>#REF!</v>
      </c>
      <c r="N24" s="324" t="e">
        <f>VLOOKUP($B24,#REF!,17,0)</f>
        <v>#REF!</v>
      </c>
      <c r="O24" s="324" t="e">
        <f>VLOOKUP($B24,#REF!,18,0)</f>
        <v>#REF!</v>
      </c>
      <c r="P24" s="324" t="e">
        <f>VLOOKUP($B24,#REF!,19,0)</f>
        <v>#REF!</v>
      </c>
      <c r="Q24" s="324" t="e">
        <f>VLOOKUP($B24,#REF!,20,0)</f>
        <v>#REF!</v>
      </c>
      <c r="R24" s="304" t="e">
        <f>SUM(M24:M24)</f>
        <v>#REF!</v>
      </c>
      <c r="S24" s="305" t="e">
        <f>'Qty &amp; UMH GUM'!U24</f>
        <v>#REF!</v>
      </c>
      <c r="T24" s="305" t="e">
        <f>ROUNDUP((S24-R24)/$M$4,0)</f>
        <v>#REF!</v>
      </c>
      <c r="U24" s="307"/>
      <c r="V24" s="324" t="e">
        <f>VLOOKUP($B24,#REF!,22,0)</f>
        <v>#REF!</v>
      </c>
      <c r="W24" s="324" t="e">
        <f>VLOOKUP($B24,#REF!,23,0)</f>
        <v>#REF!</v>
      </c>
      <c r="X24" s="324" t="e">
        <f>VLOOKUP($B24,#REF!,24,0)</f>
        <v>#REF!</v>
      </c>
      <c r="Y24" s="324" t="e">
        <f>VLOOKUP($B24,#REF!,25,0)</f>
        <v>#REF!</v>
      </c>
      <c r="Z24" s="324" t="e">
        <f>VLOOKUP($B24,#REF!,26,0)</f>
        <v>#REF!</v>
      </c>
      <c r="AA24" s="304" t="e">
        <f>SUM(V24:V24)</f>
        <v>#REF!</v>
      </c>
      <c r="AB24" s="305" t="e">
        <f>'Qty &amp; UMH GUM'!X24</f>
        <v>#REF!</v>
      </c>
      <c r="AC24" s="304" t="e">
        <f>ROUNDUP((AB24-AA24)/$V$4,0)</f>
        <v>#REF!</v>
      </c>
      <c r="AD24" s="307"/>
      <c r="AE24" s="324" t="e">
        <f>VLOOKUP($B24,#REF!,28,0)</f>
        <v>#REF!</v>
      </c>
      <c r="AF24" s="324" t="e">
        <f>VLOOKUP($B24,#REF!,29,0)</f>
        <v>#REF!</v>
      </c>
      <c r="AG24" s="324" t="e">
        <f>VLOOKUP($B24,#REF!,30,0)</f>
        <v>#REF!</v>
      </c>
      <c r="AH24" s="324" t="e">
        <f>VLOOKUP($B24,#REF!,31,0)</f>
        <v>#REF!</v>
      </c>
      <c r="AI24" s="324" t="e">
        <f>VLOOKUP($B24,#REF!,32,0)</f>
        <v>#REF!</v>
      </c>
      <c r="AJ24" s="304" t="e">
        <f>SUM(AE24:AE24)</f>
        <v>#REF!</v>
      </c>
      <c r="AK24" s="305" t="e">
        <f>'Qty &amp; UMH GUM'!AA24</f>
        <v>#REF!</v>
      </c>
      <c r="AL24" s="304" t="e">
        <f>ROUNDUP((AK24-AJ24)/$AE$4,0)</f>
        <v>#REF!</v>
      </c>
      <c r="AM24" s="309"/>
      <c r="AN24" s="308" t="e">
        <f>VLOOKUP($B24,#REF!,34,0)</f>
        <v>#REF!</v>
      </c>
      <c r="AO24" s="304" t="e">
        <f>VLOOKUP($B24,#REF!,35,0)</f>
        <v>#REF!</v>
      </c>
      <c r="AP24" s="304" t="e">
        <f>VLOOKUP($B24,#REF!,36,0)</f>
        <v>#REF!</v>
      </c>
      <c r="AQ24" s="304" t="e">
        <f>VLOOKUP($B24,#REF!,37,0)</f>
        <v>#REF!</v>
      </c>
      <c r="AR24" s="304"/>
      <c r="AS24" s="304" t="e">
        <f>SUM(AN24:AN24)</f>
        <v>#REF!</v>
      </c>
      <c r="AT24" s="305" t="e">
        <f>'Qty &amp; UMH GUM'!AD24</f>
        <v>#REF!</v>
      </c>
      <c r="AU24" s="304" t="e">
        <f>ROUNDUP((AT24-AS24)/$AN$4,0)</f>
        <v>#REF!</v>
      </c>
      <c r="AV24" s="311"/>
    </row>
    <row r="25" spans="1:49" customHeight="1" ht="18.75">
      <c r="A25" s="537"/>
      <c r="B25" s="332" t="str">
        <f>'Qty &amp; UMH GUM'!C25</f>
        <v>82111-4DV00</v>
      </c>
      <c r="C25" s="303" t="str">
        <f>+'Qty &amp; UMH GUM'!B25</f>
        <v>GAS-LHD</v>
      </c>
      <c r="D25" s="324" t="e">
        <f>VLOOKUP($B25,#REF!,10,0)</f>
        <v>#REF!</v>
      </c>
      <c r="E25" s="324" t="e">
        <f>VLOOKUP($B25,#REF!,11,0)</f>
        <v>#REF!</v>
      </c>
      <c r="F25" s="324" t="e">
        <f>VLOOKUP($B25,#REF!,12,0)</f>
        <v>#REF!</v>
      </c>
      <c r="G25" s="324" t="e">
        <f>VLOOKUP($B25,#REF!,13,0)</f>
        <v>#REF!</v>
      </c>
      <c r="H25" s="324" t="e">
        <f>VLOOKUP($B25,#REF!,14,0)</f>
        <v>#REF!</v>
      </c>
      <c r="I25" s="304" t="e">
        <f>SUM(D25:D25)</f>
        <v>#REF!</v>
      </c>
      <c r="J25" s="305" t="e">
        <f>'Qty &amp; UMH GUM'!R25</f>
        <v>#REF!</v>
      </c>
      <c r="K25" s="305" t="e">
        <f>ROUNDUP((J25-I25)/$D$4,0)</f>
        <v>#REF!</v>
      </c>
      <c r="L25" s="306"/>
      <c r="M25" s="324" t="e">
        <f>VLOOKUP($B25,#REF!,16,0)</f>
        <v>#REF!</v>
      </c>
      <c r="N25" s="324" t="e">
        <f>VLOOKUP($B25,#REF!,17,0)</f>
        <v>#REF!</v>
      </c>
      <c r="O25" s="324" t="e">
        <f>VLOOKUP($B25,#REF!,18,0)</f>
        <v>#REF!</v>
      </c>
      <c r="P25" s="324" t="e">
        <f>VLOOKUP($B25,#REF!,19,0)</f>
        <v>#REF!</v>
      </c>
      <c r="Q25" s="324" t="e">
        <f>VLOOKUP($B25,#REF!,20,0)</f>
        <v>#REF!</v>
      </c>
      <c r="R25" s="304" t="e">
        <f>SUM(M25:M25)</f>
        <v>#REF!</v>
      </c>
      <c r="S25" s="305" t="e">
        <f>'Qty &amp; UMH GUM'!U25</f>
        <v>#REF!</v>
      </c>
      <c r="T25" s="305" t="e">
        <f>ROUNDUP((S25-R25)/$M$4,0)</f>
        <v>#REF!</v>
      </c>
      <c r="U25" s="307"/>
      <c r="V25" s="324" t="e">
        <f>VLOOKUP($B25,#REF!,22,0)</f>
        <v>#REF!</v>
      </c>
      <c r="W25" s="324" t="e">
        <f>VLOOKUP($B25,#REF!,23,0)</f>
        <v>#REF!</v>
      </c>
      <c r="X25" s="324" t="e">
        <f>VLOOKUP($B25,#REF!,24,0)</f>
        <v>#REF!</v>
      </c>
      <c r="Y25" s="324" t="e">
        <f>VLOOKUP($B25,#REF!,25,0)</f>
        <v>#REF!</v>
      </c>
      <c r="Z25" s="324" t="e">
        <f>VLOOKUP($B25,#REF!,26,0)</f>
        <v>#REF!</v>
      </c>
      <c r="AA25" s="304" t="e">
        <f>SUM(V25:V25)</f>
        <v>#REF!</v>
      </c>
      <c r="AB25" s="305" t="e">
        <f>'Qty &amp; UMH GUM'!X25</f>
        <v>#REF!</v>
      </c>
      <c r="AC25" s="304" t="e">
        <f>ROUNDUP((AB25-AA25)/$V$4,0)</f>
        <v>#REF!</v>
      </c>
      <c r="AD25" s="307"/>
      <c r="AE25" s="324" t="e">
        <f>VLOOKUP($B25,#REF!,28,0)</f>
        <v>#REF!</v>
      </c>
      <c r="AF25" s="324" t="e">
        <f>VLOOKUP($B25,#REF!,29,0)</f>
        <v>#REF!</v>
      </c>
      <c r="AG25" s="324" t="e">
        <f>VLOOKUP($B25,#REF!,30,0)</f>
        <v>#REF!</v>
      </c>
      <c r="AH25" s="324" t="e">
        <f>VLOOKUP($B25,#REF!,31,0)</f>
        <v>#REF!</v>
      </c>
      <c r="AI25" s="324" t="e">
        <f>VLOOKUP($B25,#REF!,32,0)</f>
        <v>#REF!</v>
      </c>
      <c r="AJ25" s="304" t="e">
        <f>SUM(AE25:AE25)</f>
        <v>#REF!</v>
      </c>
      <c r="AK25" s="305" t="e">
        <f>'Qty &amp; UMH GUM'!AA25</f>
        <v>#REF!</v>
      </c>
      <c r="AL25" s="304" t="e">
        <f>ROUNDUP((AK25-AJ25)/$AE$4,0)</f>
        <v>#REF!</v>
      </c>
      <c r="AM25" s="309"/>
      <c r="AN25" s="308" t="e">
        <f>VLOOKUP($B25,#REF!,34,0)</f>
        <v>#REF!</v>
      </c>
      <c r="AO25" s="304" t="e">
        <f>VLOOKUP($B25,#REF!,35,0)</f>
        <v>#REF!</v>
      </c>
      <c r="AP25" s="304" t="e">
        <f>VLOOKUP($B25,#REF!,36,0)</f>
        <v>#REF!</v>
      </c>
      <c r="AQ25" s="304" t="e">
        <f>VLOOKUP($B25,#REF!,37,0)</f>
        <v>#REF!</v>
      </c>
      <c r="AR25" s="304"/>
      <c r="AS25" s="304" t="e">
        <f>SUM(AN25:AN25)</f>
        <v>#REF!</v>
      </c>
      <c r="AT25" s="305" t="e">
        <f>'Qty &amp; UMH GUM'!AD25</f>
        <v>#REF!</v>
      </c>
      <c r="AU25" s="304" t="e">
        <f>ROUNDUP((AT25-AS25)/$AN$4,0)</f>
        <v>#REF!</v>
      </c>
      <c r="AV25" s="311"/>
    </row>
    <row r="26" spans="1:49" customHeight="1" ht="18.75">
      <c r="A26" s="537"/>
      <c r="B26" s="332" t="str">
        <f>'Qty &amp; UMH GUM'!C26</f>
        <v>82111-4DV10</v>
      </c>
      <c r="C26" s="303" t="str">
        <f>+'Qty &amp; UMH GUM'!B26</f>
        <v>HEV-LHD</v>
      </c>
      <c r="D26" s="324" t="e">
        <f>VLOOKUP($B26,#REF!,10,0)</f>
        <v>#REF!</v>
      </c>
      <c r="E26" s="324" t="e">
        <f>VLOOKUP($B26,#REF!,11,0)</f>
        <v>#REF!</v>
      </c>
      <c r="F26" s="324" t="e">
        <f>VLOOKUP($B26,#REF!,12,0)</f>
        <v>#REF!</v>
      </c>
      <c r="G26" s="324" t="e">
        <f>VLOOKUP($B26,#REF!,13,0)</f>
        <v>#REF!</v>
      </c>
      <c r="H26" s="324" t="e">
        <f>VLOOKUP($B26,#REF!,14,0)</f>
        <v>#REF!</v>
      </c>
      <c r="I26" s="304" t="e">
        <f>SUM(D26:D26)</f>
        <v>#REF!</v>
      </c>
      <c r="J26" s="305" t="e">
        <f>'Qty &amp; UMH GUM'!R26</f>
        <v>#REF!</v>
      </c>
      <c r="K26" s="305" t="e">
        <f>ROUNDUP((J26-I26)/$D$4,0)</f>
        <v>#REF!</v>
      </c>
      <c r="L26" s="306"/>
      <c r="M26" s="324" t="e">
        <f>VLOOKUP($B26,#REF!,16,0)</f>
        <v>#REF!</v>
      </c>
      <c r="N26" s="324" t="e">
        <f>VLOOKUP($B26,#REF!,17,0)</f>
        <v>#REF!</v>
      </c>
      <c r="O26" s="324" t="e">
        <f>VLOOKUP($B26,#REF!,18,0)</f>
        <v>#REF!</v>
      </c>
      <c r="P26" s="324" t="e">
        <f>VLOOKUP($B26,#REF!,19,0)</f>
        <v>#REF!</v>
      </c>
      <c r="Q26" s="324" t="e">
        <f>VLOOKUP($B26,#REF!,20,0)</f>
        <v>#REF!</v>
      </c>
      <c r="R26" s="304" t="e">
        <f>SUM(M26:M26)</f>
        <v>#REF!</v>
      </c>
      <c r="S26" s="305" t="e">
        <f>'Qty &amp; UMH GUM'!U26</f>
        <v>#REF!</v>
      </c>
      <c r="T26" s="305" t="e">
        <f>ROUNDUP((S26-R26)/$M$4,0)</f>
        <v>#REF!</v>
      </c>
      <c r="U26" s="307"/>
      <c r="V26" s="324" t="e">
        <f>VLOOKUP($B26,#REF!,22,0)</f>
        <v>#REF!</v>
      </c>
      <c r="W26" s="324" t="e">
        <f>VLOOKUP($B26,#REF!,23,0)</f>
        <v>#REF!</v>
      </c>
      <c r="X26" s="324" t="e">
        <f>VLOOKUP($B26,#REF!,24,0)</f>
        <v>#REF!</v>
      </c>
      <c r="Y26" s="324" t="e">
        <f>VLOOKUP($B26,#REF!,25,0)</f>
        <v>#REF!</v>
      </c>
      <c r="Z26" s="324" t="e">
        <f>VLOOKUP($B26,#REF!,26,0)</f>
        <v>#REF!</v>
      </c>
      <c r="AA26" s="304" t="e">
        <f>SUM(V26:V26)</f>
        <v>#REF!</v>
      </c>
      <c r="AB26" s="305" t="e">
        <f>'Qty &amp; UMH GUM'!X26</f>
        <v>#REF!</v>
      </c>
      <c r="AC26" s="304" t="e">
        <f>ROUNDUP((AB26-AA26)/$V$4,0)</f>
        <v>#REF!</v>
      </c>
      <c r="AD26" s="307"/>
      <c r="AE26" s="324" t="e">
        <f>VLOOKUP($B26,#REF!,28,0)</f>
        <v>#REF!</v>
      </c>
      <c r="AF26" s="324" t="e">
        <f>VLOOKUP($B26,#REF!,29,0)</f>
        <v>#REF!</v>
      </c>
      <c r="AG26" s="324" t="e">
        <f>VLOOKUP($B26,#REF!,30,0)</f>
        <v>#REF!</v>
      </c>
      <c r="AH26" s="324" t="e">
        <f>VLOOKUP($B26,#REF!,31,0)</f>
        <v>#REF!</v>
      </c>
      <c r="AI26" s="324" t="e">
        <f>VLOOKUP($B26,#REF!,32,0)</f>
        <v>#REF!</v>
      </c>
      <c r="AJ26" s="304" t="e">
        <f>SUM(AE26:AE26)</f>
        <v>#REF!</v>
      </c>
      <c r="AK26" s="305" t="e">
        <f>'Qty &amp; UMH GUM'!AA26</f>
        <v>#REF!</v>
      </c>
      <c r="AL26" s="304" t="e">
        <f>ROUNDUP((AK26-AJ26)/$AE$4,0)</f>
        <v>#REF!</v>
      </c>
      <c r="AM26" s="309"/>
      <c r="AN26" s="308" t="e">
        <f>VLOOKUP($B26,#REF!,34,0)</f>
        <v>#REF!</v>
      </c>
      <c r="AO26" s="304" t="e">
        <f>VLOOKUP($B26,#REF!,35,0)</f>
        <v>#REF!</v>
      </c>
      <c r="AP26" s="304" t="e">
        <f>VLOOKUP($B26,#REF!,36,0)</f>
        <v>#REF!</v>
      </c>
      <c r="AQ26" s="304" t="e">
        <f>VLOOKUP($B26,#REF!,37,0)</f>
        <v>#REF!</v>
      </c>
      <c r="AR26" s="304"/>
      <c r="AS26" s="304" t="e">
        <f>SUM(AN26:AN26)</f>
        <v>#REF!</v>
      </c>
      <c r="AT26" s="305" t="e">
        <f>'Qty &amp; UMH GUM'!AD26</f>
        <v>#REF!</v>
      </c>
      <c r="AU26" s="304" t="e">
        <f>ROUNDUP((AT26-AS26)/$AN$4,0)</f>
        <v>#REF!</v>
      </c>
      <c r="AV26" s="311"/>
    </row>
    <row r="27" spans="1:49" customHeight="1" ht="18.75">
      <c r="A27" s="537"/>
      <c r="B27" s="332" t="str">
        <f>'Qty &amp; UMH GUM'!C27</f>
        <v>82111-4DV30</v>
      </c>
      <c r="C27" s="303" t="str">
        <f>+'Qty &amp; UMH GUM'!B27</f>
        <v>HEV-RHD</v>
      </c>
      <c r="D27" s="324" t="e">
        <f>VLOOKUP($B27,#REF!,10,0)</f>
        <v>#REF!</v>
      </c>
      <c r="E27" s="324" t="e">
        <f>VLOOKUP($B27,#REF!,11,0)</f>
        <v>#REF!</v>
      </c>
      <c r="F27" s="324" t="e">
        <f>VLOOKUP($B27,#REF!,12,0)</f>
        <v>#REF!</v>
      </c>
      <c r="G27" s="324" t="e">
        <f>VLOOKUP($B27,#REF!,13,0)</f>
        <v>#REF!</v>
      </c>
      <c r="H27" s="324" t="e">
        <f>VLOOKUP($B27,#REF!,14,0)</f>
        <v>#REF!</v>
      </c>
      <c r="I27" s="304" t="e">
        <f>SUM(D27:D27)</f>
        <v>#REF!</v>
      </c>
      <c r="J27" s="305" t="e">
        <f>'Qty &amp; UMH GUM'!R27</f>
        <v>#REF!</v>
      </c>
      <c r="K27" s="305" t="e">
        <f>ROUNDUP((J27-I27)/$D$4,0)</f>
        <v>#REF!</v>
      </c>
      <c r="L27" s="306"/>
      <c r="M27" s="324" t="e">
        <f>VLOOKUP($B27,#REF!,16,0)</f>
        <v>#REF!</v>
      </c>
      <c r="N27" s="324" t="e">
        <f>VLOOKUP($B27,#REF!,17,0)</f>
        <v>#REF!</v>
      </c>
      <c r="O27" s="324" t="e">
        <f>VLOOKUP($B27,#REF!,18,0)</f>
        <v>#REF!</v>
      </c>
      <c r="P27" s="324" t="e">
        <f>VLOOKUP($B27,#REF!,19,0)</f>
        <v>#REF!</v>
      </c>
      <c r="Q27" s="324" t="e">
        <f>VLOOKUP($B27,#REF!,20,0)</f>
        <v>#REF!</v>
      </c>
      <c r="R27" s="304" t="e">
        <f>SUM(M27:M27)</f>
        <v>#REF!</v>
      </c>
      <c r="S27" s="305" t="e">
        <f>'Qty &amp; UMH GUM'!U27</f>
        <v>#REF!</v>
      </c>
      <c r="T27" s="305" t="e">
        <f>ROUNDUP((S27-R27)/$M$4,0)</f>
        <v>#REF!</v>
      </c>
      <c r="U27" s="307"/>
      <c r="V27" s="324" t="e">
        <f>VLOOKUP($B27,#REF!,22,0)</f>
        <v>#REF!</v>
      </c>
      <c r="W27" s="324" t="e">
        <f>VLOOKUP($B27,#REF!,23,0)</f>
        <v>#REF!</v>
      </c>
      <c r="X27" s="324" t="e">
        <f>VLOOKUP($B27,#REF!,24,0)</f>
        <v>#REF!</v>
      </c>
      <c r="Y27" s="324" t="e">
        <f>VLOOKUP($B27,#REF!,25,0)</f>
        <v>#REF!</v>
      </c>
      <c r="Z27" s="324" t="e">
        <f>VLOOKUP($B27,#REF!,26,0)</f>
        <v>#REF!</v>
      </c>
      <c r="AA27" s="304" t="e">
        <f>SUM(V27:V27)</f>
        <v>#REF!</v>
      </c>
      <c r="AB27" s="305" t="e">
        <f>'Qty &amp; UMH GUM'!X27</f>
        <v>#REF!</v>
      </c>
      <c r="AC27" s="304" t="e">
        <f>ROUNDUP((AB27-AA27)/$V$4,0)</f>
        <v>#REF!</v>
      </c>
      <c r="AD27" s="307"/>
      <c r="AE27" s="324" t="e">
        <f>VLOOKUP($B27,#REF!,28,0)</f>
        <v>#REF!</v>
      </c>
      <c r="AF27" s="324" t="e">
        <f>VLOOKUP($B27,#REF!,29,0)</f>
        <v>#REF!</v>
      </c>
      <c r="AG27" s="324" t="e">
        <f>VLOOKUP($B27,#REF!,30,0)</f>
        <v>#REF!</v>
      </c>
      <c r="AH27" s="324" t="e">
        <f>VLOOKUP($B27,#REF!,31,0)</f>
        <v>#REF!</v>
      </c>
      <c r="AI27" s="324" t="e">
        <f>VLOOKUP($B27,#REF!,32,0)</f>
        <v>#REF!</v>
      </c>
      <c r="AJ27" s="304" t="e">
        <f>SUM(AE27:AE27)</f>
        <v>#REF!</v>
      </c>
      <c r="AK27" s="305" t="e">
        <f>'Qty &amp; UMH GUM'!AA27</f>
        <v>#REF!</v>
      </c>
      <c r="AL27" s="304" t="e">
        <f>ROUNDUP((AK27-AJ27)/$AE$4,0)</f>
        <v>#REF!</v>
      </c>
      <c r="AM27" s="309"/>
      <c r="AN27" s="308" t="e">
        <f>VLOOKUP($B27,#REF!,34,0)</f>
        <v>#REF!</v>
      </c>
      <c r="AO27" s="304" t="e">
        <f>VLOOKUP($B27,#REF!,35,0)</f>
        <v>#REF!</v>
      </c>
      <c r="AP27" s="304" t="e">
        <f>VLOOKUP($B27,#REF!,36,0)</f>
        <v>#REF!</v>
      </c>
      <c r="AQ27" s="304" t="e">
        <f>VLOOKUP($B27,#REF!,37,0)</f>
        <v>#REF!</v>
      </c>
      <c r="AR27" s="304"/>
      <c r="AS27" s="304" t="e">
        <f>SUM(AN27:AN27)</f>
        <v>#REF!</v>
      </c>
      <c r="AT27" s="305" t="e">
        <f>'Qty &amp; UMH GUM'!AD27</f>
        <v>#REF!</v>
      </c>
      <c r="AU27" s="304" t="e">
        <f>ROUNDUP((AT27-AS27)/$AN$4,0)</f>
        <v>#REF!</v>
      </c>
      <c r="AV27" s="311"/>
    </row>
    <row r="28" spans="1:49" customHeight="1" ht="18.75">
      <c r="A28" s="537"/>
      <c r="B28" s="332"/>
      <c r="C28" s="303">
        <f>+'Qty &amp; UMH GUM'!B28</f>
        <v/>
      </c>
      <c r="D28" s="324"/>
      <c r="E28" s="324"/>
      <c r="F28" s="324"/>
      <c r="G28" s="324"/>
      <c r="H28" s="324"/>
      <c r="I28" s="304"/>
      <c r="J28" s="305"/>
      <c r="K28" s="305"/>
      <c r="L28" s="306"/>
      <c r="M28" s="324"/>
      <c r="N28" s="324"/>
      <c r="O28" s="324"/>
      <c r="P28" s="324"/>
      <c r="Q28" s="324"/>
      <c r="R28" s="304"/>
      <c r="S28" s="305"/>
      <c r="T28" s="305"/>
      <c r="U28" s="307"/>
      <c r="V28" s="324"/>
      <c r="W28" s="324"/>
      <c r="X28" s="324"/>
      <c r="Y28" s="324"/>
      <c r="Z28" s="324"/>
      <c r="AA28" s="304"/>
      <c r="AB28" s="305"/>
      <c r="AC28" s="304"/>
      <c r="AD28" s="307"/>
      <c r="AE28" s="324"/>
      <c r="AF28" s="324"/>
      <c r="AG28" s="324"/>
      <c r="AH28" s="324"/>
      <c r="AI28" s="324"/>
      <c r="AJ28" s="304"/>
      <c r="AK28" s="305"/>
      <c r="AL28" s="304"/>
      <c r="AM28" s="309"/>
      <c r="AN28" s="308"/>
      <c r="AO28" s="304"/>
      <c r="AP28" s="304"/>
      <c r="AQ28" s="304"/>
      <c r="AR28" s="304"/>
      <c r="AS28" s="304"/>
      <c r="AT28" s="305"/>
      <c r="AU28" s="304"/>
      <c r="AV28" s="311"/>
    </row>
    <row r="29" spans="1:49" customHeight="1" ht="18.75">
      <c r="A29" s="537"/>
      <c r="B29" s="332"/>
      <c r="C29" s="303">
        <f>+'Qty &amp; UMH GUM'!B29</f>
        <v/>
      </c>
      <c r="D29" s="324"/>
      <c r="E29" s="324"/>
      <c r="F29" s="324"/>
      <c r="G29" s="324"/>
      <c r="H29" s="324"/>
      <c r="I29" s="304"/>
      <c r="J29" s="305"/>
      <c r="K29" s="305"/>
      <c r="L29" s="306"/>
      <c r="M29" s="324"/>
      <c r="N29" s="324"/>
      <c r="O29" s="324"/>
      <c r="P29" s="324"/>
      <c r="Q29" s="324"/>
      <c r="R29" s="304"/>
      <c r="S29" s="305"/>
      <c r="T29" s="305"/>
      <c r="U29" s="307"/>
      <c r="V29" s="324"/>
      <c r="W29" s="324"/>
      <c r="X29" s="324"/>
      <c r="Y29" s="324"/>
      <c r="Z29" s="324"/>
      <c r="AA29" s="304"/>
      <c r="AB29" s="305"/>
      <c r="AC29" s="304"/>
      <c r="AD29" s="307"/>
      <c r="AE29" s="324"/>
      <c r="AF29" s="324"/>
      <c r="AG29" s="324"/>
      <c r="AH29" s="324"/>
      <c r="AI29" s="324"/>
      <c r="AJ29" s="304"/>
      <c r="AK29" s="305"/>
      <c r="AL29" s="304"/>
      <c r="AM29" s="309"/>
      <c r="AN29" s="308"/>
      <c r="AO29" s="304"/>
      <c r="AP29" s="304"/>
      <c r="AQ29" s="304"/>
      <c r="AR29" s="304"/>
      <c r="AS29" s="304"/>
      <c r="AT29" s="305"/>
      <c r="AU29" s="304"/>
      <c r="AV29" s="311"/>
    </row>
    <row r="30" spans="1:49" customHeight="1" ht="18.75">
      <c r="A30" s="537"/>
      <c r="B30" s="332"/>
      <c r="C30" s="303">
        <f>+'Qty &amp; UMH GUM'!B30</f>
        <v/>
      </c>
      <c r="D30" s="324"/>
      <c r="E30" s="324"/>
      <c r="F30" s="324"/>
      <c r="G30" s="324"/>
      <c r="H30" s="324"/>
      <c r="I30" s="304"/>
      <c r="J30" s="305"/>
      <c r="K30" s="305"/>
      <c r="L30" s="306"/>
      <c r="M30" s="324"/>
      <c r="N30" s="324"/>
      <c r="O30" s="324"/>
      <c r="P30" s="324"/>
      <c r="Q30" s="324"/>
      <c r="R30" s="304"/>
      <c r="S30" s="305"/>
      <c r="T30" s="305"/>
      <c r="U30" s="307"/>
      <c r="V30" s="324"/>
      <c r="W30" s="324"/>
      <c r="X30" s="324"/>
      <c r="Y30" s="324"/>
      <c r="Z30" s="324"/>
      <c r="AA30" s="304"/>
      <c r="AB30" s="305"/>
      <c r="AC30" s="304"/>
      <c r="AD30" s="307"/>
      <c r="AE30" s="324"/>
      <c r="AF30" s="324"/>
      <c r="AG30" s="324"/>
      <c r="AH30" s="324"/>
      <c r="AI30" s="324"/>
      <c r="AJ30" s="304"/>
      <c r="AK30" s="305"/>
      <c r="AL30" s="304"/>
      <c r="AM30" s="309"/>
      <c r="AN30" s="308"/>
      <c r="AO30" s="304"/>
      <c r="AP30" s="304"/>
      <c r="AQ30" s="304"/>
      <c r="AR30" s="304"/>
      <c r="AS30" s="304"/>
      <c r="AT30" s="305"/>
      <c r="AU30" s="304"/>
      <c r="AV30" s="311"/>
    </row>
    <row r="31" spans="1:49" customHeight="1" ht="18.75">
      <c r="A31" s="537"/>
      <c r="B31" s="332"/>
      <c r="C31" s="303">
        <f>+'Qty &amp; UMH GUM'!B31</f>
        <v/>
      </c>
      <c r="D31" s="324"/>
      <c r="E31" s="324"/>
      <c r="F31" s="324"/>
      <c r="G31" s="324"/>
      <c r="H31" s="324"/>
      <c r="I31" s="304"/>
      <c r="J31" s="305"/>
      <c r="K31" s="305"/>
      <c r="L31" s="306"/>
      <c r="M31" s="324"/>
      <c r="N31" s="324"/>
      <c r="O31" s="324"/>
      <c r="P31" s="324"/>
      <c r="Q31" s="324"/>
      <c r="R31" s="304"/>
      <c r="S31" s="305"/>
      <c r="T31" s="305"/>
      <c r="U31" s="307"/>
      <c r="V31" s="324"/>
      <c r="W31" s="324"/>
      <c r="X31" s="324"/>
      <c r="Y31" s="324"/>
      <c r="Z31" s="324"/>
      <c r="AA31" s="304"/>
      <c r="AB31" s="305"/>
      <c r="AC31" s="304"/>
      <c r="AD31" s="307"/>
      <c r="AE31" s="324"/>
      <c r="AF31" s="324"/>
      <c r="AG31" s="324"/>
      <c r="AH31" s="324"/>
      <c r="AI31" s="324"/>
      <c r="AJ31" s="304"/>
      <c r="AK31" s="305"/>
      <c r="AL31" s="304"/>
      <c r="AM31" s="309"/>
      <c r="AN31" s="308"/>
      <c r="AO31" s="304"/>
      <c r="AP31" s="304"/>
      <c r="AQ31" s="304"/>
      <c r="AR31" s="304"/>
      <c r="AS31" s="304"/>
      <c r="AT31" s="305"/>
      <c r="AU31" s="304"/>
      <c r="AV31" s="311"/>
    </row>
    <row r="32" spans="1:49" customHeight="1" ht="18.75">
      <c r="A32" s="537"/>
      <c r="B32" s="332"/>
      <c r="C32" s="303">
        <f>+'Qty &amp; UMH GUM'!B32</f>
        <v/>
      </c>
      <c r="D32" s="324"/>
      <c r="E32" s="324"/>
      <c r="F32" s="324"/>
      <c r="G32" s="324"/>
      <c r="H32" s="324"/>
      <c r="I32" s="304"/>
      <c r="J32" s="305"/>
      <c r="K32" s="305"/>
      <c r="L32" s="306"/>
      <c r="M32" s="324"/>
      <c r="N32" s="324"/>
      <c r="O32" s="324"/>
      <c r="P32" s="324"/>
      <c r="Q32" s="324"/>
      <c r="R32" s="304"/>
      <c r="S32" s="305"/>
      <c r="T32" s="305"/>
      <c r="U32" s="307"/>
      <c r="V32" s="324"/>
      <c r="W32" s="324"/>
      <c r="X32" s="324"/>
      <c r="Y32" s="324"/>
      <c r="Z32" s="324"/>
      <c r="AA32" s="304"/>
      <c r="AB32" s="305"/>
      <c r="AC32" s="304"/>
      <c r="AD32" s="307"/>
      <c r="AE32" s="324"/>
      <c r="AF32" s="324"/>
      <c r="AG32" s="324"/>
      <c r="AH32" s="324"/>
      <c r="AI32" s="324"/>
      <c r="AJ32" s="304"/>
      <c r="AK32" s="305"/>
      <c r="AL32" s="304"/>
      <c r="AM32" s="309"/>
      <c r="AN32" s="308"/>
      <c r="AO32" s="304"/>
      <c r="AP32" s="304"/>
      <c r="AQ32" s="304"/>
      <c r="AR32" s="304"/>
      <c r="AS32" s="304"/>
      <c r="AT32" s="305"/>
      <c r="AU32" s="304"/>
      <c r="AV32" s="311"/>
    </row>
    <row r="33" spans="1:49" customHeight="1" ht="18.75">
      <c r="A33" s="537"/>
      <c r="B33" s="332"/>
      <c r="C33" s="303">
        <f>+'Qty &amp; UMH GUM'!B33</f>
        <v/>
      </c>
      <c r="D33" s="324"/>
      <c r="E33" s="324"/>
      <c r="F33" s="324"/>
      <c r="G33" s="324"/>
      <c r="H33" s="324"/>
      <c r="I33" s="304"/>
      <c r="J33" s="305"/>
      <c r="K33" s="305"/>
      <c r="L33" s="306"/>
      <c r="M33" s="324"/>
      <c r="N33" s="324"/>
      <c r="O33" s="324"/>
      <c r="P33" s="324"/>
      <c r="Q33" s="324"/>
      <c r="R33" s="304"/>
      <c r="S33" s="305"/>
      <c r="T33" s="305"/>
      <c r="U33" s="307"/>
      <c r="V33" s="324"/>
      <c r="W33" s="324"/>
      <c r="X33" s="324"/>
      <c r="Y33" s="324"/>
      <c r="Z33" s="324"/>
      <c r="AA33" s="304"/>
      <c r="AB33" s="305"/>
      <c r="AC33" s="304"/>
      <c r="AD33" s="307"/>
      <c r="AE33" s="324"/>
      <c r="AF33" s="324"/>
      <c r="AG33" s="324"/>
      <c r="AH33" s="324"/>
      <c r="AI33" s="324"/>
      <c r="AJ33" s="304"/>
      <c r="AK33" s="305"/>
      <c r="AL33" s="304"/>
      <c r="AM33" s="309"/>
      <c r="AN33" s="308"/>
      <c r="AO33" s="304"/>
      <c r="AP33" s="304"/>
      <c r="AQ33" s="304"/>
      <c r="AR33" s="304"/>
      <c r="AS33" s="304"/>
      <c r="AT33" s="305"/>
      <c r="AU33" s="304"/>
      <c r="AV33" s="311"/>
    </row>
    <row r="34" spans="1:49" customHeight="1" ht="18.75">
      <c r="A34" s="537"/>
      <c r="B34" s="332"/>
      <c r="C34" s="303">
        <f>+'Qty &amp; UMH GUM'!B34</f>
        <v/>
      </c>
      <c r="D34" s="324"/>
      <c r="E34" s="324"/>
      <c r="F34" s="324"/>
      <c r="G34" s="324"/>
      <c r="H34" s="324"/>
      <c r="I34" s="304"/>
      <c r="J34" s="305"/>
      <c r="K34" s="305"/>
      <c r="L34" s="306"/>
      <c r="M34" s="324"/>
      <c r="N34" s="324"/>
      <c r="O34" s="324"/>
      <c r="P34" s="324"/>
      <c r="Q34" s="324"/>
      <c r="R34" s="304"/>
      <c r="S34" s="305"/>
      <c r="T34" s="305"/>
      <c r="U34" s="307"/>
      <c r="V34" s="324"/>
      <c r="W34" s="324"/>
      <c r="X34" s="324"/>
      <c r="Y34" s="324"/>
      <c r="Z34" s="324"/>
      <c r="AA34" s="304"/>
      <c r="AB34" s="305"/>
      <c r="AC34" s="304"/>
      <c r="AD34" s="307"/>
      <c r="AE34" s="324"/>
      <c r="AF34" s="324"/>
      <c r="AG34" s="324"/>
      <c r="AH34" s="324"/>
      <c r="AI34" s="324"/>
      <c r="AJ34" s="304"/>
      <c r="AK34" s="305"/>
      <c r="AL34" s="304"/>
      <c r="AM34" s="309"/>
      <c r="AN34" s="308"/>
      <c r="AO34" s="304"/>
      <c r="AP34" s="304"/>
      <c r="AQ34" s="304"/>
      <c r="AR34" s="304"/>
      <c r="AS34" s="304"/>
      <c r="AT34" s="305"/>
      <c r="AU34" s="304"/>
      <c r="AV34" s="311"/>
    </row>
    <row r="35" spans="1:49" customHeight="1" ht="18.75">
      <c r="A35" s="537"/>
      <c r="B35" s="332"/>
      <c r="C35" s="303">
        <f>+'Qty &amp; UMH GUM'!B35</f>
        <v/>
      </c>
      <c r="D35" s="324"/>
      <c r="E35" s="324"/>
      <c r="F35" s="324"/>
      <c r="G35" s="324"/>
      <c r="H35" s="324"/>
      <c r="I35" s="304"/>
      <c r="J35" s="305"/>
      <c r="K35" s="305"/>
      <c r="L35" s="306"/>
      <c r="M35" s="324"/>
      <c r="N35" s="324"/>
      <c r="O35" s="324"/>
      <c r="P35" s="324"/>
      <c r="Q35" s="324"/>
      <c r="R35" s="304"/>
      <c r="S35" s="305"/>
      <c r="T35" s="305"/>
      <c r="U35" s="307"/>
      <c r="V35" s="324"/>
      <c r="W35" s="324"/>
      <c r="X35" s="324"/>
      <c r="Y35" s="324"/>
      <c r="Z35" s="324"/>
      <c r="AA35" s="304"/>
      <c r="AB35" s="305"/>
      <c r="AC35" s="304"/>
      <c r="AD35" s="307"/>
      <c r="AE35" s="324"/>
      <c r="AF35" s="324"/>
      <c r="AG35" s="324"/>
      <c r="AH35" s="324"/>
      <c r="AI35" s="324"/>
      <c r="AJ35" s="304"/>
      <c r="AK35" s="305"/>
      <c r="AL35" s="304"/>
      <c r="AM35" s="309"/>
      <c r="AN35" s="308"/>
      <c r="AO35" s="304"/>
      <c r="AP35" s="304"/>
      <c r="AQ35" s="304"/>
      <c r="AR35" s="304"/>
      <c r="AS35" s="304"/>
      <c r="AT35" s="305"/>
      <c r="AU35" s="304"/>
      <c r="AV35" s="311"/>
    </row>
    <row r="36" spans="1:49" customHeight="1" ht="18.75">
      <c r="A36" s="537"/>
      <c r="B36" s="332" t="str">
        <f>'Qty &amp; UMH GUM'!C36</f>
        <v>82111-4DG90</v>
      </c>
      <c r="C36" s="303" t="str">
        <f>+'Qty &amp; UMH GUM'!B36</f>
        <v>HEV-LHD</v>
      </c>
      <c r="D36" s="324" t="e">
        <f>VLOOKUP($B36,#REF!,10,0)</f>
        <v>#REF!</v>
      </c>
      <c r="E36" s="324" t="e">
        <f>VLOOKUP($B36,#REF!,11,0)</f>
        <v>#REF!</v>
      </c>
      <c r="F36" s="324" t="e">
        <f>VLOOKUP($B36,#REF!,12,0)</f>
        <v>#REF!</v>
      </c>
      <c r="G36" s="324" t="e">
        <f>VLOOKUP($B36,#REF!,13,0)</f>
        <v>#REF!</v>
      </c>
      <c r="H36" s="324" t="e">
        <f>VLOOKUP($B36,#REF!,14,0)</f>
        <v>#REF!</v>
      </c>
      <c r="I36" s="304" t="e">
        <f>SUM(D36:D36)</f>
        <v>#REF!</v>
      </c>
      <c r="J36" s="305" t="e">
        <f>'Qty &amp; UMH GUM'!R36</f>
        <v>#REF!</v>
      </c>
      <c r="K36" s="305" t="e">
        <f>ROUNDUP((J36-I36)/$D$4,0)</f>
        <v>#REF!</v>
      </c>
      <c r="L36" s="306"/>
      <c r="M36" s="324" t="e">
        <f>VLOOKUP($B36,#REF!,16,0)</f>
        <v>#REF!</v>
      </c>
      <c r="N36" s="324" t="e">
        <f>VLOOKUP($B36,#REF!,17,0)</f>
        <v>#REF!</v>
      </c>
      <c r="O36" s="324" t="e">
        <f>VLOOKUP($B36,#REF!,18,0)</f>
        <v>#REF!</v>
      </c>
      <c r="P36" s="324" t="e">
        <f>VLOOKUP($B36,#REF!,19,0)</f>
        <v>#REF!</v>
      </c>
      <c r="Q36" s="324" t="e">
        <f>VLOOKUP($B36,#REF!,20,0)</f>
        <v>#REF!</v>
      </c>
      <c r="R36" s="304" t="e">
        <f>SUM(M36:M36)</f>
        <v>#REF!</v>
      </c>
      <c r="S36" s="305" t="e">
        <f>'Qty &amp; UMH GUM'!U36</f>
        <v>#REF!</v>
      </c>
      <c r="T36" s="305" t="e">
        <f>ROUNDUP((S36-R36)/$M$4,0)</f>
        <v>#REF!</v>
      </c>
      <c r="U36" s="307"/>
      <c r="V36" s="324" t="e">
        <f>VLOOKUP($B36,#REF!,22,0)</f>
        <v>#REF!</v>
      </c>
      <c r="W36" s="324" t="e">
        <f>VLOOKUP($B36,#REF!,23,0)</f>
        <v>#REF!</v>
      </c>
      <c r="X36" s="324" t="e">
        <f>VLOOKUP($B36,#REF!,24,0)</f>
        <v>#REF!</v>
      </c>
      <c r="Y36" s="324" t="e">
        <f>VLOOKUP($B36,#REF!,25,0)</f>
        <v>#REF!</v>
      </c>
      <c r="Z36" s="324" t="e">
        <f>VLOOKUP($B36,#REF!,26,0)</f>
        <v>#REF!</v>
      </c>
      <c r="AA36" s="304" t="e">
        <f>SUM(V36:V36)</f>
        <v>#REF!</v>
      </c>
      <c r="AB36" s="305" t="e">
        <f>'Qty &amp; UMH GUM'!X36</f>
        <v>#REF!</v>
      </c>
      <c r="AC36" s="304" t="e">
        <f>ROUNDUP((AB36-AA36)/$V$4,0)</f>
        <v>#REF!</v>
      </c>
      <c r="AD36" s="307"/>
      <c r="AE36" s="324" t="e">
        <f>VLOOKUP($B36,#REF!,28,0)</f>
        <v>#REF!</v>
      </c>
      <c r="AF36" s="324" t="e">
        <f>VLOOKUP($B36,#REF!,29,0)</f>
        <v>#REF!</v>
      </c>
      <c r="AG36" s="324" t="e">
        <f>VLOOKUP($B36,#REF!,30,0)</f>
        <v>#REF!</v>
      </c>
      <c r="AH36" s="324" t="e">
        <f>VLOOKUP($B36,#REF!,31,0)</f>
        <v>#REF!</v>
      </c>
      <c r="AI36" s="324" t="e">
        <f>VLOOKUP($B36,#REF!,32,0)</f>
        <v>#REF!</v>
      </c>
      <c r="AJ36" s="304" t="e">
        <f>SUM(AE36:AE36)</f>
        <v>#REF!</v>
      </c>
      <c r="AK36" s="305" t="e">
        <f>'Qty &amp; UMH GUM'!AA36</f>
        <v>#REF!</v>
      </c>
      <c r="AL36" s="304" t="e">
        <f>ROUNDUP((AK36-AJ36)/$AE$4,0)</f>
        <v>#REF!</v>
      </c>
      <c r="AM36" s="309"/>
      <c r="AN36" s="308" t="e">
        <f>VLOOKUP($B36,#REF!,34,0)</f>
        <v>#REF!</v>
      </c>
      <c r="AO36" s="304" t="e">
        <f>VLOOKUP($B36,#REF!,35,0)</f>
        <v>#REF!</v>
      </c>
      <c r="AP36" s="304" t="e">
        <f>VLOOKUP($B36,#REF!,36,0)</f>
        <v>#REF!</v>
      </c>
      <c r="AQ36" s="304" t="e">
        <f>VLOOKUP($B36,#REF!,37,0)</f>
        <v>#REF!</v>
      </c>
      <c r="AR36" s="304"/>
      <c r="AS36" s="304" t="e">
        <f>SUM(AN36:AN36)</f>
        <v>#REF!</v>
      </c>
      <c r="AT36" s="305" t="e">
        <f>'Qty &amp; UMH GUM'!AD36</f>
        <v>#REF!</v>
      </c>
      <c r="AU36" s="304" t="e">
        <f>ROUNDUP((AT36-AS36)/$AN$4,0)</f>
        <v>#REF!</v>
      </c>
      <c r="AV36" s="311"/>
    </row>
    <row r="37" spans="1:49" customHeight="1" ht="18.75">
      <c r="A37" s="537"/>
      <c r="B37" s="332" t="str">
        <f>'Qty &amp; UMH GUM'!C37</f>
        <v>82111-4DJ00</v>
      </c>
      <c r="C37" s="303" t="str">
        <f>+'Qty &amp; UMH GUM'!B37</f>
        <v>HEV-LHD</v>
      </c>
      <c r="D37" s="324" t="e">
        <f>VLOOKUP($B37,#REF!,10,0)</f>
        <v>#REF!</v>
      </c>
      <c r="E37" s="324" t="e">
        <f>VLOOKUP($B37,#REF!,11,0)</f>
        <v>#REF!</v>
      </c>
      <c r="F37" s="324" t="e">
        <f>VLOOKUP($B37,#REF!,12,0)</f>
        <v>#REF!</v>
      </c>
      <c r="G37" s="324" t="e">
        <f>VLOOKUP($B37,#REF!,13,0)</f>
        <v>#REF!</v>
      </c>
      <c r="H37" s="324" t="e">
        <f>VLOOKUP($B37,#REF!,14,0)</f>
        <v>#REF!</v>
      </c>
      <c r="I37" s="304" t="e">
        <f>SUM(D37:D37)</f>
        <v>#REF!</v>
      </c>
      <c r="J37" s="305" t="e">
        <f>'Qty &amp; UMH GUM'!R37</f>
        <v>#REF!</v>
      </c>
      <c r="K37" s="305" t="e">
        <f>ROUNDUP((J37-I37)/$D$4,0)</f>
        <v>#REF!</v>
      </c>
      <c r="L37" s="306"/>
      <c r="M37" s="324" t="e">
        <f>VLOOKUP($B37,#REF!,16,0)</f>
        <v>#REF!</v>
      </c>
      <c r="N37" s="324" t="e">
        <f>VLOOKUP($B37,#REF!,17,0)</f>
        <v>#REF!</v>
      </c>
      <c r="O37" s="324" t="e">
        <f>VLOOKUP($B37,#REF!,18,0)</f>
        <v>#REF!</v>
      </c>
      <c r="P37" s="324" t="e">
        <f>VLOOKUP($B37,#REF!,19,0)</f>
        <v>#REF!</v>
      </c>
      <c r="Q37" s="324" t="e">
        <f>VLOOKUP($B37,#REF!,20,0)</f>
        <v>#REF!</v>
      </c>
      <c r="R37" s="304" t="e">
        <f>SUM(M37:M37)</f>
        <v>#REF!</v>
      </c>
      <c r="S37" s="305" t="e">
        <f>'Qty &amp; UMH GUM'!U37</f>
        <v>#REF!</v>
      </c>
      <c r="T37" s="305" t="e">
        <f>ROUNDUP((S37-R37)/$M$4,0)</f>
        <v>#REF!</v>
      </c>
      <c r="U37" s="307"/>
      <c r="V37" s="324" t="e">
        <f>VLOOKUP($B37,#REF!,22,0)</f>
        <v>#REF!</v>
      </c>
      <c r="W37" s="324" t="e">
        <f>VLOOKUP($B37,#REF!,23,0)</f>
        <v>#REF!</v>
      </c>
      <c r="X37" s="324" t="e">
        <f>VLOOKUP($B37,#REF!,24,0)</f>
        <v>#REF!</v>
      </c>
      <c r="Y37" s="324" t="e">
        <f>VLOOKUP($B37,#REF!,25,0)</f>
        <v>#REF!</v>
      </c>
      <c r="Z37" s="324" t="e">
        <f>VLOOKUP($B37,#REF!,26,0)</f>
        <v>#REF!</v>
      </c>
      <c r="AA37" s="304" t="e">
        <f>SUM(V37:V37)</f>
        <v>#REF!</v>
      </c>
      <c r="AB37" s="305" t="e">
        <f>'Qty &amp; UMH GUM'!X37</f>
        <v>#REF!</v>
      </c>
      <c r="AC37" s="304" t="e">
        <f>ROUNDUP((AB37-AA37)/$V$4,0)</f>
        <v>#REF!</v>
      </c>
      <c r="AD37" s="307"/>
      <c r="AE37" s="324" t="e">
        <f>VLOOKUP($B37,#REF!,28,0)</f>
        <v>#REF!</v>
      </c>
      <c r="AF37" s="324" t="e">
        <f>VLOOKUP($B37,#REF!,29,0)</f>
        <v>#REF!</v>
      </c>
      <c r="AG37" s="324" t="e">
        <f>VLOOKUP($B37,#REF!,30,0)</f>
        <v>#REF!</v>
      </c>
      <c r="AH37" s="324" t="e">
        <f>VLOOKUP($B37,#REF!,31,0)</f>
        <v>#REF!</v>
      </c>
      <c r="AI37" s="324" t="e">
        <f>VLOOKUP($B37,#REF!,32,0)</f>
        <v>#REF!</v>
      </c>
      <c r="AJ37" s="304" t="e">
        <f>SUM(AE37:AE37)</f>
        <v>#REF!</v>
      </c>
      <c r="AK37" s="305" t="e">
        <f>'Qty &amp; UMH GUM'!AA37</f>
        <v>#REF!</v>
      </c>
      <c r="AL37" s="304" t="e">
        <f>ROUNDUP((AK37-AJ37)/$AE$4,0)</f>
        <v>#REF!</v>
      </c>
      <c r="AM37" s="309"/>
      <c r="AN37" s="308" t="e">
        <f>VLOOKUP($B37,#REF!,34,0)</f>
        <v>#REF!</v>
      </c>
      <c r="AO37" s="304" t="e">
        <f>VLOOKUP($B37,#REF!,35,0)</f>
        <v>#REF!</v>
      </c>
      <c r="AP37" s="304" t="e">
        <f>VLOOKUP($B37,#REF!,36,0)</f>
        <v>#REF!</v>
      </c>
      <c r="AQ37" s="304" t="e">
        <f>VLOOKUP($B37,#REF!,37,0)</f>
        <v>#REF!</v>
      </c>
      <c r="AR37" s="304"/>
      <c r="AS37" s="304" t="e">
        <f>SUM(AN37:AN37)</f>
        <v>#REF!</v>
      </c>
      <c r="AT37" s="305" t="e">
        <f>'Qty &amp; UMH GUM'!AD37</f>
        <v>#REF!</v>
      </c>
      <c r="AU37" s="304" t="e">
        <f>ROUNDUP((AT37-AS37)/$AN$4,0)</f>
        <v>#REF!</v>
      </c>
      <c r="AV37" s="311"/>
    </row>
    <row r="38" spans="1:49" customHeight="1" ht="18.75">
      <c r="A38" s="537"/>
      <c r="B38" s="332" t="str">
        <f>'Qty &amp; UMH GUM'!C38</f>
        <v>82111-4DL51</v>
      </c>
      <c r="C38" s="303" t="str">
        <f>+'Qty &amp; UMH GUM'!B38</f>
        <v>GAS-LHD</v>
      </c>
      <c r="D38" s="324" t="e">
        <f>VLOOKUP($B38,#REF!,10,0)</f>
        <v>#REF!</v>
      </c>
      <c r="E38" s="324" t="e">
        <f>VLOOKUP($B38,#REF!,11,0)</f>
        <v>#REF!</v>
      </c>
      <c r="F38" s="324" t="e">
        <f>VLOOKUP($B38,#REF!,12,0)</f>
        <v>#REF!</v>
      </c>
      <c r="G38" s="324" t="e">
        <f>VLOOKUP($B38,#REF!,13,0)</f>
        <v>#REF!</v>
      </c>
      <c r="H38" s="324" t="e">
        <f>VLOOKUP($B38,#REF!,14,0)</f>
        <v>#REF!</v>
      </c>
      <c r="I38" s="304" t="e">
        <f>SUM(D38:D38)</f>
        <v>#REF!</v>
      </c>
      <c r="J38" s="305" t="e">
        <f>'Qty &amp; UMH GUM'!R38</f>
        <v>#REF!</v>
      </c>
      <c r="K38" s="305" t="e">
        <f>ROUNDUP((J38-I38)/$D$4,0)</f>
        <v>#REF!</v>
      </c>
      <c r="L38" s="306"/>
      <c r="M38" s="324" t="e">
        <f>VLOOKUP($B38,#REF!,16,0)</f>
        <v>#REF!</v>
      </c>
      <c r="N38" s="324" t="e">
        <f>VLOOKUP($B38,#REF!,17,0)</f>
        <v>#REF!</v>
      </c>
      <c r="O38" s="324" t="e">
        <f>VLOOKUP($B38,#REF!,18,0)</f>
        <v>#REF!</v>
      </c>
      <c r="P38" s="324" t="e">
        <f>VLOOKUP($B38,#REF!,19,0)</f>
        <v>#REF!</v>
      </c>
      <c r="Q38" s="324" t="e">
        <f>VLOOKUP($B38,#REF!,20,0)</f>
        <v>#REF!</v>
      </c>
      <c r="R38" s="304" t="e">
        <f>SUM(M38:M38)</f>
        <v>#REF!</v>
      </c>
      <c r="S38" s="305" t="e">
        <f>'Qty &amp; UMH GUM'!U38</f>
        <v>#REF!</v>
      </c>
      <c r="T38" s="305" t="e">
        <f>ROUNDUP((S38-R38)/$M$4,0)</f>
        <v>#REF!</v>
      </c>
      <c r="U38" s="307"/>
      <c r="V38" s="324" t="e">
        <f>VLOOKUP($B38,#REF!,22,0)</f>
        <v>#REF!</v>
      </c>
      <c r="W38" s="324" t="e">
        <f>VLOOKUP($B38,#REF!,23,0)</f>
        <v>#REF!</v>
      </c>
      <c r="X38" s="324" t="e">
        <f>VLOOKUP($B38,#REF!,24,0)</f>
        <v>#REF!</v>
      </c>
      <c r="Y38" s="324" t="e">
        <f>VLOOKUP($B38,#REF!,25,0)</f>
        <v>#REF!</v>
      </c>
      <c r="Z38" s="324" t="e">
        <f>VLOOKUP($B38,#REF!,26,0)</f>
        <v>#REF!</v>
      </c>
      <c r="AA38" s="304" t="e">
        <f>SUM(V38:V38)</f>
        <v>#REF!</v>
      </c>
      <c r="AB38" s="305" t="e">
        <f>'Qty &amp; UMH GUM'!X38</f>
        <v>#REF!</v>
      </c>
      <c r="AC38" s="304" t="e">
        <f>ROUNDUP((AB38-AA38)/$V$4,0)</f>
        <v>#REF!</v>
      </c>
      <c r="AD38" s="307"/>
      <c r="AE38" s="324" t="e">
        <f>VLOOKUP($B38,#REF!,28,0)</f>
        <v>#REF!</v>
      </c>
      <c r="AF38" s="324" t="e">
        <f>VLOOKUP($B38,#REF!,29,0)</f>
        <v>#REF!</v>
      </c>
      <c r="AG38" s="324" t="e">
        <f>VLOOKUP($B38,#REF!,30,0)</f>
        <v>#REF!</v>
      </c>
      <c r="AH38" s="324" t="e">
        <f>VLOOKUP($B38,#REF!,31,0)</f>
        <v>#REF!</v>
      </c>
      <c r="AI38" s="324" t="e">
        <f>VLOOKUP($B38,#REF!,32,0)</f>
        <v>#REF!</v>
      </c>
      <c r="AJ38" s="304" t="e">
        <f>SUM(AE38:AE38)</f>
        <v>#REF!</v>
      </c>
      <c r="AK38" s="305" t="e">
        <f>'Qty &amp; UMH GUM'!AA38</f>
        <v>#REF!</v>
      </c>
      <c r="AL38" s="304" t="e">
        <f>ROUNDUP((AK38-AJ38)/$AE$4,0)</f>
        <v>#REF!</v>
      </c>
      <c r="AM38" s="309"/>
      <c r="AN38" s="308" t="e">
        <f>VLOOKUP($B38,#REF!,34,0)</f>
        <v>#REF!</v>
      </c>
      <c r="AO38" s="304" t="e">
        <f>VLOOKUP($B38,#REF!,35,0)</f>
        <v>#REF!</v>
      </c>
      <c r="AP38" s="304" t="e">
        <f>VLOOKUP($B38,#REF!,36,0)</f>
        <v>#REF!</v>
      </c>
      <c r="AQ38" s="304" t="e">
        <f>VLOOKUP($B38,#REF!,37,0)</f>
        <v>#REF!</v>
      </c>
      <c r="AR38" s="304"/>
      <c r="AS38" s="304" t="e">
        <f>SUM(AN38:AN38)</f>
        <v>#REF!</v>
      </c>
      <c r="AT38" s="305" t="e">
        <f>'Qty &amp; UMH GUM'!AD38</f>
        <v>#REF!</v>
      </c>
      <c r="AU38" s="304" t="e">
        <f>ROUNDUP((AT38-AS38)/$AN$4,0)</f>
        <v>#REF!</v>
      </c>
      <c r="AV38" s="311"/>
    </row>
    <row r="39" spans="1:49" customHeight="1" ht="18.75">
      <c r="A39" s="537"/>
      <c r="B39" s="332" t="str">
        <f>'Qty &amp; UMH GUM'!C39</f>
        <v>82111-4DL61</v>
      </c>
      <c r="C39" s="303" t="str">
        <f>+'Qty &amp; UMH GUM'!B39</f>
        <v>GAS-LHD</v>
      </c>
      <c r="D39" s="324" t="e">
        <f>VLOOKUP($B39,#REF!,10,0)</f>
        <v>#REF!</v>
      </c>
      <c r="E39" s="324" t="e">
        <f>VLOOKUP($B39,#REF!,11,0)</f>
        <v>#REF!</v>
      </c>
      <c r="F39" s="324" t="e">
        <f>VLOOKUP($B39,#REF!,12,0)</f>
        <v>#REF!</v>
      </c>
      <c r="G39" s="324" t="e">
        <f>VLOOKUP($B39,#REF!,13,0)</f>
        <v>#REF!</v>
      </c>
      <c r="H39" s="324" t="e">
        <f>VLOOKUP($B39,#REF!,14,0)</f>
        <v>#REF!</v>
      </c>
      <c r="I39" s="304" t="e">
        <f>SUM(D39:D39)</f>
        <v>#REF!</v>
      </c>
      <c r="J39" s="305" t="e">
        <f>'Qty &amp; UMH GUM'!R39</f>
        <v>#REF!</v>
      </c>
      <c r="K39" s="305" t="e">
        <f>ROUNDUP((J39-I39)/$D$4,0)</f>
        <v>#REF!</v>
      </c>
      <c r="L39" s="306"/>
      <c r="M39" s="324" t="e">
        <f>VLOOKUP($B39,#REF!,16,0)</f>
        <v>#REF!</v>
      </c>
      <c r="N39" s="324" t="e">
        <f>VLOOKUP($B39,#REF!,17,0)</f>
        <v>#REF!</v>
      </c>
      <c r="O39" s="324" t="e">
        <f>VLOOKUP($B39,#REF!,18,0)</f>
        <v>#REF!</v>
      </c>
      <c r="P39" s="324" t="e">
        <f>VLOOKUP($B39,#REF!,19,0)</f>
        <v>#REF!</v>
      </c>
      <c r="Q39" s="324" t="e">
        <f>VLOOKUP($B39,#REF!,20,0)</f>
        <v>#REF!</v>
      </c>
      <c r="R39" s="304" t="e">
        <f>SUM(M39:M39)</f>
        <v>#REF!</v>
      </c>
      <c r="S39" s="305" t="e">
        <f>'Qty &amp; UMH GUM'!U39</f>
        <v>#REF!</v>
      </c>
      <c r="T39" s="305" t="e">
        <f>ROUNDUP((S39-R39)/$M$4,0)</f>
        <v>#REF!</v>
      </c>
      <c r="U39" s="307"/>
      <c r="V39" s="324" t="e">
        <f>VLOOKUP($B39,#REF!,22,0)</f>
        <v>#REF!</v>
      </c>
      <c r="W39" s="324" t="e">
        <f>VLOOKUP($B39,#REF!,23,0)</f>
        <v>#REF!</v>
      </c>
      <c r="X39" s="324" t="e">
        <f>VLOOKUP($B39,#REF!,24,0)</f>
        <v>#REF!</v>
      </c>
      <c r="Y39" s="324" t="e">
        <f>VLOOKUP($B39,#REF!,25,0)</f>
        <v>#REF!</v>
      </c>
      <c r="Z39" s="324" t="e">
        <f>VLOOKUP($B39,#REF!,26,0)</f>
        <v>#REF!</v>
      </c>
      <c r="AA39" s="304" t="e">
        <f>SUM(V39:V39)</f>
        <v>#REF!</v>
      </c>
      <c r="AB39" s="305" t="e">
        <f>'Qty &amp; UMH GUM'!X39</f>
        <v>#REF!</v>
      </c>
      <c r="AC39" s="304" t="e">
        <f>ROUNDUP((AB39-AA39)/$V$4,0)</f>
        <v>#REF!</v>
      </c>
      <c r="AD39" s="307"/>
      <c r="AE39" s="324" t="e">
        <f>VLOOKUP($B39,#REF!,28,0)</f>
        <v>#REF!</v>
      </c>
      <c r="AF39" s="324" t="e">
        <f>VLOOKUP($B39,#REF!,29,0)</f>
        <v>#REF!</v>
      </c>
      <c r="AG39" s="324" t="e">
        <f>VLOOKUP($B39,#REF!,30,0)</f>
        <v>#REF!</v>
      </c>
      <c r="AH39" s="324" t="e">
        <f>VLOOKUP($B39,#REF!,31,0)</f>
        <v>#REF!</v>
      </c>
      <c r="AI39" s="324" t="e">
        <f>VLOOKUP($B39,#REF!,32,0)</f>
        <v>#REF!</v>
      </c>
      <c r="AJ39" s="304" t="e">
        <f>SUM(AE39:AE39)</f>
        <v>#REF!</v>
      </c>
      <c r="AK39" s="305" t="e">
        <f>'Qty &amp; UMH GUM'!AA39</f>
        <v>#REF!</v>
      </c>
      <c r="AL39" s="304" t="e">
        <f>ROUNDUP((AK39-AJ39)/$AE$4,0)</f>
        <v>#REF!</v>
      </c>
      <c r="AM39" s="309"/>
      <c r="AN39" s="308" t="e">
        <f>VLOOKUP($B39,#REF!,34,0)</f>
        <v>#REF!</v>
      </c>
      <c r="AO39" s="304" t="e">
        <f>VLOOKUP($B39,#REF!,35,0)</f>
        <v>#REF!</v>
      </c>
      <c r="AP39" s="304" t="e">
        <f>VLOOKUP($B39,#REF!,36,0)</f>
        <v>#REF!</v>
      </c>
      <c r="AQ39" s="304" t="e">
        <f>VLOOKUP($B39,#REF!,37,0)</f>
        <v>#REF!</v>
      </c>
      <c r="AR39" s="304"/>
      <c r="AS39" s="304" t="e">
        <f>SUM(AN39:AN39)</f>
        <v>#REF!</v>
      </c>
      <c r="AT39" s="305" t="e">
        <f>'Qty &amp; UMH GUM'!AD39</f>
        <v>#REF!</v>
      </c>
      <c r="AU39" s="304" t="e">
        <f>ROUNDUP((AT39-AS39)/$AN$4,0)</f>
        <v>#REF!</v>
      </c>
      <c r="AV39" s="311"/>
    </row>
    <row r="40" spans="1:49" customHeight="1" ht="18.75">
      <c r="A40" s="537"/>
      <c r="B40" s="332" t="str">
        <f>'Qty &amp; UMH GUM'!C40</f>
        <v>82111-4DL71</v>
      </c>
      <c r="C40" s="303" t="str">
        <f>+'Qty &amp; UMH GUM'!B40</f>
        <v>GAS-LHD</v>
      </c>
      <c r="D40" s="324" t="e">
        <f>VLOOKUP($B40,#REF!,10,0)</f>
        <v>#REF!</v>
      </c>
      <c r="E40" s="324" t="e">
        <f>VLOOKUP($B40,#REF!,11,0)</f>
        <v>#REF!</v>
      </c>
      <c r="F40" s="324" t="e">
        <f>VLOOKUP($B40,#REF!,12,0)</f>
        <v>#REF!</v>
      </c>
      <c r="G40" s="324" t="e">
        <f>VLOOKUP($B40,#REF!,13,0)</f>
        <v>#REF!</v>
      </c>
      <c r="H40" s="324" t="e">
        <f>VLOOKUP($B40,#REF!,14,0)</f>
        <v>#REF!</v>
      </c>
      <c r="I40" s="304" t="e">
        <f>SUM(D40:D40)</f>
        <v>#REF!</v>
      </c>
      <c r="J40" s="305" t="e">
        <f>'Qty &amp; UMH GUM'!R40</f>
        <v>#REF!</v>
      </c>
      <c r="K40" s="305" t="e">
        <f>ROUNDUP((J40-I40)/$D$4,0)</f>
        <v>#REF!</v>
      </c>
      <c r="L40" s="306"/>
      <c r="M40" s="324" t="e">
        <f>VLOOKUP($B40,#REF!,16,0)</f>
        <v>#REF!</v>
      </c>
      <c r="N40" s="324" t="e">
        <f>VLOOKUP($B40,#REF!,17,0)</f>
        <v>#REF!</v>
      </c>
      <c r="O40" s="324" t="e">
        <f>VLOOKUP($B40,#REF!,18,0)</f>
        <v>#REF!</v>
      </c>
      <c r="P40" s="324" t="e">
        <f>VLOOKUP($B40,#REF!,19,0)</f>
        <v>#REF!</v>
      </c>
      <c r="Q40" s="324" t="e">
        <f>VLOOKUP($B40,#REF!,20,0)</f>
        <v>#REF!</v>
      </c>
      <c r="R40" s="304" t="e">
        <f>SUM(M40:M40)</f>
        <v>#REF!</v>
      </c>
      <c r="S40" s="305" t="e">
        <f>'Qty &amp; UMH GUM'!U40</f>
        <v>#REF!</v>
      </c>
      <c r="T40" s="305" t="e">
        <f>ROUNDUP((S40-R40)/$M$4,0)</f>
        <v>#REF!</v>
      </c>
      <c r="U40" s="307"/>
      <c r="V40" s="324" t="e">
        <f>VLOOKUP($B40,#REF!,22,0)</f>
        <v>#REF!</v>
      </c>
      <c r="W40" s="324" t="e">
        <f>VLOOKUP($B40,#REF!,23,0)</f>
        <v>#REF!</v>
      </c>
      <c r="X40" s="324" t="e">
        <f>VLOOKUP($B40,#REF!,24,0)</f>
        <v>#REF!</v>
      </c>
      <c r="Y40" s="324" t="e">
        <f>VLOOKUP($B40,#REF!,25,0)</f>
        <v>#REF!</v>
      </c>
      <c r="Z40" s="324" t="e">
        <f>VLOOKUP($B40,#REF!,26,0)</f>
        <v>#REF!</v>
      </c>
      <c r="AA40" s="304" t="e">
        <f>SUM(V40:V40)</f>
        <v>#REF!</v>
      </c>
      <c r="AB40" s="305" t="e">
        <f>'Qty &amp; UMH GUM'!X40</f>
        <v>#REF!</v>
      </c>
      <c r="AC40" s="304" t="e">
        <f>ROUNDUP((AB40-AA40)/$V$4,0)</f>
        <v>#REF!</v>
      </c>
      <c r="AD40" s="307"/>
      <c r="AE40" s="324" t="e">
        <f>VLOOKUP($B40,#REF!,28,0)</f>
        <v>#REF!</v>
      </c>
      <c r="AF40" s="324" t="e">
        <f>VLOOKUP($B40,#REF!,29,0)</f>
        <v>#REF!</v>
      </c>
      <c r="AG40" s="324" t="e">
        <f>VLOOKUP($B40,#REF!,30,0)</f>
        <v>#REF!</v>
      </c>
      <c r="AH40" s="324" t="e">
        <f>VLOOKUP($B40,#REF!,31,0)</f>
        <v>#REF!</v>
      </c>
      <c r="AI40" s="324" t="e">
        <f>VLOOKUP($B40,#REF!,32,0)</f>
        <v>#REF!</v>
      </c>
      <c r="AJ40" s="304" t="e">
        <f>SUM(AE40:AE40)</f>
        <v>#REF!</v>
      </c>
      <c r="AK40" s="305" t="e">
        <f>'Qty &amp; UMH GUM'!AA40</f>
        <v>#REF!</v>
      </c>
      <c r="AL40" s="304" t="e">
        <f>ROUNDUP((AK40-AJ40)/$AE$4,0)</f>
        <v>#REF!</v>
      </c>
      <c r="AM40" s="309"/>
      <c r="AN40" s="308" t="e">
        <f>VLOOKUP($B40,#REF!,34,0)</f>
        <v>#REF!</v>
      </c>
      <c r="AO40" s="304" t="e">
        <f>VLOOKUP($B40,#REF!,35,0)</f>
        <v>#REF!</v>
      </c>
      <c r="AP40" s="304" t="e">
        <f>VLOOKUP($B40,#REF!,36,0)</f>
        <v>#REF!</v>
      </c>
      <c r="AQ40" s="304" t="e">
        <f>VLOOKUP($B40,#REF!,37,0)</f>
        <v>#REF!</v>
      </c>
      <c r="AR40" s="304"/>
      <c r="AS40" s="304" t="e">
        <f>SUM(AN40:AN40)</f>
        <v>#REF!</v>
      </c>
      <c r="AT40" s="305" t="e">
        <f>'Qty &amp; UMH GUM'!AD40</f>
        <v>#REF!</v>
      </c>
      <c r="AU40" s="304" t="e">
        <f>ROUNDUP((AT40-AS40)/$AN$4,0)</f>
        <v>#REF!</v>
      </c>
      <c r="AV40" s="311"/>
    </row>
    <row r="41" spans="1:49" customHeight="1" ht="18.75">
      <c r="A41" s="537"/>
      <c r="B41" s="332" t="str">
        <f>'Qty &amp; UMH GUM'!C41</f>
        <v>82111-4DL81</v>
      </c>
      <c r="C41" s="303" t="str">
        <f>+'Qty &amp; UMH GUM'!B41</f>
        <v>HEV-LHD</v>
      </c>
      <c r="D41" s="324" t="e">
        <f>VLOOKUP($B41,#REF!,10,0)</f>
        <v>#REF!</v>
      </c>
      <c r="E41" s="324" t="e">
        <f>VLOOKUP($B41,#REF!,11,0)</f>
        <v>#REF!</v>
      </c>
      <c r="F41" s="324" t="e">
        <f>VLOOKUP($B41,#REF!,12,0)</f>
        <v>#REF!</v>
      </c>
      <c r="G41" s="324" t="e">
        <f>VLOOKUP($B41,#REF!,13,0)</f>
        <v>#REF!</v>
      </c>
      <c r="H41" s="324" t="e">
        <f>VLOOKUP($B41,#REF!,14,0)</f>
        <v>#REF!</v>
      </c>
      <c r="I41" s="304" t="e">
        <f>SUM(D41:D41)</f>
        <v>#REF!</v>
      </c>
      <c r="J41" s="305" t="e">
        <f>'Qty &amp; UMH GUM'!R41</f>
        <v>#REF!</v>
      </c>
      <c r="K41" s="305" t="e">
        <f>ROUNDUP((J41-I41)/$D$4,0)</f>
        <v>#REF!</v>
      </c>
      <c r="L41" s="306"/>
      <c r="M41" s="324" t="e">
        <f>VLOOKUP($B41,#REF!,16,0)</f>
        <v>#REF!</v>
      </c>
      <c r="N41" s="324" t="e">
        <f>VLOOKUP($B41,#REF!,17,0)</f>
        <v>#REF!</v>
      </c>
      <c r="O41" s="324" t="e">
        <f>VLOOKUP($B41,#REF!,18,0)</f>
        <v>#REF!</v>
      </c>
      <c r="P41" s="324" t="e">
        <f>VLOOKUP($B41,#REF!,19,0)</f>
        <v>#REF!</v>
      </c>
      <c r="Q41" s="324" t="e">
        <f>VLOOKUP($B41,#REF!,20,0)</f>
        <v>#REF!</v>
      </c>
      <c r="R41" s="304" t="e">
        <f>SUM(M41:M41)</f>
        <v>#REF!</v>
      </c>
      <c r="S41" s="305" t="e">
        <f>'Qty &amp; UMH GUM'!U41</f>
        <v>#REF!</v>
      </c>
      <c r="T41" s="305" t="e">
        <f>ROUNDUP((S41-R41)/$M$4,0)</f>
        <v>#REF!</v>
      </c>
      <c r="U41" s="307"/>
      <c r="V41" s="324" t="e">
        <f>VLOOKUP($B41,#REF!,22,0)</f>
        <v>#REF!</v>
      </c>
      <c r="W41" s="324" t="e">
        <f>VLOOKUP($B41,#REF!,23,0)</f>
        <v>#REF!</v>
      </c>
      <c r="X41" s="324" t="e">
        <f>VLOOKUP($B41,#REF!,24,0)</f>
        <v>#REF!</v>
      </c>
      <c r="Y41" s="324" t="e">
        <f>VLOOKUP($B41,#REF!,25,0)</f>
        <v>#REF!</v>
      </c>
      <c r="Z41" s="324" t="e">
        <f>VLOOKUP($B41,#REF!,26,0)</f>
        <v>#REF!</v>
      </c>
      <c r="AA41" s="304" t="e">
        <f>SUM(V41:V41)</f>
        <v>#REF!</v>
      </c>
      <c r="AB41" s="305" t="e">
        <f>'Qty &amp; UMH GUM'!X41</f>
        <v>#REF!</v>
      </c>
      <c r="AC41" s="304" t="e">
        <f>ROUNDUP((AB41-AA41)/$V$4,0)</f>
        <v>#REF!</v>
      </c>
      <c r="AD41" s="307"/>
      <c r="AE41" s="324" t="e">
        <f>VLOOKUP($B41,#REF!,28,0)</f>
        <v>#REF!</v>
      </c>
      <c r="AF41" s="324" t="e">
        <f>VLOOKUP($B41,#REF!,29,0)</f>
        <v>#REF!</v>
      </c>
      <c r="AG41" s="324" t="e">
        <f>VLOOKUP($B41,#REF!,30,0)</f>
        <v>#REF!</v>
      </c>
      <c r="AH41" s="324" t="e">
        <f>VLOOKUP($B41,#REF!,31,0)</f>
        <v>#REF!</v>
      </c>
      <c r="AI41" s="324" t="e">
        <f>VLOOKUP($B41,#REF!,32,0)</f>
        <v>#REF!</v>
      </c>
      <c r="AJ41" s="304" t="e">
        <f>SUM(AE41:AE41)</f>
        <v>#REF!</v>
      </c>
      <c r="AK41" s="305" t="e">
        <f>'Qty &amp; UMH GUM'!AA41</f>
        <v>#REF!</v>
      </c>
      <c r="AL41" s="304" t="e">
        <f>ROUNDUP((AK41-AJ41)/$AE$4,0)</f>
        <v>#REF!</v>
      </c>
      <c r="AM41" s="309"/>
      <c r="AN41" s="308" t="e">
        <f>VLOOKUP($B41,#REF!,34,0)</f>
        <v>#REF!</v>
      </c>
      <c r="AO41" s="304" t="e">
        <f>VLOOKUP($B41,#REF!,35,0)</f>
        <v>#REF!</v>
      </c>
      <c r="AP41" s="304" t="e">
        <f>VLOOKUP($B41,#REF!,36,0)</f>
        <v>#REF!</v>
      </c>
      <c r="AQ41" s="304" t="e">
        <f>VLOOKUP($B41,#REF!,37,0)</f>
        <v>#REF!</v>
      </c>
      <c r="AR41" s="304"/>
      <c r="AS41" s="304" t="e">
        <f>SUM(AN41:AN41)</f>
        <v>#REF!</v>
      </c>
      <c r="AT41" s="305" t="e">
        <f>'Qty &amp; UMH GUM'!AD41</f>
        <v>#REF!</v>
      </c>
      <c r="AU41" s="304" t="e">
        <f>ROUNDUP((AT41-AS41)/$AN$4,0)</f>
        <v>#REF!</v>
      </c>
      <c r="AV41" s="311"/>
    </row>
    <row r="42" spans="1:49" customHeight="1" ht="18.75">
      <c r="A42" s="537"/>
      <c r="B42" s="332" t="str">
        <f>'Qty &amp; UMH GUM'!C42</f>
        <v>82111-4DL91</v>
      </c>
      <c r="C42" s="303" t="str">
        <f>+'Qty &amp; UMH GUM'!B42</f>
        <v>HEV-LHD</v>
      </c>
      <c r="D42" s="324" t="e">
        <f>VLOOKUP($B42,#REF!,10,0)</f>
        <v>#REF!</v>
      </c>
      <c r="E42" s="324" t="e">
        <f>VLOOKUP($B42,#REF!,11,0)</f>
        <v>#REF!</v>
      </c>
      <c r="F42" s="324" t="e">
        <f>VLOOKUP($B42,#REF!,12,0)</f>
        <v>#REF!</v>
      </c>
      <c r="G42" s="324" t="e">
        <f>VLOOKUP($B42,#REF!,13,0)</f>
        <v>#REF!</v>
      </c>
      <c r="H42" s="324" t="e">
        <f>VLOOKUP($B42,#REF!,14,0)</f>
        <v>#REF!</v>
      </c>
      <c r="I42" s="304" t="e">
        <f>SUM(D42:D42)</f>
        <v>#REF!</v>
      </c>
      <c r="J42" s="305" t="e">
        <f>'Qty &amp; UMH GUM'!R42</f>
        <v>#REF!</v>
      </c>
      <c r="K42" s="305" t="e">
        <f>ROUNDUP((J42-I42)/$D$4,0)</f>
        <v>#REF!</v>
      </c>
      <c r="L42" s="306"/>
      <c r="M42" s="324" t="e">
        <f>VLOOKUP($B42,#REF!,16,0)</f>
        <v>#REF!</v>
      </c>
      <c r="N42" s="324" t="e">
        <f>VLOOKUP($B42,#REF!,17,0)</f>
        <v>#REF!</v>
      </c>
      <c r="O42" s="324" t="e">
        <f>VLOOKUP($B42,#REF!,18,0)</f>
        <v>#REF!</v>
      </c>
      <c r="P42" s="324" t="e">
        <f>VLOOKUP($B42,#REF!,19,0)</f>
        <v>#REF!</v>
      </c>
      <c r="Q42" s="324" t="e">
        <f>VLOOKUP($B42,#REF!,20,0)</f>
        <v>#REF!</v>
      </c>
      <c r="R42" s="304" t="e">
        <f>SUM(M42:M42)</f>
        <v>#REF!</v>
      </c>
      <c r="S42" s="305" t="e">
        <f>'Qty &amp; UMH GUM'!U42</f>
        <v>#REF!</v>
      </c>
      <c r="T42" s="305" t="e">
        <f>ROUNDUP((S42-R42)/$M$4,0)</f>
        <v>#REF!</v>
      </c>
      <c r="U42" s="307"/>
      <c r="V42" s="324" t="e">
        <f>VLOOKUP($B42,#REF!,22,0)</f>
        <v>#REF!</v>
      </c>
      <c r="W42" s="324" t="e">
        <f>VLOOKUP($B42,#REF!,23,0)</f>
        <v>#REF!</v>
      </c>
      <c r="X42" s="324" t="e">
        <f>VLOOKUP($B42,#REF!,24,0)</f>
        <v>#REF!</v>
      </c>
      <c r="Y42" s="324" t="e">
        <f>VLOOKUP($B42,#REF!,25,0)</f>
        <v>#REF!</v>
      </c>
      <c r="Z42" s="324" t="e">
        <f>VLOOKUP($B42,#REF!,26,0)</f>
        <v>#REF!</v>
      </c>
      <c r="AA42" s="304" t="e">
        <f>SUM(V42:V42)</f>
        <v>#REF!</v>
      </c>
      <c r="AB42" s="305" t="e">
        <f>'Qty &amp; UMH GUM'!X42</f>
        <v>#REF!</v>
      </c>
      <c r="AC42" s="304" t="e">
        <f>ROUNDUP((AB42-AA42)/$V$4,0)</f>
        <v>#REF!</v>
      </c>
      <c r="AD42" s="307"/>
      <c r="AE42" s="324" t="e">
        <f>VLOOKUP($B42,#REF!,28,0)</f>
        <v>#REF!</v>
      </c>
      <c r="AF42" s="324" t="e">
        <f>VLOOKUP($B42,#REF!,29,0)</f>
        <v>#REF!</v>
      </c>
      <c r="AG42" s="324" t="e">
        <f>VLOOKUP($B42,#REF!,30,0)</f>
        <v>#REF!</v>
      </c>
      <c r="AH42" s="324" t="e">
        <f>VLOOKUP($B42,#REF!,31,0)</f>
        <v>#REF!</v>
      </c>
      <c r="AI42" s="324" t="e">
        <f>VLOOKUP($B42,#REF!,32,0)</f>
        <v>#REF!</v>
      </c>
      <c r="AJ42" s="304" t="e">
        <f>SUM(AE42:AE42)</f>
        <v>#REF!</v>
      </c>
      <c r="AK42" s="305" t="e">
        <f>'Qty &amp; UMH GUM'!AA42</f>
        <v>#REF!</v>
      </c>
      <c r="AL42" s="304" t="e">
        <f>ROUNDUP((AK42-AJ42)/$AE$4,0)</f>
        <v>#REF!</v>
      </c>
      <c r="AM42" s="309"/>
      <c r="AN42" s="308" t="e">
        <f>VLOOKUP($B42,#REF!,34,0)</f>
        <v>#REF!</v>
      </c>
      <c r="AO42" s="304" t="e">
        <f>VLOOKUP($B42,#REF!,35,0)</f>
        <v>#REF!</v>
      </c>
      <c r="AP42" s="304" t="e">
        <f>VLOOKUP($B42,#REF!,36,0)</f>
        <v>#REF!</v>
      </c>
      <c r="AQ42" s="304" t="e">
        <f>VLOOKUP($B42,#REF!,37,0)</f>
        <v>#REF!</v>
      </c>
      <c r="AR42" s="304"/>
      <c r="AS42" s="304" t="e">
        <f>SUM(AN42:AN42)</f>
        <v>#REF!</v>
      </c>
      <c r="AT42" s="305" t="e">
        <f>'Qty &amp; UMH GUM'!AD42</f>
        <v>#REF!</v>
      </c>
      <c r="AU42" s="304" t="e">
        <f>ROUNDUP((AT42-AS42)/$AN$4,0)</f>
        <v>#REF!</v>
      </c>
      <c r="AV42" s="311"/>
    </row>
    <row r="43" spans="1:49" customHeight="1" ht="18.75">
      <c r="A43" s="537"/>
      <c r="B43" s="332" t="str">
        <f>'Qty &amp; UMH GUM'!C43</f>
        <v>82111-4DM01</v>
      </c>
      <c r="C43" s="303" t="str">
        <f>+'Qty &amp; UMH GUM'!B43</f>
        <v>HEV-LHD</v>
      </c>
      <c r="D43" s="324" t="e">
        <f>VLOOKUP($B43,#REF!,10,0)</f>
        <v>#REF!</v>
      </c>
      <c r="E43" s="324" t="e">
        <f>VLOOKUP($B43,#REF!,11,0)</f>
        <v>#REF!</v>
      </c>
      <c r="F43" s="324" t="e">
        <f>VLOOKUP($B43,#REF!,12,0)</f>
        <v>#REF!</v>
      </c>
      <c r="G43" s="324" t="e">
        <f>VLOOKUP($B43,#REF!,13,0)</f>
        <v>#REF!</v>
      </c>
      <c r="H43" s="324" t="e">
        <f>VLOOKUP($B43,#REF!,14,0)</f>
        <v>#REF!</v>
      </c>
      <c r="I43" s="304" t="e">
        <f>SUM(D43:D43)</f>
        <v>#REF!</v>
      </c>
      <c r="J43" s="305" t="e">
        <f>'Qty &amp; UMH GUM'!R43</f>
        <v>#REF!</v>
      </c>
      <c r="K43" s="305" t="e">
        <f>ROUNDUP((J43-I43)/$D$4,0)</f>
        <v>#REF!</v>
      </c>
      <c r="L43" s="306"/>
      <c r="M43" s="324" t="e">
        <f>VLOOKUP($B43,#REF!,16,0)</f>
        <v>#REF!</v>
      </c>
      <c r="N43" s="324" t="e">
        <f>VLOOKUP($B43,#REF!,17,0)</f>
        <v>#REF!</v>
      </c>
      <c r="O43" s="324" t="e">
        <f>VLOOKUP($B43,#REF!,18,0)</f>
        <v>#REF!</v>
      </c>
      <c r="P43" s="324" t="e">
        <f>VLOOKUP($B43,#REF!,19,0)</f>
        <v>#REF!</v>
      </c>
      <c r="Q43" s="324" t="e">
        <f>VLOOKUP($B43,#REF!,20,0)</f>
        <v>#REF!</v>
      </c>
      <c r="R43" s="304" t="e">
        <f>SUM(M43:M43)</f>
        <v>#REF!</v>
      </c>
      <c r="S43" s="305" t="e">
        <f>'Qty &amp; UMH GUM'!U43</f>
        <v>#REF!</v>
      </c>
      <c r="T43" s="305" t="e">
        <f>ROUNDUP((S43-R43)/$M$4,0)</f>
        <v>#REF!</v>
      </c>
      <c r="U43" s="307"/>
      <c r="V43" s="324" t="e">
        <f>VLOOKUP($B43,#REF!,22,0)</f>
        <v>#REF!</v>
      </c>
      <c r="W43" s="324" t="e">
        <f>VLOOKUP($B43,#REF!,23,0)</f>
        <v>#REF!</v>
      </c>
      <c r="X43" s="324" t="e">
        <f>VLOOKUP($B43,#REF!,24,0)</f>
        <v>#REF!</v>
      </c>
      <c r="Y43" s="324" t="e">
        <f>VLOOKUP($B43,#REF!,25,0)</f>
        <v>#REF!</v>
      </c>
      <c r="Z43" s="324" t="e">
        <f>VLOOKUP($B43,#REF!,26,0)</f>
        <v>#REF!</v>
      </c>
      <c r="AA43" s="304" t="e">
        <f>SUM(V43:V43)</f>
        <v>#REF!</v>
      </c>
      <c r="AB43" s="305" t="e">
        <f>'Qty &amp; UMH GUM'!X43</f>
        <v>#REF!</v>
      </c>
      <c r="AC43" s="304" t="e">
        <f>ROUNDUP((AB43-AA43)/$V$4,0)</f>
        <v>#REF!</v>
      </c>
      <c r="AD43" s="307"/>
      <c r="AE43" s="324" t="e">
        <f>VLOOKUP($B43,#REF!,28,0)</f>
        <v>#REF!</v>
      </c>
      <c r="AF43" s="324" t="e">
        <f>VLOOKUP($B43,#REF!,29,0)</f>
        <v>#REF!</v>
      </c>
      <c r="AG43" s="324" t="e">
        <f>VLOOKUP($B43,#REF!,30,0)</f>
        <v>#REF!</v>
      </c>
      <c r="AH43" s="324" t="e">
        <f>VLOOKUP($B43,#REF!,31,0)</f>
        <v>#REF!</v>
      </c>
      <c r="AI43" s="324" t="e">
        <f>VLOOKUP($B43,#REF!,32,0)</f>
        <v>#REF!</v>
      </c>
      <c r="AJ43" s="304" t="e">
        <f>SUM(AE43:AE43)</f>
        <v>#REF!</v>
      </c>
      <c r="AK43" s="305" t="e">
        <f>'Qty &amp; UMH GUM'!AA43</f>
        <v>#REF!</v>
      </c>
      <c r="AL43" s="304" t="e">
        <f>ROUNDUP((AK43-AJ43)/$AE$4,0)</f>
        <v>#REF!</v>
      </c>
      <c r="AM43" s="309"/>
      <c r="AN43" s="308" t="e">
        <f>VLOOKUP($B43,#REF!,34,0)</f>
        <v>#REF!</v>
      </c>
      <c r="AO43" s="304" t="e">
        <f>VLOOKUP($B43,#REF!,35,0)</f>
        <v>#REF!</v>
      </c>
      <c r="AP43" s="304" t="e">
        <f>VLOOKUP($B43,#REF!,36,0)</f>
        <v>#REF!</v>
      </c>
      <c r="AQ43" s="304" t="e">
        <f>VLOOKUP($B43,#REF!,37,0)</f>
        <v>#REF!</v>
      </c>
      <c r="AR43" s="304"/>
      <c r="AS43" s="304" t="e">
        <f>SUM(AN43:AN43)</f>
        <v>#REF!</v>
      </c>
      <c r="AT43" s="305" t="e">
        <f>'Qty &amp; UMH GUM'!AD43</f>
        <v>#REF!</v>
      </c>
      <c r="AU43" s="304" t="e">
        <f>ROUNDUP((AT43-AS43)/$AN$4,0)</f>
        <v>#REF!</v>
      </c>
      <c r="AV43" s="311"/>
    </row>
    <row r="44" spans="1:49" customHeight="1" ht="18.75">
      <c r="A44" s="537"/>
      <c r="B44" s="332" t="str">
        <f>'Qty &amp; UMH GUM'!C44</f>
        <v>82111-4DM11</v>
      </c>
      <c r="C44" s="303" t="str">
        <f>+'Qty &amp; UMH GUM'!B44</f>
        <v>HEV-LHD</v>
      </c>
      <c r="D44" s="324" t="e">
        <f>VLOOKUP($B44,#REF!,10,0)</f>
        <v>#REF!</v>
      </c>
      <c r="E44" s="324" t="e">
        <f>VLOOKUP($B44,#REF!,11,0)</f>
        <v>#REF!</v>
      </c>
      <c r="F44" s="324" t="e">
        <f>VLOOKUP($B44,#REF!,12,0)</f>
        <v>#REF!</v>
      </c>
      <c r="G44" s="324" t="e">
        <f>VLOOKUP($B44,#REF!,13,0)</f>
        <v>#REF!</v>
      </c>
      <c r="H44" s="324" t="e">
        <f>VLOOKUP($B44,#REF!,14,0)</f>
        <v>#REF!</v>
      </c>
      <c r="I44" s="304" t="e">
        <f>SUM(D44:D44)</f>
        <v>#REF!</v>
      </c>
      <c r="J44" s="305" t="e">
        <f>'Qty &amp; UMH GUM'!R44</f>
        <v>#REF!</v>
      </c>
      <c r="K44" s="305" t="e">
        <f>ROUNDUP((J44-I44)/$D$4,0)</f>
        <v>#REF!</v>
      </c>
      <c r="L44" s="306"/>
      <c r="M44" s="324" t="e">
        <f>VLOOKUP($B44,#REF!,16,0)</f>
        <v>#REF!</v>
      </c>
      <c r="N44" s="324" t="e">
        <f>VLOOKUP($B44,#REF!,17,0)</f>
        <v>#REF!</v>
      </c>
      <c r="O44" s="324" t="e">
        <f>VLOOKUP($B44,#REF!,18,0)</f>
        <v>#REF!</v>
      </c>
      <c r="P44" s="324" t="e">
        <f>VLOOKUP($B44,#REF!,19,0)</f>
        <v>#REF!</v>
      </c>
      <c r="Q44" s="324" t="e">
        <f>VLOOKUP($B44,#REF!,20,0)</f>
        <v>#REF!</v>
      </c>
      <c r="R44" s="304" t="e">
        <f>SUM(M44:M44)</f>
        <v>#REF!</v>
      </c>
      <c r="S44" s="305" t="e">
        <f>'Qty &amp; UMH GUM'!U44</f>
        <v>#REF!</v>
      </c>
      <c r="T44" s="305" t="e">
        <f>ROUNDUP((S44-R44)/$M$4,0)</f>
        <v>#REF!</v>
      </c>
      <c r="U44" s="307"/>
      <c r="V44" s="324" t="e">
        <f>VLOOKUP($B44,#REF!,22,0)</f>
        <v>#REF!</v>
      </c>
      <c r="W44" s="324" t="e">
        <f>VLOOKUP($B44,#REF!,23,0)</f>
        <v>#REF!</v>
      </c>
      <c r="X44" s="324" t="e">
        <f>VLOOKUP($B44,#REF!,24,0)</f>
        <v>#REF!</v>
      </c>
      <c r="Y44" s="324" t="e">
        <f>VLOOKUP($B44,#REF!,25,0)</f>
        <v>#REF!</v>
      </c>
      <c r="Z44" s="324" t="e">
        <f>VLOOKUP($B44,#REF!,26,0)</f>
        <v>#REF!</v>
      </c>
      <c r="AA44" s="304" t="e">
        <f>SUM(V44:V44)</f>
        <v>#REF!</v>
      </c>
      <c r="AB44" s="305" t="e">
        <f>'Qty &amp; UMH GUM'!X44</f>
        <v>#REF!</v>
      </c>
      <c r="AC44" s="304" t="e">
        <f>ROUNDUP((AB44-AA44)/$V$4,0)</f>
        <v>#REF!</v>
      </c>
      <c r="AD44" s="307"/>
      <c r="AE44" s="324" t="e">
        <f>VLOOKUP($B44,#REF!,28,0)</f>
        <v>#REF!</v>
      </c>
      <c r="AF44" s="324" t="e">
        <f>VLOOKUP($B44,#REF!,29,0)</f>
        <v>#REF!</v>
      </c>
      <c r="AG44" s="324" t="e">
        <f>VLOOKUP($B44,#REF!,30,0)</f>
        <v>#REF!</v>
      </c>
      <c r="AH44" s="324" t="e">
        <f>VLOOKUP($B44,#REF!,31,0)</f>
        <v>#REF!</v>
      </c>
      <c r="AI44" s="324" t="e">
        <f>VLOOKUP($B44,#REF!,32,0)</f>
        <v>#REF!</v>
      </c>
      <c r="AJ44" s="304" t="e">
        <f>SUM(AE44:AE44)</f>
        <v>#REF!</v>
      </c>
      <c r="AK44" s="305" t="e">
        <f>'Qty &amp; UMH GUM'!AA44</f>
        <v>#REF!</v>
      </c>
      <c r="AL44" s="304" t="e">
        <f>ROUNDUP((AK44-AJ44)/$AE$4,0)</f>
        <v>#REF!</v>
      </c>
      <c r="AM44" s="309"/>
      <c r="AN44" s="308" t="e">
        <f>VLOOKUP($B44,#REF!,34,0)</f>
        <v>#REF!</v>
      </c>
      <c r="AO44" s="304" t="e">
        <f>VLOOKUP($B44,#REF!,35,0)</f>
        <v>#REF!</v>
      </c>
      <c r="AP44" s="304" t="e">
        <f>VLOOKUP($B44,#REF!,36,0)</f>
        <v>#REF!</v>
      </c>
      <c r="AQ44" s="304" t="e">
        <f>VLOOKUP($B44,#REF!,37,0)</f>
        <v>#REF!</v>
      </c>
      <c r="AR44" s="304"/>
      <c r="AS44" s="304" t="e">
        <f>SUM(AN44:AN44)</f>
        <v>#REF!</v>
      </c>
      <c r="AT44" s="305" t="e">
        <f>'Qty &amp; UMH GUM'!AD44</f>
        <v>#REF!</v>
      </c>
      <c r="AU44" s="304" t="e">
        <f>ROUNDUP((AT44-AS44)/$AN$4,0)</f>
        <v>#REF!</v>
      </c>
      <c r="AV44" s="311"/>
    </row>
    <row r="45" spans="1:49" customHeight="1" ht="18.75">
      <c r="A45" s="537"/>
      <c r="B45" s="332" t="str">
        <f>'Qty &amp; UMH GUM'!C45</f>
        <v>82111-4DM31</v>
      </c>
      <c r="C45" s="303" t="str">
        <f>+'Qty &amp; UMH GUM'!B45</f>
        <v>HEV-LHD</v>
      </c>
      <c r="D45" s="324" t="e">
        <f>VLOOKUP($B45,#REF!,10,0)</f>
        <v>#REF!</v>
      </c>
      <c r="E45" s="324" t="e">
        <f>VLOOKUP($B45,#REF!,11,0)</f>
        <v>#REF!</v>
      </c>
      <c r="F45" s="324" t="e">
        <f>VLOOKUP($B45,#REF!,12,0)</f>
        <v>#REF!</v>
      </c>
      <c r="G45" s="324" t="e">
        <f>VLOOKUP($B45,#REF!,13,0)</f>
        <v>#REF!</v>
      </c>
      <c r="H45" s="324" t="e">
        <f>VLOOKUP($B45,#REF!,14,0)</f>
        <v>#REF!</v>
      </c>
      <c r="I45" s="304" t="e">
        <f>SUM(D45:D45)</f>
        <v>#REF!</v>
      </c>
      <c r="J45" s="305" t="e">
        <f>'Qty &amp; UMH GUM'!R45</f>
        <v>#REF!</v>
      </c>
      <c r="K45" s="305" t="e">
        <f>ROUNDUP((J45-I45)/$D$4,0)</f>
        <v>#REF!</v>
      </c>
      <c r="L45" s="306"/>
      <c r="M45" s="324" t="e">
        <f>VLOOKUP($B45,#REF!,16,0)</f>
        <v>#REF!</v>
      </c>
      <c r="N45" s="324" t="e">
        <f>VLOOKUP($B45,#REF!,17,0)</f>
        <v>#REF!</v>
      </c>
      <c r="O45" s="324" t="e">
        <f>VLOOKUP($B45,#REF!,18,0)</f>
        <v>#REF!</v>
      </c>
      <c r="P45" s="324" t="e">
        <f>VLOOKUP($B45,#REF!,19,0)</f>
        <v>#REF!</v>
      </c>
      <c r="Q45" s="324" t="e">
        <f>VLOOKUP($B45,#REF!,20,0)</f>
        <v>#REF!</v>
      </c>
      <c r="R45" s="304" t="e">
        <f>SUM(M45:M45)</f>
        <v>#REF!</v>
      </c>
      <c r="S45" s="305" t="e">
        <f>'Qty &amp; UMH GUM'!U45</f>
        <v>#REF!</v>
      </c>
      <c r="T45" s="305" t="e">
        <f>ROUNDUP((S45-R45)/$M$4,0)</f>
        <v>#REF!</v>
      </c>
      <c r="U45" s="307"/>
      <c r="V45" s="324" t="e">
        <f>VLOOKUP($B45,#REF!,22,0)</f>
        <v>#REF!</v>
      </c>
      <c r="W45" s="324" t="e">
        <f>VLOOKUP($B45,#REF!,23,0)</f>
        <v>#REF!</v>
      </c>
      <c r="X45" s="324" t="e">
        <f>VLOOKUP($B45,#REF!,24,0)</f>
        <v>#REF!</v>
      </c>
      <c r="Y45" s="324" t="e">
        <f>VLOOKUP($B45,#REF!,25,0)</f>
        <v>#REF!</v>
      </c>
      <c r="Z45" s="324" t="e">
        <f>VLOOKUP($B45,#REF!,26,0)</f>
        <v>#REF!</v>
      </c>
      <c r="AA45" s="304" t="e">
        <f>SUM(V45:V45)</f>
        <v>#REF!</v>
      </c>
      <c r="AB45" s="305" t="e">
        <f>'Qty &amp; UMH GUM'!X45</f>
        <v>#REF!</v>
      </c>
      <c r="AC45" s="304" t="e">
        <f>ROUNDUP((AB45-AA45)/$V$4,0)</f>
        <v>#REF!</v>
      </c>
      <c r="AD45" s="307"/>
      <c r="AE45" s="324" t="e">
        <f>VLOOKUP($B45,#REF!,28,0)</f>
        <v>#REF!</v>
      </c>
      <c r="AF45" s="324" t="e">
        <f>VLOOKUP($B45,#REF!,29,0)</f>
        <v>#REF!</v>
      </c>
      <c r="AG45" s="324" t="e">
        <f>VLOOKUP($B45,#REF!,30,0)</f>
        <v>#REF!</v>
      </c>
      <c r="AH45" s="324" t="e">
        <f>VLOOKUP($B45,#REF!,31,0)</f>
        <v>#REF!</v>
      </c>
      <c r="AI45" s="324" t="e">
        <f>VLOOKUP($B45,#REF!,32,0)</f>
        <v>#REF!</v>
      </c>
      <c r="AJ45" s="304" t="e">
        <f>SUM(AE45:AE45)</f>
        <v>#REF!</v>
      </c>
      <c r="AK45" s="305" t="e">
        <f>'Qty &amp; UMH GUM'!AA45</f>
        <v>#REF!</v>
      </c>
      <c r="AL45" s="304" t="e">
        <f>ROUNDUP((AK45-AJ45)/$AE$4,0)</f>
        <v>#REF!</v>
      </c>
      <c r="AM45" s="309"/>
      <c r="AN45" s="308" t="e">
        <f>VLOOKUP($B45,#REF!,34,0)</f>
        <v>#REF!</v>
      </c>
      <c r="AO45" s="304" t="e">
        <f>VLOOKUP($B45,#REF!,35,0)</f>
        <v>#REF!</v>
      </c>
      <c r="AP45" s="304" t="e">
        <f>VLOOKUP($B45,#REF!,36,0)</f>
        <v>#REF!</v>
      </c>
      <c r="AQ45" s="304" t="e">
        <f>VLOOKUP($B45,#REF!,37,0)</f>
        <v>#REF!</v>
      </c>
      <c r="AR45" s="304"/>
      <c r="AS45" s="304" t="e">
        <f>SUM(AN45:AN45)</f>
        <v>#REF!</v>
      </c>
      <c r="AT45" s="305" t="e">
        <f>'Qty &amp; UMH GUM'!AD45</f>
        <v>#REF!</v>
      </c>
      <c r="AU45" s="304" t="e">
        <f>ROUNDUP((AT45-AS45)/$AN$4,0)</f>
        <v>#REF!</v>
      </c>
      <c r="AV45" s="311"/>
    </row>
    <row r="46" spans="1:49" customHeight="1" ht="18.75">
      <c r="A46" s="537"/>
      <c r="B46" s="332" t="str">
        <f>'Qty &amp; UMH GUM'!C46</f>
        <v>82111-4DM41</v>
      </c>
      <c r="C46" s="303" t="str">
        <f>+'Qty &amp; UMH GUM'!B46</f>
        <v>HEV-LHD</v>
      </c>
      <c r="D46" s="324" t="e">
        <f>VLOOKUP($B46,#REF!,10,0)</f>
        <v>#REF!</v>
      </c>
      <c r="E46" s="324" t="e">
        <f>VLOOKUP($B46,#REF!,11,0)</f>
        <v>#REF!</v>
      </c>
      <c r="F46" s="324" t="e">
        <f>VLOOKUP($B46,#REF!,12,0)</f>
        <v>#REF!</v>
      </c>
      <c r="G46" s="324" t="e">
        <f>VLOOKUP($B46,#REF!,13,0)</f>
        <v>#REF!</v>
      </c>
      <c r="H46" s="324" t="e">
        <f>VLOOKUP($B46,#REF!,14,0)</f>
        <v>#REF!</v>
      </c>
      <c r="I46" s="304" t="e">
        <f>SUM(D46:D46)</f>
        <v>#REF!</v>
      </c>
      <c r="J46" s="305" t="e">
        <f>'Qty &amp; UMH GUM'!R46</f>
        <v>#REF!</v>
      </c>
      <c r="K46" s="305" t="e">
        <f>ROUNDUP((J46-I46)/$D$4,0)</f>
        <v>#REF!</v>
      </c>
      <c r="L46" s="306"/>
      <c r="M46" s="324" t="e">
        <f>VLOOKUP($B46,#REF!,16,0)</f>
        <v>#REF!</v>
      </c>
      <c r="N46" s="324" t="e">
        <f>VLOOKUP($B46,#REF!,17,0)</f>
        <v>#REF!</v>
      </c>
      <c r="O46" s="324" t="e">
        <f>VLOOKUP($B46,#REF!,18,0)</f>
        <v>#REF!</v>
      </c>
      <c r="P46" s="324" t="e">
        <f>VLOOKUP($B46,#REF!,19,0)</f>
        <v>#REF!</v>
      </c>
      <c r="Q46" s="324" t="e">
        <f>VLOOKUP($B46,#REF!,20,0)</f>
        <v>#REF!</v>
      </c>
      <c r="R46" s="304" t="e">
        <f>SUM(M46:M46)</f>
        <v>#REF!</v>
      </c>
      <c r="S46" s="305" t="e">
        <f>'Qty &amp; UMH GUM'!U46</f>
        <v>#REF!</v>
      </c>
      <c r="T46" s="305" t="e">
        <f>ROUNDUP((S46-R46)/$M$4,0)</f>
        <v>#REF!</v>
      </c>
      <c r="U46" s="307"/>
      <c r="V46" s="324" t="e">
        <f>VLOOKUP($B46,#REF!,22,0)</f>
        <v>#REF!</v>
      </c>
      <c r="W46" s="324" t="e">
        <f>VLOOKUP($B46,#REF!,23,0)</f>
        <v>#REF!</v>
      </c>
      <c r="X46" s="324" t="e">
        <f>VLOOKUP($B46,#REF!,24,0)</f>
        <v>#REF!</v>
      </c>
      <c r="Y46" s="324" t="e">
        <f>VLOOKUP($B46,#REF!,25,0)</f>
        <v>#REF!</v>
      </c>
      <c r="Z46" s="324" t="e">
        <f>VLOOKUP($B46,#REF!,26,0)</f>
        <v>#REF!</v>
      </c>
      <c r="AA46" s="304" t="e">
        <f>SUM(V46:V46)</f>
        <v>#REF!</v>
      </c>
      <c r="AB46" s="305" t="e">
        <f>'Qty &amp; UMH GUM'!X46</f>
        <v>#REF!</v>
      </c>
      <c r="AC46" s="304" t="e">
        <f>ROUNDUP((AB46-AA46)/$V$4,0)</f>
        <v>#REF!</v>
      </c>
      <c r="AD46" s="307"/>
      <c r="AE46" s="324" t="e">
        <f>VLOOKUP($B46,#REF!,28,0)</f>
        <v>#REF!</v>
      </c>
      <c r="AF46" s="324" t="e">
        <f>VLOOKUP($B46,#REF!,29,0)</f>
        <v>#REF!</v>
      </c>
      <c r="AG46" s="324" t="e">
        <f>VLOOKUP($B46,#REF!,30,0)</f>
        <v>#REF!</v>
      </c>
      <c r="AH46" s="324" t="e">
        <f>VLOOKUP($B46,#REF!,31,0)</f>
        <v>#REF!</v>
      </c>
      <c r="AI46" s="324" t="e">
        <f>VLOOKUP($B46,#REF!,32,0)</f>
        <v>#REF!</v>
      </c>
      <c r="AJ46" s="304" t="e">
        <f>SUM(AE46:AE46)</f>
        <v>#REF!</v>
      </c>
      <c r="AK46" s="305" t="e">
        <f>'Qty &amp; UMH GUM'!AA46</f>
        <v>#REF!</v>
      </c>
      <c r="AL46" s="304" t="e">
        <f>ROUNDUP((AK46-AJ46)/$AE$4,0)</f>
        <v>#REF!</v>
      </c>
      <c r="AM46" s="309"/>
      <c r="AN46" s="308" t="e">
        <f>VLOOKUP($B46,#REF!,34,0)</f>
        <v>#REF!</v>
      </c>
      <c r="AO46" s="304" t="e">
        <f>VLOOKUP($B46,#REF!,35,0)</f>
        <v>#REF!</v>
      </c>
      <c r="AP46" s="304" t="e">
        <f>VLOOKUP($B46,#REF!,36,0)</f>
        <v>#REF!</v>
      </c>
      <c r="AQ46" s="304" t="e">
        <f>VLOOKUP($B46,#REF!,37,0)</f>
        <v>#REF!</v>
      </c>
      <c r="AR46" s="304"/>
      <c r="AS46" s="304" t="e">
        <f>SUM(AN46:AN46)</f>
        <v>#REF!</v>
      </c>
      <c r="AT46" s="305" t="e">
        <f>'Qty &amp; UMH GUM'!AD46</f>
        <v>#REF!</v>
      </c>
      <c r="AU46" s="304" t="e">
        <f>ROUNDUP((AT46-AS46)/$AN$4,0)</f>
        <v>#REF!</v>
      </c>
      <c r="AV46" s="311"/>
    </row>
    <row r="47" spans="1:49" customHeight="1" ht="18.75">
      <c r="A47" s="537"/>
      <c r="B47" s="332" t="str">
        <f>'Qty &amp; UMH GUM'!C47</f>
        <v>82111-4DM51</v>
      </c>
      <c r="C47" s="303" t="str">
        <f>+'Qty &amp; UMH GUM'!B47</f>
        <v>HEV-LHD</v>
      </c>
      <c r="D47" s="324" t="e">
        <f>VLOOKUP($B47,#REF!,10,0)</f>
        <v>#REF!</v>
      </c>
      <c r="E47" s="324" t="e">
        <f>VLOOKUP($B47,#REF!,11,0)</f>
        <v>#REF!</v>
      </c>
      <c r="F47" s="324" t="e">
        <f>VLOOKUP($B47,#REF!,12,0)</f>
        <v>#REF!</v>
      </c>
      <c r="G47" s="324" t="e">
        <f>VLOOKUP($B47,#REF!,13,0)</f>
        <v>#REF!</v>
      </c>
      <c r="H47" s="324" t="e">
        <f>VLOOKUP($B47,#REF!,14,0)</f>
        <v>#REF!</v>
      </c>
      <c r="I47" s="304" t="e">
        <f>SUM(D47:D47)</f>
        <v>#REF!</v>
      </c>
      <c r="J47" s="305" t="e">
        <f>'Qty &amp; UMH GUM'!R47</f>
        <v>#REF!</v>
      </c>
      <c r="K47" s="305" t="e">
        <f>ROUNDUP((J47-I47)/$D$4,0)</f>
        <v>#REF!</v>
      </c>
      <c r="L47" s="306"/>
      <c r="M47" s="324" t="e">
        <f>VLOOKUP($B47,#REF!,16,0)</f>
        <v>#REF!</v>
      </c>
      <c r="N47" s="324" t="e">
        <f>VLOOKUP($B47,#REF!,17,0)</f>
        <v>#REF!</v>
      </c>
      <c r="O47" s="324" t="e">
        <f>VLOOKUP($B47,#REF!,18,0)</f>
        <v>#REF!</v>
      </c>
      <c r="P47" s="324" t="e">
        <f>VLOOKUP($B47,#REF!,19,0)</f>
        <v>#REF!</v>
      </c>
      <c r="Q47" s="324" t="e">
        <f>VLOOKUP($B47,#REF!,20,0)</f>
        <v>#REF!</v>
      </c>
      <c r="R47" s="304" t="e">
        <f>SUM(M47:M47)</f>
        <v>#REF!</v>
      </c>
      <c r="S47" s="305" t="e">
        <f>'Qty &amp; UMH GUM'!U47</f>
        <v>#REF!</v>
      </c>
      <c r="T47" s="305" t="e">
        <f>ROUNDUP((S47-R47)/$M$4,0)</f>
        <v>#REF!</v>
      </c>
      <c r="U47" s="307"/>
      <c r="V47" s="324" t="e">
        <f>VLOOKUP($B47,#REF!,22,0)</f>
        <v>#REF!</v>
      </c>
      <c r="W47" s="324" t="e">
        <f>VLOOKUP($B47,#REF!,23,0)</f>
        <v>#REF!</v>
      </c>
      <c r="X47" s="324" t="e">
        <f>VLOOKUP($B47,#REF!,24,0)</f>
        <v>#REF!</v>
      </c>
      <c r="Y47" s="324" t="e">
        <f>VLOOKUP($B47,#REF!,25,0)</f>
        <v>#REF!</v>
      </c>
      <c r="Z47" s="324" t="e">
        <f>VLOOKUP($B47,#REF!,26,0)</f>
        <v>#REF!</v>
      </c>
      <c r="AA47" s="304" t="e">
        <f>SUM(V47:V47)</f>
        <v>#REF!</v>
      </c>
      <c r="AB47" s="305" t="e">
        <f>'Qty &amp; UMH GUM'!X47</f>
        <v>#REF!</v>
      </c>
      <c r="AC47" s="304" t="e">
        <f>ROUNDUP((AB47-AA47)/$V$4,0)</f>
        <v>#REF!</v>
      </c>
      <c r="AD47" s="307"/>
      <c r="AE47" s="324" t="e">
        <f>VLOOKUP($B47,#REF!,28,0)</f>
        <v>#REF!</v>
      </c>
      <c r="AF47" s="324" t="e">
        <f>VLOOKUP($B47,#REF!,29,0)</f>
        <v>#REF!</v>
      </c>
      <c r="AG47" s="324" t="e">
        <f>VLOOKUP($B47,#REF!,30,0)</f>
        <v>#REF!</v>
      </c>
      <c r="AH47" s="324" t="e">
        <f>VLOOKUP($B47,#REF!,31,0)</f>
        <v>#REF!</v>
      </c>
      <c r="AI47" s="324" t="e">
        <f>VLOOKUP($B47,#REF!,32,0)</f>
        <v>#REF!</v>
      </c>
      <c r="AJ47" s="304" t="e">
        <f>SUM(AE47:AE47)</f>
        <v>#REF!</v>
      </c>
      <c r="AK47" s="305" t="e">
        <f>'Qty &amp; UMH GUM'!AA47</f>
        <v>#REF!</v>
      </c>
      <c r="AL47" s="304" t="e">
        <f>ROUNDUP((AK47-AJ47)/$AE$4,0)</f>
        <v>#REF!</v>
      </c>
      <c r="AM47" s="309"/>
      <c r="AN47" s="308" t="e">
        <f>VLOOKUP($B47,#REF!,34,0)</f>
        <v>#REF!</v>
      </c>
      <c r="AO47" s="304" t="e">
        <f>VLOOKUP($B47,#REF!,35,0)</f>
        <v>#REF!</v>
      </c>
      <c r="AP47" s="304" t="e">
        <f>VLOOKUP($B47,#REF!,36,0)</f>
        <v>#REF!</v>
      </c>
      <c r="AQ47" s="304" t="e">
        <f>VLOOKUP($B47,#REF!,37,0)</f>
        <v>#REF!</v>
      </c>
      <c r="AR47" s="304"/>
      <c r="AS47" s="304" t="e">
        <f>SUM(AN47:AN47)</f>
        <v>#REF!</v>
      </c>
      <c r="AT47" s="305" t="e">
        <f>'Qty &amp; UMH GUM'!AD47</f>
        <v>#REF!</v>
      </c>
      <c r="AU47" s="304" t="e">
        <f>ROUNDUP((AT47-AS47)/$AN$4,0)</f>
        <v>#REF!</v>
      </c>
      <c r="AV47" s="311"/>
    </row>
    <row r="48" spans="1:49" customHeight="1" ht="18.75">
      <c r="A48" s="537"/>
      <c r="B48" s="332" t="str">
        <f>'Qty &amp; UMH GUM'!C48</f>
        <v>82111-4DM61</v>
      </c>
      <c r="C48" s="303" t="str">
        <f>+'Qty &amp; UMH GUM'!B48</f>
        <v>HEV-LHD</v>
      </c>
      <c r="D48" s="324" t="e">
        <f>VLOOKUP($B48,#REF!,10,0)</f>
        <v>#REF!</v>
      </c>
      <c r="E48" s="324" t="e">
        <f>VLOOKUP($B48,#REF!,11,0)</f>
        <v>#REF!</v>
      </c>
      <c r="F48" s="324" t="e">
        <f>VLOOKUP($B48,#REF!,12,0)</f>
        <v>#REF!</v>
      </c>
      <c r="G48" s="324" t="e">
        <f>VLOOKUP($B48,#REF!,13,0)</f>
        <v>#REF!</v>
      </c>
      <c r="H48" s="324" t="e">
        <f>VLOOKUP($B48,#REF!,14,0)</f>
        <v>#REF!</v>
      </c>
      <c r="I48" s="304" t="e">
        <f>SUM(D48:D48)</f>
        <v>#REF!</v>
      </c>
      <c r="J48" s="305" t="e">
        <f>'Qty &amp; UMH GUM'!R48</f>
        <v>#REF!</v>
      </c>
      <c r="K48" s="305" t="e">
        <f>ROUNDUP((J48-I48)/$D$4,0)</f>
        <v>#REF!</v>
      </c>
      <c r="L48" s="306"/>
      <c r="M48" s="324" t="e">
        <f>VLOOKUP($B48,#REF!,16,0)</f>
        <v>#REF!</v>
      </c>
      <c r="N48" s="324" t="e">
        <f>VLOOKUP($B48,#REF!,17,0)</f>
        <v>#REF!</v>
      </c>
      <c r="O48" s="324" t="e">
        <f>VLOOKUP($B48,#REF!,18,0)</f>
        <v>#REF!</v>
      </c>
      <c r="P48" s="324" t="e">
        <f>VLOOKUP($B48,#REF!,19,0)</f>
        <v>#REF!</v>
      </c>
      <c r="Q48" s="324" t="e">
        <f>VLOOKUP($B48,#REF!,20,0)</f>
        <v>#REF!</v>
      </c>
      <c r="R48" s="304" t="e">
        <f>SUM(M48:M48)</f>
        <v>#REF!</v>
      </c>
      <c r="S48" s="305" t="e">
        <f>'Qty &amp; UMH GUM'!U48</f>
        <v>#REF!</v>
      </c>
      <c r="T48" s="305" t="e">
        <f>ROUNDUP((S48-R48)/$M$4,0)</f>
        <v>#REF!</v>
      </c>
      <c r="U48" s="307"/>
      <c r="V48" s="324" t="e">
        <f>VLOOKUP($B48,#REF!,22,0)</f>
        <v>#REF!</v>
      </c>
      <c r="W48" s="324" t="e">
        <f>VLOOKUP($B48,#REF!,23,0)</f>
        <v>#REF!</v>
      </c>
      <c r="X48" s="324" t="e">
        <f>VLOOKUP($B48,#REF!,24,0)</f>
        <v>#REF!</v>
      </c>
      <c r="Y48" s="324" t="e">
        <f>VLOOKUP($B48,#REF!,25,0)</f>
        <v>#REF!</v>
      </c>
      <c r="Z48" s="324" t="e">
        <f>VLOOKUP($B48,#REF!,26,0)</f>
        <v>#REF!</v>
      </c>
      <c r="AA48" s="304" t="e">
        <f>SUM(V48:V48)</f>
        <v>#REF!</v>
      </c>
      <c r="AB48" s="305" t="e">
        <f>'Qty &amp; UMH GUM'!X48</f>
        <v>#REF!</v>
      </c>
      <c r="AC48" s="304" t="e">
        <f>ROUNDUP((AB48-AA48)/$V$4,0)</f>
        <v>#REF!</v>
      </c>
      <c r="AD48" s="307"/>
      <c r="AE48" s="324" t="e">
        <f>VLOOKUP($B48,#REF!,28,0)</f>
        <v>#REF!</v>
      </c>
      <c r="AF48" s="324" t="e">
        <f>VLOOKUP($B48,#REF!,29,0)</f>
        <v>#REF!</v>
      </c>
      <c r="AG48" s="324" t="e">
        <f>VLOOKUP($B48,#REF!,30,0)</f>
        <v>#REF!</v>
      </c>
      <c r="AH48" s="324" t="e">
        <f>VLOOKUP($B48,#REF!,31,0)</f>
        <v>#REF!</v>
      </c>
      <c r="AI48" s="324" t="e">
        <f>VLOOKUP($B48,#REF!,32,0)</f>
        <v>#REF!</v>
      </c>
      <c r="AJ48" s="304" t="e">
        <f>SUM(AE48:AE48)</f>
        <v>#REF!</v>
      </c>
      <c r="AK48" s="305" t="e">
        <f>'Qty &amp; UMH GUM'!AA48</f>
        <v>#REF!</v>
      </c>
      <c r="AL48" s="304" t="e">
        <f>ROUNDUP((AK48-AJ48)/$AE$4,0)</f>
        <v>#REF!</v>
      </c>
      <c r="AM48" s="309"/>
      <c r="AN48" s="308" t="e">
        <f>VLOOKUP($B48,#REF!,34,0)</f>
        <v>#REF!</v>
      </c>
      <c r="AO48" s="304" t="e">
        <f>VLOOKUP($B48,#REF!,35,0)</f>
        <v>#REF!</v>
      </c>
      <c r="AP48" s="304" t="e">
        <f>VLOOKUP($B48,#REF!,36,0)</f>
        <v>#REF!</v>
      </c>
      <c r="AQ48" s="304" t="e">
        <f>VLOOKUP($B48,#REF!,37,0)</f>
        <v>#REF!</v>
      </c>
      <c r="AR48" s="304"/>
      <c r="AS48" s="304" t="e">
        <f>SUM(AN48:AN48)</f>
        <v>#REF!</v>
      </c>
      <c r="AT48" s="305" t="e">
        <f>'Qty &amp; UMH GUM'!AD48</f>
        <v>#REF!</v>
      </c>
      <c r="AU48" s="304" t="e">
        <f>ROUNDUP((AT48-AS48)/$AN$4,0)</f>
        <v>#REF!</v>
      </c>
      <c r="AV48" s="311"/>
    </row>
    <row r="49" spans="1:49" customHeight="1" ht="18.75">
      <c r="A49" s="537"/>
      <c r="B49" s="332" t="str">
        <f>'Qty &amp; UMH GUM'!C49</f>
        <v>82111-4DM71</v>
      </c>
      <c r="C49" s="303" t="str">
        <f>+'Qty &amp; UMH GUM'!B49</f>
        <v>HEV-LHD</v>
      </c>
      <c r="D49" s="324" t="e">
        <f>VLOOKUP($B49,#REF!,10,0)</f>
        <v>#REF!</v>
      </c>
      <c r="E49" s="324" t="e">
        <f>VLOOKUP($B49,#REF!,11,0)</f>
        <v>#REF!</v>
      </c>
      <c r="F49" s="324" t="e">
        <f>VLOOKUP($B49,#REF!,12,0)</f>
        <v>#REF!</v>
      </c>
      <c r="G49" s="324" t="e">
        <f>VLOOKUP($B49,#REF!,13,0)</f>
        <v>#REF!</v>
      </c>
      <c r="H49" s="324" t="e">
        <f>VLOOKUP($B49,#REF!,14,0)</f>
        <v>#REF!</v>
      </c>
      <c r="I49" s="304" t="e">
        <f>SUM(D49:D49)</f>
        <v>#REF!</v>
      </c>
      <c r="J49" s="305" t="e">
        <f>'Qty &amp; UMH GUM'!R49</f>
        <v>#REF!</v>
      </c>
      <c r="K49" s="305" t="e">
        <f>ROUNDUP((J49-I49)/$D$4,0)</f>
        <v>#REF!</v>
      </c>
      <c r="L49" s="306"/>
      <c r="M49" s="324" t="e">
        <f>VLOOKUP($B49,#REF!,16,0)</f>
        <v>#REF!</v>
      </c>
      <c r="N49" s="324" t="e">
        <f>VLOOKUP($B49,#REF!,17,0)</f>
        <v>#REF!</v>
      </c>
      <c r="O49" s="324" t="e">
        <f>VLOOKUP($B49,#REF!,18,0)</f>
        <v>#REF!</v>
      </c>
      <c r="P49" s="324" t="e">
        <f>VLOOKUP($B49,#REF!,19,0)</f>
        <v>#REF!</v>
      </c>
      <c r="Q49" s="324" t="e">
        <f>VLOOKUP($B49,#REF!,20,0)</f>
        <v>#REF!</v>
      </c>
      <c r="R49" s="304" t="e">
        <f>SUM(M49:M49)</f>
        <v>#REF!</v>
      </c>
      <c r="S49" s="305" t="e">
        <f>'Qty &amp; UMH GUM'!U49</f>
        <v>#REF!</v>
      </c>
      <c r="T49" s="305" t="e">
        <f>ROUNDUP((S49-R49)/$M$4,0)</f>
        <v>#REF!</v>
      </c>
      <c r="U49" s="307"/>
      <c r="V49" s="324" t="e">
        <f>VLOOKUP($B49,#REF!,22,0)</f>
        <v>#REF!</v>
      </c>
      <c r="W49" s="324" t="e">
        <f>VLOOKUP($B49,#REF!,23,0)</f>
        <v>#REF!</v>
      </c>
      <c r="X49" s="324" t="e">
        <f>VLOOKUP($B49,#REF!,24,0)</f>
        <v>#REF!</v>
      </c>
      <c r="Y49" s="324" t="e">
        <f>VLOOKUP($B49,#REF!,25,0)</f>
        <v>#REF!</v>
      </c>
      <c r="Z49" s="324" t="e">
        <f>VLOOKUP($B49,#REF!,26,0)</f>
        <v>#REF!</v>
      </c>
      <c r="AA49" s="304" t="e">
        <f>SUM(V49:V49)</f>
        <v>#REF!</v>
      </c>
      <c r="AB49" s="305" t="e">
        <f>'Qty &amp; UMH GUM'!X49</f>
        <v>#REF!</v>
      </c>
      <c r="AC49" s="304" t="e">
        <f>ROUNDUP((AB49-AA49)/$V$4,0)</f>
        <v>#REF!</v>
      </c>
      <c r="AD49" s="307"/>
      <c r="AE49" s="324" t="e">
        <f>VLOOKUP($B49,#REF!,28,0)</f>
        <v>#REF!</v>
      </c>
      <c r="AF49" s="324" t="e">
        <f>VLOOKUP($B49,#REF!,29,0)</f>
        <v>#REF!</v>
      </c>
      <c r="AG49" s="324" t="e">
        <f>VLOOKUP($B49,#REF!,30,0)</f>
        <v>#REF!</v>
      </c>
      <c r="AH49" s="324" t="e">
        <f>VLOOKUP($B49,#REF!,31,0)</f>
        <v>#REF!</v>
      </c>
      <c r="AI49" s="324" t="e">
        <f>VLOOKUP($B49,#REF!,32,0)</f>
        <v>#REF!</v>
      </c>
      <c r="AJ49" s="304" t="e">
        <f>SUM(AE49:AE49)</f>
        <v>#REF!</v>
      </c>
      <c r="AK49" s="305" t="e">
        <f>'Qty &amp; UMH GUM'!AA49</f>
        <v>#REF!</v>
      </c>
      <c r="AL49" s="304" t="e">
        <f>ROUNDUP((AK49-AJ49)/$AE$4,0)</f>
        <v>#REF!</v>
      </c>
      <c r="AM49" s="309"/>
      <c r="AN49" s="308" t="e">
        <f>VLOOKUP($B49,#REF!,34,0)</f>
        <v>#REF!</v>
      </c>
      <c r="AO49" s="304" t="e">
        <f>VLOOKUP($B49,#REF!,35,0)</f>
        <v>#REF!</v>
      </c>
      <c r="AP49" s="304" t="e">
        <f>VLOOKUP($B49,#REF!,36,0)</f>
        <v>#REF!</v>
      </c>
      <c r="AQ49" s="304" t="e">
        <f>VLOOKUP($B49,#REF!,37,0)</f>
        <v>#REF!</v>
      </c>
      <c r="AR49" s="304"/>
      <c r="AS49" s="304" t="e">
        <f>SUM(AN49:AN49)</f>
        <v>#REF!</v>
      </c>
      <c r="AT49" s="305" t="e">
        <f>'Qty &amp; UMH GUM'!AD49</f>
        <v>#REF!</v>
      </c>
      <c r="AU49" s="304" t="e">
        <f>ROUNDUP((AT49-AS49)/$AN$4,0)</f>
        <v>#REF!</v>
      </c>
      <c r="AV49" s="311"/>
    </row>
    <row r="50" spans="1:49" customHeight="1" ht="18.75">
      <c r="A50" s="537"/>
      <c r="B50" s="332" t="str">
        <f>'Qty &amp; UMH GUM'!C50</f>
        <v>82111-4DM81</v>
      </c>
      <c r="C50" s="303" t="str">
        <f>+'Qty &amp; UMH GUM'!B50</f>
        <v>HEV-LHD</v>
      </c>
      <c r="D50" s="324" t="e">
        <f>VLOOKUP($B50,#REF!,10,0)</f>
        <v>#REF!</v>
      </c>
      <c r="E50" s="324" t="e">
        <f>VLOOKUP($B50,#REF!,11,0)</f>
        <v>#REF!</v>
      </c>
      <c r="F50" s="324" t="e">
        <f>VLOOKUP($B50,#REF!,12,0)</f>
        <v>#REF!</v>
      </c>
      <c r="G50" s="324" t="e">
        <f>VLOOKUP($B50,#REF!,13,0)</f>
        <v>#REF!</v>
      </c>
      <c r="H50" s="324" t="e">
        <f>VLOOKUP($B50,#REF!,14,0)</f>
        <v>#REF!</v>
      </c>
      <c r="I50" s="304" t="e">
        <f>SUM(D50:D50)</f>
        <v>#REF!</v>
      </c>
      <c r="J50" s="305" t="e">
        <f>'Qty &amp; UMH GUM'!R50</f>
        <v>#REF!</v>
      </c>
      <c r="K50" s="305" t="e">
        <f>ROUNDUP((J50-I50)/$D$4,0)</f>
        <v>#REF!</v>
      </c>
      <c r="L50" s="306"/>
      <c r="M50" s="324" t="e">
        <f>VLOOKUP($B50,#REF!,16,0)</f>
        <v>#REF!</v>
      </c>
      <c r="N50" s="324" t="e">
        <f>VLOOKUP($B50,#REF!,17,0)</f>
        <v>#REF!</v>
      </c>
      <c r="O50" s="324" t="e">
        <f>VLOOKUP($B50,#REF!,18,0)</f>
        <v>#REF!</v>
      </c>
      <c r="P50" s="324" t="e">
        <f>VLOOKUP($B50,#REF!,19,0)</f>
        <v>#REF!</v>
      </c>
      <c r="Q50" s="324" t="e">
        <f>VLOOKUP($B50,#REF!,20,0)</f>
        <v>#REF!</v>
      </c>
      <c r="R50" s="304" t="e">
        <f>SUM(M50:M50)</f>
        <v>#REF!</v>
      </c>
      <c r="S50" s="305" t="e">
        <f>'Qty &amp; UMH GUM'!U50</f>
        <v>#REF!</v>
      </c>
      <c r="T50" s="305" t="e">
        <f>ROUNDUP((S50-R50)/$M$4,0)</f>
        <v>#REF!</v>
      </c>
      <c r="U50" s="307"/>
      <c r="V50" s="324" t="e">
        <f>VLOOKUP($B50,#REF!,22,0)</f>
        <v>#REF!</v>
      </c>
      <c r="W50" s="324" t="e">
        <f>VLOOKUP($B50,#REF!,23,0)</f>
        <v>#REF!</v>
      </c>
      <c r="X50" s="324" t="e">
        <f>VLOOKUP($B50,#REF!,24,0)</f>
        <v>#REF!</v>
      </c>
      <c r="Y50" s="324" t="e">
        <f>VLOOKUP($B50,#REF!,25,0)</f>
        <v>#REF!</v>
      </c>
      <c r="Z50" s="324" t="e">
        <f>VLOOKUP($B50,#REF!,26,0)</f>
        <v>#REF!</v>
      </c>
      <c r="AA50" s="304" t="e">
        <f>SUM(V50:V50)</f>
        <v>#REF!</v>
      </c>
      <c r="AB50" s="305" t="e">
        <f>'Qty &amp; UMH GUM'!X50</f>
        <v>#REF!</v>
      </c>
      <c r="AC50" s="304" t="e">
        <f>ROUNDUP((AB50-AA50)/$V$4,0)</f>
        <v>#REF!</v>
      </c>
      <c r="AD50" s="307"/>
      <c r="AE50" s="324" t="e">
        <f>VLOOKUP($B50,#REF!,28,0)</f>
        <v>#REF!</v>
      </c>
      <c r="AF50" s="324" t="e">
        <f>VLOOKUP($B50,#REF!,29,0)</f>
        <v>#REF!</v>
      </c>
      <c r="AG50" s="324" t="e">
        <f>VLOOKUP($B50,#REF!,30,0)</f>
        <v>#REF!</v>
      </c>
      <c r="AH50" s="324" t="e">
        <f>VLOOKUP($B50,#REF!,31,0)</f>
        <v>#REF!</v>
      </c>
      <c r="AI50" s="324" t="e">
        <f>VLOOKUP($B50,#REF!,32,0)</f>
        <v>#REF!</v>
      </c>
      <c r="AJ50" s="304" t="e">
        <f>SUM(AE50:AE50)</f>
        <v>#REF!</v>
      </c>
      <c r="AK50" s="305" t="e">
        <f>'Qty &amp; UMH GUM'!AA50</f>
        <v>#REF!</v>
      </c>
      <c r="AL50" s="304" t="e">
        <f>ROUNDUP((AK50-AJ50)/$AE$4,0)</f>
        <v>#REF!</v>
      </c>
      <c r="AM50" s="309"/>
      <c r="AN50" s="308" t="e">
        <f>VLOOKUP($B50,#REF!,34,0)</f>
        <v>#REF!</v>
      </c>
      <c r="AO50" s="304" t="e">
        <f>VLOOKUP($B50,#REF!,35,0)</f>
        <v>#REF!</v>
      </c>
      <c r="AP50" s="304" t="e">
        <f>VLOOKUP($B50,#REF!,36,0)</f>
        <v>#REF!</v>
      </c>
      <c r="AQ50" s="304" t="e">
        <f>VLOOKUP($B50,#REF!,37,0)</f>
        <v>#REF!</v>
      </c>
      <c r="AR50" s="304"/>
      <c r="AS50" s="304" t="e">
        <f>SUM(AN50:AN50)</f>
        <v>#REF!</v>
      </c>
      <c r="AT50" s="305" t="e">
        <f>'Qty &amp; UMH GUM'!AD50</f>
        <v>#REF!</v>
      </c>
      <c r="AU50" s="304" t="e">
        <f>ROUNDUP((AT50-AS50)/$AN$4,0)</f>
        <v>#REF!</v>
      </c>
      <c r="AV50" s="311"/>
    </row>
    <row r="51" spans="1:49" customHeight="1" ht="18.75">
      <c r="A51" s="537"/>
      <c r="B51" s="332" t="str">
        <f>'Qty &amp; UMH GUM'!C51</f>
        <v>82111-4DM91</v>
      </c>
      <c r="C51" s="303" t="str">
        <f>+'Qty &amp; UMH GUM'!B51</f>
        <v>HEV-LHD</v>
      </c>
      <c r="D51" s="324" t="e">
        <f>VLOOKUP($B51,#REF!,10,0)</f>
        <v>#REF!</v>
      </c>
      <c r="E51" s="324" t="e">
        <f>VLOOKUP($B51,#REF!,11,0)</f>
        <v>#REF!</v>
      </c>
      <c r="F51" s="324" t="e">
        <f>VLOOKUP($B51,#REF!,12,0)</f>
        <v>#REF!</v>
      </c>
      <c r="G51" s="324" t="e">
        <f>VLOOKUP($B51,#REF!,13,0)</f>
        <v>#REF!</v>
      </c>
      <c r="H51" s="324" t="e">
        <f>VLOOKUP($B51,#REF!,14,0)</f>
        <v>#REF!</v>
      </c>
      <c r="I51" s="304" t="e">
        <f>SUM(D51:D51)</f>
        <v>#REF!</v>
      </c>
      <c r="J51" s="305" t="e">
        <f>'Qty &amp; UMH GUM'!R51</f>
        <v>#REF!</v>
      </c>
      <c r="K51" s="305" t="e">
        <f>ROUNDUP((J51-I51)/$D$4,0)</f>
        <v>#REF!</v>
      </c>
      <c r="L51" s="306"/>
      <c r="M51" s="324" t="e">
        <f>VLOOKUP($B51,#REF!,16,0)</f>
        <v>#REF!</v>
      </c>
      <c r="N51" s="324" t="e">
        <f>VLOOKUP($B51,#REF!,17,0)</f>
        <v>#REF!</v>
      </c>
      <c r="O51" s="324" t="e">
        <f>VLOOKUP($B51,#REF!,18,0)</f>
        <v>#REF!</v>
      </c>
      <c r="P51" s="324" t="e">
        <f>VLOOKUP($B51,#REF!,19,0)</f>
        <v>#REF!</v>
      </c>
      <c r="Q51" s="324" t="e">
        <f>VLOOKUP($B51,#REF!,20,0)</f>
        <v>#REF!</v>
      </c>
      <c r="R51" s="304" t="e">
        <f>SUM(M51:M51)</f>
        <v>#REF!</v>
      </c>
      <c r="S51" s="305" t="e">
        <f>'Qty &amp; UMH GUM'!U51</f>
        <v>#REF!</v>
      </c>
      <c r="T51" s="305" t="e">
        <f>ROUNDUP((S51-R51)/$M$4,0)</f>
        <v>#REF!</v>
      </c>
      <c r="U51" s="307"/>
      <c r="V51" s="324" t="e">
        <f>VLOOKUP($B51,#REF!,22,0)</f>
        <v>#REF!</v>
      </c>
      <c r="W51" s="324" t="e">
        <f>VLOOKUP($B51,#REF!,23,0)</f>
        <v>#REF!</v>
      </c>
      <c r="X51" s="324" t="e">
        <f>VLOOKUP($B51,#REF!,24,0)</f>
        <v>#REF!</v>
      </c>
      <c r="Y51" s="324" t="e">
        <f>VLOOKUP($B51,#REF!,25,0)</f>
        <v>#REF!</v>
      </c>
      <c r="Z51" s="324" t="e">
        <f>VLOOKUP($B51,#REF!,26,0)</f>
        <v>#REF!</v>
      </c>
      <c r="AA51" s="304" t="e">
        <f>SUM(V51:V51)</f>
        <v>#REF!</v>
      </c>
      <c r="AB51" s="305" t="e">
        <f>'Qty &amp; UMH GUM'!X51</f>
        <v>#REF!</v>
      </c>
      <c r="AC51" s="304" t="e">
        <f>ROUNDUP((AB51-AA51)/$V$4,0)</f>
        <v>#REF!</v>
      </c>
      <c r="AD51" s="307"/>
      <c r="AE51" s="324" t="e">
        <f>VLOOKUP($B51,#REF!,28,0)</f>
        <v>#REF!</v>
      </c>
      <c r="AF51" s="324" t="e">
        <f>VLOOKUP($B51,#REF!,29,0)</f>
        <v>#REF!</v>
      </c>
      <c r="AG51" s="324" t="e">
        <f>VLOOKUP($B51,#REF!,30,0)</f>
        <v>#REF!</v>
      </c>
      <c r="AH51" s="324" t="e">
        <f>VLOOKUP($B51,#REF!,31,0)</f>
        <v>#REF!</v>
      </c>
      <c r="AI51" s="324" t="e">
        <f>VLOOKUP($B51,#REF!,32,0)</f>
        <v>#REF!</v>
      </c>
      <c r="AJ51" s="304" t="e">
        <f>SUM(AE51:AE51)</f>
        <v>#REF!</v>
      </c>
      <c r="AK51" s="305" t="e">
        <f>'Qty &amp; UMH GUM'!AA51</f>
        <v>#REF!</v>
      </c>
      <c r="AL51" s="304" t="e">
        <f>ROUNDUP((AK51-AJ51)/$AE$4,0)</f>
        <v>#REF!</v>
      </c>
      <c r="AM51" s="309"/>
      <c r="AN51" s="308" t="e">
        <f>VLOOKUP($B51,#REF!,34,0)</f>
        <v>#REF!</v>
      </c>
      <c r="AO51" s="304" t="e">
        <f>VLOOKUP($B51,#REF!,35,0)</f>
        <v>#REF!</v>
      </c>
      <c r="AP51" s="304" t="e">
        <f>VLOOKUP($B51,#REF!,36,0)</f>
        <v>#REF!</v>
      </c>
      <c r="AQ51" s="304" t="e">
        <f>VLOOKUP($B51,#REF!,37,0)</f>
        <v>#REF!</v>
      </c>
      <c r="AR51" s="304"/>
      <c r="AS51" s="304" t="e">
        <f>SUM(AN51:AN51)</f>
        <v>#REF!</v>
      </c>
      <c r="AT51" s="305" t="e">
        <f>'Qty &amp; UMH GUM'!AD51</f>
        <v>#REF!</v>
      </c>
      <c r="AU51" s="304" t="e">
        <f>ROUNDUP((AT51-AS51)/$AN$4,0)</f>
        <v>#REF!</v>
      </c>
      <c r="AV51" s="311"/>
    </row>
    <row r="52" spans="1:49" customHeight="1" ht="18.75">
      <c r="A52" s="537"/>
      <c r="B52" s="332" t="str">
        <f>'Qty &amp; UMH GUM'!C52</f>
        <v>82111-4DN31</v>
      </c>
      <c r="C52" s="303" t="str">
        <f>+'Qty &amp; UMH GUM'!B52</f>
        <v>HEV-RHD</v>
      </c>
      <c r="D52" s="324" t="e">
        <f>VLOOKUP($B52,#REF!,10,0)</f>
        <v>#REF!</v>
      </c>
      <c r="E52" s="324" t="e">
        <f>VLOOKUP($B52,#REF!,11,0)</f>
        <v>#REF!</v>
      </c>
      <c r="F52" s="324" t="e">
        <f>VLOOKUP($B52,#REF!,12,0)</f>
        <v>#REF!</v>
      </c>
      <c r="G52" s="324" t="e">
        <f>VLOOKUP($B52,#REF!,13,0)</f>
        <v>#REF!</v>
      </c>
      <c r="H52" s="324" t="e">
        <f>VLOOKUP($B52,#REF!,14,0)</f>
        <v>#REF!</v>
      </c>
      <c r="I52" s="304" t="e">
        <f>SUM(D52:D52)</f>
        <v>#REF!</v>
      </c>
      <c r="J52" s="305" t="e">
        <f>'Qty &amp; UMH GUM'!R52</f>
        <v>#REF!</v>
      </c>
      <c r="K52" s="305" t="e">
        <f>ROUNDUP((J52-I52)/$D$4,0)</f>
        <v>#REF!</v>
      </c>
      <c r="L52" s="306"/>
      <c r="M52" s="324" t="e">
        <f>VLOOKUP($B52,#REF!,16,0)</f>
        <v>#REF!</v>
      </c>
      <c r="N52" s="324" t="e">
        <f>VLOOKUP($B52,#REF!,17,0)</f>
        <v>#REF!</v>
      </c>
      <c r="O52" s="324" t="e">
        <f>VLOOKUP($B52,#REF!,18,0)</f>
        <v>#REF!</v>
      </c>
      <c r="P52" s="324" t="e">
        <f>VLOOKUP($B52,#REF!,19,0)</f>
        <v>#REF!</v>
      </c>
      <c r="Q52" s="324" t="e">
        <f>VLOOKUP($B52,#REF!,20,0)</f>
        <v>#REF!</v>
      </c>
      <c r="R52" s="304" t="e">
        <f>SUM(M52:M52)</f>
        <v>#REF!</v>
      </c>
      <c r="S52" s="305" t="e">
        <f>'Qty &amp; UMH GUM'!U52</f>
        <v>#REF!</v>
      </c>
      <c r="T52" s="305" t="e">
        <f>ROUNDUP((S52-R52)/$M$4,0)</f>
        <v>#REF!</v>
      </c>
      <c r="U52" s="307"/>
      <c r="V52" s="324" t="e">
        <f>VLOOKUP($B52,#REF!,22,0)</f>
        <v>#REF!</v>
      </c>
      <c r="W52" s="324" t="e">
        <f>VLOOKUP($B52,#REF!,23,0)</f>
        <v>#REF!</v>
      </c>
      <c r="X52" s="324" t="e">
        <f>VLOOKUP($B52,#REF!,24,0)</f>
        <v>#REF!</v>
      </c>
      <c r="Y52" s="324" t="e">
        <f>VLOOKUP($B52,#REF!,25,0)</f>
        <v>#REF!</v>
      </c>
      <c r="Z52" s="324" t="e">
        <f>VLOOKUP($B52,#REF!,26,0)</f>
        <v>#REF!</v>
      </c>
      <c r="AA52" s="304" t="e">
        <f>SUM(V52:V52)</f>
        <v>#REF!</v>
      </c>
      <c r="AB52" s="305" t="e">
        <f>'Qty &amp; UMH GUM'!X52</f>
        <v>#REF!</v>
      </c>
      <c r="AC52" s="304" t="e">
        <f>ROUNDUP((AB52-AA52)/$V$4,0)</f>
        <v>#REF!</v>
      </c>
      <c r="AD52" s="307"/>
      <c r="AE52" s="324" t="e">
        <f>VLOOKUP($B52,#REF!,28,0)</f>
        <v>#REF!</v>
      </c>
      <c r="AF52" s="324" t="e">
        <f>VLOOKUP($B52,#REF!,29,0)</f>
        <v>#REF!</v>
      </c>
      <c r="AG52" s="324" t="e">
        <f>VLOOKUP($B52,#REF!,30,0)</f>
        <v>#REF!</v>
      </c>
      <c r="AH52" s="324" t="e">
        <f>VLOOKUP($B52,#REF!,31,0)</f>
        <v>#REF!</v>
      </c>
      <c r="AI52" s="324" t="e">
        <f>VLOOKUP($B52,#REF!,32,0)</f>
        <v>#REF!</v>
      </c>
      <c r="AJ52" s="304" t="e">
        <f>SUM(AE52:AE52)</f>
        <v>#REF!</v>
      </c>
      <c r="AK52" s="305" t="e">
        <f>'Qty &amp; UMH GUM'!AA52</f>
        <v>#REF!</v>
      </c>
      <c r="AL52" s="304" t="e">
        <f>ROUNDUP((AK52-AJ52)/$AE$4,0)</f>
        <v>#REF!</v>
      </c>
      <c r="AM52" s="309"/>
      <c r="AN52" s="308" t="e">
        <f>VLOOKUP($B52,#REF!,34,0)</f>
        <v>#REF!</v>
      </c>
      <c r="AO52" s="304" t="e">
        <f>VLOOKUP($B52,#REF!,35,0)</f>
        <v>#REF!</v>
      </c>
      <c r="AP52" s="304" t="e">
        <f>VLOOKUP($B52,#REF!,36,0)</f>
        <v>#REF!</v>
      </c>
      <c r="AQ52" s="304" t="e">
        <f>VLOOKUP($B52,#REF!,37,0)</f>
        <v>#REF!</v>
      </c>
      <c r="AR52" s="304"/>
      <c r="AS52" s="304" t="e">
        <f>SUM(AN52:AN52)</f>
        <v>#REF!</v>
      </c>
      <c r="AT52" s="305" t="e">
        <f>'Qty &amp; UMH GUM'!AD52</f>
        <v>#REF!</v>
      </c>
      <c r="AU52" s="304" t="e">
        <f>ROUNDUP((AT52-AS52)/$AN$4,0)</f>
        <v>#REF!</v>
      </c>
      <c r="AV52" s="311"/>
    </row>
    <row r="53" spans="1:49" customHeight="1" ht="18.75">
      <c r="A53" s="537"/>
      <c r="B53" s="332" t="str">
        <f>'Qty &amp; UMH GUM'!C53</f>
        <v>82111-4DN41</v>
      </c>
      <c r="C53" s="303" t="str">
        <f>+'Qty &amp; UMH GUM'!B53</f>
        <v>HEV-RHD</v>
      </c>
      <c r="D53" s="324" t="e">
        <f>VLOOKUP($B53,#REF!,10,0)</f>
        <v>#REF!</v>
      </c>
      <c r="E53" s="324" t="e">
        <f>VLOOKUP($B53,#REF!,11,0)</f>
        <v>#REF!</v>
      </c>
      <c r="F53" s="324" t="e">
        <f>VLOOKUP($B53,#REF!,12,0)</f>
        <v>#REF!</v>
      </c>
      <c r="G53" s="324" t="e">
        <f>VLOOKUP($B53,#REF!,13,0)</f>
        <v>#REF!</v>
      </c>
      <c r="H53" s="324" t="e">
        <f>VLOOKUP($B53,#REF!,14,0)</f>
        <v>#REF!</v>
      </c>
      <c r="I53" s="304" t="e">
        <f>SUM(D53:D53)</f>
        <v>#REF!</v>
      </c>
      <c r="J53" s="305" t="e">
        <f>'Qty &amp; UMH GUM'!R53</f>
        <v>#REF!</v>
      </c>
      <c r="K53" s="305" t="e">
        <f>ROUNDUP((J53-I53)/$D$4,0)</f>
        <v>#REF!</v>
      </c>
      <c r="L53" s="306"/>
      <c r="M53" s="324" t="e">
        <f>VLOOKUP($B53,#REF!,16,0)</f>
        <v>#REF!</v>
      </c>
      <c r="N53" s="324" t="e">
        <f>VLOOKUP($B53,#REF!,17,0)</f>
        <v>#REF!</v>
      </c>
      <c r="O53" s="324" t="e">
        <f>VLOOKUP($B53,#REF!,18,0)</f>
        <v>#REF!</v>
      </c>
      <c r="P53" s="324" t="e">
        <f>VLOOKUP($B53,#REF!,19,0)</f>
        <v>#REF!</v>
      </c>
      <c r="Q53" s="324" t="e">
        <f>VLOOKUP($B53,#REF!,20,0)</f>
        <v>#REF!</v>
      </c>
      <c r="R53" s="304" t="e">
        <f>SUM(M53:M53)</f>
        <v>#REF!</v>
      </c>
      <c r="S53" s="305" t="e">
        <f>'Qty &amp; UMH GUM'!U53</f>
        <v>#REF!</v>
      </c>
      <c r="T53" s="305" t="e">
        <f>ROUNDUP((S53-R53)/$M$4,0)</f>
        <v>#REF!</v>
      </c>
      <c r="U53" s="307"/>
      <c r="V53" s="324" t="e">
        <f>VLOOKUP($B53,#REF!,22,0)</f>
        <v>#REF!</v>
      </c>
      <c r="W53" s="324" t="e">
        <f>VLOOKUP($B53,#REF!,23,0)</f>
        <v>#REF!</v>
      </c>
      <c r="X53" s="324" t="e">
        <f>VLOOKUP($B53,#REF!,24,0)</f>
        <v>#REF!</v>
      </c>
      <c r="Y53" s="324" t="e">
        <f>VLOOKUP($B53,#REF!,25,0)</f>
        <v>#REF!</v>
      </c>
      <c r="Z53" s="324" t="e">
        <f>VLOOKUP($B53,#REF!,26,0)</f>
        <v>#REF!</v>
      </c>
      <c r="AA53" s="304" t="e">
        <f>SUM(V53:V53)</f>
        <v>#REF!</v>
      </c>
      <c r="AB53" s="305" t="e">
        <f>'Qty &amp; UMH GUM'!X53</f>
        <v>#REF!</v>
      </c>
      <c r="AC53" s="304" t="e">
        <f>ROUNDUP((AB53-AA53)/$V$4,0)</f>
        <v>#REF!</v>
      </c>
      <c r="AD53" s="307"/>
      <c r="AE53" s="324" t="e">
        <f>VLOOKUP($B53,#REF!,28,0)</f>
        <v>#REF!</v>
      </c>
      <c r="AF53" s="324" t="e">
        <f>VLOOKUP($B53,#REF!,29,0)</f>
        <v>#REF!</v>
      </c>
      <c r="AG53" s="324" t="e">
        <f>VLOOKUP($B53,#REF!,30,0)</f>
        <v>#REF!</v>
      </c>
      <c r="AH53" s="324" t="e">
        <f>VLOOKUP($B53,#REF!,31,0)</f>
        <v>#REF!</v>
      </c>
      <c r="AI53" s="324" t="e">
        <f>VLOOKUP($B53,#REF!,32,0)</f>
        <v>#REF!</v>
      </c>
      <c r="AJ53" s="304" t="e">
        <f>SUM(AE53:AE53)</f>
        <v>#REF!</v>
      </c>
      <c r="AK53" s="305" t="e">
        <f>'Qty &amp; UMH GUM'!AA53</f>
        <v>#REF!</v>
      </c>
      <c r="AL53" s="304" t="e">
        <f>ROUNDUP((AK53-AJ53)/$AE$4,0)</f>
        <v>#REF!</v>
      </c>
      <c r="AM53" s="309"/>
      <c r="AN53" s="308" t="e">
        <f>VLOOKUP($B53,#REF!,34,0)</f>
        <v>#REF!</v>
      </c>
      <c r="AO53" s="304" t="e">
        <f>VLOOKUP($B53,#REF!,35,0)</f>
        <v>#REF!</v>
      </c>
      <c r="AP53" s="304" t="e">
        <f>VLOOKUP($B53,#REF!,36,0)</f>
        <v>#REF!</v>
      </c>
      <c r="AQ53" s="304" t="e">
        <f>VLOOKUP($B53,#REF!,37,0)</f>
        <v>#REF!</v>
      </c>
      <c r="AR53" s="304"/>
      <c r="AS53" s="304" t="e">
        <f>SUM(AN53:AN53)</f>
        <v>#REF!</v>
      </c>
      <c r="AT53" s="305" t="e">
        <f>'Qty &amp; UMH GUM'!AD53</f>
        <v>#REF!</v>
      </c>
      <c r="AU53" s="304" t="e">
        <f>ROUNDUP((AT53-AS53)/$AN$4,0)</f>
        <v>#REF!</v>
      </c>
      <c r="AV53" s="311"/>
    </row>
    <row r="54" spans="1:49" customHeight="1" ht="18.75">
      <c r="A54" s="537"/>
      <c r="B54" s="332" t="str">
        <f>'Qty &amp; UMH GUM'!C54</f>
        <v>82111-4DN51</v>
      </c>
      <c r="C54" s="303" t="str">
        <f>+'Qty &amp; UMH GUM'!B54</f>
        <v>HEV-RHD</v>
      </c>
      <c r="D54" s="324" t="e">
        <f>VLOOKUP($B54,#REF!,10,0)</f>
        <v>#REF!</v>
      </c>
      <c r="E54" s="324" t="e">
        <f>VLOOKUP($B54,#REF!,11,0)</f>
        <v>#REF!</v>
      </c>
      <c r="F54" s="324" t="e">
        <f>VLOOKUP($B54,#REF!,12,0)</f>
        <v>#REF!</v>
      </c>
      <c r="G54" s="324" t="e">
        <f>VLOOKUP($B54,#REF!,13,0)</f>
        <v>#REF!</v>
      </c>
      <c r="H54" s="324" t="e">
        <f>VLOOKUP($B54,#REF!,14,0)</f>
        <v>#REF!</v>
      </c>
      <c r="I54" s="304" t="e">
        <f>SUM(D54:D54)</f>
        <v>#REF!</v>
      </c>
      <c r="J54" s="305" t="e">
        <f>'Qty &amp; UMH GUM'!R54</f>
        <v>#REF!</v>
      </c>
      <c r="K54" s="305" t="e">
        <f>ROUNDUP((J54-I54)/$D$4,0)</f>
        <v>#REF!</v>
      </c>
      <c r="L54" s="306"/>
      <c r="M54" s="324" t="e">
        <f>VLOOKUP($B54,#REF!,16,0)</f>
        <v>#REF!</v>
      </c>
      <c r="N54" s="324" t="e">
        <f>VLOOKUP($B54,#REF!,17,0)</f>
        <v>#REF!</v>
      </c>
      <c r="O54" s="324" t="e">
        <f>VLOOKUP($B54,#REF!,18,0)</f>
        <v>#REF!</v>
      </c>
      <c r="P54" s="324" t="e">
        <f>VLOOKUP($B54,#REF!,19,0)</f>
        <v>#REF!</v>
      </c>
      <c r="Q54" s="324" t="e">
        <f>VLOOKUP($B54,#REF!,20,0)</f>
        <v>#REF!</v>
      </c>
      <c r="R54" s="304" t="e">
        <f>SUM(M54:M54)</f>
        <v>#REF!</v>
      </c>
      <c r="S54" s="305" t="e">
        <f>'Qty &amp; UMH GUM'!U54</f>
        <v>#REF!</v>
      </c>
      <c r="T54" s="305" t="e">
        <f>ROUNDUP((S54-R54)/$M$4,0)</f>
        <v>#REF!</v>
      </c>
      <c r="U54" s="307"/>
      <c r="V54" s="324" t="e">
        <f>VLOOKUP($B54,#REF!,22,0)</f>
        <v>#REF!</v>
      </c>
      <c r="W54" s="324" t="e">
        <f>VLOOKUP($B54,#REF!,23,0)</f>
        <v>#REF!</v>
      </c>
      <c r="X54" s="324" t="e">
        <f>VLOOKUP($B54,#REF!,24,0)</f>
        <v>#REF!</v>
      </c>
      <c r="Y54" s="324" t="e">
        <f>VLOOKUP($B54,#REF!,25,0)</f>
        <v>#REF!</v>
      </c>
      <c r="Z54" s="324" t="e">
        <f>VLOOKUP($B54,#REF!,26,0)</f>
        <v>#REF!</v>
      </c>
      <c r="AA54" s="304" t="e">
        <f>SUM(V54:V54)</f>
        <v>#REF!</v>
      </c>
      <c r="AB54" s="305" t="e">
        <f>'Qty &amp; UMH GUM'!X54</f>
        <v>#REF!</v>
      </c>
      <c r="AC54" s="304" t="e">
        <f>ROUNDUP((AB54-AA54)/$V$4,0)</f>
        <v>#REF!</v>
      </c>
      <c r="AD54" s="307"/>
      <c r="AE54" s="324" t="e">
        <f>VLOOKUP($B54,#REF!,28,0)</f>
        <v>#REF!</v>
      </c>
      <c r="AF54" s="324" t="e">
        <f>VLOOKUP($B54,#REF!,29,0)</f>
        <v>#REF!</v>
      </c>
      <c r="AG54" s="324" t="e">
        <f>VLOOKUP($B54,#REF!,30,0)</f>
        <v>#REF!</v>
      </c>
      <c r="AH54" s="324" t="e">
        <f>VLOOKUP($B54,#REF!,31,0)</f>
        <v>#REF!</v>
      </c>
      <c r="AI54" s="324" t="e">
        <f>VLOOKUP($B54,#REF!,32,0)</f>
        <v>#REF!</v>
      </c>
      <c r="AJ54" s="304" t="e">
        <f>SUM(AE54:AE54)</f>
        <v>#REF!</v>
      </c>
      <c r="AK54" s="305" t="e">
        <f>'Qty &amp; UMH GUM'!AA54</f>
        <v>#REF!</v>
      </c>
      <c r="AL54" s="304" t="e">
        <f>ROUNDUP((AK54-AJ54)/$AE$4,0)</f>
        <v>#REF!</v>
      </c>
      <c r="AM54" s="309"/>
      <c r="AN54" s="308" t="e">
        <f>VLOOKUP($B54,#REF!,34,0)</f>
        <v>#REF!</v>
      </c>
      <c r="AO54" s="304" t="e">
        <f>VLOOKUP($B54,#REF!,35,0)</f>
        <v>#REF!</v>
      </c>
      <c r="AP54" s="304" t="e">
        <f>VLOOKUP($B54,#REF!,36,0)</f>
        <v>#REF!</v>
      </c>
      <c r="AQ54" s="304" t="e">
        <f>VLOOKUP($B54,#REF!,37,0)</f>
        <v>#REF!</v>
      </c>
      <c r="AR54" s="304"/>
      <c r="AS54" s="304" t="e">
        <f>SUM(AN54:AN54)</f>
        <v>#REF!</v>
      </c>
      <c r="AT54" s="305" t="e">
        <f>'Qty &amp; UMH GUM'!AD54</f>
        <v>#REF!</v>
      </c>
      <c r="AU54" s="304" t="e">
        <f>ROUNDUP((AT54-AS54)/$AN$4,0)</f>
        <v>#REF!</v>
      </c>
      <c r="AV54" s="311"/>
    </row>
    <row r="55" spans="1:49" customHeight="1" ht="18.75">
      <c r="A55" s="537"/>
      <c r="B55" s="332" t="str">
        <f>'Qty &amp; UMH GUM'!C55</f>
        <v>82111-4DN61</v>
      </c>
      <c r="C55" s="303" t="str">
        <f>+'Qty &amp; UMH GUM'!B55</f>
        <v>HEV-RHD</v>
      </c>
      <c r="D55" s="324" t="e">
        <f>VLOOKUP($B55,#REF!,10,0)</f>
        <v>#REF!</v>
      </c>
      <c r="E55" s="324" t="e">
        <f>VLOOKUP($B55,#REF!,11,0)</f>
        <v>#REF!</v>
      </c>
      <c r="F55" s="324" t="e">
        <f>VLOOKUP($B55,#REF!,12,0)</f>
        <v>#REF!</v>
      </c>
      <c r="G55" s="324" t="e">
        <f>VLOOKUP($B55,#REF!,13,0)</f>
        <v>#REF!</v>
      </c>
      <c r="H55" s="324" t="e">
        <f>VLOOKUP($B55,#REF!,14,0)</f>
        <v>#REF!</v>
      </c>
      <c r="I55" s="304" t="e">
        <f>SUM(D55:D55)</f>
        <v>#REF!</v>
      </c>
      <c r="J55" s="305" t="e">
        <f>'Qty &amp; UMH GUM'!R55</f>
        <v>#REF!</v>
      </c>
      <c r="K55" s="305" t="e">
        <f>ROUNDUP((J55-I55)/$D$4,0)</f>
        <v>#REF!</v>
      </c>
      <c r="L55" s="306"/>
      <c r="M55" s="324" t="e">
        <f>VLOOKUP($B55,#REF!,16,0)</f>
        <v>#REF!</v>
      </c>
      <c r="N55" s="324" t="e">
        <f>VLOOKUP($B55,#REF!,17,0)</f>
        <v>#REF!</v>
      </c>
      <c r="O55" s="324" t="e">
        <f>VLOOKUP($B55,#REF!,18,0)</f>
        <v>#REF!</v>
      </c>
      <c r="P55" s="324" t="e">
        <f>VLOOKUP($B55,#REF!,19,0)</f>
        <v>#REF!</v>
      </c>
      <c r="Q55" s="324" t="e">
        <f>VLOOKUP($B55,#REF!,20,0)</f>
        <v>#REF!</v>
      </c>
      <c r="R55" s="304" t="e">
        <f>SUM(M55:M55)</f>
        <v>#REF!</v>
      </c>
      <c r="S55" s="305" t="e">
        <f>'Qty &amp; UMH GUM'!U55</f>
        <v>#REF!</v>
      </c>
      <c r="T55" s="305" t="e">
        <f>ROUNDUP((S55-R55)/$M$4,0)</f>
        <v>#REF!</v>
      </c>
      <c r="U55" s="307"/>
      <c r="V55" s="324" t="e">
        <f>VLOOKUP($B55,#REF!,22,0)</f>
        <v>#REF!</v>
      </c>
      <c r="W55" s="324" t="e">
        <f>VLOOKUP($B55,#REF!,23,0)</f>
        <v>#REF!</v>
      </c>
      <c r="X55" s="324" t="e">
        <f>VLOOKUP($B55,#REF!,24,0)</f>
        <v>#REF!</v>
      </c>
      <c r="Y55" s="324" t="e">
        <f>VLOOKUP($B55,#REF!,25,0)</f>
        <v>#REF!</v>
      </c>
      <c r="Z55" s="324" t="e">
        <f>VLOOKUP($B55,#REF!,26,0)</f>
        <v>#REF!</v>
      </c>
      <c r="AA55" s="304" t="e">
        <f>SUM(V55:V55)</f>
        <v>#REF!</v>
      </c>
      <c r="AB55" s="305" t="e">
        <f>'Qty &amp; UMH GUM'!X55</f>
        <v>#REF!</v>
      </c>
      <c r="AC55" s="304" t="e">
        <f>ROUNDUP((AB55-AA55)/$V$4,0)</f>
        <v>#REF!</v>
      </c>
      <c r="AD55" s="307"/>
      <c r="AE55" s="324" t="e">
        <f>VLOOKUP($B55,#REF!,28,0)</f>
        <v>#REF!</v>
      </c>
      <c r="AF55" s="324" t="e">
        <f>VLOOKUP($B55,#REF!,29,0)</f>
        <v>#REF!</v>
      </c>
      <c r="AG55" s="324" t="e">
        <f>VLOOKUP($B55,#REF!,30,0)</f>
        <v>#REF!</v>
      </c>
      <c r="AH55" s="324" t="e">
        <f>VLOOKUP($B55,#REF!,31,0)</f>
        <v>#REF!</v>
      </c>
      <c r="AI55" s="324" t="e">
        <f>VLOOKUP($B55,#REF!,32,0)</f>
        <v>#REF!</v>
      </c>
      <c r="AJ55" s="304" t="e">
        <f>SUM(AE55:AE55)</f>
        <v>#REF!</v>
      </c>
      <c r="AK55" s="305" t="e">
        <f>'Qty &amp; UMH GUM'!AA55</f>
        <v>#REF!</v>
      </c>
      <c r="AL55" s="304" t="e">
        <f>ROUNDUP((AK55-AJ55)/$AE$4,0)</f>
        <v>#REF!</v>
      </c>
      <c r="AM55" s="309"/>
      <c r="AN55" s="308" t="e">
        <f>VLOOKUP($B55,#REF!,34,0)</f>
        <v>#REF!</v>
      </c>
      <c r="AO55" s="304" t="e">
        <f>VLOOKUP($B55,#REF!,35,0)</f>
        <v>#REF!</v>
      </c>
      <c r="AP55" s="304" t="e">
        <f>VLOOKUP($B55,#REF!,36,0)</f>
        <v>#REF!</v>
      </c>
      <c r="AQ55" s="304" t="e">
        <f>VLOOKUP($B55,#REF!,37,0)</f>
        <v>#REF!</v>
      </c>
      <c r="AR55" s="304"/>
      <c r="AS55" s="304" t="e">
        <f>SUM(AN55:AN55)</f>
        <v>#REF!</v>
      </c>
      <c r="AT55" s="305" t="e">
        <f>'Qty &amp; UMH GUM'!AD55</f>
        <v>#REF!</v>
      </c>
      <c r="AU55" s="304" t="e">
        <f>ROUNDUP((AT55-AS55)/$AN$4,0)</f>
        <v>#REF!</v>
      </c>
      <c r="AV55" s="311"/>
    </row>
    <row r="56" spans="1:49" customHeight="1" ht="18.75">
      <c r="A56" s="537"/>
      <c r="B56" s="332" t="str">
        <f>'Qty &amp; UMH GUM'!C56</f>
        <v>82111-4DN71</v>
      </c>
      <c r="C56" s="303" t="str">
        <f>+'Qty &amp; UMH GUM'!B56</f>
        <v>HEV-RHD</v>
      </c>
      <c r="D56" s="324" t="e">
        <f>VLOOKUP($B56,#REF!,10,0)</f>
        <v>#REF!</v>
      </c>
      <c r="E56" s="324" t="e">
        <f>VLOOKUP($B56,#REF!,11,0)</f>
        <v>#REF!</v>
      </c>
      <c r="F56" s="324" t="e">
        <f>VLOOKUP($B56,#REF!,12,0)</f>
        <v>#REF!</v>
      </c>
      <c r="G56" s="324" t="e">
        <f>VLOOKUP($B56,#REF!,13,0)</f>
        <v>#REF!</v>
      </c>
      <c r="H56" s="324" t="e">
        <f>VLOOKUP($B56,#REF!,14,0)</f>
        <v>#REF!</v>
      </c>
      <c r="I56" s="304" t="e">
        <f>SUM(D56:D56)</f>
        <v>#REF!</v>
      </c>
      <c r="J56" s="305" t="e">
        <f>'Qty &amp; UMH GUM'!R56</f>
        <v>#REF!</v>
      </c>
      <c r="K56" s="305" t="e">
        <f>ROUNDUP((J56-I56)/$D$4,0)</f>
        <v>#REF!</v>
      </c>
      <c r="L56" s="306"/>
      <c r="M56" s="324" t="e">
        <f>VLOOKUP($B56,#REF!,16,0)</f>
        <v>#REF!</v>
      </c>
      <c r="N56" s="324" t="e">
        <f>VLOOKUP($B56,#REF!,17,0)</f>
        <v>#REF!</v>
      </c>
      <c r="O56" s="324" t="e">
        <f>VLOOKUP($B56,#REF!,18,0)</f>
        <v>#REF!</v>
      </c>
      <c r="P56" s="324" t="e">
        <f>VLOOKUP($B56,#REF!,19,0)</f>
        <v>#REF!</v>
      </c>
      <c r="Q56" s="324" t="e">
        <f>VLOOKUP($B56,#REF!,20,0)</f>
        <v>#REF!</v>
      </c>
      <c r="R56" s="304" t="e">
        <f>SUM(M56:M56)</f>
        <v>#REF!</v>
      </c>
      <c r="S56" s="305" t="e">
        <f>'Qty &amp; UMH GUM'!U56</f>
        <v>#REF!</v>
      </c>
      <c r="T56" s="305" t="e">
        <f>ROUNDUP((S56-R56)/$M$4,0)</f>
        <v>#REF!</v>
      </c>
      <c r="U56" s="307"/>
      <c r="V56" s="324" t="e">
        <f>VLOOKUP($B56,#REF!,22,0)</f>
        <v>#REF!</v>
      </c>
      <c r="W56" s="324" t="e">
        <f>VLOOKUP($B56,#REF!,23,0)</f>
        <v>#REF!</v>
      </c>
      <c r="X56" s="324" t="e">
        <f>VLOOKUP($B56,#REF!,24,0)</f>
        <v>#REF!</v>
      </c>
      <c r="Y56" s="324" t="e">
        <f>VLOOKUP($B56,#REF!,25,0)</f>
        <v>#REF!</v>
      </c>
      <c r="Z56" s="324" t="e">
        <f>VLOOKUP($B56,#REF!,26,0)</f>
        <v>#REF!</v>
      </c>
      <c r="AA56" s="304" t="e">
        <f>SUM(V56:V56)</f>
        <v>#REF!</v>
      </c>
      <c r="AB56" s="305" t="e">
        <f>'Qty &amp; UMH GUM'!X56</f>
        <v>#REF!</v>
      </c>
      <c r="AC56" s="304" t="e">
        <f>ROUNDUP((AB56-AA56)/$V$4,0)</f>
        <v>#REF!</v>
      </c>
      <c r="AD56" s="307"/>
      <c r="AE56" s="324" t="e">
        <f>VLOOKUP($B56,#REF!,28,0)</f>
        <v>#REF!</v>
      </c>
      <c r="AF56" s="324" t="e">
        <f>VLOOKUP($B56,#REF!,29,0)</f>
        <v>#REF!</v>
      </c>
      <c r="AG56" s="324" t="e">
        <f>VLOOKUP($B56,#REF!,30,0)</f>
        <v>#REF!</v>
      </c>
      <c r="AH56" s="324" t="e">
        <f>VLOOKUP($B56,#REF!,31,0)</f>
        <v>#REF!</v>
      </c>
      <c r="AI56" s="324" t="e">
        <f>VLOOKUP($B56,#REF!,32,0)</f>
        <v>#REF!</v>
      </c>
      <c r="AJ56" s="304" t="e">
        <f>SUM(AE56:AE56)</f>
        <v>#REF!</v>
      </c>
      <c r="AK56" s="305" t="e">
        <f>'Qty &amp; UMH GUM'!AA56</f>
        <v>#REF!</v>
      </c>
      <c r="AL56" s="304" t="e">
        <f>ROUNDUP((AK56-AJ56)/$AE$4,0)</f>
        <v>#REF!</v>
      </c>
      <c r="AM56" s="309"/>
      <c r="AN56" s="308" t="e">
        <f>VLOOKUP($B56,#REF!,34,0)</f>
        <v>#REF!</v>
      </c>
      <c r="AO56" s="304" t="e">
        <f>VLOOKUP($B56,#REF!,35,0)</f>
        <v>#REF!</v>
      </c>
      <c r="AP56" s="304" t="e">
        <f>VLOOKUP($B56,#REF!,36,0)</f>
        <v>#REF!</v>
      </c>
      <c r="AQ56" s="304" t="e">
        <f>VLOOKUP($B56,#REF!,37,0)</f>
        <v>#REF!</v>
      </c>
      <c r="AR56" s="304"/>
      <c r="AS56" s="304" t="e">
        <f>SUM(AN56:AN56)</f>
        <v>#REF!</v>
      </c>
      <c r="AT56" s="305" t="e">
        <f>'Qty &amp; UMH GUM'!AD56</f>
        <v>#REF!</v>
      </c>
      <c r="AU56" s="304" t="e">
        <f>ROUNDUP((AT56-AS56)/$AN$4,0)</f>
        <v>#REF!</v>
      </c>
      <c r="AV56" s="311"/>
    </row>
    <row r="57" spans="1:49" customHeight="1" ht="18.75">
      <c r="A57" s="537"/>
      <c r="B57" s="332" t="str">
        <f>'Qty &amp; UMH GUM'!C57</f>
        <v>82111-4DQ01</v>
      </c>
      <c r="C57" s="303" t="str">
        <f>+'Qty &amp; UMH GUM'!B57</f>
        <v>GAS-LHD</v>
      </c>
      <c r="D57" s="324" t="e">
        <f>VLOOKUP($B57,#REF!,10,0)</f>
        <v>#REF!</v>
      </c>
      <c r="E57" s="324" t="e">
        <f>VLOOKUP($B57,#REF!,11,0)</f>
        <v>#REF!</v>
      </c>
      <c r="F57" s="324" t="e">
        <f>VLOOKUP($B57,#REF!,12,0)</f>
        <v>#REF!</v>
      </c>
      <c r="G57" s="324" t="e">
        <f>VLOOKUP($B57,#REF!,13,0)</f>
        <v>#REF!</v>
      </c>
      <c r="H57" s="324" t="e">
        <f>VLOOKUP($B57,#REF!,14,0)</f>
        <v>#REF!</v>
      </c>
      <c r="I57" s="304" t="e">
        <f>SUM(D57:D57)</f>
        <v>#REF!</v>
      </c>
      <c r="J57" s="305" t="e">
        <f>'Qty &amp; UMH GUM'!R57</f>
        <v>#REF!</v>
      </c>
      <c r="K57" s="305" t="e">
        <f>ROUNDUP((J57-I57)/$D$4,0)</f>
        <v>#REF!</v>
      </c>
      <c r="L57" s="306"/>
      <c r="M57" s="324" t="e">
        <f>VLOOKUP($B57,#REF!,16,0)</f>
        <v>#REF!</v>
      </c>
      <c r="N57" s="324" t="e">
        <f>VLOOKUP($B57,#REF!,17,0)</f>
        <v>#REF!</v>
      </c>
      <c r="O57" s="324" t="e">
        <f>VLOOKUP($B57,#REF!,18,0)</f>
        <v>#REF!</v>
      </c>
      <c r="P57" s="324" t="e">
        <f>VLOOKUP($B57,#REF!,19,0)</f>
        <v>#REF!</v>
      </c>
      <c r="Q57" s="324" t="e">
        <f>VLOOKUP($B57,#REF!,20,0)</f>
        <v>#REF!</v>
      </c>
      <c r="R57" s="304" t="e">
        <f>SUM(M57:M57)</f>
        <v>#REF!</v>
      </c>
      <c r="S57" s="305" t="e">
        <f>'Qty &amp; UMH GUM'!U57</f>
        <v>#REF!</v>
      </c>
      <c r="T57" s="305" t="e">
        <f>ROUNDUP((S57-R57)/$M$4,0)</f>
        <v>#REF!</v>
      </c>
      <c r="U57" s="307"/>
      <c r="V57" s="324" t="e">
        <f>VLOOKUP($B57,#REF!,22,0)</f>
        <v>#REF!</v>
      </c>
      <c r="W57" s="324" t="e">
        <f>VLOOKUP($B57,#REF!,23,0)</f>
        <v>#REF!</v>
      </c>
      <c r="X57" s="324" t="e">
        <f>VLOOKUP($B57,#REF!,24,0)</f>
        <v>#REF!</v>
      </c>
      <c r="Y57" s="324" t="e">
        <f>VLOOKUP($B57,#REF!,25,0)</f>
        <v>#REF!</v>
      </c>
      <c r="Z57" s="324" t="e">
        <f>VLOOKUP($B57,#REF!,26,0)</f>
        <v>#REF!</v>
      </c>
      <c r="AA57" s="304" t="e">
        <f>SUM(V57:V57)</f>
        <v>#REF!</v>
      </c>
      <c r="AB57" s="305" t="e">
        <f>'Qty &amp; UMH GUM'!X57</f>
        <v>#REF!</v>
      </c>
      <c r="AC57" s="304" t="e">
        <f>ROUNDUP((AB57-AA57)/$V$4,0)</f>
        <v>#REF!</v>
      </c>
      <c r="AD57" s="307"/>
      <c r="AE57" s="324" t="e">
        <f>VLOOKUP($B57,#REF!,28,0)</f>
        <v>#REF!</v>
      </c>
      <c r="AF57" s="324" t="e">
        <f>VLOOKUP($B57,#REF!,29,0)</f>
        <v>#REF!</v>
      </c>
      <c r="AG57" s="324" t="e">
        <f>VLOOKUP($B57,#REF!,30,0)</f>
        <v>#REF!</v>
      </c>
      <c r="AH57" s="324" t="e">
        <f>VLOOKUP($B57,#REF!,31,0)</f>
        <v>#REF!</v>
      </c>
      <c r="AI57" s="324" t="e">
        <f>VLOOKUP($B57,#REF!,32,0)</f>
        <v>#REF!</v>
      </c>
      <c r="AJ57" s="304" t="e">
        <f>SUM(AE57:AE57)</f>
        <v>#REF!</v>
      </c>
      <c r="AK57" s="305" t="e">
        <f>'Qty &amp; UMH GUM'!AA57</f>
        <v>#REF!</v>
      </c>
      <c r="AL57" s="304" t="e">
        <f>ROUNDUP((AK57-AJ57)/$AE$4,0)</f>
        <v>#REF!</v>
      </c>
      <c r="AM57" s="309"/>
      <c r="AN57" s="308" t="e">
        <f>VLOOKUP($B57,#REF!,34,0)</f>
        <v>#REF!</v>
      </c>
      <c r="AO57" s="304" t="e">
        <f>VLOOKUP($B57,#REF!,35,0)</f>
        <v>#REF!</v>
      </c>
      <c r="AP57" s="304" t="e">
        <f>VLOOKUP($B57,#REF!,36,0)</f>
        <v>#REF!</v>
      </c>
      <c r="AQ57" s="304" t="e">
        <f>VLOOKUP($B57,#REF!,37,0)</f>
        <v>#REF!</v>
      </c>
      <c r="AR57" s="304"/>
      <c r="AS57" s="304" t="e">
        <f>SUM(AN57:AN57)</f>
        <v>#REF!</v>
      </c>
      <c r="AT57" s="305" t="e">
        <f>'Qty &amp; UMH GUM'!AD57</f>
        <v>#REF!</v>
      </c>
      <c r="AU57" s="304" t="e">
        <f>ROUNDUP((AT57-AS57)/$AN$4,0)</f>
        <v>#REF!</v>
      </c>
      <c r="AV57" s="311"/>
    </row>
    <row r="58" spans="1:49" customHeight="1" ht="18.75">
      <c r="A58" s="537"/>
      <c r="B58" s="332" t="str">
        <f>'Qty &amp; UMH GUM'!C58</f>
        <v>82111-4DQ11</v>
      </c>
      <c r="C58" s="303" t="str">
        <f>+'Qty &amp; UMH GUM'!B58</f>
        <v>GAS-LHD</v>
      </c>
      <c r="D58" s="324" t="e">
        <f>VLOOKUP($B58,#REF!,10,0)</f>
        <v>#REF!</v>
      </c>
      <c r="E58" s="324" t="e">
        <f>VLOOKUP($B58,#REF!,11,0)</f>
        <v>#REF!</v>
      </c>
      <c r="F58" s="324" t="e">
        <f>VLOOKUP($B58,#REF!,12,0)</f>
        <v>#REF!</v>
      </c>
      <c r="G58" s="324" t="e">
        <f>VLOOKUP($B58,#REF!,13,0)</f>
        <v>#REF!</v>
      </c>
      <c r="H58" s="324" t="e">
        <f>VLOOKUP($B58,#REF!,14,0)</f>
        <v>#REF!</v>
      </c>
      <c r="I58" s="304" t="e">
        <f>SUM(D58:D58)</f>
        <v>#REF!</v>
      </c>
      <c r="J58" s="305" t="e">
        <f>'Qty &amp; UMH GUM'!R58</f>
        <v>#REF!</v>
      </c>
      <c r="K58" s="305" t="e">
        <f>ROUNDUP((J58-I58)/$D$4,0)</f>
        <v>#REF!</v>
      </c>
      <c r="L58" s="306"/>
      <c r="M58" s="324" t="e">
        <f>VLOOKUP($B58,#REF!,16,0)</f>
        <v>#REF!</v>
      </c>
      <c r="N58" s="324" t="e">
        <f>VLOOKUP($B58,#REF!,17,0)</f>
        <v>#REF!</v>
      </c>
      <c r="O58" s="324" t="e">
        <f>VLOOKUP($B58,#REF!,18,0)</f>
        <v>#REF!</v>
      </c>
      <c r="P58" s="324" t="e">
        <f>VLOOKUP($B58,#REF!,19,0)</f>
        <v>#REF!</v>
      </c>
      <c r="Q58" s="324" t="e">
        <f>VLOOKUP($B58,#REF!,20,0)</f>
        <v>#REF!</v>
      </c>
      <c r="R58" s="304" t="e">
        <f>SUM(M58:M58)</f>
        <v>#REF!</v>
      </c>
      <c r="S58" s="305" t="e">
        <f>'Qty &amp; UMH GUM'!U58</f>
        <v>#REF!</v>
      </c>
      <c r="T58" s="305" t="e">
        <f>ROUNDUP((S58-R58)/$M$4,0)</f>
        <v>#REF!</v>
      </c>
      <c r="U58" s="307"/>
      <c r="V58" s="324" t="e">
        <f>VLOOKUP($B58,#REF!,22,0)</f>
        <v>#REF!</v>
      </c>
      <c r="W58" s="324" t="e">
        <f>VLOOKUP($B58,#REF!,23,0)</f>
        <v>#REF!</v>
      </c>
      <c r="X58" s="324" t="e">
        <f>VLOOKUP($B58,#REF!,24,0)</f>
        <v>#REF!</v>
      </c>
      <c r="Y58" s="324" t="e">
        <f>VLOOKUP($B58,#REF!,25,0)</f>
        <v>#REF!</v>
      </c>
      <c r="Z58" s="324" t="e">
        <f>VLOOKUP($B58,#REF!,26,0)</f>
        <v>#REF!</v>
      </c>
      <c r="AA58" s="304" t="e">
        <f>SUM(V58:V58)</f>
        <v>#REF!</v>
      </c>
      <c r="AB58" s="305" t="e">
        <f>'Qty &amp; UMH GUM'!X58</f>
        <v>#REF!</v>
      </c>
      <c r="AC58" s="304" t="e">
        <f>ROUNDUP((AB58-AA58)/$V$4,0)</f>
        <v>#REF!</v>
      </c>
      <c r="AD58" s="307"/>
      <c r="AE58" s="324" t="e">
        <f>VLOOKUP($B58,#REF!,28,0)</f>
        <v>#REF!</v>
      </c>
      <c r="AF58" s="324" t="e">
        <f>VLOOKUP($B58,#REF!,29,0)</f>
        <v>#REF!</v>
      </c>
      <c r="AG58" s="324" t="e">
        <f>VLOOKUP($B58,#REF!,30,0)</f>
        <v>#REF!</v>
      </c>
      <c r="AH58" s="324" t="e">
        <f>VLOOKUP($B58,#REF!,31,0)</f>
        <v>#REF!</v>
      </c>
      <c r="AI58" s="324" t="e">
        <f>VLOOKUP($B58,#REF!,32,0)</f>
        <v>#REF!</v>
      </c>
      <c r="AJ58" s="304" t="e">
        <f>SUM(AE58:AE58)</f>
        <v>#REF!</v>
      </c>
      <c r="AK58" s="305" t="e">
        <f>'Qty &amp; UMH GUM'!AA58</f>
        <v>#REF!</v>
      </c>
      <c r="AL58" s="304" t="e">
        <f>ROUNDUP((AK58-AJ58)/$AE$4,0)</f>
        <v>#REF!</v>
      </c>
      <c r="AM58" s="309"/>
      <c r="AN58" s="308" t="e">
        <f>VLOOKUP($B58,#REF!,34,0)</f>
        <v>#REF!</v>
      </c>
      <c r="AO58" s="304" t="e">
        <f>VLOOKUP($B58,#REF!,35,0)</f>
        <v>#REF!</v>
      </c>
      <c r="AP58" s="304" t="e">
        <f>VLOOKUP($B58,#REF!,36,0)</f>
        <v>#REF!</v>
      </c>
      <c r="AQ58" s="304" t="e">
        <f>VLOOKUP($B58,#REF!,37,0)</f>
        <v>#REF!</v>
      </c>
      <c r="AR58" s="304"/>
      <c r="AS58" s="304" t="e">
        <f>SUM(AN58:AN58)</f>
        <v>#REF!</v>
      </c>
      <c r="AT58" s="305" t="e">
        <f>'Qty &amp; UMH GUM'!AD58</f>
        <v>#REF!</v>
      </c>
      <c r="AU58" s="304" t="e">
        <f>ROUNDUP((AT58-AS58)/$AN$4,0)</f>
        <v>#REF!</v>
      </c>
      <c r="AV58" s="311"/>
    </row>
    <row r="59" spans="1:49" customHeight="1" ht="18.75">
      <c r="A59" s="537"/>
      <c r="B59" s="332" t="str">
        <f>'Qty &amp; UMH GUM'!C59</f>
        <v>82111-4DQ21</v>
      </c>
      <c r="C59" s="303" t="str">
        <f>+'Qty &amp; UMH GUM'!B59</f>
        <v>HEV-LHD</v>
      </c>
      <c r="D59" s="324" t="e">
        <f>VLOOKUP($B59,#REF!,10,0)</f>
        <v>#REF!</v>
      </c>
      <c r="E59" s="324" t="e">
        <f>VLOOKUP($B59,#REF!,11,0)</f>
        <v>#REF!</v>
      </c>
      <c r="F59" s="324" t="e">
        <f>VLOOKUP($B59,#REF!,12,0)</f>
        <v>#REF!</v>
      </c>
      <c r="G59" s="324" t="e">
        <f>VLOOKUP($B59,#REF!,13,0)</f>
        <v>#REF!</v>
      </c>
      <c r="H59" s="324" t="e">
        <f>VLOOKUP($B59,#REF!,14,0)</f>
        <v>#REF!</v>
      </c>
      <c r="I59" s="304" t="e">
        <f>SUM(D59:D59)</f>
        <v>#REF!</v>
      </c>
      <c r="J59" s="305" t="e">
        <f>'Qty &amp; UMH GUM'!R59</f>
        <v>#REF!</v>
      </c>
      <c r="K59" s="305" t="e">
        <f>ROUNDUP((J59-I59)/$D$4,0)</f>
        <v>#REF!</v>
      </c>
      <c r="L59" s="306"/>
      <c r="M59" s="324" t="e">
        <f>VLOOKUP($B59,#REF!,16,0)</f>
        <v>#REF!</v>
      </c>
      <c r="N59" s="324" t="e">
        <f>VLOOKUP($B59,#REF!,17,0)</f>
        <v>#REF!</v>
      </c>
      <c r="O59" s="324" t="e">
        <f>VLOOKUP($B59,#REF!,18,0)</f>
        <v>#REF!</v>
      </c>
      <c r="P59" s="324" t="e">
        <f>VLOOKUP($B59,#REF!,19,0)</f>
        <v>#REF!</v>
      </c>
      <c r="Q59" s="324" t="e">
        <f>VLOOKUP($B59,#REF!,20,0)</f>
        <v>#REF!</v>
      </c>
      <c r="R59" s="304" t="e">
        <f>SUM(M59:M59)</f>
        <v>#REF!</v>
      </c>
      <c r="S59" s="305" t="e">
        <f>'Qty &amp; UMH GUM'!U59</f>
        <v>#REF!</v>
      </c>
      <c r="T59" s="305" t="e">
        <f>ROUNDUP((S59-R59)/$M$4,0)</f>
        <v>#REF!</v>
      </c>
      <c r="U59" s="307"/>
      <c r="V59" s="324" t="e">
        <f>VLOOKUP($B59,#REF!,22,0)</f>
        <v>#REF!</v>
      </c>
      <c r="W59" s="324" t="e">
        <f>VLOOKUP($B59,#REF!,23,0)</f>
        <v>#REF!</v>
      </c>
      <c r="X59" s="324" t="e">
        <f>VLOOKUP($B59,#REF!,24,0)</f>
        <v>#REF!</v>
      </c>
      <c r="Y59" s="324" t="e">
        <f>VLOOKUP($B59,#REF!,25,0)</f>
        <v>#REF!</v>
      </c>
      <c r="Z59" s="324" t="e">
        <f>VLOOKUP($B59,#REF!,26,0)</f>
        <v>#REF!</v>
      </c>
      <c r="AA59" s="304" t="e">
        <f>SUM(V59:V59)</f>
        <v>#REF!</v>
      </c>
      <c r="AB59" s="305" t="e">
        <f>'Qty &amp; UMH GUM'!X59</f>
        <v>#REF!</v>
      </c>
      <c r="AC59" s="304" t="e">
        <f>ROUNDUP((AB59-AA59)/$V$4,0)</f>
        <v>#REF!</v>
      </c>
      <c r="AD59" s="307"/>
      <c r="AE59" s="324" t="e">
        <f>VLOOKUP($B59,#REF!,28,0)</f>
        <v>#REF!</v>
      </c>
      <c r="AF59" s="324" t="e">
        <f>VLOOKUP($B59,#REF!,29,0)</f>
        <v>#REF!</v>
      </c>
      <c r="AG59" s="324" t="e">
        <f>VLOOKUP($B59,#REF!,30,0)</f>
        <v>#REF!</v>
      </c>
      <c r="AH59" s="324" t="e">
        <f>VLOOKUP($B59,#REF!,31,0)</f>
        <v>#REF!</v>
      </c>
      <c r="AI59" s="324" t="e">
        <f>VLOOKUP($B59,#REF!,32,0)</f>
        <v>#REF!</v>
      </c>
      <c r="AJ59" s="304" t="e">
        <f>SUM(AE59:AE59)</f>
        <v>#REF!</v>
      </c>
      <c r="AK59" s="305" t="e">
        <f>'Qty &amp; UMH GUM'!AA59</f>
        <v>#REF!</v>
      </c>
      <c r="AL59" s="304" t="e">
        <f>ROUNDUP((AK59-AJ59)/$AE$4,0)</f>
        <v>#REF!</v>
      </c>
      <c r="AM59" s="309"/>
      <c r="AN59" s="308" t="e">
        <f>VLOOKUP($B59,#REF!,34,0)</f>
        <v>#REF!</v>
      </c>
      <c r="AO59" s="304" t="e">
        <f>VLOOKUP($B59,#REF!,35,0)</f>
        <v>#REF!</v>
      </c>
      <c r="AP59" s="304" t="e">
        <f>VLOOKUP($B59,#REF!,36,0)</f>
        <v>#REF!</v>
      </c>
      <c r="AQ59" s="304" t="e">
        <f>VLOOKUP($B59,#REF!,37,0)</f>
        <v>#REF!</v>
      </c>
      <c r="AR59" s="304"/>
      <c r="AS59" s="304" t="e">
        <f>SUM(AN59:AN59)</f>
        <v>#REF!</v>
      </c>
      <c r="AT59" s="305" t="e">
        <f>'Qty &amp; UMH GUM'!AD59</f>
        <v>#REF!</v>
      </c>
      <c r="AU59" s="304" t="e">
        <f>ROUNDUP((AT59-AS59)/$AN$4,0)</f>
        <v>#REF!</v>
      </c>
      <c r="AV59" s="311"/>
    </row>
    <row r="60" spans="1:49" customHeight="1" ht="18.75">
      <c r="A60" s="537"/>
      <c r="B60" s="332" t="str">
        <f>'Qty &amp; UMH GUM'!C60</f>
        <v>82111-4DQ41</v>
      </c>
      <c r="C60" s="303" t="str">
        <f>+'Qty &amp; UMH GUM'!B60</f>
        <v>HEV-RHD</v>
      </c>
      <c r="D60" s="324" t="e">
        <f>VLOOKUP($B60,#REF!,10,0)</f>
        <v>#REF!</v>
      </c>
      <c r="E60" s="324" t="e">
        <f>VLOOKUP($B60,#REF!,11,0)</f>
        <v>#REF!</v>
      </c>
      <c r="F60" s="324" t="e">
        <f>VLOOKUP($B60,#REF!,12,0)</f>
        <v>#REF!</v>
      </c>
      <c r="G60" s="324" t="e">
        <f>VLOOKUP($B60,#REF!,13,0)</f>
        <v>#REF!</v>
      </c>
      <c r="H60" s="324" t="e">
        <f>VLOOKUP($B60,#REF!,14,0)</f>
        <v>#REF!</v>
      </c>
      <c r="I60" s="304" t="e">
        <f>SUM(D60:D60)</f>
        <v>#REF!</v>
      </c>
      <c r="J60" s="305" t="e">
        <f>'Qty &amp; UMH GUM'!R60</f>
        <v>#REF!</v>
      </c>
      <c r="K60" s="305" t="e">
        <f>ROUNDUP((J60-I60)/$D$4,0)</f>
        <v>#REF!</v>
      </c>
      <c r="L60" s="306"/>
      <c r="M60" s="324" t="e">
        <f>VLOOKUP($B60,#REF!,16,0)</f>
        <v>#REF!</v>
      </c>
      <c r="N60" s="324" t="e">
        <f>VLOOKUP($B60,#REF!,17,0)</f>
        <v>#REF!</v>
      </c>
      <c r="O60" s="324" t="e">
        <f>VLOOKUP($B60,#REF!,18,0)</f>
        <v>#REF!</v>
      </c>
      <c r="P60" s="324" t="e">
        <f>VLOOKUP($B60,#REF!,19,0)</f>
        <v>#REF!</v>
      </c>
      <c r="Q60" s="324" t="e">
        <f>VLOOKUP($B60,#REF!,20,0)</f>
        <v>#REF!</v>
      </c>
      <c r="R60" s="304" t="e">
        <f>SUM(M60:M60)</f>
        <v>#REF!</v>
      </c>
      <c r="S60" s="305" t="e">
        <f>'Qty &amp; UMH GUM'!U60</f>
        <v>#REF!</v>
      </c>
      <c r="T60" s="305" t="e">
        <f>ROUNDUP((S60-R60)/$M$4,0)</f>
        <v>#REF!</v>
      </c>
      <c r="U60" s="307"/>
      <c r="V60" s="324" t="e">
        <f>VLOOKUP($B60,#REF!,22,0)</f>
        <v>#REF!</v>
      </c>
      <c r="W60" s="324" t="e">
        <f>VLOOKUP($B60,#REF!,23,0)</f>
        <v>#REF!</v>
      </c>
      <c r="X60" s="324" t="e">
        <f>VLOOKUP($B60,#REF!,24,0)</f>
        <v>#REF!</v>
      </c>
      <c r="Y60" s="324" t="e">
        <f>VLOOKUP($B60,#REF!,25,0)</f>
        <v>#REF!</v>
      </c>
      <c r="Z60" s="324" t="e">
        <f>VLOOKUP($B60,#REF!,26,0)</f>
        <v>#REF!</v>
      </c>
      <c r="AA60" s="304" t="e">
        <f>SUM(V60:V60)</f>
        <v>#REF!</v>
      </c>
      <c r="AB60" s="305" t="e">
        <f>'Qty &amp; UMH GUM'!X60</f>
        <v>#REF!</v>
      </c>
      <c r="AC60" s="304" t="e">
        <f>ROUNDUP((AB60-AA60)/$V$4,0)</f>
        <v>#REF!</v>
      </c>
      <c r="AD60" s="307"/>
      <c r="AE60" s="324" t="e">
        <f>VLOOKUP($B60,#REF!,28,0)</f>
        <v>#REF!</v>
      </c>
      <c r="AF60" s="324" t="e">
        <f>VLOOKUP($B60,#REF!,29,0)</f>
        <v>#REF!</v>
      </c>
      <c r="AG60" s="324" t="e">
        <f>VLOOKUP($B60,#REF!,30,0)</f>
        <v>#REF!</v>
      </c>
      <c r="AH60" s="324" t="e">
        <f>VLOOKUP($B60,#REF!,31,0)</f>
        <v>#REF!</v>
      </c>
      <c r="AI60" s="324" t="e">
        <f>VLOOKUP($B60,#REF!,32,0)</f>
        <v>#REF!</v>
      </c>
      <c r="AJ60" s="304" t="e">
        <f>SUM(AE60:AE60)</f>
        <v>#REF!</v>
      </c>
      <c r="AK60" s="305" t="e">
        <f>'Qty &amp; UMH GUM'!AA60</f>
        <v>#REF!</v>
      </c>
      <c r="AL60" s="304" t="e">
        <f>ROUNDUP((AK60-AJ60)/$AE$4,0)</f>
        <v>#REF!</v>
      </c>
      <c r="AM60" s="309"/>
      <c r="AN60" s="308" t="e">
        <f>VLOOKUP($B60,#REF!,34,0)</f>
        <v>#REF!</v>
      </c>
      <c r="AO60" s="304" t="e">
        <f>VLOOKUP($B60,#REF!,35,0)</f>
        <v>#REF!</v>
      </c>
      <c r="AP60" s="304" t="e">
        <f>VLOOKUP($B60,#REF!,36,0)</f>
        <v>#REF!</v>
      </c>
      <c r="AQ60" s="304" t="e">
        <f>VLOOKUP($B60,#REF!,37,0)</f>
        <v>#REF!</v>
      </c>
      <c r="AR60" s="304"/>
      <c r="AS60" s="304" t="e">
        <f>SUM(AN60:AN60)</f>
        <v>#REF!</v>
      </c>
      <c r="AT60" s="305" t="e">
        <f>'Qty &amp; UMH GUM'!AD60</f>
        <v>#REF!</v>
      </c>
      <c r="AU60" s="304" t="e">
        <f>ROUNDUP((AT60-AS60)/$AN$4,0)</f>
        <v>#REF!</v>
      </c>
      <c r="AV60" s="311"/>
    </row>
    <row r="61" spans="1:49" customHeight="1" ht="18.75">
      <c r="A61" s="537"/>
      <c r="B61" s="332" t="str">
        <f>'Qty &amp; UMH GUM'!C61</f>
        <v>82111-4DR50</v>
      </c>
      <c r="C61" s="303" t="str">
        <f>+'Qty &amp; UMH GUM'!B61</f>
        <v>HEV-LHD</v>
      </c>
      <c r="D61" s="324" t="e">
        <f>VLOOKUP($B61,#REF!,10,0)</f>
        <v>#REF!</v>
      </c>
      <c r="E61" s="324" t="e">
        <f>VLOOKUP($B61,#REF!,11,0)</f>
        <v>#REF!</v>
      </c>
      <c r="F61" s="324" t="e">
        <f>VLOOKUP($B61,#REF!,12,0)</f>
        <v>#REF!</v>
      </c>
      <c r="G61" s="324" t="e">
        <f>VLOOKUP($B61,#REF!,13,0)</f>
        <v>#REF!</v>
      </c>
      <c r="H61" s="324" t="e">
        <f>VLOOKUP($B61,#REF!,14,0)</f>
        <v>#REF!</v>
      </c>
      <c r="I61" s="304" t="e">
        <f>SUM(D61:D61)</f>
        <v>#REF!</v>
      </c>
      <c r="J61" s="305" t="e">
        <f>'Qty &amp; UMH GUM'!R61</f>
        <v>#REF!</v>
      </c>
      <c r="K61" s="305" t="e">
        <f>ROUNDUP((J61-I61)/$D$4,0)</f>
        <v>#REF!</v>
      </c>
      <c r="L61" s="306"/>
      <c r="M61" s="324" t="e">
        <f>VLOOKUP($B61,#REF!,16,0)</f>
        <v>#REF!</v>
      </c>
      <c r="N61" s="324" t="e">
        <f>VLOOKUP($B61,#REF!,17,0)</f>
        <v>#REF!</v>
      </c>
      <c r="O61" s="324" t="e">
        <f>VLOOKUP($B61,#REF!,18,0)</f>
        <v>#REF!</v>
      </c>
      <c r="P61" s="324" t="e">
        <f>VLOOKUP($B61,#REF!,19,0)</f>
        <v>#REF!</v>
      </c>
      <c r="Q61" s="324" t="e">
        <f>VLOOKUP($B61,#REF!,20,0)</f>
        <v>#REF!</v>
      </c>
      <c r="R61" s="304" t="e">
        <f>SUM(M61:M61)</f>
        <v>#REF!</v>
      </c>
      <c r="S61" s="305" t="e">
        <f>'Qty &amp; UMH GUM'!U61</f>
        <v>#REF!</v>
      </c>
      <c r="T61" s="305" t="e">
        <f>ROUNDUP((S61-R61)/$M$4,0)</f>
        <v>#REF!</v>
      </c>
      <c r="U61" s="307"/>
      <c r="V61" s="324" t="e">
        <f>VLOOKUP($B61,#REF!,22,0)</f>
        <v>#REF!</v>
      </c>
      <c r="W61" s="324" t="e">
        <f>VLOOKUP($B61,#REF!,23,0)</f>
        <v>#REF!</v>
      </c>
      <c r="X61" s="324" t="e">
        <f>VLOOKUP($B61,#REF!,24,0)</f>
        <v>#REF!</v>
      </c>
      <c r="Y61" s="324" t="e">
        <f>VLOOKUP($B61,#REF!,25,0)</f>
        <v>#REF!</v>
      </c>
      <c r="Z61" s="324" t="e">
        <f>VLOOKUP($B61,#REF!,26,0)</f>
        <v>#REF!</v>
      </c>
      <c r="AA61" s="304" t="e">
        <f>SUM(V61:V61)</f>
        <v>#REF!</v>
      </c>
      <c r="AB61" s="305" t="e">
        <f>'Qty &amp; UMH GUM'!X61</f>
        <v>#REF!</v>
      </c>
      <c r="AC61" s="304" t="e">
        <f>ROUNDUP((AB61-AA61)/$V$4,0)</f>
        <v>#REF!</v>
      </c>
      <c r="AD61" s="307"/>
      <c r="AE61" s="324" t="e">
        <f>VLOOKUP($B61,#REF!,28,0)</f>
        <v>#REF!</v>
      </c>
      <c r="AF61" s="324" t="e">
        <f>VLOOKUP($B61,#REF!,29,0)</f>
        <v>#REF!</v>
      </c>
      <c r="AG61" s="324" t="e">
        <f>VLOOKUP($B61,#REF!,30,0)</f>
        <v>#REF!</v>
      </c>
      <c r="AH61" s="324" t="e">
        <f>VLOOKUP($B61,#REF!,31,0)</f>
        <v>#REF!</v>
      </c>
      <c r="AI61" s="324" t="e">
        <f>VLOOKUP($B61,#REF!,32,0)</f>
        <v>#REF!</v>
      </c>
      <c r="AJ61" s="304" t="e">
        <f>SUM(AE61:AE61)</f>
        <v>#REF!</v>
      </c>
      <c r="AK61" s="305" t="e">
        <f>'Qty &amp; UMH GUM'!AA61</f>
        <v>#REF!</v>
      </c>
      <c r="AL61" s="304" t="e">
        <f>ROUNDUP((AK61-AJ61)/$AE$4,0)</f>
        <v>#REF!</v>
      </c>
      <c r="AM61" s="309"/>
      <c r="AN61" s="308" t="e">
        <f>VLOOKUP($B61,#REF!,34,0)</f>
        <v>#REF!</v>
      </c>
      <c r="AO61" s="304" t="e">
        <f>VLOOKUP($B61,#REF!,35,0)</f>
        <v>#REF!</v>
      </c>
      <c r="AP61" s="304" t="e">
        <f>VLOOKUP($B61,#REF!,36,0)</f>
        <v>#REF!</v>
      </c>
      <c r="AQ61" s="304" t="e">
        <f>VLOOKUP($B61,#REF!,37,0)</f>
        <v>#REF!</v>
      </c>
      <c r="AR61" s="304"/>
      <c r="AS61" s="304" t="e">
        <f>SUM(AN61:AN61)</f>
        <v>#REF!</v>
      </c>
      <c r="AT61" s="305" t="e">
        <f>'Qty &amp; UMH GUM'!AD61</f>
        <v>#REF!</v>
      </c>
      <c r="AU61" s="304" t="e">
        <f>ROUNDUP((AT61-AS61)/$AN$4,0)</f>
        <v>#REF!</v>
      </c>
      <c r="AV61" s="311"/>
    </row>
    <row r="62" spans="1:49" customHeight="1" ht="18.75">
      <c r="A62" s="537"/>
      <c r="B62" s="332" t="str">
        <f>'Qty &amp; UMH GUM'!C62</f>
        <v>82111-4DM21</v>
      </c>
      <c r="C62" s="303" t="str">
        <f>+'Qty &amp; UMH GUM'!B62</f>
        <v>HEV-LHD</v>
      </c>
      <c r="D62" s="324" t="e">
        <f>VLOOKUP($B62,#REF!,10,0)</f>
        <v>#REF!</v>
      </c>
      <c r="E62" s="324" t="e">
        <f>VLOOKUP($B62,#REF!,11,0)</f>
        <v>#REF!</v>
      </c>
      <c r="F62" s="324" t="e">
        <f>VLOOKUP($B62,#REF!,12,0)</f>
        <v>#REF!</v>
      </c>
      <c r="G62" s="324" t="e">
        <f>VLOOKUP($B62,#REF!,13,0)</f>
        <v>#REF!</v>
      </c>
      <c r="H62" s="324" t="e">
        <f>VLOOKUP($B62,#REF!,14,0)</f>
        <v>#REF!</v>
      </c>
      <c r="I62" s="304" t="e">
        <f>SUM(D62:H62)</f>
        <v>#REF!</v>
      </c>
      <c r="J62" s="305" t="e">
        <f>'Qty &amp; UMH GUM'!R62</f>
        <v>#REF!</v>
      </c>
      <c r="K62" s="305" t="e">
        <f>ROUNDUP((J62-I62)/$D$4,0)</f>
        <v>#REF!</v>
      </c>
      <c r="L62" s="306"/>
      <c r="M62" s="324" t="e">
        <f>VLOOKUP($B62,#REF!,16,0)</f>
        <v>#REF!</v>
      </c>
      <c r="N62" s="324" t="e">
        <f>VLOOKUP($B62,#REF!,17,0)</f>
        <v>#REF!</v>
      </c>
      <c r="O62" s="324" t="e">
        <f>VLOOKUP($B62,#REF!,18,0)</f>
        <v>#REF!</v>
      </c>
      <c r="P62" s="324" t="e">
        <f>VLOOKUP($B62,#REF!,19,0)</f>
        <v>#REF!</v>
      </c>
      <c r="Q62" s="324" t="e">
        <f>VLOOKUP($B62,#REF!,20,0)</f>
        <v>#REF!</v>
      </c>
      <c r="R62" s="304" t="e">
        <f>SUM(M62:Q62)</f>
        <v>#REF!</v>
      </c>
      <c r="S62" s="305" t="e">
        <f>'Qty &amp; UMH GUM'!U62</f>
        <v>#REF!</v>
      </c>
      <c r="T62" s="305" t="e">
        <f>ROUNDUP((S62-R62)/$M$4,0)</f>
        <v>#REF!</v>
      </c>
      <c r="U62" s="307"/>
      <c r="V62" s="324" t="e">
        <f>VLOOKUP($B62,#REF!,22,0)</f>
        <v>#REF!</v>
      </c>
      <c r="W62" s="324" t="e">
        <f>VLOOKUP($B62,#REF!,23,0)</f>
        <v>#REF!</v>
      </c>
      <c r="X62" s="324" t="e">
        <f>VLOOKUP($B62,#REF!,24,0)</f>
        <v>#REF!</v>
      </c>
      <c r="Y62" s="324" t="e">
        <f>VLOOKUP($B62,#REF!,25,0)</f>
        <v>#REF!</v>
      </c>
      <c r="Z62" s="324" t="e">
        <f>VLOOKUP($B62,#REF!,26,0)</f>
        <v>#REF!</v>
      </c>
      <c r="AA62" s="304" t="e">
        <f>SUM(V62:Z62)</f>
        <v>#REF!</v>
      </c>
      <c r="AB62" s="305" t="e">
        <f>'Qty &amp; UMH GUM'!X62</f>
        <v>#REF!</v>
      </c>
      <c r="AC62" s="304" t="e">
        <f>ROUNDUP((AB62-AA62)/$V$4,0)</f>
        <v>#REF!</v>
      </c>
      <c r="AD62" s="307"/>
      <c r="AE62" s="324" t="e">
        <f>VLOOKUP($B62,#REF!,28,0)</f>
        <v>#REF!</v>
      </c>
      <c r="AF62" s="324" t="e">
        <f>VLOOKUP($B62,#REF!,29,0)</f>
        <v>#REF!</v>
      </c>
      <c r="AG62" s="324" t="e">
        <f>VLOOKUP($B62,#REF!,30,0)</f>
        <v>#REF!</v>
      </c>
      <c r="AH62" s="324" t="e">
        <f>VLOOKUP($B62,#REF!,31,0)</f>
        <v>#REF!</v>
      </c>
      <c r="AI62" s="324" t="e">
        <f>VLOOKUP($B62,#REF!,32,0)</f>
        <v>#REF!</v>
      </c>
      <c r="AJ62" s="304" t="e">
        <f>SUM(AE62:AI62)</f>
        <v>#REF!</v>
      </c>
      <c r="AK62" s="305" t="e">
        <f>'Qty &amp; UMH GUM'!AA62</f>
        <v>#REF!</v>
      </c>
      <c r="AL62" s="304" t="e">
        <f>ROUNDUP((AK62-AJ62)/$AE$4,0)</f>
        <v>#REF!</v>
      </c>
      <c r="AM62" s="309"/>
      <c r="AN62" s="308" t="e">
        <f>VLOOKUP($B62,#REF!,34,0)</f>
        <v>#REF!</v>
      </c>
      <c r="AO62" s="304" t="e">
        <f>VLOOKUP($B62,#REF!,35,0)</f>
        <v>#REF!</v>
      </c>
      <c r="AP62" s="304" t="e">
        <f>VLOOKUP($B62,#REF!,36,0)</f>
        <v>#REF!</v>
      </c>
      <c r="AQ62" s="304" t="e">
        <f>VLOOKUP($B62,#REF!,37,0)</f>
        <v>#REF!</v>
      </c>
      <c r="AR62" s="304"/>
      <c r="AS62" s="304" t="e">
        <f>SUM(AN62:AR62)</f>
        <v>#REF!</v>
      </c>
      <c r="AT62" s="305" t="e">
        <f>'Qty &amp; UMH GUM'!AD62</f>
        <v>#REF!</v>
      </c>
      <c r="AU62" s="304" t="e">
        <f>ROUNDUP((AT62-AS62)/$AN$4,0)</f>
        <v>#REF!</v>
      </c>
      <c r="AV62" s="311"/>
    </row>
    <row r="63" spans="1:49" customHeight="1" ht="18.75">
      <c r="A63" s="537"/>
      <c r="B63" s="332" t="str">
        <f>'Qty &amp; UMH GUM'!C63</f>
        <v>82111-4D590</v>
      </c>
      <c r="C63" s="303" t="str">
        <f>+'Qty &amp; UMH GUM'!B63</f>
        <v>HEV-LHD</v>
      </c>
      <c r="D63" s="324" t="e">
        <f>VLOOKUP($B63,#REF!,10,0)</f>
        <v>#REF!</v>
      </c>
      <c r="E63" s="324" t="e">
        <f>VLOOKUP($B63,#REF!,11,0)</f>
        <v>#REF!</v>
      </c>
      <c r="F63" s="324" t="e">
        <f>VLOOKUP($B63,#REF!,12,0)</f>
        <v>#REF!</v>
      </c>
      <c r="G63" s="324" t="e">
        <f>VLOOKUP($B63,#REF!,13,0)</f>
        <v>#REF!</v>
      </c>
      <c r="H63" s="324" t="e">
        <f>VLOOKUP($B63,#REF!,14,0)</f>
        <v>#REF!</v>
      </c>
      <c r="I63" s="304" t="e">
        <f>SUM(D63:H63)</f>
        <v>#REF!</v>
      </c>
      <c r="J63" s="305" t="e">
        <f>'Qty &amp; UMH GUM'!R63</f>
        <v>#REF!</v>
      </c>
      <c r="K63" s="305" t="e">
        <f>ROUNDUP((J63-I63)/$D$4,0)</f>
        <v>#REF!</v>
      </c>
      <c r="L63" s="306"/>
      <c r="M63" s="324" t="e">
        <f>VLOOKUP($B63,#REF!,16,0)</f>
        <v>#REF!</v>
      </c>
      <c r="N63" s="324" t="e">
        <f>VLOOKUP($B63,#REF!,17,0)</f>
        <v>#REF!</v>
      </c>
      <c r="O63" s="324" t="e">
        <f>VLOOKUP($B63,#REF!,18,0)</f>
        <v>#REF!</v>
      </c>
      <c r="P63" s="324" t="e">
        <f>VLOOKUP($B63,#REF!,19,0)</f>
        <v>#REF!</v>
      </c>
      <c r="Q63" s="324" t="e">
        <f>VLOOKUP($B63,#REF!,20,0)</f>
        <v>#REF!</v>
      </c>
      <c r="R63" s="304" t="e">
        <f>SUM(M63:Q63)</f>
        <v>#REF!</v>
      </c>
      <c r="S63" s="305" t="e">
        <f>'Qty &amp; UMH GUM'!U63</f>
        <v>#REF!</v>
      </c>
      <c r="T63" s="305" t="e">
        <f>ROUNDUP((S63-R63)/$M$4,0)</f>
        <v>#REF!</v>
      </c>
      <c r="U63" s="307"/>
      <c r="V63" s="324" t="e">
        <f>VLOOKUP($B63,#REF!,22,0)</f>
        <v>#REF!</v>
      </c>
      <c r="W63" s="324" t="e">
        <f>VLOOKUP($B63,#REF!,23,0)</f>
        <v>#REF!</v>
      </c>
      <c r="X63" s="324" t="e">
        <f>VLOOKUP($B63,#REF!,24,0)</f>
        <v>#REF!</v>
      </c>
      <c r="Y63" s="324" t="e">
        <f>VLOOKUP($B63,#REF!,25,0)</f>
        <v>#REF!</v>
      </c>
      <c r="Z63" s="324" t="e">
        <f>VLOOKUP($B63,#REF!,26,0)</f>
        <v>#REF!</v>
      </c>
      <c r="AA63" s="304" t="e">
        <f>SUM(V63:Z63)</f>
        <v>#REF!</v>
      </c>
      <c r="AB63" s="305" t="e">
        <f>'Qty &amp; UMH GUM'!X63</f>
        <v>#REF!</v>
      </c>
      <c r="AC63" s="304" t="e">
        <f>ROUNDUP((AB63-AA63)/$V$4,0)</f>
        <v>#REF!</v>
      </c>
      <c r="AD63" s="307"/>
      <c r="AE63" s="324" t="e">
        <f>VLOOKUP($B63,#REF!,28,0)</f>
        <v>#REF!</v>
      </c>
      <c r="AF63" s="324" t="e">
        <f>VLOOKUP($B63,#REF!,29,0)</f>
        <v>#REF!</v>
      </c>
      <c r="AG63" s="324" t="e">
        <f>VLOOKUP($B63,#REF!,30,0)</f>
        <v>#REF!</v>
      </c>
      <c r="AH63" s="324" t="e">
        <f>VLOOKUP($B63,#REF!,31,0)</f>
        <v>#REF!</v>
      </c>
      <c r="AI63" s="324" t="e">
        <f>VLOOKUP($B63,#REF!,32,0)</f>
        <v>#REF!</v>
      </c>
      <c r="AJ63" s="304" t="e">
        <f>SUM(AE63:AI63)</f>
        <v>#REF!</v>
      </c>
      <c r="AK63" s="305" t="e">
        <f>'Qty &amp; UMH GUM'!AA63</f>
        <v>#REF!</v>
      </c>
      <c r="AL63" s="304" t="e">
        <f>ROUNDUP((AK63-AJ63)/$AE$4,0)</f>
        <v>#REF!</v>
      </c>
      <c r="AM63" s="309"/>
      <c r="AN63" s="308" t="e">
        <f>VLOOKUP($B63,#REF!,34,0)</f>
        <v>#REF!</v>
      </c>
      <c r="AO63" s="304" t="e">
        <f>VLOOKUP($B63,#REF!,35,0)</f>
        <v>#REF!</v>
      </c>
      <c r="AP63" s="304" t="e">
        <f>VLOOKUP($B63,#REF!,36,0)</f>
        <v>#REF!</v>
      </c>
      <c r="AQ63" s="304" t="e">
        <f>VLOOKUP($B63,#REF!,37,0)</f>
        <v>#REF!</v>
      </c>
      <c r="AR63" s="304"/>
      <c r="AS63" s="304" t="e">
        <f>SUM(AN63:AR63)</f>
        <v>#REF!</v>
      </c>
      <c r="AT63" s="305" t="e">
        <f>'Qty &amp; UMH GUM'!AD63</f>
        <v>#REF!</v>
      </c>
      <c r="AU63" s="304" t="e">
        <f>ROUNDUP((AT63-AS63)/$AN$4,0)</f>
        <v>#REF!</v>
      </c>
      <c r="AV63" s="311"/>
    </row>
    <row r="64" spans="1:49" customHeight="1" ht="18.75">
      <c r="A64" s="537"/>
      <c r="B64" s="332" t="str">
        <f>'Qty &amp; UMH GUM'!C64</f>
        <v>82111-4DV80</v>
      </c>
      <c r="C64" s="303" t="str">
        <f>+'Qty &amp; UMH GUM'!B64</f>
        <v>GAS-LHD</v>
      </c>
      <c r="D64" s="324" t="e">
        <f>VLOOKUP($B64,#REF!,10,0)</f>
        <v>#REF!</v>
      </c>
      <c r="E64" s="324" t="e">
        <f>VLOOKUP($B64,#REF!,11,0)</f>
        <v>#REF!</v>
      </c>
      <c r="F64" s="324" t="e">
        <f>VLOOKUP($B64,#REF!,12,0)</f>
        <v>#REF!</v>
      </c>
      <c r="G64" s="324" t="e">
        <f>VLOOKUP($B64,#REF!,13,0)</f>
        <v>#REF!</v>
      </c>
      <c r="H64" s="324" t="e">
        <f>VLOOKUP($B64,#REF!,14,0)</f>
        <v>#REF!</v>
      </c>
      <c r="I64" s="304" t="e">
        <f>SUM(D64:D64)</f>
        <v>#REF!</v>
      </c>
      <c r="J64" s="305" t="e">
        <f>'Qty &amp; UMH GUM'!R64</f>
        <v>#REF!</v>
      </c>
      <c r="K64" s="305" t="e">
        <f>ROUNDUP((J64-I64)/$D$4,0)</f>
        <v>#REF!</v>
      </c>
      <c r="L64" s="306"/>
      <c r="M64" s="324" t="e">
        <f>VLOOKUP($B64,#REF!,16,0)</f>
        <v>#REF!</v>
      </c>
      <c r="N64" s="324" t="e">
        <f>VLOOKUP($B64,#REF!,17,0)</f>
        <v>#REF!</v>
      </c>
      <c r="O64" s="324" t="e">
        <f>VLOOKUP($B64,#REF!,18,0)</f>
        <v>#REF!</v>
      </c>
      <c r="P64" s="324" t="e">
        <f>VLOOKUP($B64,#REF!,19,0)</f>
        <v>#REF!</v>
      </c>
      <c r="Q64" s="324" t="e">
        <f>VLOOKUP($B64,#REF!,20,0)</f>
        <v>#REF!</v>
      </c>
      <c r="R64" s="304" t="e">
        <f>SUM(M64:M64)</f>
        <v>#REF!</v>
      </c>
      <c r="S64" s="305" t="e">
        <f>'Qty &amp; UMH GUM'!U64</f>
        <v>#REF!</v>
      </c>
      <c r="T64" s="305" t="e">
        <f>ROUNDUP((S64-R64)/$M$4,0)</f>
        <v>#REF!</v>
      </c>
      <c r="U64" s="307"/>
      <c r="V64" s="324" t="e">
        <f>VLOOKUP($B64,#REF!,22,0)</f>
        <v>#REF!</v>
      </c>
      <c r="W64" s="324" t="e">
        <f>VLOOKUP($B64,#REF!,23,0)</f>
        <v>#REF!</v>
      </c>
      <c r="X64" s="324" t="e">
        <f>VLOOKUP($B64,#REF!,24,0)</f>
        <v>#REF!</v>
      </c>
      <c r="Y64" s="324" t="e">
        <f>VLOOKUP($B64,#REF!,25,0)</f>
        <v>#REF!</v>
      </c>
      <c r="Z64" s="324" t="e">
        <f>VLOOKUP($B64,#REF!,26,0)</f>
        <v>#REF!</v>
      </c>
      <c r="AA64" s="304" t="e">
        <f>SUM(V64:V64)</f>
        <v>#REF!</v>
      </c>
      <c r="AB64" s="305" t="e">
        <f>'Qty &amp; UMH GUM'!X64</f>
        <v>#REF!</v>
      </c>
      <c r="AC64" s="304" t="e">
        <f>ROUNDUP((AB64-AA64)/$V$4,0)</f>
        <v>#REF!</v>
      </c>
      <c r="AD64" s="307"/>
      <c r="AE64" s="324" t="e">
        <f>VLOOKUP($B64,#REF!,28,0)</f>
        <v>#REF!</v>
      </c>
      <c r="AF64" s="324" t="e">
        <f>VLOOKUP($B64,#REF!,29,0)</f>
        <v>#REF!</v>
      </c>
      <c r="AG64" s="324" t="e">
        <f>VLOOKUP($B64,#REF!,30,0)</f>
        <v>#REF!</v>
      </c>
      <c r="AH64" s="324" t="e">
        <f>VLOOKUP($B64,#REF!,31,0)</f>
        <v>#REF!</v>
      </c>
      <c r="AI64" s="324" t="e">
        <f>VLOOKUP($B64,#REF!,32,0)</f>
        <v>#REF!</v>
      </c>
      <c r="AJ64" s="304" t="e">
        <f>SUM(AE64:AE64)</f>
        <v>#REF!</v>
      </c>
      <c r="AK64" s="305" t="e">
        <f>'Qty &amp; UMH GUM'!AA64</f>
        <v>#REF!</v>
      </c>
      <c r="AL64" s="304" t="e">
        <f>ROUNDUP((AK64-AJ64)/$AE$4,0)</f>
        <v>#REF!</v>
      </c>
      <c r="AM64" s="309"/>
      <c r="AN64" s="308" t="e">
        <f>VLOOKUP($B64,#REF!,34,0)</f>
        <v>#REF!</v>
      </c>
      <c r="AO64" s="304" t="e">
        <f>VLOOKUP($B64,#REF!,35,0)</f>
        <v>#REF!</v>
      </c>
      <c r="AP64" s="304" t="e">
        <f>VLOOKUP($B64,#REF!,36,0)</f>
        <v>#REF!</v>
      </c>
      <c r="AQ64" s="304" t="e">
        <f>VLOOKUP($B64,#REF!,37,0)</f>
        <v>#REF!</v>
      </c>
      <c r="AR64" s="304"/>
      <c r="AS64" s="304" t="e">
        <f>SUM(AN64:AN64)</f>
        <v>#REF!</v>
      </c>
      <c r="AT64" s="305" t="e">
        <f>'Qty &amp; UMH GUM'!AD64</f>
        <v>#REF!</v>
      </c>
      <c r="AU64" s="304" t="e">
        <f>ROUNDUP((AT64-AS64)/$AN$4,0)</f>
        <v>#REF!</v>
      </c>
      <c r="AV64" s="311"/>
    </row>
    <row r="65" spans="1:49" customHeight="1" ht="18.75">
      <c r="A65" s="537"/>
      <c r="B65" s="332" t="str">
        <f>'Qty &amp; UMH GUM'!C65</f>
        <v>82111-4DV90</v>
      </c>
      <c r="C65" s="303" t="str">
        <f>+'Qty &amp; UMH GUM'!B65</f>
        <v>GAS-LHD</v>
      </c>
      <c r="D65" s="324" t="e">
        <f>VLOOKUP($B65,#REF!,10,0)</f>
        <v>#REF!</v>
      </c>
      <c r="E65" s="324" t="e">
        <f>VLOOKUP($B65,#REF!,11,0)</f>
        <v>#REF!</v>
      </c>
      <c r="F65" s="324" t="e">
        <f>VLOOKUP($B65,#REF!,12,0)</f>
        <v>#REF!</v>
      </c>
      <c r="G65" s="324" t="e">
        <f>VLOOKUP($B65,#REF!,13,0)</f>
        <v>#REF!</v>
      </c>
      <c r="H65" s="324" t="e">
        <f>VLOOKUP($B65,#REF!,14,0)</f>
        <v>#REF!</v>
      </c>
      <c r="I65" s="304" t="e">
        <f>SUM(D65:D65)</f>
        <v>#REF!</v>
      </c>
      <c r="J65" s="305" t="e">
        <f>'Qty &amp; UMH GUM'!R65</f>
        <v>#REF!</v>
      </c>
      <c r="K65" s="305" t="e">
        <f>ROUNDUP((J65-I65)/$D$4,0)</f>
        <v>#REF!</v>
      </c>
      <c r="L65" s="306"/>
      <c r="M65" s="324" t="e">
        <f>VLOOKUP($B65,#REF!,16,0)</f>
        <v>#REF!</v>
      </c>
      <c r="N65" s="324" t="e">
        <f>VLOOKUP($B65,#REF!,17,0)</f>
        <v>#REF!</v>
      </c>
      <c r="O65" s="324" t="e">
        <f>VLOOKUP($B65,#REF!,18,0)</f>
        <v>#REF!</v>
      </c>
      <c r="P65" s="324" t="e">
        <f>VLOOKUP($B65,#REF!,19,0)</f>
        <v>#REF!</v>
      </c>
      <c r="Q65" s="324" t="e">
        <f>VLOOKUP($B65,#REF!,20,0)</f>
        <v>#REF!</v>
      </c>
      <c r="R65" s="304" t="e">
        <f>SUM(M65:M65)</f>
        <v>#REF!</v>
      </c>
      <c r="S65" s="305" t="e">
        <f>'Qty &amp; UMH GUM'!U65</f>
        <v>#REF!</v>
      </c>
      <c r="T65" s="305" t="e">
        <f>ROUNDUP((S65-R65)/$M$4,0)</f>
        <v>#REF!</v>
      </c>
      <c r="U65" s="307"/>
      <c r="V65" s="324" t="e">
        <f>VLOOKUP($B65,#REF!,22,0)</f>
        <v>#REF!</v>
      </c>
      <c r="W65" s="324" t="e">
        <f>VLOOKUP($B65,#REF!,23,0)</f>
        <v>#REF!</v>
      </c>
      <c r="X65" s="324" t="e">
        <f>VLOOKUP($B65,#REF!,24,0)</f>
        <v>#REF!</v>
      </c>
      <c r="Y65" s="324" t="e">
        <f>VLOOKUP($B65,#REF!,25,0)</f>
        <v>#REF!</v>
      </c>
      <c r="Z65" s="324" t="e">
        <f>VLOOKUP($B65,#REF!,26,0)</f>
        <v>#REF!</v>
      </c>
      <c r="AA65" s="304" t="e">
        <f>SUM(V65:V65)</f>
        <v>#REF!</v>
      </c>
      <c r="AB65" s="305" t="e">
        <f>'Qty &amp; UMH GUM'!X65</f>
        <v>#REF!</v>
      </c>
      <c r="AC65" s="304" t="e">
        <f>ROUNDUP((AB65-AA65)/$V$4,0)</f>
        <v>#REF!</v>
      </c>
      <c r="AD65" s="307"/>
      <c r="AE65" s="324" t="e">
        <f>VLOOKUP($B65,#REF!,28,0)</f>
        <v>#REF!</v>
      </c>
      <c r="AF65" s="324" t="e">
        <f>VLOOKUP($B65,#REF!,29,0)</f>
        <v>#REF!</v>
      </c>
      <c r="AG65" s="324" t="e">
        <f>VLOOKUP($B65,#REF!,30,0)</f>
        <v>#REF!</v>
      </c>
      <c r="AH65" s="324" t="e">
        <f>VLOOKUP($B65,#REF!,31,0)</f>
        <v>#REF!</v>
      </c>
      <c r="AI65" s="324" t="e">
        <f>VLOOKUP($B65,#REF!,32,0)</f>
        <v>#REF!</v>
      </c>
      <c r="AJ65" s="304" t="e">
        <f>SUM(AE65:AE65)</f>
        <v>#REF!</v>
      </c>
      <c r="AK65" s="305" t="e">
        <f>'Qty &amp; UMH GUM'!AA65</f>
        <v>#REF!</v>
      </c>
      <c r="AL65" s="304" t="e">
        <f>ROUNDUP((AK65-AJ65)/$AE$4,0)</f>
        <v>#REF!</v>
      </c>
      <c r="AM65" s="309"/>
      <c r="AN65" s="308" t="e">
        <f>VLOOKUP($B65,#REF!,34,0)</f>
        <v>#REF!</v>
      </c>
      <c r="AO65" s="304" t="e">
        <f>VLOOKUP($B65,#REF!,35,0)</f>
        <v>#REF!</v>
      </c>
      <c r="AP65" s="304" t="e">
        <f>VLOOKUP($B65,#REF!,36,0)</f>
        <v>#REF!</v>
      </c>
      <c r="AQ65" s="304" t="e">
        <f>VLOOKUP($B65,#REF!,37,0)</f>
        <v>#REF!</v>
      </c>
      <c r="AR65" s="304"/>
      <c r="AS65" s="304" t="e">
        <f>SUM(AN65:AN65)</f>
        <v>#REF!</v>
      </c>
      <c r="AT65" s="305" t="e">
        <f>'Qty &amp; UMH GUM'!AD65</f>
        <v>#REF!</v>
      </c>
      <c r="AU65" s="304" t="e">
        <f>ROUNDUP((AT65-AS65)/$AN$4,0)</f>
        <v>#REF!</v>
      </c>
      <c r="AV65" s="311"/>
    </row>
    <row r="66" spans="1:49" customHeight="1" ht="18.75">
      <c r="A66" s="537"/>
      <c r="B66" s="332" t="str">
        <f>'Qty &amp; UMH GUM'!C66</f>
        <v>82111-4DW00</v>
      </c>
      <c r="C66" s="303" t="str">
        <f>+'Qty &amp; UMH GUM'!B66</f>
        <v>HEV-LHD</v>
      </c>
      <c r="D66" s="324" t="e">
        <f>VLOOKUP($B66,#REF!,10,0)</f>
        <v>#REF!</v>
      </c>
      <c r="E66" s="324" t="e">
        <f>VLOOKUP($B66,#REF!,11,0)</f>
        <v>#REF!</v>
      </c>
      <c r="F66" s="324" t="e">
        <f>VLOOKUP($B66,#REF!,12,0)</f>
        <v>#REF!</v>
      </c>
      <c r="G66" s="324" t="e">
        <f>VLOOKUP($B66,#REF!,13,0)</f>
        <v>#REF!</v>
      </c>
      <c r="H66" s="324" t="e">
        <f>VLOOKUP($B66,#REF!,14,0)</f>
        <v>#REF!</v>
      </c>
      <c r="I66" s="304" t="e">
        <f>SUM(D66:D66)</f>
        <v>#REF!</v>
      </c>
      <c r="J66" s="305" t="e">
        <f>'Qty &amp; UMH GUM'!R66</f>
        <v>#REF!</v>
      </c>
      <c r="K66" s="305" t="e">
        <f>ROUNDUP((J66-I66)/$D$4,0)</f>
        <v>#REF!</v>
      </c>
      <c r="L66" s="306"/>
      <c r="M66" s="324" t="e">
        <f>VLOOKUP($B66,#REF!,16,0)</f>
        <v>#REF!</v>
      </c>
      <c r="N66" s="324" t="e">
        <f>VLOOKUP($B66,#REF!,17,0)</f>
        <v>#REF!</v>
      </c>
      <c r="O66" s="324" t="e">
        <f>VLOOKUP($B66,#REF!,18,0)</f>
        <v>#REF!</v>
      </c>
      <c r="P66" s="324" t="e">
        <f>VLOOKUP($B66,#REF!,19,0)</f>
        <v>#REF!</v>
      </c>
      <c r="Q66" s="324" t="e">
        <f>VLOOKUP($B66,#REF!,20,0)</f>
        <v>#REF!</v>
      </c>
      <c r="R66" s="304" t="e">
        <f>SUM(M66:M66)</f>
        <v>#REF!</v>
      </c>
      <c r="S66" s="305" t="e">
        <f>'Qty &amp; UMH GUM'!U66</f>
        <v>#REF!</v>
      </c>
      <c r="T66" s="305" t="e">
        <f>ROUNDUP((S66-R66)/$M$4,0)</f>
        <v>#REF!</v>
      </c>
      <c r="U66" s="307"/>
      <c r="V66" s="324" t="e">
        <f>VLOOKUP($B66,#REF!,22,0)</f>
        <v>#REF!</v>
      </c>
      <c r="W66" s="324" t="e">
        <f>VLOOKUP($B66,#REF!,23,0)</f>
        <v>#REF!</v>
      </c>
      <c r="X66" s="324" t="e">
        <f>VLOOKUP($B66,#REF!,24,0)</f>
        <v>#REF!</v>
      </c>
      <c r="Y66" s="324" t="e">
        <f>VLOOKUP($B66,#REF!,25,0)</f>
        <v>#REF!</v>
      </c>
      <c r="Z66" s="324" t="e">
        <f>VLOOKUP($B66,#REF!,26,0)</f>
        <v>#REF!</v>
      </c>
      <c r="AA66" s="304" t="e">
        <f>SUM(V66:V66)</f>
        <v>#REF!</v>
      </c>
      <c r="AB66" s="305" t="e">
        <f>'Qty &amp; UMH GUM'!X66</f>
        <v>#REF!</v>
      </c>
      <c r="AC66" s="304" t="e">
        <f>ROUNDUP((AB66-AA66)/$V$4,0)</f>
        <v>#REF!</v>
      </c>
      <c r="AD66" s="307"/>
      <c r="AE66" s="324" t="e">
        <f>VLOOKUP($B66,#REF!,28,0)</f>
        <v>#REF!</v>
      </c>
      <c r="AF66" s="324" t="e">
        <f>VLOOKUP($B66,#REF!,29,0)</f>
        <v>#REF!</v>
      </c>
      <c r="AG66" s="324" t="e">
        <f>VLOOKUP($B66,#REF!,30,0)</f>
        <v>#REF!</v>
      </c>
      <c r="AH66" s="324" t="e">
        <f>VLOOKUP($B66,#REF!,31,0)</f>
        <v>#REF!</v>
      </c>
      <c r="AI66" s="324" t="e">
        <f>VLOOKUP($B66,#REF!,32,0)</f>
        <v>#REF!</v>
      </c>
      <c r="AJ66" s="304" t="e">
        <f>SUM(AE66:AE66)</f>
        <v>#REF!</v>
      </c>
      <c r="AK66" s="305" t="e">
        <f>'Qty &amp; UMH GUM'!AA66</f>
        <v>#REF!</v>
      </c>
      <c r="AL66" s="304" t="e">
        <f>ROUNDUP((AK66-AJ66)/$AE$4,0)</f>
        <v>#REF!</v>
      </c>
      <c r="AM66" s="309"/>
      <c r="AN66" s="308" t="e">
        <f>VLOOKUP($B66,#REF!,34,0)</f>
        <v>#REF!</v>
      </c>
      <c r="AO66" s="304" t="e">
        <f>VLOOKUP($B66,#REF!,35,0)</f>
        <v>#REF!</v>
      </c>
      <c r="AP66" s="304" t="e">
        <f>VLOOKUP($B66,#REF!,36,0)</f>
        <v>#REF!</v>
      </c>
      <c r="AQ66" s="304" t="e">
        <f>VLOOKUP($B66,#REF!,37,0)</f>
        <v>#REF!</v>
      </c>
      <c r="AR66" s="304"/>
      <c r="AS66" s="304" t="e">
        <f>SUM(AN66:AN66)</f>
        <v>#REF!</v>
      </c>
      <c r="AT66" s="305" t="e">
        <f>'Qty &amp; UMH GUM'!AD66</f>
        <v>#REF!</v>
      </c>
      <c r="AU66" s="304" t="e">
        <f>ROUNDUP((AT66-AS66)/$AN$4,0)</f>
        <v>#REF!</v>
      </c>
      <c r="AV66" s="311"/>
    </row>
    <row r="67" spans="1:49" customHeight="1" ht="18.75">
      <c r="A67" s="537"/>
      <c r="B67" s="332" t="str">
        <f>'Qty &amp; UMH GUM'!C67</f>
        <v>82111-4DW10</v>
      </c>
      <c r="C67" s="303" t="str">
        <f>+'Qty &amp; UMH GUM'!B67</f>
        <v>HEV-LHD</v>
      </c>
      <c r="D67" s="324" t="e">
        <f>VLOOKUP($B67,#REF!,10,0)</f>
        <v>#REF!</v>
      </c>
      <c r="E67" s="324" t="e">
        <f>VLOOKUP($B67,#REF!,11,0)</f>
        <v>#REF!</v>
      </c>
      <c r="F67" s="324" t="e">
        <f>VLOOKUP($B67,#REF!,12,0)</f>
        <v>#REF!</v>
      </c>
      <c r="G67" s="324" t="e">
        <f>VLOOKUP($B67,#REF!,13,0)</f>
        <v>#REF!</v>
      </c>
      <c r="H67" s="324" t="e">
        <f>VLOOKUP($B67,#REF!,14,0)</f>
        <v>#REF!</v>
      </c>
      <c r="I67" s="304" t="e">
        <f>SUM(D67:D67)</f>
        <v>#REF!</v>
      </c>
      <c r="J67" s="305" t="e">
        <f>'Qty &amp; UMH GUM'!R67</f>
        <v>#REF!</v>
      </c>
      <c r="K67" s="305" t="e">
        <f>ROUNDUP((J67-I67)/$D$4,0)</f>
        <v>#REF!</v>
      </c>
      <c r="L67" s="306"/>
      <c r="M67" s="324" t="e">
        <f>VLOOKUP($B67,#REF!,16,0)</f>
        <v>#REF!</v>
      </c>
      <c r="N67" s="324" t="e">
        <f>VLOOKUP($B67,#REF!,17,0)</f>
        <v>#REF!</v>
      </c>
      <c r="O67" s="324" t="e">
        <f>VLOOKUP($B67,#REF!,18,0)</f>
        <v>#REF!</v>
      </c>
      <c r="P67" s="324" t="e">
        <f>VLOOKUP($B67,#REF!,19,0)</f>
        <v>#REF!</v>
      </c>
      <c r="Q67" s="324" t="e">
        <f>VLOOKUP($B67,#REF!,20,0)</f>
        <v>#REF!</v>
      </c>
      <c r="R67" s="304" t="e">
        <f>SUM(M67:M67)</f>
        <v>#REF!</v>
      </c>
      <c r="S67" s="305" t="e">
        <f>'Qty &amp; UMH GUM'!U67</f>
        <v>#REF!</v>
      </c>
      <c r="T67" s="305" t="e">
        <f>ROUNDUP((S67-R67)/$M$4,0)</f>
        <v>#REF!</v>
      </c>
      <c r="U67" s="307"/>
      <c r="V67" s="324" t="e">
        <f>VLOOKUP($B67,#REF!,22,0)</f>
        <v>#REF!</v>
      </c>
      <c r="W67" s="324" t="e">
        <f>VLOOKUP($B67,#REF!,23,0)</f>
        <v>#REF!</v>
      </c>
      <c r="X67" s="324" t="e">
        <f>VLOOKUP($B67,#REF!,24,0)</f>
        <v>#REF!</v>
      </c>
      <c r="Y67" s="324" t="e">
        <f>VLOOKUP($B67,#REF!,25,0)</f>
        <v>#REF!</v>
      </c>
      <c r="Z67" s="324" t="e">
        <f>VLOOKUP($B67,#REF!,26,0)</f>
        <v>#REF!</v>
      </c>
      <c r="AA67" s="304" t="e">
        <f>SUM(V67:V67)</f>
        <v>#REF!</v>
      </c>
      <c r="AB67" s="305" t="e">
        <f>'Qty &amp; UMH GUM'!X67</f>
        <v>#REF!</v>
      </c>
      <c r="AC67" s="304" t="e">
        <f>ROUNDUP((AB67-AA67)/$V$4,0)</f>
        <v>#REF!</v>
      </c>
      <c r="AD67" s="307"/>
      <c r="AE67" s="324" t="e">
        <f>VLOOKUP($B67,#REF!,28,0)</f>
        <v>#REF!</v>
      </c>
      <c r="AF67" s="324" t="e">
        <f>VLOOKUP($B67,#REF!,29,0)</f>
        <v>#REF!</v>
      </c>
      <c r="AG67" s="324" t="e">
        <f>VLOOKUP($B67,#REF!,30,0)</f>
        <v>#REF!</v>
      </c>
      <c r="AH67" s="324" t="e">
        <f>VLOOKUP($B67,#REF!,31,0)</f>
        <v>#REF!</v>
      </c>
      <c r="AI67" s="324" t="e">
        <f>VLOOKUP($B67,#REF!,32,0)</f>
        <v>#REF!</v>
      </c>
      <c r="AJ67" s="304" t="e">
        <f>SUM(AE67:AE67)</f>
        <v>#REF!</v>
      </c>
      <c r="AK67" s="305" t="e">
        <f>'Qty &amp; UMH GUM'!AA67</f>
        <v>#REF!</v>
      </c>
      <c r="AL67" s="304" t="e">
        <f>ROUNDUP((AK67-AJ67)/$AE$4,0)</f>
        <v>#REF!</v>
      </c>
      <c r="AM67" s="309"/>
      <c r="AN67" s="308" t="e">
        <f>VLOOKUP($B67,#REF!,34,0)</f>
        <v>#REF!</v>
      </c>
      <c r="AO67" s="304" t="e">
        <f>VLOOKUP($B67,#REF!,35,0)</f>
        <v>#REF!</v>
      </c>
      <c r="AP67" s="304" t="e">
        <f>VLOOKUP($B67,#REF!,36,0)</f>
        <v>#REF!</v>
      </c>
      <c r="AQ67" s="304" t="e">
        <f>VLOOKUP($B67,#REF!,37,0)</f>
        <v>#REF!</v>
      </c>
      <c r="AR67" s="304"/>
      <c r="AS67" s="304" t="e">
        <f>SUM(AN67:AN67)</f>
        <v>#REF!</v>
      </c>
      <c r="AT67" s="305" t="e">
        <f>'Qty &amp; UMH GUM'!AD67</f>
        <v>#REF!</v>
      </c>
      <c r="AU67" s="304" t="e">
        <f>ROUNDUP((AT67-AS67)/$AN$4,0)</f>
        <v>#REF!</v>
      </c>
      <c r="AV67" s="311"/>
    </row>
    <row r="68" spans="1:49" customHeight="1" ht="18.75">
      <c r="A68" s="537"/>
      <c r="B68" s="332" t="str">
        <f>'Qty &amp; UMH GUM'!C68</f>
        <v>82111-4DW20</v>
      </c>
      <c r="C68" s="303" t="str">
        <f>+'Qty &amp; UMH GUM'!B68</f>
        <v>GAS-LHD</v>
      </c>
      <c r="D68" s="324" t="e">
        <f>VLOOKUP($B68,#REF!,10,0)</f>
        <v>#REF!</v>
      </c>
      <c r="E68" s="324" t="e">
        <f>VLOOKUP($B68,#REF!,11,0)</f>
        <v>#REF!</v>
      </c>
      <c r="F68" s="324" t="e">
        <f>VLOOKUP($B68,#REF!,12,0)</f>
        <v>#REF!</v>
      </c>
      <c r="G68" s="324" t="e">
        <f>VLOOKUP($B68,#REF!,13,0)</f>
        <v>#REF!</v>
      </c>
      <c r="H68" s="324" t="e">
        <f>VLOOKUP($B68,#REF!,14,0)</f>
        <v>#REF!</v>
      </c>
      <c r="I68" s="304" t="e">
        <f>SUM(D68:D68)</f>
        <v>#REF!</v>
      </c>
      <c r="J68" s="305" t="e">
        <f>'Qty &amp; UMH GUM'!R68</f>
        <v>#REF!</v>
      </c>
      <c r="K68" s="305" t="e">
        <f>ROUNDUP((J68-I68)/$D$4,0)</f>
        <v>#REF!</v>
      </c>
      <c r="L68" s="306"/>
      <c r="M68" s="324" t="e">
        <f>VLOOKUP($B68,#REF!,16,0)</f>
        <v>#REF!</v>
      </c>
      <c r="N68" s="324" t="e">
        <f>VLOOKUP($B68,#REF!,17,0)</f>
        <v>#REF!</v>
      </c>
      <c r="O68" s="324" t="e">
        <f>VLOOKUP($B68,#REF!,18,0)</f>
        <v>#REF!</v>
      </c>
      <c r="P68" s="324" t="e">
        <f>VLOOKUP($B68,#REF!,19,0)</f>
        <v>#REF!</v>
      </c>
      <c r="Q68" s="324" t="e">
        <f>VLOOKUP($B68,#REF!,20,0)</f>
        <v>#REF!</v>
      </c>
      <c r="R68" s="304" t="e">
        <f>SUM(M68:M68)</f>
        <v>#REF!</v>
      </c>
      <c r="S68" s="305" t="e">
        <f>'Qty &amp; UMH GUM'!U68</f>
        <v>#REF!</v>
      </c>
      <c r="T68" s="305" t="e">
        <f>ROUNDUP((S68-R68)/$M$4,0)</f>
        <v>#REF!</v>
      </c>
      <c r="U68" s="307"/>
      <c r="V68" s="324" t="e">
        <f>VLOOKUP($B68,#REF!,22,0)</f>
        <v>#REF!</v>
      </c>
      <c r="W68" s="324" t="e">
        <f>VLOOKUP($B68,#REF!,23,0)</f>
        <v>#REF!</v>
      </c>
      <c r="X68" s="324" t="e">
        <f>VLOOKUP($B68,#REF!,24,0)</f>
        <v>#REF!</v>
      </c>
      <c r="Y68" s="324" t="e">
        <f>VLOOKUP($B68,#REF!,25,0)</f>
        <v>#REF!</v>
      </c>
      <c r="Z68" s="324" t="e">
        <f>VLOOKUP($B68,#REF!,26,0)</f>
        <v>#REF!</v>
      </c>
      <c r="AA68" s="304" t="e">
        <f>SUM(V68:V68)</f>
        <v>#REF!</v>
      </c>
      <c r="AB68" s="305" t="e">
        <f>'Qty &amp; UMH GUM'!X68</f>
        <v>#REF!</v>
      </c>
      <c r="AC68" s="304" t="e">
        <f>ROUNDUP((AB68-AA68)/$V$4,0)</f>
        <v>#REF!</v>
      </c>
      <c r="AD68" s="307"/>
      <c r="AE68" s="324" t="e">
        <f>VLOOKUP($B68,#REF!,28,0)</f>
        <v>#REF!</v>
      </c>
      <c r="AF68" s="324" t="e">
        <f>VLOOKUP($B68,#REF!,29,0)</f>
        <v>#REF!</v>
      </c>
      <c r="AG68" s="324" t="e">
        <f>VLOOKUP($B68,#REF!,30,0)</f>
        <v>#REF!</v>
      </c>
      <c r="AH68" s="324" t="e">
        <f>VLOOKUP($B68,#REF!,31,0)</f>
        <v>#REF!</v>
      </c>
      <c r="AI68" s="324" t="e">
        <f>VLOOKUP($B68,#REF!,32,0)</f>
        <v>#REF!</v>
      </c>
      <c r="AJ68" s="304" t="e">
        <f>SUM(AE68:AE68)</f>
        <v>#REF!</v>
      </c>
      <c r="AK68" s="305" t="e">
        <f>'Qty &amp; UMH GUM'!AA68</f>
        <v>#REF!</v>
      </c>
      <c r="AL68" s="304" t="e">
        <f>ROUNDUP((AK68-AJ68)/$AE$4,0)</f>
        <v>#REF!</v>
      </c>
      <c r="AM68" s="309"/>
      <c r="AN68" s="308" t="e">
        <f>VLOOKUP($B68,#REF!,34,0)</f>
        <v>#REF!</v>
      </c>
      <c r="AO68" s="304" t="e">
        <f>VLOOKUP($B68,#REF!,35,0)</f>
        <v>#REF!</v>
      </c>
      <c r="AP68" s="304" t="e">
        <f>VLOOKUP($B68,#REF!,36,0)</f>
        <v>#REF!</v>
      </c>
      <c r="AQ68" s="304" t="e">
        <f>VLOOKUP($B68,#REF!,37,0)</f>
        <v>#REF!</v>
      </c>
      <c r="AR68" s="304"/>
      <c r="AS68" s="304" t="e">
        <f>SUM(AN68:AN68)</f>
        <v>#REF!</v>
      </c>
      <c r="AT68" s="305" t="e">
        <f>'Qty &amp; UMH GUM'!AD68</f>
        <v>#REF!</v>
      </c>
      <c r="AU68" s="304" t="e">
        <f>ROUNDUP((AT68-AS68)/$AN$4,0)</f>
        <v>#REF!</v>
      </c>
      <c r="AV68" s="311"/>
    </row>
    <row r="69" spans="1:49" customHeight="1" ht="18.75">
      <c r="A69" s="537"/>
      <c r="B69" s="332" t="str">
        <f>'Qty &amp; UMH GUM'!C69</f>
        <v>82111-4DW30</v>
      </c>
      <c r="C69" s="303" t="str">
        <f>+'Qty &amp; UMH GUM'!B69</f>
        <v>HEV-LHD</v>
      </c>
      <c r="D69" s="324" t="e">
        <f>VLOOKUP($B69,#REF!,10,0)</f>
        <v>#REF!</v>
      </c>
      <c r="E69" s="324" t="e">
        <f>VLOOKUP($B69,#REF!,11,0)</f>
        <v>#REF!</v>
      </c>
      <c r="F69" s="324" t="e">
        <f>VLOOKUP($B69,#REF!,12,0)</f>
        <v>#REF!</v>
      </c>
      <c r="G69" s="324" t="e">
        <f>VLOOKUP($B69,#REF!,13,0)</f>
        <v>#REF!</v>
      </c>
      <c r="H69" s="324" t="e">
        <f>VLOOKUP($B69,#REF!,14,0)</f>
        <v>#REF!</v>
      </c>
      <c r="I69" s="304" t="e">
        <f>SUM(D69:D69)</f>
        <v>#REF!</v>
      </c>
      <c r="J69" s="305" t="e">
        <f>'Qty &amp; UMH GUM'!R69</f>
        <v>#REF!</v>
      </c>
      <c r="K69" s="305" t="e">
        <f>ROUNDUP((J69-I69)/$D$4,0)</f>
        <v>#REF!</v>
      </c>
      <c r="L69" s="306"/>
      <c r="M69" s="324" t="e">
        <f>VLOOKUP($B69,#REF!,16,0)</f>
        <v>#REF!</v>
      </c>
      <c r="N69" s="324" t="e">
        <f>VLOOKUP($B69,#REF!,17,0)</f>
        <v>#REF!</v>
      </c>
      <c r="O69" s="324" t="e">
        <f>VLOOKUP($B69,#REF!,18,0)</f>
        <v>#REF!</v>
      </c>
      <c r="P69" s="324" t="e">
        <f>VLOOKUP($B69,#REF!,19,0)</f>
        <v>#REF!</v>
      </c>
      <c r="Q69" s="324" t="e">
        <f>VLOOKUP($B69,#REF!,20,0)</f>
        <v>#REF!</v>
      </c>
      <c r="R69" s="304" t="e">
        <f>SUM(M69:M69)</f>
        <v>#REF!</v>
      </c>
      <c r="S69" s="305" t="e">
        <f>'Qty &amp; UMH GUM'!U69</f>
        <v>#REF!</v>
      </c>
      <c r="T69" s="305" t="e">
        <f>ROUNDUP((S69-R69)/$M$4,0)</f>
        <v>#REF!</v>
      </c>
      <c r="U69" s="307"/>
      <c r="V69" s="324" t="e">
        <f>VLOOKUP($B69,#REF!,22,0)</f>
        <v>#REF!</v>
      </c>
      <c r="W69" s="324" t="e">
        <f>VLOOKUP($B69,#REF!,23,0)</f>
        <v>#REF!</v>
      </c>
      <c r="X69" s="324" t="e">
        <f>VLOOKUP($B69,#REF!,24,0)</f>
        <v>#REF!</v>
      </c>
      <c r="Y69" s="324" t="e">
        <f>VLOOKUP($B69,#REF!,25,0)</f>
        <v>#REF!</v>
      </c>
      <c r="Z69" s="324" t="e">
        <f>VLOOKUP($B69,#REF!,26,0)</f>
        <v>#REF!</v>
      </c>
      <c r="AA69" s="304" t="e">
        <f>SUM(V69:V69)</f>
        <v>#REF!</v>
      </c>
      <c r="AB69" s="305" t="e">
        <f>'Qty &amp; UMH GUM'!X69</f>
        <v>#REF!</v>
      </c>
      <c r="AC69" s="304" t="e">
        <f>ROUNDUP((AB69-AA69)/$V$4,0)</f>
        <v>#REF!</v>
      </c>
      <c r="AD69" s="307"/>
      <c r="AE69" s="324" t="e">
        <f>VLOOKUP($B69,#REF!,28,0)</f>
        <v>#REF!</v>
      </c>
      <c r="AF69" s="324" t="e">
        <f>VLOOKUP($B69,#REF!,29,0)</f>
        <v>#REF!</v>
      </c>
      <c r="AG69" s="324" t="e">
        <f>VLOOKUP($B69,#REF!,30,0)</f>
        <v>#REF!</v>
      </c>
      <c r="AH69" s="324" t="e">
        <f>VLOOKUP($B69,#REF!,31,0)</f>
        <v>#REF!</v>
      </c>
      <c r="AI69" s="324" t="e">
        <f>VLOOKUP($B69,#REF!,32,0)</f>
        <v>#REF!</v>
      </c>
      <c r="AJ69" s="304" t="e">
        <f>SUM(AE69:AE69)</f>
        <v>#REF!</v>
      </c>
      <c r="AK69" s="305" t="e">
        <f>'Qty &amp; UMH GUM'!AA69</f>
        <v>#REF!</v>
      </c>
      <c r="AL69" s="304" t="e">
        <f>ROUNDUP((AK69-AJ69)/$AE$4,0)</f>
        <v>#REF!</v>
      </c>
      <c r="AM69" s="309"/>
      <c r="AN69" s="308" t="e">
        <f>VLOOKUP($B69,#REF!,34,0)</f>
        <v>#REF!</v>
      </c>
      <c r="AO69" s="304" t="e">
        <f>VLOOKUP($B69,#REF!,35,0)</f>
        <v>#REF!</v>
      </c>
      <c r="AP69" s="304" t="e">
        <f>VLOOKUP($B69,#REF!,36,0)</f>
        <v>#REF!</v>
      </c>
      <c r="AQ69" s="304" t="e">
        <f>VLOOKUP($B69,#REF!,37,0)</f>
        <v>#REF!</v>
      </c>
      <c r="AR69" s="304"/>
      <c r="AS69" s="304" t="e">
        <f>SUM(AN69:AN69)</f>
        <v>#REF!</v>
      </c>
      <c r="AT69" s="305" t="e">
        <f>'Qty &amp; UMH GUM'!AD69</f>
        <v>#REF!</v>
      </c>
      <c r="AU69" s="304" t="e">
        <f>ROUNDUP((AT69-AS69)/$AN$4,0)</f>
        <v>#REF!</v>
      </c>
      <c r="AV69" s="311"/>
    </row>
    <row r="70" spans="1:49" customHeight="1" ht="18.75">
      <c r="A70" s="537"/>
      <c r="B70" s="332" t="str">
        <f>'Qty &amp; UMH GUM'!C70</f>
        <v>82111-4DW50</v>
      </c>
      <c r="C70" s="303" t="str">
        <f>+'Qty &amp; UMH GUM'!B70</f>
        <v>HEV-LHD</v>
      </c>
      <c r="D70" s="324" t="e">
        <f>VLOOKUP($B70,#REF!,10,0)</f>
        <v>#REF!</v>
      </c>
      <c r="E70" s="324" t="e">
        <f>VLOOKUP($B70,#REF!,11,0)</f>
        <v>#REF!</v>
      </c>
      <c r="F70" s="324" t="e">
        <f>VLOOKUP($B70,#REF!,12,0)</f>
        <v>#REF!</v>
      </c>
      <c r="G70" s="324" t="e">
        <f>VLOOKUP($B70,#REF!,13,0)</f>
        <v>#REF!</v>
      </c>
      <c r="H70" s="324" t="e">
        <f>VLOOKUP($B70,#REF!,14,0)</f>
        <v>#REF!</v>
      </c>
      <c r="I70" s="304" t="e">
        <f>SUM(D70:D70)</f>
        <v>#REF!</v>
      </c>
      <c r="J70" s="305" t="e">
        <f>'Qty &amp; UMH GUM'!R70</f>
        <v>#REF!</v>
      </c>
      <c r="K70" s="305" t="e">
        <f>ROUNDUP((J70-I70)/$D$4,0)</f>
        <v>#REF!</v>
      </c>
      <c r="L70" s="306"/>
      <c r="M70" s="324" t="e">
        <f>VLOOKUP($B70,#REF!,16,0)</f>
        <v>#REF!</v>
      </c>
      <c r="N70" s="324" t="e">
        <f>VLOOKUP($B70,#REF!,17,0)</f>
        <v>#REF!</v>
      </c>
      <c r="O70" s="324" t="e">
        <f>VLOOKUP($B70,#REF!,18,0)</f>
        <v>#REF!</v>
      </c>
      <c r="P70" s="324" t="e">
        <f>VLOOKUP($B70,#REF!,19,0)</f>
        <v>#REF!</v>
      </c>
      <c r="Q70" s="324" t="e">
        <f>VLOOKUP($B70,#REF!,20,0)</f>
        <v>#REF!</v>
      </c>
      <c r="R70" s="304" t="e">
        <f>SUM(M70:M70)</f>
        <v>#REF!</v>
      </c>
      <c r="S70" s="305" t="e">
        <f>'Qty &amp; UMH GUM'!U70</f>
        <v>#REF!</v>
      </c>
      <c r="T70" s="305" t="e">
        <f>ROUNDUP((S70-R70)/$M$4,0)</f>
        <v>#REF!</v>
      </c>
      <c r="U70" s="307"/>
      <c r="V70" s="324" t="e">
        <f>VLOOKUP($B70,#REF!,22,0)</f>
        <v>#REF!</v>
      </c>
      <c r="W70" s="324" t="e">
        <f>VLOOKUP($B70,#REF!,23,0)</f>
        <v>#REF!</v>
      </c>
      <c r="X70" s="324" t="e">
        <f>VLOOKUP($B70,#REF!,24,0)</f>
        <v>#REF!</v>
      </c>
      <c r="Y70" s="324" t="e">
        <f>VLOOKUP($B70,#REF!,25,0)</f>
        <v>#REF!</v>
      </c>
      <c r="Z70" s="324" t="e">
        <f>VLOOKUP($B70,#REF!,26,0)</f>
        <v>#REF!</v>
      </c>
      <c r="AA70" s="304" t="e">
        <f>SUM(V70:V70)</f>
        <v>#REF!</v>
      </c>
      <c r="AB70" s="305" t="e">
        <f>'Qty &amp; UMH GUM'!X70</f>
        <v>#REF!</v>
      </c>
      <c r="AC70" s="304" t="e">
        <f>ROUNDUP((AB70-AA70)/$V$4,0)</f>
        <v>#REF!</v>
      </c>
      <c r="AD70" s="307"/>
      <c r="AE70" s="324" t="e">
        <f>VLOOKUP($B70,#REF!,28,0)</f>
        <v>#REF!</v>
      </c>
      <c r="AF70" s="324" t="e">
        <f>VLOOKUP($B70,#REF!,29,0)</f>
        <v>#REF!</v>
      </c>
      <c r="AG70" s="324" t="e">
        <f>VLOOKUP($B70,#REF!,30,0)</f>
        <v>#REF!</v>
      </c>
      <c r="AH70" s="324" t="e">
        <f>VLOOKUP($B70,#REF!,31,0)</f>
        <v>#REF!</v>
      </c>
      <c r="AI70" s="324" t="e">
        <f>VLOOKUP($B70,#REF!,32,0)</f>
        <v>#REF!</v>
      </c>
      <c r="AJ70" s="304" t="e">
        <f>SUM(AE70:AE70)</f>
        <v>#REF!</v>
      </c>
      <c r="AK70" s="305" t="e">
        <f>'Qty &amp; UMH GUM'!AA70</f>
        <v>#REF!</v>
      </c>
      <c r="AL70" s="304" t="e">
        <f>ROUNDUP((AK70-AJ70)/$AE$4,0)</f>
        <v>#REF!</v>
      </c>
      <c r="AM70" s="309"/>
      <c r="AN70" s="308" t="e">
        <f>VLOOKUP($B70,#REF!,34,0)</f>
        <v>#REF!</v>
      </c>
      <c r="AO70" s="304" t="e">
        <f>VLOOKUP($B70,#REF!,35,0)</f>
        <v>#REF!</v>
      </c>
      <c r="AP70" s="304" t="e">
        <f>VLOOKUP($B70,#REF!,36,0)</f>
        <v>#REF!</v>
      </c>
      <c r="AQ70" s="304" t="e">
        <f>VLOOKUP($B70,#REF!,37,0)</f>
        <v>#REF!</v>
      </c>
      <c r="AR70" s="304"/>
      <c r="AS70" s="304" t="e">
        <f>SUM(AN70:AN70)</f>
        <v>#REF!</v>
      </c>
      <c r="AT70" s="305" t="e">
        <f>'Qty &amp; UMH GUM'!AD70</f>
        <v>#REF!</v>
      </c>
      <c r="AU70" s="304" t="e">
        <f>ROUNDUP((AT70-AS70)/$AN$4,0)</f>
        <v>#REF!</v>
      </c>
      <c r="AV70" s="311"/>
    </row>
    <row r="71" spans="1:49" customHeight="1" ht="18.75">
      <c r="A71" s="537"/>
      <c r="B71" s="332" t="str">
        <f>'Qty &amp; UMH GUM'!C71</f>
        <v>82111-4DW60</v>
      </c>
      <c r="C71" s="303" t="str">
        <f>+'Qty &amp; UMH GUM'!B71</f>
        <v>HEV-LHD</v>
      </c>
      <c r="D71" s="324" t="e">
        <f>VLOOKUP($B71,#REF!,10,0)</f>
        <v>#REF!</v>
      </c>
      <c r="E71" s="324" t="e">
        <f>VLOOKUP($B71,#REF!,11,0)</f>
        <v>#REF!</v>
      </c>
      <c r="F71" s="324" t="e">
        <f>VLOOKUP($B71,#REF!,12,0)</f>
        <v>#REF!</v>
      </c>
      <c r="G71" s="324" t="e">
        <f>VLOOKUP($B71,#REF!,13,0)</f>
        <v>#REF!</v>
      </c>
      <c r="H71" s="324" t="e">
        <f>VLOOKUP($B71,#REF!,14,0)</f>
        <v>#REF!</v>
      </c>
      <c r="I71" s="304" t="e">
        <f>SUM(D71:D71)</f>
        <v>#REF!</v>
      </c>
      <c r="J71" s="305" t="e">
        <f>'Qty &amp; UMH GUM'!R71</f>
        <v>#REF!</v>
      </c>
      <c r="K71" s="305" t="e">
        <f>ROUNDUP((J71-I71)/$D$4,0)</f>
        <v>#REF!</v>
      </c>
      <c r="L71" s="306"/>
      <c r="M71" s="324" t="e">
        <f>VLOOKUP($B71,#REF!,16,0)</f>
        <v>#REF!</v>
      </c>
      <c r="N71" s="324" t="e">
        <f>VLOOKUP($B71,#REF!,17,0)</f>
        <v>#REF!</v>
      </c>
      <c r="O71" s="324" t="e">
        <f>VLOOKUP($B71,#REF!,18,0)</f>
        <v>#REF!</v>
      </c>
      <c r="P71" s="324" t="e">
        <f>VLOOKUP($B71,#REF!,19,0)</f>
        <v>#REF!</v>
      </c>
      <c r="Q71" s="324" t="e">
        <f>VLOOKUP($B71,#REF!,20,0)</f>
        <v>#REF!</v>
      </c>
      <c r="R71" s="304" t="e">
        <f>SUM(M71:M71)</f>
        <v>#REF!</v>
      </c>
      <c r="S71" s="305" t="e">
        <f>'Qty &amp; UMH GUM'!U71</f>
        <v>#REF!</v>
      </c>
      <c r="T71" s="305" t="e">
        <f>ROUNDUP((S71-R71)/$M$4,0)</f>
        <v>#REF!</v>
      </c>
      <c r="U71" s="307"/>
      <c r="V71" s="324" t="e">
        <f>VLOOKUP($B71,#REF!,22,0)</f>
        <v>#REF!</v>
      </c>
      <c r="W71" s="324" t="e">
        <f>VLOOKUP($B71,#REF!,23,0)</f>
        <v>#REF!</v>
      </c>
      <c r="X71" s="324" t="e">
        <f>VLOOKUP($B71,#REF!,24,0)</f>
        <v>#REF!</v>
      </c>
      <c r="Y71" s="324" t="e">
        <f>VLOOKUP($B71,#REF!,25,0)</f>
        <v>#REF!</v>
      </c>
      <c r="Z71" s="324" t="e">
        <f>VLOOKUP($B71,#REF!,26,0)</f>
        <v>#REF!</v>
      </c>
      <c r="AA71" s="304" t="e">
        <f>SUM(V71:V71)</f>
        <v>#REF!</v>
      </c>
      <c r="AB71" s="305" t="e">
        <f>'Qty &amp; UMH GUM'!X71</f>
        <v>#REF!</v>
      </c>
      <c r="AC71" s="304" t="e">
        <f>ROUNDUP((AB71-AA71)/$V$4,0)</f>
        <v>#REF!</v>
      </c>
      <c r="AD71" s="307"/>
      <c r="AE71" s="324" t="e">
        <f>VLOOKUP($B71,#REF!,28,0)</f>
        <v>#REF!</v>
      </c>
      <c r="AF71" s="324" t="e">
        <f>VLOOKUP($B71,#REF!,29,0)</f>
        <v>#REF!</v>
      </c>
      <c r="AG71" s="324" t="e">
        <f>VLOOKUP($B71,#REF!,30,0)</f>
        <v>#REF!</v>
      </c>
      <c r="AH71" s="324" t="e">
        <f>VLOOKUP($B71,#REF!,31,0)</f>
        <v>#REF!</v>
      </c>
      <c r="AI71" s="324" t="e">
        <f>VLOOKUP($B71,#REF!,32,0)</f>
        <v>#REF!</v>
      </c>
      <c r="AJ71" s="304" t="e">
        <f>SUM(AE71:AE71)</f>
        <v>#REF!</v>
      </c>
      <c r="AK71" s="305" t="e">
        <f>'Qty &amp; UMH GUM'!AA71</f>
        <v>#REF!</v>
      </c>
      <c r="AL71" s="304" t="e">
        <f>ROUNDUP((AK71-AJ71)/$AE$4,0)</f>
        <v>#REF!</v>
      </c>
      <c r="AM71" s="309"/>
      <c r="AN71" s="308" t="e">
        <f>VLOOKUP($B71,#REF!,34,0)</f>
        <v>#REF!</v>
      </c>
      <c r="AO71" s="304" t="e">
        <f>VLOOKUP($B71,#REF!,35,0)</f>
        <v>#REF!</v>
      </c>
      <c r="AP71" s="304" t="e">
        <f>VLOOKUP($B71,#REF!,36,0)</f>
        <v>#REF!</v>
      </c>
      <c r="AQ71" s="304" t="e">
        <f>VLOOKUP($B71,#REF!,37,0)</f>
        <v>#REF!</v>
      </c>
      <c r="AR71" s="304"/>
      <c r="AS71" s="304" t="e">
        <f>SUM(AN71:AN71)</f>
        <v>#REF!</v>
      </c>
      <c r="AT71" s="305" t="e">
        <f>'Qty &amp; UMH GUM'!AD71</f>
        <v>#REF!</v>
      </c>
      <c r="AU71" s="304" t="e">
        <f>ROUNDUP((AT71-AS71)/$AN$4,0)</f>
        <v>#REF!</v>
      </c>
      <c r="AV71" s="311"/>
    </row>
    <row r="72" spans="1:49" customHeight="1" ht="18.75">
      <c r="A72" s="537"/>
      <c r="B72" s="332" t="str">
        <f>'Qty &amp; UMH GUM'!C72</f>
        <v>82111-4DW70</v>
      </c>
      <c r="C72" s="303" t="str">
        <f>+'Qty &amp; UMH GUM'!B72</f>
        <v>HEV-LHD</v>
      </c>
      <c r="D72" s="324" t="e">
        <f>VLOOKUP($B72,#REF!,10,0)</f>
        <v>#REF!</v>
      </c>
      <c r="E72" s="324" t="e">
        <f>VLOOKUP($B72,#REF!,11,0)</f>
        <v>#REF!</v>
      </c>
      <c r="F72" s="324" t="e">
        <f>VLOOKUP($B72,#REF!,12,0)</f>
        <v>#REF!</v>
      </c>
      <c r="G72" s="324" t="e">
        <f>VLOOKUP($B72,#REF!,13,0)</f>
        <v>#REF!</v>
      </c>
      <c r="H72" s="324" t="e">
        <f>VLOOKUP($B72,#REF!,14,0)</f>
        <v>#REF!</v>
      </c>
      <c r="I72" s="304" t="e">
        <f>SUM(D72:D72)</f>
        <v>#REF!</v>
      </c>
      <c r="J72" s="305" t="e">
        <f>'Qty &amp; UMH GUM'!R72</f>
        <v>#REF!</v>
      </c>
      <c r="K72" s="305" t="e">
        <f>ROUNDUP((J72-I72)/$D$4,0)</f>
        <v>#REF!</v>
      </c>
      <c r="L72" s="306"/>
      <c r="M72" s="324" t="e">
        <f>VLOOKUP($B72,#REF!,16,0)</f>
        <v>#REF!</v>
      </c>
      <c r="N72" s="324" t="e">
        <f>VLOOKUP($B72,#REF!,17,0)</f>
        <v>#REF!</v>
      </c>
      <c r="O72" s="324" t="e">
        <f>VLOOKUP($B72,#REF!,18,0)</f>
        <v>#REF!</v>
      </c>
      <c r="P72" s="324" t="e">
        <f>VLOOKUP($B72,#REF!,19,0)</f>
        <v>#REF!</v>
      </c>
      <c r="Q72" s="324" t="e">
        <f>VLOOKUP($B72,#REF!,20,0)</f>
        <v>#REF!</v>
      </c>
      <c r="R72" s="304" t="e">
        <f>SUM(M72:M72)</f>
        <v>#REF!</v>
      </c>
      <c r="S72" s="305" t="e">
        <f>'Qty &amp; UMH GUM'!U72</f>
        <v>#REF!</v>
      </c>
      <c r="T72" s="305" t="e">
        <f>ROUNDUP((S72-R72)/$M$4,0)</f>
        <v>#REF!</v>
      </c>
      <c r="U72" s="307"/>
      <c r="V72" s="324" t="e">
        <f>VLOOKUP($B72,#REF!,22,0)</f>
        <v>#REF!</v>
      </c>
      <c r="W72" s="324" t="e">
        <f>VLOOKUP($B72,#REF!,23,0)</f>
        <v>#REF!</v>
      </c>
      <c r="X72" s="324" t="e">
        <f>VLOOKUP($B72,#REF!,24,0)</f>
        <v>#REF!</v>
      </c>
      <c r="Y72" s="324" t="e">
        <f>VLOOKUP($B72,#REF!,25,0)</f>
        <v>#REF!</v>
      </c>
      <c r="Z72" s="324" t="e">
        <f>VLOOKUP($B72,#REF!,26,0)</f>
        <v>#REF!</v>
      </c>
      <c r="AA72" s="304" t="e">
        <f>SUM(V72:V72)</f>
        <v>#REF!</v>
      </c>
      <c r="AB72" s="305" t="e">
        <f>'Qty &amp; UMH GUM'!X72</f>
        <v>#REF!</v>
      </c>
      <c r="AC72" s="304" t="e">
        <f>ROUNDUP((AB72-AA72)/$V$4,0)</f>
        <v>#REF!</v>
      </c>
      <c r="AD72" s="307"/>
      <c r="AE72" s="324" t="e">
        <f>VLOOKUP($B72,#REF!,28,0)</f>
        <v>#REF!</v>
      </c>
      <c r="AF72" s="324" t="e">
        <f>VLOOKUP($B72,#REF!,29,0)</f>
        <v>#REF!</v>
      </c>
      <c r="AG72" s="324" t="e">
        <f>VLOOKUP($B72,#REF!,30,0)</f>
        <v>#REF!</v>
      </c>
      <c r="AH72" s="324" t="e">
        <f>VLOOKUP($B72,#REF!,31,0)</f>
        <v>#REF!</v>
      </c>
      <c r="AI72" s="324" t="e">
        <f>VLOOKUP($B72,#REF!,32,0)</f>
        <v>#REF!</v>
      </c>
      <c r="AJ72" s="304" t="e">
        <f>SUM(AE72:AE72)</f>
        <v>#REF!</v>
      </c>
      <c r="AK72" s="305" t="e">
        <f>'Qty &amp; UMH GUM'!AA72</f>
        <v>#REF!</v>
      </c>
      <c r="AL72" s="304" t="e">
        <f>ROUNDUP((AK72-AJ72)/$AE$4,0)</f>
        <v>#REF!</v>
      </c>
      <c r="AM72" s="309"/>
      <c r="AN72" s="308" t="e">
        <f>VLOOKUP($B72,#REF!,34,0)</f>
        <v>#REF!</v>
      </c>
      <c r="AO72" s="304" t="e">
        <f>VLOOKUP($B72,#REF!,35,0)</f>
        <v>#REF!</v>
      </c>
      <c r="AP72" s="304" t="e">
        <f>VLOOKUP($B72,#REF!,36,0)</f>
        <v>#REF!</v>
      </c>
      <c r="AQ72" s="304" t="e">
        <f>VLOOKUP($B72,#REF!,37,0)</f>
        <v>#REF!</v>
      </c>
      <c r="AR72" s="304"/>
      <c r="AS72" s="304" t="e">
        <f>SUM(AN72:AN72)</f>
        <v>#REF!</v>
      </c>
      <c r="AT72" s="305" t="e">
        <f>'Qty &amp; UMH GUM'!AD72</f>
        <v>#REF!</v>
      </c>
      <c r="AU72" s="304" t="e">
        <f>ROUNDUP((AT72-AS72)/$AN$4,0)</f>
        <v>#REF!</v>
      </c>
      <c r="AV72" s="311"/>
    </row>
    <row r="73" spans="1:49" customHeight="1" ht="18.75">
      <c r="A73" s="537"/>
      <c r="B73" s="332" t="str">
        <f>'Qty &amp; UMH GUM'!C73</f>
        <v>82111-4DW80</v>
      </c>
      <c r="C73" s="303" t="str">
        <f>+'Qty &amp; UMH GUM'!B73</f>
        <v>GAS-LHD</v>
      </c>
      <c r="D73" s="324" t="e">
        <f>VLOOKUP($B73,#REF!,10,0)</f>
        <v>#REF!</v>
      </c>
      <c r="E73" s="324" t="e">
        <f>VLOOKUP($B73,#REF!,11,0)</f>
        <v>#REF!</v>
      </c>
      <c r="F73" s="324" t="e">
        <f>VLOOKUP($B73,#REF!,12,0)</f>
        <v>#REF!</v>
      </c>
      <c r="G73" s="324" t="e">
        <f>VLOOKUP($B73,#REF!,13,0)</f>
        <v>#REF!</v>
      </c>
      <c r="H73" s="324" t="e">
        <f>VLOOKUP($B73,#REF!,14,0)</f>
        <v>#REF!</v>
      </c>
      <c r="I73" s="304" t="e">
        <f>SUM(D73:D73)</f>
        <v>#REF!</v>
      </c>
      <c r="J73" s="305" t="e">
        <f>'Qty &amp; UMH GUM'!R73</f>
        <v>#REF!</v>
      </c>
      <c r="K73" s="305" t="e">
        <f>ROUNDUP((J73-I73)/$D$4,0)</f>
        <v>#REF!</v>
      </c>
      <c r="L73" s="306"/>
      <c r="M73" s="324" t="e">
        <f>VLOOKUP($B73,#REF!,16,0)</f>
        <v>#REF!</v>
      </c>
      <c r="N73" s="324" t="e">
        <f>VLOOKUP($B73,#REF!,17,0)</f>
        <v>#REF!</v>
      </c>
      <c r="O73" s="324" t="e">
        <f>VLOOKUP($B73,#REF!,18,0)</f>
        <v>#REF!</v>
      </c>
      <c r="P73" s="324" t="e">
        <f>VLOOKUP($B73,#REF!,19,0)</f>
        <v>#REF!</v>
      </c>
      <c r="Q73" s="324" t="e">
        <f>VLOOKUP($B73,#REF!,20,0)</f>
        <v>#REF!</v>
      </c>
      <c r="R73" s="304" t="e">
        <f>SUM(M73:M73)</f>
        <v>#REF!</v>
      </c>
      <c r="S73" s="305" t="e">
        <f>'Qty &amp; UMH GUM'!U73</f>
        <v>#REF!</v>
      </c>
      <c r="T73" s="305" t="e">
        <f>ROUNDUP((S73-R73)/$M$4,0)</f>
        <v>#REF!</v>
      </c>
      <c r="U73" s="307"/>
      <c r="V73" s="324" t="e">
        <f>VLOOKUP($B73,#REF!,22,0)</f>
        <v>#REF!</v>
      </c>
      <c r="W73" s="324" t="e">
        <f>VLOOKUP($B73,#REF!,23,0)</f>
        <v>#REF!</v>
      </c>
      <c r="X73" s="324" t="e">
        <f>VLOOKUP($B73,#REF!,24,0)</f>
        <v>#REF!</v>
      </c>
      <c r="Y73" s="324" t="e">
        <f>VLOOKUP($B73,#REF!,25,0)</f>
        <v>#REF!</v>
      </c>
      <c r="Z73" s="324" t="e">
        <f>VLOOKUP($B73,#REF!,26,0)</f>
        <v>#REF!</v>
      </c>
      <c r="AA73" s="304" t="e">
        <f>SUM(V73:V73)</f>
        <v>#REF!</v>
      </c>
      <c r="AB73" s="305" t="e">
        <f>'Qty &amp; UMH GUM'!X73</f>
        <v>#REF!</v>
      </c>
      <c r="AC73" s="304" t="e">
        <f>ROUNDUP((AB73-AA73)/$V$4,0)</f>
        <v>#REF!</v>
      </c>
      <c r="AD73" s="307"/>
      <c r="AE73" s="324" t="e">
        <f>VLOOKUP($B73,#REF!,28,0)</f>
        <v>#REF!</v>
      </c>
      <c r="AF73" s="324" t="e">
        <f>VLOOKUP($B73,#REF!,29,0)</f>
        <v>#REF!</v>
      </c>
      <c r="AG73" s="324" t="e">
        <f>VLOOKUP($B73,#REF!,30,0)</f>
        <v>#REF!</v>
      </c>
      <c r="AH73" s="324" t="e">
        <f>VLOOKUP($B73,#REF!,31,0)</f>
        <v>#REF!</v>
      </c>
      <c r="AI73" s="324" t="e">
        <f>VLOOKUP($B73,#REF!,32,0)</f>
        <v>#REF!</v>
      </c>
      <c r="AJ73" s="304" t="e">
        <f>SUM(AE73:AE73)</f>
        <v>#REF!</v>
      </c>
      <c r="AK73" s="305" t="e">
        <f>'Qty &amp; UMH GUM'!AA73</f>
        <v>#REF!</v>
      </c>
      <c r="AL73" s="304" t="e">
        <f>ROUNDUP((AK73-AJ73)/$AE$4,0)</f>
        <v>#REF!</v>
      </c>
      <c r="AM73" s="309"/>
      <c r="AN73" s="308" t="e">
        <f>VLOOKUP($B73,#REF!,34,0)</f>
        <v>#REF!</v>
      </c>
      <c r="AO73" s="304" t="e">
        <f>VLOOKUP($B73,#REF!,35,0)</f>
        <v>#REF!</v>
      </c>
      <c r="AP73" s="304" t="e">
        <f>VLOOKUP($B73,#REF!,36,0)</f>
        <v>#REF!</v>
      </c>
      <c r="AQ73" s="304" t="e">
        <f>VLOOKUP($B73,#REF!,37,0)</f>
        <v>#REF!</v>
      </c>
      <c r="AR73" s="304"/>
      <c r="AS73" s="304" t="e">
        <f>SUM(AN73:AN73)</f>
        <v>#REF!</v>
      </c>
      <c r="AT73" s="305" t="e">
        <f>'Qty &amp; UMH GUM'!AD73</f>
        <v>#REF!</v>
      </c>
      <c r="AU73" s="304" t="e">
        <f>ROUNDUP((AT73-AS73)/$AN$4,0)</f>
        <v>#REF!</v>
      </c>
      <c r="AV73" s="311"/>
    </row>
    <row r="74" spans="1:49" customHeight="1" ht="18.75">
      <c r="A74" s="537"/>
      <c r="B74" s="332" t="str">
        <f>'Qty &amp; UMH GUM'!C74</f>
        <v>82111-4DW90</v>
      </c>
      <c r="C74" s="303" t="str">
        <f>+'Qty &amp; UMH GUM'!B74</f>
        <v>HEV-LHD</v>
      </c>
      <c r="D74" s="324" t="e">
        <f>VLOOKUP($B74,#REF!,10,0)</f>
        <v>#REF!</v>
      </c>
      <c r="E74" s="324" t="e">
        <f>VLOOKUP($B74,#REF!,11,0)</f>
        <v>#REF!</v>
      </c>
      <c r="F74" s="324" t="e">
        <f>VLOOKUP($B74,#REF!,12,0)</f>
        <v>#REF!</v>
      </c>
      <c r="G74" s="324" t="e">
        <f>VLOOKUP($B74,#REF!,13,0)</f>
        <v>#REF!</v>
      </c>
      <c r="H74" s="324" t="e">
        <f>VLOOKUP($B74,#REF!,14,0)</f>
        <v>#REF!</v>
      </c>
      <c r="I74" s="304" t="e">
        <f>SUM(D74:D74)</f>
        <v>#REF!</v>
      </c>
      <c r="J74" s="305" t="e">
        <f>'Qty &amp; UMH GUM'!R74</f>
        <v>#REF!</v>
      </c>
      <c r="K74" s="305" t="e">
        <f>ROUNDUP((J74-I74)/$D$4,0)</f>
        <v>#REF!</v>
      </c>
      <c r="L74" s="306"/>
      <c r="M74" s="324" t="e">
        <f>VLOOKUP($B74,#REF!,16,0)</f>
        <v>#REF!</v>
      </c>
      <c r="N74" s="324" t="e">
        <f>VLOOKUP($B74,#REF!,17,0)</f>
        <v>#REF!</v>
      </c>
      <c r="O74" s="324" t="e">
        <f>VLOOKUP($B74,#REF!,18,0)</f>
        <v>#REF!</v>
      </c>
      <c r="P74" s="324" t="e">
        <f>VLOOKUP($B74,#REF!,19,0)</f>
        <v>#REF!</v>
      </c>
      <c r="Q74" s="324" t="e">
        <f>VLOOKUP($B74,#REF!,20,0)</f>
        <v>#REF!</v>
      </c>
      <c r="R74" s="304" t="e">
        <f>SUM(M74:M74)</f>
        <v>#REF!</v>
      </c>
      <c r="S74" s="305" t="e">
        <f>'Qty &amp; UMH GUM'!U74</f>
        <v>#REF!</v>
      </c>
      <c r="T74" s="305" t="e">
        <f>ROUNDUP((S74-R74)/$M$4,0)</f>
        <v>#REF!</v>
      </c>
      <c r="U74" s="307"/>
      <c r="V74" s="324" t="e">
        <f>VLOOKUP($B74,#REF!,22,0)</f>
        <v>#REF!</v>
      </c>
      <c r="W74" s="324" t="e">
        <f>VLOOKUP($B74,#REF!,23,0)</f>
        <v>#REF!</v>
      </c>
      <c r="X74" s="324" t="e">
        <f>VLOOKUP($B74,#REF!,24,0)</f>
        <v>#REF!</v>
      </c>
      <c r="Y74" s="324" t="e">
        <f>VLOOKUP($B74,#REF!,25,0)</f>
        <v>#REF!</v>
      </c>
      <c r="Z74" s="324" t="e">
        <f>VLOOKUP($B74,#REF!,26,0)</f>
        <v>#REF!</v>
      </c>
      <c r="AA74" s="304" t="e">
        <f>SUM(V74:V74)</f>
        <v>#REF!</v>
      </c>
      <c r="AB74" s="305" t="e">
        <f>'Qty &amp; UMH GUM'!X74</f>
        <v>#REF!</v>
      </c>
      <c r="AC74" s="304" t="e">
        <f>ROUNDUP((AB74-AA74)/$V$4,0)</f>
        <v>#REF!</v>
      </c>
      <c r="AD74" s="307"/>
      <c r="AE74" s="324" t="e">
        <f>VLOOKUP($B74,#REF!,28,0)</f>
        <v>#REF!</v>
      </c>
      <c r="AF74" s="324" t="e">
        <f>VLOOKUP($B74,#REF!,29,0)</f>
        <v>#REF!</v>
      </c>
      <c r="AG74" s="324" t="e">
        <f>VLOOKUP($B74,#REF!,30,0)</f>
        <v>#REF!</v>
      </c>
      <c r="AH74" s="324" t="e">
        <f>VLOOKUP($B74,#REF!,31,0)</f>
        <v>#REF!</v>
      </c>
      <c r="AI74" s="324" t="e">
        <f>VLOOKUP($B74,#REF!,32,0)</f>
        <v>#REF!</v>
      </c>
      <c r="AJ74" s="304" t="e">
        <f>SUM(AE74:AE74)</f>
        <v>#REF!</v>
      </c>
      <c r="AK74" s="305" t="e">
        <f>'Qty &amp; UMH GUM'!AA74</f>
        <v>#REF!</v>
      </c>
      <c r="AL74" s="304" t="e">
        <f>ROUNDUP((AK74-AJ74)/$AE$4,0)</f>
        <v>#REF!</v>
      </c>
      <c r="AM74" s="309"/>
      <c r="AN74" s="308" t="e">
        <f>VLOOKUP($B74,#REF!,34,0)</f>
        <v>#REF!</v>
      </c>
      <c r="AO74" s="304" t="e">
        <f>VLOOKUP($B74,#REF!,35,0)</f>
        <v>#REF!</v>
      </c>
      <c r="AP74" s="304" t="e">
        <f>VLOOKUP($B74,#REF!,36,0)</f>
        <v>#REF!</v>
      </c>
      <c r="AQ74" s="304" t="e">
        <f>VLOOKUP($B74,#REF!,37,0)</f>
        <v>#REF!</v>
      </c>
      <c r="AR74" s="304"/>
      <c r="AS74" s="304" t="e">
        <f>SUM(AN74:AN74)</f>
        <v>#REF!</v>
      </c>
      <c r="AT74" s="305" t="e">
        <f>'Qty &amp; UMH GUM'!AD74</f>
        <v>#REF!</v>
      </c>
      <c r="AU74" s="304" t="e">
        <f>ROUNDUP((AT74-AS74)/$AN$4,0)</f>
        <v>#REF!</v>
      </c>
      <c r="AV74" s="311"/>
    </row>
    <row r="75" spans="1:49" customHeight="1" ht="18.75">
      <c r="A75" s="537"/>
      <c r="B75" s="332" t="str">
        <f>'Qty &amp; UMH GUM'!C75</f>
        <v>82111-4DX00</v>
      </c>
      <c r="C75" s="303" t="str">
        <f>+'Qty &amp; UMH GUM'!B75</f>
        <v>HEV-LHD</v>
      </c>
      <c r="D75" s="324" t="e">
        <f>VLOOKUP($B75,#REF!,10,0)</f>
        <v>#REF!</v>
      </c>
      <c r="E75" s="324" t="e">
        <f>VLOOKUP($B75,#REF!,11,0)</f>
        <v>#REF!</v>
      </c>
      <c r="F75" s="324" t="e">
        <f>VLOOKUP($B75,#REF!,12,0)</f>
        <v>#REF!</v>
      </c>
      <c r="G75" s="324" t="e">
        <f>VLOOKUP($B75,#REF!,13,0)</f>
        <v>#REF!</v>
      </c>
      <c r="H75" s="324" t="e">
        <f>VLOOKUP($B75,#REF!,14,0)</f>
        <v>#REF!</v>
      </c>
      <c r="I75" s="304" t="e">
        <f>SUM(D75:D75)</f>
        <v>#REF!</v>
      </c>
      <c r="J75" s="305" t="e">
        <f>'Qty &amp; UMH GUM'!R75</f>
        <v>#REF!</v>
      </c>
      <c r="K75" s="305" t="e">
        <f>ROUNDUP((J75-I75)/$D$4,0)</f>
        <v>#REF!</v>
      </c>
      <c r="L75" s="306"/>
      <c r="M75" s="324" t="e">
        <f>VLOOKUP($B75,#REF!,16,0)</f>
        <v>#REF!</v>
      </c>
      <c r="N75" s="324" t="e">
        <f>VLOOKUP($B75,#REF!,17,0)</f>
        <v>#REF!</v>
      </c>
      <c r="O75" s="324" t="e">
        <f>VLOOKUP($B75,#REF!,18,0)</f>
        <v>#REF!</v>
      </c>
      <c r="P75" s="324" t="e">
        <f>VLOOKUP($B75,#REF!,19,0)</f>
        <v>#REF!</v>
      </c>
      <c r="Q75" s="324" t="e">
        <f>VLOOKUP($B75,#REF!,20,0)</f>
        <v>#REF!</v>
      </c>
      <c r="R75" s="304" t="e">
        <f>SUM(M75:M75)</f>
        <v>#REF!</v>
      </c>
      <c r="S75" s="305" t="e">
        <f>'Qty &amp; UMH GUM'!U75</f>
        <v>#REF!</v>
      </c>
      <c r="T75" s="305" t="e">
        <f>ROUNDUP((S75-R75)/$M$4,0)</f>
        <v>#REF!</v>
      </c>
      <c r="U75" s="307"/>
      <c r="V75" s="324" t="e">
        <f>VLOOKUP($B75,#REF!,22,0)</f>
        <v>#REF!</v>
      </c>
      <c r="W75" s="324" t="e">
        <f>VLOOKUP($B75,#REF!,23,0)</f>
        <v>#REF!</v>
      </c>
      <c r="X75" s="324" t="e">
        <f>VLOOKUP($B75,#REF!,24,0)</f>
        <v>#REF!</v>
      </c>
      <c r="Y75" s="324" t="e">
        <f>VLOOKUP($B75,#REF!,25,0)</f>
        <v>#REF!</v>
      </c>
      <c r="Z75" s="324" t="e">
        <f>VLOOKUP($B75,#REF!,26,0)</f>
        <v>#REF!</v>
      </c>
      <c r="AA75" s="304" t="e">
        <f>SUM(V75:V75)</f>
        <v>#REF!</v>
      </c>
      <c r="AB75" s="305" t="e">
        <f>'Qty &amp; UMH GUM'!X75</f>
        <v>#REF!</v>
      </c>
      <c r="AC75" s="304" t="e">
        <f>ROUNDUP((AB75-AA75)/$V$4,0)</f>
        <v>#REF!</v>
      </c>
      <c r="AD75" s="307"/>
      <c r="AE75" s="324" t="e">
        <f>VLOOKUP($B75,#REF!,28,0)</f>
        <v>#REF!</v>
      </c>
      <c r="AF75" s="324" t="e">
        <f>VLOOKUP($B75,#REF!,29,0)</f>
        <v>#REF!</v>
      </c>
      <c r="AG75" s="324" t="e">
        <f>VLOOKUP($B75,#REF!,30,0)</f>
        <v>#REF!</v>
      </c>
      <c r="AH75" s="324" t="e">
        <f>VLOOKUP($B75,#REF!,31,0)</f>
        <v>#REF!</v>
      </c>
      <c r="AI75" s="324" t="e">
        <f>VLOOKUP($B75,#REF!,32,0)</f>
        <v>#REF!</v>
      </c>
      <c r="AJ75" s="304" t="e">
        <f>SUM(AE75:AE75)</f>
        <v>#REF!</v>
      </c>
      <c r="AK75" s="305" t="e">
        <f>'Qty &amp; UMH GUM'!AA75</f>
        <v>#REF!</v>
      </c>
      <c r="AL75" s="304" t="e">
        <f>ROUNDUP((AK75-AJ75)/$AE$4,0)</f>
        <v>#REF!</v>
      </c>
      <c r="AM75" s="309"/>
      <c r="AN75" s="308" t="e">
        <f>VLOOKUP($B75,#REF!,34,0)</f>
        <v>#REF!</v>
      </c>
      <c r="AO75" s="304" t="e">
        <f>VLOOKUP($B75,#REF!,35,0)</f>
        <v>#REF!</v>
      </c>
      <c r="AP75" s="304" t="e">
        <f>VLOOKUP($B75,#REF!,36,0)</f>
        <v>#REF!</v>
      </c>
      <c r="AQ75" s="304" t="e">
        <f>VLOOKUP($B75,#REF!,37,0)</f>
        <v>#REF!</v>
      </c>
      <c r="AR75" s="304"/>
      <c r="AS75" s="304" t="e">
        <f>SUM(AN75:AN75)</f>
        <v>#REF!</v>
      </c>
      <c r="AT75" s="305" t="e">
        <f>'Qty &amp; UMH GUM'!AD75</f>
        <v>#REF!</v>
      </c>
      <c r="AU75" s="304" t="e">
        <f>ROUNDUP((AT75-AS75)/$AN$4,0)</f>
        <v>#REF!</v>
      </c>
      <c r="AV75" s="311"/>
    </row>
    <row r="76" spans="1:49" customHeight="1" ht="18.75">
      <c r="A76" s="537"/>
      <c r="B76" s="332" t="str">
        <f>'Qty &amp; UMH GUM'!C76</f>
        <v>82111-4DX10</v>
      </c>
      <c r="C76" s="303" t="str">
        <f>+'Qty &amp; UMH GUM'!B76</f>
        <v>HEV-LHD</v>
      </c>
      <c r="D76" s="324" t="e">
        <f>VLOOKUP($B76,#REF!,10,0)</f>
        <v>#REF!</v>
      </c>
      <c r="E76" s="324" t="e">
        <f>VLOOKUP($B76,#REF!,11,0)</f>
        <v>#REF!</v>
      </c>
      <c r="F76" s="324" t="e">
        <f>VLOOKUP($B76,#REF!,12,0)</f>
        <v>#REF!</v>
      </c>
      <c r="G76" s="324" t="e">
        <f>VLOOKUP($B76,#REF!,13,0)</f>
        <v>#REF!</v>
      </c>
      <c r="H76" s="324" t="e">
        <f>VLOOKUP($B76,#REF!,14,0)</f>
        <v>#REF!</v>
      </c>
      <c r="I76" s="304" t="e">
        <f>SUM(D76:D76)</f>
        <v>#REF!</v>
      </c>
      <c r="J76" s="305" t="e">
        <f>'Qty &amp; UMH GUM'!R76</f>
        <v>#REF!</v>
      </c>
      <c r="K76" s="305" t="e">
        <f>ROUNDUP((J76-I76)/$D$4,0)</f>
        <v>#REF!</v>
      </c>
      <c r="L76" s="306"/>
      <c r="M76" s="324" t="e">
        <f>VLOOKUP($B76,#REF!,16,0)</f>
        <v>#REF!</v>
      </c>
      <c r="N76" s="324" t="e">
        <f>VLOOKUP($B76,#REF!,17,0)</f>
        <v>#REF!</v>
      </c>
      <c r="O76" s="324" t="e">
        <f>VLOOKUP($B76,#REF!,18,0)</f>
        <v>#REF!</v>
      </c>
      <c r="P76" s="324" t="e">
        <f>VLOOKUP($B76,#REF!,19,0)</f>
        <v>#REF!</v>
      </c>
      <c r="Q76" s="324" t="e">
        <f>VLOOKUP($B76,#REF!,20,0)</f>
        <v>#REF!</v>
      </c>
      <c r="R76" s="304" t="e">
        <f>SUM(M76:M76)</f>
        <v>#REF!</v>
      </c>
      <c r="S76" s="305" t="e">
        <f>'Qty &amp; UMH GUM'!U76</f>
        <v>#REF!</v>
      </c>
      <c r="T76" s="305" t="e">
        <f>ROUNDUP((S76-R76)/$M$4,0)</f>
        <v>#REF!</v>
      </c>
      <c r="U76" s="307"/>
      <c r="V76" s="324" t="e">
        <f>VLOOKUP($B76,#REF!,22,0)</f>
        <v>#REF!</v>
      </c>
      <c r="W76" s="324" t="e">
        <f>VLOOKUP($B76,#REF!,23,0)</f>
        <v>#REF!</v>
      </c>
      <c r="X76" s="324" t="e">
        <f>VLOOKUP($B76,#REF!,24,0)</f>
        <v>#REF!</v>
      </c>
      <c r="Y76" s="324" t="e">
        <f>VLOOKUP($B76,#REF!,25,0)</f>
        <v>#REF!</v>
      </c>
      <c r="Z76" s="324" t="e">
        <f>VLOOKUP($B76,#REF!,26,0)</f>
        <v>#REF!</v>
      </c>
      <c r="AA76" s="304" t="e">
        <f>SUM(V76:V76)</f>
        <v>#REF!</v>
      </c>
      <c r="AB76" s="305" t="e">
        <f>'Qty &amp; UMH GUM'!X76</f>
        <v>#REF!</v>
      </c>
      <c r="AC76" s="304" t="e">
        <f>ROUNDUP((AB76-AA76)/$V$4,0)</f>
        <v>#REF!</v>
      </c>
      <c r="AD76" s="307"/>
      <c r="AE76" s="324" t="e">
        <f>VLOOKUP($B76,#REF!,28,0)</f>
        <v>#REF!</v>
      </c>
      <c r="AF76" s="324" t="e">
        <f>VLOOKUP($B76,#REF!,29,0)</f>
        <v>#REF!</v>
      </c>
      <c r="AG76" s="324" t="e">
        <f>VLOOKUP($B76,#REF!,30,0)</f>
        <v>#REF!</v>
      </c>
      <c r="AH76" s="324" t="e">
        <f>VLOOKUP($B76,#REF!,31,0)</f>
        <v>#REF!</v>
      </c>
      <c r="AI76" s="324" t="e">
        <f>VLOOKUP($B76,#REF!,32,0)</f>
        <v>#REF!</v>
      </c>
      <c r="AJ76" s="304" t="e">
        <f>SUM(AE76:AE76)</f>
        <v>#REF!</v>
      </c>
      <c r="AK76" s="305" t="e">
        <f>'Qty &amp; UMH GUM'!AA76</f>
        <v>#REF!</v>
      </c>
      <c r="AL76" s="304" t="e">
        <f>ROUNDUP((AK76-AJ76)/$AE$4,0)</f>
        <v>#REF!</v>
      </c>
      <c r="AM76" s="309"/>
      <c r="AN76" s="308" t="e">
        <f>VLOOKUP($B76,#REF!,34,0)</f>
        <v>#REF!</v>
      </c>
      <c r="AO76" s="304" t="e">
        <f>VLOOKUP($B76,#REF!,35,0)</f>
        <v>#REF!</v>
      </c>
      <c r="AP76" s="304" t="e">
        <f>VLOOKUP($B76,#REF!,36,0)</f>
        <v>#REF!</v>
      </c>
      <c r="AQ76" s="304" t="e">
        <f>VLOOKUP($B76,#REF!,37,0)</f>
        <v>#REF!</v>
      </c>
      <c r="AR76" s="304"/>
      <c r="AS76" s="304" t="e">
        <f>SUM(AN76:AN76)</f>
        <v>#REF!</v>
      </c>
      <c r="AT76" s="305" t="e">
        <f>'Qty &amp; UMH GUM'!AD76</f>
        <v>#REF!</v>
      </c>
      <c r="AU76" s="304" t="e">
        <f>ROUNDUP((AT76-AS76)/$AN$4,0)</f>
        <v>#REF!</v>
      </c>
      <c r="AV76" s="311"/>
    </row>
    <row r="77" spans="1:49" customHeight="1" ht="18.75">
      <c r="A77" s="537"/>
      <c r="B77" s="332" t="str">
        <f>'Qty &amp; UMH GUM'!C77</f>
        <v>82111-4DX20</v>
      </c>
      <c r="C77" s="303" t="str">
        <f>+'Qty &amp; UMH GUM'!B77</f>
        <v>HEV-LHD</v>
      </c>
      <c r="D77" s="324" t="e">
        <f>VLOOKUP($B77,#REF!,10,0)</f>
        <v>#REF!</v>
      </c>
      <c r="E77" s="324" t="e">
        <f>VLOOKUP($B77,#REF!,11,0)</f>
        <v>#REF!</v>
      </c>
      <c r="F77" s="324" t="e">
        <f>VLOOKUP($B77,#REF!,12,0)</f>
        <v>#REF!</v>
      </c>
      <c r="G77" s="324" t="e">
        <f>VLOOKUP($B77,#REF!,13,0)</f>
        <v>#REF!</v>
      </c>
      <c r="H77" s="324" t="e">
        <f>VLOOKUP($B77,#REF!,14,0)</f>
        <v>#REF!</v>
      </c>
      <c r="I77" s="304" t="e">
        <f>SUM(D77:D77)</f>
        <v>#REF!</v>
      </c>
      <c r="J77" s="305" t="e">
        <f>'Qty &amp; UMH GUM'!R77</f>
        <v>#REF!</v>
      </c>
      <c r="K77" s="305" t="e">
        <f>ROUNDUP((J77-I77)/$D$4,0)</f>
        <v>#REF!</v>
      </c>
      <c r="L77" s="306"/>
      <c r="M77" s="324" t="e">
        <f>VLOOKUP($B77,#REF!,16,0)</f>
        <v>#REF!</v>
      </c>
      <c r="N77" s="324" t="e">
        <f>VLOOKUP($B77,#REF!,17,0)</f>
        <v>#REF!</v>
      </c>
      <c r="O77" s="324" t="e">
        <f>VLOOKUP($B77,#REF!,18,0)</f>
        <v>#REF!</v>
      </c>
      <c r="P77" s="324" t="e">
        <f>VLOOKUP($B77,#REF!,19,0)</f>
        <v>#REF!</v>
      </c>
      <c r="Q77" s="324" t="e">
        <f>VLOOKUP($B77,#REF!,20,0)</f>
        <v>#REF!</v>
      </c>
      <c r="R77" s="304" t="e">
        <f>SUM(M77:M77)</f>
        <v>#REF!</v>
      </c>
      <c r="S77" s="305" t="e">
        <f>'Qty &amp; UMH GUM'!U77</f>
        <v>#REF!</v>
      </c>
      <c r="T77" s="305" t="e">
        <f>ROUNDUP((S77-R77)/$M$4,0)</f>
        <v>#REF!</v>
      </c>
      <c r="U77" s="307"/>
      <c r="V77" s="324" t="e">
        <f>VLOOKUP($B77,#REF!,22,0)</f>
        <v>#REF!</v>
      </c>
      <c r="W77" s="324" t="e">
        <f>VLOOKUP($B77,#REF!,23,0)</f>
        <v>#REF!</v>
      </c>
      <c r="X77" s="324" t="e">
        <f>VLOOKUP($B77,#REF!,24,0)</f>
        <v>#REF!</v>
      </c>
      <c r="Y77" s="324" t="e">
        <f>VLOOKUP($B77,#REF!,25,0)</f>
        <v>#REF!</v>
      </c>
      <c r="Z77" s="324" t="e">
        <f>VLOOKUP($B77,#REF!,26,0)</f>
        <v>#REF!</v>
      </c>
      <c r="AA77" s="304" t="e">
        <f>SUM(V77:V77)</f>
        <v>#REF!</v>
      </c>
      <c r="AB77" s="305" t="e">
        <f>'Qty &amp; UMH GUM'!X77</f>
        <v>#REF!</v>
      </c>
      <c r="AC77" s="304" t="e">
        <f>ROUNDUP((AB77-AA77)/$V$4,0)</f>
        <v>#REF!</v>
      </c>
      <c r="AD77" s="307"/>
      <c r="AE77" s="324" t="e">
        <f>VLOOKUP($B77,#REF!,28,0)</f>
        <v>#REF!</v>
      </c>
      <c r="AF77" s="324" t="e">
        <f>VLOOKUP($B77,#REF!,29,0)</f>
        <v>#REF!</v>
      </c>
      <c r="AG77" s="324" t="e">
        <f>VLOOKUP($B77,#REF!,30,0)</f>
        <v>#REF!</v>
      </c>
      <c r="AH77" s="324" t="e">
        <f>VLOOKUP($B77,#REF!,31,0)</f>
        <v>#REF!</v>
      </c>
      <c r="AI77" s="324" t="e">
        <f>VLOOKUP($B77,#REF!,32,0)</f>
        <v>#REF!</v>
      </c>
      <c r="AJ77" s="304" t="e">
        <f>SUM(AE77:AE77)</f>
        <v>#REF!</v>
      </c>
      <c r="AK77" s="305" t="e">
        <f>'Qty &amp; UMH GUM'!AA77</f>
        <v>#REF!</v>
      </c>
      <c r="AL77" s="304" t="e">
        <f>ROUNDUP((AK77-AJ77)/$AE$4,0)</f>
        <v>#REF!</v>
      </c>
      <c r="AM77" s="309"/>
      <c r="AN77" s="308" t="e">
        <f>VLOOKUP($B77,#REF!,34,0)</f>
        <v>#REF!</v>
      </c>
      <c r="AO77" s="304" t="e">
        <f>VLOOKUP($B77,#REF!,35,0)</f>
        <v>#REF!</v>
      </c>
      <c r="AP77" s="304" t="e">
        <f>VLOOKUP($B77,#REF!,36,0)</f>
        <v>#REF!</v>
      </c>
      <c r="AQ77" s="304" t="e">
        <f>VLOOKUP($B77,#REF!,37,0)</f>
        <v>#REF!</v>
      </c>
      <c r="AR77" s="304"/>
      <c r="AS77" s="304" t="e">
        <f>SUM(AN77:AN77)</f>
        <v>#REF!</v>
      </c>
      <c r="AT77" s="305" t="e">
        <f>'Qty &amp; UMH GUM'!AD77</f>
        <v>#REF!</v>
      </c>
      <c r="AU77" s="304" t="e">
        <f>ROUNDUP((AT77-AS77)/$AN$4,0)</f>
        <v>#REF!</v>
      </c>
      <c r="AV77" s="311"/>
    </row>
    <row r="78" spans="1:49" customHeight="1" ht="18.75">
      <c r="A78" s="537"/>
      <c r="B78" s="332" t="str">
        <f>'Qty &amp; UMH GUM'!C78</f>
        <v>82111-4DX30</v>
      </c>
      <c r="C78" s="303" t="str">
        <f>+'Qty &amp; UMH GUM'!B78</f>
        <v>HEV-LHD</v>
      </c>
      <c r="D78" s="324" t="e">
        <f>VLOOKUP($B78,#REF!,10,0)</f>
        <v>#REF!</v>
      </c>
      <c r="E78" s="324" t="e">
        <f>VLOOKUP($B78,#REF!,11,0)</f>
        <v>#REF!</v>
      </c>
      <c r="F78" s="324" t="e">
        <f>VLOOKUP($B78,#REF!,12,0)</f>
        <v>#REF!</v>
      </c>
      <c r="G78" s="324" t="e">
        <f>VLOOKUP($B78,#REF!,13,0)</f>
        <v>#REF!</v>
      </c>
      <c r="H78" s="324" t="e">
        <f>VLOOKUP($B78,#REF!,14,0)</f>
        <v>#REF!</v>
      </c>
      <c r="I78" s="304" t="e">
        <f>SUM(D78:D78)</f>
        <v>#REF!</v>
      </c>
      <c r="J78" s="305" t="e">
        <f>'Qty &amp; UMH GUM'!R78</f>
        <v>#REF!</v>
      </c>
      <c r="K78" s="305" t="e">
        <f>ROUNDUP((J78-I78)/$D$4,0)</f>
        <v>#REF!</v>
      </c>
      <c r="L78" s="306"/>
      <c r="M78" s="324" t="e">
        <f>VLOOKUP($B78,#REF!,16,0)</f>
        <v>#REF!</v>
      </c>
      <c r="N78" s="324" t="e">
        <f>VLOOKUP($B78,#REF!,17,0)</f>
        <v>#REF!</v>
      </c>
      <c r="O78" s="324" t="e">
        <f>VLOOKUP($B78,#REF!,18,0)</f>
        <v>#REF!</v>
      </c>
      <c r="P78" s="324" t="e">
        <f>VLOOKUP($B78,#REF!,19,0)</f>
        <v>#REF!</v>
      </c>
      <c r="Q78" s="324" t="e">
        <f>VLOOKUP($B78,#REF!,20,0)</f>
        <v>#REF!</v>
      </c>
      <c r="R78" s="304" t="e">
        <f>SUM(M78:M78)</f>
        <v>#REF!</v>
      </c>
      <c r="S78" s="305" t="e">
        <f>'Qty &amp; UMH GUM'!U78</f>
        <v>#REF!</v>
      </c>
      <c r="T78" s="305" t="e">
        <f>ROUNDUP((S78-R78)/$M$4,0)</f>
        <v>#REF!</v>
      </c>
      <c r="U78" s="307"/>
      <c r="V78" s="324" t="e">
        <f>VLOOKUP($B78,#REF!,22,0)</f>
        <v>#REF!</v>
      </c>
      <c r="W78" s="324" t="e">
        <f>VLOOKUP($B78,#REF!,23,0)</f>
        <v>#REF!</v>
      </c>
      <c r="X78" s="324" t="e">
        <f>VLOOKUP($B78,#REF!,24,0)</f>
        <v>#REF!</v>
      </c>
      <c r="Y78" s="324" t="e">
        <f>VLOOKUP($B78,#REF!,25,0)</f>
        <v>#REF!</v>
      </c>
      <c r="Z78" s="324" t="e">
        <f>VLOOKUP($B78,#REF!,26,0)</f>
        <v>#REF!</v>
      </c>
      <c r="AA78" s="304" t="e">
        <f>SUM(V78:V78)</f>
        <v>#REF!</v>
      </c>
      <c r="AB78" s="305" t="e">
        <f>'Qty &amp; UMH GUM'!X78</f>
        <v>#REF!</v>
      </c>
      <c r="AC78" s="304" t="e">
        <f>ROUNDUP((AB78-AA78)/$V$4,0)</f>
        <v>#REF!</v>
      </c>
      <c r="AD78" s="307"/>
      <c r="AE78" s="324" t="e">
        <f>VLOOKUP($B78,#REF!,28,0)</f>
        <v>#REF!</v>
      </c>
      <c r="AF78" s="324" t="e">
        <f>VLOOKUP($B78,#REF!,29,0)</f>
        <v>#REF!</v>
      </c>
      <c r="AG78" s="324" t="e">
        <f>VLOOKUP($B78,#REF!,30,0)</f>
        <v>#REF!</v>
      </c>
      <c r="AH78" s="324" t="e">
        <f>VLOOKUP($B78,#REF!,31,0)</f>
        <v>#REF!</v>
      </c>
      <c r="AI78" s="324" t="e">
        <f>VLOOKUP($B78,#REF!,32,0)</f>
        <v>#REF!</v>
      </c>
      <c r="AJ78" s="304" t="e">
        <f>SUM(AE78:AE78)</f>
        <v>#REF!</v>
      </c>
      <c r="AK78" s="305" t="e">
        <f>'Qty &amp; UMH GUM'!AA78</f>
        <v>#REF!</v>
      </c>
      <c r="AL78" s="304" t="e">
        <f>ROUNDUP((AK78-AJ78)/$AE$4,0)</f>
        <v>#REF!</v>
      </c>
      <c r="AM78" s="309"/>
      <c r="AN78" s="308" t="e">
        <f>VLOOKUP($B78,#REF!,34,0)</f>
        <v>#REF!</v>
      </c>
      <c r="AO78" s="304" t="e">
        <f>VLOOKUP($B78,#REF!,35,0)</f>
        <v>#REF!</v>
      </c>
      <c r="AP78" s="304" t="e">
        <f>VLOOKUP($B78,#REF!,36,0)</f>
        <v>#REF!</v>
      </c>
      <c r="AQ78" s="304" t="e">
        <f>VLOOKUP($B78,#REF!,37,0)</f>
        <v>#REF!</v>
      </c>
      <c r="AR78" s="304"/>
      <c r="AS78" s="304" t="e">
        <f>SUM(AN78:AN78)</f>
        <v>#REF!</v>
      </c>
      <c r="AT78" s="305" t="e">
        <f>'Qty &amp; UMH GUM'!AD78</f>
        <v>#REF!</v>
      </c>
      <c r="AU78" s="304" t="e">
        <f>ROUNDUP((AT78-AS78)/$AN$4,0)</f>
        <v>#REF!</v>
      </c>
      <c r="AV78" s="311"/>
    </row>
    <row r="79" spans="1:49" customHeight="1" ht="18.75">
      <c r="A79" s="537"/>
      <c r="B79" s="332" t="str">
        <f>'Qty &amp; UMH GUM'!C79</f>
        <v>82111-4DX50</v>
      </c>
      <c r="C79" s="303" t="str">
        <f>+'Qty &amp; UMH GUM'!B79</f>
        <v>HEV-RHD</v>
      </c>
      <c r="D79" s="324" t="e">
        <f>VLOOKUP($B79,#REF!,10,0)</f>
        <v>#REF!</v>
      </c>
      <c r="E79" s="324" t="e">
        <f>VLOOKUP($B79,#REF!,11,0)</f>
        <v>#REF!</v>
      </c>
      <c r="F79" s="324" t="e">
        <f>VLOOKUP($B79,#REF!,12,0)</f>
        <v>#REF!</v>
      </c>
      <c r="G79" s="324" t="e">
        <f>VLOOKUP($B79,#REF!,13,0)</f>
        <v>#REF!</v>
      </c>
      <c r="H79" s="324" t="e">
        <f>VLOOKUP($B79,#REF!,14,0)</f>
        <v>#REF!</v>
      </c>
      <c r="I79" s="304" t="e">
        <f>SUM(D79:D79)</f>
        <v>#REF!</v>
      </c>
      <c r="J79" s="305" t="e">
        <f>'Qty &amp; UMH GUM'!R79</f>
        <v>#REF!</v>
      </c>
      <c r="K79" s="305" t="e">
        <f>ROUNDUP((J79-I79)/$D$4,0)</f>
        <v>#REF!</v>
      </c>
      <c r="L79" s="306"/>
      <c r="M79" s="324" t="e">
        <f>VLOOKUP($B79,#REF!,16,0)</f>
        <v>#REF!</v>
      </c>
      <c r="N79" s="324" t="e">
        <f>VLOOKUP($B79,#REF!,17,0)</f>
        <v>#REF!</v>
      </c>
      <c r="O79" s="324" t="e">
        <f>VLOOKUP($B79,#REF!,18,0)</f>
        <v>#REF!</v>
      </c>
      <c r="P79" s="324" t="e">
        <f>VLOOKUP($B79,#REF!,19,0)</f>
        <v>#REF!</v>
      </c>
      <c r="Q79" s="324" t="e">
        <f>VLOOKUP($B79,#REF!,20,0)</f>
        <v>#REF!</v>
      </c>
      <c r="R79" s="304" t="e">
        <f>SUM(M79:M79)</f>
        <v>#REF!</v>
      </c>
      <c r="S79" s="305" t="e">
        <f>'Qty &amp; UMH GUM'!U79</f>
        <v>#REF!</v>
      </c>
      <c r="T79" s="305" t="e">
        <f>ROUNDUP((S79-R79)/$M$4,0)</f>
        <v>#REF!</v>
      </c>
      <c r="U79" s="307"/>
      <c r="V79" s="324" t="e">
        <f>VLOOKUP($B79,#REF!,22,0)</f>
        <v>#REF!</v>
      </c>
      <c r="W79" s="324" t="e">
        <f>VLOOKUP($B79,#REF!,23,0)</f>
        <v>#REF!</v>
      </c>
      <c r="X79" s="324" t="e">
        <f>VLOOKUP($B79,#REF!,24,0)</f>
        <v>#REF!</v>
      </c>
      <c r="Y79" s="324" t="e">
        <f>VLOOKUP($B79,#REF!,25,0)</f>
        <v>#REF!</v>
      </c>
      <c r="Z79" s="324" t="e">
        <f>VLOOKUP($B79,#REF!,26,0)</f>
        <v>#REF!</v>
      </c>
      <c r="AA79" s="304" t="e">
        <f>SUM(V79:V79)</f>
        <v>#REF!</v>
      </c>
      <c r="AB79" s="305" t="e">
        <f>'Qty &amp; UMH GUM'!X79</f>
        <v>#REF!</v>
      </c>
      <c r="AC79" s="304" t="e">
        <f>ROUNDUP((AB79-AA79)/$V$4,0)</f>
        <v>#REF!</v>
      </c>
      <c r="AD79" s="307"/>
      <c r="AE79" s="324" t="e">
        <f>VLOOKUP($B79,#REF!,28,0)</f>
        <v>#REF!</v>
      </c>
      <c r="AF79" s="324" t="e">
        <f>VLOOKUP($B79,#REF!,29,0)</f>
        <v>#REF!</v>
      </c>
      <c r="AG79" s="324" t="e">
        <f>VLOOKUP($B79,#REF!,30,0)</f>
        <v>#REF!</v>
      </c>
      <c r="AH79" s="324" t="e">
        <f>VLOOKUP($B79,#REF!,31,0)</f>
        <v>#REF!</v>
      </c>
      <c r="AI79" s="324" t="e">
        <f>VLOOKUP($B79,#REF!,32,0)</f>
        <v>#REF!</v>
      </c>
      <c r="AJ79" s="304" t="e">
        <f>SUM(AE79:AE79)</f>
        <v>#REF!</v>
      </c>
      <c r="AK79" s="305" t="e">
        <f>'Qty &amp; UMH GUM'!AA79</f>
        <v>#REF!</v>
      </c>
      <c r="AL79" s="304" t="e">
        <f>ROUNDUP((AK79-AJ79)/$AE$4,0)</f>
        <v>#REF!</v>
      </c>
      <c r="AM79" s="309"/>
      <c r="AN79" s="308" t="e">
        <f>VLOOKUP($B79,#REF!,34,0)</f>
        <v>#REF!</v>
      </c>
      <c r="AO79" s="304" t="e">
        <f>VLOOKUP($B79,#REF!,35,0)</f>
        <v>#REF!</v>
      </c>
      <c r="AP79" s="304" t="e">
        <f>VLOOKUP($B79,#REF!,36,0)</f>
        <v>#REF!</v>
      </c>
      <c r="AQ79" s="304" t="e">
        <f>VLOOKUP($B79,#REF!,37,0)</f>
        <v>#REF!</v>
      </c>
      <c r="AR79" s="304"/>
      <c r="AS79" s="304" t="e">
        <f>SUM(AN79:AN79)</f>
        <v>#REF!</v>
      </c>
      <c r="AT79" s="305" t="e">
        <f>'Qty &amp; UMH GUM'!AD79</f>
        <v>#REF!</v>
      </c>
      <c r="AU79" s="304" t="e">
        <f>ROUNDUP((AT79-AS79)/$AN$4,0)</f>
        <v>#REF!</v>
      </c>
      <c r="AV79" s="311"/>
    </row>
    <row r="80" spans="1:49" customHeight="1" ht="18.75">
      <c r="A80" s="537"/>
      <c r="B80" s="332" t="str">
        <f>'Qty &amp; UMH GUM'!C80</f>
        <v>82111-4DX60</v>
      </c>
      <c r="C80" s="303" t="str">
        <f>+'Qty &amp; UMH GUM'!B80</f>
        <v>HEV-RHD</v>
      </c>
      <c r="D80" s="324" t="e">
        <f>VLOOKUP($B80,#REF!,10,0)</f>
        <v>#REF!</v>
      </c>
      <c r="E80" s="324" t="e">
        <f>VLOOKUP($B80,#REF!,11,0)</f>
        <v>#REF!</v>
      </c>
      <c r="F80" s="324" t="e">
        <f>VLOOKUP($B80,#REF!,12,0)</f>
        <v>#REF!</v>
      </c>
      <c r="G80" s="324" t="e">
        <f>VLOOKUP($B80,#REF!,13,0)</f>
        <v>#REF!</v>
      </c>
      <c r="H80" s="324" t="e">
        <f>VLOOKUP($B80,#REF!,14,0)</f>
        <v>#REF!</v>
      </c>
      <c r="I80" s="304" t="e">
        <f>SUM(D80:D80)</f>
        <v>#REF!</v>
      </c>
      <c r="J80" s="305" t="e">
        <f>'Qty &amp; UMH GUM'!R80</f>
        <v>#REF!</v>
      </c>
      <c r="K80" s="305" t="e">
        <f>ROUNDUP((J80-I80)/$D$4,0)</f>
        <v>#REF!</v>
      </c>
      <c r="L80" s="306"/>
      <c r="M80" s="324" t="e">
        <f>VLOOKUP($B80,#REF!,16,0)</f>
        <v>#REF!</v>
      </c>
      <c r="N80" s="324" t="e">
        <f>VLOOKUP($B80,#REF!,17,0)</f>
        <v>#REF!</v>
      </c>
      <c r="O80" s="324" t="e">
        <f>VLOOKUP($B80,#REF!,18,0)</f>
        <v>#REF!</v>
      </c>
      <c r="P80" s="324" t="e">
        <f>VLOOKUP($B80,#REF!,19,0)</f>
        <v>#REF!</v>
      </c>
      <c r="Q80" s="324" t="e">
        <f>VLOOKUP($B80,#REF!,20,0)</f>
        <v>#REF!</v>
      </c>
      <c r="R80" s="304" t="e">
        <f>SUM(M80:M80)</f>
        <v>#REF!</v>
      </c>
      <c r="S80" s="305" t="e">
        <f>'Qty &amp; UMH GUM'!U80</f>
        <v>#REF!</v>
      </c>
      <c r="T80" s="305" t="e">
        <f>ROUNDUP((S80-R80)/$M$4,0)</f>
        <v>#REF!</v>
      </c>
      <c r="U80" s="307"/>
      <c r="V80" s="324" t="e">
        <f>VLOOKUP($B80,#REF!,22,0)</f>
        <v>#REF!</v>
      </c>
      <c r="W80" s="324" t="e">
        <f>VLOOKUP($B80,#REF!,23,0)</f>
        <v>#REF!</v>
      </c>
      <c r="X80" s="324" t="e">
        <f>VLOOKUP($B80,#REF!,24,0)</f>
        <v>#REF!</v>
      </c>
      <c r="Y80" s="324" t="e">
        <f>VLOOKUP($B80,#REF!,25,0)</f>
        <v>#REF!</v>
      </c>
      <c r="Z80" s="324" t="e">
        <f>VLOOKUP($B80,#REF!,26,0)</f>
        <v>#REF!</v>
      </c>
      <c r="AA80" s="304" t="e">
        <f>SUM(V80:V80)</f>
        <v>#REF!</v>
      </c>
      <c r="AB80" s="305" t="e">
        <f>'Qty &amp; UMH GUM'!X80</f>
        <v>#REF!</v>
      </c>
      <c r="AC80" s="304" t="e">
        <f>ROUNDUP((AB80-AA80)/$V$4,0)</f>
        <v>#REF!</v>
      </c>
      <c r="AD80" s="307"/>
      <c r="AE80" s="324" t="e">
        <f>VLOOKUP($B80,#REF!,28,0)</f>
        <v>#REF!</v>
      </c>
      <c r="AF80" s="324" t="e">
        <f>VLOOKUP($B80,#REF!,29,0)</f>
        <v>#REF!</v>
      </c>
      <c r="AG80" s="324" t="e">
        <f>VLOOKUP($B80,#REF!,30,0)</f>
        <v>#REF!</v>
      </c>
      <c r="AH80" s="324" t="e">
        <f>VLOOKUP($B80,#REF!,31,0)</f>
        <v>#REF!</v>
      </c>
      <c r="AI80" s="324" t="e">
        <f>VLOOKUP($B80,#REF!,32,0)</f>
        <v>#REF!</v>
      </c>
      <c r="AJ80" s="304" t="e">
        <f>SUM(AE80:AE80)</f>
        <v>#REF!</v>
      </c>
      <c r="AK80" s="305" t="e">
        <f>'Qty &amp; UMH GUM'!AA80</f>
        <v>#REF!</v>
      </c>
      <c r="AL80" s="304" t="e">
        <f>ROUNDUP((AK80-AJ80)/$AE$4,0)</f>
        <v>#REF!</v>
      </c>
      <c r="AM80" s="309"/>
      <c r="AN80" s="308" t="e">
        <f>VLOOKUP($B80,#REF!,34,0)</f>
        <v>#REF!</v>
      </c>
      <c r="AO80" s="304" t="e">
        <f>VLOOKUP($B80,#REF!,35,0)</f>
        <v>#REF!</v>
      </c>
      <c r="AP80" s="304" t="e">
        <f>VLOOKUP($B80,#REF!,36,0)</f>
        <v>#REF!</v>
      </c>
      <c r="AQ80" s="304" t="e">
        <f>VLOOKUP($B80,#REF!,37,0)</f>
        <v>#REF!</v>
      </c>
      <c r="AR80" s="304"/>
      <c r="AS80" s="304" t="e">
        <f>SUM(AN80:AN80)</f>
        <v>#REF!</v>
      </c>
      <c r="AT80" s="305" t="e">
        <f>'Qty &amp; UMH GUM'!AD80</f>
        <v>#REF!</v>
      </c>
      <c r="AU80" s="304" t="e">
        <f>ROUNDUP((AT80-AS80)/$AN$4,0)</f>
        <v>#REF!</v>
      </c>
      <c r="AV80" s="311"/>
    </row>
    <row r="81" spans="1:49" customHeight="1" ht="18.75">
      <c r="A81" s="537"/>
      <c r="B81" s="332" t="str">
        <f>'Qty &amp; UMH GUM'!C81</f>
        <v>82111-4DX70</v>
      </c>
      <c r="C81" s="303" t="str">
        <f>+'Qty &amp; UMH GUM'!B81</f>
        <v>HEV-RHD</v>
      </c>
      <c r="D81" s="324" t="e">
        <f>VLOOKUP($B81,#REF!,10,0)</f>
        <v>#REF!</v>
      </c>
      <c r="E81" s="324" t="e">
        <f>VLOOKUP($B81,#REF!,11,0)</f>
        <v>#REF!</v>
      </c>
      <c r="F81" s="324" t="e">
        <f>VLOOKUP($B81,#REF!,12,0)</f>
        <v>#REF!</v>
      </c>
      <c r="G81" s="324" t="e">
        <f>VLOOKUP($B81,#REF!,13,0)</f>
        <v>#REF!</v>
      </c>
      <c r="H81" s="324" t="e">
        <f>VLOOKUP($B81,#REF!,14,0)</f>
        <v>#REF!</v>
      </c>
      <c r="I81" s="304" t="e">
        <f>SUM(D81:D81)</f>
        <v>#REF!</v>
      </c>
      <c r="J81" s="305" t="e">
        <f>'Qty &amp; UMH GUM'!R81</f>
        <v>#REF!</v>
      </c>
      <c r="K81" s="305" t="e">
        <f>ROUNDUP((J81-I81)/$D$4,0)</f>
        <v>#REF!</v>
      </c>
      <c r="L81" s="306"/>
      <c r="M81" s="324" t="e">
        <f>VLOOKUP($B81,#REF!,16,0)</f>
        <v>#REF!</v>
      </c>
      <c r="N81" s="324" t="e">
        <f>VLOOKUP($B81,#REF!,17,0)</f>
        <v>#REF!</v>
      </c>
      <c r="O81" s="324" t="e">
        <f>VLOOKUP($B81,#REF!,18,0)</f>
        <v>#REF!</v>
      </c>
      <c r="P81" s="324" t="e">
        <f>VLOOKUP($B81,#REF!,19,0)</f>
        <v>#REF!</v>
      </c>
      <c r="Q81" s="324" t="e">
        <f>VLOOKUP($B81,#REF!,20,0)</f>
        <v>#REF!</v>
      </c>
      <c r="R81" s="304" t="e">
        <f>SUM(M81:M81)</f>
        <v>#REF!</v>
      </c>
      <c r="S81" s="305" t="e">
        <f>'Qty &amp; UMH GUM'!U81</f>
        <v>#REF!</v>
      </c>
      <c r="T81" s="305" t="e">
        <f>ROUNDUP((S81-R81)/$M$4,0)</f>
        <v>#REF!</v>
      </c>
      <c r="U81" s="307"/>
      <c r="V81" s="324" t="e">
        <f>VLOOKUP($B81,#REF!,22,0)</f>
        <v>#REF!</v>
      </c>
      <c r="W81" s="324" t="e">
        <f>VLOOKUP($B81,#REF!,23,0)</f>
        <v>#REF!</v>
      </c>
      <c r="X81" s="324" t="e">
        <f>VLOOKUP($B81,#REF!,24,0)</f>
        <v>#REF!</v>
      </c>
      <c r="Y81" s="324" t="e">
        <f>VLOOKUP($B81,#REF!,25,0)</f>
        <v>#REF!</v>
      </c>
      <c r="Z81" s="324" t="e">
        <f>VLOOKUP($B81,#REF!,26,0)</f>
        <v>#REF!</v>
      </c>
      <c r="AA81" s="304" t="e">
        <f>SUM(V81:V81)</f>
        <v>#REF!</v>
      </c>
      <c r="AB81" s="305" t="e">
        <f>'Qty &amp; UMH GUM'!X81</f>
        <v>#REF!</v>
      </c>
      <c r="AC81" s="304" t="e">
        <f>ROUNDUP((AB81-AA81)/$V$4,0)</f>
        <v>#REF!</v>
      </c>
      <c r="AD81" s="307"/>
      <c r="AE81" s="324" t="e">
        <f>VLOOKUP($B81,#REF!,28,0)</f>
        <v>#REF!</v>
      </c>
      <c r="AF81" s="324" t="e">
        <f>VLOOKUP($B81,#REF!,29,0)</f>
        <v>#REF!</v>
      </c>
      <c r="AG81" s="324" t="e">
        <f>VLOOKUP($B81,#REF!,30,0)</f>
        <v>#REF!</v>
      </c>
      <c r="AH81" s="324" t="e">
        <f>VLOOKUP($B81,#REF!,31,0)</f>
        <v>#REF!</v>
      </c>
      <c r="AI81" s="324" t="e">
        <f>VLOOKUP($B81,#REF!,32,0)</f>
        <v>#REF!</v>
      </c>
      <c r="AJ81" s="304" t="e">
        <f>SUM(AE81:AE81)</f>
        <v>#REF!</v>
      </c>
      <c r="AK81" s="305" t="e">
        <f>'Qty &amp; UMH GUM'!AA81</f>
        <v>#REF!</v>
      </c>
      <c r="AL81" s="304" t="e">
        <f>ROUNDUP((AK81-AJ81)/$AE$4,0)</f>
        <v>#REF!</v>
      </c>
      <c r="AM81" s="309"/>
      <c r="AN81" s="308" t="e">
        <f>VLOOKUP($B81,#REF!,34,0)</f>
        <v>#REF!</v>
      </c>
      <c r="AO81" s="304" t="e">
        <f>VLOOKUP($B81,#REF!,35,0)</f>
        <v>#REF!</v>
      </c>
      <c r="AP81" s="304" t="e">
        <f>VLOOKUP($B81,#REF!,36,0)</f>
        <v>#REF!</v>
      </c>
      <c r="AQ81" s="304" t="e">
        <f>VLOOKUP($B81,#REF!,37,0)</f>
        <v>#REF!</v>
      </c>
      <c r="AR81" s="304"/>
      <c r="AS81" s="304" t="e">
        <f>SUM(AN81:AN81)</f>
        <v>#REF!</v>
      </c>
      <c r="AT81" s="305" t="e">
        <f>'Qty &amp; UMH GUM'!AD81</f>
        <v>#REF!</v>
      </c>
      <c r="AU81" s="304" t="e">
        <f>ROUNDUP((AT81-AS81)/$AN$4,0)</f>
        <v>#REF!</v>
      </c>
      <c r="AV81" s="311"/>
    </row>
    <row r="82" spans="1:49" customHeight="1" ht="18.75">
      <c r="A82" s="537"/>
      <c r="B82" s="332" t="str">
        <f>'Qty &amp; UMH GUM'!C82</f>
        <v>82111-4DX80</v>
      </c>
      <c r="C82" s="303" t="str">
        <f>+'Qty &amp; UMH GUM'!B82</f>
        <v>GAS-LHD</v>
      </c>
      <c r="D82" s="324" t="e">
        <f>VLOOKUP($B82,#REF!,10,0)</f>
        <v>#REF!</v>
      </c>
      <c r="E82" s="324" t="e">
        <f>VLOOKUP($B82,#REF!,11,0)</f>
        <v>#REF!</v>
      </c>
      <c r="F82" s="324" t="e">
        <f>VLOOKUP($B82,#REF!,12,0)</f>
        <v>#REF!</v>
      </c>
      <c r="G82" s="324" t="e">
        <f>VLOOKUP($B82,#REF!,13,0)</f>
        <v>#REF!</v>
      </c>
      <c r="H82" s="324" t="e">
        <f>VLOOKUP($B82,#REF!,14,0)</f>
        <v>#REF!</v>
      </c>
      <c r="I82" s="304" t="e">
        <f>SUM(D82:D82)</f>
        <v>#REF!</v>
      </c>
      <c r="J82" s="305" t="e">
        <f>'Qty &amp; UMH GUM'!R82</f>
        <v>#REF!</v>
      </c>
      <c r="K82" s="305" t="e">
        <f>ROUNDUP((J82-I82)/$D$4,0)</f>
        <v>#REF!</v>
      </c>
      <c r="L82" s="306"/>
      <c r="M82" s="324" t="e">
        <f>VLOOKUP($B82,#REF!,16,0)</f>
        <v>#REF!</v>
      </c>
      <c r="N82" s="324" t="e">
        <f>VLOOKUP($B82,#REF!,17,0)</f>
        <v>#REF!</v>
      </c>
      <c r="O82" s="324" t="e">
        <f>VLOOKUP($B82,#REF!,18,0)</f>
        <v>#REF!</v>
      </c>
      <c r="P82" s="324" t="e">
        <f>VLOOKUP($B82,#REF!,19,0)</f>
        <v>#REF!</v>
      </c>
      <c r="Q82" s="324" t="e">
        <f>VLOOKUP($B82,#REF!,20,0)</f>
        <v>#REF!</v>
      </c>
      <c r="R82" s="304" t="e">
        <f>SUM(M82:M82)</f>
        <v>#REF!</v>
      </c>
      <c r="S82" s="305" t="e">
        <f>'Qty &amp; UMH GUM'!U82</f>
        <v>#REF!</v>
      </c>
      <c r="T82" s="305" t="e">
        <f>ROUNDUP((S82-R82)/$M$4,0)</f>
        <v>#REF!</v>
      </c>
      <c r="U82" s="307"/>
      <c r="V82" s="324" t="e">
        <f>VLOOKUP($B82,#REF!,22,0)</f>
        <v>#REF!</v>
      </c>
      <c r="W82" s="324" t="e">
        <f>VLOOKUP($B82,#REF!,23,0)</f>
        <v>#REF!</v>
      </c>
      <c r="X82" s="324" t="e">
        <f>VLOOKUP($B82,#REF!,24,0)</f>
        <v>#REF!</v>
      </c>
      <c r="Y82" s="324" t="e">
        <f>VLOOKUP($B82,#REF!,25,0)</f>
        <v>#REF!</v>
      </c>
      <c r="Z82" s="324" t="e">
        <f>VLOOKUP($B82,#REF!,26,0)</f>
        <v>#REF!</v>
      </c>
      <c r="AA82" s="304" t="e">
        <f>SUM(V82:V82)</f>
        <v>#REF!</v>
      </c>
      <c r="AB82" s="305" t="e">
        <f>'Qty &amp; UMH GUM'!X82</f>
        <v>#REF!</v>
      </c>
      <c r="AC82" s="304" t="e">
        <f>ROUNDUP((AB82-AA82)/$V$4,0)</f>
        <v>#REF!</v>
      </c>
      <c r="AD82" s="307"/>
      <c r="AE82" s="324" t="e">
        <f>VLOOKUP($B82,#REF!,28,0)</f>
        <v>#REF!</v>
      </c>
      <c r="AF82" s="324" t="e">
        <f>VLOOKUP($B82,#REF!,29,0)</f>
        <v>#REF!</v>
      </c>
      <c r="AG82" s="324" t="e">
        <f>VLOOKUP($B82,#REF!,30,0)</f>
        <v>#REF!</v>
      </c>
      <c r="AH82" s="324" t="e">
        <f>VLOOKUP($B82,#REF!,31,0)</f>
        <v>#REF!</v>
      </c>
      <c r="AI82" s="324" t="e">
        <f>VLOOKUP($B82,#REF!,32,0)</f>
        <v>#REF!</v>
      </c>
      <c r="AJ82" s="304" t="e">
        <f>SUM(AE82:AE82)</f>
        <v>#REF!</v>
      </c>
      <c r="AK82" s="305" t="e">
        <f>'Qty &amp; UMH GUM'!AA82</f>
        <v>#REF!</v>
      </c>
      <c r="AL82" s="304" t="e">
        <f>ROUNDUP((AK82-AJ82)/$AE$4,0)</f>
        <v>#REF!</v>
      </c>
      <c r="AM82" s="309"/>
      <c r="AN82" s="308" t="e">
        <f>VLOOKUP($B82,#REF!,34,0)</f>
        <v>#REF!</v>
      </c>
      <c r="AO82" s="304" t="e">
        <f>VLOOKUP($B82,#REF!,35,0)</f>
        <v>#REF!</v>
      </c>
      <c r="AP82" s="304" t="e">
        <f>VLOOKUP($B82,#REF!,36,0)</f>
        <v>#REF!</v>
      </c>
      <c r="AQ82" s="304" t="e">
        <f>VLOOKUP($B82,#REF!,37,0)</f>
        <v>#REF!</v>
      </c>
      <c r="AR82" s="304"/>
      <c r="AS82" s="304" t="e">
        <f>SUM(AN82:AN82)</f>
        <v>#REF!</v>
      </c>
      <c r="AT82" s="305" t="e">
        <f>'Qty &amp; UMH GUM'!AD82</f>
        <v>#REF!</v>
      </c>
      <c r="AU82" s="304" t="e">
        <f>ROUNDUP((AT82-AS82)/$AN$4,0)</f>
        <v>#REF!</v>
      </c>
      <c r="AV82" s="311"/>
    </row>
    <row r="83" spans="1:49" customHeight="1" ht="18.75">
      <c r="A83" s="537"/>
      <c r="B83" s="332" t="str">
        <f>'Qty &amp; UMH GUM'!C83</f>
        <v>82111-4DX90</v>
      </c>
      <c r="C83" s="303" t="str">
        <f>+'Qty &amp; UMH GUM'!B83</f>
        <v>HEV-LHD</v>
      </c>
      <c r="D83" s="324" t="e">
        <f>VLOOKUP($B83,#REF!,10,0)</f>
        <v>#REF!</v>
      </c>
      <c r="E83" s="324" t="e">
        <f>VLOOKUP($B83,#REF!,11,0)</f>
        <v>#REF!</v>
      </c>
      <c r="F83" s="324" t="e">
        <f>VLOOKUP($B83,#REF!,12,0)</f>
        <v>#REF!</v>
      </c>
      <c r="G83" s="324" t="e">
        <f>VLOOKUP($B83,#REF!,13,0)</f>
        <v>#REF!</v>
      </c>
      <c r="H83" s="324" t="e">
        <f>VLOOKUP($B83,#REF!,14,0)</f>
        <v>#REF!</v>
      </c>
      <c r="I83" s="304" t="e">
        <f>SUM(D83:D83)</f>
        <v>#REF!</v>
      </c>
      <c r="J83" s="305" t="e">
        <f>'Qty &amp; UMH GUM'!R83</f>
        <v>#REF!</v>
      </c>
      <c r="K83" s="305" t="e">
        <f>ROUNDUP((J83-I83)/$D$4,0)</f>
        <v>#REF!</v>
      </c>
      <c r="L83" s="306"/>
      <c r="M83" s="324" t="e">
        <f>VLOOKUP($B83,#REF!,16,0)</f>
        <v>#REF!</v>
      </c>
      <c r="N83" s="324" t="e">
        <f>VLOOKUP($B83,#REF!,17,0)</f>
        <v>#REF!</v>
      </c>
      <c r="O83" s="324" t="e">
        <f>VLOOKUP($B83,#REF!,18,0)</f>
        <v>#REF!</v>
      </c>
      <c r="P83" s="324" t="e">
        <f>VLOOKUP($B83,#REF!,19,0)</f>
        <v>#REF!</v>
      </c>
      <c r="Q83" s="324" t="e">
        <f>VLOOKUP($B83,#REF!,20,0)</f>
        <v>#REF!</v>
      </c>
      <c r="R83" s="304" t="e">
        <f>SUM(M83:M83)</f>
        <v>#REF!</v>
      </c>
      <c r="S83" s="305" t="e">
        <f>'Qty &amp; UMH GUM'!U83</f>
        <v>#REF!</v>
      </c>
      <c r="T83" s="305" t="e">
        <f>ROUNDUP((S83-R83)/$M$4,0)</f>
        <v>#REF!</v>
      </c>
      <c r="U83" s="307"/>
      <c r="V83" s="324" t="e">
        <f>VLOOKUP($B83,#REF!,22,0)</f>
        <v>#REF!</v>
      </c>
      <c r="W83" s="324" t="e">
        <f>VLOOKUP($B83,#REF!,23,0)</f>
        <v>#REF!</v>
      </c>
      <c r="X83" s="324" t="e">
        <f>VLOOKUP($B83,#REF!,24,0)</f>
        <v>#REF!</v>
      </c>
      <c r="Y83" s="324" t="e">
        <f>VLOOKUP($B83,#REF!,25,0)</f>
        <v>#REF!</v>
      </c>
      <c r="Z83" s="324" t="e">
        <f>VLOOKUP($B83,#REF!,26,0)</f>
        <v>#REF!</v>
      </c>
      <c r="AA83" s="304" t="e">
        <f>SUM(V83:V83)</f>
        <v>#REF!</v>
      </c>
      <c r="AB83" s="305" t="e">
        <f>'Qty &amp; UMH GUM'!X83</f>
        <v>#REF!</v>
      </c>
      <c r="AC83" s="304" t="e">
        <f>ROUNDUP((AB83-AA83)/$V$4,0)</f>
        <v>#REF!</v>
      </c>
      <c r="AD83" s="307"/>
      <c r="AE83" s="324" t="e">
        <f>VLOOKUP($B83,#REF!,28,0)</f>
        <v>#REF!</v>
      </c>
      <c r="AF83" s="324" t="e">
        <f>VLOOKUP($B83,#REF!,29,0)</f>
        <v>#REF!</v>
      </c>
      <c r="AG83" s="324" t="e">
        <f>VLOOKUP($B83,#REF!,30,0)</f>
        <v>#REF!</v>
      </c>
      <c r="AH83" s="324" t="e">
        <f>VLOOKUP($B83,#REF!,31,0)</f>
        <v>#REF!</v>
      </c>
      <c r="AI83" s="324" t="e">
        <f>VLOOKUP($B83,#REF!,32,0)</f>
        <v>#REF!</v>
      </c>
      <c r="AJ83" s="304" t="e">
        <f>SUM(AE83:AE83)</f>
        <v>#REF!</v>
      </c>
      <c r="AK83" s="305" t="e">
        <f>'Qty &amp; UMH GUM'!AA83</f>
        <v>#REF!</v>
      </c>
      <c r="AL83" s="304" t="e">
        <f>ROUNDUP((AK83-AJ83)/$AE$4,0)</f>
        <v>#REF!</v>
      </c>
      <c r="AM83" s="309"/>
      <c r="AN83" s="308" t="e">
        <f>VLOOKUP($B83,#REF!,34,0)</f>
        <v>#REF!</v>
      </c>
      <c r="AO83" s="304" t="e">
        <f>VLOOKUP($B83,#REF!,35,0)</f>
        <v>#REF!</v>
      </c>
      <c r="AP83" s="304" t="e">
        <f>VLOOKUP($B83,#REF!,36,0)</f>
        <v>#REF!</v>
      </c>
      <c r="AQ83" s="304" t="e">
        <f>VLOOKUP($B83,#REF!,37,0)</f>
        <v>#REF!</v>
      </c>
      <c r="AR83" s="304"/>
      <c r="AS83" s="304" t="e">
        <f>SUM(AN83:AN83)</f>
        <v>#REF!</v>
      </c>
      <c r="AT83" s="305" t="e">
        <f>'Qty &amp; UMH GUM'!AD83</f>
        <v>#REF!</v>
      </c>
      <c r="AU83" s="304" t="e">
        <f>ROUNDUP((AT83-AS83)/$AN$4,0)</f>
        <v>#REF!</v>
      </c>
      <c r="AV83" s="311"/>
    </row>
    <row r="84" spans="1:49" customHeight="1" ht="18.75">
      <c r="A84" s="537"/>
      <c r="B84" s="332" t="str">
        <f>'Qty &amp; UMH GUM'!C84</f>
        <v>82111-4DY10</v>
      </c>
      <c r="C84" s="303" t="str">
        <f>+'Qty &amp; UMH GUM'!B84</f>
        <v>HEV-RHD</v>
      </c>
      <c r="D84" s="324" t="e">
        <f>VLOOKUP($B84,#REF!,10,0)</f>
        <v>#REF!</v>
      </c>
      <c r="E84" s="324" t="e">
        <f>VLOOKUP($B84,#REF!,11,0)</f>
        <v>#REF!</v>
      </c>
      <c r="F84" s="324" t="e">
        <f>VLOOKUP($B84,#REF!,12,0)</f>
        <v>#REF!</v>
      </c>
      <c r="G84" s="324" t="e">
        <f>VLOOKUP($B84,#REF!,13,0)</f>
        <v>#REF!</v>
      </c>
      <c r="H84" s="324" t="e">
        <f>VLOOKUP($B84,#REF!,14,0)</f>
        <v>#REF!</v>
      </c>
      <c r="I84" s="304" t="e">
        <f>SUM(D84:D84)</f>
        <v>#REF!</v>
      </c>
      <c r="J84" s="305" t="e">
        <f>'Qty &amp; UMH GUM'!R84</f>
        <v>#REF!</v>
      </c>
      <c r="K84" s="305" t="e">
        <f>ROUNDUP((J84-I84)/$D$4,0)</f>
        <v>#REF!</v>
      </c>
      <c r="L84" s="306"/>
      <c r="M84" s="324" t="e">
        <f>VLOOKUP($B84,#REF!,16,0)</f>
        <v>#REF!</v>
      </c>
      <c r="N84" s="324" t="e">
        <f>VLOOKUP($B84,#REF!,17,0)</f>
        <v>#REF!</v>
      </c>
      <c r="O84" s="324" t="e">
        <f>VLOOKUP($B84,#REF!,18,0)</f>
        <v>#REF!</v>
      </c>
      <c r="P84" s="324" t="e">
        <f>VLOOKUP($B84,#REF!,19,0)</f>
        <v>#REF!</v>
      </c>
      <c r="Q84" s="324" t="e">
        <f>VLOOKUP($B84,#REF!,20,0)</f>
        <v>#REF!</v>
      </c>
      <c r="R84" s="304" t="e">
        <f>SUM(M84:M84)</f>
        <v>#REF!</v>
      </c>
      <c r="S84" s="305" t="e">
        <f>'Qty &amp; UMH GUM'!U84</f>
        <v>#REF!</v>
      </c>
      <c r="T84" s="305" t="e">
        <f>ROUNDUP((S84-R84)/$M$4,0)</f>
        <v>#REF!</v>
      </c>
      <c r="U84" s="307"/>
      <c r="V84" s="324" t="e">
        <f>VLOOKUP($B84,#REF!,22,0)</f>
        <v>#REF!</v>
      </c>
      <c r="W84" s="324" t="e">
        <f>VLOOKUP($B84,#REF!,23,0)</f>
        <v>#REF!</v>
      </c>
      <c r="X84" s="324" t="e">
        <f>VLOOKUP($B84,#REF!,24,0)</f>
        <v>#REF!</v>
      </c>
      <c r="Y84" s="324" t="e">
        <f>VLOOKUP($B84,#REF!,25,0)</f>
        <v>#REF!</v>
      </c>
      <c r="Z84" s="324" t="e">
        <f>VLOOKUP($B84,#REF!,26,0)</f>
        <v>#REF!</v>
      </c>
      <c r="AA84" s="304" t="e">
        <f>SUM(V84:V84)</f>
        <v>#REF!</v>
      </c>
      <c r="AB84" s="305" t="e">
        <f>'Qty &amp; UMH GUM'!X84</f>
        <v>#REF!</v>
      </c>
      <c r="AC84" s="304" t="e">
        <f>ROUNDUP((AB84-AA84)/$V$4,0)</f>
        <v>#REF!</v>
      </c>
      <c r="AD84" s="307"/>
      <c r="AE84" s="324" t="e">
        <f>VLOOKUP($B84,#REF!,28,0)</f>
        <v>#REF!</v>
      </c>
      <c r="AF84" s="324" t="e">
        <f>VLOOKUP($B84,#REF!,29,0)</f>
        <v>#REF!</v>
      </c>
      <c r="AG84" s="324" t="e">
        <f>VLOOKUP($B84,#REF!,30,0)</f>
        <v>#REF!</v>
      </c>
      <c r="AH84" s="324" t="e">
        <f>VLOOKUP($B84,#REF!,31,0)</f>
        <v>#REF!</v>
      </c>
      <c r="AI84" s="324" t="e">
        <f>VLOOKUP($B84,#REF!,32,0)</f>
        <v>#REF!</v>
      </c>
      <c r="AJ84" s="304" t="e">
        <f>SUM(AE84:AE84)</f>
        <v>#REF!</v>
      </c>
      <c r="AK84" s="305" t="e">
        <f>'Qty &amp; UMH GUM'!AA84</f>
        <v>#REF!</v>
      </c>
      <c r="AL84" s="304" t="e">
        <f>ROUNDUP((AK84-AJ84)/$AE$4,0)</f>
        <v>#REF!</v>
      </c>
      <c r="AM84" s="309"/>
      <c r="AN84" s="308" t="e">
        <f>VLOOKUP($B84,#REF!,34,0)</f>
        <v>#REF!</v>
      </c>
      <c r="AO84" s="304" t="e">
        <f>VLOOKUP($B84,#REF!,35,0)</f>
        <v>#REF!</v>
      </c>
      <c r="AP84" s="304" t="e">
        <f>VLOOKUP($B84,#REF!,36,0)</f>
        <v>#REF!</v>
      </c>
      <c r="AQ84" s="304" t="e">
        <f>VLOOKUP($B84,#REF!,37,0)</f>
        <v>#REF!</v>
      </c>
      <c r="AR84" s="304"/>
      <c r="AS84" s="304" t="e">
        <f>SUM(AN84:AN84)</f>
        <v>#REF!</v>
      </c>
      <c r="AT84" s="305" t="e">
        <f>'Qty &amp; UMH GUM'!AD84</f>
        <v>#REF!</v>
      </c>
      <c r="AU84" s="304" t="e">
        <f>ROUNDUP((AT84-AS84)/$AN$4,0)</f>
        <v>#REF!</v>
      </c>
      <c r="AV84" s="311"/>
    </row>
    <row r="85" spans="1:49" customHeight="1" ht="18.75">
      <c r="A85" s="537"/>
      <c r="B85" s="332"/>
      <c r="C85" s="281"/>
      <c r="D85" s="324"/>
      <c r="E85" s="324"/>
      <c r="F85" s="324"/>
      <c r="G85" s="324"/>
      <c r="H85" s="324"/>
      <c r="I85" s="304"/>
      <c r="J85" s="305"/>
      <c r="K85" s="305"/>
      <c r="L85" s="306"/>
      <c r="M85" s="324"/>
      <c r="N85" s="324"/>
      <c r="O85" s="324"/>
      <c r="P85" s="324"/>
      <c r="Q85" s="324"/>
      <c r="R85" s="304"/>
      <c r="S85" s="305"/>
      <c r="T85" s="305"/>
      <c r="U85" s="307"/>
      <c r="V85" s="324"/>
      <c r="W85" s="324"/>
      <c r="X85" s="324"/>
      <c r="Y85" s="324"/>
      <c r="Z85" s="324"/>
      <c r="AA85" s="304"/>
      <c r="AB85" s="305"/>
      <c r="AC85" s="304"/>
      <c r="AD85" s="307"/>
      <c r="AE85" s="324"/>
      <c r="AF85" s="324"/>
      <c r="AG85" s="324"/>
      <c r="AH85" s="324"/>
      <c r="AI85" s="324"/>
      <c r="AJ85" s="304"/>
      <c r="AK85" s="305"/>
      <c r="AL85" s="304"/>
      <c r="AM85" s="309"/>
      <c r="AN85" s="308"/>
      <c r="AO85" s="304"/>
      <c r="AP85" s="304"/>
      <c r="AQ85" s="304"/>
      <c r="AR85" s="304"/>
      <c r="AS85" s="304"/>
      <c r="AT85" s="305"/>
      <c r="AU85" s="304"/>
      <c r="AV85" s="311"/>
    </row>
    <row r="86" spans="1:49" customHeight="1" ht="18.75">
      <c r="A86" s="537"/>
      <c r="B86" s="332"/>
      <c r="C86" s="281"/>
      <c r="D86" s="324"/>
      <c r="E86" s="324"/>
      <c r="F86" s="324"/>
      <c r="G86" s="324"/>
      <c r="H86" s="324"/>
      <c r="I86" s="304"/>
      <c r="J86" s="305"/>
      <c r="K86" s="305"/>
      <c r="L86" s="306"/>
      <c r="M86" s="324"/>
      <c r="N86" s="324"/>
      <c r="O86" s="324"/>
      <c r="P86" s="324"/>
      <c r="Q86" s="324"/>
      <c r="R86" s="304"/>
      <c r="S86" s="305"/>
      <c r="T86" s="305"/>
      <c r="U86" s="307"/>
      <c r="V86" s="324"/>
      <c r="W86" s="324"/>
      <c r="X86" s="324"/>
      <c r="Y86" s="324"/>
      <c r="Z86" s="324"/>
      <c r="AA86" s="304"/>
      <c r="AB86" s="305"/>
      <c r="AC86" s="304"/>
      <c r="AD86" s="307"/>
      <c r="AE86" s="324"/>
      <c r="AF86" s="324"/>
      <c r="AG86" s="324"/>
      <c r="AH86" s="324"/>
      <c r="AI86" s="324"/>
      <c r="AJ86" s="304"/>
      <c r="AK86" s="305"/>
      <c r="AL86" s="304"/>
      <c r="AM86" s="309"/>
      <c r="AN86" s="308"/>
      <c r="AO86" s="304"/>
      <c r="AP86" s="304"/>
      <c r="AQ86" s="304"/>
      <c r="AR86" s="304"/>
      <c r="AS86" s="304"/>
      <c r="AT86" s="305"/>
      <c r="AU86" s="304"/>
      <c r="AV86" s="311"/>
    </row>
    <row r="87" spans="1:49" customHeight="1" ht="18.75">
      <c r="A87" s="537"/>
      <c r="B87" s="332"/>
      <c r="C87" s="281"/>
      <c r="D87" s="324"/>
      <c r="E87" s="324"/>
      <c r="F87" s="324"/>
      <c r="G87" s="324"/>
      <c r="H87" s="324"/>
      <c r="I87" s="304"/>
      <c r="J87" s="305"/>
      <c r="K87" s="305"/>
      <c r="L87" s="306"/>
      <c r="M87" s="324"/>
      <c r="N87" s="324"/>
      <c r="O87" s="324"/>
      <c r="P87" s="324"/>
      <c r="Q87" s="324"/>
      <c r="R87" s="304"/>
      <c r="S87" s="305"/>
      <c r="T87" s="305"/>
      <c r="U87" s="307"/>
      <c r="V87" s="324"/>
      <c r="W87" s="324"/>
      <c r="X87" s="324"/>
      <c r="Y87" s="324"/>
      <c r="Z87" s="324"/>
      <c r="AA87" s="304"/>
      <c r="AB87" s="305"/>
      <c r="AC87" s="304"/>
      <c r="AD87" s="307"/>
      <c r="AE87" s="324"/>
      <c r="AF87" s="324"/>
      <c r="AG87" s="324"/>
      <c r="AH87" s="324"/>
      <c r="AI87" s="324"/>
      <c r="AJ87" s="304"/>
      <c r="AK87" s="305"/>
      <c r="AL87" s="304"/>
      <c r="AM87" s="309"/>
      <c r="AN87" s="308"/>
      <c r="AO87" s="304"/>
      <c r="AP87" s="304"/>
      <c r="AQ87" s="304"/>
      <c r="AR87" s="304"/>
      <c r="AS87" s="304"/>
      <c r="AT87" s="305"/>
      <c r="AU87" s="304"/>
      <c r="AV87" s="311"/>
    </row>
    <row r="88" spans="1:49" customHeight="1" ht="18.75">
      <c r="A88" s="537"/>
      <c r="B88" s="332"/>
      <c r="C88" s="281"/>
      <c r="D88" s="324"/>
      <c r="E88" s="324"/>
      <c r="F88" s="324"/>
      <c r="G88" s="324"/>
      <c r="H88" s="324"/>
      <c r="I88" s="304"/>
      <c r="J88" s="305"/>
      <c r="K88" s="305"/>
      <c r="L88" s="306"/>
      <c r="M88" s="324"/>
      <c r="N88" s="324"/>
      <c r="O88" s="324"/>
      <c r="P88" s="324"/>
      <c r="Q88" s="324"/>
      <c r="R88" s="304"/>
      <c r="S88" s="305"/>
      <c r="T88" s="305"/>
      <c r="U88" s="307"/>
      <c r="V88" s="324"/>
      <c r="W88" s="324"/>
      <c r="X88" s="324"/>
      <c r="Y88" s="324"/>
      <c r="Z88" s="324"/>
      <c r="AA88" s="304"/>
      <c r="AB88" s="305"/>
      <c r="AC88" s="304"/>
      <c r="AD88" s="307"/>
      <c r="AE88" s="324"/>
      <c r="AF88" s="324"/>
      <c r="AG88" s="324"/>
      <c r="AH88" s="324"/>
      <c r="AI88" s="324"/>
      <c r="AJ88" s="304"/>
      <c r="AK88" s="305"/>
      <c r="AL88" s="304"/>
      <c r="AM88" s="309"/>
      <c r="AN88" s="308"/>
      <c r="AO88" s="304"/>
      <c r="AP88" s="304"/>
      <c r="AQ88" s="304"/>
      <c r="AR88" s="304"/>
      <c r="AS88" s="304"/>
      <c r="AT88" s="305"/>
      <c r="AU88" s="304"/>
      <c r="AV88" s="311"/>
    </row>
    <row r="89" spans="1:49" customHeight="1" ht="18.75">
      <c r="A89" s="537"/>
      <c r="B89" s="332"/>
      <c r="C89" s="281"/>
      <c r="D89" s="324"/>
      <c r="E89" s="324"/>
      <c r="F89" s="324"/>
      <c r="G89" s="324"/>
      <c r="H89" s="324"/>
      <c r="I89" s="304"/>
      <c r="J89" s="305"/>
      <c r="K89" s="305"/>
      <c r="L89" s="306"/>
      <c r="M89" s="324"/>
      <c r="N89" s="324"/>
      <c r="O89" s="324"/>
      <c r="P89" s="324"/>
      <c r="Q89" s="324"/>
      <c r="R89" s="304"/>
      <c r="S89" s="305"/>
      <c r="T89" s="305"/>
      <c r="U89" s="307"/>
      <c r="V89" s="324"/>
      <c r="W89" s="324"/>
      <c r="X89" s="324"/>
      <c r="Y89" s="324"/>
      <c r="Z89" s="324"/>
      <c r="AA89" s="304"/>
      <c r="AB89" s="305"/>
      <c r="AC89" s="304"/>
      <c r="AD89" s="307"/>
      <c r="AE89" s="324"/>
      <c r="AF89" s="324"/>
      <c r="AG89" s="324"/>
      <c r="AH89" s="324"/>
      <c r="AI89" s="324"/>
      <c r="AJ89" s="304"/>
      <c r="AK89" s="305"/>
      <c r="AL89" s="304"/>
      <c r="AM89" s="309"/>
      <c r="AN89" s="308"/>
      <c r="AO89" s="304"/>
      <c r="AP89" s="304"/>
      <c r="AQ89" s="304"/>
      <c r="AR89" s="304"/>
      <c r="AS89" s="304"/>
      <c r="AT89" s="305"/>
      <c r="AU89" s="304"/>
      <c r="AV89" s="311"/>
    </row>
    <row r="90" spans="1:49" customHeight="1" ht="18.75">
      <c r="A90" s="537"/>
      <c r="B90" s="332"/>
      <c r="C90" s="281"/>
      <c r="D90" s="324"/>
      <c r="E90" s="324"/>
      <c r="F90" s="324"/>
      <c r="G90" s="324"/>
      <c r="H90" s="324"/>
      <c r="I90" s="304"/>
      <c r="J90" s="305"/>
      <c r="K90" s="305"/>
      <c r="L90" s="306"/>
      <c r="M90" s="324"/>
      <c r="N90" s="324"/>
      <c r="O90" s="324"/>
      <c r="P90" s="324"/>
      <c r="Q90" s="324"/>
      <c r="R90" s="304"/>
      <c r="S90" s="305"/>
      <c r="T90" s="305"/>
      <c r="U90" s="307"/>
      <c r="V90" s="324"/>
      <c r="W90" s="324"/>
      <c r="X90" s="324"/>
      <c r="Y90" s="324"/>
      <c r="Z90" s="324"/>
      <c r="AA90" s="304"/>
      <c r="AB90" s="305"/>
      <c r="AC90" s="304"/>
      <c r="AD90" s="307"/>
      <c r="AE90" s="324"/>
      <c r="AF90" s="324"/>
      <c r="AG90" s="324"/>
      <c r="AH90" s="324"/>
      <c r="AI90" s="324"/>
      <c r="AJ90" s="304"/>
      <c r="AK90" s="305"/>
      <c r="AL90" s="304"/>
      <c r="AM90" s="309"/>
      <c r="AN90" s="308"/>
      <c r="AO90" s="304"/>
      <c r="AP90" s="304"/>
      <c r="AQ90" s="304"/>
      <c r="AR90" s="304"/>
      <c r="AS90" s="304"/>
      <c r="AT90" s="305"/>
      <c r="AU90" s="304"/>
      <c r="AV90" s="311"/>
    </row>
    <row r="91" spans="1:49" customHeight="1" ht="18.75">
      <c r="A91" s="537"/>
      <c r="B91" s="332"/>
      <c r="C91" s="281"/>
      <c r="D91" s="324"/>
      <c r="E91" s="324"/>
      <c r="F91" s="324"/>
      <c r="G91" s="324"/>
      <c r="H91" s="324"/>
      <c r="I91" s="304"/>
      <c r="J91" s="305"/>
      <c r="K91" s="305"/>
      <c r="L91" s="306"/>
      <c r="M91" s="324"/>
      <c r="N91" s="324"/>
      <c r="O91" s="324"/>
      <c r="P91" s="324"/>
      <c r="Q91" s="324"/>
      <c r="R91" s="304"/>
      <c r="S91" s="305"/>
      <c r="T91" s="305"/>
      <c r="U91" s="307"/>
      <c r="V91" s="324"/>
      <c r="W91" s="324"/>
      <c r="X91" s="324"/>
      <c r="Y91" s="324"/>
      <c r="Z91" s="324"/>
      <c r="AA91" s="304"/>
      <c r="AB91" s="305"/>
      <c r="AC91" s="304"/>
      <c r="AD91" s="307"/>
      <c r="AE91" s="324"/>
      <c r="AF91" s="324"/>
      <c r="AG91" s="324"/>
      <c r="AH91" s="324"/>
      <c r="AI91" s="324"/>
      <c r="AJ91" s="304"/>
      <c r="AK91" s="305"/>
      <c r="AL91" s="304"/>
      <c r="AM91" s="309"/>
      <c r="AN91" s="308"/>
      <c r="AO91" s="304"/>
      <c r="AP91" s="304"/>
      <c r="AQ91" s="304"/>
      <c r="AR91" s="304"/>
      <c r="AS91" s="304"/>
      <c r="AT91" s="305"/>
      <c r="AU91" s="304"/>
      <c r="AV91" s="311"/>
    </row>
    <row r="92" spans="1:49" customHeight="1" ht="18.75">
      <c r="A92" s="537"/>
      <c r="B92" s="332"/>
      <c r="C92" s="281"/>
      <c r="D92" s="324"/>
      <c r="E92" s="324"/>
      <c r="F92" s="324"/>
      <c r="G92" s="324"/>
      <c r="H92" s="324"/>
      <c r="I92" s="304"/>
      <c r="J92" s="305"/>
      <c r="K92" s="305"/>
      <c r="L92" s="306"/>
      <c r="M92" s="324"/>
      <c r="N92" s="324"/>
      <c r="O92" s="324"/>
      <c r="P92" s="324"/>
      <c r="Q92" s="324"/>
      <c r="R92" s="304"/>
      <c r="S92" s="305"/>
      <c r="T92" s="305"/>
      <c r="U92" s="307"/>
      <c r="V92" s="324"/>
      <c r="W92" s="324"/>
      <c r="X92" s="324"/>
      <c r="Y92" s="324"/>
      <c r="Z92" s="324"/>
      <c r="AA92" s="304"/>
      <c r="AB92" s="305"/>
      <c r="AC92" s="304"/>
      <c r="AD92" s="307"/>
      <c r="AE92" s="324"/>
      <c r="AF92" s="324"/>
      <c r="AG92" s="324"/>
      <c r="AH92" s="324"/>
      <c r="AI92" s="324"/>
      <c r="AJ92" s="304"/>
      <c r="AK92" s="305"/>
      <c r="AL92" s="304"/>
      <c r="AM92" s="309"/>
      <c r="AN92" s="308"/>
      <c r="AO92" s="304"/>
      <c r="AP92" s="304"/>
      <c r="AQ92" s="304"/>
      <c r="AR92" s="304"/>
      <c r="AS92" s="304"/>
      <c r="AT92" s="305"/>
      <c r="AU92" s="304"/>
      <c r="AV92" s="311"/>
    </row>
    <row r="93" spans="1:49" customHeight="1" ht="18.75">
      <c r="A93" s="537"/>
      <c r="B93" s="332"/>
      <c r="C93" s="281"/>
      <c r="D93" s="324"/>
      <c r="E93" s="324"/>
      <c r="F93" s="324"/>
      <c r="G93" s="324"/>
      <c r="H93" s="324"/>
      <c r="I93" s="304"/>
      <c r="J93" s="305"/>
      <c r="K93" s="305"/>
      <c r="L93" s="306"/>
      <c r="M93" s="324"/>
      <c r="N93" s="324"/>
      <c r="O93" s="324"/>
      <c r="P93" s="324"/>
      <c r="Q93" s="324"/>
      <c r="R93" s="304"/>
      <c r="S93" s="305"/>
      <c r="T93" s="305"/>
      <c r="U93" s="307"/>
      <c r="V93" s="324"/>
      <c r="W93" s="324"/>
      <c r="X93" s="324"/>
      <c r="Y93" s="324"/>
      <c r="Z93" s="324"/>
      <c r="AA93" s="304"/>
      <c r="AB93" s="305"/>
      <c r="AC93" s="304"/>
      <c r="AD93" s="307"/>
      <c r="AE93" s="324"/>
      <c r="AF93" s="324"/>
      <c r="AG93" s="324"/>
      <c r="AH93" s="324"/>
      <c r="AI93" s="324"/>
      <c r="AJ93" s="304"/>
      <c r="AK93" s="305"/>
      <c r="AL93" s="304"/>
      <c r="AM93" s="309"/>
      <c r="AN93" s="308"/>
      <c r="AO93" s="304"/>
      <c r="AP93" s="304"/>
      <c r="AQ93" s="304"/>
      <c r="AR93" s="304"/>
      <c r="AS93" s="304"/>
      <c r="AT93" s="305"/>
      <c r="AU93" s="304"/>
      <c r="AV93" s="311"/>
    </row>
    <row r="94" spans="1:49" customHeight="1" ht="18.75">
      <c r="A94" s="538"/>
      <c r="B94" s="348"/>
      <c r="C94" s="333"/>
      <c r="D94" s="346"/>
      <c r="E94" s="346"/>
      <c r="F94" s="346"/>
      <c r="G94" s="346"/>
      <c r="H94" s="346"/>
      <c r="I94" s="334"/>
      <c r="J94" s="335"/>
      <c r="K94" s="335"/>
      <c r="L94" s="336"/>
      <c r="M94" s="346"/>
      <c r="N94" s="346"/>
      <c r="O94" s="346"/>
      <c r="P94" s="346"/>
      <c r="Q94" s="346"/>
      <c r="R94" s="334"/>
      <c r="S94" s="335"/>
      <c r="T94" s="335"/>
      <c r="U94" s="337"/>
      <c r="V94" s="346"/>
      <c r="W94" s="346"/>
      <c r="X94" s="346"/>
      <c r="Y94" s="346"/>
      <c r="Z94" s="346"/>
      <c r="AA94" s="334"/>
      <c r="AB94" s="335"/>
      <c r="AC94" s="334"/>
      <c r="AD94" s="337"/>
      <c r="AE94" s="346"/>
      <c r="AF94" s="346"/>
      <c r="AG94" s="346"/>
      <c r="AH94" s="346"/>
      <c r="AI94" s="346"/>
      <c r="AJ94" s="334"/>
      <c r="AK94" s="335"/>
      <c r="AL94" s="334"/>
      <c r="AM94" s="338"/>
      <c r="AN94" s="339"/>
      <c r="AO94" s="334"/>
      <c r="AP94" s="334"/>
      <c r="AQ94" s="334"/>
      <c r="AR94" s="334"/>
      <c r="AS94" s="334"/>
      <c r="AT94" s="335"/>
      <c r="AU94" s="334"/>
      <c r="AV94" s="340"/>
    </row>
    <row r="95" spans="1:49" customHeight="1" ht="18.75">
      <c r="A95" s="66"/>
      <c r="B95" s="344" t="s">
        <v>125</v>
      </c>
      <c r="C95" s="66"/>
      <c r="D95" s="345" t="e">
        <f>SUM(D9:D94)</f>
        <v>#REF!</v>
      </c>
      <c r="E95" s="345" t="e">
        <f>SUM(E9:E94)</f>
        <v>#REF!</v>
      </c>
      <c r="F95" s="345" t="e">
        <f>SUM(F9:F94)</f>
        <v>#REF!</v>
      </c>
      <c r="G95" s="345" t="e">
        <f>SUM(G9:G94)</f>
        <v>#REF!</v>
      </c>
      <c r="H95" s="345" t="e">
        <f>SUM(H9:H94)</f>
        <v>#REF!</v>
      </c>
      <c r="I95" s="345" t="e">
        <f>SUM(I9:I94)</f>
        <v>#REF!</v>
      </c>
      <c r="J95" s="345" t="e">
        <f>SUM(J9:J94)</f>
        <v>#REF!</v>
      </c>
      <c r="K95" s="345" t="e">
        <f>SUM(K9:K94)</f>
        <v>#REF!</v>
      </c>
      <c r="L95" s="345">
        <f>SUM(L9:L94)</f>
        <v>0</v>
      </c>
      <c r="M95" s="345" t="e">
        <f>SUM(M9:M94)</f>
        <v>#REF!</v>
      </c>
      <c r="N95" s="345" t="e">
        <f>SUM(N9:N94)</f>
        <v>#REF!</v>
      </c>
      <c r="O95" s="345" t="e">
        <f>SUM(O9:O94)</f>
        <v>#REF!</v>
      </c>
      <c r="P95" s="345" t="e">
        <f>SUM(P9:P94)</f>
        <v>#REF!</v>
      </c>
      <c r="Q95" s="345" t="e">
        <f>SUM(Q9:Q94)</f>
        <v>#REF!</v>
      </c>
      <c r="R95" s="345" t="e">
        <f>SUM(R9:R94)</f>
        <v>#REF!</v>
      </c>
      <c r="S95" s="345" t="e">
        <f>SUM(S9:S94)</f>
        <v>#REF!</v>
      </c>
      <c r="T95" s="345" t="e">
        <f>SUM(T9:T94)</f>
        <v>#REF!</v>
      </c>
      <c r="U95" s="345">
        <f>SUM(U9:U94)</f>
        <v>0</v>
      </c>
      <c r="V95" s="345" t="e">
        <f>SUM(V9:V94)</f>
        <v>#REF!</v>
      </c>
      <c r="W95" s="345" t="e">
        <f>SUM(W9:W94)</f>
        <v>#REF!</v>
      </c>
      <c r="X95" s="345" t="e">
        <f>SUM(X9:X94)</f>
        <v>#REF!</v>
      </c>
      <c r="Y95" s="345" t="e">
        <f>SUM(Y9:Y94)</f>
        <v>#REF!</v>
      </c>
      <c r="Z95" s="345" t="e">
        <f>SUM(Z9:Z94)</f>
        <v>#REF!</v>
      </c>
      <c r="AA95" s="345" t="e">
        <f>SUM(AA9:AA94)</f>
        <v>#REF!</v>
      </c>
      <c r="AB95" s="345" t="e">
        <f>SUM(AB9:AB94)</f>
        <v>#REF!</v>
      </c>
      <c r="AC95" s="345" t="e">
        <f>SUM(AC9:AC94)</f>
        <v>#REF!</v>
      </c>
      <c r="AD95" s="345">
        <f>SUM(AD9:AD94)</f>
        <v>0</v>
      </c>
      <c r="AE95" s="345" t="e">
        <f>SUM(AE9:AE94)</f>
        <v>#REF!</v>
      </c>
      <c r="AF95" s="345" t="e">
        <f>SUM(AF9:AF94)</f>
        <v>#REF!</v>
      </c>
      <c r="AG95" s="345" t="e">
        <f>SUM(AG9:AG94)</f>
        <v>#REF!</v>
      </c>
      <c r="AH95" s="345" t="e">
        <f>SUM(AH9:AH94)</f>
        <v>#REF!</v>
      </c>
      <c r="AI95" s="345" t="e">
        <f>SUM(AI9:AI94)</f>
        <v>#REF!</v>
      </c>
      <c r="AJ95" s="345" t="e">
        <f>SUM(AJ9:AJ94)</f>
        <v>#REF!</v>
      </c>
      <c r="AK95" s="345" t="e">
        <f>SUM(AK9:AK94)</f>
        <v>#REF!</v>
      </c>
      <c r="AL95" s="345" t="e">
        <f>SUM(AL9:AL94)</f>
        <v>#REF!</v>
      </c>
      <c r="AM95" s="345">
        <f>SUM(AM9:AM94)</f>
        <v>0</v>
      </c>
      <c r="AN95" s="345" t="e">
        <f>SUM(AN9:AN94)</f>
        <v>#REF!</v>
      </c>
      <c r="AO95" s="345" t="e">
        <f>SUM(AO9:AO94)</f>
        <v>#REF!</v>
      </c>
      <c r="AP95" s="345" t="e">
        <f>SUM(AP9:AP94)</f>
        <v>#REF!</v>
      </c>
      <c r="AQ95" s="345" t="e">
        <f>SUM(AQ9:AQ94)</f>
        <v>#REF!</v>
      </c>
      <c r="AR95" s="345">
        <f>SUM(AR9:AR94)</f>
        <v>0</v>
      </c>
      <c r="AS95" s="345" t="e">
        <f>SUM(AS9:AS94)</f>
        <v>#REF!</v>
      </c>
      <c r="AT95" s="345" t="e">
        <f>SUM(AT9:AT94)</f>
        <v>#REF!</v>
      </c>
      <c r="AU95" s="345" t="e">
        <f>SUM(AU9:AU94)</f>
        <v>#REF!</v>
      </c>
      <c r="AV95" s="345">
        <f>SUM(AV9:AV94)</f>
        <v>0</v>
      </c>
    </row>
    <row r="96" spans="1:49" customHeight="1" ht="12.75">
      <c r="A96" s="66"/>
      <c r="B96" s="344"/>
      <c r="C96" s="66"/>
      <c r="D96" s="345"/>
      <c r="E96" s="345"/>
      <c r="F96" s="345"/>
      <c r="G96" s="345"/>
      <c r="H96" s="345"/>
      <c r="I96" s="345"/>
      <c r="J96" s="345"/>
      <c r="K96" s="345"/>
      <c r="L96" s="345"/>
      <c r="M96" s="345"/>
      <c r="N96" s="345"/>
      <c r="O96" s="345"/>
      <c r="P96" s="345"/>
      <c r="Q96" s="345"/>
      <c r="R96" s="345"/>
      <c r="S96" s="345"/>
      <c r="T96" s="345"/>
      <c r="U96" s="345"/>
      <c r="V96" s="345"/>
      <c r="W96" s="345"/>
      <c r="X96" s="345"/>
      <c r="Y96" s="345"/>
      <c r="Z96" s="345"/>
      <c r="AA96" s="345"/>
      <c r="AB96" s="345"/>
      <c r="AC96" s="345"/>
      <c r="AD96" s="345"/>
      <c r="AE96" s="345"/>
      <c r="AF96" s="345"/>
      <c r="AG96" s="345"/>
      <c r="AH96" s="345"/>
      <c r="AI96" s="345"/>
      <c r="AJ96" s="345"/>
      <c r="AK96" s="345"/>
      <c r="AL96" s="345"/>
      <c r="AM96" s="345"/>
      <c r="AN96" s="345"/>
      <c r="AO96" s="345"/>
      <c r="AP96" s="345"/>
      <c r="AQ96" s="345"/>
      <c r="AR96" s="345"/>
      <c r="AS96" s="345"/>
      <c r="AT96" s="345"/>
      <c r="AU96" s="345"/>
      <c r="AV96" s="345"/>
    </row>
    <row r="97" spans="1:49" customHeight="1" ht="12.75">
      <c r="A97" s="66"/>
      <c r="B97" s="66"/>
      <c r="C97" s="66"/>
      <c r="J97" s="66"/>
      <c r="K97" s="66"/>
      <c r="L97" s="66"/>
    </row>
    <row r="98" spans="1:49" customHeight="1" ht="12.75">
      <c r="A98" s="66"/>
      <c r="B98" s="66"/>
      <c r="C98" s="66"/>
      <c r="J98" s="66"/>
      <c r="K98" s="66"/>
      <c r="L98" s="66"/>
    </row>
    <row r="99" spans="1:49" customHeight="1" ht="12.75">
      <c r="A99" s="66"/>
      <c r="B99" s="66"/>
      <c r="C99" s="66"/>
      <c r="J99" s="66"/>
      <c r="K99" s="66"/>
      <c r="L99" s="66"/>
    </row>
    <row r="100" spans="1:49" customHeight="1" ht="12.75">
      <c r="A100" s="66"/>
      <c r="B100" s="66"/>
      <c r="C100" s="66"/>
      <c r="J100" s="66"/>
      <c r="K100" s="66"/>
      <c r="L100" s="66"/>
    </row>
    <row r="101" spans="1:49" customHeight="1" ht="12.75">
      <c r="A101" s="66"/>
      <c r="B101" s="66"/>
      <c r="C101" s="66"/>
      <c r="J101" s="66"/>
      <c r="K101" s="66"/>
      <c r="L101" s="66"/>
    </row>
    <row r="102" spans="1:49" customHeight="1" ht="12.75">
      <c r="A102" s="66"/>
      <c r="B102" s="66"/>
      <c r="C102" s="66"/>
      <c r="J102" s="66"/>
      <c r="K102" s="66"/>
      <c r="L102" s="66"/>
    </row>
    <row r="103" spans="1:49" customHeight="1" ht="12.75">
      <c r="A103" s="66"/>
      <c r="B103" s="66"/>
      <c r="C103" s="66"/>
      <c r="J103" s="66"/>
      <c r="K103" s="66"/>
      <c r="L103" s="66"/>
    </row>
    <row r="104" spans="1:49" customHeight="1" ht="12.75">
      <c r="A104" s="66"/>
      <c r="B104" s="66"/>
      <c r="C104" s="66"/>
      <c r="J104" s="66"/>
      <c r="K104" s="66"/>
      <c r="L104" s="66"/>
    </row>
    <row r="105" spans="1:49" customHeight="1" ht="12.75">
      <c r="A105" s="66"/>
      <c r="B105" s="66"/>
      <c r="C105" s="66"/>
      <c r="J105" s="66"/>
      <c r="K105" s="66"/>
      <c r="L105" s="66"/>
    </row>
    <row r="106" spans="1:49" customHeight="1" ht="12.75">
      <c r="A106" s="66"/>
      <c r="B106" s="66"/>
      <c r="C106" s="66"/>
      <c r="J106" s="66"/>
      <c r="K106" s="66"/>
      <c r="L106" s="66"/>
    </row>
    <row r="107" spans="1:49" customHeight="1" ht="12.75">
      <c r="A107" s="66"/>
      <c r="B107" s="66"/>
      <c r="C107" s="66"/>
      <c r="J107" s="66"/>
      <c r="K107" s="66"/>
      <c r="L107" s="66"/>
    </row>
    <row r="108" spans="1:49" customHeight="1" ht="12.75">
      <c r="A108" s="66"/>
      <c r="B108" s="66"/>
      <c r="C108" s="66"/>
      <c r="J108" s="66"/>
      <c r="K108" s="66"/>
      <c r="L108" s="66"/>
    </row>
    <row r="109" spans="1:49" customHeight="1" ht="12.75">
      <c r="A109" s="66"/>
      <c r="B109" s="66"/>
      <c r="C109" s="66"/>
      <c r="J109" s="66"/>
      <c r="K109" s="66"/>
      <c r="L109" s="66"/>
    </row>
    <row r="110" spans="1:49" customHeight="1" ht="12.75">
      <c r="A110" s="66"/>
      <c r="B110" s="66"/>
      <c r="C110" s="66"/>
      <c r="J110" s="66"/>
      <c r="K110" s="66"/>
      <c r="L110" s="66"/>
    </row>
    <row r="111" spans="1:49" customHeight="1" ht="12.75">
      <c r="A111" s="66"/>
      <c r="B111" s="66"/>
      <c r="C111" s="66"/>
      <c r="J111" s="66"/>
      <c r="K111" s="66"/>
      <c r="L111" s="66"/>
    </row>
    <row r="112" spans="1:49" customHeight="1" ht="12.75">
      <c r="A112" s="66"/>
      <c r="B112" s="66"/>
      <c r="C112" s="66"/>
      <c r="J112" s="66"/>
      <c r="K112" s="66"/>
      <c r="L112" s="66"/>
    </row>
    <row r="113" spans="1:49" customHeight="1" ht="12.75">
      <c r="A113" s="66"/>
      <c r="B113" s="66"/>
      <c r="C113" s="66"/>
      <c r="J113" s="66"/>
      <c r="K113" s="66"/>
      <c r="L113" s="66"/>
    </row>
    <row r="114" spans="1:49" customHeight="1" ht="12.75">
      <c r="A114" s="66"/>
      <c r="B114" s="66"/>
      <c r="C114" s="66"/>
      <c r="J114" s="66"/>
      <c r="K114" s="66"/>
      <c r="L114" s="66"/>
    </row>
    <row r="115" spans="1:49" customHeight="1" ht="12.75">
      <c r="A115" s="66"/>
      <c r="B115" s="66"/>
      <c r="C115" s="66"/>
      <c r="J115" s="66"/>
      <c r="K115" s="66"/>
      <c r="L115" s="66"/>
    </row>
    <row r="116" spans="1:49" customHeight="1" ht="12.75">
      <c r="A116" s="66"/>
      <c r="B116" s="66"/>
      <c r="C116" s="66"/>
      <c r="J116" s="66"/>
      <c r="K116" s="66"/>
      <c r="L116" s="66"/>
    </row>
    <row r="117" spans="1:49" customHeight="1" ht="12.75">
      <c r="A117" s="66"/>
      <c r="B117" s="66"/>
      <c r="C117" s="66"/>
      <c r="J117" s="66"/>
      <c r="K117" s="66"/>
      <c r="L117" s="66"/>
    </row>
    <row r="118" spans="1:49" customHeight="1" ht="12.75">
      <c r="A118" s="66"/>
      <c r="B118" s="66"/>
      <c r="C118" s="66"/>
      <c r="J118" s="66"/>
      <c r="K118" s="66"/>
      <c r="L118" s="66"/>
    </row>
    <row r="119" spans="1:49" customHeight="1" ht="12.75">
      <c r="A119" s="66"/>
      <c r="B119" s="66"/>
      <c r="C119" s="66"/>
      <c r="J119" s="66"/>
      <c r="K119" s="66"/>
      <c r="L119" s="66"/>
    </row>
    <row r="120" spans="1:49" customHeight="1" ht="12.75">
      <c r="A120" s="66"/>
      <c r="B120" s="66"/>
      <c r="C120" s="66"/>
      <c r="J120" s="66"/>
      <c r="K120" s="66"/>
      <c r="L120" s="66"/>
    </row>
    <row r="121" spans="1:49" customHeight="1" ht="12.75">
      <c r="A121" s="66"/>
      <c r="B121" s="66"/>
      <c r="C121" s="66"/>
      <c r="J121" s="66"/>
      <c r="K121" s="66"/>
      <c r="L121" s="66"/>
    </row>
    <row r="122" spans="1:49" customHeight="1" ht="12.75">
      <c r="A122" s="66"/>
      <c r="B122" s="66"/>
      <c r="C122" s="66"/>
      <c r="J122" s="66"/>
      <c r="K122" s="66"/>
      <c r="L122" s="66"/>
    </row>
    <row r="123" spans="1:49" customHeight="1" ht="12.75">
      <c r="A123" s="66"/>
      <c r="B123" s="66"/>
      <c r="C123" s="66"/>
      <c r="J123" s="66"/>
      <c r="K123" s="66"/>
      <c r="L123" s="66"/>
    </row>
    <row r="124" spans="1:49" customHeight="1" ht="12.75">
      <c r="A124" s="66"/>
      <c r="B124" s="66"/>
      <c r="C124" s="66"/>
      <c r="J124" s="66"/>
      <c r="K124" s="66"/>
      <c r="L124" s="66"/>
    </row>
    <row r="125" spans="1:49" customHeight="1" ht="12.75">
      <c r="A125" s="66"/>
      <c r="B125" s="66"/>
      <c r="C125" s="66"/>
      <c r="J125" s="66"/>
      <c r="K125" s="66"/>
      <c r="L125" s="66"/>
    </row>
    <row r="126" spans="1:49" customHeight="1" ht="12.75">
      <c r="A126" s="66"/>
      <c r="B126" s="66"/>
      <c r="C126" s="66"/>
      <c r="J126" s="66"/>
      <c r="K126" s="66"/>
      <c r="L126" s="66"/>
    </row>
    <row r="127" spans="1:49" customHeight="1" ht="12.75">
      <c r="A127" s="66"/>
      <c r="B127" s="66"/>
      <c r="C127" s="66"/>
      <c r="J127" s="66"/>
      <c r="K127" s="66"/>
      <c r="L127" s="66"/>
    </row>
    <row r="128" spans="1:49" customHeight="1" ht="12.75">
      <c r="A128" s="66"/>
      <c r="B128" s="66"/>
      <c r="C128" s="66"/>
      <c r="J128" s="66"/>
      <c r="K128" s="66"/>
      <c r="L128" s="66"/>
    </row>
    <row r="129" spans="1:49" customHeight="1" ht="12.75">
      <c r="A129" s="66"/>
      <c r="B129" s="66"/>
      <c r="C129" s="66"/>
      <c r="J129" s="66"/>
      <c r="K129" s="66"/>
      <c r="L129" s="66"/>
    </row>
    <row r="130" spans="1:49" customHeight="1" ht="12.75">
      <c r="A130" s="66"/>
      <c r="B130" s="66"/>
      <c r="C130" s="66"/>
      <c r="J130" s="66"/>
      <c r="K130" s="66"/>
      <c r="L130" s="66"/>
    </row>
    <row r="131" spans="1:49" customHeight="1" ht="12.75">
      <c r="A131" s="66"/>
      <c r="B131" s="66"/>
      <c r="C131" s="66"/>
      <c r="J131" s="66"/>
      <c r="K131" s="66"/>
      <c r="L131" s="66"/>
    </row>
    <row r="132" spans="1:49" customHeight="1" ht="12.75">
      <c r="A132" s="66"/>
      <c r="B132" s="66"/>
      <c r="C132" s="66"/>
      <c r="J132" s="66"/>
      <c r="K132" s="66"/>
      <c r="L132" s="66"/>
    </row>
    <row r="133" spans="1:49" customHeight="1" ht="12.75">
      <c r="A133" s="66"/>
      <c r="B133" s="66"/>
      <c r="C133" s="66"/>
      <c r="J133" s="66"/>
      <c r="K133" s="66"/>
      <c r="L133" s="66"/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A9:A94"/>
    <mergeCell ref="M6:U7"/>
    <mergeCell ref="V6:AD7"/>
    <mergeCell ref="AE6:AM7"/>
    <mergeCell ref="AN6:AV7"/>
    <mergeCell ref="A6:A8"/>
    <mergeCell ref="B6:B8"/>
    <mergeCell ref="C6:C8"/>
    <mergeCell ref="D6:L7"/>
  </mergeCells>
  <conditionalFormatting sqref="AC9">
    <cfRule type="cellIs" dxfId="0" priority="1" operator="equal">
      <formula>B1</formula>
    </cfRule>
  </conditionalFormatting>
  <conditionalFormatting sqref="AL9">
    <cfRule type="cellIs" dxfId="0" priority="2" operator="equal">
      <formula>B1</formula>
    </cfRule>
  </conditionalFormatting>
  <conditionalFormatting sqref="AU9">
    <cfRule type="cellIs" dxfId="0" priority="3" operator="equal">
      <formula>B1</formula>
    </cfRule>
  </conditionalFormatting>
  <conditionalFormatting sqref="AC86:AC94">
    <cfRule type="cellIs" dxfId="0" priority="4" operator="equal">
      <formula>B1</formula>
    </cfRule>
  </conditionalFormatting>
  <conditionalFormatting sqref="AL86:AL94">
    <cfRule type="cellIs" dxfId="0" priority="5" operator="equal">
      <formula>B1</formula>
    </cfRule>
  </conditionalFormatting>
  <conditionalFormatting sqref="AU86:AU94">
    <cfRule type="cellIs" dxfId="0" priority="6" operator="equal">
      <formula>B1</formula>
    </cfRule>
  </conditionalFormatting>
  <conditionalFormatting sqref="K9">
    <cfRule type="cellIs" dxfId="1" priority="7" operator="equal">
      <formula>$L1</formula>
    </cfRule>
  </conditionalFormatting>
  <conditionalFormatting sqref="K86:K94">
    <cfRule type="cellIs" dxfId="1" priority="8" operator="equal">
      <formula>$L1</formula>
    </cfRule>
  </conditionalFormatting>
  <conditionalFormatting sqref="T9">
    <cfRule type="cellIs" dxfId="0" priority="9" operator="equal">
      <formula>B1</formula>
    </cfRule>
    <cfRule type="cellIs" dxfId="1" priority="10" operator="equal">
      <formula>$L1</formula>
    </cfRule>
  </conditionalFormatting>
  <conditionalFormatting sqref="T86:T94">
    <cfRule type="cellIs" dxfId="0" priority="11" operator="equal">
      <formula>B1</formula>
    </cfRule>
    <cfRule type="cellIs" dxfId="1" priority="12" operator="equal">
      <formula>$L1</formula>
    </cfRule>
  </conditionalFormatting>
  <conditionalFormatting sqref="AU10:AU12">
    <cfRule type="cellIs" dxfId="0" priority="13" operator="equal">
      <formula>B1</formula>
    </cfRule>
  </conditionalFormatting>
  <conditionalFormatting sqref="AL10:AL12">
    <cfRule type="cellIs" dxfId="0" priority="14" operator="equal">
      <formula>B1</formula>
    </cfRule>
  </conditionalFormatting>
  <conditionalFormatting sqref="AC10:AC12">
    <cfRule type="cellIs" dxfId="0" priority="15" operator="equal">
      <formula>B1</formula>
    </cfRule>
  </conditionalFormatting>
  <conditionalFormatting sqref="K10:K12">
    <cfRule type="cellIs" dxfId="1" priority="16" operator="equal">
      <formula>$L1</formula>
    </cfRule>
  </conditionalFormatting>
  <conditionalFormatting sqref="T10:T12">
    <cfRule type="cellIs" dxfId="0" priority="17" operator="equal">
      <formula>B1</formula>
    </cfRule>
    <cfRule type="cellIs" dxfId="1" priority="18" operator="equal">
      <formula>$L1</formula>
    </cfRule>
  </conditionalFormatting>
  <conditionalFormatting sqref="AC13:AC20">
    <cfRule type="cellIs" dxfId="0" priority="19" operator="equal">
      <formula>B1</formula>
    </cfRule>
  </conditionalFormatting>
  <conditionalFormatting sqref="AL13:AL20">
    <cfRule type="cellIs" dxfId="0" priority="20" operator="equal">
      <formula>B1</formula>
    </cfRule>
  </conditionalFormatting>
  <conditionalFormatting sqref="AU13:AU20">
    <cfRule type="cellIs" dxfId="0" priority="21" operator="equal">
      <formula>B1</formula>
    </cfRule>
  </conditionalFormatting>
  <conditionalFormatting sqref="K13:K20">
    <cfRule type="cellIs" dxfId="1" priority="22" operator="equal">
      <formula>$L1</formula>
    </cfRule>
  </conditionalFormatting>
  <conditionalFormatting sqref="T13:T20">
    <cfRule type="cellIs" dxfId="0" priority="23" operator="equal">
      <formula>B1</formula>
    </cfRule>
    <cfRule type="cellIs" dxfId="1" priority="24" operator="equal">
      <formula>$L1</formula>
    </cfRule>
  </conditionalFormatting>
  <conditionalFormatting sqref="AC21:AC35">
    <cfRule type="cellIs" dxfId="0" priority="25" operator="equal">
      <formula>B1</formula>
    </cfRule>
  </conditionalFormatting>
  <conditionalFormatting sqref="AL21:AL35">
    <cfRule type="cellIs" dxfId="0" priority="26" operator="equal">
      <formula>B1</formula>
    </cfRule>
  </conditionalFormatting>
  <conditionalFormatting sqref="AU21:AU35">
    <cfRule type="cellIs" dxfId="0" priority="27" operator="equal">
      <formula>B1</formula>
    </cfRule>
  </conditionalFormatting>
  <conditionalFormatting sqref="K21:K35">
    <cfRule type="cellIs" dxfId="1" priority="28" operator="equal">
      <formula>$L1</formula>
    </cfRule>
  </conditionalFormatting>
  <conditionalFormatting sqref="T21:T35">
    <cfRule type="cellIs" dxfId="0" priority="29" operator="equal">
      <formula>B1</formula>
    </cfRule>
    <cfRule type="cellIs" dxfId="1" priority="30" operator="equal">
      <formula>$L1</formula>
    </cfRule>
  </conditionalFormatting>
  <conditionalFormatting sqref="AC36:AC54">
    <cfRule type="cellIs" dxfId="0" priority="31" operator="equal">
      <formula>B1</formula>
    </cfRule>
  </conditionalFormatting>
  <conditionalFormatting sqref="AL36:AL54">
    <cfRule type="cellIs" dxfId="0" priority="32" operator="equal">
      <formula>B1</formula>
    </cfRule>
  </conditionalFormatting>
  <conditionalFormatting sqref="AU36:AU54">
    <cfRule type="cellIs" dxfId="0" priority="33" operator="equal">
      <formula>B1</formula>
    </cfRule>
  </conditionalFormatting>
  <conditionalFormatting sqref="K36:K54">
    <cfRule type="cellIs" dxfId="1" priority="34" operator="equal">
      <formula>$L1</formula>
    </cfRule>
  </conditionalFormatting>
  <conditionalFormatting sqref="T36:T54">
    <cfRule type="cellIs" dxfId="0" priority="35" operator="equal">
      <formula>B1</formula>
    </cfRule>
    <cfRule type="cellIs" dxfId="1" priority="36" operator="equal">
      <formula>$L1</formula>
    </cfRule>
  </conditionalFormatting>
  <conditionalFormatting sqref="AC55:AC62">
    <cfRule type="cellIs" dxfId="0" priority="37" operator="equal">
      <formula>B1</formula>
    </cfRule>
  </conditionalFormatting>
  <conditionalFormatting sqref="AL55:AL62">
    <cfRule type="cellIs" dxfId="0" priority="38" operator="equal">
      <formula>B1</formula>
    </cfRule>
  </conditionalFormatting>
  <conditionalFormatting sqref="AU55:AU62">
    <cfRule type="cellIs" dxfId="0" priority="39" operator="equal">
      <formula>B1</formula>
    </cfRule>
  </conditionalFormatting>
  <conditionalFormatting sqref="K55:K62">
    <cfRule type="cellIs" dxfId="1" priority="40" operator="equal">
      <formula>$L1</formula>
    </cfRule>
  </conditionalFormatting>
  <conditionalFormatting sqref="T55:T62">
    <cfRule type="cellIs" dxfId="0" priority="41" operator="equal">
      <formula>B1</formula>
    </cfRule>
    <cfRule type="cellIs" dxfId="1" priority="42" operator="equal">
      <formula>$L1</formula>
    </cfRule>
  </conditionalFormatting>
  <conditionalFormatting sqref="AC63">
    <cfRule type="cellIs" dxfId="0" priority="43" operator="equal">
      <formula>B1</formula>
    </cfRule>
  </conditionalFormatting>
  <conditionalFormatting sqref="AL63">
    <cfRule type="cellIs" dxfId="0" priority="44" operator="equal">
      <formula>B1</formula>
    </cfRule>
  </conditionalFormatting>
  <conditionalFormatting sqref="AU63">
    <cfRule type="cellIs" dxfId="0" priority="45" operator="equal">
      <formula>B1</formula>
    </cfRule>
  </conditionalFormatting>
  <conditionalFormatting sqref="K63">
    <cfRule type="cellIs" dxfId="1" priority="46" operator="equal">
      <formula>$L1</formula>
    </cfRule>
  </conditionalFormatting>
  <conditionalFormatting sqref="T63">
    <cfRule type="cellIs" dxfId="0" priority="47" operator="equal">
      <formula>B1</formula>
    </cfRule>
    <cfRule type="cellIs" dxfId="1" priority="48" operator="equal">
      <formula>$L1</formula>
    </cfRule>
  </conditionalFormatting>
  <conditionalFormatting sqref="AC64:AC79">
    <cfRule type="cellIs" dxfId="0" priority="49" operator="equal">
      <formula>B1</formula>
    </cfRule>
  </conditionalFormatting>
  <conditionalFormatting sqref="AL64:AL79">
    <cfRule type="cellIs" dxfId="0" priority="50" operator="equal">
      <formula>B1</formula>
    </cfRule>
  </conditionalFormatting>
  <conditionalFormatting sqref="AU64:AU79">
    <cfRule type="cellIs" dxfId="0" priority="51" operator="equal">
      <formula>B1</formula>
    </cfRule>
  </conditionalFormatting>
  <conditionalFormatting sqref="K64:K79">
    <cfRule type="cellIs" dxfId="1" priority="52" operator="equal">
      <formula>$L1</formula>
    </cfRule>
  </conditionalFormatting>
  <conditionalFormatting sqref="T64:T79">
    <cfRule type="cellIs" dxfId="0" priority="53" operator="equal">
      <formula>B1</formula>
    </cfRule>
    <cfRule type="cellIs" dxfId="1" priority="54" operator="equal">
      <formula>$L1</formula>
    </cfRule>
  </conditionalFormatting>
  <conditionalFormatting sqref="AC80:AC84">
    <cfRule type="cellIs" dxfId="0" priority="55" operator="equal">
      <formula>B1</formula>
    </cfRule>
  </conditionalFormatting>
  <conditionalFormatting sqref="AL80:AL84">
    <cfRule type="cellIs" dxfId="0" priority="56" operator="equal">
      <formula>B1</formula>
    </cfRule>
  </conditionalFormatting>
  <conditionalFormatting sqref="AU80:AU84">
    <cfRule type="cellIs" dxfId="0" priority="57" operator="equal">
      <formula>B1</formula>
    </cfRule>
  </conditionalFormatting>
  <conditionalFormatting sqref="K80:K84">
    <cfRule type="cellIs" dxfId="1" priority="58" operator="equal">
      <formula>$L1</formula>
    </cfRule>
  </conditionalFormatting>
  <conditionalFormatting sqref="T80:T84">
    <cfRule type="cellIs" dxfId="0" priority="59" operator="equal">
      <formula>B1</formula>
    </cfRule>
    <cfRule type="cellIs" dxfId="1" priority="60" operator="equal">
      <formula>$L1</formula>
    </cfRule>
  </conditionalFormatting>
  <conditionalFormatting sqref="AC85">
    <cfRule type="cellIs" dxfId="0" priority="61" operator="equal">
      <formula>B1</formula>
    </cfRule>
  </conditionalFormatting>
  <conditionalFormatting sqref="AL85">
    <cfRule type="cellIs" dxfId="0" priority="62" operator="equal">
      <formula>B1</formula>
    </cfRule>
  </conditionalFormatting>
  <conditionalFormatting sqref="AU85">
    <cfRule type="cellIs" dxfId="0" priority="63" operator="equal">
      <formula>B1</formula>
    </cfRule>
  </conditionalFormatting>
  <conditionalFormatting sqref="K85">
    <cfRule type="cellIs" dxfId="1" priority="64" operator="equal">
      <formula>$L1</formula>
    </cfRule>
  </conditionalFormatting>
  <conditionalFormatting sqref="T85">
    <cfRule type="cellIs" dxfId="0" priority="65" operator="equal">
      <formula>B1</formula>
    </cfRule>
    <cfRule type="cellIs" dxfId="1" priority="66" operator="equal">
      <formula>$L1</formula>
    </cfRule>
  </conditionalFormatting>
  <printOptions gridLines="false" gridLinesSet="true"/>
  <pageMargins left="0.70866141732283" right="0.70866141732283" top="0.74803149606299" bottom="0.74803149606299" header="0.31496062992126" footer="0.31496062992126"/>
  <pageSetup paperSize="9" orientation="portrait" scale="45" fitToHeight="2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A136"/>
  <sheetViews>
    <sheetView tabSelected="1" workbookViewId="0" zoomScale="70" zoomScaleNormal="70" showGridLines="true" showRowColHeaders="1">
      <pane xSplit="2" ySplit="8" topLeftCell="AC84" activePane="bottomRight" state="frozen"/>
      <selection pane="topRight"/>
      <selection pane="bottomLeft"/>
      <selection pane="bottomRight" activeCell="AU95" sqref="AU95"/>
    </sheetView>
  </sheetViews>
  <sheetFormatPr customHeight="true" defaultRowHeight="12.75" defaultColWidth="9.140625" outlineLevelRow="0" outlineLevelCol="0"/>
  <cols>
    <col min="1" max="1" width="10.7109375" customWidth="true" style="21"/>
    <col min="2" max="2" width="18.28515625" customWidth="true" style="21"/>
    <col min="3" max="3" width="8.7109375" customWidth="true" style="21"/>
    <col min="4" max="4" width="9.85546875" customWidth="true" style="12"/>
    <col min="5" max="5" width="9.85546875" customWidth="true" style="12"/>
    <col min="6" max="6" width="9.85546875" customWidth="true" style="12"/>
    <col min="7" max="7" width="9.85546875" customWidth="true" style="12"/>
    <col min="8" max="8" width="9.85546875" customWidth="true" style="12"/>
    <col min="9" max="9" width="9.85546875" customWidth="true" style="12"/>
    <col min="10" max="10" width="9.85546875" customWidth="true" style="21"/>
    <col min="11" max="11" width="9.85546875" customWidth="true" style="21"/>
    <col min="12" max="12" width="9.85546875" customWidth="true" style="21"/>
    <col min="13" max="13" width="9.85546875" customWidth="true" style="12"/>
    <col min="14" max="14" width="9.85546875" customWidth="true" style="12"/>
    <col min="15" max="15" width="9.85546875" customWidth="true" style="12"/>
    <col min="16" max="16" width="9.85546875" customWidth="true" style="12"/>
    <col min="17" max="17" width="9.85546875" customWidth="true" style="12"/>
    <col min="18" max="18" width="9.85546875" customWidth="true" style="12"/>
    <col min="19" max="19" width="9.85546875" customWidth="true" style="12"/>
    <col min="20" max="20" width="9.85546875" customWidth="true" style="12"/>
    <col min="21" max="21" width="9.85546875" customWidth="true" style="12"/>
    <col min="22" max="22" width="9.85546875" customWidth="true" style="12"/>
    <col min="23" max="23" width="9.85546875" customWidth="true" style="12"/>
    <col min="24" max="24" width="9.85546875" customWidth="true" style="12"/>
    <col min="25" max="25" width="9.85546875" customWidth="true" style="12"/>
    <col min="26" max="26" width="9.85546875" customWidth="true" style="12"/>
    <col min="27" max="27" width="9.85546875" customWidth="true" style="12"/>
    <col min="28" max="28" width="12.28515625" customWidth="true" style="12"/>
    <col min="29" max="29" width="9.85546875" customWidth="true" style="12"/>
    <col min="30" max="30" width="9.85546875" customWidth="true" style="12"/>
    <col min="31" max="31" width="9.85546875" customWidth="true" style="12"/>
    <col min="32" max="32" width="9.85546875" customWidth="true" style="12"/>
    <col min="33" max="33" width="9.85546875" customWidth="true" style="12"/>
    <col min="34" max="34" width="9.85546875" customWidth="true" style="12"/>
    <col min="35" max="35" width="9.85546875" customWidth="true" style="12"/>
    <col min="36" max="36" width="9.85546875" customWidth="true" style="12"/>
    <col min="37" max="37" width="9.85546875" customWidth="true" style="12"/>
    <col min="38" max="38" width="9.85546875" customWidth="true" style="12"/>
    <col min="39" max="39" width="9.85546875" customWidth="true" style="12"/>
    <col min="40" max="40" width="9.85546875" customWidth="true" style="12"/>
    <col min="41" max="41" width="9.85546875" customWidth="true" style="12"/>
    <col min="42" max="42" width="9.85546875" customWidth="true" style="12"/>
    <col min="43" max="43" width="9.85546875" customWidth="true" style="12"/>
    <col min="44" max="44" width="9.85546875" customWidth="true" style="12"/>
    <col min="45" max="45" width="9.85546875" customWidth="true" style="12"/>
    <col min="46" max="46" width="9.85546875" customWidth="true" style="12"/>
    <col min="47" max="47" width="9.85546875" customWidth="true" style="12"/>
    <col min="48" max="48" width="9.85546875" customWidth="true" style="12"/>
  </cols>
  <sheetData>
    <row r="1" spans="1:53" customHeight="1" ht="17.25">
      <c r="A1" s="282"/>
      <c r="B1" s="320">
        <v>1</v>
      </c>
      <c r="C1" s="320">
        <f>+B1+1</f>
        <v>2</v>
      </c>
      <c r="D1" s="320">
        <f>+C1+1</f>
        <v>3</v>
      </c>
      <c r="E1" s="320">
        <f>+D1+1</f>
        <v>4</v>
      </c>
      <c r="F1" s="320">
        <f>+E1+1</f>
        <v>5</v>
      </c>
      <c r="G1" s="320">
        <f>+F1+1</f>
        <v>6</v>
      </c>
      <c r="H1" s="320">
        <f>+G1+1</f>
        <v>7</v>
      </c>
      <c r="I1" s="320">
        <f>+H1+1</f>
        <v>8</v>
      </c>
      <c r="J1" s="320">
        <f>+I1+1</f>
        <v>9</v>
      </c>
      <c r="K1" s="320">
        <f>+J1+1</f>
        <v>10</v>
      </c>
      <c r="L1" s="320">
        <f>+K1+1</f>
        <v>11</v>
      </c>
      <c r="M1" s="320">
        <f>+L1+1</f>
        <v>12</v>
      </c>
      <c r="N1" s="320">
        <f>+M1+1</f>
        <v>13</v>
      </c>
      <c r="O1" s="320">
        <f>+N1+1</f>
        <v>14</v>
      </c>
      <c r="P1" s="320">
        <f>+O1+1</f>
        <v>15</v>
      </c>
      <c r="Q1" s="320">
        <f>+P1+1</f>
        <v>16</v>
      </c>
      <c r="R1" s="320">
        <f>+Q1+1</f>
        <v>17</v>
      </c>
      <c r="S1" s="320">
        <f>+R1+1</f>
        <v>18</v>
      </c>
      <c r="T1" s="320">
        <f>+S1+1</f>
        <v>19</v>
      </c>
      <c r="U1" s="320">
        <f>+T1+1</f>
        <v>20</v>
      </c>
      <c r="V1" s="320">
        <f>+U1+1</f>
        <v>21</v>
      </c>
      <c r="W1" s="320">
        <f>+V1+1</f>
        <v>22</v>
      </c>
      <c r="X1" s="320">
        <f>+W1+1</f>
        <v>23</v>
      </c>
      <c r="Y1" s="320">
        <f>+X1+1</f>
        <v>24</v>
      </c>
      <c r="Z1" s="320">
        <f>+Y1+1</f>
        <v>25</v>
      </c>
      <c r="AA1" s="320">
        <f>+Z1+1</f>
        <v>26</v>
      </c>
      <c r="AB1" s="320">
        <f>+AA1+1</f>
        <v>27</v>
      </c>
      <c r="AC1" s="320">
        <f>+AB1+1</f>
        <v>28</v>
      </c>
      <c r="AD1" s="320">
        <f>+AC1+1</f>
        <v>29</v>
      </c>
      <c r="AE1" s="320">
        <f>+AD1+1</f>
        <v>30</v>
      </c>
      <c r="AF1" s="320">
        <f>+AE1+1</f>
        <v>31</v>
      </c>
      <c r="AG1" s="320">
        <f>+AF1+1</f>
        <v>32</v>
      </c>
      <c r="AH1" s="320">
        <f>+AG1+1</f>
        <v>33</v>
      </c>
      <c r="AI1" s="320">
        <f>+AH1+1</f>
        <v>34</v>
      </c>
      <c r="AJ1" s="320">
        <f>+AI1+1</f>
        <v>35</v>
      </c>
      <c r="AK1" s="320">
        <f>+AJ1+1</f>
        <v>36</v>
      </c>
      <c r="AL1" s="320">
        <f>+AK1+1</f>
        <v>37</v>
      </c>
      <c r="AM1" s="320">
        <f>+AL1+1</f>
        <v>38</v>
      </c>
      <c r="AN1" s="320">
        <f>+AM1+1</f>
        <v>39</v>
      </c>
      <c r="AO1" s="320">
        <f>+AN1+1</f>
        <v>40</v>
      </c>
      <c r="AP1" s="320">
        <f>+AO1+1</f>
        <v>41</v>
      </c>
      <c r="AQ1" s="320">
        <f>+AP1+1</f>
        <v>42</v>
      </c>
      <c r="AR1" s="320">
        <f>+AQ1+1</f>
        <v>43</v>
      </c>
      <c r="AS1" s="320">
        <f>+AR1+1</f>
        <v>44</v>
      </c>
      <c r="AT1" s="320">
        <f>+AS1+1</f>
        <v>45</v>
      </c>
      <c r="AU1" s="320">
        <f>+AT1+1</f>
        <v>46</v>
      </c>
      <c r="AV1" s="320">
        <f>+AU1+1</f>
        <v>47</v>
      </c>
    </row>
    <row r="2" spans="1:53" customHeight="1" ht="18">
      <c r="A2" s="285" t="s">
        <v>2</v>
      </c>
      <c r="B2" s="286" t="str">
        <f>'AS400 JEMBATAN'!B2</f>
        <v>202603-10</v>
      </c>
      <c r="C2" s="287"/>
      <c r="D2" s="288"/>
      <c r="E2" s="289"/>
      <c r="F2" s="289"/>
      <c r="G2" s="289"/>
      <c r="H2" s="289"/>
      <c r="I2" s="289"/>
      <c r="J2" s="290"/>
      <c r="K2" s="290"/>
      <c r="L2" s="290"/>
      <c r="M2" s="289"/>
      <c r="N2" s="289"/>
      <c r="O2" s="289"/>
      <c r="P2" s="289"/>
      <c r="Q2" s="289"/>
      <c r="R2" s="289"/>
      <c r="S2" s="289"/>
      <c r="T2" s="289"/>
      <c r="U2" s="289"/>
      <c r="V2" s="289"/>
      <c r="W2" s="289"/>
      <c r="X2" s="289"/>
      <c r="Y2" s="289"/>
      <c r="Z2" s="289"/>
      <c r="AA2" s="289"/>
      <c r="AB2" s="289"/>
      <c r="AC2" s="289"/>
      <c r="AD2" s="289"/>
      <c r="AE2" s="289"/>
      <c r="AF2" s="289"/>
      <c r="AG2" s="289"/>
      <c r="AH2" s="289"/>
      <c r="AI2" s="289"/>
      <c r="AJ2" s="289"/>
      <c r="AK2" s="289"/>
      <c r="AL2" s="289"/>
      <c r="AM2" s="289"/>
      <c r="AN2" s="289"/>
      <c r="AO2" s="289"/>
      <c r="AP2" s="289"/>
      <c r="AQ2" s="289"/>
      <c r="AR2" s="289"/>
      <c r="AS2" s="289"/>
      <c r="AT2" s="289"/>
      <c r="AU2" s="289"/>
      <c r="AV2" s="289"/>
    </row>
    <row r="3" spans="1:53" customHeight="1" ht="14.25">
      <c r="A3" s="285" t="s">
        <v>7</v>
      </c>
      <c r="B3" s="291">
        <f>'AS400 JEMBATAN'!B3</f>
        <v>46092</v>
      </c>
      <c r="C3" s="287"/>
      <c r="D3" s="284"/>
      <c r="E3" s="284"/>
      <c r="F3" s="284"/>
      <c r="G3" s="284"/>
      <c r="H3" s="284"/>
      <c r="I3" s="284"/>
      <c r="J3" s="290"/>
      <c r="K3" s="290"/>
      <c r="L3" s="290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  <c r="AA3" s="284"/>
      <c r="AB3" s="284"/>
      <c r="AC3" s="284"/>
      <c r="AD3" s="284"/>
      <c r="AE3" s="284"/>
      <c r="AF3" s="284"/>
      <c r="AG3" s="284"/>
      <c r="AH3" s="284"/>
      <c r="AI3" s="284"/>
      <c r="AJ3" s="284"/>
      <c r="AK3" s="284"/>
      <c r="AL3" s="284"/>
      <c r="AM3" s="284"/>
      <c r="AN3" s="284"/>
      <c r="AO3" s="284"/>
      <c r="AP3" s="284"/>
      <c r="AQ3" s="284"/>
      <c r="AR3" s="284"/>
      <c r="AS3" s="284"/>
      <c r="AT3" s="284"/>
      <c r="AU3" s="284"/>
      <c r="AV3" s="284"/>
    </row>
    <row r="4" spans="1:53" customHeight="1" ht="12">
      <c r="A4" s="241"/>
      <c r="B4" s="286"/>
      <c r="C4" s="287"/>
      <c r="D4" s="292">
        <f>'AS400 JEMBATAN'!D4</f>
        <v>5</v>
      </c>
      <c r="E4" s="292"/>
      <c r="F4" s="292"/>
      <c r="G4" s="292"/>
      <c r="H4" s="292"/>
      <c r="I4" s="292"/>
      <c r="J4" s="293"/>
      <c r="K4" s="293"/>
      <c r="L4" s="293"/>
      <c r="M4" s="292">
        <f>'AS400 JEMBATAN'!M4</f>
        <v>4</v>
      </c>
      <c r="N4" s="292"/>
      <c r="O4" s="292"/>
      <c r="P4" s="292"/>
      <c r="Q4" s="292"/>
      <c r="R4" s="292"/>
      <c r="S4" s="292"/>
      <c r="T4" s="292"/>
      <c r="U4" s="292"/>
      <c r="V4" s="292">
        <f>'AS400 JEMBATAN'!V4</f>
        <v>4</v>
      </c>
      <c r="W4" s="292"/>
      <c r="X4" s="292"/>
      <c r="Y4" s="292"/>
      <c r="Z4" s="292"/>
      <c r="AA4" s="292"/>
      <c r="AB4" s="292"/>
      <c r="AC4" s="292"/>
      <c r="AD4" s="292"/>
      <c r="AE4" s="292">
        <f>'AS400 JEMBATAN'!AE4</f>
        <v>5</v>
      </c>
      <c r="AF4" s="292"/>
      <c r="AG4" s="292"/>
      <c r="AH4" s="292"/>
      <c r="AI4" s="292"/>
      <c r="AJ4" s="292"/>
      <c r="AK4" s="292"/>
      <c r="AL4" s="292"/>
      <c r="AM4" s="292"/>
      <c r="AN4" s="292">
        <f>'AS400 JEMBATAN'!AN4</f>
        <v>4</v>
      </c>
      <c r="AO4" s="292"/>
      <c r="AP4" s="292"/>
      <c r="AQ4" s="292"/>
      <c r="AR4" s="292"/>
      <c r="AS4" s="292"/>
      <c r="AT4" s="292"/>
      <c r="AU4" s="292"/>
      <c r="AV4" s="292"/>
    </row>
    <row r="5" spans="1:53" customHeight="1" ht="19.5">
      <c r="A5" s="290" t="s">
        <v>140</v>
      </c>
      <c r="B5" s="294">
        <f>NOW()</f>
        <v>46196.164664352</v>
      </c>
      <c r="C5" s="294"/>
      <c r="D5" s="295" t="s">
        <v>141</v>
      </c>
      <c r="E5" s="295"/>
      <c r="F5" s="295"/>
      <c r="G5" s="295"/>
      <c r="H5" s="295"/>
      <c r="I5" s="295"/>
      <c r="J5" s="294"/>
      <c r="K5" s="294"/>
      <c r="L5" s="294"/>
      <c r="M5" s="295" t="s">
        <v>142</v>
      </c>
      <c r="N5" s="295"/>
      <c r="O5" s="295"/>
      <c r="P5" s="295"/>
      <c r="Q5" s="295"/>
      <c r="R5" s="295"/>
      <c r="S5" s="295"/>
      <c r="T5" s="295"/>
      <c r="U5" s="295"/>
      <c r="V5" s="295" t="s">
        <v>143</v>
      </c>
      <c r="W5" s="295"/>
      <c r="X5" s="295"/>
      <c r="Y5" s="295"/>
      <c r="Z5" s="295"/>
      <c r="AA5" s="295"/>
      <c r="AB5" s="295"/>
      <c r="AC5" s="295"/>
      <c r="AD5" s="295"/>
      <c r="AE5" s="295" t="s">
        <v>144</v>
      </c>
      <c r="AF5" s="295"/>
      <c r="AG5" s="295"/>
      <c r="AH5" s="295"/>
      <c r="AI5" s="295"/>
      <c r="AJ5" s="295"/>
      <c r="AK5" s="295"/>
      <c r="AL5" s="295"/>
      <c r="AM5" s="295"/>
      <c r="AN5" s="295" t="s">
        <v>145</v>
      </c>
      <c r="AO5" s="295"/>
      <c r="AP5" s="295"/>
      <c r="AQ5" s="295"/>
      <c r="AR5" s="295"/>
      <c r="AS5" s="295"/>
      <c r="AT5" s="295"/>
      <c r="AU5" s="295"/>
      <c r="AV5" s="295"/>
    </row>
    <row r="6" spans="1:53" customHeight="1" ht="12.75">
      <c r="A6" s="549" t="s">
        <v>18</v>
      </c>
      <c r="B6" s="551" t="s">
        <v>19</v>
      </c>
      <c r="C6" s="553" t="s">
        <v>20</v>
      </c>
      <c r="D6" s="540" t="str">
        <f>'AS400 JEMBATAN'!D6</f>
        <v>APR</v>
      </c>
      <c r="E6" s="540"/>
      <c r="F6" s="540"/>
      <c r="G6" s="540"/>
      <c r="H6" s="540"/>
      <c r="I6" s="540"/>
      <c r="J6" s="540"/>
      <c r="K6" s="540"/>
      <c r="L6" s="541"/>
      <c r="M6" s="540" t="str">
        <f>'AS400 JEMBATAN'!M6</f>
        <v>MAY</v>
      </c>
      <c r="N6" s="540"/>
      <c r="O6" s="540"/>
      <c r="P6" s="540"/>
      <c r="Q6" s="540"/>
      <c r="R6" s="540"/>
      <c r="S6" s="540"/>
      <c r="T6" s="540"/>
      <c r="U6" s="541"/>
      <c r="V6" s="540" t="str">
        <f>'AS400 JEMBATAN'!V6</f>
        <v>JUN</v>
      </c>
      <c r="W6" s="540"/>
      <c r="X6" s="540"/>
      <c r="Y6" s="540"/>
      <c r="Z6" s="540"/>
      <c r="AA6" s="540"/>
      <c r="AB6" s="540"/>
      <c r="AC6" s="540"/>
      <c r="AD6" s="541"/>
      <c r="AE6" s="540" t="str">
        <f>'AS400 JEMBATAN'!AE6</f>
        <v>JUL</v>
      </c>
      <c r="AF6" s="540"/>
      <c r="AG6" s="540"/>
      <c r="AH6" s="540"/>
      <c r="AI6" s="540"/>
      <c r="AJ6" s="540"/>
      <c r="AK6" s="540"/>
      <c r="AL6" s="540"/>
      <c r="AM6" s="541"/>
      <c r="AN6" s="540" t="str">
        <f>'AS400 JEMBATAN'!AN6</f>
        <v>AUG</v>
      </c>
      <c r="AO6" s="540"/>
      <c r="AP6" s="540"/>
      <c r="AQ6" s="540"/>
      <c r="AR6" s="540"/>
      <c r="AS6" s="540"/>
      <c r="AT6" s="540"/>
      <c r="AU6" s="540"/>
      <c r="AV6" s="541"/>
    </row>
    <row r="7" spans="1:53" customHeight="1" ht="16.5">
      <c r="A7" s="549"/>
      <c r="B7" s="551"/>
      <c r="C7" s="553"/>
      <c r="D7" s="543"/>
      <c r="E7" s="543"/>
      <c r="F7" s="543"/>
      <c r="G7" s="543"/>
      <c r="H7" s="543"/>
      <c r="I7" s="543"/>
      <c r="J7" s="543"/>
      <c r="K7" s="543"/>
      <c r="L7" s="544"/>
      <c r="M7" s="543"/>
      <c r="N7" s="543"/>
      <c r="O7" s="543"/>
      <c r="P7" s="543"/>
      <c r="Q7" s="543"/>
      <c r="R7" s="543"/>
      <c r="S7" s="543"/>
      <c r="T7" s="543"/>
      <c r="U7" s="544"/>
      <c r="V7" s="543"/>
      <c r="W7" s="543"/>
      <c r="X7" s="543"/>
      <c r="Y7" s="543"/>
      <c r="Z7" s="543"/>
      <c r="AA7" s="543"/>
      <c r="AB7" s="543"/>
      <c r="AC7" s="543"/>
      <c r="AD7" s="544"/>
      <c r="AE7" s="543"/>
      <c r="AF7" s="543"/>
      <c r="AG7" s="543"/>
      <c r="AH7" s="543"/>
      <c r="AI7" s="543"/>
      <c r="AJ7" s="543"/>
      <c r="AK7" s="543"/>
      <c r="AL7" s="543"/>
      <c r="AM7" s="544"/>
      <c r="AN7" s="543"/>
      <c r="AO7" s="543"/>
      <c r="AP7" s="543"/>
      <c r="AQ7" s="543"/>
      <c r="AR7" s="543"/>
      <c r="AS7" s="543"/>
      <c r="AT7" s="543"/>
      <c r="AU7" s="543"/>
      <c r="AV7" s="544"/>
    </row>
    <row r="8" spans="1:53" customHeight="1" ht="18.75">
      <c r="A8" s="550"/>
      <c r="B8" s="552"/>
      <c r="C8" s="554"/>
      <c r="D8" s="297">
        <v>1</v>
      </c>
      <c r="E8" s="297">
        <v>2</v>
      </c>
      <c r="F8" s="297">
        <v>3</v>
      </c>
      <c r="G8" s="297">
        <v>4</v>
      </c>
      <c r="H8" s="297">
        <v>5</v>
      </c>
      <c r="I8" s="298" t="s">
        <v>146</v>
      </c>
      <c r="J8" s="299" t="s">
        <v>147</v>
      </c>
      <c r="K8" s="299" t="s">
        <v>40</v>
      </c>
      <c r="L8" s="300" t="s">
        <v>148</v>
      </c>
      <c r="M8" s="301">
        <v>1</v>
      </c>
      <c r="N8" s="297">
        <v>2</v>
      </c>
      <c r="O8" s="297">
        <v>3</v>
      </c>
      <c r="P8" s="297">
        <v>4</v>
      </c>
      <c r="Q8" s="297">
        <v>5</v>
      </c>
      <c r="R8" s="298" t="s">
        <v>146</v>
      </c>
      <c r="S8" s="298" t="s">
        <v>147</v>
      </c>
      <c r="T8" s="299" t="s">
        <v>40</v>
      </c>
      <c r="U8" s="300" t="s">
        <v>148</v>
      </c>
      <c r="V8" s="301">
        <v>1</v>
      </c>
      <c r="W8" s="297">
        <v>2</v>
      </c>
      <c r="X8" s="297">
        <v>3</v>
      </c>
      <c r="Y8" s="297">
        <v>4</v>
      </c>
      <c r="Z8" s="297">
        <f>+Y8+1</f>
        <v>5</v>
      </c>
      <c r="AA8" s="298" t="s">
        <v>146</v>
      </c>
      <c r="AB8" s="298" t="s">
        <v>147</v>
      </c>
      <c r="AC8" s="299" t="s">
        <v>40</v>
      </c>
      <c r="AD8" s="300" t="s">
        <v>148</v>
      </c>
      <c r="AE8" s="301">
        <v>1</v>
      </c>
      <c r="AF8" s="297">
        <v>2</v>
      </c>
      <c r="AG8" s="297">
        <v>3</v>
      </c>
      <c r="AH8" s="297">
        <v>4</v>
      </c>
      <c r="AI8" s="297">
        <v>5</v>
      </c>
      <c r="AJ8" s="298" t="s">
        <v>146</v>
      </c>
      <c r="AK8" s="298" t="s">
        <v>147</v>
      </c>
      <c r="AL8" s="299" t="s">
        <v>40</v>
      </c>
      <c r="AM8" s="300" t="s">
        <v>148</v>
      </c>
      <c r="AN8" s="301">
        <v>1</v>
      </c>
      <c r="AO8" s="297">
        <v>2</v>
      </c>
      <c r="AP8" s="297">
        <v>3</v>
      </c>
      <c r="AQ8" s="297">
        <v>4</v>
      </c>
      <c r="AR8" s="297">
        <v>5</v>
      </c>
      <c r="AS8" s="298" t="s">
        <v>146</v>
      </c>
      <c r="AT8" s="298" t="s">
        <v>147</v>
      </c>
      <c r="AU8" s="299" t="s">
        <v>40</v>
      </c>
      <c r="AV8" s="300" t="s">
        <v>148</v>
      </c>
      <c r="AW8" s="350"/>
      <c r="AX8" s="351"/>
      <c r="AY8" s="351"/>
      <c r="AZ8" s="351"/>
      <c r="BA8" s="351"/>
    </row>
    <row r="9" spans="1:53" customHeight="1" ht="18.75">
      <c r="A9" s="445"/>
      <c r="B9" s="342" t="str">
        <f>'Qty &amp; UMH GUM'!C9</f>
        <v>82111-4DT30</v>
      </c>
      <c r="C9" s="303"/>
      <c r="D9" s="304" t="e">
        <f>ROUNDUP(IF('AS400 JEMBATAN'!$J9&gt;='AS400 JEMBATAN'!$I9,'AS400 JEMBATAN'!D9,$J9/$D$4)+$L9,0)</f>
        <v>#REF!</v>
      </c>
      <c r="E9" s="304" t="e">
        <f>ROUNDUP(IF('AS400 JEMBATAN'!$J9&gt;='AS400 JEMBATAN'!$I9,'AS400 JEMBATAN'!E9,$J9/$D$4)+$L9,0)</f>
        <v>#REF!</v>
      </c>
      <c r="F9" s="304" t="e">
        <f>ROUNDUP(IF('AS400 JEMBATAN'!$J9&gt;='AS400 JEMBATAN'!$I9,'AS400 JEMBATAN'!F9,$J9/$D$4)+$L9,0)</f>
        <v>#REF!</v>
      </c>
      <c r="G9" s="304" t="e">
        <f>ROUNDUP(IF('AS400 JEMBATAN'!$J9&gt;='AS400 JEMBATAN'!$I9,'AS400 JEMBATAN'!G9,$J9/$D$4)+$L9,0)</f>
        <v>#REF!</v>
      </c>
      <c r="H9" s="304" t="e">
        <f>ROUNDUP(IF('AS400 JEMBATAN'!$J9&gt;='AS400 JEMBATAN'!$I9,'AS400 JEMBATAN'!H9,$J9/$D$4)+$L9,0)</f>
        <v>#REF!</v>
      </c>
      <c r="I9" s="304" t="e">
        <f>SUM(D9:H9)</f>
        <v>#REF!</v>
      </c>
      <c r="J9" s="305" t="e">
        <f>'Qty &amp; UMH GUM'!R9</f>
        <v>#REF!</v>
      </c>
      <c r="K9" s="305" t="e">
        <f>ROUNDUP((J9-I9)/$D$4,0)</f>
        <v>#REF!</v>
      </c>
      <c r="L9" s="306">
        <v>0.0</v>
      </c>
      <c r="M9" s="304" t="e">
        <f>ROUNDUP(IF('AS400 JEMBATAN'!$S9&gt;='AS400 JEMBATAN'!$R9,'AS400 JEMBATAN'!M9,$S9/$M$4)+$U9,0)</f>
        <v>#REF!</v>
      </c>
      <c r="N9" s="304" t="e">
        <f>ROUNDUP(IF('AS400 JEMBATAN'!$S9&gt;='AS400 JEMBATAN'!$R9,'AS400 JEMBATAN'!N9,$S9/$M$4)+$U9,0)</f>
        <v>#REF!</v>
      </c>
      <c r="O9" s="304" t="e">
        <f>ROUNDUP(IF('AS400 JEMBATAN'!$S9&gt;='AS400 JEMBATAN'!$R9,'AS400 JEMBATAN'!O9,$S9/$M$4)+$U9,0)</f>
        <v>#REF!</v>
      </c>
      <c r="P9" s="304" t="e">
        <f>ROUNDUP(IF('AS400 JEMBATAN'!$S9&gt;='AS400 JEMBATAN'!$R9,'AS400 JEMBATAN'!P9,$S9/$M$4)+$U9,0)</f>
        <v>#REF!</v>
      </c>
      <c r="Q9" s="304"/>
      <c r="R9" s="304" t="e">
        <f>SUM(M9:Q9)</f>
        <v>#REF!</v>
      </c>
      <c r="S9" s="305" t="e">
        <f>'Qty &amp; UMH GUM'!U9</f>
        <v>#REF!</v>
      </c>
      <c r="T9" s="305" t="e">
        <f>ROUNDUP((S9-R9)/$M$4,0)</f>
        <v>#REF!</v>
      </c>
      <c r="U9" s="307"/>
      <c r="V9" s="304" t="e">
        <f>ROUNDUP(IF('AS400 JEMBATAN'!$AB9&gt;='AS400 JEMBATAN'!$AA9,'AS400 JEMBATAN'!V9,$AB9/$V$4)+$AD9,0)</f>
        <v>#REF!</v>
      </c>
      <c r="W9" s="304" t="e">
        <f>ROUNDUP(IF('AS400 JEMBATAN'!$AB9&gt;='AS400 JEMBATAN'!$AA9,'AS400 JEMBATAN'!W9,$AB9/$V$4)+$AD9,0)</f>
        <v>#REF!</v>
      </c>
      <c r="X9" s="304" t="e">
        <f>ROUNDUP(IF('AS400 JEMBATAN'!$AB9&gt;='AS400 JEMBATAN'!$AA9,'AS400 JEMBATAN'!X9,$AB9/$V$4)+$AD9,0)</f>
        <v>#REF!</v>
      </c>
      <c r="Y9" s="304" t="e">
        <f>ROUNDUP(IF('AS400 JEMBATAN'!$AB9&gt;='AS400 JEMBATAN'!$AA9,'AS400 JEMBATAN'!Y9,$AB9/$V$4)+$AD9,0)</f>
        <v>#REF!</v>
      </c>
      <c r="Z9" s="304"/>
      <c r="AA9" s="304" t="e">
        <f>SUM(V9:Z9)</f>
        <v>#REF!</v>
      </c>
      <c r="AB9" s="305" t="e">
        <f>'Qty &amp; UMH GUM'!X9</f>
        <v>#REF!</v>
      </c>
      <c r="AC9" s="304" t="e">
        <f>ROUNDUP((AB9-AA9)/$V$4,0)</f>
        <v>#REF!</v>
      </c>
      <c r="AD9" s="307">
        <v>0.0</v>
      </c>
      <c r="AE9" s="304" t="e">
        <f>ROUNDUP(IF('AS400 JEMBATAN'!$AK9&gt;='AS400 JEMBATAN'!$AJ9,'AS400 JEMBATAN'!AE9,$AK9/$AE$4)+$AM9,0)</f>
        <v>#REF!</v>
      </c>
      <c r="AF9" s="304" t="e">
        <f>ROUNDUP(IF('AS400 JEMBATAN'!$AK9&gt;='AS400 JEMBATAN'!$AJ9,'AS400 JEMBATAN'!AF9,$AK9/$AE$4)+$AM9,0)</f>
        <v>#REF!</v>
      </c>
      <c r="AG9" s="304" t="e">
        <f>ROUNDUP(IF('AS400 JEMBATAN'!$AK9&gt;='AS400 JEMBATAN'!$AJ9,'AS400 JEMBATAN'!AG9,$AK9/$AE$4)+$AM9,0)</f>
        <v>#REF!</v>
      </c>
      <c r="AH9" s="304" t="e">
        <f>ROUNDUP(IF('AS400 JEMBATAN'!$AK9&gt;='AS400 JEMBATAN'!$AJ9,'AS400 JEMBATAN'!AH9,$AK9/$AE$4)+$AM9,0)</f>
        <v>#REF!</v>
      </c>
      <c r="AI9" s="304"/>
      <c r="AJ9" s="304" t="e">
        <f>SUM(AE9:AI9)</f>
        <v>#REF!</v>
      </c>
      <c r="AK9" s="305" t="e">
        <f>'Qty &amp; UMH GUM'!AA9</f>
        <v>#REF!</v>
      </c>
      <c r="AL9" s="304" t="e">
        <f>ROUNDUP((AK9-AJ9)/$AE$4,0)</f>
        <v>#REF!</v>
      </c>
      <c r="AM9" s="307"/>
      <c r="AN9" s="308" t="e">
        <f>ROUNDUP(IF('AS400 JEMBATAN'!$AT9&gt;='AS400 JEMBATAN'!$AS9,'AS400 JEMBATAN'!AN9,$AT9/$AN$4)+$AV9,0)</f>
        <v>#REF!</v>
      </c>
      <c r="AO9" s="304" t="e">
        <f>ROUNDUP(IF('AS400 JEMBATAN'!$AT9&gt;='AS400 JEMBATAN'!$AS9,'AS400 JEMBATAN'!AO9,$AT9/$AN$4)+$AV9,0)</f>
        <v>#REF!</v>
      </c>
      <c r="AP9" s="304" t="e">
        <f>ROUNDUP(IF('AS400 JEMBATAN'!$AT9&gt;='AS400 JEMBATAN'!$AS9,'AS400 JEMBATAN'!AP9,$AT9/$AN$4)+$AV9,0)</f>
        <v>#REF!</v>
      </c>
      <c r="AQ9" s="304" t="e">
        <f>ROUNDUP(IF('AS400 JEMBATAN'!$AT9&gt;='AS400 JEMBATAN'!$AS9,'AS400 JEMBATAN'!AQ9,$AT9/$AN$4)+$AV9,0)</f>
        <v>#REF!</v>
      </c>
      <c r="AR9" s="304"/>
      <c r="AS9" s="304" t="e">
        <f>SUM(AN9:AR9)</f>
        <v>#REF!</v>
      </c>
      <c r="AT9" s="305" t="e">
        <f>'Qty &amp; UMH GUM'!AD9</f>
        <v>#REF!</v>
      </c>
      <c r="AU9" s="304" t="e">
        <f>ROUNDUP((AT9-AS9)/$AN$4,0)</f>
        <v>#REF!</v>
      </c>
      <c r="AV9" s="307"/>
      <c r="AW9" s="296"/>
      <c r="AX9" s="296"/>
      <c r="AY9" s="296"/>
      <c r="AZ9" s="296"/>
      <c r="BA9" s="296"/>
    </row>
    <row r="10" spans="1:53" customHeight="1" ht="18.75">
      <c r="A10" s="445"/>
      <c r="B10" s="342" t="str">
        <f>'Qty &amp; UMH GUM'!C10</f>
        <v>82111-4DT40</v>
      </c>
      <c r="C10" s="303"/>
      <c r="D10" s="304" t="e">
        <f>ROUNDUP(IF('AS400 JEMBATAN'!$J10&gt;='AS400 JEMBATAN'!$I10,'AS400 JEMBATAN'!D10,$J10/$D$4)+$L10,0)</f>
        <v>#REF!</v>
      </c>
      <c r="E10" s="304" t="e">
        <f>ROUNDUP(IF('AS400 JEMBATAN'!$J10&gt;='AS400 JEMBATAN'!$I10,'AS400 JEMBATAN'!E10,$J10/$D$4)+$L10,0)</f>
        <v>#REF!</v>
      </c>
      <c r="F10" s="304" t="e">
        <f>ROUNDUP(IF('AS400 JEMBATAN'!$J10&gt;='AS400 JEMBATAN'!$I10,'AS400 JEMBATAN'!F10,$J10/$D$4)+$L10,0)</f>
        <v>#REF!</v>
      </c>
      <c r="G10" s="304" t="e">
        <f>ROUNDUP(IF('AS400 JEMBATAN'!$J10&gt;='AS400 JEMBATAN'!$I10,'AS400 JEMBATAN'!G10,$J10/$D$4)+$L10,0)</f>
        <v>#REF!</v>
      </c>
      <c r="H10" s="304" t="e">
        <f>ROUNDUP(IF('AS400 JEMBATAN'!$J10&gt;='AS400 JEMBATAN'!$I10,'AS400 JEMBATAN'!H10,$J10/$D$4)+$L10,0)</f>
        <v>#REF!</v>
      </c>
      <c r="I10" s="304" t="e">
        <f>SUM(D10:H10)</f>
        <v>#REF!</v>
      </c>
      <c r="J10" s="305" t="e">
        <f>'Qty &amp; UMH GUM'!R10</f>
        <v>#REF!</v>
      </c>
      <c r="K10" s="305" t="e">
        <f>ROUNDUP((J10-I10)/$D$4,0)</f>
        <v>#REF!</v>
      </c>
      <c r="L10" s="306">
        <v>0.0</v>
      </c>
      <c r="M10" s="304" t="e">
        <f>ROUNDUP(IF('AS400 JEMBATAN'!$S10&gt;='AS400 JEMBATAN'!$R10,'AS400 JEMBATAN'!M10,$S10/$M$4)+$U10,0)</f>
        <v>#REF!</v>
      </c>
      <c r="N10" s="304" t="e">
        <f>ROUNDUP(IF('AS400 JEMBATAN'!$S10&gt;='AS400 JEMBATAN'!$R10,'AS400 JEMBATAN'!N10,$S10/$M$4)+$U10,0)</f>
        <v>#REF!</v>
      </c>
      <c r="O10" s="304" t="e">
        <f>ROUNDUP(IF('AS400 JEMBATAN'!$S10&gt;='AS400 JEMBATAN'!$R10,'AS400 JEMBATAN'!O10,$S10/$M$4)+$U10,0)</f>
        <v>#REF!</v>
      </c>
      <c r="P10" s="304" t="e">
        <f>ROUNDUP(IF('AS400 JEMBATAN'!$S10&gt;='AS400 JEMBATAN'!$R10,'AS400 JEMBATAN'!P10,$S10/$M$4)+$U10,0)</f>
        <v>#REF!</v>
      </c>
      <c r="Q10" s="304"/>
      <c r="R10" s="304" t="e">
        <f>SUM(M10:Q10)</f>
        <v>#REF!</v>
      </c>
      <c r="S10" s="305" t="e">
        <f>'Qty &amp; UMH GUM'!U10</f>
        <v>#REF!</v>
      </c>
      <c r="T10" s="305" t="e">
        <f>ROUNDUP((S10-R10)/$M$4,0)</f>
        <v>#REF!</v>
      </c>
      <c r="U10" s="307"/>
      <c r="V10" s="304" t="e">
        <f>ROUNDUP(IF('AS400 JEMBATAN'!$AB10&gt;='AS400 JEMBATAN'!$AA10,'AS400 JEMBATAN'!V10,$AB10/$V$4)+$AD10,0)</f>
        <v>#REF!</v>
      </c>
      <c r="W10" s="304" t="e">
        <f>ROUNDUP(IF('AS400 JEMBATAN'!$AB10&gt;='AS400 JEMBATAN'!$AA10,'AS400 JEMBATAN'!W10,$AB10/$V$4)+$AD10,0)</f>
        <v>#REF!</v>
      </c>
      <c r="X10" s="304" t="e">
        <f>ROUNDUP(IF('AS400 JEMBATAN'!$AB10&gt;='AS400 JEMBATAN'!$AA10,'AS400 JEMBATAN'!X10,$AB10/$V$4)+$AD10,0)</f>
        <v>#REF!</v>
      </c>
      <c r="Y10" s="304" t="e">
        <f>ROUNDUP(IF('AS400 JEMBATAN'!$AB10&gt;='AS400 JEMBATAN'!$AA10,'AS400 JEMBATAN'!Y10,$AB10/$V$4)+$AD10,0)</f>
        <v>#REF!</v>
      </c>
      <c r="Z10" s="304"/>
      <c r="AA10" s="304" t="e">
        <f>SUM(V10:Z10)</f>
        <v>#REF!</v>
      </c>
      <c r="AB10" s="305" t="e">
        <f>'Qty &amp; UMH GUM'!X10</f>
        <v>#REF!</v>
      </c>
      <c r="AC10" s="304" t="e">
        <f>ROUNDUP((AB10-AA10)/$V$4,0)</f>
        <v>#REF!</v>
      </c>
      <c r="AD10" s="307">
        <v>0.0</v>
      </c>
      <c r="AE10" s="304" t="e">
        <f>ROUNDUP(IF('AS400 JEMBATAN'!$AK10&gt;='AS400 JEMBATAN'!$AJ10,'AS400 JEMBATAN'!AE10,$AK10/$AE$4)+$AM10,0)</f>
        <v>#REF!</v>
      </c>
      <c r="AF10" s="304" t="e">
        <f>ROUNDUP(IF('AS400 JEMBATAN'!$AK10&gt;='AS400 JEMBATAN'!$AJ10,'AS400 JEMBATAN'!AF10,$AK10/$AE$4)+$AM10,0)</f>
        <v>#REF!</v>
      </c>
      <c r="AG10" s="304" t="e">
        <f>ROUNDUP(IF('AS400 JEMBATAN'!$AK10&gt;='AS400 JEMBATAN'!$AJ10,'AS400 JEMBATAN'!AG10,$AK10/$AE$4)+$AM10,0)</f>
        <v>#REF!</v>
      </c>
      <c r="AH10" s="304" t="e">
        <f>ROUNDUP(IF('AS400 JEMBATAN'!$AK10&gt;='AS400 JEMBATAN'!$AJ10,'AS400 JEMBATAN'!AH10,$AK10/$AE$4)+$AM10,0)</f>
        <v>#REF!</v>
      </c>
      <c r="AI10" s="304"/>
      <c r="AJ10" s="304" t="e">
        <f>SUM(AE10:AI10)</f>
        <v>#REF!</v>
      </c>
      <c r="AK10" s="305" t="e">
        <f>'Qty &amp; UMH GUM'!AA10</f>
        <v>#REF!</v>
      </c>
      <c r="AL10" s="304" t="e">
        <f>ROUNDUP((AK10-AJ10)/$AE$4,0)</f>
        <v>#REF!</v>
      </c>
      <c r="AM10" s="307"/>
      <c r="AN10" s="308" t="e">
        <f>ROUNDUP(IF('AS400 JEMBATAN'!$AT10&gt;='AS400 JEMBATAN'!$AS10,'AS400 JEMBATAN'!AN10,$AT10/$AN$4)+$AV10,0)</f>
        <v>#REF!</v>
      </c>
      <c r="AO10" s="304" t="e">
        <f>ROUNDUP(IF('AS400 JEMBATAN'!$AT10&gt;='AS400 JEMBATAN'!$AS10,'AS400 JEMBATAN'!AO10,$AT10/$AN$4)+$AV10,0)</f>
        <v>#REF!</v>
      </c>
      <c r="AP10" s="304" t="e">
        <f>ROUNDUP(IF('AS400 JEMBATAN'!$AT10&gt;='AS400 JEMBATAN'!$AS10,'AS400 JEMBATAN'!AP10,$AT10/$AN$4)+$AV10,0)</f>
        <v>#REF!</v>
      </c>
      <c r="AQ10" s="304" t="e">
        <f>ROUNDUP(IF('AS400 JEMBATAN'!$AT10&gt;='AS400 JEMBATAN'!$AS10,'AS400 JEMBATAN'!AQ10,$AT10/$AN$4)+$AV10,0)</f>
        <v>#REF!</v>
      </c>
      <c r="AR10" s="304"/>
      <c r="AS10" s="304" t="e">
        <f>SUM(AN10:AR10)</f>
        <v>#REF!</v>
      </c>
      <c r="AT10" s="305" t="e">
        <f>'Qty &amp; UMH GUM'!AD10</f>
        <v>#REF!</v>
      </c>
      <c r="AU10" s="304" t="e">
        <f>ROUNDUP((AT10-AS10)/$AN$4,0)</f>
        <v>#REF!</v>
      </c>
      <c r="AV10" s="307"/>
      <c r="AW10" s="296"/>
      <c r="AX10" s="296"/>
      <c r="AY10" s="296"/>
      <c r="AZ10" s="296"/>
      <c r="BA10" s="296"/>
    </row>
    <row r="11" spans="1:53" customHeight="1" ht="18.75">
      <c r="A11" s="445"/>
      <c r="B11" s="342" t="str">
        <f>'Qty &amp; UMH GUM'!C11</f>
        <v>82111-4DT50</v>
      </c>
      <c r="C11" s="303"/>
      <c r="D11" s="304" t="e">
        <f>ROUNDUP(IF('AS400 JEMBATAN'!$J11&gt;='AS400 JEMBATAN'!$I11,'AS400 JEMBATAN'!D11,$J11/$D$4)+$L11,0)</f>
        <v>#REF!</v>
      </c>
      <c r="E11" s="304" t="e">
        <f>ROUNDUP(IF('AS400 JEMBATAN'!$J11&gt;='AS400 JEMBATAN'!$I11,'AS400 JEMBATAN'!E11,$J11/$D$4)+$L11,0)</f>
        <v>#REF!</v>
      </c>
      <c r="F11" s="304" t="e">
        <f>ROUNDUP(IF('AS400 JEMBATAN'!$J11&gt;='AS400 JEMBATAN'!$I11,'AS400 JEMBATAN'!F11,$J11/$D$4)+$L11,0)</f>
        <v>#REF!</v>
      </c>
      <c r="G11" s="304" t="e">
        <f>ROUNDUP(IF('AS400 JEMBATAN'!$J11&gt;='AS400 JEMBATAN'!$I11,'AS400 JEMBATAN'!G11,$J11/$D$4)+$L11,0)</f>
        <v>#REF!</v>
      </c>
      <c r="H11" s="304" t="e">
        <f>ROUNDUP(IF('AS400 JEMBATAN'!$J11&gt;='AS400 JEMBATAN'!$I11,'AS400 JEMBATAN'!H11,$J11/$D$4)+$L11,0)</f>
        <v>#REF!</v>
      </c>
      <c r="I11" s="304" t="e">
        <f>SUM(D11:D11)</f>
        <v>#REF!</v>
      </c>
      <c r="J11" s="305" t="e">
        <f>'Qty &amp; UMH GUM'!R11</f>
        <v>#REF!</v>
      </c>
      <c r="K11" s="305" t="e">
        <f>ROUNDUP((J11-I11)/$D$4,0)</f>
        <v>#REF!</v>
      </c>
      <c r="L11" s="306">
        <v>0.0</v>
      </c>
      <c r="M11" s="304" t="e">
        <f>ROUNDUP(IF('AS400 JEMBATAN'!$S11&gt;='AS400 JEMBATAN'!$R11,'AS400 JEMBATAN'!M11,$S11/$M$4)+$U11,0)</f>
        <v>#REF!</v>
      </c>
      <c r="N11" s="304" t="e">
        <f>ROUNDUP(IF('AS400 JEMBATAN'!$S11&gt;='AS400 JEMBATAN'!$R11,'AS400 JEMBATAN'!N11,$S11/$M$4)+$U11,0)</f>
        <v>#REF!</v>
      </c>
      <c r="O11" s="304" t="e">
        <f>ROUNDUP(IF('AS400 JEMBATAN'!$S11&gt;='AS400 JEMBATAN'!$R11,'AS400 JEMBATAN'!O11,$S11/$M$4)+$U11,0)</f>
        <v>#REF!</v>
      </c>
      <c r="P11" s="304" t="e">
        <f>ROUNDUP(IF('AS400 JEMBATAN'!$S11&gt;='AS400 JEMBATAN'!$R11,'AS400 JEMBATAN'!P11,$S11/$M$4)+$U11,0)</f>
        <v>#REF!</v>
      </c>
      <c r="Q11" s="304"/>
      <c r="R11" s="304" t="e">
        <f>SUM(M11:M11)</f>
        <v>#REF!</v>
      </c>
      <c r="S11" s="305" t="e">
        <f>'Qty &amp; UMH GUM'!U11</f>
        <v>#REF!</v>
      </c>
      <c r="T11" s="305" t="e">
        <f>ROUNDUP((S11-R11)/$M$4,0)</f>
        <v>#REF!</v>
      </c>
      <c r="U11" s="307"/>
      <c r="V11" s="304" t="e">
        <f>ROUNDUP(IF('AS400 JEMBATAN'!$AB11&gt;='AS400 JEMBATAN'!$AA11,'AS400 JEMBATAN'!V11,$AB11/$V$4)+$AD11,0)</f>
        <v>#REF!</v>
      </c>
      <c r="W11" s="304" t="e">
        <f>ROUNDUP(IF('AS400 JEMBATAN'!$AB11&gt;='AS400 JEMBATAN'!$AA11,'AS400 JEMBATAN'!W11,$AB11/$V$4)+$AD11,0)</f>
        <v>#REF!</v>
      </c>
      <c r="X11" s="304" t="e">
        <f>ROUNDUP(IF('AS400 JEMBATAN'!$AB11&gt;='AS400 JEMBATAN'!$AA11,'AS400 JEMBATAN'!X11,$AB11/$V$4)+$AD11,0)</f>
        <v>#REF!</v>
      </c>
      <c r="Y11" s="304" t="e">
        <f>ROUNDUP(IF('AS400 JEMBATAN'!$AB11&gt;='AS400 JEMBATAN'!$AA11,'AS400 JEMBATAN'!Y11,$AB11/$V$4)+$AD11,0)</f>
        <v>#REF!</v>
      </c>
      <c r="Z11" s="304"/>
      <c r="AA11" s="304" t="e">
        <f>SUM(V11:V11)</f>
        <v>#REF!</v>
      </c>
      <c r="AB11" s="305" t="e">
        <f>'Qty &amp; UMH GUM'!X11</f>
        <v>#REF!</v>
      </c>
      <c r="AC11" s="304" t="e">
        <f>ROUNDUP((AB11-AA11)/$V$4,0)</f>
        <v>#REF!</v>
      </c>
      <c r="AD11" s="307">
        <v>0.0</v>
      </c>
      <c r="AE11" s="304" t="e">
        <f>ROUNDUP(IF('AS400 JEMBATAN'!$AK11&gt;='AS400 JEMBATAN'!$AJ11,'AS400 JEMBATAN'!AE11,$AK11/$AE$4)+$AM11,0)</f>
        <v>#REF!</v>
      </c>
      <c r="AF11" s="304" t="e">
        <f>ROUNDUP(IF('AS400 JEMBATAN'!$AK11&gt;='AS400 JEMBATAN'!$AJ11,'AS400 JEMBATAN'!AF11,$AK11/$AE$4)+$AM11,0)</f>
        <v>#REF!</v>
      </c>
      <c r="AG11" s="304" t="e">
        <f>ROUNDUP(IF('AS400 JEMBATAN'!$AK11&gt;='AS400 JEMBATAN'!$AJ11,'AS400 JEMBATAN'!AG11,$AK11/$AE$4)+$AM11,0)</f>
        <v>#REF!</v>
      </c>
      <c r="AH11" s="304" t="e">
        <f>ROUNDUP(IF('AS400 JEMBATAN'!$AK11&gt;='AS400 JEMBATAN'!$AJ11,'AS400 JEMBATAN'!AH11,$AK11/$AE$4)+$AM11,0)</f>
        <v>#REF!</v>
      </c>
      <c r="AI11" s="304"/>
      <c r="AJ11" s="304" t="e">
        <f>SUM(AE11:AE11)</f>
        <v>#REF!</v>
      </c>
      <c r="AK11" s="305" t="e">
        <f>'Qty &amp; UMH GUM'!AA11</f>
        <v>#REF!</v>
      </c>
      <c r="AL11" s="304" t="e">
        <f>ROUNDUP((AK11-AJ11)/$AE$4,0)</f>
        <v>#REF!</v>
      </c>
      <c r="AM11" s="307"/>
      <c r="AN11" s="308" t="e">
        <f>ROUNDUP(IF('AS400 JEMBATAN'!$AT11&gt;='AS400 JEMBATAN'!$AS11,'AS400 JEMBATAN'!AN11,$AT11/$AN$4)+$AV11,0)</f>
        <v>#REF!</v>
      </c>
      <c r="AO11" s="304" t="e">
        <f>ROUNDUP(IF('AS400 JEMBATAN'!$AT11&gt;='AS400 JEMBATAN'!$AS11,'AS400 JEMBATAN'!AO11,$AT11/$AN$4)+$AV11,0)</f>
        <v>#REF!</v>
      </c>
      <c r="AP11" s="304" t="e">
        <f>ROUNDUP(IF('AS400 JEMBATAN'!$AT11&gt;='AS400 JEMBATAN'!$AS11,'AS400 JEMBATAN'!AP11,$AT11/$AN$4)+$AV11,0)</f>
        <v>#REF!</v>
      </c>
      <c r="AQ11" s="304" t="e">
        <f>ROUNDUP(IF('AS400 JEMBATAN'!$AT11&gt;='AS400 JEMBATAN'!$AS11,'AS400 JEMBATAN'!AQ11,$AT11/$AN$4)+$AV11,0)</f>
        <v>#REF!</v>
      </c>
      <c r="AR11" s="304"/>
      <c r="AS11" s="304" t="e">
        <f>SUM(AN11:AN11)</f>
        <v>#REF!</v>
      </c>
      <c r="AT11" s="305" t="e">
        <f>'Qty &amp; UMH GUM'!AD11</f>
        <v>#REF!</v>
      </c>
      <c r="AU11" s="304" t="e">
        <f>ROUNDUP((AT11-AS11)/$AN$4,0)</f>
        <v>#REF!</v>
      </c>
      <c r="AV11" s="307"/>
      <c r="AW11" s="296"/>
      <c r="AX11" s="296"/>
      <c r="AY11" s="296"/>
      <c r="AZ11" s="296"/>
      <c r="BA11" s="296"/>
    </row>
    <row r="12" spans="1:53" customHeight="1" ht="18.75">
      <c r="A12" s="445"/>
      <c r="B12" s="342" t="str">
        <f>'Qty &amp; UMH GUM'!C12</f>
        <v>82111-4DT60</v>
      </c>
      <c r="C12" s="303"/>
      <c r="D12" s="304" t="e">
        <f>ROUNDUP(IF('AS400 JEMBATAN'!$J12&gt;='AS400 JEMBATAN'!$I12,'AS400 JEMBATAN'!D12,$J12/$D$4)+$L12,0)</f>
        <v>#REF!</v>
      </c>
      <c r="E12" s="304" t="e">
        <f>ROUNDUP(IF('AS400 JEMBATAN'!$J12&gt;='AS400 JEMBATAN'!$I12,'AS400 JEMBATAN'!E12,$J12/$D$4)+$L12,0)</f>
        <v>#REF!</v>
      </c>
      <c r="F12" s="304" t="e">
        <f>ROUNDUP(IF('AS400 JEMBATAN'!$J12&gt;='AS400 JEMBATAN'!$I12,'AS400 JEMBATAN'!F12,$J12/$D$4)+$L12,0)</f>
        <v>#REF!</v>
      </c>
      <c r="G12" s="304" t="e">
        <f>ROUNDUP(IF('AS400 JEMBATAN'!$J12&gt;='AS400 JEMBATAN'!$I12,'AS400 JEMBATAN'!G12,$J12/$D$4)+$L12,0)</f>
        <v>#REF!</v>
      </c>
      <c r="H12" s="304" t="e">
        <f>ROUNDUP(IF('AS400 JEMBATAN'!$J12&gt;='AS400 JEMBATAN'!$I12,'AS400 JEMBATAN'!H12,$J12/$D$4)+$L12,0)</f>
        <v>#REF!</v>
      </c>
      <c r="I12" s="304" t="e">
        <f>SUM(D12:D12)</f>
        <v>#REF!</v>
      </c>
      <c r="J12" s="305" t="e">
        <f>'Qty &amp; UMH GUM'!R12</f>
        <v>#REF!</v>
      </c>
      <c r="K12" s="305" t="e">
        <f>ROUNDUP((J12-I12)/$D$4,0)</f>
        <v>#REF!</v>
      </c>
      <c r="L12" s="306">
        <v>0.0</v>
      </c>
      <c r="M12" s="304" t="e">
        <f>ROUNDUP(IF('AS400 JEMBATAN'!$S12&gt;='AS400 JEMBATAN'!$R12,'AS400 JEMBATAN'!M12,$S12/$M$4)+$U12,0)</f>
        <v>#REF!</v>
      </c>
      <c r="N12" s="304" t="e">
        <f>ROUNDUP(IF('AS400 JEMBATAN'!$S12&gt;='AS400 JEMBATAN'!$R12,'AS400 JEMBATAN'!N12,$S12/$M$4)+$U12,0)</f>
        <v>#REF!</v>
      </c>
      <c r="O12" s="304" t="e">
        <f>ROUNDUP(IF('AS400 JEMBATAN'!$S12&gt;='AS400 JEMBATAN'!$R12,'AS400 JEMBATAN'!O12,$S12/$M$4)+$U12,0)</f>
        <v>#REF!</v>
      </c>
      <c r="P12" s="304" t="e">
        <f>ROUNDUP(IF('AS400 JEMBATAN'!$S12&gt;='AS400 JEMBATAN'!$R12,'AS400 JEMBATAN'!P12,$S12/$M$4)+$U12,0)</f>
        <v>#REF!</v>
      </c>
      <c r="Q12" s="304"/>
      <c r="R12" s="304" t="e">
        <f>SUM(M12:M12)</f>
        <v>#REF!</v>
      </c>
      <c r="S12" s="305" t="e">
        <f>'Qty &amp; UMH GUM'!U12</f>
        <v>#REF!</v>
      </c>
      <c r="T12" s="305" t="e">
        <f>ROUNDUP((S12-R12)/$M$4,0)</f>
        <v>#REF!</v>
      </c>
      <c r="U12" s="307"/>
      <c r="V12" s="304" t="e">
        <f>ROUNDUP(IF('AS400 JEMBATAN'!$AB12&gt;='AS400 JEMBATAN'!$AA12,'AS400 JEMBATAN'!V12,$AB12/$V$4)+$AD12,0)</f>
        <v>#REF!</v>
      </c>
      <c r="W12" s="304" t="e">
        <f>ROUNDUP(IF('AS400 JEMBATAN'!$AB12&gt;='AS400 JEMBATAN'!$AA12,'AS400 JEMBATAN'!W12,$AB12/$V$4)+$AD12,0)</f>
        <v>#REF!</v>
      </c>
      <c r="X12" s="304" t="e">
        <f>ROUNDUP(IF('AS400 JEMBATAN'!$AB12&gt;='AS400 JEMBATAN'!$AA12,'AS400 JEMBATAN'!X12,$AB12/$V$4)+$AD12,0)</f>
        <v>#REF!</v>
      </c>
      <c r="Y12" s="420" t="e">
        <f>ROUNDUP(IF('AS400 JEMBATAN'!$AB12&gt;='AS400 JEMBATAN'!$AA12,'AS400 JEMBATAN'!Y12,$AB12/$V$4)+$AD12,0)</f>
        <v>#REF!</v>
      </c>
      <c r="Z12" s="420"/>
      <c r="AA12" s="304" t="e">
        <f>SUM(V12:V12)</f>
        <v>#REF!</v>
      </c>
      <c r="AB12" s="305" t="e">
        <f>'Qty &amp; UMH GUM'!X12</f>
        <v>#REF!</v>
      </c>
      <c r="AC12" s="304" t="e">
        <f>ROUNDUP((AB12-AA12)/$V$4,0)</f>
        <v>#REF!</v>
      </c>
      <c r="AD12" s="307">
        <v>0.0</v>
      </c>
      <c r="AE12" s="304" t="e">
        <f>ROUNDUP(IF('AS400 JEMBATAN'!$AK12&gt;='AS400 JEMBATAN'!$AJ12,'AS400 JEMBATAN'!AE12,$AK12/$AE$4)+$AM12,0)</f>
        <v>#REF!</v>
      </c>
      <c r="AF12" s="304" t="e">
        <f>ROUNDUP(IF('AS400 JEMBATAN'!$AK12&gt;='AS400 JEMBATAN'!$AJ12,'AS400 JEMBATAN'!AF12,$AK12/$AE$4)+$AM12,0)</f>
        <v>#REF!</v>
      </c>
      <c r="AG12" s="304" t="e">
        <f>ROUNDUP(IF('AS400 JEMBATAN'!$AK12&gt;='AS400 JEMBATAN'!$AJ12,'AS400 JEMBATAN'!AG12,$AK12/$AE$4)+$AM12,0)</f>
        <v>#REF!</v>
      </c>
      <c r="AH12" s="304" t="e">
        <f>ROUNDUP(IF('AS400 JEMBATAN'!$AK12&gt;='AS400 JEMBATAN'!$AJ12,'AS400 JEMBATAN'!AH12,$AK12/$AE$4)+$AM12,0)</f>
        <v>#REF!</v>
      </c>
      <c r="AI12" s="304"/>
      <c r="AJ12" s="304" t="e">
        <f>SUM(AE12:AE12)</f>
        <v>#REF!</v>
      </c>
      <c r="AK12" s="305" t="e">
        <f>'Qty &amp; UMH GUM'!AA12</f>
        <v>#REF!</v>
      </c>
      <c r="AL12" s="304" t="e">
        <f>ROUNDUP((AK12-AJ12)/$AE$4,0)</f>
        <v>#REF!</v>
      </c>
      <c r="AM12" s="307"/>
      <c r="AN12" s="308" t="e">
        <f>ROUNDUP(IF('AS400 JEMBATAN'!$AT12&gt;='AS400 JEMBATAN'!$AS12,'AS400 JEMBATAN'!AN12,$AT12/$AN$4)+$AV12,0)</f>
        <v>#REF!</v>
      </c>
      <c r="AO12" s="304" t="e">
        <f>ROUNDUP(IF('AS400 JEMBATAN'!$AT12&gt;='AS400 JEMBATAN'!$AS12,'AS400 JEMBATAN'!AO12,$AT12/$AN$4)+$AV12,0)</f>
        <v>#REF!</v>
      </c>
      <c r="AP12" s="304" t="e">
        <f>ROUNDUP(IF('AS400 JEMBATAN'!$AT12&gt;='AS400 JEMBATAN'!$AS12,'AS400 JEMBATAN'!AP12,$AT12/$AN$4)+$AV12,0)</f>
        <v>#REF!</v>
      </c>
      <c r="AQ12" s="304" t="e">
        <f>ROUNDUP(IF('AS400 JEMBATAN'!$AT12&gt;='AS400 JEMBATAN'!$AS12,'AS400 JEMBATAN'!AQ12,$AT12/$AN$4)+$AV12,0)</f>
        <v>#REF!</v>
      </c>
      <c r="AR12" s="304"/>
      <c r="AS12" s="304" t="e">
        <f>SUM(AN12:AN12)</f>
        <v>#REF!</v>
      </c>
      <c r="AT12" s="305" t="e">
        <f>'Qty &amp; UMH GUM'!AD12</f>
        <v>#REF!</v>
      </c>
      <c r="AU12" s="304" t="e">
        <f>ROUNDUP((AT12-AS12)/$AN$4,0)</f>
        <v>#REF!</v>
      </c>
      <c r="AV12" s="307"/>
      <c r="AW12" s="296"/>
      <c r="AX12" s="296"/>
      <c r="AY12" s="296"/>
      <c r="AZ12" s="296"/>
      <c r="BA12" s="296"/>
    </row>
    <row r="13" spans="1:53" customHeight="1" ht="18.75">
      <c r="A13" s="445"/>
      <c r="B13" s="342" t="str">
        <f>'Qty &amp; UMH GUM'!C13</f>
        <v>82111-4DT70</v>
      </c>
      <c r="C13" s="303"/>
      <c r="D13" s="304" t="e">
        <f>ROUNDUP(IF('AS400 JEMBATAN'!$J13&gt;='AS400 JEMBATAN'!$I13,'AS400 JEMBATAN'!D13,$J13/$D$4)+$L13,0)</f>
        <v>#REF!</v>
      </c>
      <c r="E13" s="304" t="e">
        <f>ROUNDUP(IF('AS400 JEMBATAN'!$J13&gt;='AS400 JEMBATAN'!$I13,'AS400 JEMBATAN'!E13,$J13/$D$4)+$L13,0)</f>
        <v>#REF!</v>
      </c>
      <c r="F13" s="304" t="e">
        <f>ROUNDUP(IF('AS400 JEMBATAN'!$J13&gt;='AS400 JEMBATAN'!$I13,'AS400 JEMBATAN'!F13,$J13/$D$4)+$L13,0)</f>
        <v>#REF!</v>
      </c>
      <c r="G13" s="304" t="e">
        <f>ROUNDUP(IF('AS400 JEMBATAN'!$J13&gt;='AS400 JEMBATAN'!$I13,'AS400 JEMBATAN'!G13,$J13/$D$4)+$L13,0)</f>
        <v>#REF!</v>
      </c>
      <c r="H13" s="304" t="e">
        <f>ROUNDUP(IF('AS400 JEMBATAN'!$J13&gt;='AS400 JEMBATAN'!$I13,'AS400 JEMBATAN'!H13,$J13/$D$4)+$L13,0)</f>
        <v>#REF!</v>
      </c>
      <c r="I13" s="304" t="e">
        <f>SUM(D13:D13)</f>
        <v>#REF!</v>
      </c>
      <c r="J13" s="305" t="e">
        <f>'Qty &amp; UMH GUM'!R13</f>
        <v>#REF!</v>
      </c>
      <c r="K13" s="305" t="e">
        <f>ROUNDUP((J13-I13)/$D$4,0)</f>
        <v>#REF!</v>
      </c>
      <c r="L13" s="306">
        <v>0.0</v>
      </c>
      <c r="M13" s="304" t="e">
        <f>ROUNDUP(IF('AS400 JEMBATAN'!$S13&gt;='AS400 JEMBATAN'!$R13,'AS400 JEMBATAN'!M13,$S13/$M$4)+$U13,0)</f>
        <v>#REF!</v>
      </c>
      <c r="N13" s="304" t="e">
        <f>ROUNDUP(IF('AS400 JEMBATAN'!$S13&gt;='AS400 JEMBATAN'!$R13,'AS400 JEMBATAN'!N13,$S13/$M$4)+$U13,0)</f>
        <v>#REF!</v>
      </c>
      <c r="O13" s="304" t="e">
        <f>ROUNDUP(IF('AS400 JEMBATAN'!$S13&gt;='AS400 JEMBATAN'!$R13,'AS400 JEMBATAN'!O13,$S13/$M$4)+$U13,0)</f>
        <v>#REF!</v>
      </c>
      <c r="P13" s="304" t="e">
        <f>ROUNDUP(IF('AS400 JEMBATAN'!$S13&gt;='AS400 JEMBATAN'!$R13,'AS400 JEMBATAN'!P13,$S13/$M$4)+$U13,0)</f>
        <v>#REF!</v>
      </c>
      <c r="Q13" s="304"/>
      <c r="R13" s="304" t="e">
        <f>SUM(M13:M13)</f>
        <v>#REF!</v>
      </c>
      <c r="S13" s="305" t="e">
        <f>'Qty &amp; UMH GUM'!U13</f>
        <v>#REF!</v>
      </c>
      <c r="T13" s="305" t="e">
        <f>ROUNDUP((S13-R13)/$M$4,0)</f>
        <v>#REF!</v>
      </c>
      <c r="U13" s="307"/>
      <c r="V13" s="304" t="e">
        <f>ROUNDUP(IF('AS400 JEMBATAN'!$AB13&gt;='AS400 JEMBATAN'!$AA13,'AS400 JEMBATAN'!V13,$AB13/$V$4)+$AD13,0)</f>
        <v>#REF!</v>
      </c>
      <c r="W13" s="304" t="e">
        <f>ROUNDUP(IF('AS400 JEMBATAN'!$AB13&gt;='AS400 JEMBATAN'!$AA13,'AS400 JEMBATAN'!W13,$AB13/$V$4)+$AD13,0)</f>
        <v>#REF!</v>
      </c>
      <c r="X13" s="304" t="e">
        <f>ROUNDUP(IF('AS400 JEMBATAN'!$AB13&gt;='AS400 JEMBATAN'!$AA13,'AS400 JEMBATAN'!X13,$AB13/$V$4)+$AD13,0)</f>
        <v>#REF!</v>
      </c>
      <c r="Y13" s="304" t="e">
        <f>ROUNDUP(IF('AS400 JEMBATAN'!$AB13&gt;='AS400 JEMBATAN'!$AA13,'AS400 JEMBATAN'!Y13,$AB13/$V$4)+$AD13,0)</f>
        <v>#REF!</v>
      </c>
      <c r="Z13" s="304"/>
      <c r="AA13" s="304" t="e">
        <f>SUM(V13:V13)</f>
        <v>#REF!</v>
      </c>
      <c r="AB13" s="305" t="e">
        <f>'Qty &amp; UMH GUM'!X13</f>
        <v>#REF!</v>
      </c>
      <c r="AC13" s="304" t="e">
        <f>ROUNDUP((AB13-AA13)/$V$4,0)</f>
        <v>#REF!</v>
      </c>
      <c r="AD13" s="307">
        <v>0.0</v>
      </c>
      <c r="AE13" s="304" t="e">
        <f>ROUNDUP(IF('AS400 JEMBATAN'!$AK13&gt;='AS400 JEMBATAN'!$AJ13,'AS400 JEMBATAN'!AE13,$AK13/$AE$4)+$AM13,0)</f>
        <v>#REF!</v>
      </c>
      <c r="AF13" s="304" t="e">
        <f>ROUNDUP(IF('AS400 JEMBATAN'!$AK13&gt;='AS400 JEMBATAN'!$AJ13,'AS400 JEMBATAN'!AF13,$AK13/$AE$4)+$AM13,0)</f>
        <v>#REF!</v>
      </c>
      <c r="AG13" s="304" t="e">
        <f>ROUNDUP(IF('AS400 JEMBATAN'!$AK13&gt;='AS400 JEMBATAN'!$AJ13,'AS400 JEMBATAN'!AG13,$AK13/$AE$4)+$AM13,0)</f>
        <v>#REF!</v>
      </c>
      <c r="AH13" s="304" t="e">
        <f>ROUNDUP(IF('AS400 JEMBATAN'!$AK13&gt;='AS400 JEMBATAN'!$AJ13,'AS400 JEMBATAN'!AH13,$AK13/$AE$4)+$AM13,0)</f>
        <v>#REF!</v>
      </c>
      <c r="AI13" s="304"/>
      <c r="AJ13" s="304" t="e">
        <f>SUM(AE13:AE13)</f>
        <v>#REF!</v>
      </c>
      <c r="AK13" s="305" t="e">
        <f>'Qty &amp; UMH GUM'!AA13</f>
        <v>#REF!</v>
      </c>
      <c r="AL13" s="304" t="e">
        <f>ROUNDUP((AK13-AJ13)/$AE$4,0)</f>
        <v>#REF!</v>
      </c>
      <c r="AM13" s="307"/>
      <c r="AN13" s="308" t="e">
        <f>ROUNDUP(IF('AS400 JEMBATAN'!$AT13&gt;='AS400 JEMBATAN'!$AS13,'AS400 JEMBATAN'!AN13,$AT13/$AN$4)+$AV13,0)</f>
        <v>#REF!</v>
      </c>
      <c r="AO13" s="304" t="e">
        <f>ROUNDUP(IF('AS400 JEMBATAN'!$AT13&gt;='AS400 JEMBATAN'!$AS13,'AS400 JEMBATAN'!AO13,$AT13/$AN$4)+$AV13,0)</f>
        <v>#REF!</v>
      </c>
      <c r="AP13" s="304" t="e">
        <f>ROUNDUP(IF('AS400 JEMBATAN'!$AT13&gt;='AS400 JEMBATAN'!$AS13,'AS400 JEMBATAN'!AP13,$AT13/$AN$4)+$AV13,0)</f>
        <v>#REF!</v>
      </c>
      <c r="AQ13" s="304" t="e">
        <f>ROUNDUP(IF('AS400 JEMBATAN'!$AT13&gt;='AS400 JEMBATAN'!$AS13,'AS400 JEMBATAN'!AQ13,$AT13/$AN$4)+$AV13,0)</f>
        <v>#REF!</v>
      </c>
      <c r="AR13" s="304"/>
      <c r="AS13" s="304" t="e">
        <f>SUM(AN13:AN13)</f>
        <v>#REF!</v>
      </c>
      <c r="AT13" s="305" t="e">
        <f>'Qty &amp; UMH GUM'!AD13</f>
        <v>#REF!</v>
      </c>
      <c r="AU13" s="304" t="e">
        <f>ROUNDUP((AT13-AS13)/$AN$4,0)</f>
        <v>#REF!</v>
      </c>
      <c r="AV13" s="307"/>
      <c r="AW13" s="296"/>
      <c r="AX13" s="296"/>
      <c r="AY13" s="296"/>
      <c r="AZ13" s="296"/>
      <c r="BA13" s="296"/>
    </row>
    <row r="14" spans="1:53" customHeight="1" ht="18.75">
      <c r="A14" s="445"/>
      <c r="B14" s="342" t="str">
        <f>'Qty &amp; UMH GUM'!C14</f>
        <v>82111-4DT80</v>
      </c>
      <c r="C14" s="303"/>
      <c r="D14" s="304" t="e">
        <f>ROUNDUP(IF('AS400 JEMBATAN'!$J14&gt;='AS400 JEMBATAN'!$I14,'AS400 JEMBATAN'!D14,$J14/$D$4)+$L14,0)</f>
        <v>#REF!</v>
      </c>
      <c r="E14" s="304" t="e">
        <f>ROUNDUP(IF('AS400 JEMBATAN'!$J14&gt;='AS400 JEMBATAN'!$I14,'AS400 JEMBATAN'!E14,$J14/$D$4)+$L14,0)</f>
        <v>#REF!</v>
      </c>
      <c r="F14" s="304" t="e">
        <f>ROUNDUP(IF('AS400 JEMBATAN'!$J14&gt;='AS400 JEMBATAN'!$I14,'AS400 JEMBATAN'!F14,$J14/$D$4)+$L14,0)</f>
        <v>#REF!</v>
      </c>
      <c r="G14" s="304" t="e">
        <f>ROUNDUP(IF('AS400 JEMBATAN'!$J14&gt;='AS400 JEMBATAN'!$I14,'AS400 JEMBATAN'!G14,$J14/$D$4)+$L14,0)</f>
        <v>#REF!</v>
      </c>
      <c r="H14" s="304" t="e">
        <f>ROUNDUP(IF('AS400 JEMBATAN'!$J14&gt;='AS400 JEMBATAN'!$I14,'AS400 JEMBATAN'!H14,$J14/$D$4)+$L14,0)</f>
        <v>#REF!</v>
      </c>
      <c r="I14" s="304" t="e">
        <f>SUM(D14:D14)</f>
        <v>#REF!</v>
      </c>
      <c r="J14" s="305" t="e">
        <f>'Qty &amp; UMH GUM'!R14</f>
        <v>#REF!</v>
      </c>
      <c r="K14" s="305" t="e">
        <f>ROUNDUP((J14-I14)/$D$4,0)</f>
        <v>#REF!</v>
      </c>
      <c r="L14" s="306">
        <v>0.0</v>
      </c>
      <c r="M14" s="304" t="e">
        <f>ROUNDUP(IF('AS400 JEMBATAN'!$S14&gt;='AS400 JEMBATAN'!$R14,'AS400 JEMBATAN'!M14,$S14/$M$4)+$U14,0)</f>
        <v>#REF!</v>
      </c>
      <c r="N14" s="304" t="e">
        <f>ROUNDUP(IF('AS400 JEMBATAN'!$S14&gt;='AS400 JEMBATAN'!$R14,'AS400 JEMBATAN'!N14,$S14/$M$4)+$U14,0)</f>
        <v>#REF!</v>
      </c>
      <c r="O14" s="304" t="e">
        <f>ROUNDUP(IF('AS400 JEMBATAN'!$S14&gt;='AS400 JEMBATAN'!$R14,'AS400 JEMBATAN'!O14,$S14/$M$4)+$U14,0)</f>
        <v>#REF!</v>
      </c>
      <c r="P14" s="304" t="e">
        <f>ROUNDUP(IF('AS400 JEMBATAN'!$S14&gt;='AS400 JEMBATAN'!$R14,'AS400 JEMBATAN'!P14,$S14/$M$4)+$U14,0)</f>
        <v>#REF!</v>
      </c>
      <c r="Q14" s="304"/>
      <c r="R14" s="304" t="e">
        <f>SUM(M14:M14)</f>
        <v>#REF!</v>
      </c>
      <c r="S14" s="305" t="e">
        <f>'Qty &amp; UMH GUM'!U14</f>
        <v>#REF!</v>
      </c>
      <c r="T14" s="305" t="e">
        <f>ROUNDUP((S14-R14)/$M$4,0)</f>
        <v>#REF!</v>
      </c>
      <c r="U14" s="307"/>
      <c r="V14" s="304" t="e">
        <f>ROUNDUP(IF('AS400 JEMBATAN'!$AB14&gt;='AS400 JEMBATAN'!$AA14,'AS400 JEMBATAN'!V14,$AB14/$V$4)+$AD14,0)</f>
        <v>#REF!</v>
      </c>
      <c r="W14" s="304" t="e">
        <f>ROUNDUP(IF('AS400 JEMBATAN'!$AB14&gt;='AS400 JEMBATAN'!$AA14,'AS400 JEMBATAN'!W14,$AB14/$V$4)+$AD14,0)</f>
        <v>#REF!</v>
      </c>
      <c r="X14" s="304" t="e">
        <f>ROUNDUP(IF('AS400 JEMBATAN'!$AB14&gt;='AS400 JEMBATAN'!$AA14,'AS400 JEMBATAN'!X14,$AB14/$V$4)+$AD14,0)</f>
        <v>#REF!</v>
      </c>
      <c r="Y14" s="304" t="e">
        <f>ROUNDUP(IF('AS400 JEMBATAN'!$AB14&gt;='AS400 JEMBATAN'!$AA14,'AS400 JEMBATAN'!Y14,$AB14/$V$4)+$AD14,0)</f>
        <v>#REF!</v>
      </c>
      <c r="Z14" s="304"/>
      <c r="AA14" s="304" t="e">
        <f>SUM(V14:V14)</f>
        <v>#REF!</v>
      </c>
      <c r="AB14" s="305" t="e">
        <f>'Qty &amp; UMH GUM'!X14</f>
        <v>#REF!</v>
      </c>
      <c r="AC14" s="304" t="e">
        <f>ROUNDUP((AB14-AA14)/$V$4,0)</f>
        <v>#REF!</v>
      </c>
      <c r="AD14" s="307">
        <v>0.0</v>
      </c>
      <c r="AE14" s="304" t="e">
        <f>ROUNDUP(IF('AS400 JEMBATAN'!$AK14&gt;='AS400 JEMBATAN'!$AJ14,'AS400 JEMBATAN'!AE14,$AK14/$AE$4)+$AM14,0)</f>
        <v>#REF!</v>
      </c>
      <c r="AF14" s="304" t="e">
        <f>ROUNDUP(IF('AS400 JEMBATAN'!$AK14&gt;='AS400 JEMBATAN'!$AJ14,'AS400 JEMBATAN'!AF14,$AK14/$AE$4)+$AM14,0)</f>
        <v>#REF!</v>
      </c>
      <c r="AG14" s="304" t="e">
        <f>ROUNDUP(IF('AS400 JEMBATAN'!$AK14&gt;='AS400 JEMBATAN'!$AJ14,'AS400 JEMBATAN'!AG14,$AK14/$AE$4)+$AM14,0)</f>
        <v>#REF!</v>
      </c>
      <c r="AH14" s="304" t="e">
        <f>ROUNDUP(IF('AS400 JEMBATAN'!$AK14&gt;='AS400 JEMBATAN'!$AJ14,'AS400 JEMBATAN'!AH14,$AK14/$AE$4)+$AM14,0)</f>
        <v>#REF!</v>
      </c>
      <c r="AI14" s="304"/>
      <c r="AJ14" s="304" t="e">
        <f>SUM(AE14:AE14)</f>
        <v>#REF!</v>
      </c>
      <c r="AK14" s="305" t="e">
        <f>'Qty &amp; UMH GUM'!AA14</f>
        <v>#REF!</v>
      </c>
      <c r="AL14" s="304" t="e">
        <f>ROUNDUP((AK14-AJ14)/$AE$4,0)</f>
        <v>#REF!</v>
      </c>
      <c r="AM14" s="307"/>
      <c r="AN14" s="308" t="e">
        <f>ROUNDUP(IF('AS400 JEMBATAN'!$AT14&gt;='AS400 JEMBATAN'!$AS14,'AS400 JEMBATAN'!AN14,$AT14/$AN$4)+$AV14,0)</f>
        <v>#REF!</v>
      </c>
      <c r="AO14" s="304" t="e">
        <f>ROUNDUP(IF('AS400 JEMBATAN'!$AT14&gt;='AS400 JEMBATAN'!$AS14,'AS400 JEMBATAN'!AO14,$AT14/$AN$4)+$AV14,0)</f>
        <v>#REF!</v>
      </c>
      <c r="AP14" s="304" t="e">
        <f>ROUNDUP(IF('AS400 JEMBATAN'!$AT14&gt;='AS400 JEMBATAN'!$AS14,'AS400 JEMBATAN'!AP14,$AT14/$AN$4)+$AV14,0)</f>
        <v>#REF!</v>
      </c>
      <c r="AQ14" s="304" t="e">
        <f>ROUNDUP(IF('AS400 JEMBATAN'!$AT14&gt;='AS400 JEMBATAN'!$AS14,'AS400 JEMBATAN'!AQ14,$AT14/$AN$4)+$AV14,0)</f>
        <v>#REF!</v>
      </c>
      <c r="AR14" s="304"/>
      <c r="AS14" s="304" t="e">
        <f>SUM(AN14:AN14)</f>
        <v>#REF!</v>
      </c>
      <c r="AT14" s="305" t="e">
        <f>'Qty &amp; UMH GUM'!AD14</f>
        <v>#REF!</v>
      </c>
      <c r="AU14" s="304" t="e">
        <f>ROUNDUP((AT14-AS14)/$AN$4,0)</f>
        <v>#REF!</v>
      </c>
      <c r="AV14" s="307"/>
      <c r="AW14" s="296"/>
      <c r="AX14" s="296"/>
      <c r="AY14" s="296"/>
      <c r="AZ14" s="296"/>
      <c r="BA14" s="296"/>
    </row>
    <row r="15" spans="1:53" customHeight="1" ht="18.75">
      <c r="A15" s="445"/>
      <c r="B15" s="343" t="str">
        <f>'Qty &amp; UMH GUM'!C15</f>
        <v>82111-4DT90</v>
      </c>
      <c r="C15" s="303"/>
      <c r="D15" s="304" t="e">
        <f>ROUNDUP(IF('AS400 JEMBATAN'!$J15&gt;='AS400 JEMBATAN'!$I15,'AS400 JEMBATAN'!D15,$J15/$D$4)+$L15,0)</f>
        <v>#REF!</v>
      </c>
      <c r="E15" s="304" t="e">
        <f>ROUNDUP(IF('AS400 JEMBATAN'!$J15&gt;='AS400 JEMBATAN'!$I15,'AS400 JEMBATAN'!E15,$J15/$D$4)+$L15,0)</f>
        <v>#REF!</v>
      </c>
      <c r="F15" s="304" t="e">
        <f>ROUNDUP(IF('AS400 JEMBATAN'!$J15&gt;='AS400 JEMBATAN'!$I15,'AS400 JEMBATAN'!F15,$J15/$D$4)+$L15,0)</f>
        <v>#REF!</v>
      </c>
      <c r="G15" s="304" t="e">
        <f>ROUNDUP(IF('AS400 JEMBATAN'!$J15&gt;='AS400 JEMBATAN'!$I15,'AS400 JEMBATAN'!G15,$J15/$D$4)+$L15,0)</f>
        <v>#REF!</v>
      </c>
      <c r="H15" s="304" t="e">
        <f>ROUNDUP(IF('AS400 JEMBATAN'!$J15&gt;='AS400 JEMBATAN'!$I15,'AS400 JEMBATAN'!H15,$J15/$D$4)+$L15,0)</f>
        <v>#REF!</v>
      </c>
      <c r="I15" s="304" t="e">
        <f>SUM(D15:D15)</f>
        <v>#REF!</v>
      </c>
      <c r="J15" s="305" t="e">
        <f>'Qty &amp; UMH GUM'!R15</f>
        <v>#REF!</v>
      </c>
      <c r="K15" s="305" t="e">
        <f>ROUNDUP((J15-I15)/$D$4,0)</f>
        <v>#REF!</v>
      </c>
      <c r="L15" s="306">
        <v>0.0</v>
      </c>
      <c r="M15" s="304" t="e">
        <f>ROUNDUP(IF('AS400 JEMBATAN'!$S15&gt;='AS400 JEMBATAN'!$R15,'AS400 JEMBATAN'!M15,$S15/$M$4)+$U15,0)</f>
        <v>#REF!</v>
      </c>
      <c r="N15" s="304" t="e">
        <f>ROUNDUP(IF('AS400 JEMBATAN'!$S15&gt;='AS400 JEMBATAN'!$R15,'AS400 JEMBATAN'!N15,$S15/$M$4)+$U15,0)</f>
        <v>#REF!</v>
      </c>
      <c r="O15" s="304" t="e">
        <f>ROUNDUP(IF('AS400 JEMBATAN'!$S15&gt;='AS400 JEMBATAN'!$R15,'AS400 JEMBATAN'!O15,$S15/$M$4)+$U15,0)</f>
        <v>#REF!</v>
      </c>
      <c r="P15" s="304" t="e">
        <f>ROUNDUP(IF('AS400 JEMBATAN'!$S15&gt;='AS400 JEMBATAN'!$R15,'AS400 JEMBATAN'!P15,$S15/$M$4)+$U15,0)</f>
        <v>#REF!</v>
      </c>
      <c r="Q15" s="304"/>
      <c r="R15" s="304" t="e">
        <f>SUM(M15:M15)</f>
        <v>#REF!</v>
      </c>
      <c r="S15" s="305" t="e">
        <f>'Qty &amp; UMH GUM'!U15</f>
        <v>#REF!</v>
      </c>
      <c r="T15" s="305" t="e">
        <f>ROUNDUP((S15-R15)/$M$4,0)</f>
        <v>#REF!</v>
      </c>
      <c r="U15" s="307"/>
      <c r="V15" s="304" t="e">
        <f>ROUNDUP(IF('AS400 JEMBATAN'!$AB15&gt;='AS400 JEMBATAN'!$AA15,'AS400 JEMBATAN'!V15,$AB15/$V$4)+$AD15,0)</f>
        <v>#REF!</v>
      </c>
      <c r="W15" s="304" t="e">
        <f>ROUNDUP(IF('AS400 JEMBATAN'!$AB15&gt;='AS400 JEMBATAN'!$AA15,'AS400 JEMBATAN'!W15,$AB15/$V$4)+$AD15,0)</f>
        <v>#REF!</v>
      </c>
      <c r="X15" s="304" t="e">
        <f>ROUNDUP(IF('AS400 JEMBATAN'!$AB15&gt;='AS400 JEMBATAN'!$AA15,'AS400 JEMBATAN'!X15,$AB15/$V$4)+$AD15,0)</f>
        <v>#REF!</v>
      </c>
      <c r="Y15" s="420" t="e">
        <f>ROUNDUP(IF('AS400 JEMBATAN'!$AB15&gt;='AS400 JEMBATAN'!$AA15,'AS400 JEMBATAN'!Y15,$AB15/$V$4)+$AD15,0)</f>
        <v>#REF!</v>
      </c>
      <c r="Z15" s="420"/>
      <c r="AA15" s="304" t="e">
        <f>SUM(V15:V15)</f>
        <v>#REF!</v>
      </c>
      <c r="AB15" s="305" t="e">
        <f>'Qty &amp; UMH GUM'!X15</f>
        <v>#REF!</v>
      </c>
      <c r="AC15" s="304" t="e">
        <f>ROUNDUP((AB15-AA15)/$V$4,0)</f>
        <v>#REF!</v>
      </c>
      <c r="AD15" s="307">
        <v>0.0</v>
      </c>
      <c r="AE15" s="304" t="e">
        <f>ROUNDUP(IF('AS400 JEMBATAN'!$AK15&gt;='AS400 JEMBATAN'!$AJ15,'AS400 JEMBATAN'!AE15,$AK15/$AE$4)+$AM15,0)</f>
        <v>#REF!</v>
      </c>
      <c r="AF15" s="304" t="e">
        <f>ROUNDUP(IF('AS400 JEMBATAN'!$AK15&gt;='AS400 JEMBATAN'!$AJ15,'AS400 JEMBATAN'!AF15,$AK15/$AE$4)+$AM15,0)</f>
        <v>#REF!</v>
      </c>
      <c r="AG15" s="304" t="e">
        <f>ROUNDUP(IF('AS400 JEMBATAN'!$AK15&gt;='AS400 JEMBATAN'!$AJ15,'AS400 JEMBATAN'!AG15,$AK15/$AE$4)+$AM15,0)</f>
        <v>#REF!</v>
      </c>
      <c r="AH15" s="304" t="e">
        <f>ROUNDUP(IF('AS400 JEMBATAN'!$AK15&gt;='AS400 JEMBATAN'!$AJ15,'AS400 JEMBATAN'!AH15,$AK15/$AE$4)+$AM15,0)</f>
        <v>#REF!</v>
      </c>
      <c r="AI15" s="304"/>
      <c r="AJ15" s="304" t="e">
        <f>SUM(AE15:AE15)</f>
        <v>#REF!</v>
      </c>
      <c r="AK15" s="305" t="e">
        <f>'Qty &amp; UMH GUM'!AA15</f>
        <v>#REF!</v>
      </c>
      <c r="AL15" s="304" t="e">
        <f>ROUNDUP((AK15-AJ15)/$AE$4,0)</f>
        <v>#REF!</v>
      </c>
      <c r="AM15" s="409"/>
      <c r="AN15" s="308" t="e">
        <f>ROUNDUP(IF('AS400 JEMBATAN'!$AT15&gt;='AS400 JEMBATAN'!$AS15,'AS400 JEMBATAN'!AN15,$AT15/$AN$4)+$AV15,0)</f>
        <v>#REF!</v>
      </c>
      <c r="AO15" s="304" t="e">
        <f>ROUNDUP(IF('AS400 JEMBATAN'!$AT15&gt;='AS400 JEMBATAN'!$AS15,'AS400 JEMBATAN'!AO15,$AT15/$AN$4)+$AV15,0)</f>
        <v>#REF!</v>
      </c>
      <c r="AP15" s="304" t="e">
        <f>ROUNDUP(IF('AS400 JEMBATAN'!$AT15&gt;='AS400 JEMBATAN'!$AS15,'AS400 JEMBATAN'!AP15,$AT15/$AN$4)+$AV15,0)</f>
        <v>#REF!</v>
      </c>
      <c r="AQ15" s="304" t="e">
        <f>ROUNDUP(IF('AS400 JEMBATAN'!$AT15&gt;='AS400 JEMBATAN'!$AS15,'AS400 JEMBATAN'!AQ15,$AT15/$AN$4)+$AV15,0)</f>
        <v>#REF!</v>
      </c>
      <c r="AR15" s="304"/>
      <c r="AS15" s="304" t="e">
        <f>SUM(AN15:AN15)</f>
        <v>#REF!</v>
      </c>
      <c r="AT15" s="305" t="e">
        <f>'Qty &amp; UMH GUM'!AD15</f>
        <v>#REF!</v>
      </c>
      <c r="AU15" s="304" t="e">
        <f>ROUNDUP((AT15-AS15)/$AN$4,0)</f>
        <v>#REF!</v>
      </c>
      <c r="AV15" s="310"/>
    </row>
    <row r="16" spans="1:53" customHeight="1" ht="18.75">
      <c r="A16" s="445"/>
      <c r="B16" s="343" t="str">
        <f>'Qty &amp; UMH GUM'!C16</f>
        <v>82111-4DU00</v>
      </c>
      <c r="C16" s="303"/>
      <c r="D16" s="304" t="e">
        <f>ROUNDUP(IF('AS400 JEMBATAN'!$J16&gt;='AS400 JEMBATAN'!$I16,'AS400 JEMBATAN'!D16,$J16/$D$4)+$L16,0)</f>
        <v>#REF!</v>
      </c>
      <c r="E16" s="304" t="e">
        <f>ROUNDUP(IF('AS400 JEMBATAN'!$J16&gt;='AS400 JEMBATAN'!$I16,'AS400 JEMBATAN'!E16,$J16/$D$4)+$L16,0)</f>
        <v>#REF!</v>
      </c>
      <c r="F16" s="304" t="e">
        <f>ROUNDUP(IF('AS400 JEMBATAN'!$J16&gt;='AS400 JEMBATAN'!$I16,'AS400 JEMBATAN'!F16,$J16/$D$4)+$L16,0)</f>
        <v>#REF!</v>
      </c>
      <c r="G16" s="304" t="e">
        <f>ROUNDUP(IF('AS400 JEMBATAN'!$J16&gt;='AS400 JEMBATAN'!$I16,'AS400 JEMBATAN'!G16,$J16/$D$4)+$L16,0)</f>
        <v>#REF!</v>
      </c>
      <c r="H16" s="304" t="e">
        <f>ROUNDUP(IF('AS400 JEMBATAN'!$J16&gt;='AS400 JEMBATAN'!$I16,'AS400 JEMBATAN'!H16,$J16/$D$4)+$L16,0)</f>
        <v>#REF!</v>
      </c>
      <c r="I16" s="304" t="e">
        <f>SUM(D16:D16)</f>
        <v>#REF!</v>
      </c>
      <c r="J16" s="305" t="e">
        <f>'Qty &amp; UMH GUM'!R16</f>
        <v>#REF!</v>
      </c>
      <c r="K16" s="305" t="e">
        <f>ROUNDUP((J16-I16)/$D$4,0)</f>
        <v>#REF!</v>
      </c>
      <c r="L16" s="306">
        <v>0.0</v>
      </c>
      <c r="M16" s="304" t="e">
        <f>ROUNDUP(IF('AS400 JEMBATAN'!$S16&gt;='AS400 JEMBATAN'!$R16,'AS400 JEMBATAN'!M16,$S16/$M$4)+$U16,0)</f>
        <v>#REF!</v>
      </c>
      <c r="N16" s="304" t="e">
        <f>ROUNDUP(IF('AS400 JEMBATAN'!$S16&gt;='AS400 JEMBATAN'!$R16,'AS400 JEMBATAN'!N16,$S16/$M$4)+$U16,0)</f>
        <v>#REF!</v>
      </c>
      <c r="O16" s="304" t="e">
        <f>ROUNDUP(IF('AS400 JEMBATAN'!$S16&gt;='AS400 JEMBATAN'!$R16,'AS400 JEMBATAN'!O16,$S16/$M$4)+$U16,0)</f>
        <v>#REF!</v>
      </c>
      <c r="P16" s="304" t="e">
        <f>ROUNDUP(IF('AS400 JEMBATAN'!$S16&gt;='AS400 JEMBATAN'!$R16,'AS400 JEMBATAN'!P16,$S16/$M$4)+$U16,0)</f>
        <v>#REF!</v>
      </c>
      <c r="Q16" s="304"/>
      <c r="R16" s="304" t="e">
        <f>SUM(M16:M16)</f>
        <v>#REF!</v>
      </c>
      <c r="S16" s="305" t="e">
        <f>'Qty &amp; UMH GUM'!U16</f>
        <v>#REF!</v>
      </c>
      <c r="T16" s="305" t="e">
        <f>ROUNDUP((S16-R16)/$M$4,0)</f>
        <v>#REF!</v>
      </c>
      <c r="U16" s="307"/>
      <c r="V16" s="304" t="e">
        <f>ROUNDUP(IF('AS400 JEMBATAN'!$AB16&gt;='AS400 JEMBATAN'!$AA16,'AS400 JEMBATAN'!V16,$AB16/$V$4)+$AD16,0)</f>
        <v>#REF!</v>
      </c>
      <c r="W16" s="304" t="e">
        <f>ROUNDUP(IF('AS400 JEMBATAN'!$AB16&gt;='AS400 JEMBATAN'!$AA16,'AS400 JEMBATAN'!W16,$AB16/$V$4)+$AD16,0)</f>
        <v>#REF!</v>
      </c>
      <c r="X16" s="304" t="e">
        <f>ROUNDUP(IF('AS400 JEMBATAN'!$AB16&gt;='AS400 JEMBATAN'!$AA16,'AS400 JEMBATAN'!X16,$AB16/$V$4)+$AD16,0)</f>
        <v>#REF!</v>
      </c>
      <c r="Y16" s="304" t="e">
        <f>ROUNDUP(IF('AS400 JEMBATAN'!$AB16&gt;='AS400 JEMBATAN'!$AA16,'AS400 JEMBATAN'!Y16,$AB16/$V$4)+$AD16,0)</f>
        <v>#REF!</v>
      </c>
      <c r="Z16" s="304"/>
      <c r="AA16" s="304" t="e">
        <f>SUM(V16:V16)</f>
        <v>#REF!</v>
      </c>
      <c r="AB16" s="305" t="e">
        <f>'Qty &amp; UMH GUM'!X16</f>
        <v>#REF!</v>
      </c>
      <c r="AC16" s="304" t="e">
        <f>ROUNDUP((AB16-AA16)/$V$4,0)</f>
        <v>#REF!</v>
      </c>
      <c r="AD16" s="307">
        <v>0.0</v>
      </c>
      <c r="AE16" s="304" t="e">
        <f>ROUNDUP(IF('AS400 JEMBATAN'!$AK16&gt;='AS400 JEMBATAN'!$AJ16,'AS400 JEMBATAN'!AE16,$AK16/$AE$4)+$AM16,0)</f>
        <v>#REF!</v>
      </c>
      <c r="AF16" s="304" t="e">
        <f>ROUNDUP(IF('AS400 JEMBATAN'!$AK16&gt;='AS400 JEMBATAN'!$AJ16,'AS400 JEMBATAN'!AF16,$AK16/$AE$4)+$AM16,0)</f>
        <v>#REF!</v>
      </c>
      <c r="AG16" s="304" t="e">
        <f>ROUNDUP(IF('AS400 JEMBATAN'!$AK16&gt;='AS400 JEMBATAN'!$AJ16,'AS400 JEMBATAN'!AG16,$AK16/$AE$4)+$AM16,0)</f>
        <v>#REF!</v>
      </c>
      <c r="AH16" s="304" t="e">
        <f>ROUNDUP(IF('AS400 JEMBATAN'!$AK16&gt;='AS400 JEMBATAN'!$AJ16,'AS400 JEMBATAN'!AH16,$AK16/$AE$4)+$AM16,0)</f>
        <v>#REF!</v>
      </c>
      <c r="AI16" s="304"/>
      <c r="AJ16" s="304" t="e">
        <f>SUM(AE16:AE16)</f>
        <v>#REF!</v>
      </c>
      <c r="AK16" s="305" t="e">
        <f>'Qty &amp; UMH GUM'!AA16</f>
        <v>#REF!</v>
      </c>
      <c r="AL16" s="304" t="e">
        <f>ROUNDUP((AK16-AJ16)/$AE$4,0)</f>
        <v>#REF!</v>
      </c>
      <c r="AM16" s="409"/>
      <c r="AN16" s="308" t="e">
        <f>ROUNDUP(IF('AS400 JEMBATAN'!$AT16&gt;='AS400 JEMBATAN'!$AS16,'AS400 JEMBATAN'!AN16,$AT16/$AN$4)+$AV16,0)</f>
        <v>#REF!</v>
      </c>
      <c r="AO16" s="304" t="e">
        <f>ROUNDUP(IF('AS400 JEMBATAN'!$AT16&gt;='AS400 JEMBATAN'!$AS16,'AS400 JEMBATAN'!AO16,$AT16/$AN$4)+$AV16,0)</f>
        <v>#REF!</v>
      </c>
      <c r="AP16" s="304" t="e">
        <f>ROUNDUP(IF('AS400 JEMBATAN'!$AT16&gt;='AS400 JEMBATAN'!$AS16,'AS400 JEMBATAN'!AP16,$AT16/$AN$4)+$AV16,0)</f>
        <v>#REF!</v>
      </c>
      <c r="AQ16" s="304" t="e">
        <f>ROUNDUP(IF('AS400 JEMBATAN'!$AT16&gt;='AS400 JEMBATAN'!$AS16,'AS400 JEMBATAN'!AQ16,$AT16/$AN$4)+$AV16,0)</f>
        <v>#REF!</v>
      </c>
      <c r="AR16" s="304"/>
      <c r="AS16" s="304" t="e">
        <f>SUM(AN16:AN16)</f>
        <v>#REF!</v>
      </c>
      <c r="AT16" s="305" t="e">
        <f>'Qty &amp; UMH GUM'!AD16</f>
        <v>#REF!</v>
      </c>
      <c r="AU16" s="304" t="e">
        <f>ROUNDUP((AT16-AS16)/$AN$4,0)</f>
        <v>#REF!</v>
      </c>
      <c r="AV16" s="310"/>
      <c r="AW16" s="101"/>
      <c r="AY16" s="101"/>
    </row>
    <row r="17" spans="1:53" customHeight="1" ht="18.75">
      <c r="A17" s="445"/>
      <c r="B17" s="343" t="str">
        <f>'Qty &amp; UMH GUM'!C17</f>
        <v>82111-4DU10</v>
      </c>
      <c r="C17" s="303"/>
      <c r="D17" s="304" t="e">
        <f>ROUNDUP(IF('AS400 JEMBATAN'!$J17&gt;='AS400 JEMBATAN'!$I17,'AS400 JEMBATAN'!D17,$J17/$D$4)+$L17,0)</f>
        <v>#REF!</v>
      </c>
      <c r="E17" s="304" t="e">
        <f>ROUNDUP(IF('AS400 JEMBATAN'!$J17&gt;='AS400 JEMBATAN'!$I17,'AS400 JEMBATAN'!E17,$J17/$D$4)+$L17,0)</f>
        <v>#REF!</v>
      </c>
      <c r="F17" s="304" t="e">
        <f>ROUNDUP(IF('AS400 JEMBATAN'!$J17&gt;='AS400 JEMBATAN'!$I17,'AS400 JEMBATAN'!F17,$J17/$D$4)+$L17,0)</f>
        <v>#REF!</v>
      </c>
      <c r="G17" s="304" t="e">
        <f>ROUNDUP(IF('AS400 JEMBATAN'!$J17&gt;='AS400 JEMBATAN'!$I17,'AS400 JEMBATAN'!G17,$J17/$D$4)+$L17,0)</f>
        <v>#REF!</v>
      </c>
      <c r="H17" s="304" t="e">
        <f>ROUNDUP(IF('AS400 JEMBATAN'!$J17&gt;='AS400 JEMBATAN'!$I17,'AS400 JEMBATAN'!H17,$J17/$D$4)+$L17,0)</f>
        <v>#REF!</v>
      </c>
      <c r="I17" s="304" t="e">
        <f>SUM(D17:D17)</f>
        <v>#REF!</v>
      </c>
      <c r="J17" s="305" t="e">
        <f>'Qty &amp; UMH GUM'!R17</f>
        <v>#REF!</v>
      </c>
      <c r="K17" s="305" t="e">
        <f>ROUNDUP((J17-I17)/$D$4,0)</f>
        <v>#REF!</v>
      </c>
      <c r="L17" s="306">
        <v>0.0</v>
      </c>
      <c r="M17" s="304" t="e">
        <f>ROUNDUP(IF('AS400 JEMBATAN'!$S17&gt;='AS400 JEMBATAN'!$R17,'AS400 JEMBATAN'!M17,$S17/$M$4)+$U17,0)</f>
        <v>#REF!</v>
      </c>
      <c r="N17" s="304" t="e">
        <f>ROUNDUP(IF('AS400 JEMBATAN'!$S17&gt;='AS400 JEMBATAN'!$R17,'AS400 JEMBATAN'!N17,$S17/$M$4)+$U17,0)</f>
        <v>#REF!</v>
      </c>
      <c r="O17" s="304" t="e">
        <f>ROUNDUP(IF('AS400 JEMBATAN'!$S17&gt;='AS400 JEMBATAN'!$R17,'AS400 JEMBATAN'!O17,$S17/$M$4)+$U17,0)</f>
        <v>#REF!</v>
      </c>
      <c r="P17" s="304" t="e">
        <f>ROUNDUP(IF('AS400 JEMBATAN'!$S17&gt;='AS400 JEMBATAN'!$R17,'AS400 JEMBATAN'!P17,$S17/$M$4)+$U17,0)</f>
        <v>#REF!</v>
      </c>
      <c r="Q17" s="304"/>
      <c r="R17" s="304" t="e">
        <f>SUM(M17:M17)</f>
        <v>#REF!</v>
      </c>
      <c r="S17" s="305" t="e">
        <f>'Qty &amp; UMH GUM'!U17</f>
        <v>#REF!</v>
      </c>
      <c r="T17" s="305" t="e">
        <f>ROUNDUP((S17-R17)/$M$4,0)</f>
        <v>#REF!</v>
      </c>
      <c r="U17" s="307"/>
      <c r="V17" s="304" t="e">
        <f>ROUNDUP(IF('AS400 JEMBATAN'!$AB17&gt;='AS400 JEMBATAN'!$AA17,'AS400 JEMBATAN'!V17,$AB17/$V$4)+$AD17,0)</f>
        <v>#REF!</v>
      </c>
      <c r="W17" s="304" t="e">
        <f>ROUNDUP(IF('AS400 JEMBATAN'!$AB17&gt;='AS400 JEMBATAN'!$AA17,'AS400 JEMBATAN'!W17,$AB17/$V$4)+$AD17,0)</f>
        <v>#REF!</v>
      </c>
      <c r="X17" s="304" t="e">
        <f>ROUNDUP(IF('AS400 JEMBATAN'!$AB17&gt;='AS400 JEMBATAN'!$AA17,'AS400 JEMBATAN'!X17,$AB17/$V$4)+$AD17,0)</f>
        <v>#REF!</v>
      </c>
      <c r="Y17" s="304" t="e">
        <f>ROUNDUP(IF('AS400 JEMBATAN'!$AB17&gt;='AS400 JEMBATAN'!$AA17,'AS400 JEMBATAN'!Y17,$AB17/$V$4)+$AD17,0)</f>
        <v>#REF!</v>
      </c>
      <c r="Z17" s="304"/>
      <c r="AA17" s="304" t="e">
        <f>SUM(V17:V17)</f>
        <v>#REF!</v>
      </c>
      <c r="AB17" s="305" t="e">
        <f>'Qty &amp; UMH GUM'!X17</f>
        <v>#REF!</v>
      </c>
      <c r="AC17" s="304" t="e">
        <f>ROUNDUP((AB17-AA17)/$V$4,0)</f>
        <v>#REF!</v>
      </c>
      <c r="AD17" s="307">
        <v>0.0</v>
      </c>
      <c r="AE17" s="304" t="e">
        <f>ROUNDUP(IF('AS400 JEMBATAN'!$AK17&gt;='AS400 JEMBATAN'!$AJ17,'AS400 JEMBATAN'!AE17,$AK17/$AE$4)+$AM17,0)</f>
        <v>#REF!</v>
      </c>
      <c r="AF17" s="304" t="e">
        <f>ROUNDUP(IF('AS400 JEMBATAN'!$AK17&gt;='AS400 JEMBATAN'!$AJ17,'AS400 JEMBATAN'!AF17,$AK17/$AE$4)+$AM17,0)</f>
        <v>#REF!</v>
      </c>
      <c r="AG17" s="304" t="e">
        <f>ROUNDUP(IF('AS400 JEMBATAN'!$AK17&gt;='AS400 JEMBATAN'!$AJ17,'AS400 JEMBATAN'!AG17,$AK17/$AE$4)+$AM17,0)</f>
        <v>#REF!</v>
      </c>
      <c r="AH17" s="304" t="e">
        <f>ROUNDUP(IF('AS400 JEMBATAN'!$AK17&gt;='AS400 JEMBATAN'!$AJ17,'AS400 JEMBATAN'!AH17,$AK17/$AE$4)+$AM17,0)</f>
        <v>#REF!</v>
      </c>
      <c r="AI17" s="304"/>
      <c r="AJ17" s="304" t="e">
        <f>SUM(AE17:AE17)</f>
        <v>#REF!</v>
      </c>
      <c r="AK17" s="305" t="e">
        <f>'Qty &amp; UMH GUM'!AA17</f>
        <v>#REF!</v>
      </c>
      <c r="AL17" s="304" t="e">
        <f>ROUNDUP((AK17-AJ17)/$AE$4,0)</f>
        <v>#REF!</v>
      </c>
      <c r="AM17" s="409"/>
      <c r="AN17" s="308" t="e">
        <f>ROUNDUP(IF('AS400 JEMBATAN'!$AT17&gt;='AS400 JEMBATAN'!$AS17,'AS400 JEMBATAN'!AN17,$AT17/$AN$4)+$AV17,0)</f>
        <v>#REF!</v>
      </c>
      <c r="AO17" s="304" t="e">
        <f>ROUNDUP(IF('AS400 JEMBATAN'!$AT17&gt;='AS400 JEMBATAN'!$AS17,'AS400 JEMBATAN'!AO17,$AT17/$AN$4)+$AV17,0)</f>
        <v>#REF!</v>
      </c>
      <c r="AP17" s="304" t="e">
        <f>ROUNDUP(IF('AS400 JEMBATAN'!$AT17&gt;='AS400 JEMBATAN'!$AS17,'AS400 JEMBATAN'!AP17,$AT17/$AN$4)+$AV17,0)</f>
        <v>#REF!</v>
      </c>
      <c r="AQ17" s="304" t="e">
        <f>ROUNDUP(IF('AS400 JEMBATAN'!$AT17&gt;='AS400 JEMBATAN'!$AS17,'AS400 JEMBATAN'!AQ17,$AT17/$AN$4)+$AV17,0)</f>
        <v>#REF!</v>
      </c>
      <c r="AR17" s="304"/>
      <c r="AS17" s="304" t="e">
        <f>SUM(AN17:AN17)</f>
        <v>#REF!</v>
      </c>
      <c r="AT17" s="305" t="e">
        <f>'Qty &amp; UMH GUM'!AD17</f>
        <v>#REF!</v>
      </c>
      <c r="AU17" s="304" t="e">
        <f>ROUNDUP((AT17-AS17)/$AN$4,0)</f>
        <v>#REF!</v>
      </c>
      <c r="AV17" s="310"/>
      <c r="AY17" s="101"/>
    </row>
    <row r="18" spans="1:53" customHeight="1" ht="18.75">
      <c r="A18" s="445"/>
      <c r="B18" s="343" t="str">
        <f>'Qty &amp; UMH GUM'!C18</f>
        <v>82111-4DU20</v>
      </c>
      <c r="C18" s="303"/>
      <c r="D18" s="304" t="e">
        <f>ROUNDUP(IF('AS400 JEMBATAN'!$J18&gt;='AS400 JEMBATAN'!$I18,'AS400 JEMBATAN'!D18,$J18/$D$4)+$L18,0)</f>
        <v>#REF!</v>
      </c>
      <c r="E18" s="304" t="e">
        <f>ROUNDUP(IF('AS400 JEMBATAN'!$J18&gt;='AS400 JEMBATAN'!$I18,'AS400 JEMBATAN'!E18,$J18/$D$4)+$L18,0)</f>
        <v>#REF!</v>
      </c>
      <c r="F18" s="304" t="e">
        <f>ROUNDUP(IF('AS400 JEMBATAN'!$J18&gt;='AS400 JEMBATAN'!$I18,'AS400 JEMBATAN'!F18,$J18/$D$4)+$L18,0)</f>
        <v>#REF!</v>
      </c>
      <c r="G18" s="304" t="e">
        <f>ROUNDUP(IF('AS400 JEMBATAN'!$J18&gt;='AS400 JEMBATAN'!$I18,'AS400 JEMBATAN'!G18,$J18/$D$4)+$L18,0)</f>
        <v>#REF!</v>
      </c>
      <c r="H18" s="304" t="e">
        <f>ROUNDUP(IF('AS400 JEMBATAN'!$J18&gt;='AS400 JEMBATAN'!$I18,'AS400 JEMBATAN'!H18,$J18/$D$4)+$L18,0)</f>
        <v>#REF!</v>
      </c>
      <c r="I18" s="304" t="e">
        <f>SUM(D18:D18)</f>
        <v>#REF!</v>
      </c>
      <c r="J18" s="305" t="e">
        <f>'Qty &amp; UMH GUM'!R18</f>
        <v>#REF!</v>
      </c>
      <c r="K18" s="305" t="e">
        <f>ROUNDUP((J18-I18)/$D$4,0)</f>
        <v>#REF!</v>
      </c>
      <c r="L18" s="306">
        <v>0.0</v>
      </c>
      <c r="M18" s="304" t="e">
        <f>ROUNDUP(IF('AS400 JEMBATAN'!$S18&gt;='AS400 JEMBATAN'!$R18,'AS400 JEMBATAN'!M18,$S18/$M$4)+$U18,0)</f>
        <v>#REF!</v>
      </c>
      <c r="N18" s="304" t="e">
        <f>ROUNDUP(IF('AS400 JEMBATAN'!$S18&gt;='AS400 JEMBATAN'!$R18,'AS400 JEMBATAN'!N18,$S18/$M$4)+$U18,0)</f>
        <v>#REF!</v>
      </c>
      <c r="O18" s="304" t="e">
        <f>ROUNDUP(IF('AS400 JEMBATAN'!$S18&gt;='AS400 JEMBATAN'!$R18,'AS400 JEMBATAN'!O18,$S18/$M$4)+$U18,0)</f>
        <v>#REF!</v>
      </c>
      <c r="P18" s="304" t="e">
        <f>ROUNDUP(IF('AS400 JEMBATAN'!$S18&gt;='AS400 JEMBATAN'!$R18,'AS400 JEMBATAN'!P18,$S18/$M$4)+$U18,0)</f>
        <v>#REF!</v>
      </c>
      <c r="Q18" s="304"/>
      <c r="R18" s="304" t="e">
        <f>SUM(M18:M18)</f>
        <v>#REF!</v>
      </c>
      <c r="S18" s="305" t="e">
        <f>'Qty &amp; UMH GUM'!U18</f>
        <v>#REF!</v>
      </c>
      <c r="T18" s="305" t="e">
        <f>ROUNDUP((S18-R18)/$M$4,0)</f>
        <v>#REF!</v>
      </c>
      <c r="U18" s="307"/>
      <c r="V18" s="304" t="e">
        <f>ROUNDUP(IF('AS400 JEMBATAN'!$AB18&gt;='AS400 JEMBATAN'!$AA18,'AS400 JEMBATAN'!V18,$AB18/$V$4)+$AD18,0)</f>
        <v>#REF!</v>
      </c>
      <c r="W18" s="304" t="e">
        <f>ROUNDUP(IF('AS400 JEMBATAN'!$AB18&gt;='AS400 JEMBATAN'!$AA18,'AS400 JEMBATAN'!W18,$AB18/$V$4)+$AD18,0)</f>
        <v>#REF!</v>
      </c>
      <c r="X18" s="304" t="e">
        <f>ROUNDUP(IF('AS400 JEMBATAN'!$AB18&gt;='AS400 JEMBATAN'!$AA18,'AS400 JEMBATAN'!X18,$AB18/$V$4)+$AD18,0)</f>
        <v>#REF!</v>
      </c>
      <c r="Y18" s="420" t="e">
        <f>ROUNDUP(IF('AS400 JEMBATAN'!$AB18&gt;='AS400 JEMBATAN'!$AA18,'AS400 JEMBATAN'!Y18,$AB18/$V$4)+$AD18,0)</f>
        <v>#REF!</v>
      </c>
      <c r="Z18" s="420"/>
      <c r="AA18" s="304" t="e">
        <f>SUM(V18:V18)</f>
        <v>#REF!</v>
      </c>
      <c r="AB18" s="305" t="e">
        <f>'Qty &amp; UMH GUM'!X18</f>
        <v>#REF!</v>
      </c>
      <c r="AC18" s="304" t="e">
        <f>ROUNDUP((AB18-AA18)/$V$4,0)</f>
        <v>#REF!</v>
      </c>
      <c r="AD18" s="307">
        <v>0.0</v>
      </c>
      <c r="AE18" s="304" t="e">
        <f>ROUNDUP(IF('AS400 JEMBATAN'!$AK18&gt;='AS400 JEMBATAN'!$AJ18,'AS400 JEMBATAN'!AE18,$AK18/$AE$4)+$AM18,0)</f>
        <v>#REF!</v>
      </c>
      <c r="AF18" s="304" t="e">
        <f>ROUNDUP(IF('AS400 JEMBATAN'!$AK18&gt;='AS400 JEMBATAN'!$AJ18,'AS400 JEMBATAN'!AF18,$AK18/$AE$4)+$AM18,0)</f>
        <v>#REF!</v>
      </c>
      <c r="AG18" s="304" t="e">
        <f>ROUNDUP(IF('AS400 JEMBATAN'!$AK18&gt;='AS400 JEMBATAN'!$AJ18,'AS400 JEMBATAN'!AG18,$AK18/$AE$4)+$AM18,0)</f>
        <v>#REF!</v>
      </c>
      <c r="AH18" s="304" t="e">
        <f>ROUNDUP(IF('AS400 JEMBATAN'!$AK18&gt;='AS400 JEMBATAN'!$AJ18,'AS400 JEMBATAN'!AH18,$AK18/$AE$4)+$AM18,0)</f>
        <v>#REF!</v>
      </c>
      <c r="AI18" s="304"/>
      <c r="AJ18" s="304" t="e">
        <f>SUM(AE18:AE18)</f>
        <v>#REF!</v>
      </c>
      <c r="AK18" s="305" t="e">
        <f>'Qty &amp; UMH GUM'!AA18</f>
        <v>#REF!</v>
      </c>
      <c r="AL18" s="304" t="e">
        <f>ROUNDUP((AK18-AJ18)/$AE$4,0)</f>
        <v>#REF!</v>
      </c>
      <c r="AM18" s="409"/>
      <c r="AN18" s="308" t="e">
        <f>ROUNDUP(IF('AS400 JEMBATAN'!$AT18&gt;='AS400 JEMBATAN'!$AS18,'AS400 JEMBATAN'!AN18,$AT18/$AN$4)+$AV18,0)</f>
        <v>#REF!</v>
      </c>
      <c r="AO18" s="304" t="e">
        <f>ROUNDUP(IF('AS400 JEMBATAN'!$AT18&gt;='AS400 JEMBATAN'!$AS18,'AS400 JEMBATAN'!AO18,$AT18/$AN$4)+$AV18,0)</f>
        <v>#REF!</v>
      </c>
      <c r="AP18" s="304" t="e">
        <f>ROUNDUP(IF('AS400 JEMBATAN'!$AT18&gt;='AS400 JEMBATAN'!$AS18,'AS400 JEMBATAN'!AP18,$AT18/$AN$4)+$AV18,0)</f>
        <v>#REF!</v>
      </c>
      <c r="AQ18" s="304" t="e">
        <f>ROUNDUP(IF('AS400 JEMBATAN'!$AT18&gt;='AS400 JEMBATAN'!$AS18,'AS400 JEMBATAN'!AQ18,$AT18/$AN$4)+$AV18,0)</f>
        <v>#REF!</v>
      </c>
      <c r="AR18" s="304"/>
      <c r="AS18" s="304" t="e">
        <f>SUM(AN18:AN18)</f>
        <v>#REF!</v>
      </c>
      <c r="AT18" s="305" t="e">
        <f>'Qty &amp; UMH GUM'!AD18</f>
        <v>#REF!</v>
      </c>
      <c r="AU18" s="304" t="e">
        <f>ROUNDUP((AT18-AS18)/$AN$4,0)</f>
        <v>#REF!</v>
      </c>
      <c r="AV18" s="310"/>
      <c r="AY18" s="101"/>
    </row>
    <row r="19" spans="1:53" customHeight="1" ht="18.75">
      <c r="A19" s="445"/>
      <c r="B19" s="343" t="str">
        <f>'Qty &amp; UMH GUM'!C19</f>
        <v>82111-4DU30</v>
      </c>
      <c r="C19" s="281"/>
      <c r="D19" s="304" t="e">
        <f>ROUNDUP(IF('AS400 JEMBATAN'!$J19&gt;='AS400 JEMBATAN'!$I19,'AS400 JEMBATAN'!D19,$J19/$D$4)+$L19,0)</f>
        <v>#REF!</v>
      </c>
      <c r="E19" s="304" t="e">
        <f>ROUNDUP(IF('AS400 JEMBATAN'!$J19&gt;='AS400 JEMBATAN'!$I19,'AS400 JEMBATAN'!E19,$J19/$D$4)+$L19,0)</f>
        <v>#REF!</v>
      </c>
      <c r="F19" s="304" t="e">
        <f>ROUNDUP(IF('AS400 JEMBATAN'!$J19&gt;='AS400 JEMBATAN'!$I19,'AS400 JEMBATAN'!F19,$J19/$D$4)+$L19,0)</f>
        <v>#REF!</v>
      </c>
      <c r="G19" s="304" t="e">
        <f>ROUNDUP(IF('AS400 JEMBATAN'!$J19&gt;='AS400 JEMBATAN'!$I19,'AS400 JEMBATAN'!G19,$J19/$D$4)+$L19,0)</f>
        <v>#REF!</v>
      </c>
      <c r="H19" s="304" t="e">
        <f>ROUNDUP(IF('AS400 JEMBATAN'!$J19&gt;='AS400 JEMBATAN'!$I19,'AS400 JEMBATAN'!H19,$J19/$D$4)+$L19,0)</f>
        <v>#REF!</v>
      </c>
      <c r="I19" s="304" t="e">
        <f>SUM(D19:D19)</f>
        <v>#REF!</v>
      </c>
      <c r="J19" s="305" t="e">
        <f>'Qty &amp; UMH GUM'!R19</f>
        <v>#REF!</v>
      </c>
      <c r="K19" s="305" t="e">
        <f>ROUNDUP((J19-I19)/$D$4,0)</f>
        <v>#REF!</v>
      </c>
      <c r="L19" s="306">
        <v>0.0</v>
      </c>
      <c r="M19" s="304" t="e">
        <f>ROUNDUP(IF('AS400 JEMBATAN'!$S19&gt;='AS400 JEMBATAN'!$R19,'AS400 JEMBATAN'!M19,$S19/$M$4)+$U19,0)</f>
        <v>#REF!</v>
      </c>
      <c r="N19" s="304" t="e">
        <f>ROUNDUP(IF('AS400 JEMBATAN'!$S19&gt;='AS400 JEMBATAN'!$R19,'AS400 JEMBATAN'!N19,$S19/$M$4)+$U19,0)</f>
        <v>#REF!</v>
      </c>
      <c r="O19" s="304" t="e">
        <f>ROUNDUP(IF('AS400 JEMBATAN'!$S19&gt;='AS400 JEMBATAN'!$R19,'AS400 JEMBATAN'!O19,$S19/$M$4)+$U19,0)</f>
        <v>#REF!</v>
      </c>
      <c r="P19" s="304" t="e">
        <f>ROUNDUP(IF('AS400 JEMBATAN'!$S19&gt;='AS400 JEMBATAN'!$R19,'AS400 JEMBATAN'!P19,$S19/$M$4)+$U19,0)</f>
        <v>#REF!</v>
      </c>
      <c r="Q19" s="304"/>
      <c r="R19" s="304" t="e">
        <f>SUM(M19:M19)</f>
        <v>#REF!</v>
      </c>
      <c r="S19" s="305" t="e">
        <f>'Qty &amp; UMH GUM'!U19</f>
        <v>#REF!</v>
      </c>
      <c r="T19" s="305" t="e">
        <f>ROUNDUP((S19-R19)/$M$4,0)</f>
        <v>#REF!</v>
      </c>
      <c r="U19" s="307"/>
      <c r="V19" s="304" t="e">
        <f>ROUNDUP(IF('AS400 JEMBATAN'!$AB19&gt;='AS400 JEMBATAN'!$AA19,'AS400 JEMBATAN'!V19,$AB19/$V$4)+$AD19,0)</f>
        <v>#REF!</v>
      </c>
      <c r="W19" s="304" t="e">
        <f>ROUNDUP(IF('AS400 JEMBATAN'!$AB19&gt;='AS400 JEMBATAN'!$AA19,'AS400 JEMBATAN'!W19,$AB19/$V$4)+$AD19,0)</f>
        <v>#REF!</v>
      </c>
      <c r="X19" s="304" t="e">
        <f>ROUNDUP(IF('AS400 JEMBATAN'!$AB19&gt;='AS400 JEMBATAN'!$AA19,'AS400 JEMBATAN'!X19,$AB19/$V$4)+$AD19,0)</f>
        <v>#REF!</v>
      </c>
      <c r="Y19" s="304" t="e">
        <f>ROUNDUP(IF('AS400 JEMBATAN'!$AB19&gt;='AS400 JEMBATAN'!$AA19,'AS400 JEMBATAN'!Y19,$AB19/$V$4)+$AD19,0)</f>
        <v>#REF!</v>
      </c>
      <c r="Z19" s="304"/>
      <c r="AA19" s="304" t="e">
        <f>SUM(V19:V19)</f>
        <v>#REF!</v>
      </c>
      <c r="AB19" s="305" t="e">
        <f>'Qty &amp; UMH GUM'!X19</f>
        <v>#REF!</v>
      </c>
      <c r="AC19" s="304" t="e">
        <f>ROUNDUP((AB19-AA19)/$V$4,0)</f>
        <v>#REF!</v>
      </c>
      <c r="AD19" s="307">
        <v>0.0</v>
      </c>
      <c r="AE19" s="304" t="e">
        <f>ROUNDUP(IF('AS400 JEMBATAN'!$AK19&gt;='AS400 JEMBATAN'!$AJ19,'AS400 JEMBATAN'!AE19,$AK19/$AE$4)+$AM19,0)</f>
        <v>#REF!</v>
      </c>
      <c r="AF19" s="304" t="e">
        <f>ROUNDUP(IF('AS400 JEMBATAN'!$AK19&gt;='AS400 JEMBATAN'!$AJ19,'AS400 JEMBATAN'!AF19,$AK19/$AE$4)+$AM19,0)</f>
        <v>#REF!</v>
      </c>
      <c r="AG19" s="304" t="e">
        <f>ROUNDUP(IF('AS400 JEMBATAN'!$AK19&gt;='AS400 JEMBATAN'!$AJ19,'AS400 JEMBATAN'!AG19,$AK19/$AE$4)+$AM19,0)</f>
        <v>#REF!</v>
      </c>
      <c r="AH19" s="304" t="e">
        <f>ROUNDUP(IF('AS400 JEMBATAN'!$AK19&gt;='AS400 JEMBATAN'!$AJ19,'AS400 JEMBATAN'!AH19,$AK19/$AE$4)+$AM19,0)</f>
        <v>#REF!</v>
      </c>
      <c r="AI19" s="304"/>
      <c r="AJ19" s="304" t="e">
        <f>SUM(AE19:AE19)</f>
        <v>#REF!</v>
      </c>
      <c r="AK19" s="305" t="e">
        <f>'Qty &amp; UMH GUM'!AA19</f>
        <v>#REF!</v>
      </c>
      <c r="AL19" s="304" t="e">
        <f>ROUNDUP((AK19-AJ19)/$AE$4,0)</f>
        <v>#REF!</v>
      </c>
      <c r="AM19" s="409"/>
      <c r="AN19" s="308" t="e">
        <f>ROUNDUP(IF('AS400 JEMBATAN'!$AT19&gt;='AS400 JEMBATAN'!$AS19,'AS400 JEMBATAN'!AN19,$AT19/$AN$4)+$AV19,0)</f>
        <v>#REF!</v>
      </c>
      <c r="AO19" s="304" t="e">
        <f>ROUNDUP(IF('AS400 JEMBATAN'!$AT19&gt;='AS400 JEMBATAN'!$AS19,'AS400 JEMBATAN'!AO19,$AT19/$AN$4)+$AV19,0)</f>
        <v>#REF!</v>
      </c>
      <c r="AP19" s="304" t="e">
        <f>ROUNDUP(IF('AS400 JEMBATAN'!$AT19&gt;='AS400 JEMBATAN'!$AS19,'AS400 JEMBATAN'!AP19,$AT19/$AN$4)+$AV19,0)</f>
        <v>#REF!</v>
      </c>
      <c r="AQ19" s="304" t="e">
        <f>ROUNDUP(IF('AS400 JEMBATAN'!$AT19&gt;='AS400 JEMBATAN'!$AS19,'AS400 JEMBATAN'!AQ19,$AT19/$AN$4)+$AV19,0)</f>
        <v>#REF!</v>
      </c>
      <c r="AR19" s="304"/>
      <c r="AS19" s="304" t="e">
        <f>SUM(AN19:AN19)</f>
        <v>#REF!</v>
      </c>
      <c r="AT19" s="305" t="e">
        <f>'Qty &amp; UMH GUM'!AD19</f>
        <v>#REF!</v>
      </c>
      <c r="AU19" s="304" t="e">
        <f>ROUNDUP((AT19-AS19)/$AN$4,0)</f>
        <v>#REF!</v>
      </c>
      <c r="AV19" s="311"/>
    </row>
    <row r="20" spans="1:53" customHeight="1" ht="18.75">
      <c r="A20" s="445"/>
      <c r="B20" s="343" t="str">
        <f>'Qty &amp; UMH GUM'!C20</f>
        <v>82111-4DU40</v>
      </c>
      <c r="C20" s="281"/>
      <c r="D20" s="304" t="e">
        <f>ROUNDUP(IF('AS400 JEMBATAN'!$J20&gt;='AS400 JEMBATAN'!$I20,'AS400 JEMBATAN'!D20,$J20/$D$4)+$L20,0)</f>
        <v>#REF!</v>
      </c>
      <c r="E20" s="304" t="e">
        <f>ROUNDUP(IF('AS400 JEMBATAN'!$J20&gt;='AS400 JEMBATAN'!$I20,'AS400 JEMBATAN'!E20,$J20/$D$4)+$L20,0)</f>
        <v>#REF!</v>
      </c>
      <c r="F20" s="304" t="e">
        <f>ROUNDUP(IF('AS400 JEMBATAN'!$J20&gt;='AS400 JEMBATAN'!$I20,'AS400 JEMBATAN'!F20,$J20/$D$4)+$L20,0)</f>
        <v>#REF!</v>
      </c>
      <c r="G20" s="304" t="e">
        <f>ROUNDUP(IF('AS400 JEMBATAN'!$J20&gt;='AS400 JEMBATAN'!$I20,'AS400 JEMBATAN'!G20,$J20/$D$4)+$L20,0)</f>
        <v>#REF!</v>
      </c>
      <c r="H20" s="304" t="e">
        <f>ROUNDUP(IF('AS400 JEMBATAN'!$J20&gt;='AS400 JEMBATAN'!$I20,'AS400 JEMBATAN'!H20,$J20/$D$4)+$L20,0)</f>
        <v>#REF!</v>
      </c>
      <c r="I20" s="304" t="e">
        <f>SUM(D20:D20)</f>
        <v>#REF!</v>
      </c>
      <c r="J20" s="305" t="e">
        <f>'Qty &amp; UMH GUM'!R20</f>
        <v>#REF!</v>
      </c>
      <c r="K20" s="305" t="e">
        <f>ROUNDUP((J20-I20)/$D$4,0)</f>
        <v>#REF!</v>
      </c>
      <c r="L20" s="306">
        <v>0.0</v>
      </c>
      <c r="M20" s="304" t="e">
        <f>ROUNDUP(IF('AS400 JEMBATAN'!$S20&gt;='AS400 JEMBATAN'!$R20,'AS400 JEMBATAN'!M20,$S20/$M$4)+$U20,0)</f>
        <v>#REF!</v>
      </c>
      <c r="N20" s="304" t="e">
        <f>ROUNDUP(IF('AS400 JEMBATAN'!$S20&gt;='AS400 JEMBATAN'!$R20,'AS400 JEMBATAN'!N20,$S20/$M$4)+$U20,0)</f>
        <v>#REF!</v>
      </c>
      <c r="O20" s="304" t="e">
        <f>ROUNDUP(IF('AS400 JEMBATAN'!$S20&gt;='AS400 JEMBATAN'!$R20,'AS400 JEMBATAN'!O20,$S20/$M$4)+$U20,0)</f>
        <v>#REF!</v>
      </c>
      <c r="P20" s="304" t="e">
        <f>ROUNDUP(IF('AS400 JEMBATAN'!$S20&gt;='AS400 JEMBATAN'!$R20,'AS400 JEMBATAN'!P20,$S20/$M$4)+$U20,0)</f>
        <v>#REF!</v>
      </c>
      <c r="Q20" s="304"/>
      <c r="R20" s="304" t="e">
        <f>SUM(M20:M20)</f>
        <v>#REF!</v>
      </c>
      <c r="S20" s="305" t="e">
        <f>'Qty &amp; UMH GUM'!U20</f>
        <v>#REF!</v>
      </c>
      <c r="T20" s="305" t="e">
        <f>ROUNDUP((S20-R20)/$M$4,0)</f>
        <v>#REF!</v>
      </c>
      <c r="U20" s="307"/>
      <c r="V20" s="304" t="e">
        <f>ROUNDUP(IF('AS400 JEMBATAN'!$AB20&gt;='AS400 JEMBATAN'!$AA20,'AS400 JEMBATAN'!V20,$AB20/$V$4)+$AD20,0)</f>
        <v>#REF!</v>
      </c>
      <c r="W20" s="304" t="e">
        <f>ROUNDUP(IF('AS400 JEMBATAN'!$AB20&gt;='AS400 JEMBATAN'!$AA20,'AS400 JEMBATAN'!W20,$AB20/$V$4)+$AD20,0)</f>
        <v>#REF!</v>
      </c>
      <c r="X20" s="304" t="e">
        <f>ROUNDUP(IF('AS400 JEMBATAN'!$AB20&gt;='AS400 JEMBATAN'!$AA20,'AS400 JEMBATAN'!X20,$AB20/$V$4)+$AD20,0)</f>
        <v>#REF!</v>
      </c>
      <c r="Y20" s="420" t="e">
        <f>ROUNDUP(IF('AS400 JEMBATAN'!$AB20&gt;='AS400 JEMBATAN'!$AA20,'AS400 JEMBATAN'!Y20,$AB20/$V$4)+$AD20,0)</f>
        <v>#REF!</v>
      </c>
      <c r="Z20" s="420"/>
      <c r="AA20" s="304" t="e">
        <f>SUM(V20:V20)</f>
        <v>#REF!</v>
      </c>
      <c r="AB20" s="305" t="e">
        <f>'Qty &amp; UMH GUM'!X20</f>
        <v>#REF!</v>
      </c>
      <c r="AC20" s="304" t="e">
        <f>ROUNDUP((AB20-AA20)/$V$4,0)</f>
        <v>#REF!</v>
      </c>
      <c r="AD20" s="307">
        <v>0.0</v>
      </c>
      <c r="AE20" s="304" t="e">
        <f>ROUNDUP(IF('AS400 JEMBATAN'!$AK20&gt;='AS400 JEMBATAN'!$AJ20,'AS400 JEMBATAN'!AE20,$AK20/$AE$4)+$AM20,0)</f>
        <v>#REF!</v>
      </c>
      <c r="AF20" s="304" t="e">
        <f>ROUNDUP(IF('AS400 JEMBATAN'!$AK20&gt;='AS400 JEMBATAN'!$AJ20,'AS400 JEMBATAN'!AF20,$AK20/$AE$4)+$AM20,0)</f>
        <v>#REF!</v>
      </c>
      <c r="AG20" s="304" t="e">
        <f>ROUNDUP(IF('AS400 JEMBATAN'!$AK20&gt;='AS400 JEMBATAN'!$AJ20,'AS400 JEMBATAN'!AG20,$AK20/$AE$4)+$AM20,0)</f>
        <v>#REF!</v>
      </c>
      <c r="AH20" s="304" t="e">
        <f>ROUNDUP(IF('AS400 JEMBATAN'!$AK20&gt;='AS400 JEMBATAN'!$AJ20,'AS400 JEMBATAN'!AH20,$AK20/$AE$4)+$AM20,0)</f>
        <v>#REF!</v>
      </c>
      <c r="AI20" s="304"/>
      <c r="AJ20" s="304" t="e">
        <f>SUM(AE20:AE20)</f>
        <v>#REF!</v>
      </c>
      <c r="AK20" s="305" t="e">
        <f>'Qty &amp; UMH GUM'!AA20</f>
        <v>#REF!</v>
      </c>
      <c r="AL20" s="304" t="e">
        <f>ROUNDUP((AK20-AJ20)/$AE$4,0)</f>
        <v>#REF!</v>
      </c>
      <c r="AM20" s="409"/>
      <c r="AN20" s="308" t="e">
        <f>ROUNDUP(IF('AS400 JEMBATAN'!$AT20&gt;='AS400 JEMBATAN'!$AS20,'AS400 JEMBATAN'!AN20,$AT20/$AN$4)+$AV20,0)</f>
        <v>#REF!</v>
      </c>
      <c r="AO20" s="304" t="e">
        <f>ROUNDUP(IF('AS400 JEMBATAN'!$AT20&gt;='AS400 JEMBATAN'!$AS20,'AS400 JEMBATAN'!AO20,$AT20/$AN$4)+$AV20,0)</f>
        <v>#REF!</v>
      </c>
      <c r="AP20" s="304" t="e">
        <f>ROUNDUP(IF('AS400 JEMBATAN'!$AT20&gt;='AS400 JEMBATAN'!$AS20,'AS400 JEMBATAN'!AP20,$AT20/$AN$4)+$AV20,0)</f>
        <v>#REF!</v>
      </c>
      <c r="AQ20" s="304" t="e">
        <f>ROUNDUP(IF('AS400 JEMBATAN'!$AT20&gt;='AS400 JEMBATAN'!$AS20,'AS400 JEMBATAN'!AQ20,$AT20/$AN$4)+$AV20,0)</f>
        <v>#REF!</v>
      </c>
      <c r="AR20" s="304"/>
      <c r="AS20" s="304" t="e">
        <f>SUM(AN20:AN20)</f>
        <v>#REF!</v>
      </c>
      <c r="AT20" s="305" t="e">
        <f>'Qty &amp; UMH GUM'!AD20</f>
        <v>#REF!</v>
      </c>
      <c r="AU20" s="304" t="e">
        <f>ROUNDUP((AT20-AS20)/$AN$4,0)</f>
        <v>#REF!</v>
      </c>
      <c r="AV20" s="311"/>
    </row>
    <row r="21" spans="1:53" customHeight="1" ht="18.75">
      <c r="A21" s="445"/>
      <c r="B21" s="343" t="str">
        <f>'Qty &amp; UMH GUM'!C21</f>
        <v>82111-4DU60</v>
      </c>
      <c r="C21" s="281"/>
      <c r="D21" s="304" t="e">
        <f>ROUNDUP(IF('AS400 JEMBATAN'!$J21&gt;='AS400 JEMBATAN'!$I21,'AS400 JEMBATAN'!D21,$J21/$D$4)+$L21,0)</f>
        <v>#REF!</v>
      </c>
      <c r="E21" s="304" t="e">
        <f>ROUNDUP(IF('AS400 JEMBATAN'!$J21&gt;='AS400 JEMBATAN'!$I21,'AS400 JEMBATAN'!E21,$J21/$D$4)+$L21,0)</f>
        <v>#REF!</v>
      </c>
      <c r="F21" s="304" t="e">
        <f>ROUNDUP(IF('AS400 JEMBATAN'!$J21&gt;='AS400 JEMBATAN'!$I21,'AS400 JEMBATAN'!F21,$J21/$D$4)+$L21,0)</f>
        <v>#REF!</v>
      </c>
      <c r="G21" s="304" t="e">
        <f>ROUNDUP(IF('AS400 JEMBATAN'!$J21&gt;='AS400 JEMBATAN'!$I21,'AS400 JEMBATAN'!G21,$J21/$D$4)+$L21,0)</f>
        <v>#REF!</v>
      </c>
      <c r="H21" s="304" t="e">
        <f>ROUNDUP(IF('AS400 JEMBATAN'!$J21&gt;='AS400 JEMBATAN'!$I21,'AS400 JEMBATAN'!H21,$J21/$D$4)+$L21,0)</f>
        <v>#REF!</v>
      </c>
      <c r="I21" s="304" t="e">
        <f>SUM(D21:D21)</f>
        <v>#REF!</v>
      </c>
      <c r="J21" s="305" t="e">
        <f>'Qty &amp; UMH GUM'!R21</f>
        <v>#REF!</v>
      </c>
      <c r="K21" s="305" t="e">
        <f>ROUNDUP((J21-I21)/$D$4,0)</f>
        <v>#REF!</v>
      </c>
      <c r="L21" s="306">
        <v>0.0</v>
      </c>
      <c r="M21" s="304" t="e">
        <f>ROUNDUP(IF('AS400 JEMBATAN'!$S21&gt;='AS400 JEMBATAN'!$R21,'AS400 JEMBATAN'!M21,$S21/$M$4)+$U21,0)</f>
        <v>#REF!</v>
      </c>
      <c r="N21" s="304" t="e">
        <f>ROUNDUP(IF('AS400 JEMBATAN'!$S21&gt;='AS400 JEMBATAN'!$R21,'AS400 JEMBATAN'!N21,$S21/$M$4)+$U21,0)</f>
        <v>#REF!</v>
      </c>
      <c r="O21" s="304" t="e">
        <f>ROUNDUP(IF('AS400 JEMBATAN'!$S21&gt;='AS400 JEMBATAN'!$R21,'AS400 JEMBATAN'!O21,$S21/$M$4)+$U21,0)</f>
        <v>#REF!</v>
      </c>
      <c r="P21" s="304" t="e">
        <f>ROUNDUP(IF('AS400 JEMBATAN'!$S21&gt;='AS400 JEMBATAN'!$R21,'AS400 JEMBATAN'!P21,$S21/$M$4)+$U21,0)</f>
        <v>#REF!</v>
      </c>
      <c r="Q21" s="304"/>
      <c r="R21" s="304" t="e">
        <f>SUM(M21:M21)</f>
        <v>#REF!</v>
      </c>
      <c r="S21" s="305" t="e">
        <f>'Qty &amp; UMH GUM'!U21</f>
        <v>#REF!</v>
      </c>
      <c r="T21" s="305" t="e">
        <f>ROUNDUP((S21-R21)/$M$4,0)</f>
        <v>#REF!</v>
      </c>
      <c r="U21" s="307"/>
      <c r="V21" s="304" t="e">
        <f>ROUNDUP(IF('AS400 JEMBATAN'!$AB21&gt;='AS400 JEMBATAN'!$AA21,'AS400 JEMBATAN'!V21,$AB21/$V$4)+$AD21,0)</f>
        <v>#REF!</v>
      </c>
      <c r="W21" s="304" t="e">
        <f>ROUNDUP(IF('AS400 JEMBATAN'!$AB21&gt;='AS400 JEMBATAN'!$AA21,'AS400 JEMBATAN'!W21,$AB21/$V$4)+$AD21,0)</f>
        <v>#REF!</v>
      </c>
      <c r="X21" s="304" t="e">
        <f>ROUNDUP(IF('AS400 JEMBATAN'!$AB21&gt;='AS400 JEMBATAN'!$AA21,'AS400 JEMBATAN'!X21,$AB21/$V$4)+$AD21,0)</f>
        <v>#REF!</v>
      </c>
      <c r="Y21" s="420" t="e">
        <f>ROUNDUP(IF('AS400 JEMBATAN'!$AB21&gt;='AS400 JEMBATAN'!$AA21,'AS400 JEMBATAN'!Y21,$AB21/$V$4)+$AD21,0)</f>
        <v>#REF!</v>
      </c>
      <c r="Z21" s="420"/>
      <c r="AA21" s="304" t="e">
        <f>SUM(V21:V21)</f>
        <v>#REF!</v>
      </c>
      <c r="AB21" s="305" t="e">
        <f>'Qty &amp; UMH GUM'!X21</f>
        <v>#REF!</v>
      </c>
      <c r="AC21" s="304" t="e">
        <f>ROUNDUP((AB21-AA21)/$V$4,0)</f>
        <v>#REF!</v>
      </c>
      <c r="AD21" s="307">
        <v>0.0</v>
      </c>
      <c r="AE21" s="304" t="e">
        <f>ROUNDUP(IF('AS400 JEMBATAN'!$AK21&gt;='AS400 JEMBATAN'!$AJ21,'AS400 JEMBATAN'!AE21,$AK21/$AE$4)+$AM21,0)</f>
        <v>#REF!</v>
      </c>
      <c r="AF21" s="304" t="e">
        <f>ROUNDUP(IF('AS400 JEMBATAN'!$AK21&gt;='AS400 JEMBATAN'!$AJ21,'AS400 JEMBATAN'!AF21,$AK21/$AE$4)+$AM21,0)</f>
        <v>#REF!</v>
      </c>
      <c r="AG21" s="304" t="e">
        <f>ROUNDUP(IF('AS400 JEMBATAN'!$AK21&gt;='AS400 JEMBATAN'!$AJ21,'AS400 JEMBATAN'!AG21,$AK21/$AE$4)+$AM21,0)</f>
        <v>#REF!</v>
      </c>
      <c r="AH21" s="304" t="e">
        <f>ROUNDUP(IF('AS400 JEMBATAN'!$AK21&gt;='AS400 JEMBATAN'!$AJ21,'AS400 JEMBATAN'!AH21,$AK21/$AE$4)+$AM21,0)</f>
        <v>#REF!</v>
      </c>
      <c r="AI21" s="304"/>
      <c r="AJ21" s="304" t="e">
        <f>SUM(AE21:AE21)</f>
        <v>#REF!</v>
      </c>
      <c r="AK21" s="305" t="e">
        <f>'Qty &amp; UMH GUM'!AA21</f>
        <v>#REF!</v>
      </c>
      <c r="AL21" s="304" t="e">
        <f>ROUNDUP((AK21-AJ21)/$AE$4,0)</f>
        <v>#REF!</v>
      </c>
      <c r="AM21" s="409"/>
      <c r="AN21" s="308" t="e">
        <f>ROUNDUP(IF('AS400 JEMBATAN'!$AT21&gt;='AS400 JEMBATAN'!$AS21,'AS400 JEMBATAN'!AN21,$AT21/$AN$4)+$AV21,0)</f>
        <v>#REF!</v>
      </c>
      <c r="AO21" s="304" t="e">
        <f>ROUNDUP(IF('AS400 JEMBATAN'!$AT21&gt;='AS400 JEMBATAN'!$AS21,'AS400 JEMBATAN'!AO21,$AT21/$AN$4)+$AV21,0)</f>
        <v>#REF!</v>
      </c>
      <c r="AP21" s="304" t="e">
        <f>ROUNDUP(IF('AS400 JEMBATAN'!$AT21&gt;='AS400 JEMBATAN'!$AS21,'AS400 JEMBATAN'!AP21,$AT21/$AN$4)+$AV21,0)</f>
        <v>#REF!</v>
      </c>
      <c r="AQ21" s="304" t="e">
        <f>ROUNDUP(IF('AS400 JEMBATAN'!$AT21&gt;='AS400 JEMBATAN'!$AS21,'AS400 JEMBATAN'!AQ21,$AT21/$AN$4)+$AV21,0)</f>
        <v>#REF!</v>
      </c>
      <c r="AR21" s="304"/>
      <c r="AS21" s="304" t="e">
        <f>SUM(AN21:AN21)</f>
        <v>#REF!</v>
      </c>
      <c r="AT21" s="305" t="e">
        <f>'Qty &amp; UMH GUM'!AD21</f>
        <v>#REF!</v>
      </c>
      <c r="AU21" s="304" t="e">
        <f>ROUNDUP((AT21-AS21)/$AN$4,0)</f>
        <v>#REF!</v>
      </c>
      <c r="AV21" s="311"/>
    </row>
    <row r="22" spans="1:53" customHeight="1" ht="18.75">
      <c r="A22" s="445"/>
      <c r="B22" s="342" t="str">
        <f>'Qty &amp; UMH GUM'!C22</f>
        <v>82111-4DU70</v>
      </c>
      <c r="C22" s="303"/>
      <c r="D22" s="304" t="e">
        <f>ROUNDUP(IF('AS400 JEMBATAN'!$J22&gt;='AS400 JEMBATAN'!$I22,'AS400 JEMBATAN'!D22,$J22/$D$4)+$L22,0)</f>
        <v>#REF!</v>
      </c>
      <c r="E22" s="304" t="e">
        <f>ROUNDUP(IF('AS400 JEMBATAN'!$J22&gt;='AS400 JEMBATAN'!$I22,'AS400 JEMBATAN'!E22,$J22/$D$4)+$L22,0)</f>
        <v>#REF!</v>
      </c>
      <c r="F22" s="304" t="e">
        <f>ROUNDUP(IF('AS400 JEMBATAN'!$J22&gt;='AS400 JEMBATAN'!$I22,'AS400 JEMBATAN'!F22,$J22/$D$4)+$L22,0)</f>
        <v>#REF!</v>
      </c>
      <c r="G22" s="304" t="e">
        <f>ROUNDUP(IF('AS400 JEMBATAN'!$J22&gt;='AS400 JEMBATAN'!$I22,'AS400 JEMBATAN'!G22,$J22/$D$4)+$L22,0)</f>
        <v>#REF!</v>
      </c>
      <c r="H22" s="304" t="e">
        <f>ROUNDUP(IF('AS400 JEMBATAN'!$J22&gt;='AS400 JEMBATAN'!$I22,'AS400 JEMBATAN'!H22,$J22/$D$4)+$L22,0)</f>
        <v>#REF!</v>
      </c>
      <c r="I22" s="304" t="e">
        <f>SUM(D22:D22)</f>
        <v>#REF!</v>
      </c>
      <c r="J22" s="305" t="e">
        <f>'Qty &amp; UMH GUM'!R22</f>
        <v>#REF!</v>
      </c>
      <c r="K22" s="305" t="e">
        <f>ROUNDUP((J22-I22)/$D$4,0)</f>
        <v>#REF!</v>
      </c>
      <c r="L22" s="306">
        <v>0.0</v>
      </c>
      <c r="M22" s="304" t="e">
        <f>ROUNDUP(IF('AS400 JEMBATAN'!$S22&gt;='AS400 JEMBATAN'!$R22,'AS400 JEMBATAN'!M22,$S22/$M$4)+$U22,0)</f>
        <v>#REF!</v>
      </c>
      <c r="N22" s="304" t="e">
        <f>ROUNDUP(IF('AS400 JEMBATAN'!$S22&gt;='AS400 JEMBATAN'!$R22,'AS400 JEMBATAN'!N22,$S22/$M$4)+$U22,0)</f>
        <v>#REF!</v>
      </c>
      <c r="O22" s="304" t="e">
        <f>ROUNDUP(IF('AS400 JEMBATAN'!$S22&gt;='AS400 JEMBATAN'!$R22,'AS400 JEMBATAN'!O22,$S22/$M$4)+$U22,0)</f>
        <v>#REF!</v>
      </c>
      <c r="P22" s="304" t="e">
        <f>ROUNDUP(IF('AS400 JEMBATAN'!$S22&gt;='AS400 JEMBATAN'!$R22,'AS400 JEMBATAN'!P22,$S22/$M$4)+$U22,0)</f>
        <v>#REF!</v>
      </c>
      <c r="Q22" s="304"/>
      <c r="R22" s="304" t="e">
        <f>SUM(M22:M22)</f>
        <v>#REF!</v>
      </c>
      <c r="S22" s="305" t="e">
        <f>'Qty &amp; UMH GUM'!U22</f>
        <v>#REF!</v>
      </c>
      <c r="T22" s="305" t="e">
        <f>ROUNDUP((S22-R22)/$M$4,0)</f>
        <v>#REF!</v>
      </c>
      <c r="U22" s="307"/>
      <c r="V22" s="304" t="e">
        <f>ROUNDUP(IF('AS400 JEMBATAN'!$AB22&gt;='AS400 JEMBATAN'!$AA22,'AS400 JEMBATAN'!V22,$AB22/$V$4)+$AD22,0)</f>
        <v>#REF!</v>
      </c>
      <c r="W22" s="304" t="e">
        <f>ROUNDUP(IF('AS400 JEMBATAN'!$AB22&gt;='AS400 JEMBATAN'!$AA22,'AS400 JEMBATAN'!W22,$AB22/$V$4)+$AD22,0)</f>
        <v>#REF!</v>
      </c>
      <c r="X22" s="304" t="e">
        <f>ROUNDUP(IF('AS400 JEMBATAN'!$AB22&gt;='AS400 JEMBATAN'!$AA22,'AS400 JEMBATAN'!X22,$AB22/$V$4)+$AD22,0)</f>
        <v>#REF!</v>
      </c>
      <c r="Y22" s="420" t="e">
        <f>ROUNDUP(IF('AS400 JEMBATAN'!$AB22&gt;='AS400 JEMBATAN'!$AA22,'AS400 JEMBATAN'!Y22,$AB22/$V$4)+$AD22,0)</f>
        <v>#REF!</v>
      </c>
      <c r="Z22" s="420"/>
      <c r="AA22" s="304" t="e">
        <f>SUM(V22:V22)</f>
        <v>#REF!</v>
      </c>
      <c r="AB22" s="305" t="e">
        <f>'Qty &amp; UMH GUM'!X22</f>
        <v>#REF!</v>
      </c>
      <c r="AC22" s="304" t="e">
        <f>ROUNDUP((AB22-AA22)/$V$4,0)</f>
        <v>#REF!</v>
      </c>
      <c r="AD22" s="307">
        <v>0.0</v>
      </c>
      <c r="AE22" s="304" t="e">
        <f>ROUNDUP(IF('AS400 JEMBATAN'!$AK22&gt;='AS400 JEMBATAN'!$AJ22,'AS400 JEMBATAN'!AE22,$AK22/$AE$4)+$AM22,0)</f>
        <v>#REF!</v>
      </c>
      <c r="AF22" s="304" t="e">
        <f>ROUNDUP(IF('AS400 JEMBATAN'!$AK22&gt;='AS400 JEMBATAN'!$AJ22,'AS400 JEMBATAN'!AF22,$AK22/$AE$4)+$AM22,0)</f>
        <v>#REF!</v>
      </c>
      <c r="AG22" s="304" t="e">
        <f>ROUNDUP(IF('AS400 JEMBATAN'!$AK22&gt;='AS400 JEMBATAN'!$AJ22,'AS400 JEMBATAN'!AG22,$AK22/$AE$4)+$AM22,0)</f>
        <v>#REF!</v>
      </c>
      <c r="AH22" s="304" t="e">
        <f>ROUNDUP(IF('AS400 JEMBATAN'!$AK22&gt;='AS400 JEMBATAN'!$AJ22,'AS400 JEMBATAN'!AH22,$AK22/$AE$4)+$AM22,0)</f>
        <v>#REF!</v>
      </c>
      <c r="AI22" s="304"/>
      <c r="AJ22" s="304" t="e">
        <f>SUM(AE22:AE22)</f>
        <v>#REF!</v>
      </c>
      <c r="AK22" s="305" t="e">
        <f>'Qty &amp; UMH GUM'!AA22</f>
        <v>#REF!</v>
      </c>
      <c r="AL22" s="304" t="e">
        <f>ROUNDUP((AK22-AJ22)/$AE$4,0)</f>
        <v>#REF!</v>
      </c>
      <c r="AM22" s="307"/>
      <c r="AN22" s="308" t="e">
        <f>ROUNDUP(IF('AS400 JEMBATAN'!$AT22&gt;='AS400 JEMBATAN'!$AS22,'AS400 JEMBATAN'!AN22,$AT22/$AN$4)+$AV22,0)</f>
        <v>#REF!</v>
      </c>
      <c r="AO22" s="304" t="e">
        <f>ROUNDUP(IF('AS400 JEMBATAN'!$AT22&gt;='AS400 JEMBATAN'!$AS22,'AS400 JEMBATAN'!AO22,$AT22/$AN$4)+$AV22,0)</f>
        <v>#REF!</v>
      </c>
      <c r="AP22" s="304" t="e">
        <f>ROUNDUP(IF('AS400 JEMBATAN'!$AT22&gt;='AS400 JEMBATAN'!$AS22,'AS400 JEMBATAN'!AP22,$AT22/$AN$4)+$AV22,0)</f>
        <v>#REF!</v>
      </c>
      <c r="AQ22" s="304" t="e">
        <f>ROUNDUP(IF('AS400 JEMBATAN'!$AT22&gt;='AS400 JEMBATAN'!$AS22,'AS400 JEMBATAN'!AQ22,$AT22/$AN$4)+$AV22,0)</f>
        <v>#REF!</v>
      </c>
      <c r="AR22" s="304"/>
      <c r="AS22" s="304" t="e">
        <f>SUM(AN22:AN22)</f>
        <v>#REF!</v>
      </c>
      <c r="AT22" s="305" t="e">
        <f>'Qty &amp; UMH GUM'!AD22</f>
        <v>#REF!</v>
      </c>
      <c r="AU22" s="304" t="e">
        <f>ROUNDUP((AT22-AS22)/$AN$4,0)</f>
        <v>#REF!</v>
      </c>
      <c r="AV22" s="307"/>
      <c r="AW22" s="296"/>
      <c r="AX22" s="296"/>
      <c r="AY22" s="296"/>
      <c r="AZ22" s="296"/>
      <c r="BA22" s="296"/>
    </row>
    <row r="23" spans="1:53" customHeight="1" ht="18.75">
      <c r="A23" s="445"/>
      <c r="B23" s="342" t="str">
        <f>'Qty &amp; UMH GUM'!C23</f>
        <v>82111-4DU80</v>
      </c>
      <c r="C23" s="303"/>
      <c r="D23" s="304" t="e">
        <f>ROUNDUP(IF('AS400 JEMBATAN'!$J23&gt;='AS400 JEMBATAN'!$I23,'AS400 JEMBATAN'!D23,$J23/$D$4)+$L23,0)</f>
        <v>#REF!</v>
      </c>
      <c r="E23" s="304" t="e">
        <f>ROUNDUP(IF('AS400 JEMBATAN'!$J23&gt;='AS400 JEMBATAN'!$I23,'AS400 JEMBATAN'!E23,$J23/$D$4)+$L23,0)</f>
        <v>#REF!</v>
      </c>
      <c r="F23" s="304" t="e">
        <f>ROUNDUP(IF('AS400 JEMBATAN'!$J23&gt;='AS400 JEMBATAN'!$I23,'AS400 JEMBATAN'!F23,$J23/$D$4)+$L23,0)</f>
        <v>#REF!</v>
      </c>
      <c r="G23" s="304" t="e">
        <f>ROUNDUP(IF('AS400 JEMBATAN'!$J23&gt;='AS400 JEMBATAN'!$I23,'AS400 JEMBATAN'!G23,$J23/$D$4)+$L23,0)</f>
        <v>#REF!</v>
      </c>
      <c r="H23" s="304" t="e">
        <f>ROUNDUP(IF('AS400 JEMBATAN'!$J23&gt;='AS400 JEMBATAN'!$I23,'AS400 JEMBATAN'!H23,$J23/$D$4)+$L23,0)</f>
        <v>#REF!</v>
      </c>
      <c r="I23" s="304" t="e">
        <f>SUM(D23:D23)</f>
        <v>#REF!</v>
      </c>
      <c r="J23" s="305" t="e">
        <f>'Qty &amp; UMH GUM'!R23</f>
        <v>#REF!</v>
      </c>
      <c r="K23" s="305" t="e">
        <f>ROUNDUP((J23-I23)/$D$4,0)</f>
        <v>#REF!</v>
      </c>
      <c r="L23" s="306">
        <v>0.0</v>
      </c>
      <c r="M23" s="304" t="e">
        <f>ROUNDUP(IF('AS400 JEMBATAN'!$S23&gt;='AS400 JEMBATAN'!$R23,'AS400 JEMBATAN'!M23,$S23/$M$4)+$U23,0)</f>
        <v>#REF!</v>
      </c>
      <c r="N23" s="304" t="e">
        <f>ROUNDUP(IF('AS400 JEMBATAN'!$S23&gt;='AS400 JEMBATAN'!$R23,'AS400 JEMBATAN'!N23,$S23/$M$4)+$U23,0)</f>
        <v>#REF!</v>
      </c>
      <c r="O23" s="304" t="e">
        <f>ROUNDUP(IF('AS400 JEMBATAN'!$S23&gt;='AS400 JEMBATAN'!$R23,'AS400 JEMBATAN'!O23,$S23/$M$4)+$U23,0)</f>
        <v>#REF!</v>
      </c>
      <c r="P23" s="304" t="e">
        <f>ROUNDUP(IF('AS400 JEMBATAN'!$S23&gt;='AS400 JEMBATAN'!$R23,'AS400 JEMBATAN'!P23,$S23/$M$4)+$U23,0)</f>
        <v>#REF!</v>
      </c>
      <c r="Q23" s="304"/>
      <c r="R23" s="304" t="e">
        <f>SUM(M23:M23)</f>
        <v>#REF!</v>
      </c>
      <c r="S23" s="305" t="e">
        <f>'Qty &amp; UMH GUM'!U23</f>
        <v>#REF!</v>
      </c>
      <c r="T23" s="305" t="e">
        <f>ROUNDUP((S23-R23)/$M$4,0)</f>
        <v>#REF!</v>
      </c>
      <c r="U23" s="307"/>
      <c r="V23" s="304" t="e">
        <f>ROUNDUP(IF('AS400 JEMBATAN'!$AB23&gt;='AS400 JEMBATAN'!$AA23,'AS400 JEMBATAN'!V23,$AB23/$V$4)+$AD23,0)</f>
        <v>#REF!</v>
      </c>
      <c r="W23" s="304" t="e">
        <f>ROUNDUP(IF('AS400 JEMBATAN'!$AB23&gt;='AS400 JEMBATAN'!$AA23,'AS400 JEMBATAN'!W23,$AB23/$V$4)+$AD23,0)</f>
        <v>#REF!</v>
      </c>
      <c r="X23" s="304" t="e">
        <f>ROUNDUP(IF('AS400 JEMBATAN'!$AB23&gt;='AS400 JEMBATAN'!$AA23,'AS400 JEMBATAN'!X23,$AB23/$V$4)+$AD23,0)</f>
        <v>#REF!</v>
      </c>
      <c r="Y23" s="420" t="e">
        <f>ROUNDUP(IF('AS400 JEMBATAN'!$AB23&gt;='AS400 JEMBATAN'!$AA23,'AS400 JEMBATAN'!Y23,$AB23/$V$4)+$AD23,0)</f>
        <v>#REF!</v>
      </c>
      <c r="Z23" s="420"/>
      <c r="AA23" s="304" t="e">
        <f>SUM(V23:V23)</f>
        <v>#REF!</v>
      </c>
      <c r="AB23" s="305" t="e">
        <f>'Qty &amp; UMH GUM'!X23</f>
        <v>#REF!</v>
      </c>
      <c r="AC23" s="304" t="e">
        <f>ROUNDUP((AB23-AA23)/$V$4,0)</f>
        <v>#REF!</v>
      </c>
      <c r="AD23" s="307">
        <v>0.0</v>
      </c>
      <c r="AE23" s="304" t="e">
        <f>ROUNDUP(IF('AS400 JEMBATAN'!$AK23&gt;='AS400 JEMBATAN'!$AJ23,'AS400 JEMBATAN'!AE23,$AK23/$AE$4)+$AM23,0)</f>
        <v>#REF!</v>
      </c>
      <c r="AF23" s="304" t="e">
        <f>ROUNDUP(IF('AS400 JEMBATAN'!$AK23&gt;='AS400 JEMBATAN'!$AJ23,'AS400 JEMBATAN'!AF23,$AK23/$AE$4)+$AM23,0)</f>
        <v>#REF!</v>
      </c>
      <c r="AG23" s="304" t="e">
        <f>ROUNDUP(IF('AS400 JEMBATAN'!$AK23&gt;='AS400 JEMBATAN'!$AJ23,'AS400 JEMBATAN'!AG23,$AK23/$AE$4)+$AM23,0)</f>
        <v>#REF!</v>
      </c>
      <c r="AH23" s="304" t="e">
        <f>ROUNDUP(IF('AS400 JEMBATAN'!$AK23&gt;='AS400 JEMBATAN'!$AJ23,'AS400 JEMBATAN'!AH23,$AK23/$AE$4)+$AM23,0)</f>
        <v>#REF!</v>
      </c>
      <c r="AI23" s="304"/>
      <c r="AJ23" s="304" t="e">
        <f>SUM(AE23:AE23)</f>
        <v>#REF!</v>
      </c>
      <c r="AK23" s="305" t="e">
        <f>'Qty &amp; UMH GUM'!AA23</f>
        <v>#REF!</v>
      </c>
      <c r="AL23" s="304" t="e">
        <f>ROUNDUP((AK23-AJ23)/$AE$4,0)</f>
        <v>#REF!</v>
      </c>
      <c r="AM23" s="307"/>
      <c r="AN23" s="308" t="e">
        <f>ROUNDUP(IF('AS400 JEMBATAN'!$AT23&gt;='AS400 JEMBATAN'!$AS23,'AS400 JEMBATAN'!AN23,$AT23/$AN$4)+$AV23,0)</f>
        <v>#REF!</v>
      </c>
      <c r="AO23" s="304" t="e">
        <f>ROUNDUP(IF('AS400 JEMBATAN'!$AT23&gt;='AS400 JEMBATAN'!$AS23,'AS400 JEMBATAN'!AO23,$AT23/$AN$4)+$AV23,0)</f>
        <v>#REF!</v>
      </c>
      <c r="AP23" s="304" t="e">
        <f>ROUNDUP(IF('AS400 JEMBATAN'!$AT23&gt;='AS400 JEMBATAN'!$AS23,'AS400 JEMBATAN'!AP23,$AT23/$AN$4)+$AV23,0)</f>
        <v>#REF!</v>
      </c>
      <c r="AQ23" s="304" t="e">
        <f>ROUNDUP(IF('AS400 JEMBATAN'!$AT23&gt;='AS400 JEMBATAN'!$AS23,'AS400 JEMBATAN'!AQ23,$AT23/$AN$4)+$AV23,0)</f>
        <v>#REF!</v>
      </c>
      <c r="AR23" s="304"/>
      <c r="AS23" s="304" t="e">
        <f>SUM(AN23:AN23)</f>
        <v>#REF!</v>
      </c>
      <c r="AT23" s="305" t="e">
        <f>'Qty &amp; UMH GUM'!AD23</f>
        <v>#REF!</v>
      </c>
      <c r="AU23" s="304" t="e">
        <f>ROUNDUP((AT23-AS23)/$AN$4,0)</f>
        <v>#REF!</v>
      </c>
      <c r="AV23" s="307"/>
      <c r="AW23" s="296"/>
      <c r="AX23" s="296"/>
      <c r="AY23" s="296"/>
      <c r="AZ23" s="296"/>
      <c r="BA23" s="296"/>
    </row>
    <row r="24" spans="1:53" customHeight="1" ht="18.75">
      <c r="A24" s="445"/>
      <c r="B24" s="342" t="str">
        <f>'Qty &amp; UMH GUM'!C24</f>
        <v>82111-4DU90</v>
      </c>
      <c r="C24" s="303"/>
      <c r="D24" s="304" t="e">
        <f>ROUNDUP(IF('AS400 JEMBATAN'!$J24&gt;='AS400 JEMBATAN'!$I24,'AS400 JEMBATAN'!D24,$J24/$D$4)+$L24,0)</f>
        <v>#REF!</v>
      </c>
      <c r="E24" s="304" t="e">
        <f>ROUNDUP(IF('AS400 JEMBATAN'!$J24&gt;='AS400 JEMBATAN'!$I24,'AS400 JEMBATAN'!E24,$J24/$D$4)+$L24,0)</f>
        <v>#REF!</v>
      </c>
      <c r="F24" s="304" t="e">
        <f>ROUNDUP(IF('AS400 JEMBATAN'!$J24&gt;='AS400 JEMBATAN'!$I24,'AS400 JEMBATAN'!F24,$J24/$D$4)+$L24,0)</f>
        <v>#REF!</v>
      </c>
      <c r="G24" s="304" t="e">
        <f>ROUNDUP(IF('AS400 JEMBATAN'!$J24&gt;='AS400 JEMBATAN'!$I24,'AS400 JEMBATAN'!G24,$J24/$D$4)+$L24,0)</f>
        <v>#REF!</v>
      </c>
      <c r="H24" s="304" t="e">
        <f>ROUNDUP(IF('AS400 JEMBATAN'!$J24&gt;='AS400 JEMBATAN'!$I24,'AS400 JEMBATAN'!H24,$J24/$D$4)+$L24,0)</f>
        <v>#REF!</v>
      </c>
      <c r="I24" s="304" t="e">
        <f>SUM(D24:D24)</f>
        <v>#REF!</v>
      </c>
      <c r="J24" s="305" t="e">
        <f>'Qty &amp; UMH GUM'!R24</f>
        <v>#REF!</v>
      </c>
      <c r="K24" s="305" t="e">
        <f>ROUNDUP((J24-I24)/$D$4,0)</f>
        <v>#REF!</v>
      </c>
      <c r="L24" s="306">
        <v>0.0</v>
      </c>
      <c r="M24" s="304" t="e">
        <f>ROUNDUP(IF('AS400 JEMBATAN'!$S24&gt;='AS400 JEMBATAN'!$R24,'AS400 JEMBATAN'!M24,$S24/$M$4)+$U24,0)</f>
        <v>#REF!</v>
      </c>
      <c r="N24" s="304" t="e">
        <f>ROUNDUP(IF('AS400 JEMBATAN'!$S24&gt;='AS400 JEMBATAN'!$R24,'AS400 JEMBATAN'!N24,$S24/$M$4)+$U24,0)</f>
        <v>#REF!</v>
      </c>
      <c r="O24" s="304" t="e">
        <f>ROUNDUP(IF('AS400 JEMBATAN'!$S24&gt;='AS400 JEMBATAN'!$R24,'AS400 JEMBATAN'!O24,$S24/$M$4)+$U24,0)</f>
        <v>#REF!</v>
      </c>
      <c r="P24" s="304" t="e">
        <f>ROUNDUP(IF('AS400 JEMBATAN'!$S24&gt;='AS400 JEMBATAN'!$R24,'AS400 JEMBATAN'!P24,$S24/$M$4)+$U24,0)</f>
        <v>#REF!</v>
      </c>
      <c r="Q24" s="304"/>
      <c r="R24" s="304" t="e">
        <f>SUM(M24:M24)</f>
        <v>#REF!</v>
      </c>
      <c r="S24" s="305" t="e">
        <f>'Qty &amp; UMH GUM'!U24</f>
        <v>#REF!</v>
      </c>
      <c r="T24" s="305" t="e">
        <f>ROUNDUP((S24-R24)/$M$4,0)</f>
        <v>#REF!</v>
      </c>
      <c r="U24" s="307"/>
      <c r="V24" s="304" t="e">
        <f>ROUNDUP(IF('AS400 JEMBATAN'!$AB24&gt;='AS400 JEMBATAN'!$AA24,'AS400 JEMBATAN'!V24,$AB24/$V$4)+$AD24,0)</f>
        <v>#REF!</v>
      </c>
      <c r="W24" s="304" t="e">
        <f>ROUNDUP(IF('AS400 JEMBATAN'!$AB24&gt;='AS400 JEMBATAN'!$AA24,'AS400 JEMBATAN'!W24,$AB24/$V$4)+$AD24,0)</f>
        <v>#REF!</v>
      </c>
      <c r="X24" s="304" t="e">
        <f>ROUNDUP(IF('AS400 JEMBATAN'!$AB24&gt;='AS400 JEMBATAN'!$AA24,'AS400 JEMBATAN'!X24,$AB24/$V$4)+$AD24,0)</f>
        <v>#REF!</v>
      </c>
      <c r="Y24" s="304" t="e">
        <f>ROUNDUP(IF('AS400 JEMBATAN'!$AB24&gt;='AS400 JEMBATAN'!$AA24,'AS400 JEMBATAN'!Y24,$AB24/$V$4)+$AD24,0)</f>
        <v>#REF!</v>
      </c>
      <c r="Z24" s="304"/>
      <c r="AA24" s="304" t="e">
        <f>SUM(V24:V24)</f>
        <v>#REF!</v>
      </c>
      <c r="AB24" s="305" t="e">
        <f>'Qty &amp; UMH GUM'!X24</f>
        <v>#REF!</v>
      </c>
      <c r="AC24" s="304" t="e">
        <f>ROUNDUP((AB24-AA24)/$V$4,0)</f>
        <v>#REF!</v>
      </c>
      <c r="AD24" s="307">
        <v>0.0</v>
      </c>
      <c r="AE24" s="304" t="e">
        <f>ROUNDUP(IF('AS400 JEMBATAN'!$AK24&gt;='AS400 JEMBATAN'!$AJ24,'AS400 JEMBATAN'!AE24,$AK24/$AE$4)+$AM24,0)</f>
        <v>#REF!</v>
      </c>
      <c r="AF24" s="304" t="e">
        <f>ROUNDUP(IF('AS400 JEMBATAN'!$AK24&gt;='AS400 JEMBATAN'!$AJ24,'AS400 JEMBATAN'!AF24,$AK24/$AE$4)+$AM24,0)</f>
        <v>#REF!</v>
      </c>
      <c r="AG24" s="304" t="e">
        <f>ROUNDUP(IF('AS400 JEMBATAN'!$AK24&gt;='AS400 JEMBATAN'!$AJ24,'AS400 JEMBATAN'!AG24,$AK24/$AE$4)+$AM24,0)</f>
        <v>#REF!</v>
      </c>
      <c r="AH24" s="304" t="e">
        <f>ROUNDUP(IF('AS400 JEMBATAN'!$AK24&gt;='AS400 JEMBATAN'!$AJ24,'AS400 JEMBATAN'!AH24,$AK24/$AE$4)+$AM24,0)</f>
        <v>#REF!</v>
      </c>
      <c r="AI24" s="304"/>
      <c r="AJ24" s="304" t="e">
        <f>SUM(AE24:AE24)</f>
        <v>#REF!</v>
      </c>
      <c r="AK24" s="305" t="e">
        <f>'Qty &amp; UMH GUM'!AA24</f>
        <v>#REF!</v>
      </c>
      <c r="AL24" s="304" t="e">
        <f>ROUNDUP((AK24-AJ24)/$AE$4,0)</f>
        <v>#REF!</v>
      </c>
      <c r="AM24" s="307"/>
      <c r="AN24" s="308" t="e">
        <f>ROUNDUP(IF('AS400 JEMBATAN'!$AT24&gt;='AS400 JEMBATAN'!$AS24,'AS400 JEMBATAN'!AN24,$AT24/$AN$4)+$AV24,0)</f>
        <v>#REF!</v>
      </c>
      <c r="AO24" s="304" t="e">
        <f>ROUNDUP(IF('AS400 JEMBATAN'!$AT24&gt;='AS400 JEMBATAN'!$AS24,'AS400 JEMBATAN'!AO24,$AT24/$AN$4)+$AV24,0)</f>
        <v>#REF!</v>
      </c>
      <c r="AP24" s="304" t="e">
        <f>ROUNDUP(IF('AS400 JEMBATAN'!$AT24&gt;='AS400 JEMBATAN'!$AS24,'AS400 JEMBATAN'!AP24,$AT24/$AN$4)+$AV24,0)</f>
        <v>#REF!</v>
      </c>
      <c r="AQ24" s="304" t="e">
        <f>ROUNDUP(IF('AS400 JEMBATAN'!$AT24&gt;='AS400 JEMBATAN'!$AS24,'AS400 JEMBATAN'!AQ24,$AT24/$AN$4)+$AV24,0)</f>
        <v>#REF!</v>
      </c>
      <c r="AR24" s="304"/>
      <c r="AS24" s="304" t="e">
        <f>SUM(AN24:AN24)</f>
        <v>#REF!</v>
      </c>
      <c r="AT24" s="305" t="e">
        <f>'Qty &amp; UMH GUM'!AD24</f>
        <v>#REF!</v>
      </c>
      <c r="AU24" s="304" t="e">
        <f>ROUNDUP((AT24-AS24)/$AN$4,0)</f>
        <v>#REF!</v>
      </c>
      <c r="AV24" s="307"/>
      <c r="AW24" s="296"/>
      <c r="AX24" s="296"/>
      <c r="AY24" s="296"/>
      <c r="AZ24" s="296"/>
      <c r="BA24" s="296"/>
    </row>
    <row r="25" spans="1:53" customHeight="1" ht="18.75" s="425" customFormat="1">
      <c r="A25" s="445"/>
      <c r="B25" s="418" t="str">
        <f>'Qty &amp; UMH GUM'!C25</f>
        <v>82111-4DV00</v>
      </c>
      <c r="C25" s="419"/>
      <c r="D25" s="304" t="e">
        <f>ROUNDUP(IF('AS400 JEMBATAN'!$J25&gt;='AS400 JEMBATAN'!$I25,'AS400 JEMBATAN'!D25,$J25/$D$4)+$L25,0)</f>
        <v>#REF!</v>
      </c>
      <c r="E25" s="304" t="e">
        <f>ROUNDUP(IF('AS400 JEMBATAN'!$J25&gt;='AS400 JEMBATAN'!$I25,'AS400 JEMBATAN'!E25,$J25/$D$4)+$L25,0)</f>
        <v>#REF!</v>
      </c>
      <c r="F25" s="304" t="e">
        <f>ROUNDUP(IF('AS400 JEMBATAN'!$J25&gt;='AS400 JEMBATAN'!$I25,'AS400 JEMBATAN'!F25,$J25/$D$4)+$L25,0)</f>
        <v>#REF!</v>
      </c>
      <c r="G25" s="304" t="e">
        <f>ROUNDUP(IF('AS400 JEMBATAN'!$J25&gt;='AS400 JEMBATAN'!$I25,'AS400 JEMBATAN'!G25,$J25/$D$4)+$L25,0)</f>
        <v>#REF!</v>
      </c>
      <c r="H25" s="304" t="e">
        <f>ROUNDUP(IF('AS400 JEMBATAN'!$J25&gt;='AS400 JEMBATAN'!$I25,'AS400 JEMBATAN'!H25,$J25/$D$4)+$L25,0)</f>
        <v>#REF!</v>
      </c>
      <c r="I25" s="420" t="e">
        <f>SUM(D25:D25)</f>
        <v>#REF!</v>
      </c>
      <c r="J25" s="421" t="e">
        <f>'Qty &amp; UMH GUM'!R25</f>
        <v>#REF!</v>
      </c>
      <c r="K25" s="421" t="e">
        <f>ROUNDUP((J25-I25)/$D$4,0)</f>
        <v>#REF!</v>
      </c>
      <c r="L25" s="422">
        <v>0.0</v>
      </c>
      <c r="M25" s="420" t="e">
        <f>ROUNDUP(IF('AS400 JEMBATAN'!$S25&gt;='AS400 JEMBATAN'!$R25,'AS400 JEMBATAN'!M25,$S25/$M$4)+$U25,0)</f>
        <v>#REF!</v>
      </c>
      <c r="N25" s="420" t="e">
        <f>ROUNDUP(IF('AS400 JEMBATAN'!$S25&gt;='AS400 JEMBATAN'!$R25,'AS400 JEMBATAN'!N25,$S25/$M$4)+$U25,0)</f>
        <v>#REF!</v>
      </c>
      <c r="O25" s="420" t="e">
        <f>ROUNDUP(IF('AS400 JEMBATAN'!$S25&gt;='AS400 JEMBATAN'!$R25,'AS400 JEMBATAN'!O25,$S25/$M$4)+$U25,0)</f>
        <v>#REF!</v>
      </c>
      <c r="P25" s="420" t="e">
        <f>ROUNDUP(IF('AS400 JEMBATAN'!$S25&gt;='AS400 JEMBATAN'!$R25,'AS400 JEMBATAN'!P25,$S25/$M$4)+$U25,0)</f>
        <v>#REF!</v>
      </c>
      <c r="Q25" s="420"/>
      <c r="R25" s="420" t="e">
        <f>SUM(M25:M25)</f>
        <v>#REF!</v>
      </c>
      <c r="S25" s="421" t="e">
        <f>'Qty &amp; UMH GUM'!U25</f>
        <v>#REF!</v>
      </c>
      <c r="T25" s="421" t="e">
        <f>ROUNDUP((S25-R25)/$M$4,0)</f>
        <v>#REF!</v>
      </c>
      <c r="U25" s="352"/>
      <c r="V25" s="420" t="e">
        <f>ROUNDUP(IF('AS400 JEMBATAN'!$AB25&gt;='AS400 JEMBATAN'!$AA25,'AS400 JEMBATAN'!V25,$AB25/$V$4)+$AD25,0)</f>
        <v>#REF!</v>
      </c>
      <c r="W25" s="420" t="e">
        <f>ROUNDUP(IF('AS400 JEMBATAN'!$AB25&gt;='AS400 JEMBATAN'!$AA25,'AS400 JEMBATAN'!W25,$AB25/$V$4)+$AD25,0)</f>
        <v>#REF!</v>
      </c>
      <c r="X25" s="420" t="e">
        <f>ROUNDUP(IF('AS400 JEMBATAN'!$AB25&gt;='AS400 JEMBATAN'!$AA25,'AS400 JEMBATAN'!X25,$AB25/$V$4)+$AD25,0)</f>
        <v>#REF!</v>
      </c>
      <c r="Y25" s="420" t="e">
        <f>ROUNDUP(IF('AS400 JEMBATAN'!$AB25&gt;='AS400 JEMBATAN'!$AA25,'AS400 JEMBATAN'!Y25,$AB25/$V$4)+$AD25,0)</f>
        <v>#REF!</v>
      </c>
      <c r="Z25" s="420"/>
      <c r="AA25" s="420" t="e">
        <f>SUM(V25:V25)</f>
        <v>#REF!</v>
      </c>
      <c r="AB25" s="421" t="e">
        <f>'Qty &amp; UMH GUM'!X25</f>
        <v>#REF!</v>
      </c>
      <c r="AC25" s="420" t="e">
        <f>ROUNDUP((AB25-AA25)/$V$4,0)</f>
        <v>#REF!</v>
      </c>
      <c r="AD25" s="307">
        <v>0.0</v>
      </c>
      <c r="AE25" s="420" t="e">
        <f>ROUNDUP(IF('AS400 JEMBATAN'!$AK25&gt;='AS400 JEMBATAN'!$AJ25,'AS400 JEMBATAN'!AE25,$AK25/$AE$4)+$AM25,0)</f>
        <v>#REF!</v>
      </c>
      <c r="AF25" s="420" t="e">
        <f>ROUNDUP(IF('AS400 JEMBATAN'!$AK25&gt;='AS400 JEMBATAN'!$AJ25,'AS400 JEMBATAN'!AF25,$AK25/$AE$4)+$AM25,0)</f>
        <v>#REF!</v>
      </c>
      <c r="AG25" s="420" t="e">
        <f>ROUNDUP(IF('AS400 JEMBATAN'!$AK25&gt;='AS400 JEMBATAN'!$AJ25,'AS400 JEMBATAN'!AG25,$AK25/$AE$4)+$AM25,0)</f>
        <v>#REF!</v>
      </c>
      <c r="AH25" s="420" t="e">
        <f>ROUNDUP(IF('AS400 JEMBATAN'!$AK25&gt;='AS400 JEMBATAN'!$AJ25,'AS400 JEMBATAN'!AH25,$AK25/$AE$4)+$AM25,0)</f>
        <v>#REF!</v>
      </c>
      <c r="AI25" s="420"/>
      <c r="AJ25" s="420" t="e">
        <f>SUM(AE25:AE25)</f>
        <v>#REF!</v>
      </c>
      <c r="AK25" s="421" t="e">
        <f>'Qty &amp; UMH GUM'!AA25</f>
        <v>#REF!</v>
      </c>
      <c r="AL25" s="420" t="e">
        <f>ROUNDUP((AK25-AJ25)/$AE$4,0)</f>
        <v>#REF!</v>
      </c>
      <c r="AM25" s="352"/>
      <c r="AN25" s="423" t="e">
        <f>ROUNDUP(IF('AS400 JEMBATAN'!$AT25&gt;='AS400 JEMBATAN'!$AS25,'AS400 JEMBATAN'!AN25,$AT25/$AN$4)+$AV25,0)</f>
        <v>#REF!</v>
      </c>
      <c r="AO25" s="420" t="e">
        <f>ROUNDUP(IF('AS400 JEMBATAN'!$AT25&gt;='AS400 JEMBATAN'!$AS25,'AS400 JEMBATAN'!AO25,$AT25/$AN$4)+$AV25,0)</f>
        <v>#REF!</v>
      </c>
      <c r="AP25" s="420" t="e">
        <f>ROUNDUP(IF('AS400 JEMBATAN'!$AT25&gt;='AS400 JEMBATAN'!$AS25,'AS400 JEMBATAN'!AP25,$AT25/$AN$4)+$AV25,0)</f>
        <v>#REF!</v>
      </c>
      <c r="AQ25" s="420" t="e">
        <f>ROUNDUP(IF('AS400 JEMBATAN'!$AT25&gt;='AS400 JEMBATAN'!$AS25,'AS400 JEMBATAN'!AQ25,$AT25/$AN$4)+$AV25,0)</f>
        <v>#REF!</v>
      </c>
      <c r="AR25" s="420"/>
      <c r="AS25" s="420" t="e">
        <f>SUM(AN25:AN25)</f>
        <v>#REF!</v>
      </c>
      <c r="AT25" s="421" t="e">
        <f>'Qty &amp; UMH GUM'!AD25</f>
        <v>#REF!</v>
      </c>
      <c r="AU25" s="420" t="e">
        <f>ROUNDUP((AT25-AS25)/$AN$4,0)</f>
        <v>#REF!</v>
      </c>
      <c r="AV25" s="352"/>
      <c r="AW25" s="424"/>
      <c r="AX25" s="424"/>
      <c r="AY25" s="424"/>
      <c r="AZ25" s="424"/>
      <c r="BA25" s="424"/>
    </row>
    <row r="26" spans="1:53" customHeight="1" ht="18.75">
      <c r="A26" s="445"/>
      <c r="B26" s="342" t="str">
        <f>'Qty &amp; UMH GUM'!C26</f>
        <v>82111-4DV10</v>
      </c>
      <c r="C26" s="303"/>
      <c r="D26" s="304" t="e">
        <f>ROUNDUP(IF('AS400 JEMBATAN'!$J26&gt;='AS400 JEMBATAN'!$I26,'AS400 JEMBATAN'!D26,$J26/$D$4)+$L26,0)</f>
        <v>#REF!</v>
      </c>
      <c r="E26" s="304" t="e">
        <f>ROUNDUP(IF('AS400 JEMBATAN'!$J26&gt;='AS400 JEMBATAN'!$I26,'AS400 JEMBATAN'!E26,$J26/$D$4)+$L26,0)</f>
        <v>#REF!</v>
      </c>
      <c r="F26" s="304" t="e">
        <f>ROUNDUP(IF('AS400 JEMBATAN'!$J26&gt;='AS400 JEMBATAN'!$I26,'AS400 JEMBATAN'!F26,$J26/$D$4)+$L26,0)</f>
        <v>#REF!</v>
      </c>
      <c r="G26" s="304" t="e">
        <f>ROUNDUP(IF('AS400 JEMBATAN'!$J26&gt;='AS400 JEMBATAN'!$I26,'AS400 JEMBATAN'!G26,$J26/$D$4)+$L26,0)</f>
        <v>#REF!</v>
      </c>
      <c r="H26" s="304" t="e">
        <f>ROUNDUP(IF('AS400 JEMBATAN'!$J26&gt;='AS400 JEMBATAN'!$I26,'AS400 JEMBATAN'!H26,$J26/$D$4)+$L26,0)</f>
        <v>#REF!</v>
      </c>
      <c r="I26" s="304" t="e">
        <f>SUM(D26:D26)</f>
        <v>#REF!</v>
      </c>
      <c r="J26" s="305" t="e">
        <f>'Qty &amp; UMH GUM'!R26</f>
        <v>#REF!</v>
      </c>
      <c r="K26" s="305" t="e">
        <f>ROUNDUP((J26-I26)/$D$4,0)</f>
        <v>#REF!</v>
      </c>
      <c r="L26" s="306">
        <v>0.0</v>
      </c>
      <c r="M26" s="304" t="e">
        <f>ROUNDUP(IF('AS400 JEMBATAN'!$S26&gt;='AS400 JEMBATAN'!$R26,'AS400 JEMBATAN'!M26,$S26/$M$4)+$U26,0)</f>
        <v>#REF!</v>
      </c>
      <c r="N26" s="304" t="e">
        <f>ROUNDUP(IF('AS400 JEMBATAN'!$S26&gt;='AS400 JEMBATAN'!$R26,'AS400 JEMBATAN'!N26,$S26/$M$4)+$U26,0)</f>
        <v>#REF!</v>
      </c>
      <c r="O26" s="304" t="e">
        <f>ROUNDUP(IF('AS400 JEMBATAN'!$S26&gt;='AS400 JEMBATAN'!$R26,'AS400 JEMBATAN'!O26,$S26/$M$4)+$U26,0)</f>
        <v>#REF!</v>
      </c>
      <c r="P26" s="304" t="e">
        <f>ROUNDUP(IF('AS400 JEMBATAN'!$S26&gt;='AS400 JEMBATAN'!$R26,'AS400 JEMBATAN'!P26,$S26/$M$4)+$U26,0)</f>
        <v>#REF!</v>
      </c>
      <c r="Q26" s="304"/>
      <c r="R26" s="304" t="e">
        <f>SUM(M26:M26)</f>
        <v>#REF!</v>
      </c>
      <c r="S26" s="305" t="e">
        <f>'Qty &amp; UMH GUM'!U26</f>
        <v>#REF!</v>
      </c>
      <c r="T26" s="305" t="e">
        <f>ROUNDUP((S26-R26)/$M$4,0)</f>
        <v>#REF!</v>
      </c>
      <c r="U26" s="307"/>
      <c r="V26" s="304" t="e">
        <f>ROUNDUP(IF('AS400 JEMBATAN'!$AB26&gt;='AS400 JEMBATAN'!$AA26,'AS400 JEMBATAN'!V26,$AB26/$V$4)+$AD26,0)</f>
        <v>#REF!</v>
      </c>
      <c r="W26" s="304" t="e">
        <f>ROUNDUP(IF('AS400 JEMBATAN'!$AB26&gt;='AS400 JEMBATAN'!$AA26,'AS400 JEMBATAN'!W26,$AB26/$V$4)+$AD26,0)</f>
        <v>#REF!</v>
      </c>
      <c r="X26" s="304" t="e">
        <f>ROUNDUP(IF('AS400 JEMBATAN'!$AB26&gt;='AS400 JEMBATAN'!$AA26,'AS400 JEMBATAN'!X26,$AB26/$V$4)+$AD26,0)</f>
        <v>#REF!</v>
      </c>
      <c r="Y26" s="420" t="e">
        <f>ROUNDUP(IF('AS400 JEMBATAN'!$AB26&gt;='AS400 JEMBATAN'!$AA26,'AS400 JEMBATAN'!Y26,$AB26/$V$4)+$AD26,0)</f>
        <v>#REF!</v>
      </c>
      <c r="Z26" s="420"/>
      <c r="AA26" s="304" t="e">
        <f>SUM(V26:V26)</f>
        <v>#REF!</v>
      </c>
      <c r="AB26" s="305" t="e">
        <f>'Qty &amp; UMH GUM'!X26</f>
        <v>#REF!</v>
      </c>
      <c r="AC26" s="304" t="e">
        <f>ROUNDUP((AB26-AA26)/$V$4,0)</f>
        <v>#REF!</v>
      </c>
      <c r="AD26" s="307">
        <v>0.0</v>
      </c>
      <c r="AE26" s="304" t="e">
        <f>ROUNDUP(IF('AS400 JEMBATAN'!$AK26&gt;='AS400 JEMBATAN'!$AJ26,'AS400 JEMBATAN'!AE26,$AK26/$AE$4)+$AM26,0)</f>
        <v>#REF!</v>
      </c>
      <c r="AF26" s="304" t="e">
        <f>ROUNDUP(IF('AS400 JEMBATAN'!$AK26&gt;='AS400 JEMBATAN'!$AJ26,'AS400 JEMBATAN'!AF26,$AK26/$AE$4)+$AM26,0)</f>
        <v>#REF!</v>
      </c>
      <c r="AG26" s="304" t="e">
        <f>ROUNDUP(IF('AS400 JEMBATAN'!$AK26&gt;='AS400 JEMBATAN'!$AJ26,'AS400 JEMBATAN'!AG26,$AK26/$AE$4)+$AM26,0)</f>
        <v>#REF!</v>
      </c>
      <c r="AH26" s="304" t="e">
        <f>ROUNDUP(IF('AS400 JEMBATAN'!$AK26&gt;='AS400 JEMBATAN'!$AJ26,'AS400 JEMBATAN'!AH26,$AK26/$AE$4)+$AM26,0)</f>
        <v>#REF!</v>
      </c>
      <c r="AI26" s="304"/>
      <c r="AJ26" s="304" t="e">
        <f>SUM(AE26:AE26)</f>
        <v>#REF!</v>
      </c>
      <c r="AK26" s="305" t="e">
        <f>'Qty &amp; UMH GUM'!AA26</f>
        <v>#REF!</v>
      </c>
      <c r="AL26" s="304" t="e">
        <f>ROUNDUP((AK26-AJ26)/$AE$4,0)</f>
        <v>#REF!</v>
      </c>
      <c r="AM26" s="307"/>
      <c r="AN26" s="308" t="e">
        <f>ROUNDUP(IF('AS400 JEMBATAN'!$AT26&gt;='AS400 JEMBATAN'!$AS26,'AS400 JEMBATAN'!AN26,$AT26/$AN$4)+$AV26,0)</f>
        <v>#REF!</v>
      </c>
      <c r="AO26" s="304" t="e">
        <f>ROUNDUP(IF('AS400 JEMBATAN'!$AT26&gt;='AS400 JEMBATAN'!$AS26,'AS400 JEMBATAN'!AO26,$AT26/$AN$4)+$AV26,0)</f>
        <v>#REF!</v>
      </c>
      <c r="AP26" s="304" t="e">
        <f>ROUNDUP(IF('AS400 JEMBATAN'!$AT26&gt;='AS400 JEMBATAN'!$AS26,'AS400 JEMBATAN'!AP26,$AT26/$AN$4)+$AV26,0)</f>
        <v>#REF!</v>
      </c>
      <c r="AQ26" s="304" t="e">
        <f>ROUNDUP(IF('AS400 JEMBATAN'!$AT26&gt;='AS400 JEMBATAN'!$AS26,'AS400 JEMBATAN'!AQ26,$AT26/$AN$4)+$AV26,0)</f>
        <v>#REF!</v>
      </c>
      <c r="AR26" s="304"/>
      <c r="AS26" s="304" t="e">
        <f>SUM(AN26:AN26)</f>
        <v>#REF!</v>
      </c>
      <c r="AT26" s="305" t="e">
        <f>'Qty &amp; UMH GUM'!AD26</f>
        <v>#REF!</v>
      </c>
      <c r="AU26" s="304" t="e">
        <f>ROUNDUP((AT26-AS26)/$AN$4,0)</f>
        <v>#REF!</v>
      </c>
      <c r="AV26" s="307"/>
      <c r="AW26" s="296"/>
      <c r="AX26" s="296"/>
      <c r="AY26" s="296"/>
      <c r="AZ26" s="296"/>
      <c r="BA26" s="296"/>
    </row>
    <row r="27" spans="1:53" customHeight="1" ht="18.75">
      <c r="A27" s="445"/>
      <c r="B27" s="343" t="str">
        <f>'Qty &amp; UMH GUM'!C27</f>
        <v>82111-4DV30</v>
      </c>
      <c r="C27" s="303"/>
      <c r="D27" s="304" t="e">
        <f>ROUNDUP(IF('AS400 JEMBATAN'!$J27&gt;='AS400 JEMBATAN'!$I27,'AS400 JEMBATAN'!D27,$J27/$D$4)+$L27,0)</f>
        <v>#REF!</v>
      </c>
      <c r="E27" s="304" t="e">
        <f>ROUNDUP(IF('AS400 JEMBATAN'!$J27&gt;='AS400 JEMBATAN'!$I27,'AS400 JEMBATAN'!E27,$J27/$D$4)+$L27,0)</f>
        <v>#REF!</v>
      </c>
      <c r="F27" s="304" t="e">
        <f>ROUNDUP(IF('AS400 JEMBATAN'!$J27&gt;='AS400 JEMBATAN'!$I27,'AS400 JEMBATAN'!F27,$J27/$D$4)+$L27,0)</f>
        <v>#REF!</v>
      </c>
      <c r="G27" s="304" t="e">
        <f>ROUNDUP(IF('AS400 JEMBATAN'!$J27&gt;='AS400 JEMBATAN'!$I27,'AS400 JEMBATAN'!G27,$J27/$D$4)+$L27,0)</f>
        <v>#REF!</v>
      </c>
      <c r="H27" s="304" t="e">
        <f>ROUNDUP(IF('AS400 JEMBATAN'!$J27&gt;='AS400 JEMBATAN'!$I27,'AS400 JEMBATAN'!H27,$J27/$D$4)+$L27,0)</f>
        <v>#REF!</v>
      </c>
      <c r="I27" s="304" t="e">
        <f>SUM(D27:D27)</f>
        <v>#REF!</v>
      </c>
      <c r="J27" s="305" t="e">
        <f>'Qty &amp; UMH GUM'!R27</f>
        <v>#REF!</v>
      </c>
      <c r="K27" s="305" t="e">
        <f>ROUNDUP((J27-I27)/$D$4,0)</f>
        <v>#REF!</v>
      </c>
      <c r="L27" s="306">
        <v>0.0</v>
      </c>
      <c r="M27" s="304" t="e">
        <f>ROUNDUP(IF('AS400 JEMBATAN'!$S27&gt;='AS400 JEMBATAN'!$R27,'AS400 JEMBATAN'!M27,$S27/$M$4)+$U27,0)</f>
        <v>#REF!</v>
      </c>
      <c r="N27" s="304" t="e">
        <f>ROUNDUP(IF('AS400 JEMBATAN'!$S27&gt;='AS400 JEMBATAN'!$R27,'AS400 JEMBATAN'!N27,$S27/$M$4)+$U27,0)</f>
        <v>#REF!</v>
      </c>
      <c r="O27" s="304" t="e">
        <f>ROUNDUP(IF('AS400 JEMBATAN'!$S27&gt;='AS400 JEMBATAN'!$R27,'AS400 JEMBATAN'!O27,$S27/$M$4)+$U27,0)</f>
        <v>#REF!</v>
      </c>
      <c r="P27" s="304" t="e">
        <f>ROUNDUP(IF('AS400 JEMBATAN'!$S27&gt;='AS400 JEMBATAN'!$R27,'AS400 JEMBATAN'!P27,$S27/$M$4)+$U27,0)</f>
        <v>#REF!</v>
      </c>
      <c r="Q27" s="304"/>
      <c r="R27" s="304" t="e">
        <f>SUM(M27:M27)</f>
        <v>#REF!</v>
      </c>
      <c r="S27" s="305" t="e">
        <f>'Qty &amp; UMH GUM'!U27</f>
        <v>#REF!</v>
      </c>
      <c r="T27" s="305" t="e">
        <f>ROUNDUP((S27-R27)/$M$4,0)</f>
        <v>#REF!</v>
      </c>
      <c r="U27" s="307"/>
      <c r="V27" s="304" t="e">
        <f>ROUNDUP(IF('AS400 JEMBATAN'!$AB27&gt;='AS400 JEMBATAN'!$AA27,'AS400 JEMBATAN'!V27,$AB27/$V$4)+$AD27,0)</f>
        <v>#REF!</v>
      </c>
      <c r="W27" s="304" t="e">
        <f>ROUNDUP(IF('AS400 JEMBATAN'!$AB27&gt;='AS400 JEMBATAN'!$AA27,'AS400 JEMBATAN'!W27,$AB27/$V$4)+$AD27,0)</f>
        <v>#REF!</v>
      </c>
      <c r="X27" s="304" t="e">
        <f>ROUNDUP(IF('AS400 JEMBATAN'!$AB27&gt;='AS400 JEMBATAN'!$AA27,'AS400 JEMBATAN'!X27,$AB27/$V$4)+$AD27,0)</f>
        <v>#REF!</v>
      </c>
      <c r="Y27" s="420" t="e">
        <f>ROUNDUP(IF('AS400 JEMBATAN'!$AB27&gt;='AS400 JEMBATAN'!$AA27,'AS400 JEMBATAN'!Y27,$AB27/$V$4)+$AD27,0)</f>
        <v>#REF!</v>
      </c>
      <c r="Z27" s="420"/>
      <c r="AA27" s="304" t="e">
        <f>SUM(V27:V27)</f>
        <v>#REF!</v>
      </c>
      <c r="AB27" s="305" t="e">
        <f>'Qty &amp; UMH GUM'!X27</f>
        <v>#REF!</v>
      </c>
      <c r="AC27" s="304" t="e">
        <f>ROUNDUP((AB27-AA27)/$V$4,0)</f>
        <v>#REF!</v>
      </c>
      <c r="AD27" s="307">
        <v>0.0</v>
      </c>
      <c r="AE27" s="304" t="e">
        <f>ROUNDUP(IF('AS400 JEMBATAN'!$AK27&gt;='AS400 JEMBATAN'!$AJ27,'AS400 JEMBATAN'!AE27,$AK27/$AE$4)+$AM27,0)</f>
        <v>#REF!</v>
      </c>
      <c r="AF27" s="304" t="e">
        <f>ROUNDUP(IF('AS400 JEMBATAN'!$AK27&gt;='AS400 JEMBATAN'!$AJ27,'AS400 JEMBATAN'!AF27,$AK27/$AE$4)+$AM27,0)</f>
        <v>#REF!</v>
      </c>
      <c r="AG27" s="304" t="e">
        <f>ROUNDUP(IF('AS400 JEMBATAN'!$AK27&gt;='AS400 JEMBATAN'!$AJ27,'AS400 JEMBATAN'!AG27,$AK27/$AE$4)+$AM27,0)</f>
        <v>#REF!</v>
      </c>
      <c r="AH27" s="304" t="e">
        <f>ROUNDUP(IF('AS400 JEMBATAN'!$AK27&gt;='AS400 JEMBATAN'!$AJ27,'AS400 JEMBATAN'!AH27,$AK27/$AE$4)+$AM27,0)</f>
        <v>#REF!</v>
      </c>
      <c r="AI27" s="304"/>
      <c r="AJ27" s="304" t="e">
        <f>SUM(AE27:AE27)</f>
        <v>#REF!</v>
      </c>
      <c r="AK27" s="305" t="e">
        <f>'Qty &amp; UMH GUM'!AA27</f>
        <v>#REF!</v>
      </c>
      <c r="AL27" s="304" t="e">
        <f>ROUNDUP((AK27-AJ27)/$AE$4,0)</f>
        <v>#REF!</v>
      </c>
      <c r="AM27" s="409"/>
      <c r="AN27" s="308" t="e">
        <f>ROUNDUP(IF('AS400 JEMBATAN'!$AT27&gt;='AS400 JEMBATAN'!$AS27,'AS400 JEMBATAN'!AN27,$AT27/$AN$4)+$AV27,0)</f>
        <v>#REF!</v>
      </c>
      <c r="AO27" s="304" t="e">
        <f>ROUNDUP(IF('AS400 JEMBATAN'!$AT27&gt;='AS400 JEMBATAN'!$AS27,'AS400 JEMBATAN'!AO27,$AT27/$AN$4)+$AV27,0)</f>
        <v>#REF!</v>
      </c>
      <c r="AP27" s="304" t="e">
        <f>ROUNDUP(IF('AS400 JEMBATAN'!$AT27&gt;='AS400 JEMBATAN'!$AS27,'AS400 JEMBATAN'!AP27,$AT27/$AN$4)+$AV27,0)</f>
        <v>#REF!</v>
      </c>
      <c r="AQ27" s="304" t="e">
        <f>ROUNDUP(IF('AS400 JEMBATAN'!$AT27&gt;='AS400 JEMBATAN'!$AS27,'AS400 JEMBATAN'!AQ27,$AT27/$AN$4)+$AV27,0)</f>
        <v>#REF!</v>
      </c>
      <c r="AR27" s="304"/>
      <c r="AS27" s="304" t="e">
        <f>SUM(AN27:AN27)</f>
        <v>#REF!</v>
      </c>
      <c r="AT27" s="305" t="e">
        <f>'Qty &amp; UMH GUM'!AD27</f>
        <v>#REF!</v>
      </c>
      <c r="AU27" s="304" t="e">
        <f>ROUNDUP((AT27-AS27)/$AN$4,0)</f>
        <v>#REF!</v>
      </c>
      <c r="AV27" s="310"/>
    </row>
    <row r="28" spans="1:53" customHeight="1" ht="18.75">
      <c r="A28" s="445"/>
      <c r="B28" s="343">
        <f>'Qty &amp; UMH GUM'!C28</f>
        <v/>
      </c>
      <c r="C28" s="303"/>
      <c r="D28" s="304">
        <f>ROUNDUP(IF('AS400 JEMBATAN'!$J28&gt;='AS400 JEMBATAN'!$I28,'AS400 JEMBATAN'!D28,$J28/$D$4)+$L28,0)</f>
        <v>0</v>
      </c>
      <c r="E28" s="304">
        <f>ROUNDUP(IF('AS400 JEMBATAN'!$J28&gt;='AS400 JEMBATAN'!$I28,'AS400 JEMBATAN'!E28,$J28/$D$4)+$L28,0)</f>
        <v>0</v>
      </c>
      <c r="F28" s="304">
        <f>ROUNDUP(IF('AS400 JEMBATAN'!$J28&gt;='AS400 JEMBATAN'!$I28,'AS400 JEMBATAN'!F28,$J28/$D$4)+$L28,0)</f>
        <v>0</v>
      </c>
      <c r="G28" s="304">
        <f>ROUNDUP(IF('AS400 JEMBATAN'!$J28&gt;='AS400 JEMBATAN'!$I28,'AS400 JEMBATAN'!G28,$J28/$D$4)+$L28,0)</f>
        <v>0</v>
      </c>
      <c r="H28" s="304">
        <f>ROUNDUP(IF('AS400 JEMBATAN'!$J28&gt;='AS400 JEMBATAN'!$I28,'AS400 JEMBATAN'!H28,$J28/$D$4)+$L28,0)</f>
        <v>0</v>
      </c>
      <c r="I28" s="304">
        <f>SUM(D28:D28)</f>
        <v>0</v>
      </c>
      <c r="J28" s="305">
        <f>'Qty &amp; UMH GUM'!R28</f>
        <v>0</v>
      </c>
      <c r="K28" s="305">
        <f>ROUNDUP((J28-I28)/$D$4,0)</f>
        <v>0</v>
      </c>
      <c r="L28" s="306">
        <v>0.0</v>
      </c>
      <c r="M28" s="304">
        <f>ROUNDUP(IF('AS400 JEMBATAN'!$S28&gt;='AS400 JEMBATAN'!$R28,'AS400 JEMBATAN'!M28,$S28/$M$4)+$U28,0)</f>
        <v>0</v>
      </c>
      <c r="N28" s="304">
        <f>ROUNDUP(IF('AS400 JEMBATAN'!$S28&gt;='AS400 JEMBATAN'!$R28,'AS400 JEMBATAN'!N28,$S28/$M$4)+$U28,0)</f>
        <v>0</v>
      </c>
      <c r="O28" s="304">
        <f>ROUNDUP(IF('AS400 JEMBATAN'!$S28&gt;='AS400 JEMBATAN'!$R28,'AS400 JEMBATAN'!O28,$S28/$M$4)+$U28,0)</f>
        <v>0</v>
      </c>
      <c r="P28" s="304">
        <f>ROUNDUP(IF('AS400 JEMBATAN'!$S28&gt;='AS400 JEMBATAN'!$R28,'AS400 JEMBATAN'!P28,$S28/$M$4)+$U28,0)</f>
        <v>0</v>
      </c>
      <c r="Q28" s="304"/>
      <c r="R28" s="304">
        <f>SUM(M28:M28)</f>
        <v>0</v>
      </c>
      <c r="S28" s="305">
        <f>'Qty &amp; UMH GUM'!U28</f>
        <v>0</v>
      </c>
      <c r="T28" s="305">
        <f>ROUNDUP((S28-R28)/$M$4,0)</f>
        <v>0</v>
      </c>
      <c r="U28" s="307"/>
      <c r="V28" s="304">
        <f>ROUNDUP(IF('AS400 JEMBATAN'!$AB28&gt;='AS400 JEMBATAN'!$AA28,'AS400 JEMBATAN'!V28,$AB28/$V$4)+$AD28,0)</f>
        <v>0</v>
      </c>
      <c r="W28" s="304">
        <f>ROUNDUP(IF('AS400 JEMBATAN'!$AB28&gt;='AS400 JEMBATAN'!$AA28,'AS400 JEMBATAN'!W28,$AB28/$V$4)+$AD28,0)</f>
        <v>0</v>
      </c>
      <c r="X28" s="304">
        <f>ROUNDUP(IF('AS400 JEMBATAN'!$AB28&gt;='AS400 JEMBATAN'!$AA28,'AS400 JEMBATAN'!X28,$AB28/$V$4)+$AD28,0)</f>
        <v>0</v>
      </c>
      <c r="Y28" s="304">
        <f>ROUNDUP(IF('AS400 JEMBATAN'!$AB28&gt;='AS400 JEMBATAN'!$AA28,'AS400 JEMBATAN'!Y28,$AB28/$V$4)+$AD28,0)</f>
        <v>0</v>
      </c>
      <c r="Z28" s="304"/>
      <c r="AA28" s="304">
        <f>SUM(V28:V28)</f>
        <v>0</v>
      </c>
      <c r="AB28" s="305">
        <f>'Qty &amp; UMH GUM'!X28</f>
        <v>0</v>
      </c>
      <c r="AC28" s="304">
        <f>ROUNDUP((AB28-AA28)/$V$4,0)</f>
        <v>0</v>
      </c>
      <c r="AD28" s="307">
        <v>0.0</v>
      </c>
      <c r="AE28" s="304">
        <f>ROUNDUP(IF('AS400 JEMBATAN'!$AK28&gt;='AS400 JEMBATAN'!$AJ28,'AS400 JEMBATAN'!AE28,$AK28/$AE$4)+$AM28,0)</f>
        <v>0</v>
      </c>
      <c r="AF28" s="304">
        <f>ROUNDUP(IF('AS400 JEMBATAN'!$AK28&gt;='AS400 JEMBATAN'!$AJ28,'AS400 JEMBATAN'!AF28,$AK28/$AE$4)+$AM28,0)</f>
        <v>0</v>
      </c>
      <c r="AG28" s="304">
        <f>ROUNDUP(IF('AS400 JEMBATAN'!$AK28&gt;='AS400 JEMBATAN'!$AJ28,'AS400 JEMBATAN'!AG28,$AK28/$AE$4)+$AM28,0)</f>
        <v>0</v>
      </c>
      <c r="AH28" s="304">
        <f>ROUNDUP(IF('AS400 JEMBATAN'!$AK28&gt;='AS400 JEMBATAN'!$AJ28,'AS400 JEMBATAN'!AH28,$AK28/$AE$4)+$AM28,0)</f>
        <v>0</v>
      </c>
      <c r="AI28" s="304"/>
      <c r="AJ28" s="304">
        <f>SUM(AE28:AE28)</f>
        <v>0</v>
      </c>
      <c r="AK28" s="305">
        <f>'Qty &amp; UMH GUM'!AA28</f>
        <v/>
      </c>
      <c r="AL28" s="304">
        <f>ROUNDUP((AK28-AJ28)/$AE$4,0)</f>
        <v>0</v>
      </c>
      <c r="AM28" s="409"/>
      <c r="AN28" s="308">
        <f>ROUNDUP(IF('AS400 JEMBATAN'!$AT28&gt;='AS400 JEMBATAN'!$AS28,'AS400 JEMBATAN'!AN28,$AT28/$AN$4)+$AV28,0)</f>
        <v>0</v>
      </c>
      <c r="AO28" s="304">
        <f>ROUNDUP(IF('AS400 JEMBATAN'!$AT28&gt;='AS400 JEMBATAN'!$AS28,'AS400 JEMBATAN'!AO28,$AT28/$AN$4)+$AV28,0)</f>
        <v>0</v>
      </c>
      <c r="AP28" s="304">
        <f>ROUNDUP(IF('AS400 JEMBATAN'!$AT28&gt;='AS400 JEMBATAN'!$AS28,'AS400 JEMBATAN'!AP28,$AT28/$AN$4)+$AV28,0)</f>
        <v>0</v>
      </c>
      <c r="AQ28" s="304">
        <f>ROUNDUP(IF('AS400 JEMBATAN'!$AT28&gt;='AS400 JEMBATAN'!$AS28,'AS400 JEMBATAN'!AQ28,$AT28/$AN$4)+$AV28,0)</f>
        <v>0</v>
      </c>
      <c r="AR28" s="304"/>
      <c r="AS28" s="304">
        <f>SUM(AN28:AN28)</f>
        <v>0</v>
      </c>
      <c r="AT28" s="305">
        <f>'Qty &amp; UMH GUM'!AD28</f>
        <v/>
      </c>
      <c r="AU28" s="304">
        <f>ROUNDUP((AT28-AS28)/$AN$4,0)</f>
        <v>0</v>
      </c>
      <c r="AV28" s="310"/>
      <c r="AW28" s="101"/>
      <c r="AY28" s="101"/>
    </row>
    <row r="29" spans="1:53" customHeight="1" ht="18.75">
      <c r="A29" s="445"/>
      <c r="B29" s="343">
        <f>'Qty &amp; UMH GUM'!C29</f>
        <v/>
      </c>
      <c r="C29" s="303"/>
      <c r="D29" s="304">
        <f>ROUNDUP(IF('AS400 JEMBATAN'!$J29&gt;='AS400 JEMBATAN'!$I29,'AS400 JEMBATAN'!D29,$J29/$D$4)+$L29,0)</f>
        <v>0</v>
      </c>
      <c r="E29" s="304">
        <f>ROUNDUP(IF('AS400 JEMBATAN'!$J29&gt;='AS400 JEMBATAN'!$I29,'AS400 JEMBATAN'!E29,$J29/$D$4)+$L29,0)</f>
        <v>0</v>
      </c>
      <c r="F29" s="304">
        <f>ROUNDUP(IF('AS400 JEMBATAN'!$J29&gt;='AS400 JEMBATAN'!$I29,'AS400 JEMBATAN'!F29,$J29/$D$4)+$L29,0)</f>
        <v>0</v>
      </c>
      <c r="G29" s="304">
        <f>ROUNDUP(IF('AS400 JEMBATAN'!$J29&gt;='AS400 JEMBATAN'!$I29,'AS400 JEMBATAN'!G29,$J29/$D$4)+$L29,0)</f>
        <v>0</v>
      </c>
      <c r="H29" s="304">
        <f>ROUNDUP(IF('AS400 JEMBATAN'!$J29&gt;='AS400 JEMBATAN'!$I29,'AS400 JEMBATAN'!H29,$J29/$D$4)+$L29,0)</f>
        <v>0</v>
      </c>
      <c r="I29" s="304">
        <f>SUM(D29:D29)</f>
        <v>0</v>
      </c>
      <c r="J29" s="305">
        <f>'Qty &amp; UMH GUM'!R29</f>
        <v>0</v>
      </c>
      <c r="K29" s="305">
        <f>ROUNDUP((J29-I29)/$D$4,0)</f>
        <v>0</v>
      </c>
      <c r="L29" s="306">
        <v>0.0</v>
      </c>
      <c r="M29" s="304">
        <f>ROUNDUP(IF('AS400 JEMBATAN'!$S29&gt;='AS400 JEMBATAN'!$R29,'AS400 JEMBATAN'!M29,$S29/$M$4)+$U29,0)</f>
        <v>0</v>
      </c>
      <c r="N29" s="304">
        <f>ROUNDUP(IF('AS400 JEMBATAN'!$S29&gt;='AS400 JEMBATAN'!$R29,'AS400 JEMBATAN'!N29,$S29/$M$4)+$U29,0)</f>
        <v>0</v>
      </c>
      <c r="O29" s="304">
        <f>ROUNDUP(IF('AS400 JEMBATAN'!$S29&gt;='AS400 JEMBATAN'!$R29,'AS400 JEMBATAN'!O29,$S29/$M$4)+$U29,0)</f>
        <v>0</v>
      </c>
      <c r="P29" s="304">
        <f>ROUNDUP(IF('AS400 JEMBATAN'!$S29&gt;='AS400 JEMBATAN'!$R29,'AS400 JEMBATAN'!P29,$S29/$M$4)+$U29,0)</f>
        <v>0</v>
      </c>
      <c r="Q29" s="304"/>
      <c r="R29" s="304">
        <f>SUM(M29:M29)</f>
        <v>0</v>
      </c>
      <c r="S29" s="305">
        <f>'Qty &amp; UMH GUM'!U29</f>
        <v>0</v>
      </c>
      <c r="T29" s="305">
        <f>ROUNDUP((S29-R29)/$M$4,0)</f>
        <v>0</v>
      </c>
      <c r="U29" s="307"/>
      <c r="V29" s="304">
        <f>ROUNDUP(IF('AS400 JEMBATAN'!$AB29&gt;='AS400 JEMBATAN'!$AA29,'AS400 JEMBATAN'!V29,$AB29/$V$4)+$AD29,0)</f>
        <v>0</v>
      </c>
      <c r="W29" s="304">
        <f>ROUNDUP(IF('AS400 JEMBATAN'!$AB29&gt;='AS400 JEMBATAN'!$AA29,'AS400 JEMBATAN'!W29,$AB29/$V$4)+$AD29,0)</f>
        <v>0</v>
      </c>
      <c r="X29" s="304">
        <f>ROUNDUP(IF('AS400 JEMBATAN'!$AB29&gt;='AS400 JEMBATAN'!$AA29,'AS400 JEMBATAN'!X29,$AB29/$V$4)+$AD29,0)</f>
        <v>0</v>
      </c>
      <c r="Y29" s="304">
        <f>ROUNDUP(IF('AS400 JEMBATAN'!$AB29&gt;='AS400 JEMBATAN'!$AA29,'AS400 JEMBATAN'!Y29,$AB29/$V$4)+$AD29,0)</f>
        <v>0</v>
      </c>
      <c r="Z29" s="304"/>
      <c r="AA29" s="304">
        <f>SUM(V29:V29)</f>
        <v>0</v>
      </c>
      <c r="AB29" s="305">
        <f>'Qty &amp; UMH GUM'!X29</f>
        <v>0</v>
      </c>
      <c r="AC29" s="304">
        <f>ROUNDUP((AB29-AA29)/$V$4,0)</f>
        <v>0</v>
      </c>
      <c r="AD29" s="307">
        <v>0.0</v>
      </c>
      <c r="AE29" s="304">
        <f>ROUNDUP(IF('AS400 JEMBATAN'!$AK29&gt;='AS400 JEMBATAN'!$AJ29,'AS400 JEMBATAN'!AE29,$AK29/$AE$4)+$AM29,0)</f>
        <v>0</v>
      </c>
      <c r="AF29" s="304">
        <f>ROUNDUP(IF('AS400 JEMBATAN'!$AK29&gt;='AS400 JEMBATAN'!$AJ29,'AS400 JEMBATAN'!AF29,$AK29/$AE$4)+$AM29,0)</f>
        <v>0</v>
      </c>
      <c r="AG29" s="304">
        <f>ROUNDUP(IF('AS400 JEMBATAN'!$AK29&gt;='AS400 JEMBATAN'!$AJ29,'AS400 JEMBATAN'!AG29,$AK29/$AE$4)+$AM29,0)</f>
        <v>0</v>
      </c>
      <c r="AH29" s="304">
        <f>ROUNDUP(IF('AS400 JEMBATAN'!$AK29&gt;='AS400 JEMBATAN'!$AJ29,'AS400 JEMBATAN'!AH29,$AK29/$AE$4)+$AM29,0)</f>
        <v>0</v>
      </c>
      <c r="AI29" s="304"/>
      <c r="AJ29" s="304">
        <f>SUM(AE29:AE29)</f>
        <v>0</v>
      </c>
      <c r="AK29" s="305">
        <f>'Qty &amp; UMH GUM'!AA29</f>
        <v/>
      </c>
      <c r="AL29" s="304">
        <f>ROUNDUP((AK29-AJ29)/$AE$4,0)</f>
        <v>0</v>
      </c>
      <c r="AM29" s="409"/>
      <c r="AN29" s="308">
        <f>ROUNDUP(IF('AS400 JEMBATAN'!$AT29&gt;='AS400 JEMBATAN'!$AS29,'AS400 JEMBATAN'!AN29,$AT29/$AN$4)+$AV29,0)</f>
        <v>0</v>
      </c>
      <c r="AO29" s="304">
        <f>ROUNDUP(IF('AS400 JEMBATAN'!$AT29&gt;='AS400 JEMBATAN'!$AS29,'AS400 JEMBATAN'!AO29,$AT29/$AN$4)+$AV29,0)</f>
        <v>0</v>
      </c>
      <c r="AP29" s="304">
        <f>ROUNDUP(IF('AS400 JEMBATAN'!$AT29&gt;='AS400 JEMBATAN'!$AS29,'AS400 JEMBATAN'!AP29,$AT29/$AN$4)+$AV29,0)</f>
        <v>0</v>
      </c>
      <c r="AQ29" s="304">
        <f>ROUNDUP(IF('AS400 JEMBATAN'!$AT29&gt;='AS400 JEMBATAN'!$AS29,'AS400 JEMBATAN'!AQ29,$AT29/$AN$4)+$AV29,0)</f>
        <v>0</v>
      </c>
      <c r="AR29" s="304"/>
      <c r="AS29" s="304">
        <f>SUM(AN29:AN29)</f>
        <v>0</v>
      </c>
      <c r="AT29" s="305">
        <f>'Qty &amp; UMH GUM'!AD29</f>
        <v/>
      </c>
      <c r="AU29" s="304">
        <f>ROUNDUP((AT29-AS29)/$AN$4,0)</f>
        <v>0</v>
      </c>
      <c r="AV29" s="310"/>
      <c r="AY29" s="101"/>
    </row>
    <row r="30" spans="1:53" customHeight="1" ht="18.75">
      <c r="A30" s="445"/>
      <c r="B30" s="343">
        <f>'Qty &amp; UMH GUM'!C30</f>
        <v/>
      </c>
      <c r="C30" s="303"/>
      <c r="D30" s="304">
        <f>ROUNDUP(IF('AS400 JEMBATAN'!$J30&gt;='AS400 JEMBATAN'!$I30,'AS400 JEMBATAN'!D30,$J30/$D$4)+$L30,0)</f>
        <v>0</v>
      </c>
      <c r="E30" s="304">
        <f>ROUNDUP(IF('AS400 JEMBATAN'!$J30&gt;='AS400 JEMBATAN'!$I30,'AS400 JEMBATAN'!E30,$J30/$D$4)+$L30,0)</f>
        <v>0</v>
      </c>
      <c r="F30" s="304">
        <f>ROUNDUP(IF('AS400 JEMBATAN'!$J30&gt;='AS400 JEMBATAN'!$I30,'AS400 JEMBATAN'!F30,$J30/$D$4)+$L30,0)</f>
        <v>0</v>
      </c>
      <c r="G30" s="304">
        <f>ROUNDUP(IF('AS400 JEMBATAN'!$J30&gt;='AS400 JEMBATAN'!$I30,'AS400 JEMBATAN'!G30,$J30/$D$4)+$L30,0)</f>
        <v>0</v>
      </c>
      <c r="H30" s="304">
        <f>ROUNDUP(IF('AS400 JEMBATAN'!$J30&gt;='AS400 JEMBATAN'!$I30,'AS400 JEMBATAN'!H30,$J30/$D$4)+$L30,0)</f>
        <v>0</v>
      </c>
      <c r="I30" s="304">
        <f>SUM(D30:D30)</f>
        <v>0</v>
      </c>
      <c r="J30" s="305">
        <f>'Qty &amp; UMH GUM'!R30</f>
        <v>0</v>
      </c>
      <c r="K30" s="305">
        <f>ROUNDUP((J30-I30)/$D$4,0)</f>
        <v>0</v>
      </c>
      <c r="L30" s="306">
        <v>0.0</v>
      </c>
      <c r="M30" s="304">
        <f>ROUNDUP(IF('AS400 JEMBATAN'!$S30&gt;='AS400 JEMBATAN'!$R30,'AS400 JEMBATAN'!M30,$S30/$M$4)+$U30,0)</f>
        <v>0</v>
      </c>
      <c r="N30" s="304">
        <f>ROUNDUP(IF('AS400 JEMBATAN'!$S30&gt;='AS400 JEMBATAN'!$R30,'AS400 JEMBATAN'!N30,$S30/$M$4)+$U30,0)</f>
        <v>0</v>
      </c>
      <c r="O30" s="304">
        <f>ROUNDUP(IF('AS400 JEMBATAN'!$S30&gt;='AS400 JEMBATAN'!$R30,'AS400 JEMBATAN'!O30,$S30/$M$4)+$U30,0)</f>
        <v>0</v>
      </c>
      <c r="P30" s="304">
        <f>ROUNDUP(IF('AS400 JEMBATAN'!$S30&gt;='AS400 JEMBATAN'!$R30,'AS400 JEMBATAN'!P30,$S30/$M$4)+$U30,0)</f>
        <v>0</v>
      </c>
      <c r="Q30" s="304"/>
      <c r="R30" s="304">
        <f>SUM(M30:M30)</f>
        <v>0</v>
      </c>
      <c r="S30" s="305">
        <f>'Qty &amp; UMH GUM'!U30</f>
        <v>0</v>
      </c>
      <c r="T30" s="305">
        <f>ROUNDUP((S30-R30)/$M$4,0)</f>
        <v>0</v>
      </c>
      <c r="U30" s="307"/>
      <c r="V30" s="304">
        <f>ROUNDUP(IF('AS400 JEMBATAN'!$AB30&gt;='AS400 JEMBATAN'!$AA30,'AS400 JEMBATAN'!V30,$AB30/$V$4)+$AD30,0)</f>
        <v>0</v>
      </c>
      <c r="W30" s="304">
        <f>ROUNDUP(IF('AS400 JEMBATAN'!$AB30&gt;='AS400 JEMBATAN'!$AA30,'AS400 JEMBATAN'!W30,$AB30/$V$4)+$AD30,0)</f>
        <v>0</v>
      </c>
      <c r="X30" s="304">
        <f>ROUNDUP(IF('AS400 JEMBATAN'!$AB30&gt;='AS400 JEMBATAN'!$AA30,'AS400 JEMBATAN'!X30,$AB30/$V$4)+$AD30,0)</f>
        <v>0</v>
      </c>
      <c r="Y30" s="304">
        <f>ROUNDUP(IF('AS400 JEMBATAN'!$AB30&gt;='AS400 JEMBATAN'!$AA30,'AS400 JEMBATAN'!Y30,$AB30/$V$4)+$AD30,0)</f>
        <v>0</v>
      </c>
      <c r="Z30" s="304"/>
      <c r="AA30" s="304">
        <f>SUM(V30:V30)</f>
        <v>0</v>
      </c>
      <c r="AB30" s="305">
        <f>'Qty &amp; UMH GUM'!X30</f>
        <v>0</v>
      </c>
      <c r="AC30" s="304">
        <f>ROUNDUP((AB30-AA30)/$V$4,0)</f>
        <v>0</v>
      </c>
      <c r="AD30" s="307">
        <v>0.0</v>
      </c>
      <c r="AE30" s="304">
        <f>ROUNDUP(IF('AS400 JEMBATAN'!$AK30&gt;='AS400 JEMBATAN'!$AJ30,'AS400 JEMBATAN'!AE30,$AK30/$AE$4)+$AM30,0)</f>
        <v>0</v>
      </c>
      <c r="AF30" s="304">
        <f>ROUNDUP(IF('AS400 JEMBATAN'!$AK30&gt;='AS400 JEMBATAN'!$AJ30,'AS400 JEMBATAN'!AF30,$AK30/$AE$4)+$AM30,0)</f>
        <v>0</v>
      </c>
      <c r="AG30" s="304">
        <f>ROUNDUP(IF('AS400 JEMBATAN'!$AK30&gt;='AS400 JEMBATAN'!$AJ30,'AS400 JEMBATAN'!AG30,$AK30/$AE$4)+$AM30,0)</f>
        <v>0</v>
      </c>
      <c r="AH30" s="304">
        <f>ROUNDUP(IF('AS400 JEMBATAN'!$AK30&gt;='AS400 JEMBATAN'!$AJ30,'AS400 JEMBATAN'!AH30,$AK30/$AE$4)+$AM30,0)</f>
        <v>0</v>
      </c>
      <c r="AI30" s="304"/>
      <c r="AJ30" s="304">
        <f>SUM(AE30:AE30)</f>
        <v>0</v>
      </c>
      <c r="AK30" s="305">
        <f>'Qty &amp; UMH GUM'!AA30</f>
        <v/>
      </c>
      <c r="AL30" s="304">
        <f>ROUNDUP((AK30-AJ30)/$AE$4,0)</f>
        <v>0</v>
      </c>
      <c r="AM30" s="409"/>
      <c r="AN30" s="308">
        <f>ROUNDUP(IF('AS400 JEMBATAN'!$AT30&gt;='AS400 JEMBATAN'!$AS30,'AS400 JEMBATAN'!AN30,$AT30/$AN$4)+$AV30,0)</f>
        <v>0</v>
      </c>
      <c r="AO30" s="304">
        <f>ROUNDUP(IF('AS400 JEMBATAN'!$AT30&gt;='AS400 JEMBATAN'!$AS30,'AS400 JEMBATAN'!AO30,$AT30/$AN$4)+$AV30,0)</f>
        <v>0</v>
      </c>
      <c r="AP30" s="304">
        <f>ROUNDUP(IF('AS400 JEMBATAN'!$AT30&gt;='AS400 JEMBATAN'!$AS30,'AS400 JEMBATAN'!AP30,$AT30/$AN$4)+$AV30,0)</f>
        <v>0</v>
      </c>
      <c r="AQ30" s="304">
        <f>ROUNDUP(IF('AS400 JEMBATAN'!$AT30&gt;='AS400 JEMBATAN'!$AS30,'AS400 JEMBATAN'!AQ30,$AT30/$AN$4)+$AV30,0)</f>
        <v>0</v>
      </c>
      <c r="AR30" s="304"/>
      <c r="AS30" s="304">
        <f>SUM(AN30:AN30)</f>
        <v>0</v>
      </c>
      <c r="AT30" s="305">
        <f>'Qty &amp; UMH GUM'!AD30</f>
        <v/>
      </c>
      <c r="AU30" s="304">
        <f>ROUNDUP((AT30-AS30)/$AN$4,0)</f>
        <v>0</v>
      </c>
      <c r="AV30" s="310"/>
      <c r="AY30" s="101"/>
    </row>
    <row r="31" spans="1:53" customHeight="1" ht="18.75">
      <c r="A31" s="445"/>
      <c r="B31" s="343">
        <f>'Qty &amp; UMH GUM'!C31</f>
        <v/>
      </c>
      <c r="C31" s="281"/>
      <c r="D31" s="304">
        <f>ROUNDUP(IF('AS400 JEMBATAN'!$J31&gt;='AS400 JEMBATAN'!$I31,'AS400 JEMBATAN'!D31,$J31/$D$4)+$L31,0)</f>
        <v>0</v>
      </c>
      <c r="E31" s="304">
        <f>ROUNDUP(IF('AS400 JEMBATAN'!$J31&gt;='AS400 JEMBATAN'!$I31,'AS400 JEMBATAN'!E31,$J31/$D$4)+$L31,0)</f>
        <v>0</v>
      </c>
      <c r="F31" s="304">
        <f>ROUNDUP(IF('AS400 JEMBATAN'!$J31&gt;='AS400 JEMBATAN'!$I31,'AS400 JEMBATAN'!F31,$J31/$D$4)+$L31,0)</f>
        <v>0</v>
      </c>
      <c r="G31" s="304">
        <f>ROUNDUP(IF('AS400 JEMBATAN'!$J31&gt;='AS400 JEMBATAN'!$I31,'AS400 JEMBATAN'!G31,$J31/$D$4)+$L31,0)</f>
        <v>0</v>
      </c>
      <c r="H31" s="304">
        <f>ROUNDUP(IF('AS400 JEMBATAN'!$J31&gt;='AS400 JEMBATAN'!$I31,'AS400 JEMBATAN'!H31,$J31/$D$4)+$L31,0)</f>
        <v>0</v>
      </c>
      <c r="I31" s="304">
        <f>SUM(D31:D31)</f>
        <v>0</v>
      </c>
      <c r="J31" s="305">
        <f>'Qty &amp; UMH GUM'!R31</f>
        <v>0</v>
      </c>
      <c r="K31" s="305">
        <f>ROUNDUP((J31-I31)/$D$4,0)</f>
        <v>0</v>
      </c>
      <c r="L31" s="306">
        <v>0.0</v>
      </c>
      <c r="M31" s="304">
        <f>ROUNDUP(IF('AS400 JEMBATAN'!$S31&gt;='AS400 JEMBATAN'!$R31,'AS400 JEMBATAN'!M31,$S31/$M$4)+$U31,0)</f>
        <v>0</v>
      </c>
      <c r="N31" s="304">
        <f>ROUNDUP(IF('AS400 JEMBATAN'!$S31&gt;='AS400 JEMBATAN'!$R31,'AS400 JEMBATAN'!N31,$S31/$M$4)+$U31,0)</f>
        <v>0</v>
      </c>
      <c r="O31" s="304">
        <f>ROUNDUP(IF('AS400 JEMBATAN'!$S31&gt;='AS400 JEMBATAN'!$R31,'AS400 JEMBATAN'!O31,$S31/$M$4)+$U31,0)</f>
        <v>0</v>
      </c>
      <c r="P31" s="304">
        <f>ROUNDUP(IF('AS400 JEMBATAN'!$S31&gt;='AS400 JEMBATAN'!$R31,'AS400 JEMBATAN'!P31,$S31/$M$4)+$U31,0)</f>
        <v>0</v>
      </c>
      <c r="Q31" s="304"/>
      <c r="R31" s="304">
        <f>SUM(M31:M31)</f>
        <v>0</v>
      </c>
      <c r="S31" s="305">
        <f>'Qty &amp; UMH GUM'!U31</f>
        <v>0</v>
      </c>
      <c r="T31" s="305">
        <f>ROUNDUP((S31-R31)/$M$4,0)</f>
        <v>0</v>
      </c>
      <c r="U31" s="307"/>
      <c r="V31" s="304">
        <f>ROUNDUP(IF('AS400 JEMBATAN'!$AB31&gt;='AS400 JEMBATAN'!$AA31,'AS400 JEMBATAN'!V31,$AB31/$V$4)+$AD31,0)</f>
        <v>0</v>
      </c>
      <c r="W31" s="304">
        <f>ROUNDUP(IF('AS400 JEMBATAN'!$AB31&gt;='AS400 JEMBATAN'!$AA31,'AS400 JEMBATAN'!W31,$AB31/$V$4)+$AD31,0)</f>
        <v>0</v>
      </c>
      <c r="X31" s="304">
        <f>ROUNDUP(IF('AS400 JEMBATAN'!$AB31&gt;='AS400 JEMBATAN'!$AA31,'AS400 JEMBATAN'!X31,$AB31/$V$4)+$AD31,0)</f>
        <v>0</v>
      </c>
      <c r="Y31" s="304">
        <f>ROUNDUP(IF('AS400 JEMBATAN'!$AB31&gt;='AS400 JEMBATAN'!$AA31,'AS400 JEMBATAN'!Y31,$AB31/$V$4)+$AD31,0)</f>
        <v>0</v>
      </c>
      <c r="Z31" s="304"/>
      <c r="AA31" s="304">
        <f>SUM(V31:V31)</f>
        <v>0</v>
      </c>
      <c r="AB31" s="305">
        <f>'Qty &amp; UMH GUM'!X31</f>
        <v>0</v>
      </c>
      <c r="AC31" s="304">
        <f>ROUNDUP((AB31-AA31)/$V$4,0)</f>
        <v>0</v>
      </c>
      <c r="AD31" s="307">
        <v>0.0</v>
      </c>
      <c r="AE31" s="304">
        <f>ROUNDUP(IF('AS400 JEMBATAN'!$AK31&gt;='AS400 JEMBATAN'!$AJ31,'AS400 JEMBATAN'!AE31,$AK31/$AE$4)+$AM31,0)</f>
        <v>0</v>
      </c>
      <c r="AF31" s="304">
        <f>ROUNDUP(IF('AS400 JEMBATAN'!$AK31&gt;='AS400 JEMBATAN'!$AJ31,'AS400 JEMBATAN'!AF31,$AK31/$AE$4)+$AM31,0)</f>
        <v>0</v>
      </c>
      <c r="AG31" s="304">
        <f>ROUNDUP(IF('AS400 JEMBATAN'!$AK31&gt;='AS400 JEMBATAN'!$AJ31,'AS400 JEMBATAN'!AG31,$AK31/$AE$4)+$AM31,0)</f>
        <v>0</v>
      </c>
      <c r="AH31" s="304">
        <f>ROUNDUP(IF('AS400 JEMBATAN'!$AK31&gt;='AS400 JEMBATAN'!$AJ31,'AS400 JEMBATAN'!AH31,$AK31/$AE$4)+$AM31,0)</f>
        <v>0</v>
      </c>
      <c r="AI31" s="304"/>
      <c r="AJ31" s="304">
        <f>SUM(AE31:AE31)</f>
        <v>0</v>
      </c>
      <c r="AK31" s="305">
        <f>'Qty &amp; UMH GUM'!AA31</f>
        <v/>
      </c>
      <c r="AL31" s="304">
        <f>ROUNDUP((AK31-AJ31)/$AE$4,0)</f>
        <v>0</v>
      </c>
      <c r="AM31" s="409"/>
      <c r="AN31" s="308">
        <f>ROUNDUP(IF('AS400 JEMBATAN'!$AT31&gt;='AS400 JEMBATAN'!$AS31,'AS400 JEMBATAN'!AN31,$AT31/$AN$4)+$AV31,0)</f>
        <v>0</v>
      </c>
      <c r="AO31" s="304">
        <f>ROUNDUP(IF('AS400 JEMBATAN'!$AT31&gt;='AS400 JEMBATAN'!$AS31,'AS400 JEMBATAN'!AO31,$AT31/$AN$4)+$AV31,0)</f>
        <v>0</v>
      </c>
      <c r="AP31" s="304">
        <f>ROUNDUP(IF('AS400 JEMBATAN'!$AT31&gt;='AS400 JEMBATAN'!$AS31,'AS400 JEMBATAN'!AP31,$AT31/$AN$4)+$AV31,0)</f>
        <v>0</v>
      </c>
      <c r="AQ31" s="304">
        <f>ROUNDUP(IF('AS400 JEMBATAN'!$AT31&gt;='AS400 JEMBATAN'!$AS31,'AS400 JEMBATAN'!AQ31,$AT31/$AN$4)+$AV31,0)</f>
        <v>0</v>
      </c>
      <c r="AR31" s="304"/>
      <c r="AS31" s="304">
        <f>SUM(AN31:AN31)</f>
        <v>0</v>
      </c>
      <c r="AT31" s="305">
        <f>'Qty &amp; UMH GUM'!AD31</f>
        <v/>
      </c>
      <c r="AU31" s="304">
        <f>ROUNDUP((AT31-AS31)/$AN$4,0)</f>
        <v>0</v>
      </c>
      <c r="AV31" s="310"/>
    </row>
    <row r="32" spans="1:53" customHeight="1" ht="18.75">
      <c r="A32" s="445"/>
      <c r="B32" s="343">
        <f>'Qty &amp; UMH GUM'!C32</f>
        <v/>
      </c>
      <c r="C32" s="281"/>
      <c r="D32" s="304">
        <f>ROUNDUP(IF('AS400 JEMBATAN'!$J32&gt;='AS400 JEMBATAN'!$I32,'AS400 JEMBATAN'!D32,$J32/$D$4)+$L32,0)</f>
        <v>0</v>
      </c>
      <c r="E32" s="304">
        <f>ROUNDUP(IF('AS400 JEMBATAN'!$J32&gt;='AS400 JEMBATAN'!$I32,'AS400 JEMBATAN'!E32,$J32/$D$4)+$L32,0)</f>
        <v>0</v>
      </c>
      <c r="F32" s="304">
        <f>ROUNDUP(IF('AS400 JEMBATAN'!$J32&gt;='AS400 JEMBATAN'!$I32,'AS400 JEMBATAN'!F32,$J32/$D$4)+$L32,0)</f>
        <v>0</v>
      </c>
      <c r="G32" s="304">
        <f>ROUNDUP(IF('AS400 JEMBATAN'!$J32&gt;='AS400 JEMBATAN'!$I32,'AS400 JEMBATAN'!G32,$J32/$D$4)+$L32,0)</f>
        <v>0</v>
      </c>
      <c r="H32" s="304">
        <f>ROUNDUP(IF('AS400 JEMBATAN'!$J32&gt;='AS400 JEMBATAN'!$I32,'AS400 JEMBATAN'!H32,$J32/$D$4)+$L32,0)</f>
        <v>0</v>
      </c>
      <c r="I32" s="304">
        <f>SUM(D32:D32)</f>
        <v>0</v>
      </c>
      <c r="J32" s="305">
        <f>'Qty &amp; UMH GUM'!R32</f>
        <v>0</v>
      </c>
      <c r="K32" s="305">
        <f>ROUNDUP((J32-I32)/$D$4,0)</f>
        <v>0</v>
      </c>
      <c r="L32" s="306">
        <v>0.0</v>
      </c>
      <c r="M32" s="304">
        <f>ROUNDUP(IF('AS400 JEMBATAN'!$S32&gt;='AS400 JEMBATAN'!$R32,'AS400 JEMBATAN'!M32,$S32/$M$4)+$U32,0)</f>
        <v>0</v>
      </c>
      <c r="N32" s="304">
        <f>ROUNDUP(IF('AS400 JEMBATAN'!$S32&gt;='AS400 JEMBATAN'!$R32,'AS400 JEMBATAN'!N32,$S32/$M$4)+$U32,0)</f>
        <v>0</v>
      </c>
      <c r="O32" s="304">
        <f>ROUNDUP(IF('AS400 JEMBATAN'!$S32&gt;='AS400 JEMBATAN'!$R32,'AS400 JEMBATAN'!O32,$S32/$M$4)+$U32,0)</f>
        <v>0</v>
      </c>
      <c r="P32" s="304">
        <f>ROUNDUP(IF('AS400 JEMBATAN'!$S32&gt;='AS400 JEMBATAN'!$R32,'AS400 JEMBATAN'!P32,$S32/$M$4)+$U32,0)</f>
        <v>0</v>
      </c>
      <c r="Q32" s="304"/>
      <c r="R32" s="304">
        <f>SUM(M32:M32)</f>
        <v>0</v>
      </c>
      <c r="S32" s="305">
        <f>'Qty &amp; UMH GUM'!U32</f>
        <v>0</v>
      </c>
      <c r="T32" s="305">
        <f>ROUNDUP((S32-R32)/$M$4,0)</f>
        <v>0</v>
      </c>
      <c r="U32" s="307"/>
      <c r="V32" s="304">
        <f>ROUNDUP(IF('AS400 JEMBATAN'!$AB32&gt;='AS400 JEMBATAN'!$AA32,'AS400 JEMBATAN'!V32,$AB32/$V$4)+$AD32,0)</f>
        <v>0</v>
      </c>
      <c r="W32" s="304">
        <f>ROUNDUP(IF('AS400 JEMBATAN'!$AB32&gt;='AS400 JEMBATAN'!$AA32,'AS400 JEMBATAN'!W32,$AB32/$V$4)+$AD32,0)</f>
        <v>0</v>
      </c>
      <c r="X32" s="304">
        <f>ROUNDUP(IF('AS400 JEMBATAN'!$AB32&gt;='AS400 JEMBATAN'!$AA32,'AS400 JEMBATAN'!X32,$AB32/$V$4)+$AD32,0)</f>
        <v>0</v>
      </c>
      <c r="Y32" s="304">
        <f>ROUNDUP(IF('AS400 JEMBATAN'!$AB32&gt;='AS400 JEMBATAN'!$AA32,'AS400 JEMBATAN'!Y32,$AB32/$V$4)+$AD32,0)</f>
        <v>0</v>
      </c>
      <c r="Z32" s="304"/>
      <c r="AA32" s="304">
        <f>SUM(V32:V32)</f>
        <v>0</v>
      </c>
      <c r="AB32" s="305">
        <f>'Qty &amp; UMH GUM'!X32</f>
        <v>0</v>
      </c>
      <c r="AC32" s="304">
        <f>ROUNDUP((AB32-AA32)/$V$4,0)</f>
        <v>0</v>
      </c>
      <c r="AD32" s="307">
        <v>0.0</v>
      </c>
      <c r="AE32" s="304">
        <f>ROUNDUP(IF('AS400 JEMBATAN'!$AK32&gt;='AS400 JEMBATAN'!$AJ32,'AS400 JEMBATAN'!AE32,$AK32/$AE$4)+$AM32,0)</f>
        <v>0</v>
      </c>
      <c r="AF32" s="304">
        <f>ROUNDUP(IF('AS400 JEMBATAN'!$AK32&gt;='AS400 JEMBATAN'!$AJ32,'AS400 JEMBATAN'!AF32,$AK32/$AE$4)+$AM32,0)</f>
        <v>0</v>
      </c>
      <c r="AG32" s="304">
        <f>ROUNDUP(IF('AS400 JEMBATAN'!$AK32&gt;='AS400 JEMBATAN'!$AJ32,'AS400 JEMBATAN'!AG32,$AK32/$AE$4)+$AM32,0)</f>
        <v>0</v>
      </c>
      <c r="AH32" s="304">
        <f>ROUNDUP(IF('AS400 JEMBATAN'!$AK32&gt;='AS400 JEMBATAN'!$AJ32,'AS400 JEMBATAN'!AH32,$AK32/$AE$4)+$AM32,0)</f>
        <v>0</v>
      </c>
      <c r="AI32" s="304"/>
      <c r="AJ32" s="304">
        <f>SUM(AE32:AE32)</f>
        <v>0</v>
      </c>
      <c r="AK32" s="305">
        <f>'Qty &amp; UMH GUM'!AA32</f>
        <v/>
      </c>
      <c r="AL32" s="304">
        <f>ROUNDUP((AK32-AJ32)/$AE$4,0)</f>
        <v>0</v>
      </c>
      <c r="AM32" s="409"/>
      <c r="AN32" s="308">
        <f>ROUNDUP(IF('AS400 JEMBATAN'!$AT32&gt;='AS400 JEMBATAN'!$AS32,'AS400 JEMBATAN'!AN32,$AT32/$AN$4)+$AV32,0)</f>
        <v>0</v>
      </c>
      <c r="AO32" s="304">
        <f>ROUNDUP(IF('AS400 JEMBATAN'!$AT32&gt;='AS400 JEMBATAN'!$AS32,'AS400 JEMBATAN'!AO32,$AT32/$AN$4)+$AV32,0)</f>
        <v>0</v>
      </c>
      <c r="AP32" s="304">
        <f>ROUNDUP(IF('AS400 JEMBATAN'!$AT32&gt;='AS400 JEMBATAN'!$AS32,'AS400 JEMBATAN'!AP32,$AT32/$AN$4)+$AV32,0)</f>
        <v>0</v>
      </c>
      <c r="AQ32" s="304">
        <f>ROUNDUP(IF('AS400 JEMBATAN'!$AT32&gt;='AS400 JEMBATAN'!$AS32,'AS400 JEMBATAN'!AQ32,$AT32/$AN$4)+$AV32,0)</f>
        <v>0</v>
      </c>
      <c r="AR32" s="304"/>
      <c r="AS32" s="304">
        <f>SUM(AN32:AN32)</f>
        <v>0</v>
      </c>
      <c r="AT32" s="305">
        <f>'Qty &amp; UMH GUM'!AD32</f>
        <v/>
      </c>
      <c r="AU32" s="304">
        <f>ROUNDUP((AT32-AS32)/$AN$4,0)</f>
        <v>0</v>
      </c>
      <c r="AV32" s="310"/>
    </row>
    <row r="33" spans="1:53" customHeight="1" ht="18.75">
      <c r="A33" s="445"/>
      <c r="B33" s="343">
        <f>'Qty &amp; UMH GUM'!C33</f>
        <v/>
      </c>
      <c r="C33" s="281"/>
      <c r="D33" s="304">
        <f>ROUNDUP(IF('AS400 JEMBATAN'!$J33&gt;='AS400 JEMBATAN'!$I33,'AS400 JEMBATAN'!D33,$J33/$D$4)+$L33,0)</f>
        <v>0</v>
      </c>
      <c r="E33" s="304">
        <f>ROUNDUP(IF('AS400 JEMBATAN'!$J33&gt;='AS400 JEMBATAN'!$I33,'AS400 JEMBATAN'!E33,$J33/$D$4)+$L33,0)</f>
        <v>0</v>
      </c>
      <c r="F33" s="304">
        <f>ROUNDUP(IF('AS400 JEMBATAN'!$J33&gt;='AS400 JEMBATAN'!$I33,'AS400 JEMBATAN'!F33,$J33/$D$4)+$L33,0)</f>
        <v>0</v>
      </c>
      <c r="G33" s="304">
        <f>ROUNDUP(IF('AS400 JEMBATAN'!$J33&gt;='AS400 JEMBATAN'!$I33,'AS400 JEMBATAN'!G33,$J33/$D$4)+$L33,0)</f>
        <v>0</v>
      </c>
      <c r="H33" s="304">
        <f>ROUNDUP(IF('AS400 JEMBATAN'!$J33&gt;='AS400 JEMBATAN'!$I33,'AS400 JEMBATAN'!H33,$J33/$D$4)+$L33,0)</f>
        <v>0</v>
      </c>
      <c r="I33" s="304">
        <f>SUM(D33:D33)</f>
        <v>0</v>
      </c>
      <c r="J33" s="305">
        <f>'Qty &amp; UMH GUM'!R33</f>
        <v>0</v>
      </c>
      <c r="K33" s="305">
        <f>ROUNDUP((J33-I33)/$D$4,0)</f>
        <v>0</v>
      </c>
      <c r="L33" s="306">
        <v>0.0</v>
      </c>
      <c r="M33" s="304">
        <f>ROUNDUP(IF('AS400 JEMBATAN'!$S33&gt;='AS400 JEMBATAN'!$R33,'AS400 JEMBATAN'!M33,$S33/$M$4)+$U33,0)</f>
        <v>0</v>
      </c>
      <c r="N33" s="304">
        <f>ROUNDUP(IF('AS400 JEMBATAN'!$S33&gt;='AS400 JEMBATAN'!$R33,'AS400 JEMBATAN'!N33,$S33/$M$4)+$U33,0)</f>
        <v>0</v>
      </c>
      <c r="O33" s="304">
        <f>ROUNDUP(IF('AS400 JEMBATAN'!$S33&gt;='AS400 JEMBATAN'!$R33,'AS400 JEMBATAN'!O33,$S33/$M$4)+$U33,0)</f>
        <v>0</v>
      </c>
      <c r="P33" s="304">
        <f>ROUNDUP(IF('AS400 JEMBATAN'!$S33&gt;='AS400 JEMBATAN'!$R33,'AS400 JEMBATAN'!P33,$S33/$M$4)+$U33,0)</f>
        <v>0</v>
      </c>
      <c r="Q33" s="304"/>
      <c r="R33" s="304">
        <f>SUM(M33:M33)</f>
        <v>0</v>
      </c>
      <c r="S33" s="305">
        <f>'Qty &amp; UMH GUM'!U33</f>
        <v>0</v>
      </c>
      <c r="T33" s="305">
        <f>ROUNDUP((S33-R33)/$M$4,0)</f>
        <v>0</v>
      </c>
      <c r="U33" s="307"/>
      <c r="V33" s="304">
        <f>ROUNDUP(IF('AS400 JEMBATAN'!$AB33&gt;='AS400 JEMBATAN'!$AA33,'AS400 JEMBATAN'!V33,$AB33/$V$4)+$AD33,0)</f>
        <v>0</v>
      </c>
      <c r="W33" s="304">
        <f>ROUNDUP(IF('AS400 JEMBATAN'!$AB33&gt;='AS400 JEMBATAN'!$AA33,'AS400 JEMBATAN'!W33,$AB33/$V$4)+$AD33,0)</f>
        <v>0</v>
      </c>
      <c r="X33" s="304">
        <f>ROUNDUP(IF('AS400 JEMBATAN'!$AB33&gt;='AS400 JEMBATAN'!$AA33,'AS400 JEMBATAN'!X33,$AB33/$V$4)+$AD33,0)</f>
        <v>0</v>
      </c>
      <c r="Y33" s="304">
        <f>ROUNDUP(IF('AS400 JEMBATAN'!$AB33&gt;='AS400 JEMBATAN'!$AA33,'AS400 JEMBATAN'!Y33,$AB33/$V$4)+$AD33,0)</f>
        <v>0</v>
      </c>
      <c r="Z33" s="304"/>
      <c r="AA33" s="304">
        <f>SUM(V33:V33)</f>
        <v>0</v>
      </c>
      <c r="AB33" s="305">
        <f>'Qty &amp; UMH GUM'!X33</f>
        <v>0</v>
      </c>
      <c r="AC33" s="304">
        <f>ROUNDUP((AB33-AA33)/$V$4,0)</f>
        <v>0</v>
      </c>
      <c r="AD33" s="307">
        <v>0.0</v>
      </c>
      <c r="AE33" s="304">
        <f>ROUNDUP(IF('AS400 JEMBATAN'!$AK33&gt;='AS400 JEMBATAN'!$AJ33,'AS400 JEMBATAN'!AE33,$AK33/$AE$4)+$AM33,0)</f>
        <v>0</v>
      </c>
      <c r="AF33" s="304">
        <f>ROUNDUP(IF('AS400 JEMBATAN'!$AK33&gt;='AS400 JEMBATAN'!$AJ33,'AS400 JEMBATAN'!AF33,$AK33/$AE$4)+$AM33,0)</f>
        <v>0</v>
      </c>
      <c r="AG33" s="304">
        <f>ROUNDUP(IF('AS400 JEMBATAN'!$AK33&gt;='AS400 JEMBATAN'!$AJ33,'AS400 JEMBATAN'!AG33,$AK33/$AE$4)+$AM33,0)</f>
        <v>0</v>
      </c>
      <c r="AH33" s="304">
        <f>ROUNDUP(IF('AS400 JEMBATAN'!$AK33&gt;='AS400 JEMBATAN'!$AJ33,'AS400 JEMBATAN'!AH33,$AK33/$AE$4)+$AM33,0)</f>
        <v>0</v>
      </c>
      <c r="AI33" s="304"/>
      <c r="AJ33" s="304">
        <f>SUM(AE33:AE33)</f>
        <v>0</v>
      </c>
      <c r="AK33" s="305">
        <f>'Qty &amp; UMH GUM'!AA33</f>
        <v/>
      </c>
      <c r="AL33" s="304">
        <f>ROUNDUP((AK33-AJ33)/$AE$4,0)</f>
        <v>0</v>
      </c>
      <c r="AM33" s="409"/>
      <c r="AN33" s="308">
        <f>ROUNDUP(IF('AS400 JEMBATAN'!$AT33&gt;='AS400 JEMBATAN'!$AS33,'AS400 JEMBATAN'!AN33,$AT33/$AN$4)+$AV33,0)</f>
        <v>0</v>
      </c>
      <c r="AO33" s="304">
        <f>ROUNDUP(IF('AS400 JEMBATAN'!$AT33&gt;='AS400 JEMBATAN'!$AS33,'AS400 JEMBATAN'!AO33,$AT33/$AN$4)+$AV33,0)</f>
        <v>0</v>
      </c>
      <c r="AP33" s="304">
        <f>ROUNDUP(IF('AS400 JEMBATAN'!$AT33&gt;='AS400 JEMBATAN'!$AS33,'AS400 JEMBATAN'!AP33,$AT33/$AN$4)+$AV33,0)</f>
        <v>0</v>
      </c>
      <c r="AQ33" s="304">
        <f>ROUNDUP(IF('AS400 JEMBATAN'!$AT33&gt;='AS400 JEMBATAN'!$AS33,'AS400 JEMBATAN'!AQ33,$AT33/$AN$4)+$AV33,0)</f>
        <v>0</v>
      </c>
      <c r="AR33" s="304"/>
      <c r="AS33" s="304">
        <f>SUM(AN33:AN33)</f>
        <v>0</v>
      </c>
      <c r="AT33" s="305">
        <f>'Qty &amp; UMH GUM'!AD33</f>
        <v/>
      </c>
      <c r="AU33" s="304">
        <f>ROUNDUP((AT33-AS33)/$AN$4,0)</f>
        <v>0</v>
      </c>
      <c r="AV33" s="310"/>
    </row>
    <row r="34" spans="1:53" customHeight="1" ht="18.75" s="425" customFormat="1">
      <c r="A34" s="445"/>
      <c r="B34" s="418">
        <f>'Qty &amp; UMH GUM'!C34</f>
        <v/>
      </c>
      <c r="C34" s="419"/>
      <c r="D34" s="420">
        <f>ROUNDUP(IF('AS400 JEMBATAN'!$J34&gt;='AS400 JEMBATAN'!$I34,'AS400 JEMBATAN'!D34,$J34/$D$4)+$L34,0)</f>
        <v>0</v>
      </c>
      <c r="E34" s="420">
        <f>ROUNDUP(IF('AS400 JEMBATAN'!$J34&gt;='AS400 JEMBATAN'!$I34,'AS400 JEMBATAN'!E34,$J34/$D$4)+$L34,0)</f>
        <v>0</v>
      </c>
      <c r="F34" s="420">
        <f>ROUNDUP(IF('AS400 JEMBATAN'!$J34&gt;='AS400 JEMBATAN'!$I34,'AS400 JEMBATAN'!F34,$J34/$D$4)+$L34,0)</f>
        <v>0</v>
      </c>
      <c r="G34" s="420">
        <f>ROUNDUP(IF('AS400 JEMBATAN'!$J34&gt;='AS400 JEMBATAN'!$I34,'AS400 JEMBATAN'!G34,$J34/$D$4)+$L34,0)</f>
        <v>0</v>
      </c>
      <c r="H34" s="420">
        <f>ROUNDUP(IF('AS400 JEMBATAN'!$J34&gt;='AS400 JEMBATAN'!$I34,'AS400 JEMBATAN'!H34,$J34/$D$4)+$L34,0)</f>
        <v>0</v>
      </c>
      <c r="I34" s="420">
        <f>SUM(D34:D34)</f>
        <v>0</v>
      </c>
      <c r="J34" s="421">
        <f>'Qty &amp; UMH GUM'!R34</f>
        <v>0</v>
      </c>
      <c r="K34" s="421">
        <f>ROUNDUP((J34-I34)/$D$4,0)</f>
        <v>0</v>
      </c>
      <c r="L34" s="422">
        <v>0.0</v>
      </c>
      <c r="M34" s="420">
        <f>ROUNDUP(IF('AS400 JEMBATAN'!$S34&gt;='AS400 JEMBATAN'!$R34,'AS400 JEMBATAN'!M34,$S34/$M$4)+$U34,0)</f>
        <v>0</v>
      </c>
      <c r="N34" s="420">
        <f>ROUNDUP(IF('AS400 JEMBATAN'!$S34&gt;='AS400 JEMBATAN'!$R34,'AS400 JEMBATAN'!N34,$S34/$M$4)+$U34,0)</f>
        <v>0</v>
      </c>
      <c r="O34" s="420">
        <f>ROUNDUP(IF('AS400 JEMBATAN'!$S34&gt;='AS400 JEMBATAN'!$R34,'AS400 JEMBATAN'!O34,$S34/$M$4)+$U34,0)</f>
        <v>0</v>
      </c>
      <c r="P34" s="420">
        <f>ROUNDUP(IF('AS400 JEMBATAN'!$S34&gt;='AS400 JEMBATAN'!$R34,'AS400 JEMBATAN'!P34,$S34/$M$4)+$U34,0)</f>
        <v>0</v>
      </c>
      <c r="Q34" s="420"/>
      <c r="R34" s="420">
        <f>SUM(M34:M34)</f>
        <v>0</v>
      </c>
      <c r="S34" s="421">
        <f>'Qty &amp; UMH GUM'!U34</f>
        <v>0</v>
      </c>
      <c r="T34" s="421">
        <f>ROUNDUP((S34-R34)/$M$4,0)</f>
        <v>0</v>
      </c>
      <c r="U34" s="352"/>
      <c r="V34" s="420">
        <f>ROUNDUP(IF('AS400 JEMBATAN'!$AB34&gt;='AS400 JEMBATAN'!$AA34,'AS400 JEMBATAN'!V34,$AB34/$V$4)+$AD34,0)</f>
        <v>0</v>
      </c>
      <c r="W34" s="420">
        <f>ROUNDUP(IF('AS400 JEMBATAN'!$AB34&gt;='AS400 JEMBATAN'!$AA34,'AS400 JEMBATAN'!W34,$AB34/$V$4)+$AD34,0)</f>
        <v>0</v>
      </c>
      <c r="X34" s="420">
        <f>ROUNDUP(IF('AS400 JEMBATAN'!$AB34&gt;='AS400 JEMBATAN'!$AA34,'AS400 JEMBATAN'!X34,$AB34/$V$4)+$AD34,0)</f>
        <v>0</v>
      </c>
      <c r="Y34" s="420">
        <f>ROUNDUP(IF('AS400 JEMBATAN'!$AB34&gt;='AS400 JEMBATAN'!$AA34,'AS400 JEMBATAN'!Y34,$AB34/$V$4)+$AD34,0)</f>
        <v>0</v>
      </c>
      <c r="Z34" s="420"/>
      <c r="AA34" s="420">
        <f>SUM(V34:V34)</f>
        <v>0</v>
      </c>
      <c r="AB34" s="421">
        <f>'Qty &amp; UMH GUM'!X34</f>
        <v>0</v>
      </c>
      <c r="AC34" s="420">
        <f>ROUNDUP((AB34-AA34)/$V$4,0)</f>
        <v>0</v>
      </c>
      <c r="AD34" s="307">
        <v>0.0</v>
      </c>
      <c r="AE34" s="420">
        <f>ROUNDUP(IF('AS400 JEMBATAN'!$AK34&gt;='AS400 JEMBATAN'!$AJ34,'AS400 JEMBATAN'!AE34,$AK34/$AE$4)+$AM34,0)</f>
        <v>0</v>
      </c>
      <c r="AF34" s="420">
        <f>ROUNDUP(IF('AS400 JEMBATAN'!$AK34&gt;='AS400 JEMBATAN'!$AJ34,'AS400 JEMBATAN'!AF34,$AK34/$AE$4)+$AM34,0)</f>
        <v>0</v>
      </c>
      <c r="AG34" s="420">
        <f>ROUNDUP(IF('AS400 JEMBATAN'!$AK34&gt;='AS400 JEMBATAN'!$AJ34,'AS400 JEMBATAN'!AG34,$AK34/$AE$4)+$AM34,0)</f>
        <v>0</v>
      </c>
      <c r="AH34" s="420">
        <f>ROUNDUP(IF('AS400 JEMBATAN'!$AK34&gt;='AS400 JEMBATAN'!$AJ34,'AS400 JEMBATAN'!AH34,$AK34/$AE$4)+$AM34,0)</f>
        <v>0</v>
      </c>
      <c r="AI34" s="420"/>
      <c r="AJ34" s="420">
        <f>SUM(AE34:AE34)</f>
        <v>0</v>
      </c>
      <c r="AK34" s="421">
        <f>'Qty &amp; UMH GUM'!AA34</f>
        <v/>
      </c>
      <c r="AL34" s="420">
        <f>ROUNDUP((AK34-AJ34)/$AE$4,0)</f>
        <v>0</v>
      </c>
      <c r="AM34" s="352"/>
      <c r="AN34" s="423">
        <f>ROUNDUP(IF('AS400 JEMBATAN'!$AT34&gt;='AS400 JEMBATAN'!$AS34,'AS400 JEMBATAN'!AN34,$AT34/$AN$4)+$AV34,0)</f>
        <v>0</v>
      </c>
      <c r="AO34" s="420">
        <f>ROUNDUP(IF('AS400 JEMBATAN'!$AT34&gt;='AS400 JEMBATAN'!$AS34,'AS400 JEMBATAN'!AO34,$AT34/$AN$4)+$AV34,0)</f>
        <v>0</v>
      </c>
      <c r="AP34" s="420">
        <f>ROUNDUP(IF('AS400 JEMBATAN'!$AT34&gt;='AS400 JEMBATAN'!$AS34,'AS400 JEMBATAN'!AP34,$AT34/$AN$4)+$AV34,0)</f>
        <v>0</v>
      </c>
      <c r="AQ34" s="420">
        <f>ROUNDUP(IF('AS400 JEMBATAN'!$AT34&gt;='AS400 JEMBATAN'!$AS34,'AS400 JEMBATAN'!AQ34,$AT34/$AN$4)+$AV34,0)</f>
        <v>0</v>
      </c>
      <c r="AR34" s="420"/>
      <c r="AS34" s="420">
        <f>SUM(AN34:AN34)</f>
        <v>0</v>
      </c>
      <c r="AT34" s="421">
        <f>'Qty &amp; UMH GUM'!AD34</f>
        <v/>
      </c>
      <c r="AU34" s="420">
        <f>ROUNDUP((AT34-AS34)/$AN$4,0)</f>
        <v>0</v>
      </c>
      <c r="AV34" s="352"/>
      <c r="AW34" s="424"/>
      <c r="AX34" s="424"/>
      <c r="AY34" s="424"/>
      <c r="AZ34" s="424"/>
      <c r="BA34" s="424"/>
    </row>
    <row r="35" spans="1:53" customHeight="1" ht="18.75">
      <c r="A35" s="445"/>
      <c r="B35" s="342">
        <f>'Qty &amp; UMH GUM'!C35</f>
        <v/>
      </c>
      <c r="C35" s="303"/>
      <c r="D35" s="304">
        <f>ROUNDUP(IF('AS400 JEMBATAN'!$J35&gt;='AS400 JEMBATAN'!$I35,'AS400 JEMBATAN'!D35,$J35/$D$4)+$L35,0)</f>
        <v>0</v>
      </c>
      <c r="E35" s="304">
        <f>ROUNDUP(IF('AS400 JEMBATAN'!$J35&gt;='AS400 JEMBATAN'!$I35,'AS400 JEMBATAN'!E35,$J35/$D$4)+$L35,0)</f>
        <v>0</v>
      </c>
      <c r="F35" s="304">
        <f>ROUNDUP(IF('AS400 JEMBATAN'!$J35&gt;='AS400 JEMBATAN'!$I35,'AS400 JEMBATAN'!F35,$J35/$D$4)+$L35,0)</f>
        <v>0</v>
      </c>
      <c r="G35" s="304">
        <f>ROUNDUP(IF('AS400 JEMBATAN'!$J35&gt;='AS400 JEMBATAN'!$I35,'AS400 JEMBATAN'!G35,$J35/$D$4)+$L35,0)</f>
        <v>0</v>
      </c>
      <c r="H35" s="304">
        <f>ROUNDUP(IF('AS400 JEMBATAN'!$J35&gt;='AS400 JEMBATAN'!$I35,'AS400 JEMBATAN'!H35,$J35/$D$4)+$L35,0)</f>
        <v>0</v>
      </c>
      <c r="I35" s="304">
        <f>SUM(D35:D35)</f>
        <v>0</v>
      </c>
      <c r="J35" s="305">
        <f>'Qty &amp; UMH GUM'!R35</f>
        <v>0</v>
      </c>
      <c r="K35" s="305">
        <f>ROUNDUP((J35-I35)/$D$4,0)</f>
        <v>0</v>
      </c>
      <c r="L35" s="306">
        <v>0.0</v>
      </c>
      <c r="M35" s="304">
        <f>ROUNDUP(IF('AS400 JEMBATAN'!$S35&gt;='AS400 JEMBATAN'!$R35,'AS400 JEMBATAN'!M35,$S35/$M$4)+$U35,0)</f>
        <v>0</v>
      </c>
      <c r="N35" s="304">
        <f>ROUNDUP(IF('AS400 JEMBATAN'!$S35&gt;='AS400 JEMBATAN'!$R35,'AS400 JEMBATAN'!N35,$S35/$M$4)+$U35,0)</f>
        <v>0</v>
      </c>
      <c r="O35" s="304">
        <f>ROUNDUP(IF('AS400 JEMBATAN'!$S35&gt;='AS400 JEMBATAN'!$R35,'AS400 JEMBATAN'!O35,$S35/$M$4)+$U35,0)</f>
        <v>0</v>
      </c>
      <c r="P35" s="304">
        <f>ROUNDUP(IF('AS400 JEMBATAN'!$S35&gt;='AS400 JEMBATAN'!$R35,'AS400 JEMBATAN'!P35,$S35/$M$4)+$U35,0)</f>
        <v>0</v>
      </c>
      <c r="Q35" s="304"/>
      <c r="R35" s="304">
        <f>SUM(M35:M35)</f>
        <v>0</v>
      </c>
      <c r="S35" s="305">
        <f>'Qty &amp; UMH GUM'!U35</f>
        <v>0</v>
      </c>
      <c r="T35" s="305">
        <f>ROUNDUP((S35-R35)/$M$4,0)</f>
        <v>0</v>
      </c>
      <c r="U35" s="307"/>
      <c r="V35" s="304">
        <f>ROUNDUP(IF('AS400 JEMBATAN'!$AB35&gt;='AS400 JEMBATAN'!$AA35,'AS400 JEMBATAN'!V35,$AB35/$V$4)+$AD35,0)</f>
        <v>0</v>
      </c>
      <c r="W35" s="304">
        <f>ROUNDUP(IF('AS400 JEMBATAN'!$AB35&gt;='AS400 JEMBATAN'!$AA35,'AS400 JEMBATAN'!W35,$AB35/$V$4)+$AD35,0)</f>
        <v>0</v>
      </c>
      <c r="X35" s="304">
        <f>ROUNDUP(IF('AS400 JEMBATAN'!$AB35&gt;='AS400 JEMBATAN'!$AA35,'AS400 JEMBATAN'!X35,$AB35/$V$4)+$AD35,0)</f>
        <v>0</v>
      </c>
      <c r="Y35" s="304">
        <f>ROUNDUP(IF('AS400 JEMBATAN'!$AB35&gt;='AS400 JEMBATAN'!$AA35,'AS400 JEMBATAN'!Y35,$AB35/$V$4)+$AD35,0)</f>
        <v>0</v>
      </c>
      <c r="Z35" s="304"/>
      <c r="AA35" s="304">
        <f>SUM(V35:V35)</f>
        <v>0</v>
      </c>
      <c r="AB35" s="305">
        <f>'Qty &amp; UMH GUM'!X35</f>
        <v>0</v>
      </c>
      <c r="AC35" s="304">
        <f>ROUNDUP((AB35-AA35)/$V$4,0)</f>
        <v>0</v>
      </c>
      <c r="AD35" s="307">
        <v>0.0</v>
      </c>
      <c r="AE35" s="304">
        <f>ROUNDUP(IF('AS400 JEMBATAN'!$AK35&gt;='AS400 JEMBATAN'!$AJ35,'AS400 JEMBATAN'!AE35,$AK35/$AE$4)+$AM35,0)</f>
        <v>0</v>
      </c>
      <c r="AF35" s="304">
        <f>ROUNDUP(IF('AS400 JEMBATAN'!$AK35&gt;='AS400 JEMBATAN'!$AJ35,'AS400 JEMBATAN'!AF35,$AK35/$AE$4)+$AM35,0)</f>
        <v>0</v>
      </c>
      <c r="AG35" s="304">
        <f>ROUNDUP(IF('AS400 JEMBATAN'!$AK35&gt;='AS400 JEMBATAN'!$AJ35,'AS400 JEMBATAN'!AG35,$AK35/$AE$4)+$AM35,0)</f>
        <v>0</v>
      </c>
      <c r="AH35" s="304">
        <f>ROUNDUP(IF('AS400 JEMBATAN'!$AK35&gt;='AS400 JEMBATAN'!$AJ35,'AS400 JEMBATAN'!AH35,$AK35/$AE$4)+$AM35,0)</f>
        <v>0</v>
      </c>
      <c r="AI35" s="304"/>
      <c r="AJ35" s="304">
        <f>SUM(AE35:AE35)</f>
        <v>0</v>
      </c>
      <c r="AK35" s="305">
        <f>'Qty &amp; UMH GUM'!AA35</f>
        <v/>
      </c>
      <c r="AL35" s="304">
        <f>ROUNDUP((AK35-AJ35)/$AE$4,0)</f>
        <v>0</v>
      </c>
      <c r="AM35" s="307"/>
      <c r="AN35" s="308">
        <f>ROUNDUP(IF('AS400 JEMBATAN'!$AT35&gt;='AS400 JEMBATAN'!$AS35,'AS400 JEMBATAN'!AN35,$AT35/$AN$4)+$AV35,0)</f>
        <v>0</v>
      </c>
      <c r="AO35" s="304">
        <f>ROUNDUP(IF('AS400 JEMBATAN'!$AT35&gt;='AS400 JEMBATAN'!$AS35,'AS400 JEMBATAN'!AO35,$AT35/$AN$4)+$AV35,0)</f>
        <v>0</v>
      </c>
      <c r="AP35" s="304">
        <f>ROUNDUP(IF('AS400 JEMBATAN'!$AT35&gt;='AS400 JEMBATAN'!$AS35,'AS400 JEMBATAN'!AP35,$AT35/$AN$4)+$AV35,0)</f>
        <v>0</v>
      </c>
      <c r="AQ35" s="304">
        <f>ROUNDUP(IF('AS400 JEMBATAN'!$AT35&gt;='AS400 JEMBATAN'!$AS35,'AS400 JEMBATAN'!AQ35,$AT35/$AN$4)+$AV35,0)</f>
        <v>0</v>
      </c>
      <c r="AR35" s="304"/>
      <c r="AS35" s="304">
        <f>SUM(AN35:AN35)</f>
        <v>0</v>
      </c>
      <c r="AT35" s="305">
        <f>'Qty &amp; UMH GUM'!AD35</f>
        <v/>
      </c>
      <c r="AU35" s="304">
        <f>ROUNDUP((AT35-AS35)/$AN$4,0)</f>
        <v>0</v>
      </c>
      <c r="AV35" s="307"/>
      <c r="AW35" s="296"/>
      <c r="AX35" s="296"/>
      <c r="AY35" s="296"/>
      <c r="AZ35" s="296"/>
      <c r="BA35" s="296"/>
    </row>
    <row r="36" spans="1:53" customHeight="1" ht="18.75">
      <c r="A36" s="445"/>
      <c r="B36" s="342" t="str">
        <f>'Qty &amp; UMH GUM'!C36</f>
        <v>82111-4DG90</v>
      </c>
      <c r="C36" s="303"/>
      <c r="D36" s="304" t="e">
        <f>ROUNDUP(IF('AS400 JEMBATAN'!$J36&gt;='AS400 JEMBATAN'!$I36,'AS400 JEMBATAN'!D36,$J36/$D$4)+$L36,0)</f>
        <v>#REF!</v>
      </c>
      <c r="E36" s="304" t="e">
        <f>ROUNDUP(IF('AS400 JEMBATAN'!$J36&gt;='AS400 JEMBATAN'!$I36,'AS400 JEMBATAN'!E36,$J36/$D$4)+$L36,0)</f>
        <v>#REF!</v>
      </c>
      <c r="F36" s="304" t="e">
        <f>ROUNDUP(IF('AS400 JEMBATAN'!$J36&gt;='AS400 JEMBATAN'!$I36,'AS400 JEMBATAN'!F36,$J36/$D$4)+$L36,0)</f>
        <v>#REF!</v>
      </c>
      <c r="G36" s="304" t="e">
        <f>ROUNDUP(IF('AS400 JEMBATAN'!$J36&gt;='AS400 JEMBATAN'!$I36,'AS400 JEMBATAN'!G36,$J36/$D$4)+$L36,0)</f>
        <v>#REF!</v>
      </c>
      <c r="H36" s="304" t="e">
        <f>ROUNDUP(IF('AS400 JEMBATAN'!$J36&gt;='AS400 JEMBATAN'!$I36,'AS400 JEMBATAN'!H36,$J36/$D$4)+$L36,0)</f>
        <v>#REF!</v>
      </c>
      <c r="I36" s="304" t="e">
        <f>SUM(D36:D36)</f>
        <v>#REF!</v>
      </c>
      <c r="J36" s="305" t="e">
        <f>'Qty &amp; UMH GUM'!R36</f>
        <v>#REF!</v>
      </c>
      <c r="K36" s="305" t="e">
        <f>ROUNDUP((J36-I36)/$D$4,0)</f>
        <v>#REF!</v>
      </c>
      <c r="L36" s="306">
        <v>0.0</v>
      </c>
      <c r="M36" s="304" t="e">
        <f>ROUNDUP(IF('AS400 JEMBATAN'!$S36&gt;='AS400 JEMBATAN'!$R36,'AS400 JEMBATAN'!M36,$S36/$M$4)+$U36,0)</f>
        <v>#REF!</v>
      </c>
      <c r="N36" s="304" t="e">
        <f>ROUNDUP(IF('AS400 JEMBATAN'!$S36&gt;='AS400 JEMBATAN'!$R36,'AS400 JEMBATAN'!N36,$S36/$M$4)+$U36,0)</f>
        <v>#REF!</v>
      </c>
      <c r="O36" s="304" t="e">
        <f>ROUNDUP(IF('AS400 JEMBATAN'!$S36&gt;='AS400 JEMBATAN'!$R36,'AS400 JEMBATAN'!O36,$S36/$M$4)+$U36,0)</f>
        <v>#REF!</v>
      </c>
      <c r="P36" s="304" t="e">
        <f>ROUNDUP(IF('AS400 JEMBATAN'!$S36&gt;='AS400 JEMBATAN'!$R36,'AS400 JEMBATAN'!P36,$S36/$M$4)+$U36,0)</f>
        <v>#REF!</v>
      </c>
      <c r="Q36" s="304"/>
      <c r="R36" s="304" t="e">
        <f>SUM(M36:M36)</f>
        <v>#REF!</v>
      </c>
      <c r="S36" s="305" t="e">
        <f>'Qty &amp; UMH GUM'!U36</f>
        <v>#REF!</v>
      </c>
      <c r="T36" s="305" t="e">
        <f>ROUNDUP((S36-R36)/$M$4,0)</f>
        <v>#REF!</v>
      </c>
      <c r="U36" s="307"/>
      <c r="V36" s="304" t="e">
        <f>ROUNDUP(IF('AS400 JEMBATAN'!$AB36&gt;='AS400 JEMBATAN'!$AA36,'AS400 JEMBATAN'!V36,$AB36/$V$4)+$AD36,0)</f>
        <v>#REF!</v>
      </c>
      <c r="W36" s="304" t="e">
        <f>ROUNDUP(IF('AS400 JEMBATAN'!$AB36&gt;='AS400 JEMBATAN'!$AA36,'AS400 JEMBATAN'!W36,$AB36/$V$4)+$AD36,0)</f>
        <v>#REF!</v>
      </c>
      <c r="X36" s="304" t="e">
        <f>ROUNDUP(IF('AS400 JEMBATAN'!$AB36&gt;='AS400 JEMBATAN'!$AA36,'AS400 JEMBATAN'!X36,$AB36/$V$4)+$AD36,0)</f>
        <v>#REF!</v>
      </c>
      <c r="Y36" s="304" t="e">
        <f>ROUNDUP(IF('AS400 JEMBATAN'!$AB36&gt;='AS400 JEMBATAN'!$AA36,'AS400 JEMBATAN'!Y36,$AB36/$V$4)+$AD36,0)</f>
        <v>#REF!</v>
      </c>
      <c r="Z36" s="304"/>
      <c r="AA36" s="304" t="e">
        <f>SUM(V36:V36)</f>
        <v>#REF!</v>
      </c>
      <c r="AB36" s="305" t="e">
        <f>'Qty &amp; UMH GUM'!X36</f>
        <v>#REF!</v>
      </c>
      <c r="AC36" s="304" t="e">
        <f>ROUNDUP((AB36-AA36)/$V$4,0)</f>
        <v>#REF!</v>
      </c>
      <c r="AD36" s="307">
        <v>0.0</v>
      </c>
      <c r="AE36" s="304" t="e">
        <f>ROUNDUP(IF('AS400 JEMBATAN'!$AK36&gt;='AS400 JEMBATAN'!$AJ36,'AS400 JEMBATAN'!AE36,$AK36/$AE$4)+$AM36,0)</f>
        <v>#REF!</v>
      </c>
      <c r="AF36" s="304" t="e">
        <f>ROUNDUP(IF('AS400 JEMBATAN'!$AK36&gt;='AS400 JEMBATAN'!$AJ36,'AS400 JEMBATAN'!AF36,$AK36/$AE$4)+$AM36,0)</f>
        <v>#REF!</v>
      </c>
      <c r="AG36" s="304" t="e">
        <f>ROUNDUP(IF('AS400 JEMBATAN'!$AK36&gt;='AS400 JEMBATAN'!$AJ36,'AS400 JEMBATAN'!AG36,$AK36/$AE$4)+$AM36,0)</f>
        <v>#REF!</v>
      </c>
      <c r="AH36" s="304" t="e">
        <f>ROUNDUP(IF('AS400 JEMBATAN'!$AK36&gt;='AS400 JEMBATAN'!$AJ36,'AS400 JEMBATAN'!AH36,$AK36/$AE$4)+$AM36,0)</f>
        <v>#REF!</v>
      </c>
      <c r="AI36" s="304"/>
      <c r="AJ36" s="304" t="e">
        <f>SUM(AE36:AE36)</f>
        <v>#REF!</v>
      </c>
      <c r="AK36" s="305" t="e">
        <f>'Qty &amp; UMH GUM'!AA36</f>
        <v>#REF!</v>
      </c>
      <c r="AL36" s="304" t="e">
        <f>ROUNDUP((AK36-AJ36)/$AE$4,0)</f>
        <v>#REF!</v>
      </c>
      <c r="AM36" s="307"/>
      <c r="AN36" s="308" t="e">
        <f>ROUNDUP(IF('AS400 JEMBATAN'!$AT36&gt;='AS400 JEMBATAN'!$AS36,'AS400 JEMBATAN'!AN36,$AT36/$AN$4)+$AV36,0)</f>
        <v>#REF!</v>
      </c>
      <c r="AO36" s="304" t="e">
        <f>ROUNDUP(IF('AS400 JEMBATAN'!$AT36&gt;='AS400 JEMBATAN'!$AS36,'AS400 JEMBATAN'!AO36,$AT36/$AN$4)+$AV36,0)</f>
        <v>#REF!</v>
      </c>
      <c r="AP36" s="304" t="e">
        <f>ROUNDUP(IF('AS400 JEMBATAN'!$AT36&gt;='AS400 JEMBATAN'!$AS36,'AS400 JEMBATAN'!AP36,$AT36/$AN$4)+$AV36,0)</f>
        <v>#REF!</v>
      </c>
      <c r="AQ36" s="304" t="e">
        <f>ROUNDUP(IF('AS400 JEMBATAN'!$AT36&gt;='AS400 JEMBATAN'!$AS36,'AS400 JEMBATAN'!AQ36,$AT36/$AN$4)+$AV36,0)</f>
        <v>#REF!</v>
      </c>
      <c r="AR36" s="304"/>
      <c r="AS36" s="304" t="e">
        <f>SUM(AN36:AN36)</f>
        <v>#REF!</v>
      </c>
      <c r="AT36" s="305" t="e">
        <f>'Qty &amp; UMH GUM'!AD36</f>
        <v>#REF!</v>
      </c>
      <c r="AU36" s="304" t="e">
        <f>ROUNDUP((AT36-AS36)/$AN$4,0)</f>
        <v>#REF!</v>
      </c>
      <c r="AV36" s="307"/>
      <c r="AW36" s="296"/>
      <c r="AX36" s="296"/>
      <c r="AY36" s="296"/>
      <c r="AZ36" s="296"/>
      <c r="BA36" s="296"/>
    </row>
    <row r="37" spans="1:53" customHeight="1" ht="18.75">
      <c r="A37" s="445"/>
      <c r="B37" s="342" t="str">
        <f>'Qty &amp; UMH GUM'!C37</f>
        <v>82111-4DJ00</v>
      </c>
      <c r="C37" s="303"/>
      <c r="D37" s="304" t="e">
        <f>ROUNDUP(IF('AS400 JEMBATAN'!$J37&gt;='AS400 JEMBATAN'!$I37,'AS400 JEMBATAN'!D37,$J37/$D$4)+$L37,0)</f>
        <v>#REF!</v>
      </c>
      <c r="E37" s="304" t="e">
        <f>ROUNDUP(IF('AS400 JEMBATAN'!$J37&gt;='AS400 JEMBATAN'!$I37,'AS400 JEMBATAN'!E37,$J37/$D$4)+$L37,0)</f>
        <v>#REF!</v>
      </c>
      <c r="F37" s="304" t="e">
        <f>ROUNDUP(IF('AS400 JEMBATAN'!$J37&gt;='AS400 JEMBATAN'!$I37,'AS400 JEMBATAN'!F37,$J37/$D$4)+$L37,0)</f>
        <v>#REF!</v>
      </c>
      <c r="G37" s="304" t="e">
        <f>ROUNDUP(IF('AS400 JEMBATAN'!$J37&gt;='AS400 JEMBATAN'!$I37,'AS400 JEMBATAN'!G37,$J37/$D$4)+$L37,0)</f>
        <v>#REF!</v>
      </c>
      <c r="H37" s="304" t="e">
        <f>ROUNDUP(IF('AS400 JEMBATAN'!$J37&gt;='AS400 JEMBATAN'!$I37,'AS400 JEMBATAN'!H37,$J37/$D$4)+$L37,0)</f>
        <v>#REF!</v>
      </c>
      <c r="I37" s="304" t="e">
        <f>SUM(D37:D37)</f>
        <v>#REF!</v>
      </c>
      <c r="J37" s="305" t="e">
        <f>'Qty &amp; UMH GUM'!R37</f>
        <v>#REF!</v>
      </c>
      <c r="K37" s="305" t="e">
        <f>ROUNDUP((J37-I37)/$D$4,0)</f>
        <v>#REF!</v>
      </c>
      <c r="L37" s="306">
        <v>0.0</v>
      </c>
      <c r="M37" s="304" t="e">
        <f>ROUNDUP(IF('AS400 JEMBATAN'!$S37&gt;='AS400 JEMBATAN'!$R37,'AS400 JEMBATAN'!M37,$S37/$M$4)+$U37,0)</f>
        <v>#REF!</v>
      </c>
      <c r="N37" s="304" t="e">
        <f>ROUNDUP(IF('AS400 JEMBATAN'!$S37&gt;='AS400 JEMBATAN'!$R37,'AS400 JEMBATAN'!N37,$S37/$M$4)+$U37,0)</f>
        <v>#REF!</v>
      </c>
      <c r="O37" s="304" t="e">
        <f>ROUNDUP(IF('AS400 JEMBATAN'!$S37&gt;='AS400 JEMBATAN'!$R37,'AS400 JEMBATAN'!O37,$S37/$M$4)+$U37,0)</f>
        <v>#REF!</v>
      </c>
      <c r="P37" s="304" t="e">
        <f>ROUNDUP(IF('AS400 JEMBATAN'!$S37&gt;='AS400 JEMBATAN'!$R37,'AS400 JEMBATAN'!P37,$S37/$M$4)+$U37,0)</f>
        <v>#REF!</v>
      </c>
      <c r="Q37" s="304"/>
      <c r="R37" s="304" t="e">
        <f>SUM(M37:M37)</f>
        <v>#REF!</v>
      </c>
      <c r="S37" s="305" t="e">
        <f>'Qty &amp; UMH GUM'!U37</f>
        <v>#REF!</v>
      </c>
      <c r="T37" s="305" t="e">
        <f>ROUNDUP((S37-R37)/$M$4,0)</f>
        <v>#REF!</v>
      </c>
      <c r="U37" s="307"/>
      <c r="V37" s="304" t="e">
        <f>ROUNDUP(IF('AS400 JEMBATAN'!$AB37&gt;='AS400 JEMBATAN'!$AA37,'AS400 JEMBATAN'!V37,$AB37/$V$4)+$AD37,0)</f>
        <v>#REF!</v>
      </c>
      <c r="W37" s="304" t="e">
        <f>ROUNDUP(IF('AS400 JEMBATAN'!$AB37&gt;='AS400 JEMBATAN'!$AA37,'AS400 JEMBATAN'!W37,$AB37/$V$4)+$AD37,0)</f>
        <v>#REF!</v>
      </c>
      <c r="X37" s="304" t="e">
        <f>ROUNDUP(IF('AS400 JEMBATAN'!$AB37&gt;='AS400 JEMBATAN'!$AA37,'AS400 JEMBATAN'!X37,$AB37/$V$4)+$AD37,0)</f>
        <v>#REF!</v>
      </c>
      <c r="Y37" s="304" t="e">
        <f>ROUNDUP(IF('AS400 JEMBATAN'!$AB37&gt;='AS400 JEMBATAN'!$AA37,'AS400 JEMBATAN'!Y37,$AB37/$V$4)+$AD37,0)</f>
        <v>#REF!</v>
      </c>
      <c r="Z37" s="304"/>
      <c r="AA37" s="304" t="e">
        <f>SUM(V37:V37)</f>
        <v>#REF!</v>
      </c>
      <c r="AB37" s="305" t="e">
        <f>'Qty &amp; UMH GUM'!X37</f>
        <v>#REF!</v>
      </c>
      <c r="AC37" s="304" t="e">
        <f>ROUNDUP((AB37-AA37)/$V$4,0)</f>
        <v>#REF!</v>
      </c>
      <c r="AD37" s="307">
        <v>0.0</v>
      </c>
      <c r="AE37" s="304" t="e">
        <f>ROUNDUP(IF('AS400 JEMBATAN'!$AK37&gt;='AS400 JEMBATAN'!$AJ37,'AS400 JEMBATAN'!AE37,$AK37/$AE$4)+$AM37,0)</f>
        <v>#REF!</v>
      </c>
      <c r="AF37" s="304" t="e">
        <f>ROUNDUP(IF('AS400 JEMBATAN'!$AK37&gt;='AS400 JEMBATAN'!$AJ37,'AS400 JEMBATAN'!AF37,$AK37/$AE$4)+$AM37,0)</f>
        <v>#REF!</v>
      </c>
      <c r="AG37" s="304" t="e">
        <f>ROUNDUP(IF('AS400 JEMBATAN'!$AK37&gt;='AS400 JEMBATAN'!$AJ37,'AS400 JEMBATAN'!AG37,$AK37/$AE$4)+$AM37,0)</f>
        <v>#REF!</v>
      </c>
      <c r="AH37" s="304" t="e">
        <f>ROUNDUP(IF('AS400 JEMBATAN'!$AK37&gt;='AS400 JEMBATAN'!$AJ37,'AS400 JEMBATAN'!AH37,$AK37/$AE$4)+$AM37,0)</f>
        <v>#REF!</v>
      </c>
      <c r="AI37" s="304"/>
      <c r="AJ37" s="304" t="e">
        <f>SUM(AE37:AE37)</f>
        <v>#REF!</v>
      </c>
      <c r="AK37" s="305" t="e">
        <f>'Qty &amp; UMH GUM'!AA37</f>
        <v>#REF!</v>
      </c>
      <c r="AL37" s="304" t="e">
        <f>ROUNDUP((AK37-AJ37)/$AE$4,0)</f>
        <v>#REF!</v>
      </c>
      <c r="AM37" s="307"/>
      <c r="AN37" s="308" t="e">
        <f>ROUNDUP(IF('AS400 JEMBATAN'!$AT37&gt;='AS400 JEMBATAN'!$AS37,'AS400 JEMBATAN'!AN37,$AT37/$AN$4)+$AV37,0)</f>
        <v>#REF!</v>
      </c>
      <c r="AO37" s="304" t="e">
        <f>ROUNDUP(IF('AS400 JEMBATAN'!$AT37&gt;='AS400 JEMBATAN'!$AS37,'AS400 JEMBATAN'!AO37,$AT37/$AN$4)+$AV37,0)</f>
        <v>#REF!</v>
      </c>
      <c r="AP37" s="304" t="e">
        <f>ROUNDUP(IF('AS400 JEMBATAN'!$AT37&gt;='AS400 JEMBATAN'!$AS37,'AS400 JEMBATAN'!AP37,$AT37/$AN$4)+$AV37,0)</f>
        <v>#REF!</v>
      </c>
      <c r="AQ37" s="304" t="e">
        <f>ROUNDUP(IF('AS400 JEMBATAN'!$AT37&gt;='AS400 JEMBATAN'!$AS37,'AS400 JEMBATAN'!AQ37,$AT37/$AN$4)+$AV37,0)</f>
        <v>#REF!</v>
      </c>
      <c r="AR37" s="304"/>
      <c r="AS37" s="304" t="e">
        <f>SUM(AN37:AN37)</f>
        <v>#REF!</v>
      </c>
      <c r="AT37" s="305" t="e">
        <f>'Qty &amp; UMH GUM'!AD37</f>
        <v>#REF!</v>
      </c>
      <c r="AU37" s="304" t="e">
        <f>ROUNDUP((AT37-AS37)/$AN$4,0)</f>
        <v>#REF!</v>
      </c>
      <c r="AV37" s="307"/>
      <c r="AW37" s="296"/>
      <c r="AX37" s="296"/>
      <c r="AY37" s="296"/>
      <c r="AZ37" s="296"/>
      <c r="BA37" s="296"/>
    </row>
    <row r="38" spans="1:53" customHeight="1" ht="18.75">
      <c r="A38" s="445"/>
      <c r="B38" s="342" t="str">
        <f>'Qty &amp; UMH GUM'!C38</f>
        <v>82111-4DL51</v>
      </c>
      <c r="C38" s="303"/>
      <c r="D38" s="304" t="e">
        <f>ROUNDUP(IF('AS400 JEMBATAN'!$J38&gt;='AS400 JEMBATAN'!$I38,'AS400 JEMBATAN'!D38,$J38/$D$4)+$L38,0)</f>
        <v>#REF!</v>
      </c>
      <c r="E38" s="304" t="e">
        <f>ROUNDUP(IF('AS400 JEMBATAN'!$J38&gt;='AS400 JEMBATAN'!$I38,'AS400 JEMBATAN'!E38,$J38/$D$4)+$L38,0)</f>
        <v>#REF!</v>
      </c>
      <c r="F38" s="304" t="e">
        <f>ROUNDUP(IF('AS400 JEMBATAN'!$J38&gt;='AS400 JEMBATAN'!$I38,'AS400 JEMBATAN'!F38,$J38/$D$4)+$L38,0)</f>
        <v>#REF!</v>
      </c>
      <c r="G38" s="304" t="e">
        <f>ROUNDUP(IF('AS400 JEMBATAN'!$J38&gt;='AS400 JEMBATAN'!$I38,'AS400 JEMBATAN'!G38,$J38/$D$4)+$L38,0)</f>
        <v>#REF!</v>
      </c>
      <c r="H38" s="304" t="e">
        <f>ROUNDUP(IF('AS400 JEMBATAN'!$J38&gt;='AS400 JEMBATAN'!$I38,'AS400 JEMBATAN'!H38,$J38/$D$4)+$L38,0)</f>
        <v>#REF!</v>
      </c>
      <c r="I38" s="304" t="e">
        <f>SUM(D38:D38)</f>
        <v>#REF!</v>
      </c>
      <c r="J38" s="305" t="e">
        <f>'Qty &amp; UMH GUM'!R38</f>
        <v>#REF!</v>
      </c>
      <c r="K38" s="305" t="e">
        <f>ROUNDUP((J38-I38)/$D$4,0)</f>
        <v>#REF!</v>
      </c>
      <c r="L38" s="306">
        <v>0.0</v>
      </c>
      <c r="M38" s="304" t="e">
        <f>ROUNDUP(IF('AS400 JEMBATAN'!$S38&gt;='AS400 JEMBATAN'!$R38,'AS400 JEMBATAN'!M38,$S38/$M$4)+$U38,0)</f>
        <v>#REF!</v>
      </c>
      <c r="N38" s="304" t="e">
        <f>ROUNDUP(IF('AS400 JEMBATAN'!$S38&gt;='AS400 JEMBATAN'!$R38,'AS400 JEMBATAN'!N38,$S38/$M$4)+$U38,0)</f>
        <v>#REF!</v>
      </c>
      <c r="O38" s="304" t="e">
        <f>ROUNDUP(IF('AS400 JEMBATAN'!$S38&gt;='AS400 JEMBATAN'!$R38,'AS400 JEMBATAN'!O38,$S38/$M$4)+$U38,0)</f>
        <v>#REF!</v>
      </c>
      <c r="P38" s="304" t="e">
        <f>ROUNDUP(IF('AS400 JEMBATAN'!$S38&gt;='AS400 JEMBATAN'!$R38,'AS400 JEMBATAN'!P38,$S38/$M$4)+$U38,0)</f>
        <v>#REF!</v>
      </c>
      <c r="Q38" s="304"/>
      <c r="R38" s="304" t="e">
        <f>SUM(M38:M38)</f>
        <v>#REF!</v>
      </c>
      <c r="S38" s="305" t="e">
        <f>'Qty &amp; UMH GUM'!U38</f>
        <v>#REF!</v>
      </c>
      <c r="T38" s="305" t="e">
        <f>ROUNDUP((S38-R38)/$M$4,0)</f>
        <v>#REF!</v>
      </c>
      <c r="U38" s="307"/>
      <c r="V38" s="304" t="e">
        <f>ROUNDUP(IF('AS400 JEMBATAN'!$AB38&gt;='AS400 JEMBATAN'!$AA38,'AS400 JEMBATAN'!V38,$AB38/$V$4)+$AD38,0)</f>
        <v>#REF!</v>
      </c>
      <c r="W38" s="304" t="e">
        <f>ROUNDUP(IF('AS400 JEMBATAN'!$AB38&gt;='AS400 JEMBATAN'!$AA38,'AS400 JEMBATAN'!W38,$AB38/$V$4)+$AD38,0)</f>
        <v>#REF!</v>
      </c>
      <c r="X38" s="304" t="e">
        <f>ROUNDUP(IF('AS400 JEMBATAN'!$AB38&gt;='AS400 JEMBATAN'!$AA38,'AS400 JEMBATAN'!X38,$AB38/$V$4)+$AD38,0)</f>
        <v>#REF!</v>
      </c>
      <c r="Y38" s="304" t="e">
        <f>ROUNDUP(IF('AS400 JEMBATAN'!$AB38&gt;='AS400 JEMBATAN'!$AA38,'AS400 JEMBATAN'!Y38,$AB38/$V$4)+$AD38,0)</f>
        <v>#REF!</v>
      </c>
      <c r="Z38" s="304"/>
      <c r="AA38" s="304" t="e">
        <f>SUM(V38:V38)</f>
        <v>#REF!</v>
      </c>
      <c r="AB38" s="305" t="e">
        <f>'Qty &amp; UMH GUM'!X38</f>
        <v>#REF!</v>
      </c>
      <c r="AC38" s="304" t="e">
        <f>ROUNDUP((AB38-AA38)/$V$4,0)</f>
        <v>#REF!</v>
      </c>
      <c r="AD38" s="307">
        <v>0.0</v>
      </c>
      <c r="AE38" s="304" t="e">
        <f>ROUNDUP(IF('AS400 JEMBATAN'!$AK38&gt;='AS400 JEMBATAN'!$AJ38,'AS400 JEMBATAN'!AE38,$AK38/$AE$4)+$AM38,0)</f>
        <v>#REF!</v>
      </c>
      <c r="AF38" s="304" t="e">
        <f>ROUNDUP(IF('AS400 JEMBATAN'!$AK38&gt;='AS400 JEMBATAN'!$AJ38,'AS400 JEMBATAN'!AF38,$AK38/$AE$4)+$AM38,0)</f>
        <v>#REF!</v>
      </c>
      <c r="AG38" s="304" t="e">
        <f>ROUNDUP(IF('AS400 JEMBATAN'!$AK38&gt;='AS400 JEMBATAN'!$AJ38,'AS400 JEMBATAN'!AG38,$AK38/$AE$4)+$AM38,0)</f>
        <v>#REF!</v>
      </c>
      <c r="AH38" s="304" t="e">
        <f>ROUNDUP(IF('AS400 JEMBATAN'!$AK38&gt;='AS400 JEMBATAN'!$AJ38,'AS400 JEMBATAN'!AH38,$AK38/$AE$4)+$AM38,0)</f>
        <v>#REF!</v>
      </c>
      <c r="AI38" s="304"/>
      <c r="AJ38" s="304" t="e">
        <f>SUM(AE38:AE38)</f>
        <v>#REF!</v>
      </c>
      <c r="AK38" s="305" t="e">
        <f>'Qty &amp; UMH GUM'!AA38</f>
        <v>#REF!</v>
      </c>
      <c r="AL38" s="304" t="e">
        <f>ROUNDUP((AK38-AJ38)/$AE$4,0)</f>
        <v>#REF!</v>
      </c>
      <c r="AM38" s="307"/>
      <c r="AN38" s="308" t="e">
        <f>ROUNDUP(IF('AS400 JEMBATAN'!$AT38&gt;='AS400 JEMBATAN'!$AS38,'AS400 JEMBATAN'!AN38,$AT38/$AN$4)+$AV38,0)</f>
        <v>#REF!</v>
      </c>
      <c r="AO38" s="304" t="e">
        <f>ROUNDUP(IF('AS400 JEMBATAN'!$AT38&gt;='AS400 JEMBATAN'!$AS38,'AS400 JEMBATAN'!AO38,$AT38/$AN$4)+$AV38,0)</f>
        <v>#REF!</v>
      </c>
      <c r="AP38" s="304" t="e">
        <f>ROUNDUP(IF('AS400 JEMBATAN'!$AT38&gt;='AS400 JEMBATAN'!$AS38,'AS400 JEMBATAN'!AP38,$AT38/$AN$4)+$AV38,0)</f>
        <v>#REF!</v>
      </c>
      <c r="AQ38" s="304" t="e">
        <f>ROUNDUP(IF('AS400 JEMBATAN'!$AT38&gt;='AS400 JEMBATAN'!$AS38,'AS400 JEMBATAN'!AQ38,$AT38/$AN$4)+$AV38,0)</f>
        <v>#REF!</v>
      </c>
      <c r="AR38" s="304"/>
      <c r="AS38" s="304" t="e">
        <f>SUM(AN38:AN38)</f>
        <v>#REF!</v>
      </c>
      <c r="AT38" s="305" t="e">
        <f>'Qty &amp; UMH GUM'!AD38</f>
        <v>#REF!</v>
      </c>
      <c r="AU38" s="304" t="e">
        <f>ROUNDUP((AT38-AS38)/$AN$4,0)</f>
        <v>#REF!</v>
      </c>
      <c r="AV38" s="307"/>
      <c r="AW38" s="296"/>
      <c r="AX38" s="296"/>
      <c r="AY38" s="296"/>
      <c r="AZ38" s="296"/>
      <c r="BA38" s="296"/>
    </row>
    <row r="39" spans="1:53" customHeight="1" ht="18.75">
      <c r="A39" s="445"/>
      <c r="B39" s="343" t="str">
        <f>'Qty &amp; UMH GUM'!C39</f>
        <v>82111-4DL61</v>
      </c>
      <c r="C39" s="303"/>
      <c r="D39" s="304" t="e">
        <f>ROUNDUP(IF('AS400 JEMBATAN'!$J39&gt;='AS400 JEMBATAN'!$I39,'AS400 JEMBATAN'!D39,$J39/$D$4)+$L39,0)</f>
        <v>#REF!</v>
      </c>
      <c r="E39" s="304" t="e">
        <f>ROUNDUP(IF('AS400 JEMBATAN'!$J39&gt;='AS400 JEMBATAN'!$I39,'AS400 JEMBATAN'!E39,$J39/$D$4)+$L39,0)</f>
        <v>#REF!</v>
      </c>
      <c r="F39" s="304" t="e">
        <f>ROUNDUP(IF('AS400 JEMBATAN'!$J39&gt;='AS400 JEMBATAN'!$I39,'AS400 JEMBATAN'!F39,$J39/$D$4)+$L39,0)</f>
        <v>#REF!</v>
      </c>
      <c r="G39" s="304" t="e">
        <f>ROUNDUP(IF('AS400 JEMBATAN'!$J39&gt;='AS400 JEMBATAN'!$I39,'AS400 JEMBATAN'!G39,$J39/$D$4)+$L39,0)</f>
        <v>#REF!</v>
      </c>
      <c r="H39" s="304" t="e">
        <f>ROUNDUP(IF('AS400 JEMBATAN'!$J39&gt;='AS400 JEMBATAN'!$I39,'AS400 JEMBATAN'!H39,$J39/$D$4)+$L39,0)</f>
        <v>#REF!</v>
      </c>
      <c r="I39" s="304" t="e">
        <f>SUM(D39:D39)</f>
        <v>#REF!</v>
      </c>
      <c r="J39" s="305" t="e">
        <f>'Qty &amp; UMH GUM'!R39</f>
        <v>#REF!</v>
      </c>
      <c r="K39" s="305" t="e">
        <f>ROUNDUP((J39-I39)/$D$4,0)</f>
        <v>#REF!</v>
      </c>
      <c r="L39" s="306">
        <v>0.0</v>
      </c>
      <c r="M39" s="304" t="e">
        <f>ROUNDUP(IF('AS400 JEMBATAN'!$S39&gt;='AS400 JEMBATAN'!$R39,'AS400 JEMBATAN'!M39,$S39/$M$4)+$U39,0)</f>
        <v>#REF!</v>
      </c>
      <c r="N39" s="304" t="e">
        <f>ROUNDUP(IF('AS400 JEMBATAN'!$S39&gt;='AS400 JEMBATAN'!$R39,'AS400 JEMBATAN'!N39,$S39/$M$4)+$U39,0)</f>
        <v>#REF!</v>
      </c>
      <c r="O39" s="304" t="e">
        <f>ROUNDUP(IF('AS400 JEMBATAN'!$S39&gt;='AS400 JEMBATAN'!$R39,'AS400 JEMBATAN'!O39,$S39/$M$4)+$U39,0)</f>
        <v>#REF!</v>
      </c>
      <c r="P39" s="304" t="e">
        <f>ROUNDUP(IF('AS400 JEMBATAN'!$S39&gt;='AS400 JEMBATAN'!$R39,'AS400 JEMBATAN'!P39,$S39/$M$4)+$U39,0)</f>
        <v>#REF!</v>
      </c>
      <c r="Q39" s="304"/>
      <c r="R39" s="304" t="e">
        <f>SUM(M39:M39)</f>
        <v>#REF!</v>
      </c>
      <c r="S39" s="305" t="e">
        <f>'Qty &amp; UMH GUM'!U39</f>
        <v>#REF!</v>
      </c>
      <c r="T39" s="305" t="e">
        <f>ROUNDUP((S39-R39)/$M$4,0)</f>
        <v>#REF!</v>
      </c>
      <c r="U39" s="307"/>
      <c r="V39" s="304" t="e">
        <f>ROUNDUP(IF('AS400 JEMBATAN'!$AB39&gt;='AS400 JEMBATAN'!$AA39,'AS400 JEMBATAN'!V39,$AB39/$V$4)+$AD39,0)</f>
        <v>#REF!</v>
      </c>
      <c r="W39" s="304" t="e">
        <f>ROUNDUP(IF('AS400 JEMBATAN'!$AB39&gt;='AS400 JEMBATAN'!$AA39,'AS400 JEMBATAN'!W39,$AB39/$V$4)+$AD39,0)</f>
        <v>#REF!</v>
      </c>
      <c r="X39" s="304" t="e">
        <f>ROUNDUP(IF('AS400 JEMBATAN'!$AB39&gt;='AS400 JEMBATAN'!$AA39,'AS400 JEMBATAN'!X39,$AB39/$V$4)+$AD39,0)</f>
        <v>#REF!</v>
      </c>
      <c r="Y39" s="304" t="e">
        <f>ROUNDUP(IF('AS400 JEMBATAN'!$AB39&gt;='AS400 JEMBATAN'!$AA39,'AS400 JEMBATAN'!Y39,$AB39/$V$4)+$AD39,0)</f>
        <v>#REF!</v>
      </c>
      <c r="Z39" s="304"/>
      <c r="AA39" s="304" t="e">
        <f>SUM(V39:V39)</f>
        <v>#REF!</v>
      </c>
      <c r="AB39" s="305" t="e">
        <f>'Qty &amp; UMH GUM'!X39</f>
        <v>#REF!</v>
      </c>
      <c r="AC39" s="304" t="e">
        <f>ROUNDUP((AB39-AA39)/$V$4,0)</f>
        <v>#REF!</v>
      </c>
      <c r="AD39" s="307">
        <v>0.0</v>
      </c>
      <c r="AE39" s="304" t="e">
        <f>ROUNDUP(IF('AS400 JEMBATAN'!$AK39&gt;='AS400 JEMBATAN'!$AJ39,'AS400 JEMBATAN'!AE39,$AK39/$AE$4)+$AM39,0)</f>
        <v>#REF!</v>
      </c>
      <c r="AF39" s="304" t="e">
        <f>ROUNDUP(IF('AS400 JEMBATAN'!$AK39&gt;='AS400 JEMBATAN'!$AJ39,'AS400 JEMBATAN'!AF39,$AK39/$AE$4)+$AM39,0)</f>
        <v>#REF!</v>
      </c>
      <c r="AG39" s="304" t="e">
        <f>ROUNDUP(IF('AS400 JEMBATAN'!$AK39&gt;='AS400 JEMBATAN'!$AJ39,'AS400 JEMBATAN'!AG39,$AK39/$AE$4)+$AM39,0)</f>
        <v>#REF!</v>
      </c>
      <c r="AH39" s="304" t="e">
        <f>ROUNDUP(IF('AS400 JEMBATAN'!$AK39&gt;='AS400 JEMBATAN'!$AJ39,'AS400 JEMBATAN'!AH39,$AK39/$AE$4)+$AM39,0)</f>
        <v>#REF!</v>
      </c>
      <c r="AI39" s="304"/>
      <c r="AJ39" s="304" t="e">
        <f>SUM(AE39:AE39)</f>
        <v>#REF!</v>
      </c>
      <c r="AK39" s="305" t="e">
        <f>'Qty &amp; UMH GUM'!AA39</f>
        <v>#REF!</v>
      </c>
      <c r="AL39" s="304" t="e">
        <f>ROUNDUP((AK39-AJ39)/$AE$4,0)</f>
        <v>#REF!</v>
      </c>
      <c r="AM39" s="409"/>
      <c r="AN39" s="308" t="e">
        <f>ROUNDUP(IF('AS400 JEMBATAN'!$AT39&gt;='AS400 JEMBATAN'!$AS39,'AS400 JEMBATAN'!AN39,$AT39/$AN$4)+$AV39,0)</f>
        <v>#REF!</v>
      </c>
      <c r="AO39" s="304" t="e">
        <f>ROUNDUP(IF('AS400 JEMBATAN'!$AT39&gt;='AS400 JEMBATAN'!$AS39,'AS400 JEMBATAN'!AO39,$AT39/$AN$4)+$AV39,0)</f>
        <v>#REF!</v>
      </c>
      <c r="AP39" s="304" t="e">
        <f>ROUNDUP(IF('AS400 JEMBATAN'!$AT39&gt;='AS400 JEMBATAN'!$AS39,'AS400 JEMBATAN'!AP39,$AT39/$AN$4)+$AV39,0)</f>
        <v>#REF!</v>
      </c>
      <c r="AQ39" s="304" t="e">
        <f>ROUNDUP(IF('AS400 JEMBATAN'!$AT39&gt;='AS400 JEMBATAN'!$AS39,'AS400 JEMBATAN'!AQ39,$AT39/$AN$4)+$AV39,0)</f>
        <v>#REF!</v>
      </c>
      <c r="AR39" s="304"/>
      <c r="AS39" s="304" t="e">
        <f>SUM(AN39:AN39)</f>
        <v>#REF!</v>
      </c>
      <c r="AT39" s="305" t="e">
        <f>'Qty &amp; UMH GUM'!AD39</f>
        <v>#REF!</v>
      </c>
      <c r="AU39" s="304" t="e">
        <f>ROUNDUP((AT39-AS39)/$AN$4,0)</f>
        <v>#REF!</v>
      </c>
      <c r="AV39" s="310"/>
    </row>
    <row r="40" spans="1:53" customHeight="1" ht="18.75">
      <c r="A40" s="445"/>
      <c r="B40" s="343" t="str">
        <f>'Qty &amp; UMH GUM'!C40</f>
        <v>82111-4DL71</v>
      </c>
      <c r="C40" s="303"/>
      <c r="D40" s="304" t="e">
        <f>ROUNDUP(IF('AS400 JEMBATAN'!$J40&gt;='AS400 JEMBATAN'!$I40,'AS400 JEMBATAN'!D40,$J40/$D$4)+$L40,0)</f>
        <v>#REF!</v>
      </c>
      <c r="E40" s="304" t="e">
        <f>ROUNDUP(IF('AS400 JEMBATAN'!$J40&gt;='AS400 JEMBATAN'!$I40,'AS400 JEMBATAN'!E40,$J40/$D$4)+$L40,0)</f>
        <v>#REF!</v>
      </c>
      <c r="F40" s="304" t="e">
        <f>ROUNDUP(IF('AS400 JEMBATAN'!$J40&gt;='AS400 JEMBATAN'!$I40,'AS400 JEMBATAN'!F40,$J40/$D$4)+$L40,0)</f>
        <v>#REF!</v>
      </c>
      <c r="G40" s="304" t="e">
        <f>ROUNDUP(IF('AS400 JEMBATAN'!$J40&gt;='AS400 JEMBATAN'!$I40,'AS400 JEMBATAN'!G40,$J40/$D$4)+$L40,0)</f>
        <v>#REF!</v>
      </c>
      <c r="H40" s="304" t="e">
        <f>ROUNDUP(IF('AS400 JEMBATAN'!$J40&gt;='AS400 JEMBATAN'!$I40,'AS400 JEMBATAN'!H40,$J40/$D$4)+$L40,0)</f>
        <v>#REF!</v>
      </c>
      <c r="I40" s="304" t="e">
        <f>SUM(D40:D40)</f>
        <v>#REF!</v>
      </c>
      <c r="J40" s="305" t="e">
        <f>'Qty &amp; UMH GUM'!R40</f>
        <v>#REF!</v>
      </c>
      <c r="K40" s="305" t="e">
        <f>ROUNDUP((J40-I40)/$D$4,0)</f>
        <v>#REF!</v>
      </c>
      <c r="L40" s="306">
        <v>0.0</v>
      </c>
      <c r="M40" s="304" t="e">
        <f>ROUNDUP(IF('AS400 JEMBATAN'!$S40&gt;='AS400 JEMBATAN'!$R40,'AS400 JEMBATAN'!M40,$S40/$M$4)+$U40,0)</f>
        <v>#REF!</v>
      </c>
      <c r="N40" s="304" t="e">
        <f>ROUNDUP(IF('AS400 JEMBATAN'!$S40&gt;='AS400 JEMBATAN'!$R40,'AS400 JEMBATAN'!N40,$S40/$M$4)+$U40,0)</f>
        <v>#REF!</v>
      </c>
      <c r="O40" s="304" t="e">
        <f>ROUNDUP(IF('AS400 JEMBATAN'!$S40&gt;='AS400 JEMBATAN'!$R40,'AS400 JEMBATAN'!O40,$S40/$M$4)+$U40,0)</f>
        <v>#REF!</v>
      </c>
      <c r="P40" s="304" t="e">
        <f>ROUNDUP(IF('AS400 JEMBATAN'!$S40&gt;='AS400 JEMBATAN'!$R40,'AS400 JEMBATAN'!P40,$S40/$M$4)+$U40,0)</f>
        <v>#REF!</v>
      </c>
      <c r="Q40" s="304"/>
      <c r="R40" s="304" t="e">
        <f>SUM(M40:M40)</f>
        <v>#REF!</v>
      </c>
      <c r="S40" s="305" t="e">
        <f>'Qty &amp; UMH GUM'!U40</f>
        <v>#REF!</v>
      </c>
      <c r="T40" s="305" t="e">
        <f>ROUNDUP((S40-R40)/$M$4,0)</f>
        <v>#REF!</v>
      </c>
      <c r="U40" s="307"/>
      <c r="V40" s="304" t="e">
        <f>ROUNDUP(IF('AS400 JEMBATAN'!$AB40&gt;='AS400 JEMBATAN'!$AA40,'AS400 JEMBATAN'!V40,$AB40/$V$4)+$AD40,0)</f>
        <v>#REF!</v>
      </c>
      <c r="W40" s="304" t="e">
        <f>ROUNDUP(IF('AS400 JEMBATAN'!$AB40&gt;='AS400 JEMBATAN'!$AA40,'AS400 JEMBATAN'!W40,$AB40/$V$4)+$AD40,0)</f>
        <v>#REF!</v>
      </c>
      <c r="X40" s="304" t="e">
        <f>ROUNDUP(IF('AS400 JEMBATAN'!$AB40&gt;='AS400 JEMBATAN'!$AA40,'AS400 JEMBATAN'!X40,$AB40/$V$4)+$AD40,0)</f>
        <v>#REF!</v>
      </c>
      <c r="Y40" s="420" t="e">
        <f>ROUNDUP(IF('AS400 JEMBATAN'!$AB40&gt;='AS400 JEMBATAN'!$AA40,'AS400 JEMBATAN'!Y40,$AB40/$V$4)+$AD40,0)</f>
        <v>#REF!</v>
      </c>
      <c r="Z40" s="420"/>
      <c r="AA40" s="304" t="e">
        <f>SUM(V40:V40)</f>
        <v>#REF!</v>
      </c>
      <c r="AB40" s="305" t="e">
        <f>'Qty &amp; UMH GUM'!X40</f>
        <v>#REF!</v>
      </c>
      <c r="AC40" s="304" t="e">
        <f>ROUNDUP((AB40-AA40)/$V$4,0)</f>
        <v>#REF!</v>
      </c>
      <c r="AD40" s="307">
        <v>0.0</v>
      </c>
      <c r="AE40" s="304" t="e">
        <f>ROUNDUP(IF('AS400 JEMBATAN'!$AK40&gt;='AS400 JEMBATAN'!$AJ40,'AS400 JEMBATAN'!AE40,$AK40/$AE$4)+$AM40,0)</f>
        <v>#REF!</v>
      </c>
      <c r="AF40" s="304" t="e">
        <f>ROUNDUP(IF('AS400 JEMBATAN'!$AK40&gt;='AS400 JEMBATAN'!$AJ40,'AS400 JEMBATAN'!AF40,$AK40/$AE$4)+$AM40,0)</f>
        <v>#REF!</v>
      </c>
      <c r="AG40" s="304" t="e">
        <f>ROUNDUP(IF('AS400 JEMBATAN'!$AK40&gt;='AS400 JEMBATAN'!$AJ40,'AS400 JEMBATAN'!AG40,$AK40/$AE$4)+$AM40,0)</f>
        <v>#REF!</v>
      </c>
      <c r="AH40" s="304" t="e">
        <f>ROUNDUP(IF('AS400 JEMBATAN'!$AK40&gt;='AS400 JEMBATAN'!$AJ40,'AS400 JEMBATAN'!AH40,$AK40/$AE$4)+$AM40,0)</f>
        <v>#REF!</v>
      </c>
      <c r="AI40" s="304"/>
      <c r="AJ40" s="304" t="e">
        <f>SUM(AE40:AE40)</f>
        <v>#REF!</v>
      </c>
      <c r="AK40" s="305" t="e">
        <f>'Qty &amp; UMH GUM'!AA40</f>
        <v>#REF!</v>
      </c>
      <c r="AL40" s="304" t="e">
        <f>ROUNDUP((AK40-AJ40)/$AE$4,0)</f>
        <v>#REF!</v>
      </c>
      <c r="AM40" s="409"/>
      <c r="AN40" s="308" t="e">
        <f>ROUNDUP(IF('AS400 JEMBATAN'!$AT40&gt;='AS400 JEMBATAN'!$AS40,'AS400 JEMBATAN'!AN40,$AT40/$AN$4)+$AV40,0)</f>
        <v>#REF!</v>
      </c>
      <c r="AO40" s="304" t="e">
        <f>ROUNDUP(IF('AS400 JEMBATAN'!$AT40&gt;='AS400 JEMBATAN'!$AS40,'AS400 JEMBATAN'!AO40,$AT40/$AN$4)+$AV40,0)</f>
        <v>#REF!</v>
      </c>
      <c r="AP40" s="304" t="e">
        <f>ROUNDUP(IF('AS400 JEMBATAN'!$AT40&gt;='AS400 JEMBATAN'!$AS40,'AS400 JEMBATAN'!AP40,$AT40/$AN$4)+$AV40,0)</f>
        <v>#REF!</v>
      </c>
      <c r="AQ40" s="304" t="e">
        <f>ROUNDUP(IF('AS400 JEMBATAN'!$AT40&gt;='AS400 JEMBATAN'!$AS40,'AS400 JEMBATAN'!AQ40,$AT40/$AN$4)+$AV40,0)</f>
        <v>#REF!</v>
      </c>
      <c r="AR40" s="304"/>
      <c r="AS40" s="304" t="e">
        <f>SUM(AN40:AN40)</f>
        <v>#REF!</v>
      </c>
      <c r="AT40" s="305" t="e">
        <f>'Qty &amp; UMH GUM'!AD40</f>
        <v>#REF!</v>
      </c>
      <c r="AU40" s="304" t="e">
        <f>ROUNDUP((AT40-AS40)/$AN$4,0)</f>
        <v>#REF!</v>
      </c>
      <c r="AV40" s="310"/>
      <c r="AW40" s="101"/>
      <c r="AY40" s="101"/>
    </row>
    <row r="41" spans="1:53" customHeight="1" ht="18.75">
      <c r="A41" s="445"/>
      <c r="B41" s="343" t="str">
        <f>'Qty &amp; UMH GUM'!C41</f>
        <v>82111-4DL81</v>
      </c>
      <c r="C41" s="303"/>
      <c r="D41" s="304" t="e">
        <f>ROUNDUP(IF('AS400 JEMBATAN'!$J41&gt;='AS400 JEMBATAN'!$I41,'AS400 JEMBATAN'!D41,$J41/$D$4)+$L41,0)</f>
        <v>#REF!</v>
      </c>
      <c r="E41" s="304" t="e">
        <f>ROUNDUP(IF('AS400 JEMBATAN'!$J41&gt;='AS400 JEMBATAN'!$I41,'AS400 JEMBATAN'!E41,$J41/$D$4)+$L41,0)</f>
        <v>#REF!</v>
      </c>
      <c r="F41" s="304" t="e">
        <f>ROUNDUP(IF('AS400 JEMBATAN'!$J41&gt;='AS400 JEMBATAN'!$I41,'AS400 JEMBATAN'!F41,$J41/$D$4)+$L41,0)</f>
        <v>#REF!</v>
      </c>
      <c r="G41" s="304" t="e">
        <f>ROUNDUP(IF('AS400 JEMBATAN'!$J41&gt;='AS400 JEMBATAN'!$I41,'AS400 JEMBATAN'!G41,$J41/$D$4)+$L41,0)</f>
        <v>#REF!</v>
      </c>
      <c r="H41" s="304" t="e">
        <f>ROUNDUP(IF('AS400 JEMBATAN'!$J41&gt;='AS400 JEMBATAN'!$I41,'AS400 JEMBATAN'!H41,$J41/$D$4)+$L41,0)</f>
        <v>#REF!</v>
      </c>
      <c r="I41" s="304" t="e">
        <f>SUM(D41:D41)</f>
        <v>#REF!</v>
      </c>
      <c r="J41" s="305" t="e">
        <f>'Qty &amp; UMH GUM'!R41</f>
        <v>#REF!</v>
      </c>
      <c r="K41" s="305" t="e">
        <f>ROUNDUP((J41-I41)/$D$4,0)</f>
        <v>#REF!</v>
      </c>
      <c r="L41" s="306">
        <v>0.0</v>
      </c>
      <c r="M41" s="304" t="e">
        <f>ROUNDUP(IF('AS400 JEMBATAN'!$S41&gt;='AS400 JEMBATAN'!$R41,'AS400 JEMBATAN'!M41,$S41/$M$4)+$U41,0)</f>
        <v>#REF!</v>
      </c>
      <c r="N41" s="304" t="e">
        <f>ROUNDUP(IF('AS400 JEMBATAN'!$S41&gt;='AS400 JEMBATAN'!$R41,'AS400 JEMBATAN'!N41,$S41/$M$4)+$U41,0)</f>
        <v>#REF!</v>
      </c>
      <c r="O41" s="304" t="e">
        <f>ROUNDUP(IF('AS400 JEMBATAN'!$S41&gt;='AS400 JEMBATAN'!$R41,'AS400 JEMBATAN'!O41,$S41/$M$4)+$U41,0)</f>
        <v>#REF!</v>
      </c>
      <c r="P41" s="304" t="e">
        <f>ROUNDUP(IF('AS400 JEMBATAN'!$S41&gt;='AS400 JEMBATAN'!$R41,'AS400 JEMBATAN'!P41,$S41/$M$4)+$U41,0)</f>
        <v>#REF!</v>
      </c>
      <c r="Q41" s="304"/>
      <c r="R41" s="304" t="e">
        <f>SUM(M41:M41)</f>
        <v>#REF!</v>
      </c>
      <c r="S41" s="305" t="e">
        <f>'Qty &amp; UMH GUM'!U41</f>
        <v>#REF!</v>
      </c>
      <c r="T41" s="305" t="e">
        <f>ROUNDUP((S41-R41)/$M$4,0)</f>
        <v>#REF!</v>
      </c>
      <c r="U41" s="352"/>
      <c r="V41" s="304" t="e">
        <f>ROUNDUP(IF('AS400 JEMBATAN'!$AB41&gt;='AS400 JEMBATAN'!$AA41,'AS400 JEMBATAN'!V41,$AB41/$V$4)+$AD41,0)</f>
        <v>#REF!</v>
      </c>
      <c r="W41" s="304" t="e">
        <f>ROUNDUP(IF('AS400 JEMBATAN'!$AB41&gt;='AS400 JEMBATAN'!$AA41,'AS400 JEMBATAN'!W41,$AB41/$V$4)+$AD41,0)</f>
        <v>#REF!</v>
      </c>
      <c r="X41" s="304" t="e">
        <f>ROUNDUP(IF('AS400 JEMBATAN'!$AB41&gt;='AS400 JEMBATAN'!$AA41,'AS400 JEMBATAN'!X41,$AB41/$V$4)+$AD41,0)</f>
        <v>#REF!</v>
      </c>
      <c r="Y41" s="304" t="e">
        <f>ROUNDUP(IF('AS400 JEMBATAN'!$AB41&gt;='AS400 JEMBATAN'!$AA41,'AS400 JEMBATAN'!Y41,$AB41/$V$4)+$AD41,0)</f>
        <v>#REF!</v>
      </c>
      <c r="Z41" s="304"/>
      <c r="AA41" s="304" t="e">
        <f>SUM(V41:V41)</f>
        <v>#REF!</v>
      </c>
      <c r="AB41" s="305" t="e">
        <f>'Qty &amp; UMH GUM'!X41</f>
        <v>#REF!</v>
      </c>
      <c r="AC41" s="304" t="e">
        <f>ROUNDUP((AB41-AA41)/$V$4,0)</f>
        <v>#REF!</v>
      </c>
      <c r="AD41" s="307">
        <v>0.0</v>
      </c>
      <c r="AE41" s="304" t="e">
        <f>ROUNDUP(IF('AS400 JEMBATAN'!$AK41&gt;='AS400 JEMBATAN'!$AJ41,'AS400 JEMBATAN'!AE41,$AK41/$AE$4)+$AM41,0)</f>
        <v>#REF!</v>
      </c>
      <c r="AF41" s="304" t="e">
        <f>ROUNDUP(IF('AS400 JEMBATAN'!$AK41&gt;='AS400 JEMBATAN'!$AJ41,'AS400 JEMBATAN'!AF41,$AK41/$AE$4)+$AM41,0)</f>
        <v>#REF!</v>
      </c>
      <c r="AG41" s="304" t="e">
        <f>ROUNDUP(IF('AS400 JEMBATAN'!$AK41&gt;='AS400 JEMBATAN'!$AJ41,'AS400 JEMBATAN'!AG41,$AK41/$AE$4)+$AM41,0)</f>
        <v>#REF!</v>
      </c>
      <c r="AH41" s="304" t="e">
        <f>ROUNDUP(IF('AS400 JEMBATAN'!$AK41&gt;='AS400 JEMBATAN'!$AJ41,'AS400 JEMBATAN'!AH41,$AK41/$AE$4)+$AM41,0)</f>
        <v>#REF!</v>
      </c>
      <c r="AI41" s="304"/>
      <c r="AJ41" s="304" t="e">
        <f>SUM(AE41:AE41)</f>
        <v>#REF!</v>
      </c>
      <c r="AK41" s="305" t="e">
        <f>'Qty &amp; UMH GUM'!AA41</f>
        <v>#REF!</v>
      </c>
      <c r="AL41" s="304" t="e">
        <f>ROUNDUP((AK41-AJ41)/$AE$4,0)</f>
        <v>#REF!</v>
      </c>
      <c r="AM41" s="409"/>
      <c r="AN41" s="308" t="e">
        <f>ROUNDUP(IF('AS400 JEMBATAN'!$AT41&gt;='AS400 JEMBATAN'!$AS41,'AS400 JEMBATAN'!AN41,$AT41/$AN$4)+$AV41,0)</f>
        <v>#REF!</v>
      </c>
      <c r="AO41" s="304" t="e">
        <f>ROUNDUP(IF('AS400 JEMBATAN'!$AT41&gt;='AS400 JEMBATAN'!$AS41,'AS400 JEMBATAN'!AO41,$AT41/$AN$4)+$AV41,0)</f>
        <v>#REF!</v>
      </c>
      <c r="AP41" s="304" t="e">
        <f>ROUNDUP(IF('AS400 JEMBATAN'!$AT41&gt;='AS400 JEMBATAN'!$AS41,'AS400 JEMBATAN'!AP41,$AT41/$AN$4)+$AV41,0)</f>
        <v>#REF!</v>
      </c>
      <c r="AQ41" s="304" t="e">
        <f>ROUNDUP(IF('AS400 JEMBATAN'!$AT41&gt;='AS400 JEMBATAN'!$AS41,'AS400 JEMBATAN'!AQ41,$AT41/$AN$4)+$AV41,0)</f>
        <v>#REF!</v>
      </c>
      <c r="AR41" s="304"/>
      <c r="AS41" s="304" t="e">
        <f>SUM(AN41:AN41)</f>
        <v>#REF!</v>
      </c>
      <c r="AT41" s="305" t="e">
        <f>'Qty &amp; UMH GUM'!AD41</f>
        <v>#REF!</v>
      </c>
      <c r="AU41" s="304" t="e">
        <f>ROUNDUP((AT41-AS41)/$AN$4,0)</f>
        <v>#REF!</v>
      </c>
      <c r="AV41" s="310"/>
      <c r="AY41" s="101"/>
    </row>
    <row r="42" spans="1:53" customHeight="1" ht="18.75">
      <c r="A42" s="445"/>
      <c r="B42" s="343" t="str">
        <f>'Qty &amp; UMH GUM'!C42</f>
        <v>82111-4DL91</v>
      </c>
      <c r="C42" s="303"/>
      <c r="D42" s="304" t="e">
        <f>ROUNDUP(IF('AS400 JEMBATAN'!$J42&gt;='AS400 JEMBATAN'!$I42,'AS400 JEMBATAN'!D42,$J42/$D$4)+$L42,0)</f>
        <v>#REF!</v>
      </c>
      <c r="E42" s="304" t="e">
        <f>ROUNDUP(IF('AS400 JEMBATAN'!$J42&gt;='AS400 JEMBATAN'!$I42,'AS400 JEMBATAN'!E42,$J42/$D$4)+$L42,0)</f>
        <v>#REF!</v>
      </c>
      <c r="F42" s="304" t="e">
        <f>ROUNDUP(IF('AS400 JEMBATAN'!$J42&gt;='AS400 JEMBATAN'!$I42,'AS400 JEMBATAN'!F42,$J42/$D$4)+$L42,0)</f>
        <v>#REF!</v>
      </c>
      <c r="G42" s="304" t="e">
        <f>ROUNDUP(IF('AS400 JEMBATAN'!$J42&gt;='AS400 JEMBATAN'!$I42,'AS400 JEMBATAN'!G42,$J42/$D$4)+$L42,0)</f>
        <v>#REF!</v>
      </c>
      <c r="H42" s="304" t="e">
        <f>ROUNDUP(IF('AS400 JEMBATAN'!$J42&gt;='AS400 JEMBATAN'!$I42,'AS400 JEMBATAN'!H42,$J42/$D$4)+$L42,0)</f>
        <v>#REF!</v>
      </c>
      <c r="I42" s="304" t="e">
        <f>SUM(D42:D42)</f>
        <v>#REF!</v>
      </c>
      <c r="J42" s="305" t="e">
        <f>'Qty &amp; UMH GUM'!R42</f>
        <v>#REF!</v>
      </c>
      <c r="K42" s="305" t="e">
        <f>ROUNDUP((J42-I42)/$D$4,0)</f>
        <v>#REF!</v>
      </c>
      <c r="L42" s="306">
        <v>0.0</v>
      </c>
      <c r="M42" s="304" t="e">
        <f>ROUNDUP(IF('AS400 JEMBATAN'!$S42&gt;='AS400 JEMBATAN'!$R42,'AS400 JEMBATAN'!M42,$S42/$M$4)+$U42,0)</f>
        <v>#REF!</v>
      </c>
      <c r="N42" s="304" t="e">
        <f>ROUNDUP(IF('AS400 JEMBATAN'!$S42&gt;='AS400 JEMBATAN'!$R42,'AS400 JEMBATAN'!N42,$S42/$M$4)+$U42,0)</f>
        <v>#REF!</v>
      </c>
      <c r="O42" s="304" t="e">
        <f>ROUNDUP(IF('AS400 JEMBATAN'!$S42&gt;='AS400 JEMBATAN'!$R42,'AS400 JEMBATAN'!O42,$S42/$M$4)+$U42,0)</f>
        <v>#REF!</v>
      </c>
      <c r="P42" s="304" t="e">
        <f>ROUNDUP(IF('AS400 JEMBATAN'!$S42&gt;='AS400 JEMBATAN'!$R42,'AS400 JEMBATAN'!P42,$S42/$M$4)+$U42,0)</f>
        <v>#REF!</v>
      </c>
      <c r="Q42" s="304"/>
      <c r="R42" s="304" t="e">
        <f>SUM(M42:M42)</f>
        <v>#REF!</v>
      </c>
      <c r="S42" s="305" t="e">
        <f>'Qty &amp; UMH GUM'!U42</f>
        <v>#REF!</v>
      </c>
      <c r="T42" s="305" t="e">
        <f>ROUNDUP((S42-R42)/$M$4,0)</f>
        <v>#REF!</v>
      </c>
      <c r="U42" s="307"/>
      <c r="V42" s="304" t="e">
        <f>ROUNDUP(IF('AS400 JEMBATAN'!$AB42&gt;='AS400 JEMBATAN'!$AA42,'AS400 JEMBATAN'!V42,$AB42/$V$4)+$AD42,0)</f>
        <v>#REF!</v>
      </c>
      <c r="W42" s="304" t="e">
        <f>ROUNDUP(IF('AS400 JEMBATAN'!$AB42&gt;='AS400 JEMBATAN'!$AA42,'AS400 JEMBATAN'!W42,$AB42/$V$4)+$AD42,0)</f>
        <v>#REF!</v>
      </c>
      <c r="X42" s="304" t="e">
        <f>ROUNDUP(IF('AS400 JEMBATAN'!$AB42&gt;='AS400 JEMBATAN'!$AA42,'AS400 JEMBATAN'!X42,$AB42/$V$4)+$AD42,0)</f>
        <v>#REF!</v>
      </c>
      <c r="Y42" s="304" t="e">
        <f>ROUNDUP(IF('AS400 JEMBATAN'!$AB42&gt;='AS400 JEMBATAN'!$AA42,'AS400 JEMBATAN'!Y42,$AB42/$V$4)+$AD42,0)</f>
        <v>#REF!</v>
      </c>
      <c r="Z42" s="304"/>
      <c r="AA42" s="304" t="e">
        <f>SUM(V42:V42)</f>
        <v>#REF!</v>
      </c>
      <c r="AB42" s="305" t="e">
        <f>'Qty &amp; UMH GUM'!X42</f>
        <v>#REF!</v>
      </c>
      <c r="AC42" s="304" t="e">
        <f>ROUNDUP((AB42-AA42)/$V$4,0)</f>
        <v>#REF!</v>
      </c>
      <c r="AD42" s="307">
        <v>0.0</v>
      </c>
      <c r="AE42" s="304" t="e">
        <f>ROUNDUP(IF('AS400 JEMBATAN'!$AK42&gt;='AS400 JEMBATAN'!$AJ42,'AS400 JEMBATAN'!AE42,$AK42/$AE$4)+$AM42,0)</f>
        <v>#REF!</v>
      </c>
      <c r="AF42" s="304" t="e">
        <f>ROUNDUP(IF('AS400 JEMBATAN'!$AK42&gt;='AS400 JEMBATAN'!$AJ42,'AS400 JEMBATAN'!AF42,$AK42/$AE$4)+$AM42,0)</f>
        <v>#REF!</v>
      </c>
      <c r="AG42" s="304" t="e">
        <f>ROUNDUP(IF('AS400 JEMBATAN'!$AK42&gt;='AS400 JEMBATAN'!$AJ42,'AS400 JEMBATAN'!AG42,$AK42/$AE$4)+$AM42,0)</f>
        <v>#REF!</v>
      </c>
      <c r="AH42" s="304" t="e">
        <f>ROUNDUP(IF('AS400 JEMBATAN'!$AK42&gt;='AS400 JEMBATAN'!$AJ42,'AS400 JEMBATAN'!AH42,$AK42/$AE$4)+$AM42,0)</f>
        <v>#REF!</v>
      </c>
      <c r="AI42" s="304"/>
      <c r="AJ42" s="304" t="e">
        <f>SUM(AE42:AE42)</f>
        <v>#REF!</v>
      </c>
      <c r="AK42" s="305" t="e">
        <f>'Qty &amp; UMH GUM'!AA42</f>
        <v>#REF!</v>
      </c>
      <c r="AL42" s="304" t="e">
        <f>ROUNDUP((AK42-AJ42)/$AE$4,0)</f>
        <v>#REF!</v>
      </c>
      <c r="AM42" s="409"/>
      <c r="AN42" s="308" t="e">
        <f>ROUNDUP(IF('AS400 JEMBATAN'!$AT42&gt;='AS400 JEMBATAN'!$AS42,'AS400 JEMBATAN'!AN42,$AT42/$AN$4)+$AV42,0)</f>
        <v>#REF!</v>
      </c>
      <c r="AO42" s="304" t="e">
        <f>ROUNDUP(IF('AS400 JEMBATAN'!$AT42&gt;='AS400 JEMBATAN'!$AS42,'AS400 JEMBATAN'!AO42,$AT42/$AN$4)+$AV42,0)</f>
        <v>#REF!</v>
      </c>
      <c r="AP42" s="304" t="e">
        <f>ROUNDUP(IF('AS400 JEMBATAN'!$AT42&gt;='AS400 JEMBATAN'!$AS42,'AS400 JEMBATAN'!AP42,$AT42/$AN$4)+$AV42,0)</f>
        <v>#REF!</v>
      </c>
      <c r="AQ42" s="304" t="e">
        <f>ROUNDUP(IF('AS400 JEMBATAN'!$AT42&gt;='AS400 JEMBATAN'!$AS42,'AS400 JEMBATAN'!AQ42,$AT42/$AN$4)+$AV42,0)</f>
        <v>#REF!</v>
      </c>
      <c r="AR42" s="304"/>
      <c r="AS42" s="304" t="e">
        <f>SUM(AN42:AN42)</f>
        <v>#REF!</v>
      </c>
      <c r="AT42" s="305" t="e">
        <f>'Qty &amp; UMH GUM'!AD42</f>
        <v>#REF!</v>
      </c>
      <c r="AU42" s="304" t="e">
        <f>ROUNDUP((AT42-AS42)/$AN$4,0)</f>
        <v>#REF!</v>
      </c>
      <c r="AV42" s="310"/>
      <c r="AY42" s="101"/>
    </row>
    <row r="43" spans="1:53" customHeight="1" ht="18.75">
      <c r="A43" s="445"/>
      <c r="B43" s="343" t="str">
        <f>'Qty &amp; UMH GUM'!C43</f>
        <v>82111-4DM01</v>
      </c>
      <c r="C43" s="281"/>
      <c r="D43" s="304" t="e">
        <f>ROUNDUP(IF('AS400 JEMBATAN'!$J43&gt;='AS400 JEMBATAN'!$I43,'AS400 JEMBATAN'!D43,$J43/$D$4)+$L43,0)</f>
        <v>#REF!</v>
      </c>
      <c r="E43" s="304" t="e">
        <f>ROUNDUP(IF('AS400 JEMBATAN'!$J43&gt;='AS400 JEMBATAN'!$I43,'AS400 JEMBATAN'!E43,$J43/$D$4)+$L43,0)</f>
        <v>#REF!</v>
      </c>
      <c r="F43" s="304" t="e">
        <f>ROUNDUP(IF('AS400 JEMBATAN'!$J43&gt;='AS400 JEMBATAN'!$I43,'AS400 JEMBATAN'!F43,$J43/$D$4)+$L43,0)</f>
        <v>#REF!</v>
      </c>
      <c r="G43" s="304" t="e">
        <f>ROUNDUP(IF('AS400 JEMBATAN'!$J43&gt;='AS400 JEMBATAN'!$I43,'AS400 JEMBATAN'!G43,$J43/$D$4)+$L43,0)</f>
        <v>#REF!</v>
      </c>
      <c r="H43" s="304" t="e">
        <f>ROUNDUP(IF('AS400 JEMBATAN'!$J43&gt;='AS400 JEMBATAN'!$I43,'AS400 JEMBATAN'!H43,$J43/$D$4)+$L43,0)</f>
        <v>#REF!</v>
      </c>
      <c r="I43" s="304" t="e">
        <f>SUM(D43:D43)</f>
        <v>#REF!</v>
      </c>
      <c r="J43" s="305" t="e">
        <f>'Qty &amp; UMH GUM'!R43</f>
        <v>#REF!</v>
      </c>
      <c r="K43" s="305" t="e">
        <f>ROUNDUP((J43-I43)/$D$4,0)</f>
        <v>#REF!</v>
      </c>
      <c r="L43" s="306">
        <v>0.0</v>
      </c>
      <c r="M43" s="304" t="e">
        <f>ROUNDUP(IF('AS400 JEMBATAN'!$S43&gt;='AS400 JEMBATAN'!$R43,'AS400 JEMBATAN'!M43,$S43/$M$4)+$U43,0)</f>
        <v>#REF!</v>
      </c>
      <c r="N43" s="304" t="e">
        <f>ROUNDUP(IF('AS400 JEMBATAN'!$S43&gt;='AS400 JEMBATAN'!$R43,'AS400 JEMBATAN'!N43,$S43/$M$4)+$U43,0)</f>
        <v>#REF!</v>
      </c>
      <c r="O43" s="304" t="e">
        <f>ROUNDUP(IF('AS400 JEMBATAN'!$S43&gt;='AS400 JEMBATAN'!$R43,'AS400 JEMBATAN'!O43,$S43/$M$4)+$U43,0)</f>
        <v>#REF!</v>
      </c>
      <c r="P43" s="304" t="e">
        <f>ROUNDUP(IF('AS400 JEMBATAN'!$S43&gt;='AS400 JEMBATAN'!$R43,'AS400 JEMBATAN'!P43,$S43/$M$4)+$U43,0)</f>
        <v>#REF!</v>
      </c>
      <c r="Q43" s="304"/>
      <c r="R43" s="304" t="e">
        <f>SUM(M43:M43)</f>
        <v>#REF!</v>
      </c>
      <c r="S43" s="305" t="e">
        <f>'Qty &amp; UMH GUM'!U43</f>
        <v>#REF!</v>
      </c>
      <c r="T43" s="305" t="e">
        <f>ROUNDUP((S43-R43)/$M$4,0)</f>
        <v>#REF!</v>
      </c>
      <c r="U43" s="307"/>
      <c r="V43" s="304" t="e">
        <f>ROUNDUP(IF('AS400 JEMBATAN'!$AB43&gt;='AS400 JEMBATAN'!$AA43,'AS400 JEMBATAN'!V43,$AB43/$V$4)+$AD43,0)</f>
        <v>#REF!</v>
      </c>
      <c r="W43" s="304" t="e">
        <f>ROUNDUP(IF('AS400 JEMBATAN'!$AB43&gt;='AS400 JEMBATAN'!$AA43,'AS400 JEMBATAN'!W43,$AB43/$V$4)+$AD43,0)</f>
        <v>#REF!</v>
      </c>
      <c r="X43" s="304" t="e">
        <f>ROUNDUP(IF('AS400 JEMBATAN'!$AB43&gt;='AS400 JEMBATAN'!$AA43,'AS400 JEMBATAN'!X43,$AB43/$V$4)+$AD43,0)</f>
        <v>#REF!</v>
      </c>
      <c r="Y43" s="304" t="e">
        <f>ROUNDUP(IF('AS400 JEMBATAN'!$AB43&gt;='AS400 JEMBATAN'!$AA43,'AS400 JEMBATAN'!Y43,$AB43/$V$4)+$AD43,0)</f>
        <v>#REF!</v>
      </c>
      <c r="Z43" s="304"/>
      <c r="AA43" s="304" t="e">
        <f>SUM(V43:V43)</f>
        <v>#REF!</v>
      </c>
      <c r="AB43" s="305" t="e">
        <f>'Qty &amp; UMH GUM'!X43</f>
        <v>#REF!</v>
      </c>
      <c r="AC43" s="304" t="e">
        <f>ROUNDUP((AB43-AA43)/$V$4,0)</f>
        <v>#REF!</v>
      </c>
      <c r="AD43" s="307">
        <v>0.0</v>
      </c>
      <c r="AE43" s="304" t="e">
        <f>ROUNDUP(IF('AS400 JEMBATAN'!$AK43&gt;='AS400 JEMBATAN'!$AJ43,'AS400 JEMBATAN'!AE43,$AK43/$AE$4)+$AM43,0)</f>
        <v>#REF!</v>
      </c>
      <c r="AF43" s="304" t="e">
        <f>ROUNDUP(IF('AS400 JEMBATAN'!$AK43&gt;='AS400 JEMBATAN'!$AJ43,'AS400 JEMBATAN'!AF43,$AK43/$AE$4)+$AM43,0)</f>
        <v>#REF!</v>
      </c>
      <c r="AG43" s="304" t="e">
        <f>ROUNDUP(IF('AS400 JEMBATAN'!$AK43&gt;='AS400 JEMBATAN'!$AJ43,'AS400 JEMBATAN'!AG43,$AK43/$AE$4)+$AM43,0)</f>
        <v>#REF!</v>
      </c>
      <c r="AH43" s="304" t="e">
        <f>ROUNDUP(IF('AS400 JEMBATAN'!$AK43&gt;='AS400 JEMBATAN'!$AJ43,'AS400 JEMBATAN'!AH43,$AK43/$AE$4)+$AM43,0)</f>
        <v>#REF!</v>
      </c>
      <c r="AI43" s="304"/>
      <c r="AJ43" s="304" t="e">
        <f>SUM(AE43:AE43)</f>
        <v>#REF!</v>
      </c>
      <c r="AK43" s="305" t="e">
        <f>'Qty &amp; UMH GUM'!AA43</f>
        <v>#REF!</v>
      </c>
      <c r="AL43" s="304" t="e">
        <f>ROUNDUP((AK43-AJ43)/$AE$4,0)</f>
        <v>#REF!</v>
      </c>
      <c r="AM43" s="409"/>
      <c r="AN43" s="308" t="e">
        <f>ROUNDUP(IF('AS400 JEMBATAN'!$AT43&gt;='AS400 JEMBATAN'!$AS43,'AS400 JEMBATAN'!AN43,$AT43/$AN$4)+$AV43,0)</f>
        <v>#REF!</v>
      </c>
      <c r="AO43" s="304" t="e">
        <f>ROUNDUP(IF('AS400 JEMBATAN'!$AT43&gt;='AS400 JEMBATAN'!$AS43,'AS400 JEMBATAN'!AO43,$AT43/$AN$4)+$AV43,0)</f>
        <v>#REF!</v>
      </c>
      <c r="AP43" s="304" t="e">
        <f>ROUNDUP(IF('AS400 JEMBATAN'!$AT43&gt;='AS400 JEMBATAN'!$AS43,'AS400 JEMBATAN'!AP43,$AT43/$AN$4)+$AV43,0)</f>
        <v>#REF!</v>
      </c>
      <c r="AQ43" s="304" t="e">
        <f>ROUNDUP(IF('AS400 JEMBATAN'!$AT43&gt;='AS400 JEMBATAN'!$AS43,'AS400 JEMBATAN'!AQ43,$AT43/$AN$4)+$AV43,0)</f>
        <v>#REF!</v>
      </c>
      <c r="AR43" s="304"/>
      <c r="AS43" s="304" t="e">
        <f>SUM(AN43:AN43)</f>
        <v>#REF!</v>
      </c>
      <c r="AT43" s="305" t="e">
        <f>'Qty &amp; UMH GUM'!AD43</f>
        <v>#REF!</v>
      </c>
      <c r="AU43" s="304" t="e">
        <f>ROUNDUP((AT43-AS43)/$AN$4,0)</f>
        <v>#REF!</v>
      </c>
      <c r="AV43" s="311"/>
    </row>
    <row r="44" spans="1:53" customHeight="1" ht="18.75">
      <c r="A44" s="445"/>
      <c r="B44" s="343" t="str">
        <f>'Qty &amp; UMH GUM'!C44</f>
        <v>82111-4DM11</v>
      </c>
      <c r="C44" s="281"/>
      <c r="D44" s="304" t="e">
        <f>ROUNDUP(IF('AS400 JEMBATAN'!$J44&gt;='AS400 JEMBATAN'!$I44,'AS400 JEMBATAN'!D44,$J44/$D$4)+$L44,0)</f>
        <v>#REF!</v>
      </c>
      <c r="E44" s="304" t="e">
        <f>ROUNDUP(IF('AS400 JEMBATAN'!$J44&gt;='AS400 JEMBATAN'!$I44,'AS400 JEMBATAN'!E44,$J44/$D$4)+$L44,0)</f>
        <v>#REF!</v>
      </c>
      <c r="F44" s="304" t="e">
        <f>ROUNDUP(IF('AS400 JEMBATAN'!$J44&gt;='AS400 JEMBATAN'!$I44,'AS400 JEMBATAN'!F44,$J44/$D$4)+$L44,0)</f>
        <v>#REF!</v>
      </c>
      <c r="G44" s="304" t="e">
        <f>ROUNDUP(IF('AS400 JEMBATAN'!$J44&gt;='AS400 JEMBATAN'!$I44,'AS400 JEMBATAN'!G44,$J44/$D$4)+$L44,0)</f>
        <v>#REF!</v>
      </c>
      <c r="H44" s="304" t="e">
        <f>ROUNDUP(IF('AS400 JEMBATAN'!$J44&gt;='AS400 JEMBATAN'!$I44,'AS400 JEMBATAN'!H44,$J44/$D$4)+$L44,0)</f>
        <v>#REF!</v>
      </c>
      <c r="I44" s="304" t="e">
        <f>SUM(D44:D44)</f>
        <v>#REF!</v>
      </c>
      <c r="J44" s="305" t="e">
        <f>'Qty &amp; UMH GUM'!R44</f>
        <v>#REF!</v>
      </c>
      <c r="K44" s="305" t="e">
        <f>ROUNDUP((J44-I44)/$D$4,0)</f>
        <v>#REF!</v>
      </c>
      <c r="L44" s="306">
        <v>0.0</v>
      </c>
      <c r="M44" s="304" t="e">
        <f>ROUNDUP(IF('AS400 JEMBATAN'!$S44&gt;='AS400 JEMBATAN'!$R44,'AS400 JEMBATAN'!M44,$S44/$M$4)+$U44,0)</f>
        <v>#REF!</v>
      </c>
      <c r="N44" s="304" t="e">
        <f>ROUNDUP(IF('AS400 JEMBATAN'!$S44&gt;='AS400 JEMBATAN'!$R44,'AS400 JEMBATAN'!N44,$S44/$M$4)+$U44,0)</f>
        <v>#REF!</v>
      </c>
      <c r="O44" s="304" t="e">
        <f>ROUNDUP(IF('AS400 JEMBATAN'!$S44&gt;='AS400 JEMBATAN'!$R44,'AS400 JEMBATAN'!O44,$S44/$M$4)+$U44,0)</f>
        <v>#REF!</v>
      </c>
      <c r="P44" s="304" t="e">
        <f>ROUNDUP(IF('AS400 JEMBATAN'!$S44&gt;='AS400 JEMBATAN'!$R44,'AS400 JEMBATAN'!P44,$S44/$M$4)+$U44,0)</f>
        <v>#REF!</v>
      </c>
      <c r="Q44" s="304"/>
      <c r="R44" s="304" t="e">
        <f>SUM(M44:M44)</f>
        <v>#REF!</v>
      </c>
      <c r="S44" s="305" t="e">
        <f>'Qty &amp; UMH GUM'!U44</f>
        <v>#REF!</v>
      </c>
      <c r="T44" s="305" t="e">
        <f>ROUNDUP((S44-R44)/$M$4,0)</f>
        <v>#REF!</v>
      </c>
      <c r="U44" s="307"/>
      <c r="V44" s="304" t="e">
        <f>ROUNDUP(IF('AS400 JEMBATAN'!$AB44&gt;='AS400 JEMBATAN'!$AA44,'AS400 JEMBATAN'!V44,$AB44/$V$4)+$AD44,0)</f>
        <v>#REF!</v>
      </c>
      <c r="W44" s="304" t="e">
        <f>ROUNDUP(IF('AS400 JEMBATAN'!$AB44&gt;='AS400 JEMBATAN'!$AA44,'AS400 JEMBATAN'!W44,$AB44/$V$4)+$AD44,0)</f>
        <v>#REF!</v>
      </c>
      <c r="X44" s="304" t="e">
        <f>ROUNDUP(IF('AS400 JEMBATAN'!$AB44&gt;='AS400 JEMBATAN'!$AA44,'AS400 JEMBATAN'!X44,$AB44/$V$4)+$AD44,0)</f>
        <v>#REF!</v>
      </c>
      <c r="Y44" s="304" t="e">
        <f>ROUNDUP(IF('AS400 JEMBATAN'!$AB44&gt;='AS400 JEMBATAN'!$AA44,'AS400 JEMBATAN'!Y44,$AB44/$V$4)+$AD44,0)</f>
        <v>#REF!</v>
      </c>
      <c r="Z44" s="304"/>
      <c r="AA44" s="304" t="e">
        <f>SUM(V44:V44)</f>
        <v>#REF!</v>
      </c>
      <c r="AB44" s="305" t="e">
        <f>'Qty &amp; UMH GUM'!X44</f>
        <v>#REF!</v>
      </c>
      <c r="AC44" s="304" t="e">
        <f>ROUNDUP((AB44-AA44)/$V$4,0)</f>
        <v>#REF!</v>
      </c>
      <c r="AD44" s="307">
        <v>0.0</v>
      </c>
      <c r="AE44" s="304" t="e">
        <f>ROUNDUP(IF('AS400 JEMBATAN'!$AK44&gt;='AS400 JEMBATAN'!$AJ44,'AS400 JEMBATAN'!AE44,$AK44/$AE$4)+$AM44,0)</f>
        <v>#REF!</v>
      </c>
      <c r="AF44" s="304" t="e">
        <f>ROUNDUP(IF('AS400 JEMBATAN'!$AK44&gt;='AS400 JEMBATAN'!$AJ44,'AS400 JEMBATAN'!AF44,$AK44/$AE$4)+$AM44,0)</f>
        <v>#REF!</v>
      </c>
      <c r="AG44" s="304" t="e">
        <f>ROUNDUP(IF('AS400 JEMBATAN'!$AK44&gt;='AS400 JEMBATAN'!$AJ44,'AS400 JEMBATAN'!AG44,$AK44/$AE$4)+$AM44,0)</f>
        <v>#REF!</v>
      </c>
      <c r="AH44" s="304" t="e">
        <f>ROUNDUP(IF('AS400 JEMBATAN'!$AK44&gt;='AS400 JEMBATAN'!$AJ44,'AS400 JEMBATAN'!AH44,$AK44/$AE$4)+$AM44,0)</f>
        <v>#REF!</v>
      </c>
      <c r="AI44" s="304"/>
      <c r="AJ44" s="304" t="e">
        <f>SUM(AE44:AE44)</f>
        <v>#REF!</v>
      </c>
      <c r="AK44" s="305" t="e">
        <f>'Qty &amp; UMH GUM'!AA44</f>
        <v>#REF!</v>
      </c>
      <c r="AL44" s="304" t="e">
        <f>ROUNDUP((AK44-AJ44)/$AE$4,0)</f>
        <v>#REF!</v>
      </c>
      <c r="AM44" s="409"/>
      <c r="AN44" s="308" t="e">
        <f>ROUNDUP(IF('AS400 JEMBATAN'!$AT44&gt;='AS400 JEMBATAN'!$AS44,'AS400 JEMBATAN'!AN44,$AT44/$AN$4)+$AV44,0)</f>
        <v>#REF!</v>
      </c>
      <c r="AO44" s="304" t="e">
        <f>ROUNDUP(IF('AS400 JEMBATAN'!$AT44&gt;='AS400 JEMBATAN'!$AS44,'AS400 JEMBATAN'!AO44,$AT44/$AN$4)+$AV44,0)</f>
        <v>#REF!</v>
      </c>
      <c r="AP44" s="304" t="e">
        <f>ROUNDUP(IF('AS400 JEMBATAN'!$AT44&gt;='AS400 JEMBATAN'!$AS44,'AS400 JEMBATAN'!AP44,$AT44/$AN$4)+$AV44,0)</f>
        <v>#REF!</v>
      </c>
      <c r="AQ44" s="304" t="e">
        <f>ROUNDUP(IF('AS400 JEMBATAN'!$AT44&gt;='AS400 JEMBATAN'!$AS44,'AS400 JEMBATAN'!AQ44,$AT44/$AN$4)+$AV44,0)</f>
        <v>#REF!</v>
      </c>
      <c r="AR44" s="304"/>
      <c r="AS44" s="304" t="e">
        <f>SUM(AN44:AN44)</f>
        <v>#REF!</v>
      </c>
      <c r="AT44" s="305" t="e">
        <f>'Qty &amp; UMH GUM'!AD44</f>
        <v>#REF!</v>
      </c>
      <c r="AU44" s="304" t="e">
        <f>ROUNDUP((AT44-AS44)/$AN$4,0)</f>
        <v>#REF!</v>
      </c>
      <c r="AV44" s="311"/>
    </row>
    <row r="45" spans="1:53" customHeight="1" ht="18.75">
      <c r="A45" s="445"/>
      <c r="B45" s="343" t="str">
        <f>'Qty &amp; UMH GUM'!C45</f>
        <v>82111-4DM31</v>
      </c>
      <c r="C45" s="303"/>
      <c r="D45" s="304" t="e">
        <f>ROUNDUP(IF('AS400 JEMBATAN'!$J45&gt;='AS400 JEMBATAN'!$I45,'AS400 JEMBATAN'!D45,$J45/$D$4)+$L45,0)</f>
        <v>#REF!</v>
      </c>
      <c r="E45" s="304" t="e">
        <f>ROUNDUP(IF('AS400 JEMBATAN'!$J45&gt;='AS400 JEMBATAN'!$I45,'AS400 JEMBATAN'!E45,$J45/$D$4)+$L45,0)</f>
        <v>#REF!</v>
      </c>
      <c r="F45" s="304" t="e">
        <f>ROUNDUP(IF('AS400 JEMBATAN'!$J45&gt;='AS400 JEMBATAN'!$I45,'AS400 JEMBATAN'!F45,$J45/$D$4)+$L45,0)</f>
        <v>#REF!</v>
      </c>
      <c r="G45" s="304" t="e">
        <f>ROUNDUP(IF('AS400 JEMBATAN'!$J45&gt;='AS400 JEMBATAN'!$I45,'AS400 JEMBATAN'!G45,$J45/$D$4)+$L45,0)</f>
        <v>#REF!</v>
      </c>
      <c r="H45" s="304" t="e">
        <f>ROUNDUP(IF('AS400 JEMBATAN'!$J45&gt;='AS400 JEMBATAN'!$I45,'AS400 JEMBATAN'!H45,$J45/$D$4)+$L45,0)</f>
        <v>#REF!</v>
      </c>
      <c r="I45" s="304" t="e">
        <f>SUM(D45:D45)</f>
        <v>#REF!</v>
      </c>
      <c r="J45" s="305" t="e">
        <f>'Qty &amp; UMH GUM'!R45</f>
        <v>#REF!</v>
      </c>
      <c r="K45" s="305" t="e">
        <f>ROUNDUP((J45-I45)/$D$4,0)</f>
        <v>#REF!</v>
      </c>
      <c r="L45" s="306">
        <v>0.0</v>
      </c>
      <c r="M45" s="304" t="e">
        <f>ROUNDUP(IF('AS400 JEMBATAN'!$S45&gt;='AS400 JEMBATAN'!$R45,'AS400 JEMBATAN'!M45,$S45/$M$4)+$U45,0)</f>
        <v>#REF!</v>
      </c>
      <c r="N45" s="304" t="e">
        <f>ROUNDUP(IF('AS400 JEMBATAN'!$S45&gt;='AS400 JEMBATAN'!$R45,'AS400 JEMBATAN'!N45,$S45/$M$4)+$U45,0)</f>
        <v>#REF!</v>
      </c>
      <c r="O45" s="304" t="e">
        <f>ROUNDUP(IF('AS400 JEMBATAN'!$S45&gt;='AS400 JEMBATAN'!$R45,'AS400 JEMBATAN'!O45,$S45/$M$4)+$U45,0)</f>
        <v>#REF!</v>
      </c>
      <c r="P45" s="304" t="e">
        <f>ROUNDUP(IF('AS400 JEMBATAN'!$S45&gt;='AS400 JEMBATAN'!$R45,'AS400 JEMBATAN'!P45,$S45/$M$4)+$U45,0)</f>
        <v>#REF!</v>
      </c>
      <c r="Q45" s="304"/>
      <c r="R45" s="304" t="e">
        <f>SUM(M45:M45)</f>
        <v>#REF!</v>
      </c>
      <c r="S45" s="305" t="e">
        <f>'Qty &amp; UMH GUM'!U45</f>
        <v>#REF!</v>
      </c>
      <c r="T45" s="305" t="e">
        <f>ROUNDUP((S45-R45)/$M$4,0)</f>
        <v>#REF!</v>
      </c>
      <c r="U45" s="307"/>
      <c r="V45" s="304" t="e">
        <f>ROUNDUP(IF('AS400 JEMBATAN'!$AB45&gt;='AS400 JEMBATAN'!$AA45,'AS400 JEMBATAN'!V45,$AB45/$V$4)+$AD45,0)</f>
        <v>#REF!</v>
      </c>
      <c r="W45" s="304" t="e">
        <f>ROUNDUP(IF('AS400 JEMBATAN'!$AB45&gt;='AS400 JEMBATAN'!$AA45,'AS400 JEMBATAN'!W45,$AB45/$V$4)+$AD45,0)</f>
        <v>#REF!</v>
      </c>
      <c r="X45" s="304" t="e">
        <f>ROUNDUP(IF('AS400 JEMBATAN'!$AB45&gt;='AS400 JEMBATAN'!$AA45,'AS400 JEMBATAN'!X45,$AB45/$V$4)+$AD45,0)</f>
        <v>#REF!</v>
      </c>
      <c r="Y45" s="420" t="e">
        <f>ROUNDUP(IF('AS400 JEMBATAN'!$AB45&gt;='AS400 JEMBATAN'!$AA45,'AS400 JEMBATAN'!Y45,$AB45/$V$4)+$AD45,0)</f>
        <v>#REF!</v>
      </c>
      <c r="Z45" s="420"/>
      <c r="AA45" s="304" t="e">
        <f>SUM(V45:V45)</f>
        <v>#REF!</v>
      </c>
      <c r="AB45" s="305" t="e">
        <f>'Qty &amp; UMH GUM'!X45</f>
        <v>#REF!</v>
      </c>
      <c r="AC45" s="304" t="e">
        <f>ROUNDUP((AB45-AA45)/$V$4,0)</f>
        <v>#REF!</v>
      </c>
      <c r="AD45" s="307">
        <v>0.0</v>
      </c>
      <c r="AE45" s="304" t="e">
        <f>ROUNDUP(IF('AS400 JEMBATAN'!$AK45&gt;='AS400 JEMBATAN'!$AJ45,'AS400 JEMBATAN'!AE45,$AK45/$AE$4)+$AM45,0)</f>
        <v>#REF!</v>
      </c>
      <c r="AF45" s="304" t="e">
        <f>ROUNDUP(IF('AS400 JEMBATAN'!$AK45&gt;='AS400 JEMBATAN'!$AJ45,'AS400 JEMBATAN'!AF45,$AK45/$AE$4)+$AM45,0)</f>
        <v>#REF!</v>
      </c>
      <c r="AG45" s="304" t="e">
        <f>ROUNDUP(IF('AS400 JEMBATAN'!$AK45&gt;='AS400 JEMBATAN'!$AJ45,'AS400 JEMBATAN'!AG45,$AK45/$AE$4)+$AM45,0)</f>
        <v>#REF!</v>
      </c>
      <c r="AH45" s="304" t="e">
        <f>ROUNDUP(IF('AS400 JEMBATAN'!$AK45&gt;='AS400 JEMBATAN'!$AJ45,'AS400 JEMBATAN'!AH45,$AK45/$AE$4)+$AM45,0)</f>
        <v>#REF!</v>
      </c>
      <c r="AI45" s="304"/>
      <c r="AJ45" s="304" t="e">
        <f>SUM(AE45:AE45)</f>
        <v>#REF!</v>
      </c>
      <c r="AK45" s="305" t="e">
        <f>'Qty &amp; UMH GUM'!AA45</f>
        <v>#REF!</v>
      </c>
      <c r="AL45" s="304" t="e">
        <f>ROUNDUP((AK45-AJ45)/$AE$4,0)</f>
        <v>#REF!</v>
      </c>
      <c r="AM45" s="409"/>
      <c r="AN45" s="308" t="e">
        <f>ROUNDUP(IF('AS400 JEMBATAN'!$AT45&gt;='AS400 JEMBATAN'!$AS45,'AS400 JEMBATAN'!AN45,$AT45/$AN$4)+$AV45,0)</f>
        <v>#REF!</v>
      </c>
      <c r="AO45" s="304" t="e">
        <f>ROUNDUP(IF('AS400 JEMBATAN'!$AT45&gt;='AS400 JEMBATAN'!$AS45,'AS400 JEMBATAN'!AO45,$AT45/$AN$4)+$AV45,0)</f>
        <v>#REF!</v>
      </c>
      <c r="AP45" s="304" t="e">
        <f>ROUNDUP(IF('AS400 JEMBATAN'!$AT45&gt;='AS400 JEMBATAN'!$AS45,'AS400 JEMBATAN'!AP45,$AT45/$AN$4)+$AV45,0)</f>
        <v>#REF!</v>
      </c>
      <c r="AQ45" s="304" t="e">
        <f>ROUNDUP(IF('AS400 JEMBATAN'!$AT45&gt;='AS400 JEMBATAN'!$AS45,'AS400 JEMBATAN'!AQ45,$AT45/$AN$4)+$AV45,0)</f>
        <v>#REF!</v>
      </c>
      <c r="AR45" s="304"/>
      <c r="AS45" s="304" t="e">
        <f>SUM(AN45:AN45)</f>
        <v>#REF!</v>
      </c>
      <c r="AT45" s="305" t="e">
        <f>'Qty &amp; UMH GUM'!AD45</f>
        <v>#REF!</v>
      </c>
      <c r="AU45" s="304" t="e">
        <f>ROUNDUP((AT45-AS45)/$AN$4,0)</f>
        <v>#REF!</v>
      </c>
      <c r="AV45" s="310"/>
    </row>
    <row r="46" spans="1:53" customHeight="1" ht="18.75">
      <c r="A46" s="445"/>
      <c r="B46" s="343" t="str">
        <f>'Qty &amp; UMH GUM'!C46</f>
        <v>82111-4DM41</v>
      </c>
      <c r="C46" s="303"/>
      <c r="D46" s="304" t="e">
        <f>ROUNDUP(IF('AS400 JEMBATAN'!$J46&gt;='AS400 JEMBATAN'!$I46,'AS400 JEMBATAN'!D46,$J46/$D$4)+$L46,0)</f>
        <v>#REF!</v>
      </c>
      <c r="E46" s="304" t="e">
        <f>ROUNDUP(IF('AS400 JEMBATAN'!$J46&gt;='AS400 JEMBATAN'!$I46,'AS400 JEMBATAN'!E46,$J46/$D$4)+$L46,0)</f>
        <v>#REF!</v>
      </c>
      <c r="F46" s="304" t="e">
        <f>ROUNDUP(IF('AS400 JEMBATAN'!$J46&gt;='AS400 JEMBATAN'!$I46,'AS400 JEMBATAN'!F46,$J46/$D$4)+$L46,0)</f>
        <v>#REF!</v>
      </c>
      <c r="G46" s="304" t="e">
        <f>ROUNDUP(IF('AS400 JEMBATAN'!$J46&gt;='AS400 JEMBATAN'!$I46,'AS400 JEMBATAN'!G46,$J46/$D$4)+$L46,0)</f>
        <v>#REF!</v>
      </c>
      <c r="H46" s="304" t="e">
        <f>ROUNDUP(IF('AS400 JEMBATAN'!$J46&gt;='AS400 JEMBATAN'!$I46,'AS400 JEMBATAN'!H46,$J46/$D$4)+$L46,0)</f>
        <v>#REF!</v>
      </c>
      <c r="I46" s="304" t="e">
        <f>SUM(D46:D46)</f>
        <v>#REF!</v>
      </c>
      <c r="J46" s="305" t="e">
        <f>'Qty &amp; UMH GUM'!R46</f>
        <v>#REF!</v>
      </c>
      <c r="K46" s="305" t="e">
        <f>ROUNDUP((J46-I46)/$D$4,0)</f>
        <v>#REF!</v>
      </c>
      <c r="L46" s="306">
        <v>0.0</v>
      </c>
      <c r="M46" s="304" t="e">
        <f>ROUNDUP(IF('AS400 JEMBATAN'!$S46&gt;='AS400 JEMBATAN'!$R46,'AS400 JEMBATAN'!M46,$S46/$M$4)+$U46,0)</f>
        <v>#REF!</v>
      </c>
      <c r="N46" s="304" t="e">
        <f>ROUNDUP(IF('AS400 JEMBATAN'!$S46&gt;='AS400 JEMBATAN'!$R46,'AS400 JEMBATAN'!N46,$S46/$M$4)+$U46,0)</f>
        <v>#REF!</v>
      </c>
      <c r="O46" s="304" t="e">
        <f>ROUNDUP(IF('AS400 JEMBATAN'!$S46&gt;='AS400 JEMBATAN'!$R46,'AS400 JEMBATAN'!O46,$S46/$M$4)+$U46,0)</f>
        <v>#REF!</v>
      </c>
      <c r="P46" s="304" t="e">
        <f>ROUNDUP(IF('AS400 JEMBATAN'!$S46&gt;='AS400 JEMBATAN'!$R46,'AS400 JEMBATAN'!P46,$S46/$M$4)+$U46,0)</f>
        <v>#REF!</v>
      </c>
      <c r="Q46" s="304"/>
      <c r="R46" s="304" t="e">
        <f>SUM(M46:M46)</f>
        <v>#REF!</v>
      </c>
      <c r="S46" s="305" t="e">
        <f>'Qty &amp; UMH GUM'!U46</f>
        <v>#REF!</v>
      </c>
      <c r="T46" s="305" t="e">
        <f>ROUNDUP((S46-R46)/$M$4,0)</f>
        <v>#REF!</v>
      </c>
      <c r="U46" s="307"/>
      <c r="V46" s="304" t="e">
        <f>ROUNDUP(IF('AS400 JEMBATAN'!$AB46&gt;='AS400 JEMBATAN'!$AA46,'AS400 JEMBATAN'!V46,$AB46/$V$4)+$AD46,0)</f>
        <v>#REF!</v>
      </c>
      <c r="W46" s="304" t="e">
        <f>ROUNDUP(IF('AS400 JEMBATAN'!$AB46&gt;='AS400 JEMBATAN'!$AA46,'AS400 JEMBATAN'!W46,$AB46/$V$4)+$AD46,0)</f>
        <v>#REF!</v>
      </c>
      <c r="X46" s="304" t="e">
        <f>ROUNDUP(IF('AS400 JEMBATAN'!$AB46&gt;='AS400 JEMBATAN'!$AA46,'AS400 JEMBATAN'!X46,$AB46/$V$4)+$AD46,0)</f>
        <v>#REF!</v>
      </c>
      <c r="Y46" s="420" t="e">
        <f>ROUNDUP(IF('AS400 JEMBATAN'!$AB46&gt;='AS400 JEMBATAN'!$AA46,'AS400 JEMBATAN'!Y46,$AB46/$V$4)+$AD46,0)</f>
        <v>#REF!</v>
      </c>
      <c r="Z46" s="420"/>
      <c r="AA46" s="304" t="e">
        <f>SUM(V46:V46)</f>
        <v>#REF!</v>
      </c>
      <c r="AB46" s="305" t="e">
        <f>'Qty &amp; UMH GUM'!X46</f>
        <v>#REF!</v>
      </c>
      <c r="AC46" s="304" t="e">
        <f>ROUNDUP((AB46-AA46)/$V$4,0)</f>
        <v>#REF!</v>
      </c>
      <c r="AD46" s="307">
        <v>0.0</v>
      </c>
      <c r="AE46" s="304" t="e">
        <f>ROUNDUP(IF('AS400 JEMBATAN'!$AK46&gt;='AS400 JEMBATAN'!$AJ46,'AS400 JEMBATAN'!AE46,$AK46/$AE$4)+$AM46,0)</f>
        <v>#REF!</v>
      </c>
      <c r="AF46" s="304" t="e">
        <f>ROUNDUP(IF('AS400 JEMBATAN'!$AK46&gt;='AS400 JEMBATAN'!$AJ46,'AS400 JEMBATAN'!AF46,$AK46/$AE$4)+$AM46,0)</f>
        <v>#REF!</v>
      </c>
      <c r="AG46" s="304" t="e">
        <f>ROUNDUP(IF('AS400 JEMBATAN'!$AK46&gt;='AS400 JEMBATAN'!$AJ46,'AS400 JEMBATAN'!AG46,$AK46/$AE$4)+$AM46,0)</f>
        <v>#REF!</v>
      </c>
      <c r="AH46" s="304" t="e">
        <f>ROUNDUP(IF('AS400 JEMBATAN'!$AK46&gt;='AS400 JEMBATAN'!$AJ46,'AS400 JEMBATAN'!AH46,$AK46/$AE$4)+$AM46,0)</f>
        <v>#REF!</v>
      </c>
      <c r="AI46" s="304"/>
      <c r="AJ46" s="304" t="e">
        <f>SUM(AE46:AE46)</f>
        <v>#REF!</v>
      </c>
      <c r="AK46" s="305" t="e">
        <f>'Qty &amp; UMH GUM'!AA46</f>
        <v>#REF!</v>
      </c>
      <c r="AL46" s="304" t="e">
        <f>ROUNDUP((AK46-AJ46)/$AE$4,0)</f>
        <v>#REF!</v>
      </c>
      <c r="AM46" s="409"/>
      <c r="AN46" s="308" t="e">
        <f>ROUNDUP(IF('AS400 JEMBATAN'!$AT46&gt;='AS400 JEMBATAN'!$AS46,'AS400 JEMBATAN'!AN46,$AT46/$AN$4)+$AV46,0)</f>
        <v>#REF!</v>
      </c>
      <c r="AO46" s="304" t="e">
        <f>ROUNDUP(IF('AS400 JEMBATAN'!$AT46&gt;='AS400 JEMBATAN'!$AS46,'AS400 JEMBATAN'!AO46,$AT46/$AN$4)+$AV46,0)</f>
        <v>#REF!</v>
      </c>
      <c r="AP46" s="304" t="e">
        <f>ROUNDUP(IF('AS400 JEMBATAN'!$AT46&gt;='AS400 JEMBATAN'!$AS46,'AS400 JEMBATAN'!AP46,$AT46/$AN$4)+$AV46,0)</f>
        <v>#REF!</v>
      </c>
      <c r="AQ46" s="304" t="e">
        <f>ROUNDUP(IF('AS400 JEMBATAN'!$AT46&gt;='AS400 JEMBATAN'!$AS46,'AS400 JEMBATAN'!AQ46,$AT46/$AN$4)+$AV46,0)</f>
        <v>#REF!</v>
      </c>
      <c r="AR46" s="304"/>
      <c r="AS46" s="304" t="e">
        <f>SUM(AN46:AN46)</f>
        <v>#REF!</v>
      </c>
      <c r="AT46" s="305" t="e">
        <f>'Qty &amp; UMH GUM'!AD46</f>
        <v>#REF!</v>
      </c>
      <c r="AU46" s="304" t="e">
        <f>ROUNDUP((AT46-AS46)/$AN$4,0)</f>
        <v>#REF!</v>
      </c>
      <c r="AV46" s="310"/>
      <c r="AW46" s="101"/>
      <c r="AY46" s="101"/>
    </row>
    <row r="47" spans="1:53" customHeight="1" ht="18.75">
      <c r="A47" s="445"/>
      <c r="B47" s="343" t="str">
        <f>'Qty &amp; UMH GUM'!C47</f>
        <v>82111-4DM51</v>
      </c>
      <c r="C47" s="303"/>
      <c r="D47" s="304" t="e">
        <f>ROUNDUP(IF('AS400 JEMBATAN'!$J47&gt;='AS400 JEMBATAN'!$I47,'AS400 JEMBATAN'!D47,$J47/$D$4)+$L47,0)</f>
        <v>#REF!</v>
      </c>
      <c r="E47" s="304" t="e">
        <f>ROUNDUP(IF('AS400 JEMBATAN'!$J47&gt;='AS400 JEMBATAN'!$I47,'AS400 JEMBATAN'!E47,$J47/$D$4)+$L47,0)</f>
        <v>#REF!</v>
      </c>
      <c r="F47" s="304" t="e">
        <f>ROUNDUP(IF('AS400 JEMBATAN'!$J47&gt;='AS400 JEMBATAN'!$I47,'AS400 JEMBATAN'!F47,$J47/$D$4)+$L47,0)</f>
        <v>#REF!</v>
      </c>
      <c r="G47" s="304" t="e">
        <f>ROUNDUP(IF('AS400 JEMBATAN'!$J47&gt;='AS400 JEMBATAN'!$I47,'AS400 JEMBATAN'!G47,$J47/$D$4)+$L47,0)</f>
        <v>#REF!</v>
      </c>
      <c r="H47" s="304" t="e">
        <f>ROUNDUP(IF('AS400 JEMBATAN'!$J47&gt;='AS400 JEMBATAN'!$I47,'AS400 JEMBATAN'!H47,$J47/$D$4)+$L47,0)</f>
        <v>#REF!</v>
      </c>
      <c r="I47" s="304" t="e">
        <f>SUM(D47:D47)</f>
        <v>#REF!</v>
      </c>
      <c r="J47" s="305" t="e">
        <f>'Qty &amp; UMH GUM'!R47</f>
        <v>#REF!</v>
      </c>
      <c r="K47" s="305" t="e">
        <f>ROUNDUP((J47-I47)/$D$4,0)</f>
        <v>#REF!</v>
      </c>
      <c r="L47" s="306">
        <v>0.0</v>
      </c>
      <c r="M47" s="304" t="e">
        <f>ROUNDUP(IF('AS400 JEMBATAN'!$S47&gt;='AS400 JEMBATAN'!$R47,'AS400 JEMBATAN'!M47,$S47/$M$4)+$U47,0)</f>
        <v>#REF!</v>
      </c>
      <c r="N47" s="304" t="e">
        <f>ROUNDUP(IF('AS400 JEMBATAN'!$S47&gt;='AS400 JEMBATAN'!$R47,'AS400 JEMBATAN'!N47,$S47/$M$4)+$U47,0)</f>
        <v>#REF!</v>
      </c>
      <c r="O47" s="304" t="e">
        <f>ROUNDUP(IF('AS400 JEMBATAN'!$S47&gt;='AS400 JEMBATAN'!$R47,'AS400 JEMBATAN'!O47,$S47/$M$4)+$U47,0)</f>
        <v>#REF!</v>
      </c>
      <c r="P47" s="304" t="e">
        <f>ROUNDUP(IF('AS400 JEMBATAN'!$S47&gt;='AS400 JEMBATAN'!$R47,'AS400 JEMBATAN'!P47,$S47/$M$4)+$U47,0)</f>
        <v>#REF!</v>
      </c>
      <c r="Q47" s="304"/>
      <c r="R47" s="304" t="e">
        <f>SUM(M47:M47)</f>
        <v>#REF!</v>
      </c>
      <c r="S47" s="305" t="e">
        <f>'Qty &amp; UMH GUM'!U47</f>
        <v>#REF!</v>
      </c>
      <c r="T47" s="305" t="e">
        <f>ROUNDUP((S47-R47)/$M$4,0)</f>
        <v>#REF!</v>
      </c>
      <c r="U47" s="307"/>
      <c r="V47" s="304" t="e">
        <f>ROUNDUP(IF('AS400 JEMBATAN'!$AB47&gt;='AS400 JEMBATAN'!$AA47,'AS400 JEMBATAN'!V47,$AB47/$V$4)+$AD47,0)</f>
        <v>#REF!</v>
      </c>
      <c r="W47" s="304" t="e">
        <f>ROUNDUP(IF('AS400 JEMBATAN'!$AB47&gt;='AS400 JEMBATAN'!$AA47,'AS400 JEMBATAN'!W47,$AB47/$V$4)+$AD47,0)</f>
        <v>#REF!</v>
      </c>
      <c r="X47" s="304" t="e">
        <f>ROUNDUP(IF('AS400 JEMBATAN'!$AB47&gt;='AS400 JEMBATAN'!$AA47,'AS400 JEMBATAN'!X47,$AB47/$V$4)+$AD47,0)</f>
        <v>#REF!</v>
      </c>
      <c r="Y47" s="304" t="e">
        <f>ROUNDUP(IF('AS400 JEMBATAN'!$AB47&gt;='AS400 JEMBATAN'!$AA47,'AS400 JEMBATAN'!Y47,$AB47/$V$4)+$AD47,0)</f>
        <v>#REF!</v>
      </c>
      <c r="Z47" s="304"/>
      <c r="AA47" s="304" t="e">
        <f>SUM(V47:V47)</f>
        <v>#REF!</v>
      </c>
      <c r="AB47" s="305" t="e">
        <f>'Qty &amp; UMH GUM'!X47</f>
        <v>#REF!</v>
      </c>
      <c r="AC47" s="304" t="e">
        <f>ROUNDUP((AB47-AA47)/$V$4,0)</f>
        <v>#REF!</v>
      </c>
      <c r="AD47" s="307">
        <v>0.0</v>
      </c>
      <c r="AE47" s="304" t="e">
        <f>ROUNDUP(IF('AS400 JEMBATAN'!$AK47&gt;='AS400 JEMBATAN'!$AJ47,'AS400 JEMBATAN'!AE47,$AK47/$AE$4)+$AM47,0)</f>
        <v>#REF!</v>
      </c>
      <c r="AF47" s="304" t="e">
        <f>ROUNDUP(IF('AS400 JEMBATAN'!$AK47&gt;='AS400 JEMBATAN'!$AJ47,'AS400 JEMBATAN'!AF47,$AK47/$AE$4)+$AM47,0)</f>
        <v>#REF!</v>
      </c>
      <c r="AG47" s="304" t="e">
        <f>ROUNDUP(IF('AS400 JEMBATAN'!$AK47&gt;='AS400 JEMBATAN'!$AJ47,'AS400 JEMBATAN'!AG47,$AK47/$AE$4)+$AM47,0)</f>
        <v>#REF!</v>
      </c>
      <c r="AH47" s="304" t="e">
        <f>ROUNDUP(IF('AS400 JEMBATAN'!$AK47&gt;='AS400 JEMBATAN'!$AJ47,'AS400 JEMBATAN'!AH47,$AK47/$AE$4)+$AM47,0)</f>
        <v>#REF!</v>
      </c>
      <c r="AI47" s="304"/>
      <c r="AJ47" s="304" t="e">
        <f>SUM(AE47:AE47)</f>
        <v>#REF!</v>
      </c>
      <c r="AK47" s="305" t="e">
        <f>'Qty &amp; UMH GUM'!AA47</f>
        <v>#REF!</v>
      </c>
      <c r="AL47" s="304" t="e">
        <f>ROUNDUP((AK47-AJ47)/$AE$4,0)</f>
        <v>#REF!</v>
      </c>
      <c r="AM47" s="409"/>
      <c r="AN47" s="308" t="e">
        <f>ROUNDUP(IF('AS400 JEMBATAN'!$AT47&gt;='AS400 JEMBATAN'!$AS47,'AS400 JEMBATAN'!AN47,$AT47/$AN$4)+$AV47,0)</f>
        <v>#REF!</v>
      </c>
      <c r="AO47" s="304" t="e">
        <f>ROUNDUP(IF('AS400 JEMBATAN'!$AT47&gt;='AS400 JEMBATAN'!$AS47,'AS400 JEMBATAN'!AO47,$AT47/$AN$4)+$AV47,0)</f>
        <v>#REF!</v>
      </c>
      <c r="AP47" s="304" t="e">
        <f>ROUNDUP(IF('AS400 JEMBATAN'!$AT47&gt;='AS400 JEMBATAN'!$AS47,'AS400 JEMBATAN'!AP47,$AT47/$AN$4)+$AV47,0)</f>
        <v>#REF!</v>
      </c>
      <c r="AQ47" s="304" t="e">
        <f>ROUNDUP(IF('AS400 JEMBATAN'!$AT47&gt;='AS400 JEMBATAN'!$AS47,'AS400 JEMBATAN'!AQ47,$AT47/$AN$4)+$AV47,0)</f>
        <v>#REF!</v>
      </c>
      <c r="AR47" s="304"/>
      <c r="AS47" s="304" t="e">
        <f>SUM(AN47:AN47)</f>
        <v>#REF!</v>
      </c>
      <c r="AT47" s="305" t="e">
        <f>'Qty &amp; UMH GUM'!AD47</f>
        <v>#REF!</v>
      </c>
      <c r="AU47" s="304" t="e">
        <f>ROUNDUP((AT47-AS47)/$AN$4,0)</f>
        <v>#REF!</v>
      </c>
      <c r="AV47" s="310"/>
      <c r="AY47" s="101"/>
    </row>
    <row r="48" spans="1:53" customHeight="1" ht="18.75">
      <c r="A48" s="445"/>
      <c r="B48" s="343" t="str">
        <f>'Qty &amp; UMH GUM'!C48</f>
        <v>82111-4DM61</v>
      </c>
      <c r="C48" s="303"/>
      <c r="D48" s="304" t="e">
        <f>ROUNDUP(IF('AS400 JEMBATAN'!$J48&gt;='AS400 JEMBATAN'!$I48,'AS400 JEMBATAN'!D48,$J48/$D$4)+$L48,0)</f>
        <v>#REF!</v>
      </c>
      <c r="E48" s="304" t="e">
        <f>ROUNDUP(IF('AS400 JEMBATAN'!$J48&gt;='AS400 JEMBATAN'!$I48,'AS400 JEMBATAN'!E48,$J48/$D$4)+$L48,0)</f>
        <v>#REF!</v>
      </c>
      <c r="F48" s="304" t="e">
        <f>ROUNDUP(IF('AS400 JEMBATAN'!$J48&gt;='AS400 JEMBATAN'!$I48,'AS400 JEMBATAN'!F48,$J48/$D$4)+$L48,0)</f>
        <v>#REF!</v>
      </c>
      <c r="G48" s="304" t="e">
        <f>ROUNDUP(IF('AS400 JEMBATAN'!$J48&gt;='AS400 JEMBATAN'!$I48,'AS400 JEMBATAN'!G48,$J48/$D$4)+$L48,0)</f>
        <v>#REF!</v>
      </c>
      <c r="H48" s="304" t="e">
        <f>ROUNDUP(IF('AS400 JEMBATAN'!$J48&gt;='AS400 JEMBATAN'!$I48,'AS400 JEMBATAN'!H48,$J48/$D$4)+$L48,0)</f>
        <v>#REF!</v>
      </c>
      <c r="I48" s="304" t="e">
        <f>SUM(D48:D48)</f>
        <v>#REF!</v>
      </c>
      <c r="J48" s="305" t="e">
        <f>'Qty &amp; UMH GUM'!R48</f>
        <v>#REF!</v>
      </c>
      <c r="K48" s="305" t="e">
        <f>ROUNDUP((J48-I48)/$D$4,0)</f>
        <v>#REF!</v>
      </c>
      <c r="L48" s="306">
        <v>0.0</v>
      </c>
      <c r="M48" s="304" t="e">
        <f>ROUNDUP(IF('AS400 JEMBATAN'!$S48&gt;='AS400 JEMBATAN'!$R48,'AS400 JEMBATAN'!M48,$S48/$M$4)+$U48,0)</f>
        <v>#REF!</v>
      </c>
      <c r="N48" s="304" t="e">
        <f>ROUNDUP(IF('AS400 JEMBATAN'!$S48&gt;='AS400 JEMBATAN'!$R48,'AS400 JEMBATAN'!N48,$S48/$M$4)+$U48,0)</f>
        <v>#REF!</v>
      </c>
      <c r="O48" s="304" t="e">
        <f>ROUNDUP(IF('AS400 JEMBATAN'!$S48&gt;='AS400 JEMBATAN'!$R48,'AS400 JEMBATAN'!O48,$S48/$M$4)+$U48,0)</f>
        <v>#REF!</v>
      </c>
      <c r="P48" s="304" t="e">
        <f>ROUNDUP(IF('AS400 JEMBATAN'!$S48&gt;='AS400 JEMBATAN'!$R48,'AS400 JEMBATAN'!P48,$S48/$M$4)+$U48,0)</f>
        <v>#REF!</v>
      </c>
      <c r="Q48" s="304"/>
      <c r="R48" s="304" t="e">
        <f>SUM(M48:M48)</f>
        <v>#REF!</v>
      </c>
      <c r="S48" s="305" t="e">
        <f>'Qty &amp; UMH GUM'!U48</f>
        <v>#REF!</v>
      </c>
      <c r="T48" s="305" t="e">
        <f>ROUNDUP((S48-R48)/$M$4,0)</f>
        <v>#REF!</v>
      </c>
      <c r="U48" s="307"/>
      <c r="V48" s="304" t="e">
        <f>ROUNDUP(IF('AS400 JEMBATAN'!$AB48&gt;='AS400 JEMBATAN'!$AA48,'AS400 JEMBATAN'!V48,$AB48/$V$4)+$AD48,0)</f>
        <v>#REF!</v>
      </c>
      <c r="W48" s="304" t="e">
        <f>ROUNDUP(IF('AS400 JEMBATAN'!$AB48&gt;='AS400 JEMBATAN'!$AA48,'AS400 JEMBATAN'!W48,$AB48/$V$4)+$AD48,0)</f>
        <v>#REF!</v>
      </c>
      <c r="X48" s="304" t="e">
        <f>ROUNDUP(IF('AS400 JEMBATAN'!$AB48&gt;='AS400 JEMBATAN'!$AA48,'AS400 JEMBATAN'!X48,$AB48/$V$4)+$AD48,0)</f>
        <v>#REF!</v>
      </c>
      <c r="Y48" s="420" t="e">
        <f>ROUNDUP(IF('AS400 JEMBATAN'!$AB48&gt;='AS400 JEMBATAN'!$AA48,'AS400 JEMBATAN'!Y48,$AB48/$V$4)+$AD48,0)</f>
        <v>#REF!</v>
      </c>
      <c r="Z48" s="420"/>
      <c r="AA48" s="304" t="e">
        <f>SUM(V48:V48)</f>
        <v>#REF!</v>
      </c>
      <c r="AB48" s="305" t="e">
        <f>'Qty &amp; UMH GUM'!X48</f>
        <v>#REF!</v>
      </c>
      <c r="AC48" s="304" t="e">
        <f>ROUNDUP((AB48-AA48)/$V$4,0)</f>
        <v>#REF!</v>
      </c>
      <c r="AD48" s="307">
        <v>0.0</v>
      </c>
      <c r="AE48" s="304" t="e">
        <f>ROUNDUP(IF('AS400 JEMBATAN'!$AK48&gt;='AS400 JEMBATAN'!$AJ48,'AS400 JEMBATAN'!AE48,$AK48/$AE$4)+$AM48,0)</f>
        <v>#REF!</v>
      </c>
      <c r="AF48" s="304" t="e">
        <f>ROUNDUP(IF('AS400 JEMBATAN'!$AK48&gt;='AS400 JEMBATAN'!$AJ48,'AS400 JEMBATAN'!AF48,$AK48/$AE$4)+$AM48,0)</f>
        <v>#REF!</v>
      </c>
      <c r="AG48" s="304" t="e">
        <f>ROUNDUP(IF('AS400 JEMBATAN'!$AK48&gt;='AS400 JEMBATAN'!$AJ48,'AS400 JEMBATAN'!AG48,$AK48/$AE$4)+$AM48,0)</f>
        <v>#REF!</v>
      </c>
      <c r="AH48" s="304" t="e">
        <f>ROUNDUP(IF('AS400 JEMBATAN'!$AK48&gt;='AS400 JEMBATAN'!$AJ48,'AS400 JEMBATAN'!AH48,$AK48/$AE$4)+$AM48,0)</f>
        <v>#REF!</v>
      </c>
      <c r="AI48" s="304"/>
      <c r="AJ48" s="304" t="e">
        <f>SUM(AE48:AE48)</f>
        <v>#REF!</v>
      </c>
      <c r="AK48" s="305" t="e">
        <f>'Qty &amp; UMH GUM'!AA48</f>
        <v>#REF!</v>
      </c>
      <c r="AL48" s="304" t="e">
        <f>ROUNDUP((AK48-AJ48)/$AE$4,0)</f>
        <v>#REF!</v>
      </c>
      <c r="AM48" s="409"/>
      <c r="AN48" s="308" t="e">
        <f>ROUNDUP(IF('AS400 JEMBATAN'!$AT48&gt;='AS400 JEMBATAN'!$AS48,'AS400 JEMBATAN'!AN48,$AT48/$AN$4)+$AV48,0)</f>
        <v>#REF!</v>
      </c>
      <c r="AO48" s="304" t="e">
        <f>ROUNDUP(IF('AS400 JEMBATAN'!$AT48&gt;='AS400 JEMBATAN'!$AS48,'AS400 JEMBATAN'!AO48,$AT48/$AN$4)+$AV48,0)</f>
        <v>#REF!</v>
      </c>
      <c r="AP48" s="304" t="e">
        <f>ROUNDUP(IF('AS400 JEMBATAN'!$AT48&gt;='AS400 JEMBATAN'!$AS48,'AS400 JEMBATAN'!AP48,$AT48/$AN$4)+$AV48,0)</f>
        <v>#REF!</v>
      </c>
      <c r="AQ48" s="304" t="e">
        <f>ROUNDUP(IF('AS400 JEMBATAN'!$AT48&gt;='AS400 JEMBATAN'!$AS48,'AS400 JEMBATAN'!AQ48,$AT48/$AN$4)+$AV48,0)</f>
        <v>#REF!</v>
      </c>
      <c r="AR48" s="304"/>
      <c r="AS48" s="304" t="e">
        <f>SUM(AN48:AN48)</f>
        <v>#REF!</v>
      </c>
      <c r="AT48" s="305" t="e">
        <f>'Qty &amp; UMH GUM'!AD48</f>
        <v>#REF!</v>
      </c>
      <c r="AU48" s="304" t="e">
        <f>ROUNDUP((AT48-AS48)/$AN$4,0)</f>
        <v>#REF!</v>
      </c>
      <c r="AV48" s="310"/>
      <c r="AY48" s="101"/>
    </row>
    <row r="49" spans="1:53" customHeight="1" ht="18.75">
      <c r="A49" s="445"/>
      <c r="B49" s="343" t="str">
        <f>'Qty &amp; UMH GUM'!C49</f>
        <v>82111-4DM71</v>
      </c>
      <c r="C49" s="281"/>
      <c r="D49" s="304" t="e">
        <f>ROUNDUP(IF('AS400 JEMBATAN'!$J49&gt;='AS400 JEMBATAN'!$I49,'AS400 JEMBATAN'!D49,$J49/$D$4)+$L49,0)</f>
        <v>#REF!</v>
      </c>
      <c r="E49" s="304" t="e">
        <f>ROUNDUP(IF('AS400 JEMBATAN'!$J49&gt;='AS400 JEMBATAN'!$I49,'AS400 JEMBATAN'!E49,$J49/$D$4)+$L49,0)</f>
        <v>#REF!</v>
      </c>
      <c r="F49" s="304" t="e">
        <f>ROUNDUP(IF('AS400 JEMBATAN'!$J49&gt;='AS400 JEMBATAN'!$I49,'AS400 JEMBATAN'!F49,$J49/$D$4)+$L49,0)</f>
        <v>#REF!</v>
      </c>
      <c r="G49" s="304" t="e">
        <f>ROUNDUP(IF('AS400 JEMBATAN'!$J49&gt;='AS400 JEMBATAN'!$I49,'AS400 JEMBATAN'!G49,$J49/$D$4)+$L49,0)</f>
        <v>#REF!</v>
      </c>
      <c r="H49" s="304" t="e">
        <f>ROUNDUP(IF('AS400 JEMBATAN'!$J49&gt;='AS400 JEMBATAN'!$I49,'AS400 JEMBATAN'!H49,$J49/$D$4)+$L49,0)</f>
        <v>#REF!</v>
      </c>
      <c r="I49" s="304" t="e">
        <f>SUM(D49:D49)</f>
        <v>#REF!</v>
      </c>
      <c r="J49" s="305" t="e">
        <f>'Qty &amp; UMH GUM'!R49</f>
        <v>#REF!</v>
      </c>
      <c r="K49" s="305" t="e">
        <f>ROUNDUP((J49-I49)/$D$4,0)</f>
        <v>#REF!</v>
      </c>
      <c r="L49" s="306">
        <v>0.0</v>
      </c>
      <c r="M49" s="304" t="e">
        <f>ROUNDUP(IF('AS400 JEMBATAN'!$S49&gt;='AS400 JEMBATAN'!$R49,'AS400 JEMBATAN'!M49,$S49/$M$4)+$U49,0)</f>
        <v>#REF!</v>
      </c>
      <c r="N49" s="304" t="e">
        <f>ROUNDUP(IF('AS400 JEMBATAN'!$S49&gt;='AS400 JEMBATAN'!$R49,'AS400 JEMBATAN'!N49,$S49/$M$4)+$U49,0)</f>
        <v>#REF!</v>
      </c>
      <c r="O49" s="304" t="e">
        <f>ROUNDUP(IF('AS400 JEMBATAN'!$S49&gt;='AS400 JEMBATAN'!$R49,'AS400 JEMBATAN'!O49,$S49/$M$4)+$U49,0)</f>
        <v>#REF!</v>
      </c>
      <c r="P49" s="304" t="e">
        <f>ROUNDUP(IF('AS400 JEMBATAN'!$S49&gt;='AS400 JEMBATAN'!$R49,'AS400 JEMBATAN'!P49,$S49/$M$4)+$U49,0)</f>
        <v>#REF!</v>
      </c>
      <c r="Q49" s="304"/>
      <c r="R49" s="304" t="e">
        <f>SUM(M49:M49)</f>
        <v>#REF!</v>
      </c>
      <c r="S49" s="305" t="e">
        <f>'Qty &amp; UMH GUM'!U49</f>
        <v>#REF!</v>
      </c>
      <c r="T49" s="305" t="e">
        <f>ROUNDUP((S49-R49)/$M$4,0)</f>
        <v>#REF!</v>
      </c>
      <c r="U49" s="307"/>
      <c r="V49" s="304" t="e">
        <f>ROUNDUP(IF('AS400 JEMBATAN'!$AB49&gt;='AS400 JEMBATAN'!$AA49,'AS400 JEMBATAN'!V49,$AB49/$V$4)+$AD49,0)</f>
        <v>#REF!</v>
      </c>
      <c r="W49" s="304" t="e">
        <f>ROUNDUP(IF('AS400 JEMBATAN'!$AB49&gt;='AS400 JEMBATAN'!$AA49,'AS400 JEMBATAN'!W49,$AB49/$V$4)+$AD49,0)</f>
        <v>#REF!</v>
      </c>
      <c r="X49" s="304" t="e">
        <f>ROUNDUP(IF('AS400 JEMBATAN'!$AB49&gt;='AS400 JEMBATAN'!$AA49,'AS400 JEMBATAN'!X49,$AB49/$V$4)+$AD49,0)</f>
        <v>#REF!</v>
      </c>
      <c r="Y49" s="304" t="e">
        <f>ROUNDUP(IF('AS400 JEMBATAN'!$AB49&gt;='AS400 JEMBATAN'!$AA49,'AS400 JEMBATAN'!Y49,$AB49/$V$4)+$AD49,0)</f>
        <v>#REF!</v>
      </c>
      <c r="Z49" s="304"/>
      <c r="AA49" s="304" t="e">
        <f>SUM(V49:V49)</f>
        <v>#REF!</v>
      </c>
      <c r="AB49" s="305" t="e">
        <f>'Qty &amp; UMH GUM'!X49</f>
        <v>#REF!</v>
      </c>
      <c r="AC49" s="304" t="e">
        <f>ROUNDUP((AB49-AA49)/$V$4,0)</f>
        <v>#REF!</v>
      </c>
      <c r="AD49" s="307">
        <v>0.0</v>
      </c>
      <c r="AE49" s="304" t="e">
        <f>ROUNDUP(IF('AS400 JEMBATAN'!$AK49&gt;='AS400 JEMBATAN'!$AJ49,'AS400 JEMBATAN'!AE49,$AK49/$AE$4)+$AM49,0)</f>
        <v>#REF!</v>
      </c>
      <c r="AF49" s="304" t="e">
        <f>ROUNDUP(IF('AS400 JEMBATAN'!$AK49&gt;='AS400 JEMBATAN'!$AJ49,'AS400 JEMBATAN'!AF49,$AK49/$AE$4)+$AM49,0)</f>
        <v>#REF!</v>
      </c>
      <c r="AG49" s="304" t="e">
        <f>ROUNDUP(IF('AS400 JEMBATAN'!$AK49&gt;='AS400 JEMBATAN'!$AJ49,'AS400 JEMBATAN'!AG49,$AK49/$AE$4)+$AM49,0)</f>
        <v>#REF!</v>
      </c>
      <c r="AH49" s="304" t="e">
        <f>ROUNDUP(IF('AS400 JEMBATAN'!$AK49&gt;='AS400 JEMBATAN'!$AJ49,'AS400 JEMBATAN'!AH49,$AK49/$AE$4)+$AM49,0)</f>
        <v>#REF!</v>
      </c>
      <c r="AI49" s="304"/>
      <c r="AJ49" s="304" t="e">
        <f>SUM(AE49:AE49)</f>
        <v>#REF!</v>
      </c>
      <c r="AK49" s="305" t="e">
        <f>'Qty &amp; UMH GUM'!AA49</f>
        <v>#REF!</v>
      </c>
      <c r="AL49" s="304" t="e">
        <f>ROUNDUP((AK49-AJ49)/$AE$4,0)</f>
        <v>#REF!</v>
      </c>
      <c r="AM49" s="409"/>
      <c r="AN49" s="308" t="e">
        <f>ROUNDUP(IF('AS400 JEMBATAN'!$AT49&gt;='AS400 JEMBATAN'!$AS49,'AS400 JEMBATAN'!AN49,$AT49/$AN$4)+$AV49,0)</f>
        <v>#REF!</v>
      </c>
      <c r="AO49" s="304" t="e">
        <f>ROUNDUP(IF('AS400 JEMBATAN'!$AT49&gt;='AS400 JEMBATAN'!$AS49,'AS400 JEMBATAN'!AO49,$AT49/$AN$4)+$AV49,0)</f>
        <v>#REF!</v>
      </c>
      <c r="AP49" s="304" t="e">
        <f>ROUNDUP(IF('AS400 JEMBATAN'!$AT49&gt;='AS400 JEMBATAN'!$AS49,'AS400 JEMBATAN'!AP49,$AT49/$AN$4)+$AV49,0)</f>
        <v>#REF!</v>
      </c>
      <c r="AQ49" s="304" t="e">
        <f>ROUNDUP(IF('AS400 JEMBATAN'!$AT49&gt;='AS400 JEMBATAN'!$AS49,'AS400 JEMBATAN'!AQ49,$AT49/$AN$4)+$AV49,0)</f>
        <v>#REF!</v>
      </c>
      <c r="AR49" s="304"/>
      <c r="AS49" s="304" t="e">
        <f>SUM(AN49:AN49)</f>
        <v>#REF!</v>
      </c>
      <c r="AT49" s="305" t="e">
        <f>'Qty &amp; UMH GUM'!AD49</f>
        <v>#REF!</v>
      </c>
      <c r="AU49" s="304" t="e">
        <f>ROUNDUP((AT49-AS49)/$AN$4,0)</f>
        <v>#REF!</v>
      </c>
      <c r="AV49" s="311"/>
    </row>
    <row r="50" spans="1:53" customHeight="1" ht="18.75">
      <c r="A50" s="445"/>
      <c r="B50" s="343" t="str">
        <f>'Qty &amp; UMH GUM'!C50</f>
        <v>82111-4DM81</v>
      </c>
      <c r="C50" s="281"/>
      <c r="D50" s="304" t="e">
        <f>ROUNDUP(IF('AS400 JEMBATAN'!$J50&gt;='AS400 JEMBATAN'!$I50,'AS400 JEMBATAN'!D50,$J50/$D$4)+$L50,0)</f>
        <v>#REF!</v>
      </c>
      <c r="E50" s="304" t="e">
        <f>ROUNDUP(IF('AS400 JEMBATAN'!$J50&gt;='AS400 JEMBATAN'!$I50,'AS400 JEMBATAN'!E50,$J50/$D$4)+$L50,0)</f>
        <v>#REF!</v>
      </c>
      <c r="F50" s="304" t="e">
        <f>ROUNDUP(IF('AS400 JEMBATAN'!$J50&gt;='AS400 JEMBATAN'!$I50,'AS400 JEMBATAN'!F50,$J50/$D$4)+$L50,0)</f>
        <v>#REF!</v>
      </c>
      <c r="G50" s="304" t="e">
        <f>ROUNDUP(IF('AS400 JEMBATAN'!$J50&gt;='AS400 JEMBATAN'!$I50,'AS400 JEMBATAN'!G50,$J50/$D$4)+$L50,0)</f>
        <v>#REF!</v>
      </c>
      <c r="H50" s="304" t="e">
        <f>ROUNDUP(IF('AS400 JEMBATAN'!$J50&gt;='AS400 JEMBATAN'!$I50,'AS400 JEMBATAN'!H50,$J50/$D$4)+$L50,0)</f>
        <v>#REF!</v>
      </c>
      <c r="I50" s="304" t="e">
        <f>SUM(D50:D50)</f>
        <v>#REF!</v>
      </c>
      <c r="J50" s="305" t="e">
        <f>'Qty &amp; UMH GUM'!R50</f>
        <v>#REF!</v>
      </c>
      <c r="K50" s="305" t="e">
        <f>ROUNDUP((J50-I50)/$D$4,0)</f>
        <v>#REF!</v>
      </c>
      <c r="L50" s="306">
        <v>0.0</v>
      </c>
      <c r="M50" s="304" t="e">
        <f>ROUNDUP(IF('AS400 JEMBATAN'!$S50&gt;='AS400 JEMBATAN'!$R50,'AS400 JEMBATAN'!M50,$S50/$M$4)+$U50,0)</f>
        <v>#REF!</v>
      </c>
      <c r="N50" s="304" t="e">
        <f>ROUNDUP(IF('AS400 JEMBATAN'!$S50&gt;='AS400 JEMBATAN'!$R50,'AS400 JEMBATAN'!N50,$S50/$M$4)+$U50,0)</f>
        <v>#REF!</v>
      </c>
      <c r="O50" s="304" t="e">
        <f>ROUNDUP(IF('AS400 JEMBATAN'!$S50&gt;='AS400 JEMBATAN'!$R50,'AS400 JEMBATAN'!O50,$S50/$M$4)+$U50,0)</f>
        <v>#REF!</v>
      </c>
      <c r="P50" s="304" t="e">
        <f>ROUNDUP(IF('AS400 JEMBATAN'!$S50&gt;='AS400 JEMBATAN'!$R50,'AS400 JEMBATAN'!P50,$S50/$M$4)+$U50,0)</f>
        <v>#REF!</v>
      </c>
      <c r="Q50" s="304"/>
      <c r="R50" s="304" t="e">
        <f>SUM(M50:M50)</f>
        <v>#REF!</v>
      </c>
      <c r="S50" s="305" t="e">
        <f>'Qty &amp; UMH GUM'!U50</f>
        <v>#REF!</v>
      </c>
      <c r="T50" s="305" t="e">
        <f>ROUNDUP((S50-R50)/$M$4,0)</f>
        <v>#REF!</v>
      </c>
      <c r="U50" s="307"/>
      <c r="V50" s="304" t="e">
        <f>ROUNDUP(IF('AS400 JEMBATAN'!$AB50&gt;='AS400 JEMBATAN'!$AA50,'AS400 JEMBATAN'!V50,$AB50/$V$4)+$AD50,0)</f>
        <v>#REF!</v>
      </c>
      <c r="W50" s="304" t="e">
        <f>ROUNDUP(IF('AS400 JEMBATAN'!$AB50&gt;='AS400 JEMBATAN'!$AA50,'AS400 JEMBATAN'!W50,$AB50/$V$4)+$AD50,0)</f>
        <v>#REF!</v>
      </c>
      <c r="X50" s="304" t="e">
        <f>ROUNDUP(IF('AS400 JEMBATAN'!$AB50&gt;='AS400 JEMBATAN'!$AA50,'AS400 JEMBATAN'!X50,$AB50/$V$4)+$AD50,0)</f>
        <v>#REF!</v>
      </c>
      <c r="Y50" s="304" t="e">
        <f>ROUNDUP(IF('AS400 JEMBATAN'!$AB50&gt;='AS400 JEMBATAN'!$AA50,'AS400 JEMBATAN'!Y50,$AB50/$V$4)+$AD50,0)</f>
        <v>#REF!</v>
      </c>
      <c r="Z50" s="304"/>
      <c r="AA50" s="304" t="e">
        <f>SUM(V50:V50)</f>
        <v>#REF!</v>
      </c>
      <c r="AB50" s="305" t="e">
        <f>'Qty &amp; UMH GUM'!X50</f>
        <v>#REF!</v>
      </c>
      <c r="AC50" s="304" t="e">
        <f>ROUNDUP((AB50-AA50)/$V$4,0)</f>
        <v>#REF!</v>
      </c>
      <c r="AD50" s="307">
        <v>0.0</v>
      </c>
      <c r="AE50" s="304" t="e">
        <f>ROUNDUP(IF('AS400 JEMBATAN'!$AK50&gt;='AS400 JEMBATAN'!$AJ50,'AS400 JEMBATAN'!AE50,$AK50/$AE$4)+$AM50,0)</f>
        <v>#REF!</v>
      </c>
      <c r="AF50" s="304" t="e">
        <f>ROUNDUP(IF('AS400 JEMBATAN'!$AK50&gt;='AS400 JEMBATAN'!$AJ50,'AS400 JEMBATAN'!AF50,$AK50/$AE$4)+$AM50,0)</f>
        <v>#REF!</v>
      </c>
      <c r="AG50" s="304" t="e">
        <f>ROUNDUP(IF('AS400 JEMBATAN'!$AK50&gt;='AS400 JEMBATAN'!$AJ50,'AS400 JEMBATAN'!AG50,$AK50/$AE$4)+$AM50,0)</f>
        <v>#REF!</v>
      </c>
      <c r="AH50" s="304" t="e">
        <f>ROUNDUP(IF('AS400 JEMBATAN'!$AK50&gt;='AS400 JEMBATAN'!$AJ50,'AS400 JEMBATAN'!AH50,$AK50/$AE$4)+$AM50,0)</f>
        <v>#REF!</v>
      </c>
      <c r="AI50" s="304"/>
      <c r="AJ50" s="304" t="e">
        <f>SUM(AE50:AE50)</f>
        <v>#REF!</v>
      </c>
      <c r="AK50" s="305" t="e">
        <f>'Qty &amp; UMH GUM'!AA50</f>
        <v>#REF!</v>
      </c>
      <c r="AL50" s="304" t="e">
        <f>ROUNDUP((AK50-AJ50)/$AE$4,0)</f>
        <v>#REF!</v>
      </c>
      <c r="AM50" s="409"/>
      <c r="AN50" s="308" t="e">
        <f>ROUNDUP(IF('AS400 JEMBATAN'!$AT50&gt;='AS400 JEMBATAN'!$AS50,'AS400 JEMBATAN'!AN50,$AT50/$AN$4)+$AV50,0)</f>
        <v>#REF!</v>
      </c>
      <c r="AO50" s="304" t="e">
        <f>ROUNDUP(IF('AS400 JEMBATAN'!$AT50&gt;='AS400 JEMBATAN'!$AS50,'AS400 JEMBATAN'!AO50,$AT50/$AN$4)+$AV50,0)</f>
        <v>#REF!</v>
      </c>
      <c r="AP50" s="304" t="e">
        <f>ROUNDUP(IF('AS400 JEMBATAN'!$AT50&gt;='AS400 JEMBATAN'!$AS50,'AS400 JEMBATAN'!AP50,$AT50/$AN$4)+$AV50,0)</f>
        <v>#REF!</v>
      </c>
      <c r="AQ50" s="304" t="e">
        <f>ROUNDUP(IF('AS400 JEMBATAN'!$AT50&gt;='AS400 JEMBATAN'!$AS50,'AS400 JEMBATAN'!AQ50,$AT50/$AN$4)+$AV50,0)</f>
        <v>#REF!</v>
      </c>
      <c r="AR50" s="304"/>
      <c r="AS50" s="304" t="e">
        <f>SUM(AN50:AN50)</f>
        <v>#REF!</v>
      </c>
      <c r="AT50" s="305" t="e">
        <f>'Qty &amp; UMH GUM'!AD50</f>
        <v>#REF!</v>
      </c>
      <c r="AU50" s="304" t="e">
        <f>ROUNDUP((AT50-AS50)/$AN$4,0)</f>
        <v>#REF!</v>
      </c>
      <c r="AV50" s="311"/>
    </row>
    <row r="51" spans="1:53" customHeight="1" ht="18.75">
      <c r="A51" s="445"/>
      <c r="B51" s="343" t="str">
        <f>'Qty &amp; UMH GUM'!C51</f>
        <v>82111-4DM91</v>
      </c>
      <c r="C51" s="281"/>
      <c r="D51" s="304" t="e">
        <f>ROUNDUP(IF('AS400 JEMBATAN'!$J51&gt;='AS400 JEMBATAN'!$I51,'AS400 JEMBATAN'!D51,$J51/$D$4)+$L51,0)</f>
        <v>#REF!</v>
      </c>
      <c r="E51" s="304" t="e">
        <f>ROUNDUP(IF('AS400 JEMBATAN'!$J51&gt;='AS400 JEMBATAN'!$I51,'AS400 JEMBATAN'!E51,$J51/$D$4)+$L51,0)</f>
        <v>#REF!</v>
      </c>
      <c r="F51" s="304" t="e">
        <f>ROUNDUP(IF('AS400 JEMBATAN'!$J51&gt;='AS400 JEMBATAN'!$I51,'AS400 JEMBATAN'!F51,$J51/$D$4)+$L51,0)</f>
        <v>#REF!</v>
      </c>
      <c r="G51" s="304" t="e">
        <f>ROUNDUP(IF('AS400 JEMBATAN'!$J51&gt;='AS400 JEMBATAN'!$I51,'AS400 JEMBATAN'!G51,$J51/$D$4)+$L51,0)</f>
        <v>#REF!</v>
      </c>
      <c r="H51" s="304" t="e">
        <f>ROUNDUP(IF('AS400 JEMBATAN'!$J51&gt;='AS400 JEMBATAN'!$I51,'AS400 JEMBATAN'!H51,$J51/$D$4)+$L51,0)</f>
        <v>#REF!</v>
      </c>
      <c r="I51" s="304" t="e">
        <f>SUM(D51:D51)</f>
        <v>#REF!</v>
      </c>
      <c r="J51" s="305" t="e">
        <f>'Qty &amp; UMH GUM'!R51</f>
        <v>#REF!</v>
      </c>
      <c r="K51" s="305" t="e">
        <f>ROUNDUP((J51-I51)/$D$4,0)</f>
        <v>#REF!</v>
      </c>
      <c r="L51" s="306">
        <v>0.0</v>
      </c>
      <c r="M51" s="304" t="e">
        <f>ROUNDUP(IF('AS400 JEMBATAN'!$S51&gt;='AS400 JEMBATAN'!$R51,'AS400 JEMBATAN'!M51,$S51/$M$4)+$U51,0)</f>
        <v>#REF!</v>
      </c>
      <c r="N51" s="304" t="e">
        <f>ROUNDUP(IF('AS400 JEMBATAN'!$S51&gt;='AS400 JEMBATAN'!$R51,'AS400 JEMBATAN'!N51,$S51/$M$4)+$U51,0)</f>
        <v>#REF!</v>
      </c>
      <c r="O51" s="304" t="e">
        <f>ROUNDUP(IF('AS400 JEMBATAN'!$S51&gt;='AS400 JEMBATAN'!$R51,'AS400 JEMBATAN'!O51,$S51/$M$4)+$U51,0)</f>
        <v>#REF!</v>
      </c>
      <c r="P51" s="304" t="e">
        <f>ROUNDUP(IF('AS400 JEMBATAN'!$S51&gt;='AS400 JEMBATAN'!$R51,'AS400 JEMBATAN'!P51,$S51/$M$4)+$U51,0)</f>
        <v>#REF!</v>
      </c>
      <c r="Q51" s="304"/>
      <c r="R51" s="304" t="e">
        <f>SUM(M51:M51)</f>
        <v>#REF!</v>
      </c>
      <c r="S51" s="305" t="e">
        <f>'Qty &amp; UMH GUM'!U51</f>
        <v>#REF!</v>
      </c>
      <c r="T51" s="305" t="e">
        <f>ROUNDUP((S51-R51)/$M$4,0)</f>
        <v>#REF!</v>
      </c>
      <c r="U51" s="307"/>
      <c r="V51" s="304" t="e">
        <f>ROUNDUP(IF('AS400 JEMBATAN'!$AB51&gt;='AS400 JEMBATAN'!$AA51,'AS400 JEMBATAN'!V51,$AB51/$V$4)+$AD51,0)</f>
        <v>#REF!</v>
      </c>
      <c r="W51" s="304" t="e">
        <f>ROUNDUP(IF('AS400 JEMBATAN'!$AB51&gt;='AS400 JEMBATAN'!$AA51,'AS400 JEMBATAN'!W51,$AB51/$V$4)+$AD51,0)</f>
        <v>#REF!</v>
      </c>
      <c r="X51" s="304" t="e">
        <f>ROUNDUP(IF('AS400 JEMBATAN'!$AB51&gt;='AS400 JEMBATAN'!$AA51,'AS400 JEMBATAN'!X51,$AB51/$V$4)+$AD51,0)</f>
        <v>#REF!</v>
      </c>
      <c r="Y51" s="304" t="e">
        <f>ROUNDUP(IF('AS400 JEMBATAN'!$AB51&gt;='AS400 JEMBATAN'!$AA51,'AS400 JEMBATAN'!Y51,$AB51/$V$4)+$AD51,0)</f>
        <v>#REF!</v>
      </c>
      <c r="Z51" s="304"/>
      <c r="AA51" s="304" t="e">
        <f>SUM(V51:V51)</f>
        <v>#REF!</v>
      </c>
      <c r="AB51" s="305" t="e">
        <f>'Qty &amp; UMH GUM'!X51</f>
        <v>#REF!</v>
      </c>
      <c r="AC51" s="304" t="e">
        <f>ROUNDUP((AB51-AA51)/$V$4,0)</f>
        <v>#REF!</v>
      </c>
      <c r="AD51" s="307">
        <v>0.0</v>
      </c>
      <c r="AE51" s="304" t="e">
        <f>ROUNDUP(IF('AS400 JEMBATAN'!$AK51&gt;='AS400 JEMBATAN'!$AJ51,'AS400 JEMBATAN'!AE51,$AK51/$AE$4)+$AM51,0)</f>
        <v>#REF!</v>
      </c>
      <c r="AF51" s="304" t="e">
        <f>ROUNDUP(IF('AS400 JEMBATAN'!$AK51&gt;='AS400 JEMBATAN'!$AJ51,'AS400 JEMBATAN'!AF51,$AK51/$AE$4)+$AM51,0)</f>
        <v>#REF!</v>
      </c>
      <c r="AG51" s="304" t="e">
        <f>ROUNDUP(IF('AS400 JEMBATAN'!$AK51&gt;='AS400 JEMBATAN'!$AJ51,'AS400 JEMBATAN'!AG51,$AK51/$AE$4)+$AM51,0)</f>
        <v>#REF!</v>
      </c>
      <c r="AH51" s="304" t="e">
        <f>ROUNDUP(IF('AS400 JEMBATAN'!$AK51&gt;='AS400 JEMBATAN'!$AJ51,'AS400 JEMBATAN'!AH51,$AK51/$AE$4)+$AM51,0)</f>
        <v>#REF!</v>
      </c>
      <c r="AI51" s="304"/>
      <c r="AJ51" s="304" t="e">
        <f>SUM(AE51:AE51)</f>
        <v>#REF!</v>
      </c>
      <c r="AK51" s="305" t="e">
        <f>'Qty &amp; UMH GUM'!AA51</f>
        <v>#REF!</v>
      </c>
      <c r="AL51" s="304" t="e">
        <f>ROUNDUP((AK51-AJ51)/$AE$4,0)</f>
        <v>#REF!</v>
      </c>
      <c r="AM51" s="409"/>
      <c r="AN51" s="308" t="e">
        <f>ROUNDUP(IF('AS400 JEMBATAN'!$AT51&gt;='AS400 JEMBATAN'!$AS51,'AS400 JEMBATAN'!AN51,$AT51/$AN$4)+$AV51,0)</f>
        <v>#REF!</v>
      </c>
      <c r="AO51" s="304" t="e">
        <f>ROUNDUP(IF('AS400 JEMBATAN'!$AT51&gt;='AS400 JEMBATAN'!$AS51,'AS400 JEMBATAN'!AO51,$AT51/$AN$4)+$AV51,0)</f>
        <v>#REF!</v>
      </c>
      <c r="AP51" s="304" t="e">
        <f>ROUNDUP(IF('AS400 JEMBATAN'!$AT51&gt;='AS400 JEMBATAN'!$AS51,'AS400 JEMBATAN'!AP51,$AT51/$AN$4)+$AV51,0)</f>
        <v>#REF!</v>
      </c>
      <c r="AQ51" s="304" t="e">
        <f>ROUNDUP(IF('AS400 JEMBATAN'!$AT51&gt;='AS400 JEMBATAN'!$AS51,'AS400 JEMBATAN'!AQ51,$AT51/$AN$4)+$AV51,0)</f>
        <v>#REF!</v>
      </c>
      <c r="AR51" s="304"/>
      <c r="AS51" s="304" t="e">
        <f>SUM(AN51:AN51)</f>
        <v>#REF!</v>
      </c>
      <c r="AT51" s="305" t="e">
        <f>'Qty &amp; UMH GUM'!AD51</f>
        <v>#REF!</v>
      </c>
      <c r="AU51" s="304" t="e">
        <f>ROUNDUP((AT51-AS51)/$AN$4,0)</f>
        <v>#REF!</v>
      </c>
      <c r="AV51" s="311"/>
    </row>
    <row r="52" spans="1:53" customHeight="1" ht="18.75">
      <c r="A52" s="445"/>
      <c r="B52" s="342" t="str">
        <f>'Qty &amp; UMH GUM'!C52</f>
        <v>82111-4DN31</v>
      </c>
      <c r="C52" s="303"/>
      <c r="D52" s="304" t="e">
        <f>ROUNDUP(IF('AS400 JEMBATAN'!$J52&gt;='AS400 JEMBATAN'!$I52,'AS400 JEMBATAN'!D52,$J52/$D$4)+$L52,0)</f>
        <v>#REF!</v>
      </c>
      <c r="E52" s="304" t="e">
        <f>ROUNDUP(IF('AS400 JEMBATAN'!$J52&gt;='AS400 JEMBATAN'!$I52,'AS400 JEMBATAN'!E52,$J52/$D$4)+$L52,0)</f>
        <v>#REF!</v>
      </c>
      <c r="F52" s="304" t="e">
        <f>ROUNDUP(IF('AS400 JEMBATAN'!$J52&gt;='AS400 JEMBATAN'!$I52,'AS400 JEMBATAN'!F52,$J52/$D$4)+$L52,0)</f>
        <v>#REF!</v>
      </c>
      <c r="G52" s="304" t="e">
        <f>ROUNDUP(IF('AS400 JEMBATAN'!$J52&gt;='AS400 JEMBATAN'!$I52,'AS400 JEMBATAN'!G52,$J52/$D$4)+$L52,0)</f>
        <v>#REF!</v>
      </c>
      <c r="H52" s="304" t="e">
        <f>ROUNDUP(IF('AS400 JEMBATAN'!$J52&gt;='AS400 JEMBATAN'!$I52,'AS400 JEMBATAN'!H52,$J52/$D$4)+$L52,0)</f>
        <v>#REF!</v>
      </c>
      <c r="I52" s="304" t="e">
        <f>SUM(D52:D52)</f>
        <v>#REF!</v>
      </c>
      <c r="J52" s="305" t="e">
        <f>'Qty &amp; UMH GUM'!R52</f>
        <v>#REF!</v>
      </c>
      <c r="K52" s="305" t="e">
        <f>ROUNDUP((J52-I52)/$D$4,0)</f>
        <v>#REF!</v>
      </c>
      <c r="L52" s="306">
        <v>0.0</v>
      </c>
      <c r="M52" s="304" t="e">
        <f>ROUNDUP(IF('AS400 JEMBATAN'!$S52&gt;='AS400 JEMBATAN'!$R52,'AS400 JEMBATAN'!M52,$S52/$M$4)+$U52,0)</f>
        <v>#REF!</v>
      </c>
      <c r="N52" s="304" t="e">
        <f>ROUNDUP(IF('AS400 JEMBATAN'!$S52&gt;='AS400 JEMBATAN'!$R52,'AS400 JEMBATAN'!N52,$S52/$M$4)+$U52,0)</f>
        <v>#REF!</v>
      </c>
      <c r="O52" s="304" t="e">
        <f>ROUNDUP(IF('AS400 JEMBATAN'!$S52&gt;='AS400 JEMBATAN'!$R52,'AS400 JEMBATAN'!O52,$S52/$M$4)+$U52,0)</f>
        <v>#REF!</v>
      </c>
      <c r="P52" s="304" t="e">
        <f>ROUNDUP(IF('AS400 JEMBATAN'!$S52&gt;='AS400 JEMBATAN'!$R52,'AS400 JEMBATAN'!P52,$S52/$M$4)+$U52,0)</f>
        <v>#REF!</v>
      </c>
      <c r="Q52" s="304"/>
      <c r="R52" s="304" t="e">
        <f>SUM(M52:M52)</f>
        <v>#REF!</v>
      </c>
      <c r="S52" s="305" t="e">
        <f>'Qty &amp; UMH GUM'!U52</f>
        <v>#REF!</v>
      </c>
      <c r="T52" s="305" t="e">
        <f>ROUNDUP((S52-R52)/$M$4,0)</f>
        <v>#REF!</v>
      </c>
      <c r="U52" s="307"/>
      <c r="V52" s="304" t="e">
        <f>ROUNDUP(IF('AS400 JEMBATAN'!$AB52&gt;='AS400 JEMBATAN'!$AA52,'AS400 JEMBATAN'!V52,$AB52/$V$4)+$AD52,0)</f>
        <v>#REF!</v>
      </c>
      <c r="W52" s="304" t="e">
        <f>ROUNDUP(IF('AS400 JEMBATAN'!$AB52&gt;='AS400 JEMBATAN'!$AA52,'AS400 JEMBATAN'!W52,$AB52/$V$4)+$AD52,0)</f>
        <v>#REF!</v>
      </c>
      <c r="X52" s="304" t="e">
        <f>ROUNDUP(IF('AS400 JEMBATAN'!$AB52&gt;='AS400 JEMBATAN'!$AA52,'AS400 JEMBATAN'!X52,$AB52/$V$4)+$AD52,0)</f>
        <v>#REF!</v>
      </c>
      <c r="Y52" s="304" t="e">
        <f>ROUNDUP(IF('AS400 JEMBATAN'!$AB52&gt;='AS400 JEMBATAN'!$AA52,'AS400 JEMBATAN'!Y52,$AB52/$V$4)+$AD52,0)</f>
        <v>#REF!</v>
      </c>
      <c r="Z52" s="304"/>
      <c r="AA52" s="304" t="e">
        <f>SUM(V52:V52)</f>
        <v>#REF!</v>
      </c>
      <c r="AB52" s="305" t="e">
        <f>'Qty &amp; UMH GUM'!X52</f>
        <v>#REF!</v>
      </c>
      <c r="AC52" s="304" t="e">
        <f>ROUNDUP((AB52-AA52)/$V$4,0)</f>
        <v>#REF!</v>
      </c>
      <c r="AD52" s="307">
        <v>0.0</v>
      </c>
      <c r="AE52" s="304" t="e">
        <f>ROUNDUP(IF('AS400 JEMBATAN'!$AK52&gt;='AS400 JEMBATAN'!$AJ52,'AS400 JEMBATAN'!AE52,$AK52/$AE$4)+$AM52,0)</f>
        <v>#REF!</v>
      </c>
      <c r="AF52" s="304" t="e">
        <f>ROUNDUP(IF('AS400 JEMBATAN'!$AK52&gt;='AS400 JEMBATAN'!$AJ52,'AS400 JEMBATAN'!AF52,$AK52/$AE$4)+$AM52,0)</f>
        <v>#REF!</v>
      </c>
      <c r="AG52" s="304" t="e">
        <f>ROUNDUP(IF('AS400 JEMBATAN'!$AK52&gt;='AS400 JEMBATAN'!$AJ52,'AS400 JEMBATAN'!AG52,$AK52/$AE$4)+$AM52,0)</f>
        <v>#REF!</v>
      </c>
      <c r="AH52" s="304" t="e">
        <f>ROUNDUP(IF('AS400 JEMBATAN'!$AK52&gt;='AS400 JEMBATAN'!$AJ52,'AS400 JEMBATAN'!AH52,$AK52/$AE$4)+$AM52,0)</f>
        <v>#REF!</v>
      </c>
      <c r="AI52" s="304"/>
      <c r="AJ52" s="304" t="e">
        <f>SUM(AE52:AE52)</f>
        <v>#REF!</v>
      </c>
      <c r="AK52" s="305" t="e">
        <f>'Qty &amp; UMH GUM'!AA52</f>
        <v>#REF!</v>
      </c>
      <c r="AL52" s="304" t="e">
        <f>ROUNDUP((AK52-AJ52)/$AE$4,0)</f>
        <v>#REF!</v>
      </c>
      <c r="AM52" s="307"/>
      <c r="AN52" s="308" t="e">
        <f>ROUNDUP(IF('AS400 JEMBATAN'!$AT52&gt;='AS400 JEMBATAN'!$AS52,'AS400 JEMBATAN'!AN52,$AT52/$AN$4)+$AV52,0)</f>
        <v>#REF!</v>
      </c>
      <c r="AO52" s="304" t="e">
        <f>ROUNDUP(IF('AS400 JEMBATAN'!$AT52&gt;='AS400 JEMBATAN'!$AS52,'AS400 JEMBATAN'!AO52,$AT52/$AN$4)+$AV52,0)</f>
        <v>#REF!</v>
      </c>
      <c r="AP52" s="304" t="e">
        <f>ROUNDUP(IF('AS400 JEMBATAN'!$AT52&gt;='AS400 JEMBATAN'!$AS52,'AS400 JEMBATAN'!AP52,$AT52/$AN$4)+$AV52,0)</f>
        <v>#REF!</v>
      </c>
      <c r="AQ52" s="304" t="e">
        <f>ROUNDUP(IF('AS400 JEMBATAN'!$AT52&gt;='AS400 JEMBATAN'!$AS52,'AS400 JEMBATAN'!AQ52,$AT52/$AN$4)+$AV52,0)</f>
        <v>#REF!</v>
      </c>
      <c r="AR52" s="304"/>
      <c r="AS52" s="304" t="e">
        <f>SUM(AN52:AN52)</f>
        <v>#REF!</v>
      </c>
      <c r="AT52" s="305" t="e">
        <f>'Qty &amp; UMH GUM'!AD52</f>
        <v>#REF!</v>
      </c>
      <c r="AU52" s="304" t="e">
        <f>ROUNDUP((AT52-AS52)/$AN$4,0)</f>
        <v>#REF!</v>
      </c>
      <c r="AV52" s="307"/>
      <c r="AW52" s="296"/>
      <c r="AX52" s="296"/>
      <c r="AY52" s="296"/>
      <c r="AZ52" s="296"/>
      <c r="BA52" s="296"/>
    </row>
    <row r="53" spans="1:53" customHeight="1" ht="18.75">
      <c r="A53" s="445"/>
      <c r="B53" s="342" t="str">
        <f>'Qty &amp; UMH GUM'!C53</f>
        <v>82111-4DN41</v>
      </c>
      <c r="C53" s="303"/>
      <c r="D53" s="304" t="e">
        <f>ROUNDUP(IF('AS400 JEMBATAN'!$J53&gt;='AS400 JEMBATAN'!$I53,'AS400 JEMBATAN'!D53,$J53/$D$4)+$L53,0)</f>
        <v>#REF!</v>
      </c>
      <c r="E53" s="304" t="e">
        <f>ROUNDUP(IF('AS400 JEMBATAN'!$J53&gt;='AS400 JEMBATAN'!$I53,'AS400 JEMBATAN'!E53,$J53/$D$4)+$L53,0)</f>
        <v>#REF!</v>
      </c>
      <c r="F53" s="304" t="e">
        <f>ROUNDUP(IF('AS400 JEMBATAN'!$J53&gt;='AS400 JEMBATAN'!$I53,'AS400 JEMBATAN'!F53,$J53/$D$4)+$L53,0)</f>
        <v>#REF!</v>
      </c>
      <c r="G53" s="304" t="e">
        <f>ROUNDUP(IF('AS400 JEMBATAN'!$J53&gt;='AS400 JEMBATAN'!$I53,'AS400 JEMBATAN'!G53,$J53/$D$4)+$L53,0)</f>
        <v>#REF!</v>
      </c>
      <c r="H53" s="304" t="e">
        <f>ROUNDUP(IF('AS400 JEMBATAN'!$J53&gt;='AS400 JEMBATAN'!$I53,'AS400 JEMBATAN'!H53,$J53/$D$4)+$L53,0)</f>
        <v>#REF!</v>
      </c>
      <c r="I53" s="304" t="e">
        <f>SUM(D53:D53)</f>
        <v>#REF!</v>
      </c>
      <c r="J53" s="305" t="e">
        <f>'Qty &amp; UMH GUM'!R53</f>
        <v>#REF!</v>
      </c>
      <c r="K53" s="305" t="e">
        <f>ROUNDUP((J53-I53)/$D$4,0)</f>
        <v>#REF!</v>
      </c>
      <c r="L53" s="306">
        <v>0.0</v>
      </c>
      <c r="M53" s="304" t="e">
        <f>ROUNDUP(IF('AS400 JEMBATAN'!$S53&gt;='AS400 JEMBATAN'!$R53,'AS400 JEMBATAN'!M53,$S53/$M$4)+$U53,0)</f>
        <v>#REF!</v>
      </c>
      <c r="N53" s="304" t="e">
        <f>ROUNDUP(IF('AS400 JEMBATAN'!$S53&gt;='AS400 JEMBATAN'!$R53,'AS400 JEMBATAN'!N53,$S53/$M$4)+$U53,0)</f>
        <v>#REF!</v>
      </c>
      <c r="O53" s="304" t="e">
        <f>ROUNDUP(IF('AS400 JEMBATAN'!$S53&gt;='AS400 JEMBATAN'!$R53,'AS400 JEMBATAN'!O53,$S53/$M$4)+$U53,0)</f>
        <v>#REF!</v>
      </c>
      <c r="P53" s="304" t="e">
        <f>ROUNDUP(IF('AS400 JEMBATAN'!$S53&gt;='AS400 JEMBATAN'!$R53,'AS400 JEMBATAN'!P53,$S53/$M$4)+$U53,0)</f>
        <v>#REF!</v>
      </c>
      <c r="Q53" s="304"/>
      <c r="R53" s="304" t="e">
        <f>SUM(M53:M53)</f>
        <v>#REF!</v>
      </c>
      <c r="S53" s="305" t="e">
        <f>'Qty &amp; UMH GUM'!U53</f>
        <v>#REF!</v>
      </c>
      <c r="T53" s="305" t="e">
        <f>ROUNDUP((S53-R53)/$M$4,0)</f>
        <v>#REF!</v>
      </c>
      <c r="U53" s="307"/>
      <c r="V53" s="304" t="e">
        <f>ROUNDUP(IF('AS400 JEMBATAN'!$AB53&gt;='AS400 JEMBATAN'!$AA53,'AS400 JEMBATAN'!V53,$AB53/$V$4)+$AD53,0)</f>
        <v>#REF!</v>
      </c>
      <c r="W53" s="304" t="e">
        <f>ROUNDUP(IF('AS400 JEMBATAN'!$AB53&gt;='AS400 JEMBATAN'!$AA53,'AS400 JEMBATAN'!W53,$AB53/$V$4)+$AD53,0)</f>
        <v>#REF!</v>
      </c>
      <c r="X53" s="304" t="e">
        <f>ROUNDUP(IF('AS400 JEMBATAN'!$AB53&gt;='AS400 JEMBATAN'!$AA53,'AS400 JEMBATAN'!X53,$AB53/$V$4)+$AD53,0)</f>
        <v>#REF!</v>
      </c>
      <c r="Y53" s="304" t="e">
        <f>ROUNDUP(IF('AS400 JEMBATAN'!$AB53&gt;='AS400 JEMBATAN'!$AA53,'AS400 JEMBATAN'!Y53,$AB53/$V$4)+$AD53,0)</f>
        <v>#REF!</v>
      </c>
      <c r="Z53" s="304"/>
      <c r="AA53" s="304" t="e">
        <f>SUM(V53:V53)</f>
        <v>#REF!</v>
      </c>
      <c r="AB53" s="305" t="e">
        <f>'Qty &amp; UMH GUM'!X53</f>
        <v>#REF!</v>
      </c>
      <c r="AC53" s="304" t="e">
        <f>ROUNDUP((AB53-AA53)/$V$4,0)</f>
        <v>#REF!</v>
      </c>
      <c r="AD53" s="307">
        <v>0.0</v>
      </c>
      <c r="AE53" s="304" t="e">
        <f>ROUNDUP(IF('AS400 JEMBATAN'!$AK53&gt;='AS400 JEMBATAN'!$AJ53,'AS400 JEMBATAN'!AE53,$AK53/$AE$4)+$AM53,0)</f>
        <v>#REF!</v>
      </c>
      <c r="AF53" s="304" t="e">
        <f>ROUNDUP(IF('AS400 JEMBATAN'!$AK53&gt;='AS400 JEMBATAN'!$AJ53,'AS400 JEMBATAN'!AF53,$AK53/$AE$4)+$AM53,0)</f>
        <v>#REF!</v>
      </c>
      <c r="AG53" s="304" t="e">
        <f>ROUNDUP(IF('AS400 JEMBATAN'!$AK53&gt;='AS400 JEMBATAN'!$AJ53,'AS400 JEMBATAN'!AG53,$AK53/$AE$4)+$AM53,0)</f>
        <v>#REF!</v>
      </c>
      <c r="AH53" s="304" t="e">
        <f>ROUNDUP(IF('AS400 JEMBATAN'!$AK53&gt;='AS400 JEMBATAN'!$AJ53,'AS400 JEMBATAN'!AH53,$AK53/$AE$4)+$AM53,0)</f>
        <v>#REF!</v>
      </c>
      <c r="AI53" s="304"/>
      <c r="AJ53" s="304" t="e">
        <f>SUM(AE53:AE53)</f>
        <v>#REF!</v>
      </c>
      <c r="AK53" s="305" t="e">
        <f>'Qty &amp; UMH GUM'!AA53</f>
        <v>#REF!</v>
      </c>
      <c r="AL53" s="304" t="e">
        <f>ROUNDUP((AK53-AJ53)/$AE$4,0)</f>
        <v>#REF!</v>
      </c>
      <c r="AM53" s="307"/>
      <c r="AN53" s="308" t="e">
        <f>ROUNDUP(IF('AS400 JEMBATAN'!$AT53&gt;='AS400 JEMBATAN'!$AS53,'AS400 JEMBATAN'!AN53,$AT53/$AN$4)+$AV53,0)</f>
        <v>#REF!</v>
      </c>
      <c r="AO53" s="304" t="e">
        <f>ROUNDUP(IF('AS400 JEMBATAN'!$AT53&gt;='AS400 JEMBATAN'!$AS53,'AS400 JEMBATAN'!AO53,$AT53/$AN$4)+$AV53,0)</f>
        <v>#REF!</v>
      </c>
      <c r="AP53" s="304" t="e">
        <f>ROUNDUP(IF('AS400 JEMBATAN'!$AT53&gt;='AS400 JEMBATAN'!$AS53,'AS400 JEMBATAN'!AP53,$AT53/$AN$4)+$AV53,0)</f>
        <v>#REF!</v>
      </c>
      <c r="AQ53" s="304" t="e">
        <f>ROUNDUP(IF('AS400 JEMBATAN'!$AT53&gt;='AS400 JEMBATAN'!$AS53,'AS400 JEMBATAN'!AQ53,$AT53/$AN$4)+$AV53,0)</f>
        <v>#REF!</v>
      </c>
      <c r="AR53" s="304"/>
      <c r="AS53" s="304" t="e">
        <f>SUM(AN53:AN53)</f>
        <v>#REF!</v>
      </c>
      <c r="AT53" s="305" t="e">
        <f>'Qty &amp; UMH GUM'!AD53</f>
        <v>#REF!</v>
      </c>
      <c r="AU53" s="304" t="e">
        <f>ROUNDUP((AT53-AS53)/$AN$4,0)</f>
        <v>#REF!</v>
      </c>
      <c r="AV53" s="307"/>
      <c r="AW53" s="296"/>
      <c r="AX53" s="296"/>
      <c r="AY53" s="296"/>
      <c r="AZ53" s="296"/>
      <c r="BA53" s="296"/>
    </row>
    <row r="54" spans="1:53" customHeight="1" ht="18.75">
      <c r="A54" s="445"/>
      <c r="B54" s="342" t="str">
        <f>'Qty &amp; UMH GUM'!C54</f>
        <v>82111-4DN51</v>
      </c>
      <c r="C54" s="303"/>
      <c r="D54" s="304" t="e">
        <f>ROUNDUP(IF('AS400 JEMBATAN'!$J54&gt;='AS400 JEMBATAN'!$I54,'AS400 JEMBATAN'!D54,$J54/$D$4)+$L54,0)</f>
        <v>#REF!</v>
      </c>
      <c r="E54" s="304" t="e">
        <f>ROUNDUP(IF('AS400 JEMBATAN'!$J54&gt;='AS400 JEMBATAN'!$I54,'AS400 JEMBATAN'!E54,$J54/$D$4)+$L54,0)</f>
        <v>#REF!</v>
      </c>
      <c r="F54" s="304" t="e">
        <f>ROUNDUP(IF('AS400 JEMBATAN'!$J54&gt;='AS400 JEMBATAN'!$I54,'AS400 JEMBATAN'!F54,$J54/$D$4)+$L54,0)</f>
        <v>#REF!</v>
      </c>
      <c r="G54" s="304" t="e">
        <f>ROUNDUP(IF('AS400 JEMBATAN'!$J54&gt;='AS400 JEMBATAN'!$I54,'AS400 JEMBATAN'!G54,$J54/$D$4)+$L54,0)</f>
        <v>#REF!</v>
      </c>
      <c r="H54" s="304" t="e">
        <f>ROUNDUP(IF('AS400 JEMBATAN'!$J54&gt;='AS400 JEMBATAN'!$I54,'AS400 JEMBATAN'!H54,$J54/$D$4)+$L54,0)</f>
        <v>#REF!</v>
      </c>
      <c r="I54" s="304" t="e">
        <f>SUM(D54:D54)</f>
        <v>#REF!</v>
      </c>
      <c r="J54" s="305" t="e">
        <f>'Qty &amp; UMH GUM'!R54</f>
        <v>#REF!</v>
      </c>
      <c r="K54" s="305" t="e">
        <f>ROUNDUP((J54-I54)/$D$4,0)</f>
        <v>#REF!</v>
      </c>
      <c r="L54" s="306">
        <v>0.0</v>
      </c>
      <c r="M54" s="304" t="e">
        <f>ROUNDUP(IF('AS400 JEMBATAN'!$S54&gt;='AS400 JEMBATAN'!$R54,'AS400 JEMBATAN'!M54,$S54/$M$4)+$U54,0)</f>
        <v>#REF!</v>
      </c>
      <c r="N54" s="304" t="e">
        <f>ROUNDUP(IF('AS400 JEMBATAN'!$S54&gt;='AS400 JEMBATAN'!$R54,'AS400 JEMBATAN'!N54,$S54/$M$4)+$U54,0)</f>
        <v>#REF!</v>
      </c>
      <c r="O54" s="304" t="e">
        <f>ROUNDUP(IF('AS400 JEMBATAN'!$S54&gt;='AS400 JEMBATAN'!$R54,'AS400 JEMBATAN'!O54,$S54/$M$4)+$U54,0)</f>
        <v>#REF!</v>
      </c>
      <c r="P54" s="304" t="e">
        <f>ROUNDUP(IF('AS400 JEMBATAN'!$S54&gt;='AS400 JEMBATAN'!$R54,'AS400 JEMBATAN'!P54,$S54/$M$4)+$U54,0)</f>
        <v>#REF!</v>
      </c>
      <c r="Q54" s="304"/>
      <c r="R54" s="304" t="e">
        <f>SUM(M54:M54)</f>
        <v>#REF!</v>
      </c>
      <c r="S54" s="305" t="e">
        <f>'Qty &amp; UMH GUM'!U54</f>
        <v>#REF!</v>
      </c>
      <c r="T54" s="305" t="e">
        <f>ROUNDUP((S54-R54)/$M$4,0)</f>
        <v>#REF!</v>
      </c>
      <c r="U54" s="307"/>
      <c r="V54" s="304" t="e">
        <f>ROUNDUP(IF('AS400 JEMBATAN'!$AB54&gt;='AS400 JEMBATAN'!$AA54,'AS400 JEMBATAN'!V54,$AB54/$V$4)+$AD54,0)</f>
        <v>#REF!</v>
      </c>
      <c r="W54" s="304" t="e">
        <f>ROUNDUP(IF('AS400 JEMBATAN'!$AB54&gt;='AS400 JEMBATAN'!$AA54,'AS400 JEMBATAN'!W54,$AB54/$V$4)+$AD54,0)</f>
        <v>#REF!</v>
      </c>
      <c r="X54" s="304" t="e">
        <f>ROUNDUP(IF('AS400 JEMBATAN'!$AB54&gt;='AS400 JEMBATAN'!$AA54,'AS400 JEMBATAN'!X54,$AB54/$V$4)+$AD54,0)</f>
        <v>#REF!</v>
      </c>
      <c r="Y54" s="304" t="e">
        <f>ROUNDUP(IF('AS400 JEMBATAN'!$AB54&gt;='AS400 JEMBATAN'!$AA54,'AS400 JEMBATAN'!Y54,$AB54/$V$4)+$AD54,0)</f>
        <v>#REF!</v>
      </c>
      <c r="Z54" s="304"/>
      <c r="AA54" s="304" t="e">
        <f>SUM(V54:V54)</f>
        <v>#REF!</v>
      </c>
      <c r="AB54" s="305" t="e">
        <f>'Qty &amp; UMH GUM'!X54</f>
        <v>#REF!</v>
      </c>
      <c r="AC54" s="304" t="e">
        <f>ROUNDUP((AB54-AA54)/$V$4,0)</f>
        <v>#REF!</v>
      </c>
      <c r="AD54" s="307">
        <v>0.0</v>
      </c>
      <c r="AE54" s="304" t="e">
        <f>ROUNDUP(IF('AS400 JEMBATAN'!$AK54&gt;='AS400 JEMBATAN'!$AJ54,'AS400 JEMBATAN'!AE54,$AK54/$AE$4)+$AM54,0)</f>
        <v>#REF!</v>
      </c>
      <c r="AF54" s="304" t="e">
        <f>ROUNDUP(IF('AS400 JEMBATAN'!$AK54&gt;='AS400 JEMBATAN'!$AJ54,'AS400 JEMBATAN'!AF54,$AK54/$AE$4)+$AM54,0)</f>
        <v>#REF!</v>
      </c>
      <c r="AG54" s="304" t="e">
        <f>ROUNDUP(IF('AS400 JEMBATAN'!$AK54&gt;='AS400 JEMBATAN'!$AJ54,'AS400 JEMBATAN'!AG54,$AK54/$AE$4)+$AM54,0)</f>
        <v>#REF!</v>
      </c>
      <c r="AH54" s="304" t="e">
        <f>ROUNDUP(IF('AS400 JEMBATAN'!$AK54&gt;='AS400 JEMBATAN'!$AJ54,'AS400 JEMBATAN'!AH54,$AK54/$AE$4)+$AM54,0)</f>
        <v>#REF!</v>
      </c>
      <c r="AI54" s="304"/>
      <c r="AJ54" s="304" t="e">
        <f>SUM(AE54:AE54)</f>
        <v>#REF!</v>
      </c>
      <c r="AK54" s="305" t="e">
        <f>'Qty &amp; UMH GUM'!AA54</f>
        <v>#REF!</v>
      </c>
      <c r="AL54" s="304" t="e">
        <f>ROUNDUP((AK54-AJ54)/$AE$4,0)</f>
        <v>#REF!</v>
      </c>
      <c r="AM54" s="307"/>
      <c r="AN54" s="308" t="e">
        <f>ROUNDUP(IF('AS400 JEMBATAN'!$AT54&gt;='AS400 JEMBATAN'!$AS54,'AS400 JEMBATAN'!AN54,$AT54/$AN$4)+$AV54,0)</f>
        <v>#REF!</v>
      </c>
      <c r="AO54" s="304" t="e">
        <f>ROUNDUP(IF('AS400 JEMBATAN'!$AT54&gt;='AS400 JEMBATAN'!$AS54,'AS400 JEMBATAN'!AO54,$AT54/$AN$4)+$AV54,0)</f>
        <v>#REF!</v>
      </c>
      <c r="AP54" s="304" t="e">
        <f>ROUNDUP(IF('AS400 JEMBATAN'!$AT54&gt;='AS400 JEMBATAN'!$AS54,'AS400 JEMBATAN'!AP54,$AT54/$AN$4)+$AV54,0)</f>
        <v>#REF!</v>
      </c>
      <c r="AQ54" s="304" t="e">
        <f>ROUNDUP(IF('AS400 JEMBATAN'!$AT54&gt;='AS400 JEMBATAN'!$AS54,'AS400 JEMBATAN'!AQ54,$AT54/$AN$4)+$AV54,0)</f>
        <v>#REF!</v>
      </c>
      <c r="AR54" s="304"/>
      <c r="AS54" s="304" t="e">
        <f>SUM(AN54:AN54)</f>
        <v>#REF!</v>
      </c>
      <c r="AT54" s="305" t="e">
        <f>'Qty &amp; UMH GUM'!AD54</f>
        <v>#REF!</v>
      </c>
      <c r="AU54" s="304" t="e">
        <f>ROUNDUP((AT54-AS54)/$AN$4,0)</f>
        <v>#REF!</v>
      </c>
      <c r="AV54" s="307"/>
      <c r="AW54" s="296"/>
      <c r="AX54" s="296"/>
      <c r="AY54" s="296"/>
      <c r="AZ54" s="296"/>
      <c r="BA54" s="296"/>
    </row>
    <row r="55" spans="1:53" customHeight="1" ht="18.75">
      <c r="A55" s="445"/>
      <c r="B55" s="342" t="str">
        <f>'Qty &amp; UMH GUM'!C55</f>
        <v>82111-4DN61</v>
      </c>
      <c r="C55" s="303"/>
      <c r="D55" s="304" t="e">
        <f>ROUNDUP(IF('AS400 JEMBATAN'!$J55&gt;='AS400 JEMBATAN'!$I55,'AS400 JEMBATAN'!D55,$J55/$D$4)+$L55,0)</f>
        <v>#REF!</v>
      </c>
      <c r="E55" s="304" t="e">
        <f>ROUNDUP(IF('AS400 JEMBATAN'!$J55&gt;='AS400 JEMBATAN'!$I55,'AS400 JEMBATAN'!E55,$J55/$D$4)+$L55,0)</f>
        <v>#REF!</v>
      </c>
      <c r="F55" s="304" t="e">
        <f>ROUNDUP(IF('AS400 JEMBATAN'!$J55&gt;='AS400 JEMBATAN'!$I55,'AS400 JEMBATAN'!F55,$J55/$D$4)+$L55,0)</f>
        <v>#REF!</v>
      </c>
      <c r="G55" s="304" t="e">
        <f>ROUNDUP(IF('AS400 JEMBATAN'!$J55&gt;='AS400 JEMBATAN'!$I55,'AS400 JEMBATAN'!G55,$J55/$D$4)+$L55,0)</f>
        <v>#REF!</v>
      </c>
      <c r="H55" s="304" t="e">
        <f>ROUNDUP(IF('AS400 JEMBATAN'!$J55&gt;='AS400 JEMBATAN'!$I55,'AS400 JEMBATAN'!H55,$J55/$D$4)+$L55,0)</f>
        <v>#REF!</v>
      </c>
      <c r="I55" s="304" t="e">
        <f>SUM(D55:D55)</f>
        <v>#REF!</v>
      </c>
      <c r="J55" s="305" t="e">
        <f>'Qty &amp; UMH GUM'!R55</f>
        <v>#REF!</v>
      </c>
      <c r="K55" s="305" t="e">
        <f>ROUNDUP((J55-I55)/$D$4,0)</f>
        <v>#REF!</v>
      </c>
      <c r="L55" s="306">
        <v>0.0</v>
      </c>
      <c r="M55" s="304" t="e">
        <f>ROUNDUP(IF('AS400 JEMBATAN'!$S55&gt;='AS400 JEMBATAN'!$R55,'AS400 JEMBATAN'!M55,$S55/$M$4)+$U55,0)</f>
        <v>#REF!</v>
      </c>
      <c r="N55" s="304" t="e">
        <f>ROUNDUP(IF('AS400 JEMBATAN'!$S55&gt;='AS400 JEMBATAN'!$R55,'AS400 JEMBATAN'!N55,$S55/$M$4)+$U55,0)</f>
        <v>#REF!</v>
      </c>
      <c r="O55" s="304" t="e">
        <f>ROUNDUP(IF('AS400 JEMBATAN'!$S55&gt;='AS400 JEMBATAN'!$R55,'AS400 JEMBATAN'!O55,$S55/$M$4)+$U55,0)</f>
        <v>#REF!</v>
      </c>
      <c r="P55" s="304" t="e">
        <f>ROUNDUP(IF('AS400 JEMBATAN'!$S55&gt;='AS400 JEMBATAN'!$R55,'AS400 JEMBATAN'!P55,$S55/$M$4)+$U55,0)</f>
        <v>#REF!</v>
      </c>
      <c r="Q55" s="304"/>
      <c r="R55" s="304" t="e">
        <f>SUM(M55:M55)</f>
        <v>#REF!</v>
      </c>
      <c r="S55" s="305" t="e">
        <f>'Qty &amp; UMH GUM'!U55</f>
        <v>#REF!</v>
      </c>
      <c r="T55" s="305" t="e">
        <f>ROUNDUP((S55-R55)/$M$4,0)</f>
        <v>#REF!</v>
      </c>
      <c r="U55" s="307"/>
      <c r="V55" s="304" t="e">
        <f>ROUNDUP(IF('AS400 JEMBATAN'!$AB55&gt;='AS400 JEMBATAN'!$AA55,'AS400 JEMBATAN'!V55,$AB55/$V$4)+$AD55,0)</f>
        <v>#REF!</v>
      </c>
      <c r="W55" s="304" t="e">
        <f>ROUNDUP(IF('AS400 JEMBATAN'!$AB55&gt;='AS400 JEMBATAN'!$AA55,'AS400 JEMBATAN'!W55,$AB55/$V$4)+$AD55,0)</f>
        <v>#REF!</v>
      </c>
      <c r="X55" s="304" t="e">
        <f>ROUNDUP(IF('AS400 JEMBATAN'!$AB55&gt;='AS400 JEMBATAN'!$AA55,'AS400 JEMBATAN'!X55,$AB55/$V$4)+$AD55,0)</f>
        <v>#REF!</v>
      </c>
      <c r="Y55" s="420" t="e">
        <f>ROUNDUP(IF('AS400 JEMBATAN'!$AB55&gt;='AS400 JEMBATAN'!$AA55,'AS400 JEMBATAN'!Y55,$AB55/$V$4)+$AD55,0)</f>
        <v>#REF!</v>
      </c>
      <c r="Z55" s="420"/>
      <c r="AA55" s="304" t="e">
        <f>SUM(V55:V55)</f>
        <v>#REF!</v>
      </c>
      <c r="AB55" s="305" t="e">
        <f>'Qty &amp; UMH GUM'!X55</f>
        <v>#REF!</v>
      </c>
      <c r="AC55" s="304" t="e">
        <f>ROUNDUP((AB55-AA55)/$V$4,0)</f>
        <v>#REF!</v>
      </c>
      <c r="AD55" s="307">
        <v>0.0</v>
      </c>
      <c r="AE55" s="304" t="e">
        <f>ROUNDUP(IF('AS400 JEMBATAN'!$AK55&gt;='AS400 JEMBATAN'!$AJ55,'AS400 JEMBATAN'!AE55,$AK55/$AE$4)+$AM55,0)</f>
        <v>#REF!</v>
      </c>
      <c r="AF55" s="304" t="e">
        <f>ROUNDUP(IF('AS400 JEMBATAN'!$AK55&gt;='AS400 JEMBATAN'!$AJ55,'AS400 JEMBATAN'!AF55,$AK55/$AE$4)+$AM55,0)</f>
        <v>#REF!</v>
      </c>
      <c r="AG55" s="304" t="e">
        <f>ROUNDUP(IF('AS400 JEMBATAN'!$AK55&gt;='AS400 JEMBATAN'!$AJ55,'AS400 JEMBATAN'!AG55,$AK55/$AE$4)+$AM55,0)</f>
        <v>#REF!</v>
      </c>
      <c r="AH55" s="304" t="e">
        <f>ROUNDUP(IF('AS400 JEMBATAN'!$AK55&gt;='AS400 JEMBATAN'!$AJ55,'AS400 JEMBATAN'!AH55,$AK55/$AE$4)+$AM55,0)</f>
        <v>#REF!</v>
      </c>
      <c r="AI55" s="304"/>
      <c r="AJ55" s="304" t="e">
        <f>SUM(AE55:AE55)</f>
        <v>#REF!</v>
      </c>
      <c r="AK55" s="305" t="e">
        <f>'Qty &amp; UMH GUM'!AA55</f>
        <v>#REF!</v>
      </c>
      <c r="AL55" s="304" t="e">
        <f>ROUNDUP((AK55-AJ55)/$AE$4,0)</f>
        <v>#REF!</v>
      </c>
      <c r="AM55" s="307"/>
      <c r="AN55" s="308" t="e">
        <f>ROUNDUP(IF('AS400 JEMBATAN'!$AT55&gt;='AS400 JEMBATAN'!$AS55,'AS400 JEMBATAN'!AN55,$AT55/$AN$4)+$AV55,0)</f>
        <v>#REF!</v>
      </c>
      <c r="AO55" s="304" t="e">
        <f>ROUNDUP(IF('AS400 JEMBATAN'!$AT55&gt;='AS400 JEMBATAN'!$AS55,'AS400 JEMBATAN'!AO55,$AT55/$AN$4)+$AV55,0)</f>
        <v>#REF!</v>
      </c>
      <c r="AP55" s="304" t="e">
        <f>ROUNDUP(IF('AS400 JEMBATAN'!$AT55&gt;='AS400 JEMBATAN'!$AS55,'AS400 JEMBATAN'!AP55,$AT55/$AN$4)+$AV55,0)</f>
        <v>#REF!</v>
      </c>
      <c r="AQ55" s="304" t="e">
        <f>ROUNDUP(IF('AS400 JEMBATAN'!$AT55&gt;='AS400 JEMBATAN'!$AS55,'AS400 JEMBATAN'!AQ55,$AT55/$AN$4)+$AV55,0)</f>
        <v>#REF!</v>
      </c>
      <c r="AR55" s="304"/>
      <c r="AS55" s="304" t="e">
        <f>SUM(AN55:AN55)</f>
        <v>#REF!</v>
      </c>
      <c r="AT55" s="305" t="e">
        <f>'Qty &amp; UMH GUM'!AD55</f>
        <v>#REF!</v>
      </c>
      <c r="AU55" s="304" t="e">
        <f>ROUNDUP((AT55-AS55)/$AN$4,0)</f>
        <v>#REF!</v>
      </c>
      <c r="AV55" s="307"/>
      <c r="AW55" s="296"/>
      <c r="AX55" s="296"/>
      <c r="AY55" s="296"/>
      <c r="AZ55" s="296"/>
      <c r="BA55" s="296"/>
    </row>
    <row r="56" spans="1:53" customHeight="1" ht="18.75">
      <c r="A56" s="445"/>
      <c r="B56" s="342" t="str">
        <f>'Qty &amp; UMH GUM'!C56</f>
        <v>82111-4DN71</v>
      </c>
      <c r="C56" s="303"/>
      <c r="D56" s="304" t="e">
        <f>ROUNDUP(IF('AS400 JEMBATAN'!$J56&gt;='AS400 JEMBATAN'!$I56,'AS400 JEMBATAN'!D56,$J56/$D$4)+$L56,0)</f>
        <v>#REF!</v>
      </c>
      <c r="E56" s="304" t="e">
        <f>ROUNDUP(IF('AS400 JEMBATAN'!$J56&gt;='AS400 JEMBATAN'!$I56,'AS400 JEMBATAN'!E56,$J56/$D$4)+$L56,0)</f>
        <v>#REF!</v>
      </c>
      <c r="F56" s="304" t="e">
        <f>ROUNDUP(IF('AS400 JEMBATAN'!$J56&gt;='AS400 JEMBATAN'!$I56,'AS400 JEMBATAN'!F56,$J56/$D$4)+$L56,0)</f>
        <v>#REF!</v>
      </c>
      <c r="G56" s="304" t="e">
        <f>ROUNDUP(IF('AS400 JEMBATAN'!$J56&gt;='AS400 JEMBATAN'!$I56,'AS400 JEMBATAN'!G56,$J56/$D$4)+$L56,0)</f>
        <v>#REF!</v>
      </c>
      <c r="H56" s="304" t="e">
        <f>ROUNDUP(IF('AS400 JEMBATAN'!$J56&gt;='AS400 JEMBATAN'!$I56,'AS400 JEMBATAN'!H56,$J56/$D$4)+$L56,0)</f>
        <v>#REF!</v>
      </c>
      <c r="I56" s="304" t="e">
        <f>SUM(D56:D56)</f>
        <v>#REF!</v>
      </c>
      <c r="J56" s="305" t="e">
        <f>'Qty &amp; UMH GUM'!R56</f>
        <v>#REF!</v>
      </c>
      <c r="K56" s="305" t="e">
        <f>ROUNDUP((J56-I56)/$D$4,0)</f>
        <v>#REF!</v>
      </c>
      <c r="L56" s="306">
        <v>0.0</v>
      </c>
      <c r="M56" s="304" t="e">
        <f>ROUNDUP(IF('AS400 JEMBATAN'!$S56&gt;='AS400 JEMBATAN'!$R56,'AS400 JEMBATAN'!M56,$S56/$M$4)+$U56,0)</f>
        <v>#REF!</v>
      </c>
      <c r="N56" s="304" t="e">
        <f>ROUNDUP(IF('AS400 JEMBATAN'!$S56&gt;='AS400 JEMBATAN'!$R56,'AS400 JEMBATAN'!N56,$S56/$M$4)+$U56,0)</f>
        <v>#REF!</v>
      </c>
      <c r="O56" s="304" t="e">
        <f>ROUNDUP(IF('AS400 JEMBATAN'!$S56&gt;='AS400 JEMBATAN'!$R56,'AS400 JEMBATAN'!O56,$S56/$M$4)+$U56,0)</f>
        <v>#REF!</v>
      </c>
      <c r="P56" s="304" t="e">
        <f>ROUNDUP(IF('AS400 JEMBATAN'!$S56&gt;='AS400 JEMBATAN'!$R56,'AS400 JEMBATAN'!P56,$S56/$M$4)+$U56,0)</f>
        <v>#REF!</v>
      </c>
      <c r="Q56" s="304"/>
      <c r="R56" s="304" t="e">
        <f>SUM(M56:M56)</f>
        <v>#REF!</v>
      </c>
      <c r="S56" s="305" t="e">
        <f>'Qty &amp; UMH GUM'!U56</f>
        <v>#REF!</v>
      </c>
      <c r="T56" s="305" t="e">
        <f>ROUNDUP((S56-R56)/$M$4,0)</f>
        <v>#REF!</v>
      </c>
      <c r="U56" s="307"/>
      <c r="V56" s="304" t="e">
        <f>ROUNDUP(IF('AS400 JEMBATAN'!$AB56&gt;='AS400 JEMBATAN'!$AA56,'AS400 JEMBATAN'!V56,$AB56/$V$4)+$AD56,0)</f>
        <v>#REF!</v>
      </c>
      <c r="W56" s="304" t="e">
        <f>ROUNDUP(IF('AS400 JEMBATAN'!$AB56&gt;='AS400 JEMBATAN'!$AA56,'AS400 JEMBATAN'!W56,$AB56/$V$4)+$AD56,0)</f>
        <v>#REF!</v>
      </c>
      <c r="X56" s="304" t="e">
        <f>ROUNDUP(IF('AS400 JEMBATAN'!$AB56&gt;='AS400 JEMBATAN'!$AA56,'AS400 JEMBATAN'!X56,$AB56/$V$4)+$AD56,0)</f>
        <v>#REF!</v>
      </c>
      <c r="Y56" s="304" t="e">
        <f>ROUNDUP(IF('AS400 JEMBATAN'!$AB56&gt;='AS400 JEMBATAN'!$AA56,'AS400 JEMBATAN'!Y56,$AB56/$V$4)+$AD56,0)</f>
        <v>#REF!</v>
      </c>
      <c r="Z56" s="304"/>
      <c r="AA56" s="304" t="e">
        <f>SUM(V56:V56)</f>
        <v>#REF!</v>
      </c>
      <c r="AB56" s="305" t="e">
        <f>'Qty &amp; UMH GUM'!X56</f>
        <v>#REF!</v>
      </c>
      <c r="AC56" s="304" t="e">
        <f>ROUNDUP((AB56-AA56)/$V$4,0)</f>
        <v>#REF!</v>
      </c>
      <c r="AD56" s="307">
        <v>0.0</v>
      </c>
      <c r="AE56" s="304" t="e">
        <f>ROUNDUP(IF('AS400 JEMBATAN'!$AK56&gt;='AS400 JEMBATAN'!$AJ56,'AS400 JEMBATAN'!AE56,$AK56/$AE$4)+$AM56,0)</f>
        <v>#REF!</v>
      </c>
      <c r="AF56" s="304" t="e">
        <f>ROUNDUP(IF('AS400 JEMBATAN'!$AK56&gt;='AS400 JEMBATAN'!$AJ56,'AS400 JEMBATAN'!AF56,$AK56/$AE$4)+$AM56,0)</f>
        <v>#REF!</v>
      </c>
      <c r="AG56" s="304" t="e">
        <f>ROUNDUP(IF('AS400 JEMBATAN'!$AK56&gt;='AS400 JEMBATAN'!$AJ56,'AS400 JEMBATAN'!AG56,$AK56/$AE$4)+$AM56,0)</f>
        <v>#REF!</v>
      </c>
      <c r="AH56" s="304" t="e">
        <f>ROUNDUP(IF('AS400 JEMBATAN'!$AK56&gt;='AS400 JEMBATAN'!$AJ56,'AS400 JEMBATAN'!AH56,$AK56/$AE$4)+$AM56,0)</f>
        <v>#REF!</v>
      </c>
      <c r="AI56" s="304"/>
      <c r="AJ56" s="304" t="e">
        <f>SUM(AE56:AE56)</f>
        <v>#REF!</v>
      </c>
      <c r="AK56" s="305" t="e">
        <f>'Qty &amp; UMH GUM'!AA56</f>
        <v>#REF!</v>
      </c>
      <c r="AL56" s="304" t="e">
        <f>ROUNDUP((AK56-AJ56)/$AE$4,0)</f>
        <v>#REF!</v>
      </c>
      <c r="AM56" s="307"/>
      <c r="AN56" s="308" t="e">
        <f>ROUNDUP(IF('AS400 JEMBATAN'!$AT56&gt;='AS400 JEMBATAN'!$AS56,'AS400 JEMBATAN'!AN56,$AT56/$AN$4)+$AV56,0)</f>
        <v>#REF!</v>
      </c>
      <c r="AO56" s="304" t="e">
        <f>ROUNDUP(IF('AS400 JEMBATAN'!$AT56&gt;='AS400 JEMBATAN'!$AS56,'AS400 JEMBATAN'!AO56,$AT56/$AN$4)+$AV56,0)</f>
        <v>#REF!</v>
      </c>
      <c r="AP56" s="304" t="e">
        <f>ROUNDUP(IF('AS400 JEMBATAN'!$AT56&gt;='AS400 JEMBATAN'!$AS56,'AS400 JEMBATAN'!AP56,$AT56/$AN$4)+$AV56,0)</f>
        <v>#REF!</v>
      </c>
      <c r="AQ56" s="304" t="e">
        <f>ROUNDUP(IF('AS400 JEMBATAN'!$AT56&gt;='AS400 JEMBATAN'!$AS56,'AS400 JEMBATAN'!AQ56,$AT56/$AN$4)+$AV56,0)</f>
        <v>#REF!</v>
      </c>
      <c r="AR56" s="304"/>
      <c r="AS56" s="304" t="e">
        <f>SUM(AN56:AN56)</f>
        <v>#REF!</v>
      </c>
      <c r="AT56" s="305" t="e">
        <f>'Qty &amp; UMH GUM'!AD56</f>
        <v>#REF!</v>
      </c>
      <c r="AU56" s="304" t="e">
        <f>ROUNDUP((AT56-AS56)/$AN$4,0)</f>
        <v>#REF!</v>
      </c>
      <c r="AV56" s="307"/>
      <c r="AW56" s="296"/>
      <c r="AX56" s="296"/>
      <c r="AY56" s="296"/>
      <c r="AZ56" s="296"/>
      <c r="BA56" s="296"/>
    </row>
    <row r="57" spans="1:53" customHeight="1" ht="18.75">
      <c r="A57" s="445"/>
      <c r="B57" s="343" t="str">
        <f>'Qty &amp; UMH GUM'!C57</f>
        <v>82111-4DQ01</v>
      </c>
      <c r="C57" s="303"/>
      <c r="D57" s="304" t="e">
        <f>ROUNDUP(IF('AS400 JEMBATAN'!$J57&gt;='AS400 JEMBATAN'!$I57,'AS400 JEMBATAN'!D57,$J57/$D$4)+$L57,0)</f>
        <v>#REF!</v>
      </c>
      <c r="E57" s="304" t="e">
        <f>ROUNDUP(IF('AS400 JEMBATAN'!$J57&gt;='AS400 JEMBATAN'!$I57,'AS400 JEMBATAN'!E57,$J57/$D$4)+$L57,0)</f>
        <v>#REF!</v>
      </c>
      <c r="F57" s="304" t="e">
        <f>ROUNDUP(IF('AS400 JEMBATAN'!$J57&gt;='AS400 JEMBATAN'!$I57,'AS400 JEMBATAN'!F57,$J57/$D$4)+$L57,0)</f>
        <v>#REF!</v>
      </c>
      <c r="G57" s="304" t="e">
        <f>ROUNDUP(IF('AS400 JEMBATAN'!$J57&gt;='AS400 JEMBATAN'!$I57,'AS400 JEMBATAN'!G57,$J57/$D$4)+$L57,0)</f>
        <v>#REF!</v>
      </c>
      <c r="H57" s="304" t="e">
        <f>ROUNDUP(IF('AS400 JEMBATAN'!$J57&gt;='AS400 JEMBATAN'!$I57,'AS400 JEMBATAN'!H57,$J57/$D$4)+$L57,0)</f>
        <v>#REF!</v>
      </c>
      <c r="I57" s="304" t="e">
        <f>SUM(D57:D57)</f>
        <v>#REF!</v>
      </c>
      <c r="J57" s="305" t="e">
        <f>'Qty &amp; UMH GUM'!R57</f>
        <v>#REF!</v>
      </c>
      <c r="K57" s="305" t="e">
        <f>ROUNDUP((J57-I57)/$D$4,0)</f>
        <v>#REF!</v>
      </c>
      <c r="L57" s="306">
        <v>0.0</v>
      </c>
      <c r="M57" s="304" t="e">
        <f>ROUNDUP(IF('AS400 JEMBATAN'!$S57&gt;='AS400 JEMBATAN'!$R57,'AS400 JEMBATAN'!M57,$S57/$M$4)+$U57,0)</f>
        <v>#REF!</v>
      </c>
      <c r="N57" s="304" t="e">
        <f>ROUNDUP(IF('AS400 JEMBATAN'!$S57&gt;='AS400 JEMBATAN'!$R57,'AS400 JEMBATAN'!N57,$S57/$M$4)+$U57,0)</f>
        <v>#REF!</v>
      </c>
      <c r="O57" s="304" t="e">
        <f>ROUNDUP(IF('AS400 JEMBATAN'!$S57&gt;='AS400 JEMBATAN'!$R57,'AS400 JEMBATAN'!O57,$S57/$M$4)+$U57,0)</f>
        <v>#REF!</v>
      </c>
      <c r="P57" s="304" t="e">
        <f>ROUNDUP(IF('AS400 JEMBATAN'!$S57&gt;='AS400 JEMBATAN'!$R57,'AS400 JEMBATAN'!P57,$S57/$M$4)+$U57,0)</f>
        <v>#REF!</v>
      </c>
      <c r="Q57" s="304"/>
      <c r="R57" s="304" t="e">
        <f>SUM(M57:M57)</f>
        <v>#REF!</v>
      </c>
      <c r="S57" s="305" t="e">
        <f>'Qty &amp; UMH GUM'!U57</f>
        <v>#REF!</v>
      </c>
      <c r="T57" s="305" t="e">
        <f>ROUNDUP((S57-R57)/$M$4,0)</f>
        <v>#REF!</v>
      </c>
      <c r="U57" s="307"/>
      <c r="V57" s="304" t="e">
        <f>ROUNDUP(IF('AS400 JEMBATAN'!$AB57&gt;='AS400 JEMBATAN'!$AA57,'AS400 JEMBATAN'!V57,$AB57/$V$4)+$AD57,0)</f>
        <v>#REF!</v>
      </c>
      <c r="W57" s="304" t="e">
        <f>ROUNDUP(IF('AS400 JEMBATAN'!$AB57&gt;='AS400 JEMBATAN'!$AA57,'AS400 JEMBATAN'!W57,$AB57/$V$4)+$AD57,0)</f>
        <v>#REF!</v>
      </c>
      <c r="X57" s="304" t="e">
        <f>ROUNDUP(IF('AS400 JEMBATAN'!$AB57&gt;='AS400 JEMBATAN'!$AA57,'AS400 JEMBATAN'!X57,$AB57/$V$4)+$AD57,0)</f>
        <v>#REF!</v>
      </c>
      <c r="Y57" s="420" t="e">
        <f>ROUNDUP(IF('AS400 JEMBATAN'!$AB57&gt;='AS400 JEMBATAN'!$AA57,'AS400 JEMBATAN'!Y57,$AB57/$V$4)+$AD57,0)</f>
        <v>#REF!</v>
      </c>
      <c r="Z57" s="420"/>
      <c r="AA57" s="304" t="e">
        <f>SUM(V57:V57)</f>
        <v>#REF!</v>
      </c>
      <c r="AB57" s="305" t="e">
        <f>'Qty &amp; UMH GUM'!X57</f>
        <v>#REF!</v>
      </c>
      <c r="AC57" s="304" t="e">
        <f>ROUNDUP((AB57-AA57)/$V$4,0)</f>
        <v>#REF!</v>
      </c>
      <c r="AD57" s="307">
        <v>0.0</v>
      </c>
      <c r="AE57" s="304" t="e">
        <f>ROUNDUP(IF('AS400 JEMBATAN'!$AK57&gt;='AS400 JEMBATAN'!$AJ57,'AS400 JEMBATAN'!AE57,$AK57/$AE$4)+$AM57,0)</f>
        <v>#REF!</v>
      </c>
      <c r="AF57" s="304" t="e">
        <f>ROUNDUP(IF('AS400 JEMBATAN'!$AK57&gt;='AS400 JEMBATAN'!$AJ57,'AS400 JEMBATAN'!AF57,$AK57/$AE$4)+$AM57,0)</f>
        <v>#REF!</v>
      </c>
      <c r="AG57" s="304" t="e">
        <f>ROUNDUP(IF('AS400 JEMBATAN'!$AK57&gt;='AS400 JEMBATAN'!$AJ57,'AS400 JEMBATAN'!AG57,$AK57/$AE$4)+$AM57,0)</f>
        <v>#REF!</v>
      </c>
      <c r="AH57" s="304" t="e">
        <f>ROUNDUP(IF('AS400 JEMBATAN'!$AK57&gt;='AS400 JEMBATAN'!$AJ57,'AS400 JEMBATAN'!AH57,$AK57/$AE$4)+$AM57,0)</f>
        <v>#REF!</v>
      </c>
      <c r="AI57" s="304"/>
      <c r="AJ57" s="304" t="e">
        <f>SUM(AE57:AE57)</f>
        <v>#REF!</v>
      </c>
      <c r="AK57" s="305" t="e">
        <f>'Qty &amp; UMH GUM'!AA57</f>
        <v>#REF!</v>
      </c>
      <c r="AL57" s="304" t="e">
        <f>ROUNDUP((AK57-AJ57)/$AE$4,0)</f>
        <v>#REF!</v>
      </c>
      <c r="AM57" s="409"/>
      <c r="AN57" s="308" t="e">
        <f>ROUNDUP(IF('AS400 JEMBATAN'!$AT57&gt;='AS400 JEMBATAN'!$AS57,'AS400 JEMBATAN'!AN57,$AT57/$AN$4)+$AV57,0)</f>
        <v>#REF!</v>
      </c>
      <c r="AO57" s="304" t="e">
        <f>ROUNDUP(IF('AS400 JEMBATAN'!$AT57&gt;='AS400 JEMBATAN'!$AS57,'AS400 JEMBATAN'!AO57,$AT57/$AN$4)+$AV57,0)</f>
        <v>#REF!</v>
      </c>
      <c r="AP57" s="304" t="e">
        <f>ROUNDUP(IF('AS400 JEMBATAN'!$AT57&gt;='AS400 JEMBATAN'!$AS57,'AS400 JEMBATAN'!AP57,$AT57/$AN$4)+$AV57,0)</f>
        <v>#REF!</v>
      </c>
      <c r="AQ57" s="304" t="e">
        <f>ROUNDUP(IF('AS400 JEMBATAN'!$AT57&gt;='AS400 JEMBATAN'!$AS57,'AS400 JEMBATAN'!AQ57,$AT57/$AN$4)+$AV57,0)</f>
        <v>#REF!</v>
      </c>
      <c r="AR57" s="304"/>
      <c r="AS57" s="304" t="e">
        <f>SUM(AN57:AN57)</f>
        <v>#REF!</v>
      </c>
      <c r="AT57" s="305" t="e">
        <f>'Qty &amp; UMH GUM'!AD57</f>
        <v>#REF!</v>
      </c>
      <c r="AU57" s="304" t="e">
        <f>ROUNDUP((AT57-AS57)/$AN$4,0)</f>
        <v>#REF!</v>
      </c>
      <c r="AV57" s="310"/>
    </row>
    <row r="58" spans="1:53" customHeight="1" ht="18.75">
      <c r="A58" s="445"/>
      <c r="B58" s="343" t="str">
        <f>'Qty &amp; UMH GUM'!C58</f>
        <v>82111-4DQ11</v>
      </c>
      <c r="C58" s="303"/>
      <c r="D58" s="304" t="e">
        <f>ROUNDUP(IF('AS400 JEMBATAN'!$J58&gt;='AS400 JEMBATAN'!$I58,'AS400 JEMBATAN'!D58,$J58/$D$4)+$L58,0)</f>
        <v>#REF!</v>
      </c>
      <c r="E58" s="304" t="e">
        <f>ROUNDUP(IF('AS400 JEMBATAN'!$J58&gt;='AS400 JEMBATAN'!$I58,'AS400 JEMBATAN'!E58,$J58/$D$4)+$L58,0)</f>
        <v>#REF!</v>
      </c>
      <c r="F58" s="304" t="e">
        <f>ROUNDUP(IF('AS400 JEMBATAN'!$J58&gt;='AS400 JEMBATAN'!$I58,'AS400 JEMBATAN'!F58,$J58/$D$4)+$L58,0)</f>
        <v>#REF!</v>
      </c>
      <c r="G58" s="304" t="e">
        <f>ROUNDUP(IF('AS400 JEMBATAN'!$J58&gt;='AS400 JEMBATAN'!$I58,'AS400 JEMBATAN'!G58,$J58/$D$4)+$L58,0)</f>
        <v>#REF!</v>
      </c>
      <c r="H58" s="304" t="e">
        <f>ROUNDUP(IF('AS400 JEMBATAN'!$J58&gt;='AS400 JEMBATAN'!$I58,'AS400 JEMBATAN'!H58,$J58/$D$4)+$L58,0)</f>
        <v>#REF!</v>
      </c>
      <c r="I58" s="304" t="e">
        <f>SUM(D58:D58)</f>
        <v>#REF!</v>
      </c>
      <c r="J58" s="305" t="e">
        <f>'Qty &amp; UMH GUM'!R58</f>
        <v>#REF!</v>
      </c>
      <c r="K58" s="305" t="e">
        <f>ROUNDUP((J58-I58)/$D$4,0)</f>
        <v>#REF!</v>
      </c>
      <c r="L58" s="306">
        <v>0.0</v>
      </c>
      <c r="M58" s="304" t="e">
        <f>ROUNDUP(IF('AS400 JEMBATAN'!$S58&gt;='AS400 JEMBATAN'!$R58,'AS400 JEMBATAN'!M58,$S58/$M$4)+$U58,0)</f>
        <v>#REF!</v>
      </c>
      <c r="N58" s="304" t="e">
        <f>ROUNDUP(IF('AS400 JEMBATAN'!$S58&gt;='AS400 JEMBATAN'!$R58,'AS400 JEMBATAN'!N58,$S58/$M$4)+$U58,0)</f>
        <v>#REF!</v>
      </c>
      <c r="O58" s="304" t="e">
        <f>ROUNDUP(IF('AS400 JEMBATAN'!$S58&gt;='AS400 JEMBATAN'!$R58,'AS400 JEMBATAN'!O58,$S58/$M$4)+$U58,0)</f>
        <v>#REF!</v>
      </c>
      <c r="P58" s="304" t="e">
        <f>ROUNDUP(IF('AS400 JEMBATAN'!$S58&gt;='AS400 JEMBATAN'!$R58,'AS400 JEMBATAN'!P58,$S58/$M$4)+$U58,0)</f>
        <v>#REF!</v>
      </c>
      <c r="Q58" s="304"/>
      <c r="R58" s="304" t="e">
        <f>SUM(M58:M58)</f>
        <v>#REF!</v>
      </c>
      <c r="S58" s="305" t="e">
        <f>'Qty &amp; UMH GUM'!U58</f>
        <v>#REF!</v>
      </c>
      <c r="T58" s="305" t="e">
        <f>ROUNDUP((S58-R58)/$M$4,0)</f>
        <v>#REF!</v>
      </c>
      <c r="U58" s="307"/>
      <c r="V58" s="304" t="e">
        <f>ROUNDUP(IF('AS400 JEMBATAN'!$AB58&gt;='AS400 JEMBATAN'!$AA58,'AS400 JEMBATAN'!V58,$AB58/$V$4)+$AD58,0)</f>
        <v>#REF!</v>
      </c>
      <c r="W58" s="304" t="e">
        <f>ROUNDUP(IF('AS400 JEMBATAN'!$AB58&gt;='AS400 JEMBATAN'!$AA58,'AS400 JEMBATAN'!W58,$AB58/$V$4)+$AD58,0)</f>
        <v>#REF!</v>
      </c>
      <c r="X58" s="304" t="e">
        <f>ROUNDUP(IF('AS400 JEMBATAN'!$AB58&gt;='AS400 JEMBATAN'!$AA58,'AS400 JEMBATAN'!X58,$AB58/$V$4)+$AD58,0)</f>
        <v>#REF!</v>
      </c>
      <c r="Y58" s="304" t="e">
        <f>ROUNDUP(IF('AS400 JEMBATAN'!$AB58&gt;='AS400 JEMBATAN'!$AA58,'AS400 JEMBATAN'!Y58,$AB58/$V$4)+$AD58,0)</f>
        <v>#REF!</v>
      </c>
      <c r="Z58" s="304"/>
      <c r="AA58" s="304" t="e">
        <f>SUM(V58:V58)</f>
        <v>#REF!</v>
      </c>
      <c r="AB58" s="305" t="e">
        <f>'Qty &amp; UMH GUM'!X58</f>
        <v>#REF!</v>
      </c>
      <c r="AC58" s="304" t="e">
        <f>ROUNDUP((AB58-AA58)/$V$4,0)</f>
        <v>#REF!</v>
      </c>
      <c r="AD58" s="307">
        <v>0.0</v>
      </c>
      <c r="AE58" s="304" t="e">
        <f>ROUNDUP(IF('AS400 JEMBATAN'!$AK58&gt;='AS400 JEMBATAN'!$AJ58,'AS400 JEMBATAN'!AE58,$AK58/$AE$4)+$AM58,0)</f>
        <v>#REF!</v>
      </c>
      <c r="AF58" s="304" t="e">
        <f>ROUNDUP(IF('AS400 JEMBATAN'!$AK58&gt;='AS400 JEMBATAN'!$AJ58,'AS400 JEMBATAN'!AF58,$AK58/$AE$4)+$AM58,0)</f>
        <v>#REF!</v>
      </c>
      <c r="AG58" s="304" t="e">
        <f>ROUNDUP(IF('AS400 JEMBATAN'!$AK58&gt;='AS400 JEMBATAN'!$AJ58,'AS400 JEMBATAN'!AG58,$AK58/$AE$4)+$AM58,0)</f>
        <v>#REF!</v>
      </c>
      <c r="AH58" s="304" t="e">
        <f>ROUNDUP(IF('AS400 JEMBATAN'!$AK58&gt;='AS400 JEMBATAN'!$AJ58,'AS400 JEMBATAN'!AH58,$AK58/$AE$4)+$AM58,0)</f>
        <v>#REF!</v>
      </c>
      <c r="AI58" s="304"/>
      <c r="AJ58" s="304" t="e">
        <f>SUM(AE58:AE58)</f>
        <v>#REF!</v>
      </c>
      <c r="AK58" s="305" t="e">
        <f>'Qty &amp; UMH GUM'!AA58</f>
        <v>#REF!</v>
      </c>
      <c r="AL58" s="304" t="e">
        <f>ROUNDUP((AK58-AJ58)/$AE$4,0)</f>
        <v>#REF!</v>
      </c>
      <c r="AM58" s="409"/>
      <c r="AN58" s="308" t="e">
        <f>ROUNDUP(IF('AS400 JEMBATAN'!$AT58&gt;='AS400 JEMBATAN'!$AS58,'AS400 JEMBATAN'!AN58,$AT58/$AN$4)+$AV58,0)</f>
        <v>#REF!</v>
      </c>
      <c r="AO58" s="304" t="e">
        <f>ROUNDUP(IF('AS400 JEMBATAN'!$AT58&gt;='AS400 JEMBATAN'!$AS58,'AS400 JEMBATAN'!AO58,$AT58/$AN$4)+$AV58,0)</f>
        <v>#REF!</v>
      </c>
      <c r="AP58" s="304" t="e">
        <f>ROUNDUP(IF('AS400 JEMBATAN'!$AT58&gt;='AS400 JEMBATAN'!$AS58,'AS400 JEMBATAN'!AP58,$AT58/$AN$4)+$AV58,0)</f>
        <v>#REF!</v>
      </c>
      <c r="AQ58" s="304" t="e">
        <f>ROUNDUP(IF('AS400 JEMBATAN'!$AT58&gt;='AS400 JEMBATAN'!$AS58,'AS400 JEMBATAN'!AQ58,$AT58/$AN$4)+$AV58,0)</f>
        <v>#REF!</v>
      </c>
      <c r="AR58" s="304"/>
      <c r="AS58" s="304" t="e">
        <f>SUM(AN58:AN58)</f>
        <v>#REF!</v>
      </c>
      <c r="AT58" s="305" t="e">
        <f>'Qty &amp; UMH GUM'!AD58</f>
        <v>#REF!</v>
      </c>
      <c r="AU58" s="304" t="e">
        <f>ROUNDUP((AT58-AS58)/$AN$4,0)</f>
        <v>#REF!</v>
      </c>
      <c r="AV58" s="310"/>
      <c r="AW58" s="101"/>
      <c r="AY58" s="101"/>
    </row>
    <row r="59" spans="1:53" customHeight="1" ht="18.75">
      <c r="A59" s="445"/>
      <c r="B59" s="343" t="str">
        <f>'Qty &amp; UMH GUM'!C59</f>
        <v>82111-4DQ21</v>
      </c>
      <c r="C59" s="303"/>
      <c r="D59" s="304" t="e">
        <f>ROUNDUP(IF('AS400 JEMBATAN'!$J59&gt;='AS400 JEMBATAN'!$I59,'AS400 JEMBATAN'!D59,$J59/$D$4)+$L59,0)</f>
        <v>#REF!</v>
      </c>
      <c r="E59" s="304" t="e">
        <f>ROUNDUP(IF('AS400 JEMBATAN'!$J59&gt;='AS400 JEMBATAN'!$I59,'AS400 JEMBATAN'!E59,$J59/$D$4)+$L59,0)</f>
        <v>#REF!</v>
      </c>
      <c r="F59" s="304" t="e">
        <f>ROUNDUP(IF('AS400 JEMBATAN'!$J59&gt;='AS400 JEMBATAN'!$I59,'AS400 JEMBATAN'!F59,$J59/$D$4)+$L59,0)</f>
        <v>#REF!</v>
      </c>
      <c r="G59" s="304" t="e">
        <f>ROUNDUP(IF('AS400 JEMBATAN'!$J59&gt;='AS400 JEMBATAN'!$I59,'AS400 JEMBATAN'!G59,$J59/$D$4)+$L59,0)</f>
        <v>#REF!</v>
      </c>
      <c r="H59" s="304" t="e">
        <f>ROUNDUP(IF('AS400 JEMBATAN'!$J59&gt;='AS400 JEMBATAN'!$I59,'AS400 JEMBATAN'!H59,$J59/$D$4)+$L59,0)</f>
        <v>#REF!</v>
      </c>
      <c r="I59" s="304" t="e">
        <f>SUM(D59:D59)</f>
        <v>#REF!</v>
      </c>
      <c r="J59" s="305" t="e">
        <f>'Qty &amp; UMH GUM'!R59</f>
        <v>#REF!</v>
      </c>
      <c r="K59" s="305" t="e">
        <f>ROUNDUP((J59-I59)/$D$4,0)</f>
        <v>#REF!</v>
      </c>
      <c r="L59" s="306">
        <v>0.0</v>
      </c>
      <c r="M59" s="304" t="e">
        <f>ROUNDUP(IF('AS400 JEMBATAN'!$S59&gt;='AS400 JEMBATAN'!$R59,'AS400 JEMBATAN'!M59,$S59/$M$4)+$U59,0)</f>
        <v>#REF!</v>
      </c>
      <c r="N59" s="304" t="e">
        <f>ROUNDUP(IF('AS400 JEMBATAN'!$S59&gt;='AS400 JEMBATAN'!$R59,'AS400 JEMBATAN'!N59,$S59/$M$4)+$U59,0)</f>
        <v>#REF!</v>
      </c>
      <c r="O59" s="304" t="e">
        <f>ROUNDUP(IF('AS400 JEMBATAN'!$S59&gt;='AS400 JEMBATAN'!$R59,'AS400 JEMBATAN'!O59,$S59/$M$4)+$U59,0)</f>
        <v>#REF!</v>
      </c>
      <c r="P59" s="304" t="e">
        <f>ROUNDUP(IF('AS400 JEMBATAN'!$S59&gt;='AS400 JEMBATAN'!$R59,'AS400 JEMBATAN'!P59,$S59/$M$4)+$U59,0)</f>
        <v>#REF!</v>
      </c>
      <c r="Q59" s="304"/>
      <c r="R59" s="304" t="e">
        <f>SUM(M59:M59)</f>
        <v>#REF!</v>
      </c>
      <c r="S59" s="305" t="e">
        <f>'Qty &amp; UMH GUM'!U59</f>
        <v>#REF!</v>
      </c>
      <c r="T59" s="305" t="e">
        <f>ROUNDUP((S59-R59)/$M$4,0)</f>
        <v>#REF!</v>
      </c>
      <c r="U59" s="307"/>
      <c r="V59" s="304" t="e">
        <f>ROUNDUP(IF('AS400 JEMBATAN'!$AB59&gt;='AS400 JEMBATAN'!$AA59,'AS400 JEMBATAN'!V59,$AB59/$V$4)+$AD59,0)</f>
        <v>#REF!</v>
      </c>
      <c r="W59" s="304" t="e">
        <f>ROUNDUP(IF('AS400 JEMBATAN'!$AB59&gt;='AS400 JEMBATAN'!$AA59,'AS400 JEMBATAN'!W59,$AB59/$V$4)+$AD59,0)</f>
        <v>#REF!</v>
      </c>
      <c r="X59" s="304" t="e">
        <f>ROUNDUP(IF('AS400 JEMBATAN'!$AB59&gt;='AS400 JEMBATAN'!$AA59,'AS400 JEMBATAN'!X59,$AB59/$V$4)+$AD59,0)</f>
        <v>#REF!</v>
      </c>
      <c r="Y59" s="304" t="e">
        <f>ROUNDUP(IF('AS400 JEMBATAN'!$AB59&gt;='AS400 JEMBATAN'!$AA59,'AS400 JEMBATAN'!Y59,$AB59/$V$4)+$AD59,0)</f>
        <v>#REF!</v>
      </c>
      <c r="Z59" s="304"/>
      <c r="AA59" s="304" t="e">
        <f>SUM(V59:V59)</f>
        <v>#REF!</v>
      </c>
      <c r="AB59" s="305" t="e">
        <f>'Qty &amp; UMH GUM'!X59</f>
        <v>#REF!</v>
      </c>
      <c r="AC59" s="304" t="e">
        <f>ROUNDUP((AB59-AA59)/$V$4,0)</f>
        <v>#REF!</v>
      </c>
      <c r="AD59" s="307">
        <v>0.0</v>
      </c>
      <c r="AE59" s="304" t="e">
        <f>ROUNDUP(IF('AS400 JEMBATAN'!$AK59&gt;='AS400 JEMBATAN'!$AJ59,'AS400 JEMBATAN'!AE59,$AK59/$AE$4)+$AM59,0)</f>
        <v>#REF!</v>
      </c>
      <c r="AF59" s="304" t="e">
        <f>ROUNDUP(IF('AS400 JEMBATAN'!$AK59&gt;='AS400 JEMBATAN'!$AJ59,'AS400 JEMBATAN'!AF59,$AK59/$AE$4)+$AM59,0)</f>
        <v>#REF!</v>
      </c>
      <c r="AG59" s="304" t="e">
        <f>ROUNDUP(IF('AS400 JEMBATAN'!$AK59&gt;='AS400 JEMBATAN'!$AJ59,'AS400 JEMBATAN'!AG59,$AK59/$AE$4)+$AM59,0)</f>
        <v>#REF!</v>
      </c>
      <c r="AH59" s="304" t="e">
        <f>ROUNDUP(IF('AS400 JEMBATAN'!$AK59&gt;='AS400 JEMBATAN'!$AJ59,'AS400 JEMBATAN'!AH59,$AK59/$AE$4)+$AM59,0)</f>
        <v>#REF!</v>
      </c>
      <c r="AI59" s="304"/>
      <c r="AJ59" s="304" t="e">
        <f>SUM(AE59:AE59)</f>
        <v>#REF!</v>
      </c>
      <c r="AK59" s="305" t="e">
        <f>'Qty &amp; UMH GUM'!AA59</f>
        <v>#REF!</v>
      </c>
      <c r="AL59" s="304" t="e">
        <f>ROUNDUP((AK59-AJ59)/$AE$4,0)</f>
        <v>#REF!</v>
      </c>
      <c r="AM59" s="409"/>
      <c r="AN59" s="308" t="e">
        <f>ROUNDUP(IF('AS400 JEMBATAN'!$AT59&gt;='AS400 JEMBATAN'!$AS59,'AS400 JEMBATAN'!AN59,$AT59/$AN$4)+$AV59,0)</f>
        <v>#REF!</v>
      </c>
      <c r="AO59" s="304" t="e">
        <f>ROUNDUP(IF('AS400 JEMBATAN'!$AT59&gt;='AS400 JEMBATAN'!$AS59,'AS400 JEMBATAN'!AO59,$AT59/$AN$4)+$AV59,0)</f>
        <v>#REF!</v>
      </c>
      <c r="AP59" s="304" t="e">
        <f>ROUNDUP(IF('AS400 JEMBATAN'!$AT59&gt;='AS400 JEMBATAN'!$AS59,'AS400 JEMBATAN'!AP59,$AT59/$AN$4)+$AV59,0)</f>
        <v>#REF!</v>
      </c>
      <c r="AQ59" s="304" t="e">
        <f>ROUNDUP(IF('AS400 JEMBATAN'!$AT59&gt;='AS400 JEMBATAN'!$AS59,'AS400 JEMBATAN'!AQ59,$AT59/$AN$4)+$AV59,0)</f>
        <v>#REF!</v>
      </c>
      <c r="AR59" s="304"/>
      <c r="AS59" s="304" t="e">
        <f>SUM(AN59:AN59)</f>
        <v>#REF!</v>
      </c>
      <c r="AT59" s="305" t="e">
        <f>'Qty &amp; UMH GUM'!AD59</f>
        <v>#REF!</v>
      </c>
      <c r="AU59" s="304" t="e">
        <f>ROUNDUP((AT59-AS59)/$AN$4,0)</f>
        <v>#REF!</v>
      </c>
      <c r="AV59" s="310"/>
      <c r="AY59" s="101"/>
    </row>
    <row r="60" spans="1:53" customHeight="1" ht="18.75">
      <c r="A60" s="445"/>
      <c r="B60" s="343" t="str">
        <f>'Qty &amp; UMH GUM'!C60</f>
        <v>82111-4DQ41</v>
      </c>
      <c r="C60" s="303"/>
      <c r="D60" s="304" t="e">
        <f>ROUNDUP(IF('AS400 JEMBATAN'!$J60&gt;='AS400 JEMBATAN'!$I60,'AS400 JEMBATAN'!D60,$J60/$D$4)+$L60,0)</f>
        <v>#REF!</v>
      </c>
      <c r="E60" s="304" t="e">
        <f>ROUNDUP(IF('AS400 JEMBATAN'!$J60&gt;='AS400 JEMBATAN'!$I60,'AS400 JEMBATAN'!E60,$J60/$D$4)+$L60,0)</f>
        <v>#REF!</v>
      </c>
      <c r="F60" s="304" t="e">
        <f>ROUNDUP(IF('AS400 JEMBATAN'!$J60&gt;='AS400 JEMBATAN'!$I60,'AS400 JEMBATAN'!F60,$J60/$D$4)+$L60,0)</f>
        <v>#REF!</v>
      </c>
      <c r="G60" s="304" t="e">
        <f>ROUNDUP(IF('AS400 JEMBATAN'!$J60&gt;='AS400 JEMBATAN'!$I60,'AS400 JEMBATAN'!G60,$J60/$D$4)+$L60,0)</f>
        <v>#REF!</v>
      </c>
      <c r="H60" s="304" t="e">
        <f>ROUNDUP(IF('AS400 JEMBATAN'!$J60&gt;='AS400 JEMBATAN'!$I60,'AS400 JEMBATAN'!H60,$J60/$D$4)+$L60,0)</f>
        <v>#REF!</v>
      </c>
      <c r="I60" s="304" t="e">
        <f>SUM(D60:D60)</f>
        <v>#REF!</v>
      </c>
      <c r="J60" s="305" t="e">
        <f>'Qty &amp; UMH GUM'!R60</f>
        <v>#REF!</v>
      </c>
      <c r="K60" s="305" t="e">
        <f>ROUNDUP((J60-I60)/$D$4,0)</f>
        <v>#REF!</v>
      </c>
      <c r="L60" s="306">
        <v>0.0</v>
      </c>
      <c r="M60" s="304" t="e">
        <f>ROUNDUP(IF('AS400 JEMBATAN'!$S60&gt;='AS400 JEMBATAN'!$R60,'AS400 JEMBATAN'!M60,$S60/$M$4)+$U60,0)</f>
        <v>#REF!</v>
      </c>
      <c r="N60" s="304" t="e">
        <f>ROUNDUP(IF('AS400 JEMBATAN'!$S60&gt;='AS400 JEMBATAN'!$R60,'AS400 JEMBATAN'!N60,$S60/$M$4)+$U60,0)</f>
        <v>#REF!</v>
      </c>
      <c r="O60" s="304" t="e">
        <f>ROUNDUP(IF('AS400 JEMBATAN'!$S60&gt;='AS400 JEMBATAN'!$R60,'AS400 JEMBATAN'!O60,$S60/$M$4)+$U60,0)</f>
        <v>#REF!</v>
      </c>
      <c r="P60" s="304" t="e">
        <f>ROUNDUP(IF('AS400 JEMBATAN'!$S60&gt;='AS400 JEMBATAN'!$R60,'AS400 JEMBATAN'!P60,$S60/$M$4)+$U60,0)</f>
        <v>#REF!</v>
      </c>
      <c r="Q60" s="304"/>
      <c r="R60" s="304" t="e">
        <f>SUM(M60:M60)</f>
        <v>#REF!</v>
      </c>
      <c r="S60" s="305" t="e">
        <f>'Qty &amp; UMH GUM'!U60</f>
        <v>#REF!</v>
      </c>
      <c r="T60" s="305" t="e">
        <f>ROUNDUP((S60-R60)/$M$4,0)</f>
        <v>#REF!</v>
      </c>
      <c r="U60" s="307"/>
      <c r="V60" s="304" t="e">
        <f>ROUNDUP(IF('AS400 JEMBATAN'!$AB60&gt;='AS400 JEMBATAN'!$AA60,'AS400 JEMBATAN'!V60,$AB60/$V$4)+$AD60,0)</f>
        <v>#REF!</v>
      </c>
      <c r="W60" s="304" t="e">
        <f>ROUNDUP(IF('AS400 JEMBATAN'!$AB60&gt;='AS400 JEMBATAN'!$AA60,'AS400 JEMBATAN'!W60,$AB60/$V$4)+$AD60,0)</f>
        <v>#REF!</v>
      </c>
      <c r="X60" s="304" t="e">
        <f>ROUNDUP(IF('AS400 JEMBATAN'!$AB60&gt;='AS400 JEMBATAN'!$AA60,'AS400 JEMBATAN'!X60,$AB60/$V$4)+$AD60,0)</f>
        <v>#REF!</v>
      </c>
      <c r="Y60" s="304" t="e">
        <f>ROUNDUP(IF('AS400 JEMBATAN'!$AB60&gt;='AS400 JEMBATAN'!$AA60,'AS400 JEMBATAN'!Y60,$AB60/$V$4)+$AD60,0)</f>
        <v>#REF!</v>
      </c>
      <c r="Z60" s="304"/>
      <c r="AA60" s="304" t="e">
        <f>SUM(V60:V60)</f>
        <v>#REF!</v>
      </c>
      <c r="AB60" s="305" t="e">
        <f>'Qty &amp; UMH GUM'!X60</f>
        <v>#REF!</v>
      </c>
      <c r="AC60" s="304" t="e">
        <f>ROUNDUP((AB60-AA60)/$V$4,0)</f>
        <v>#REF!</v>
      </c>
      <c r="AD60" s="307">
        <v>0.0</v>
      </c>
      <c r="AE60" s="304" t="e">
        <f>ROUNDUP(IF('AS400 JEMBATAN'!$AK60&gt;='AS400 JEMBATAN'!$AJ60,'AS400 JEMBATAN'!AE60,$AK60/$AE$4)+$AM60,0)</f>
        <v>#REF!</v>
      </c>
      <c r="AF60" s="304" t="e">
        <f>ROUNDUP(IF('AS400 JEMBATAN'!$AK60&gt;='AS400 JEMBATAN'!$AJ60,'AS400 JEMBATAN'!AF60,$AK60/$AE$4)+$AM60,0)</f>
        <v>#REF!</v>
      </c>
      <c r="AG60" s="304" t="e">
        <f>ROUNDUP(IF('AS400 JEMBATAN'!$AK60&gt;='AS400 JEMBATAN'!$AJ60,'AS400 JEMBATAN'!AG60,$AK60/$AE$4)+$AM60,0)</f>
        <v>#REF!</v>
      </c>
      <c r="AH60" s="304" t="e">
        <f>ROUNDUP(IF('AS400 JEMBATAN'!$AK60&gt;='AS400 JEMBATAN'!$AJ60,'AS400 JEMBATAN'!AH60,$AK60/$AE$4)+$AM60,0)</f>
        <v>#REF!</v>
      </c>
      <c r="AI60" s="304"/>
      <c r="AJ60" s="304" t="e">
        <f>SUM(AE60:AE60)</f>
        <v>#REF!</v>
      </c>
      <c r="AK60" s="305" t="e">
        <f>'Qty &amp; UMH GUM'!AA60</f>
        <v>#REF!</v>
      </c>
      <c r="AL60" s="304" t="e">
        <f>ROUNDUP((AK60-AJ60)/$AE$4,0)</f>
        <v>#REF!</v>
      </c>
      <c r="AM60" s="409"/>
      <c r="AN60" s="308" t="e">
        <f>ROUNDUP(IF('AS400 JEMBATAN'!$AT60&gt;='AS400 JEMBATAN'!$AS60,'AS400 JEMBATAN'!AN60,$AT60/$AN$4)+$AV60,0)</f>
        <v>#REF!</v>
      </c>
      <c r="AO60" s="304" t="e">
        <f>ROUNDUP(IF('AS400 JEMBATAN'!$AT60&gt;='AS400 JEMBATAN'!$AS60,'AS400 JEMBATAN'!AO60,$AT60/$AN$4)+$AV60,0)</f>
        <v>#REF!</v>
      </c>
      <c r="AP60" s="304" t="e">
        <f>ROUNDUP(IF('AS400 JEMBATAN'!$AT60&gt;='AS400 JEMBATAN'!$AS60,'AS400 JEMBATAN'!AP60,$AT60/$AN$4)+$AV60,0)</f>
        <v>#REF!</v>
      </c>
      <c r="AQ60" s="304" t="e">
        <f>ROUNDUP(IF('AS400 JEMBATAN'!$AT60&gt;='AS400 JEMBATAN'!$AS60,'AS400 JEMBATAN'!AQ60,$AT60/$AN$4)+$AV60,0)</f>
        <v>#REF!</v>
      </c>
      <c r="AR60" s="304"/>
      <c r="AS60" s="304" t="e">
        <f>SUM(AN60:AN60)</f>
        <v>#REF!</v>
      </c>
      <c r="AT60" s="305" t="e">
        <f>'Qty &amp; UMH GUM'!AD60</f>
        <v>#REF!</v>
      </c>
      <c r="AU60" s="304" t="e">
        <f>ROUNDUP((AT60-AS60)/$AN$4,0)</f>
        <v>#REF!</v>
      </c>
      <c r="AV60" s="310"/>
      <c r="AY60" s="101"/>
    </row>
    <row r="61" spans="1:53" customHeight="1" ht="18.75">
      <c r="A61" s="445"/>
      <c r="B61" s="343" t="str">
        <f>'Qty &amp; UMH GUM'!C61</f>
        <v>82111-4DR50</v>
      </c>
      <c r="C61" s="281"/>
      <c r="D61" s="304" t="e">
        <f>ROUNDUP(IF('AS400 JEMBATAN'!$J61&gt;='AS400 JEMBATAN'!$I61,'AS400 JEMBATAN'!D61,$J61/$D$4)+$L61,0)</f>
        <v>#REF!</v>
      </c>
      <c r="E61" s="304" t="e">
        <f>ROUNDUP(IF('AS400 JEMBATAN'!$J61&gt;='AS400 JEMBATAN'!$I61,'AS400 JEMBATAN'!E61,$J61/$D$4)+$L61,0)</f>
        <v>#REF!</v>
      </c>
      <c r="F61" s="304" t="e">
        <f>ROUNDUP(IF('AS400 JEMBATAN'!$J61&gt;='AS400 JEMBATAN'!$I61,'AS400 JEMBATAN'!F61,$J61/$D$4)+$L61,0)</f>
        <v>#REF!</v>
      </c>
      <c r="G61" s="304" t="e">
        <f>ROUNDUP(IF('AS400 JEMBATAN'!$J61&gt;='AS400 JEMBATAN'!$I61,'AS400 JEMBATAN'!G61,$J61/$D$4)+$L61,0)</f>
        <v>#REF!</v>
      </c>
      <c r="H61" s="304" t="e">
        <f>ROUNDUP(IF('AS400 JEMBATAN'!$J61&gt;='AS400 JEMBATAN'!$I61,'AS400 JEMBATAN'!H61,$J61/$D$4)+$L61,0)</f>
        <v>#REF!</v>
      </c>
      <c r="I61" s="304" t="e">
        <f>SUM(D61:D61)</f>
        <v>#REF!</v>
      </c>
      <c r="J61" s="305" t="e">
        <f>'Qty &amp; UMH GUM'!R61</f>
        <v>#REF!</v>
      </c>
      <c r="K61" s="305" t="e">
        <f>ROUNDUP((J61-I61)/$D$4,0)</f>
        <v>#REF!</v>
      </c>
      <c r="L61" s="306">
        <v>0.0</v>
      </c>
      <c r="M61" s="304" t="e">
        <f>ROUNDUP(IF('AS400 JEMBATAN'!$S61&gt;='AS400 JEMBATAN'!$R61,'AS400 JEMBATAN'!M61,$S61/$M$4)+$U61,0)</f>
        <v>#REF!</v>
      </c>
      <c r="N61" s="304" t="e">
        <f>ROUNDUP(IF('AS400 JEMBATAN'!$S61&gt;='AS400 JEMBATAN'!$R61,'AS400 JEMBATAN'!N61,$S61/$M$4)+$U61,0)</f>
        <v>#REF!</v>
      </c>
      <c r="O61" s="304" t="e">
        <f>ROUNDUP(IF('AS400 JEMBATAN'!$S61&gt;='AS400 JEMBATAN'!$R61,'AS400 JEMBATAN'!O61,$S61/$M$4)+$U61,0)</f>
        <v>#REF!</v>
      </c>
      <c r="P61" s="304" t="e">
        <f>ROUNDUP(IF('AS400 JEMBATAN'!$S61&gt;='AS400 JEMBATAN'!$R61,'AS400 JEMBATAN'!P61,$S61/$M$4)+$U61,0)</f>
        <v>#REF!</v>
      </c>
      <c r="Q61" s="304"/>
      <c r="R61" s="304" t="e">
        <f>SUM(M61:M61)</f>
        <v>#REF!</v>
      </c>
      <c r="S61" s="305" t="e">
        <f>'Qty &amp; UMH GUM'!U61</f>
        <v>#REF!</v>
      </c>
      <c r="T61" s="305" t="e">
        <f>ROUNDUP((S61-R61)/$M$4,0)</f>
        <v>#REF!</v>
      </c>
      <c r="U61" s="307"/>
      <c r="V61" s="304" t="e">
        <f>ROUNDUP(IF('AS400 JEMBATAN'!$AB61&gt;='AS400 JEMBATAN'!$AA61,'AS400 JEMBATAN'!V61,$AB61/$V$4)+$AD61,0)</f>
        <v>#REF!</v>
      </c>
      <c r="W61" s="304" t="e">
        <f>ROUNDUP(IF('AS400 JEMBATAN'!$AB61&gt;='AS400 JEMBATAN'!$AA61,'AS400 JEMBATAN'!W61,$AB61/$V$4)+$AD61,0)</f>
        <v>#REF!</v>
      </c>
      <c r="X61" s="304" t="e">
        <f>ROUNDUP(IF('AS400 JEMBATAN'!$AB61&gt;='AS400 JEMBATAN'!$AA61,'AS400 JEMBATAN'!X61,$AB61/$V$4)+$AD61,0)</f>
        <v>#REF!</v>
      </c>
      <c r="Y61" s="304" t="e">
        <f>ROUNDUP(IF('AS400 JEMBATAN'!$AB61&gt;='AS400 JEMBATAN'!$AA61,'AS400 JEMBATAN'!Y61,$AB61/$V$4)+$AD61,0)</f>
        <v>#REF!</v>
      </c>
      <c r="Z61" s="304"/>
      <c r="AA61" s="304" t="e">
        <f>SUM(V61:V61)</f>
        <v>#REF!</v>
      </c>
      <c r="AB61" s="305" t="e">
        <f>'Qty &amp; UMH GUM'!X61</f>
        <v>#REF!</v>
      </c>
      <c r="AC61" s="304" t="e">
        <f>ROUNDUP((AB61-AA61)/$V$4,0)</f>
        <v>#REF!</v>
      </c>
      <c r="AD61" s="307">
        <v>0.0</v>
      </c>
      <c r="AE61" s="304" t="e">
        <f>ROUNDUP(IF('AS400 JEMBATAN'!$AK61&gt;='AS400 JEMBATAN'!$AJ61,'AS400 JEMBATAN'!AE61,$AK61/$AE$4)+$AM61,0)</f>
        <v>#REF!</v>
      </c>
      <c r="AF61" s="304" t="e">
        <f>ROUNDUP(IF('AS400 JEMBATAN'!$AK61&gt;='AS400 JEMBATAN'!$AJ61,'AS400 JEMBATAN'!AF61,$AK61/$AE$4)+$AM61,0)</f>
        <v>#REF!</v>
      </c>
      <c r="AG61" s="304" t="e">
        <f>ROUNDUP(IF('AS400 JEMBATAN'!$AK61&gt;='AS400 JEMBATAN'!$AJ61,'AS400 JEMBATAN'!AG61,$AK61/$AE$4)+$AM61,0)</f>
        <v>#REF!</v>
      </c>
      <c r="AH61" s="304" t="e">
        <f>ROUNDUP(IF('AS400 JEMBATAN'!$AK61&gt;='AS400 JEMBATAN'!$AJ61,'AS400 JEMBATAN'!AH61,$AK61/$AE$4)+$AM61,0)</f>
        <v>#REF!</v>
      </c>
      <c r="AI61" s="304"/>
      <c r="AJ61" s="304" t="e">
        <f>SUM(AE61:AE61)</f>
        <v>#REF!</v>
      </c>
      <c r="AK61" s="305" t="e">
        <f>'Qty &amp; UMH GUM'!AA61</f>
        <v>#REF!</v>
      </c>
      <c r="AL61" s="304" t="e">
        <f>ROUNDUP((AK61-AJ61)/$AE$4,0)</f>
        <v>#REF!</v>
      </c>
      <c r="AM61" s="409"/>
      <c r="AN61" s="308" t="e">
        <f>ROUNDUP(IF('AS400 JEMBATAN'!$AT61&gt;='AS400 JEMBATAN'!$AS61,'AS400 JEMBATAN'!AN61,$AT61/$AN$4)+$AV61,0)</f>
        <v>#REF!</v>
      </c>
      <c r="AO61" s="304" t="e">
        <f>ROUNDUP(IF('AS400 JEMBATAN'!$AT61&gt;='AS400 JEMBATAN'!$AS61,'AS400 JEMBATAN'!AO61,$AT61/$AN$4)+$AV61,0)</f>
        <v>#REF!</v>
      </c>
      <c r="AP61" s="304" t="e">
        <f>ROUNDUP(IF('AS400 JEMBATAN'!$AT61&gt;='AS400 JEMBATAN'!$AS61,'AS400 JEMBATAN'!AP61,$AT61/$AN$4)+$AV61,0)</f>
        <v>#REF!</v>
      </c>
      <c r="AQ61" s="304" t="e">
        <f>ROUNDUP(IF('AS400 JEMBATAN'!$AT61&gt;='AS400 JEMBATAN'!$AS61,'AS400 JEMBATAN'!AQ61,$AT61/$AN$4)+$AV61,0)</f>
        <v>#REF!</v>
      </c>
      <c r="AR61" s="304"/>
      <c r="AS61" s="304" t="e">
        <f>SUM(AN61:AN61)</f>
        <v>#REF!</v>
      </c>
      <c r="AT61" s="305" t="e">
        <f>'Qty &amp; UMH GUM'!AD61</f>
        <v>#REF!</v>
      </c>
      <c r="AU61" s="304" t="e">
        <f>ROUNDUP((AT61-AS61)/$AN$4,0)</f>
        <v>#REF!</v>
      </c>
      <c r="AV61" s="311"/>
    </row>
    <row r="62" spans="1:53" customHeight="1" ht="18.75">
      <c r="A62" s="445"/>
      <c r="B62" s="343" t="str">
        <f>'Qty &amp; UMH GUM'!C62</f>
        <v>82111-4DM21</v>
      </c>
      <c r="C62" s="281"/>
      <c r="D62" s="304" t="e">
        <f>ROUNDUP(IF('AS400 JEMBATAN'!$J62&gt;='AS400 JEMBATAN'!$I62,'AS400 JEMBATAN'!D62,$J62/$D$4)+$L62,0)</f>
        <v>#REF!</v>
      </c>
      <c r="E62" s="304" t="e">
        <f>ROUNDUP(IF('AS400 JEMBATAN'!$J62&gt;='AS400 JEMBATAN'!$I62,'AS400 JEMBATAN'!E62,$J62/$D$4)+$L62,0)</f>
        <v>#REF!</v>
      </c>
      <c r="F62" s="304" t="e">
        <f>ROUNDUP(IF('AS400 JEMBATAN'!$J62&gt;='AS400 JEMBATAN'!$I62,'AS400 JEMBATAN'!F62,$J62/$D$4)+$L62,0)</f>
        <v>#REF!</v>
      </c>
      <c r="G62" s="304" t="e">
        <f>ROUNDUP(IF('AS400 JEMBATAN'!$J62&gt;='AS400 JEMBATAN'!$I62,'AS400 JEMBATAN'!G62,$J62/$D$4)+$L62,0)</f>
        <v>#REF!</v>
      </c>
      <c r="H62" s="304" t="e">
        <f>ROUNDUP(IF('AS400 JEMBATAN'!$J62&gt;='AS400 JEMBATAN'!$I62,'AS400 JEMBATAN'!H62,$J62/$D$4)+$L62,0)</f>
        <v>#REF!</v>
      </c>
      <c r="I62" s="304" t="e">
        <f>SUM(D62:H62)</f>
        <v>#REF!</v>
      </c>
      <c r="J62" s="305" t="e">
        <f>'Qty &amp; UMH GUM'!R62</f>
        <v>#REF!</v>
      </c>
      <c r="K62" s="305" t="e">
        <f>ROUNDUP((J62-I62)/$D$4,0)</f>
        <v>#REF!</v>
      </c>
      <c r="L62" s="306">
        <v>0.0</v>
      </c>
      <c r="M62" s="304" t="e">
        <f>ROUNDUP(IF('AS400 JEMBATAN'!$S62&gt;='AS400 JEMBATAN'!$R62,'AS400 JEMBATAN'!M62,$S62/$M$4)+$U62,0)</f>
        <v>#REF!</v>
      </c>
      <c r="N62" s="304" t="e">
        <f>ROUNDUP(IF('AS400 JEMBATAN'!$S62&gt;='AS400 JEMBATAN'!$R62,'AS400 JEMBATAN'!N62,$S62/$M$4)+$U62,0)</f>
        <v>#REF!</v>
      </c>
      <c r="O62" s="304" t="e">
        <f>ROUNDUP(IF('AS400 JEMBATAN'!$S62&gt;='AS400 JEMBATAN'!$R62,'AS400 JEMBATAN'!O62,$S62/$M$4)+$U62,0)</f>
        <v>#REF!</v>
      </c>
      <c r="P62" s="304" t="e">
        <f>ROUNDUP(IF('AS400 JEMBATAN'!$S62&gt;='AS400 JEMBATAN'!$R62,'AS400 JEMBATAN'!P62,$S62/$M$4)+$U62,0)</f>
        <v>#REF!</v>
      </c>
      <c r="Q62" s="304"/>
      <c r="R62" s="304" t="e">
        <f>SUM(M62:Q62)</f>
        <v>#REF!</v>
      </c>
      <c r="S62" s="305" t="e">
        <f>'Qty &amp; UMH GUM'!U62</f>
        <v>#REF!</v>
      </c>
      <c r="T62" s="305" t="e">
        <f>ROUNDUP((S62-R62)/$M$4,0)</f>
        <v>#REF!</v>
      </c>
      <c r="U62" s="307"/>
      <c r="V62" s="304" t="e">
        <f>ROUNDUP(IF('AS400 JEMBATAN'!$AB62&gt;='AS400 JEMBATAN'!$AA62,'AS400 JEMBATAN'!V62,$AB62/$V$4)+$AD62,0)</f>
        <v>#REF!</v>
      </c>
      <c r="W62" s="304" t="e">
        <f>ROUNDUP(IF('AS400 JEMBATAN'!$AB62&gt;='AS400 JEMBATAN'!$AA62,'AS400 JEMBATAN'!W62,$AB62/$V$4)+$AD62,0)</f>
        <v>#REF!</v>
      </c>
      <c r="X62" s="304" t="e">
        <f>ROUNDUP(IF('AS400 JEMBATAN'!$AB62&gt;='AS400 JEMBATAN'!$AA62,'AS400 JEMBATAN'!X62,$AB62/$V$4)+$AD62,0)</f>
        <v>#REF!</v>
      </c>
      <c r="Y62" s="304" t="e">
        <f>ROUNDUP(IF('AS400 JEMBATAN'!$AB62&gt;='AS400 JEMBATAN'!$AA62,'AS400 JEMBATAN'!Y62,$AB62/$V$4)+$AD62,0)</f>
        <v>#REF!</v>
      </c>
      <c r="Z62" s="304"/>
      <c r="AA62" s="304" t="e">
        <f>SUM(V62:Z62)</f>
        <v>#REF!</v>
      </c>
      <c r="AB62" s="305" t="e">
        <f>'Qty &amp; UMH GUM'!X62</f>
        <v>#REF!</v>
      </c>
      <c r="AC62" s="304" t="e">
        <f>ROUNDUP((AB62-AA62)/$V$4,0)</f>
        <v>#REF!</v>
      </c>
      <c r="AD62" s="307">
        <v>0.0</v>
      </c>
      <c r="AE62" s="304" t="e">
        <f>ROUNDUP(IF('AS400 JEMBATAN'!$AK62&gt;='AS400 JEMBATAN'!$AJ62,'AS400 JEMBATAN'!AE62,$AK62/$AE$4)+$AM62,0)</f>
        <v>#REF!</v>
      </c>
      <c r="AF62" s="304" t="e">
        <f>ROUNDUP(IF('AS400 JEMBATAN'!$AK62&gt;='AS400 JEMBATAN'!$AJ62,'AS400 JEMBATAN'!AF62,$AK62/$AE$4)+$AM62,0)</f>
        <v>#REF!</v>
      </c>
      <c r="AG62" s="304" t="e">
        <f>ROUNDUP(IF('AS400 JEMBATAN'!$AK62&gt;='AS400 JEMBATAN'!$AJ62,'AS400 JEMBATAN'!AG62,$AK62/$AE$4)+$AM62,0)</f>
        <v>#REF!</v>
      </c>
      <c r="AH62" s="304" t="e">
        <f>ROUNDUP(IF('AS400 JEMBATAN'!$AK62&gt;='AS400 JEMBATAN'!$AJ62,'AS400 JEMBATAN'!AH62,$AK62/$AE$4)+$AM62,0)</f>
        <v>#REF!</v>
      </c>
      <c r="AI62" s="304"/>
      <c r="AJ62" s="304" t="e">
        <f>SUM(AE62:AI62)</f>
        <v>#REF!</v>
      </c>
      <c r="AK62" s="305" t="e">
        <f>'Qty &amp; UMH GUM'!AA62</f>
        <v>#REF!</v>
      </c>
      <c r="AL62" s="304" t="e">
        <f>ROUNDUP((AK62-AJ62)/$AE$4,0)</f>
        <v>#REF!</v>
      </c>
      <c r="AM62" s="409"/>
      <c r="AN62" s="308" t="e">
        <f>ROUNDUP(IF('AS400 JEMBATAN'!$AT62&gt;='AS400 JEMBATAN'!$AS62,'AS400 JEMBATAN'!AN62,$AT62/$AN$4)+$AV62,0)</f>
        <v>#REF!</v>
      </c>
      <c r="AO62" s="304" t="e">
        <f>ROUNDUP(IF('AS400 JEMBATAN'!$AT62&gt;='AS400 JEMBATAN'!$AS62,'AS400 JEMBATAN'!AO62,$AT62/$AN$4)+$AV62,0)</f>
        <v>#REF!</v>
      </c>
      <c r="AP62" s="304" t="e">
        <f>ROUNDUP(IF('AS400 JEMBATAN'!$AT62&gt;='AS400 JEMBATAN'!$AS62,'AS400 JEMBATAN'!AP62,$AT62/$AN$4)+$AV62,0)</f>
        <v>#REF!</v>
      </c>
      <c r="AQ62" s="304" t="e">
        <f>ROUNDUP(IF('AS400 JEMBATAN'!$AT62&gt;='AS400 JEMBATAN'!$AS62,'AS400 JEMBATAN'!AQ62,$AT62/$AN$4)+$AV62,0)</f>
        <v>#REF!</v>
      </c>
      <c r="AR62" s="304"/>
      <c r="AS62" s="304" t="e">
        <f>SUM(AN62:AR62)</f>
        <v>#REF!</v>
      </c>
      <c r="AT62" s="305" t="e">
        <f>'Qty &amp; UMH GUM'!AD62</f>
        <v>#REF!</v>
      </c>
      <c r="AU62" s="304" t="e">
        <f>ROUNDUP((AT62-AS62)/$AN$4,0)</f>
        <v>#REF!</v>
      </c>
      <c r="AV62" s="311"/>
    </row>
    <row r="63" spans="1:53" customHeight="1" ht="18.75">
      <c r="A63" s="445"/>
      <c r="B63" s="343" t="str">
        <f>'Qty &amp; UMH GUM'!C63</f>
        <v>82111-4D590</v>
      </c>
      <c r="C63" s="281"/>
      <c r="D63" s="304" t="e">
        <f>ROUNDUP(IF('AS400 JEMBATAN'!$J63&gt;='AS400 JEMBATAN'!$I63,'AS400 JEMBATAN'!D63,$J63/$D$4)+$L63,0)</f>
        <v>#REF!</v>
      </c>
      <c r="E63" s="304" t="e">
        <f>ROUNDUP(IF('AS400 JEMBATAN'!$J63&gt;='AS400 JEMBATAN'!$I63,'AS400 JEMBATAN'!E63,$J63/$D$4)+$L63,0)</f>
        <v>#REF!</v>
      </c>
      <c r="F63" s="304" t="e">
        <f>ROUNDUP(IF('AS400 JEMBATAN'!$J63&gt;='AS400 JEMBATAN'!$I63,'AS400 JEMBATAN'!F63,$J63/$D$4)+$L63,0)</f>
        <v>#REF!</v>
      </c>
      <c r="G63" s="304" t="e">
        <f>ROUNDUP(IF('AS400 JEMBATAN'!$J63&gt;='AS400 JEMBATAN'!$I63,'AS400 JEMBATAN'!G63,$J63/$D$4)+$L63,0)</f>
        <v>#REF!</v>
      </c>
      <c r="H63" s="304" t="e">
        <f>ROUNDUP(IF('AS400 JEMBATAN'!$J63&gt;='AS400 JEMBATAN'!$I63,'AS400 JEMBATAN'!H63,$J63/$D$4)+$L63,0)</f>
        <v>#REF!</v>
      </c>
      <c r="I63" s="304" t="e">
        <f>SUM(D63:H63)</f>
        <v>#REF!</v>
      </c>
      <c r="J63" s="305" t="e">
        <f>'Qty &amp; UMH GUM'!R63</f>
        <v>#REF!</v>
      </c>
      <c r="K63" s="305" t="e">
        <f>ROUNDUP((J63-I63)/$D$4,0)</f>
        <v>#REF!</v>
      </c>
      <c r="L63" s="306">
        <v>0.0</v>
      </c>
      <c r="M63" s="304" t="e">
        <f>ROUNDUP(IF('AS400 JEMBATAN'!$S63&gt;='AS400 JEMBATAN'!$R63,'AS400 JEMBATAN'!M63,$S63/$M$4)+$U63,0)</f>
        <v>#REF!</v>
      </c>
      <c r="N63" s="304" t="e">
        <f>ROUNDUP(IF('AS400 JEMBATAN'!$S63&gt;='AS400 JEMBATAN'!$R63,'AS400 JEMBATAN'!N63,$S63/$M$4)+$U63,0)</f>
        <v>#REF!</v>
      </c>
      <c r="O63" s="304" t="e">
        <f>ROUNDUP(IF('AS400 JEMBATAN'!$S63&gt;='AS400 JEMBATAN'!$R63,'AS400 JEMBATAN'!O63,$S63/$M$4)+$U63,0)</f>
        <v>#REF!</v>
      </c>
      <c r="P63" s="304" t="e">
        <f>ROUNDUP(IF('AS400 JEMBATAN'!$S63&gt;='AS400 JEMBATAN'!$R63,'AS400 JEMBATAN'!P63,$S63/$M$4)+$U63,0)</f>
        <v>#REF!</v>
      </c>
      <c r="Q63" s="304"/>
      <c r="R63" s="304" t="e">
        <f>SUM(M63:Q63)</f>
        <v>#REF!</v>
      </c>
      <c r="S63" s="305" t="e">
        <f>'Qty &amp; UMH GUM'!U63</f>
        <v>#REF!</v>
      </c>
      <c r="T63" s="305" t="e">
        <f>ROUNDUP((S63-R63)/$M$4,0)</f>
        <v>#REF!</v>
      </c>
      <c r="U63" s="307"/>
      <c r="V63" s="304" t="e">
        <f>ROUNDUP(IF('AS400 JEMBATAN'!$AB63&gt;='AS400 JEMBATAN'!$AA63,'AS400 JEMBATAN'!V63,$AB63/$V$4)+$AD63,0)</f>
        <v>#REF!</v>
      </c>
      <c r="W63" s="304" t="e">
        <f>ROUNDUP(IF('AS400 JEMBATAN'!$AB63&gt;='AS400 JEMBATAN'!$AA63,'AS400 JEMBATAN'!W63,$AB63/$V$4)+$AD63,0)</f>
        <v>#REF!</v>
      </c>
      <c r="X63" s="304" t="e">
        <f>ROUNDUP(IF('AS400 JEMBATAN'!$AB63&gt;='AS400 JEMBATAN'!$AA63,'AS400 JEMBATAN'!X63,$AB63/$V$4)+$AD63,0)</f>
        <v>#REF!</v>
      </c>
      <c r="Y63" s="304" t="e">
        <f>ROUNDUP(IF('AS400 JEMBATAN'!$AB63&gt;='AS400 JEMBATAN'!$AA63,'AS400 JEMBATAN'!Y63,$AB63/$V$4)+$AD63,0)</f>
        <v>#REF!</v>
      </c>
      <c r="Z63" s="304"/>
      <c r="AA63" s="304" t="e">
        <f>SUM(V63:Z63)</f>
        <v>#REF!</v>
      </c>
      <c r="AB63" s="305" t="e">
        <f>'Qty &amp; UMH GUM'!X63</f>
        <v>#REF!</v>
      </c>
      <c r="AC63" s="304" t="e">
        <f>ROUNDUP((AB63-AA63)/$V$4,0)</f>
        <v>#REF!</v>
      </c>
      <c r="AD63" s="307">
        <v>0.0</v>
      </c>
      <c r="AE63" s="304" t="e">
        <f>ROUNDUP(IF('AS400 JEMBATAN'!$AK63&gt;='AS400 JEMBATAN'!$AJ63,'AS400 JEMBATAN'!AE63,$AK63/$AE$4)+$AM63,0)</f>
        <v>#REF!</v>
      </c>
      <c r="AF63" s="304" t="e">
        <f>ROUNDUP(IF('AS400 JEMBATAN'!$AK63&gt;='AS400 JEMBATAN'!$AJ63,'AS400 JEMBATAN'!AF63,$AK63/$AE$4)+$AM63,0)</f>
        <v>#REF!</v>
      </c>
      <c r="AG63" s="304" t="e">
        <f>ROUNDUP(IF('AS400 JEMBATAN'!$AK63&gt;='AS400 JEMBATAN'!$AJ63,'AS400 JEMBATAN'!AG63,$AK63/$AE$4)+$AM63,0)</f>
        <v>#REF!</v>
      </c>
      <c r="AH63" s="304" t="e">
        <f>ROUNDUP(IF('AS400 JEMBATAN'!$AK63&gt;='AS400 JEMBATAN'!$AJ63,'AS400 JEMBATAN'!AH63,$AK63/$AE$4)+$AM63,0)</f>
        <v>#REF!</v>
      </c>
      <c r="AI63" s="304"/>
      <c r="AJ63" s="304" t="e">
        <f>SUM(AE63:AI63)</f>
        <v>#REF!</v>
      </c>
      <c r="AK63" s="305" t="e">
        <f>'Qty &amp; UMH GUM'!AA63</f>
        <v>#REF!</v>
      </c>
      <c r="AL63" s="304" t="e">
        <f>ROUNDUP((AK63-AJ63)/$AE$4,0)</f>
        <v>#REF!</v>
      </c>
      <c r="AM63" s="409"/>
      <c r="AN63" s="308" t="e">
        <f>ROUNDUP(IF('AS400 JEMBATAN'!$AT63&gt;='AS400 JEMBATAN'!$AS63,'AS400 JEMBATAN'!AN63,$AT63/$AN$4)+$AV63,0)</f>
        <v>#REF!</v>
      </c>
      <c r="AO63" s="304" t="e">
        <f>ROUNDUP(IF('AS400 JEMBATAN'!$AT63&gt;='AS400 JEMBATAN'!$AS63,'AS400 JEMBATAN'!AO63,$AT63/$AN$4)+$AV63,0)</f>
        <v>#REF!</v>
      </c>
      <c r="AP63" s="304" t="e">
        <f>ROUNDUP(IF('AS400 JEMBATAN'!$AT63&gt;='AS400 JEMBATAN'!$AS63,'AS400 JEMBATAN'!AP63,$AT63/$AN$4)+$AV63,0)</f>
        <v>#REF!</v>
      </c>
      <c r="AQ63" s="304" t="e">
        <f>ROUNDUP(IF('AS400 JEMBATAN'!$AT63&gt;='AS400 JEMBATAN'!$AS63,'AS400 JEMBATAN'!AQ63,$AT63/$AN$4)+$AV63,0)</f>
        <v>#REF!</v>
      </c>
      <c r="AR63" s="304"/>
      <c r="AS63" s="304" t="e">
        <f>SUM(AN63:AR63)</f>
        <v>#REF!</v>
      </c>
      <c r="AT63" s="305" t="e">
        <f>'Qty &amp; UMH GUM'!AD63</f>
        <v>#REF!</v>
      </c>
      <c r="AU63" s="304" t="e">
        <f>ROUNDUP((AT63-AS63)/$AN$4,0)</f>
        <v>#REF!</v>
      </c>
      <c r="AV63" s="311"/>
    </row>
    <row r="64" spans="1:53" customHeight="1" ht="18.75">
      <c r="A64" s="445"/>
      <c r="B64" s="343" t="str">
        <f>'Qty &amp; UMH GUM'!C64</f>
        <v>82111-4DV80</v>
      </c>
      <c r="C64" s="281"/>
      <c r="D64" s="304" t="e">
        <f>ROUNDUP(IF('AS400 JEMBATAN'!$J64&gt;='AS400 JEMBATAN'!$I64,'AS400 JEMBATAN'!D64,$J64/$D$4)+$L64,0)</f>
        <v>#REF!</v>
      </c>
      <c r="E64" s="304" t="e">
        <f>ROUNDUP(IF('AS400 JEMBATAN'!$J64&gt;='AS400 JEMBATAN'!$I64,'AS400 JEMBATAN'!E64,$J64/$D$4)+$L64,0)</f>
        <v>#REF!</v>
      </c>
      <c r="F64" s="304" t="e">
        <f>ROUNDUP(IF('AS400 JEMBATAN'!$J64&gt;='AS400 JEMBATAN'!$I64,'AS400 JEMBATAN'!F64,$J64/$D$4)+$L64,0)</f>
        <v>#REF!</v>
      </c>
      <c r="G64" s="304" t="e">
        <f>ROUNDUP(IF('AS400 JEMBATAN'!$J64&gt;='AS400 JEMBATAN'!$I64,'AS400 JEMBATAN'!G64,$J64/$D$4)+$L64,0)</f>
        <v>#REF!</v>
      </c>
      <c r="H64" s="304" t="e">
        <f>ROUNDUP(IF('AS400 JEMBATAN'!$J64&gt;='AS400 JEMBATAN'!$I64,'AS400 JEMBATAN'!H64,$J64/$D$4)+$L64,0)</f>
        <v>#REF!</v>
      </c>
      <c r="I64" s="304" t="e">
        <f>SUM(D64:D64)</f>
        <v>#REF!</v>
      </c>
      <c r="J64" s="305" t="e">
        <f>'Qty &amp; UMH GUM'!R64</f>
        <v>#REF!</v>
      </c>
      <c r="K64" s="305" t="e">
        <f>ROUNDUP((J64-I64)/$D$4,0)</f>
        <v>#REF!</v>
      </c>
      <c r="L64" s="306">
        <v>0.0</v>
      </c>
      <c r="M64" s="304" t="e">
        <f>ROUNDUP(IF('AS400 JEMBATAN'!$S64&gt;='AS400 JEMBATAN'!$R64,'AS400 JEMBATAN'!M64,$S64/$M$4)+$U64,0)</f>
        <v>#REF!</v>
      </c>
      <c r="N64" s="304" t="e">
        <f>ROUNDUP(IF('AS400 JEMBATAN'!$S64&gt;='AS400 JEMBATAN'!$R64,'AS400 JEMBATAN'!N64,$S64/$M$4)+$U64,0)</f>
        <v>#REF!</v>
      </c>
      <c r="O64" s="304" t="e">
        <f>ROUNDUP(IF('AS400 JEMBATAN'!$S64&gt;='AS400 JEMBATAN'!$R64,'AS400 JEMBATAN'!O64,$S64/$M$4)+$U64,0)</f>
        <v>#REF!</v>
      </c>
      <c r="P64" s="304" t="e">
        <f>ROUNDUP(IF('AS400 JEMBATAN'!$S64&gt;='AS400 JEMBATAN'!$R64,'AS400 JEMBATAN'!P64,$S64/$M$4)+$U64,0)</f>
        <v>#REF!</v>
      </c>
      <c r="Q64" s="304"/>
      <c r="R64" s="304" t="e">
        <f>SUM(M64:M64)</f>
        <v>#REF!</v>
      </c>
      <c r="S64" s="305" t="e">
        <f>'Qty &amp; UMH GUM'!U64</f>
        <v>#REF!</v>
      </c>
      <c r="T64" s="305" t="e">
        <f>ROUNDUP((S64-R64)/$M$4,0)</f>
        <v>#REF!</v>
      </c>
      <c r="U64" s="307"/>
      <c r="V64" s="304" t="e">
        <f>ROUNDUP(IF('AS400 JEMBATAN'!$AB64&gt;='AS400 JEMBATAN'!$AA64,'AS400 JEMBATAN'!V64,$AB64/$V$4)+$AD64,0)</f>
        <v>#REF!</v>
      </c>
      <c r="W64" s="304" t="e">
        <f>ROUNDUP(IF('AS400 JEMBATAN'!$AB64&gt;='AS400 JEMBATAN'!$AA64,'AS400 JEMBATAN'!W64,$AB64/$V$4)+$AD64,0)</f>
        <v>#REF!</v>
      </c>
      <c r="X64" s="304" t="e">
        <f>ROUNDUP(IF('AS400 JEMBATAN'!$AB64&gt;='AS400 JEMBATAN'!$AA64,'AS400 JEMBATAN'!X64,$AB64/$V$4)+$AD64,0)</f>
        <v>#REF!</v>
      </c>
      <c r="Y64" s="304" t="e">
        <f>ROUNDUP(IF('AS400 JEMBATAN'!$AB64&gt;='AS400 JEMBATAN'!$AA64,'AS400 JEMBATAN'!Y64,$AB64/$V$4)+$AD64,0)</f>
        <v>#REF!</v>
      </c>
      <c r="Z64" s="304"/>
      <c r="AA64" s="304" t="e">
        <f>SUM(V64:V64)</f>
        <v>#REF!</v>
      </c>
      <c r="AB64" s="305" t="e">
        <f>'Qty &amp; UMH GUM'!X64</f>
        <v>#REF!</v>
      </c>
      <c r="AC64" s="304" t="e">
        <f>ROUNDUP((AB64-AA64)/$V$4,0)</f>
        <v>#REF!</v>
      </c>
      <c r="AD64" s="307">
        <v>0.0</v>
      </c>
      <c r="AE64" s="304" t="e">
        <f>ROUNDUP(IF('AS400 JEMBATAN'!$AK64&gt;='AS400 JEMBATAN'!$AJ64,'AS400 JEMBATAN'!AE64,$AK64/$AE$4)+$AM64,0)</f>
        <v>#REF!</v>
      </c>
      <c r="AF64" s="304" t="e">
        <f>ROUNDUP(IF('AS400 JEMBATAN'!$AK64&gt;='AS400 JEMBATAN'!$AJ64,'AS400 JEMBATAN'!AF64,$AK64/$AE$4)+$AM64,0)</f>
        <v>#REF!</v>
      </c>
      <c r="AG64" s="304" t="e">
        <f>ROUNDUP(IF('AS400 JEMBATAN'!$AK64&gt;='AS400 JEMBATAN'!$AJ64,'AS400 JEMBATAN'!AG64,$AK64/$AE$4)+$AM64,0)</f>
        <v>#REF!</v>
      </c>
      <c r="AH64" s="304" t="e">
        <f>ROUNDUP(IF('AS400 JEMBATAN'!$AK64&gt;='AS400 JEMBATAN'!$AJ64,'AS400 JEMBATAN'!AH64,$AK64/$AE$4)+$AM64,0)</f>
        <v>#REF!</v>
      </c>
      <c r="AI64" s="304"/>
      <c r="AJ64" s="304" t="e">
        <f>SUM(AE64:AE64)</f>
        <v>#REF!</v>
      </c>
      <c r="AK64" s="305" t="e">
        <f>'Qty &amp; UMH GUM'!AA64</f>
        <v>#REF!</v>
      </c>
      <c r="AL64" s="304" t="e">
        <f>ROUNDUP((AK64-AJ64)/$AE$4,0)</f>
        <v>#REF!</v>
      </c>
      <c r="AM64" s="409"/>
      <c r="AN64" s="308" t="e">
        <f>ROUNDUP(IF('AS400 JEMBATAN'!$AT64&gt;='AS400 JEMBATAN'!$AS64,'AS400 JEMBATAN'!AN64,$AT64/$AN$4)+$AV64,0)</f>
        <v>#REF!</v>
      </c>
      <c r="AO64" s="304" t="e">
        <f>ROUNDUP(IF('AS400 JEMBATAN'!$AT64&gt;='AS400 JEMBATAN'!$AS64,'AS400 JEMBATAN'!AO64,$AT64/$AN$4)+$AV64,0)</f>
        <v>#REF!</v>
      </c>
      <c r="AP64" s="304" t="e">
        <f>ROUNDUP(IF('AS400 JEMBATAN'!$AT64&gt;='AS400 JEMBATAN'!$AS64,'AS400 JEMBATAN'!AP64,$AT64/$AN$4)+$AV64,0)</f>
        <v>#REF!</v>
      </c>
      <c r="AQ64" s="304" t="e">
        <f>ROUNDUP(IF('AS400 JEMBATAN'!$AT64&gt;='AS400 JEMBATAN'!$AS64,'AS400 JEMBATAN'!AQ64,$AT64/$AN$4)+$AV64,0)</f>
        <v>#REF!</v>
      </c>
      <c r="AR64" s="304"/>
      <c r="AS64" s="304" t="e">
        <f>SUM(AN64:AN64)</f>
        <v>#REF!</v>
      </c>
      <c r="AT64" s="305" t="e">
        <f>'Qty &amp; UMH GUM'!AD64</f>
        <v>#REF!</v>
      </c>
      <c r="AU64" s="304" t="e">
        <f>ROUNDUP((AT64-AS64)/$AN$4,0)</f>
        <v>#REF!</v>
      </c>
      <c r="AV64" s="311"/>
      <c r="AW64" s="296"/>
      <c r="AX64" s="296"/>
      <c r="AY64" s="296"/>
      <c r="AZ64" s="296"/>
      <c r="BA64" s="296"/>
    </row>
    <row r="65" spans="1:53" customHeight="1" ht="18.75">
      <c r="A65" s="445"/>
      <c r="B65" s="343" t="str">
        <f>'Qty &amp; UMH GUM'!C65</f>
        <v>82111-4DV90</v>
      </c>
      <c r="C65" s="281"/>
      <c r="D65" s="304" t="e">
        <f>ROUNDUP(IF('AS400 JEMBATAN'!$J65&gt;='AS400 JEMBATAN'!$I65,'AS400 JEMBATAN'!D65,$J65/$D$4)+$L65,0)</f>
        <v>#REF!</v>
      </c>
      <c r="E65" s="304" t="e">
        <f>ROUNDUP(IF('AS400 JEMBATAN'!$J65&gt;='AS400 JEMBATAN'!$I65,'AS400 JEMBATAN'!E65,$J65/$D$4)+$L65,0)</f>
        <v>#REF!</v>
      </c>
      <c r="F65" s="304" t="e">
        <f>ROUNDUP(IF('AS400 JEMBATAN'!$J65&gt;='AS400 JEMBATAN'!$I65,'AS400 JEMBATAN'!F65,$J65/$D$4)+$L65,0)</f>
        <v>#REF!</v>
      </c>
      <c r="G65" s="304" t="e">
        <f>ROUNDUP(IF('AS400 JEMBATAN'!$J65&gt;='AS400 JEMBATAN'!$I65,'AS400 JEMBATAN'!G65,$J65/$D$4)+$L65,0)</f>
        <v>#REF!</v>
      </c>
      <c r="H65" s="304" t="e">
        <f>ROUNDUP(IF('AS400 JEMBATAN'!$J65&gt;='AS400 JEMBATAN'!$I65,'AS400 JEMBATAN'!H65,$J65/$D$4)+$L65,0)</f>
        <v>#REF!</v>
      </c>
      <c r="I65" s="304" t="e">
        <f>SUM(D65:D65)</f>
        <v>#REF!</v>
      </c>
      <c r="J65" s="305" t="e">
        <f>'Qty &amp; UMH GUM'!R65</f>
        <v>#REF!</v>
      </c>
      <c r="K65" s="305" t="e">
        <f>ROUNDUP((J65-I65)/$D$4,0)</f>
        <v>#REF!</v>
      </c>
      <c r="L65" s="306">
        <v>0.0</v>
      </c>
      <c r="M65" s="304" t="e">
        <f>ROUNDUP(IF('AS400 JEMBATAN'!$S65&gt;='AS400 JEMBATAN'!$R65,'AS400 JEMBATAN'!M65,$S65/$M$4)+$U65,0)</f>
        <v>#REF!</v>
      </c>
      <c r="N65" s="304" t="e">
        <f>ROUNDUP(IF('AS400 JEMBATAN'!$S65&gt;='AS400 JEMBATAN'!$R65,'AS400 JEMBATAN'!N65,$S65/$M$4)+$U65,0)</f>
        <v>#REF!</v>
      </c>
      <c r="O65" s="304" t="e">
        <f>ROUNDUP(IF('AS400 JEMBATAN'!$S65&gt;='AS400 JEMBATAN'!$R65,'AS400 JEMBATAN'!O65,$S65/$M$4)+$U65,0)</f>
        <v>#REF!</v>
      </c>
      <c r="P65" s="304" t="e">
        <f>ROUNDUP(IF('AS400 JEMBATAN'!$S65&gt;='AS400 JEMBATAN'!$R65,'AS400 JEMBATAN'!P65,$S65/$M$4)+$U65,0)</f>
        <v>#REF!</v>
      </c>
      <c r="Q65" s="304"/>
      <c r="R65" s="304" t="e">
        <f>SUM(M65:M65)</f>
        <v>#REF!</v>
      </c>
      <c r="S65" s="305" t="e">
        <f>'Qty &amp; UMH GUM'!U65</f>
        <v>#REF!</v>
      </c>
      <c r="T65" s="305" t="e">
        <f>ROUNDUP((S65-R65)/$M$4,0)</f>
        <v>#REF!</v>
      </c>
      <c r="U65" s="307"/>
      <c r="V65" s="304" t="e">
        <f>ROUNDUP(IF('AS400 JEMBATAN'!$AB65&gt;='AS400 JEMBATAN'!$AA65,'AS400 JEMBATAN'!V65,$AB65/$V$4)+$AD65,0)</f>
        <v>#REF!</v>
      </c>
      <c r="W65" s="304" t="e">
        <f>ROUNDUP(IF('AS400 JEMBATAN'!$AB65&gt;='AS400 JEMBATAN'!$AA65,'AS400 JEMBATAN'!W65,$AB65/$V$4)+$AD65,0)</f>
        <v>#REF!</v>
      </c>
      <c r="X65" s="304" t="e">
        <f>ROUNDUP(IF('AS400 JEMBATAN'!$AB65&gt;='AS400 JEMBATAN'!$AA65,'AS400 JEMBATAN'!X65,$AB65/$V$4)+$AD65,0)</f>
        <v>#REF!</v>
      </c>
      <c r="Y65" s="304" t="e">
        <f>ROUNDUP(IF('AS400 JEMBATAN'!$AB65&gt;='AS400 JEMBATAN'!$AA65,'AS400 JEMBATAN'!Y65,$AB65/$V$4)+$AD65,0)</f>
        <v>#REF!</v>
      </c>
      <c r="Z65" s="304"/>
      <c r="AA65" s="304" t="e">
        <f>SUM(V65:V65)</f>
        <v>#REF!</v>
      </c>
      <c r="AB65" s="305" t="e">
        <f>'Qty &amp; UMH GUM'!X65</f>
        <v>#REF!</v>
      </c>
      <c r="AC65" s="304" t="e">
        <f>ROUNDUP((AB65-AA65)/$V$4,0)</f>
        <v>#REF!</v>
      </c>
      <c r="AD65" s="307">
        <v>0.0</v>
      </c>
      <c r="AE65" s="304" t="e">
        <f>ROUNDUP(IF('AS400 JEMBATAN'!$AK65&gt;='AS400 JEMBATAN'!$AJ65,'AS400 JEMBATAN'!AE65,$AK65/$AE$4)+$AM65,0)</f>
        <v>#REF!</v>
      </c>
      <c r="AF65" s="304" t="e">
        <f>ROUNDUP(IF('AS400 JEMBATAN'!$AK65&gt;='AS400 JEMBATAN'!$AJ65,'AS400 JEMBATAN'!AF65,$AK65/$AE$4)+$AM65,0)</f>
        <v>#REF!</v>
      </c>
      <c r="AG65" s="304" t="e">
        <f>ROUNDUP(IF('AS400 JEMBATAN'!$AK65&gt;='AS400 JEMBATAN'!$AJ65,'AS400 JEMBATAN'!AG65,$AK65/$AE$4)+$AM65,0)</f>
        <v>#REF!</v>
      </c>
      <c r="AH65" s="304" t="e">
        <f>ROUNDUP(IF('AS400 JEMBATAN'!$AK65&gt;='AS400 JEMBATAN'!$AJ65,'AS400 JEMBATAN'!AH65,$AK65/$AE$4)+$AM65,0)</f>
        <v>#REF!</v>
      </c>
      <c r="AI65" s="304"/>
      <c r="AJ65" s="304" t="e">
        <f>SUM(AE65:AE65)</f>
        <v>#REF!</v>
      </c>
      <c r="AK65" s="305" t="e">
        <f>'Qty &amp; UMH GUM'!AA65</f>
        <v>#REF!</v>
      </c>
      <c r="AL65" s="304" t="e">
        <f>ROUNDUP((AK65-AJ65)/$AE$4,0)</f>
        <v>#REF!</v>
      </c>
      <c r="AM65" s="409"/>
      <c r="AN65" s="308" t="e">
        <f>ROUNDUP(IF('AS400 JEMBATAN'!$AT65&gt;='AS400 JEMBATAN'!$AS65,'AS400 JEMBATAN'!AN65,$AT65/$AN$4)+$AV65,0)</f>
        <v>#REF!</v>
      </c>
      <c r="AO65" s="304" t="e">
        <f>ROUNDUP(IF('AS400 JEMBATAN'!$AT65&gt;='AS400 JEMBATAN'!$AS65,'AS400 JEMBATAN'!AO65,$AT65/$AN$4)+$AV65,0)</f>
        <v>#REF!</v>
      </c>
      <c r="AP65" s="304" t="e">
        <f>ROUNDUP(IF('AS400 JEMBATAN'!$AT65&gt;='AS400 JEMBATAN'!$AS65,'AS400 JEMBATAN'!AP65,$AT65/$AN$4)+$AV65,0)</f>
        <v>#REF!</v>
      </c>
      <c r="AQ65" s="304" t="e">
        <f>ROUNDUP(IF('AS400 JEMBATAN'!$AT65&gt;='AS400 JEMBATAN'!$AS65,'AS400 JEMBATAN'!AQ65,$AT65/$AN$4)+$AV65,0)</f>
        <v>#REF!</v>
      </c>
      <c r="AR65" s="304"/>
      <c r="AS65" s="304" t="e">
        <f>SUM(AN65:AN65)</f>
        <v>#REF!</v>
      </c>
      <c r="AT65" s="305" t="e">
        <f>'Qty &amp; UMH GUM'!AD65</f>
        <v>#REF!</v>
      </c>
      <c r="AU65" s="304" t="e">
        <f>ROUNDUP((AT65-AS65)/$AN$4,0)</f>
        <v>#REF!</v>
      </c>
      <c r="AV65" s="311"/>
      <c r="AW65" s="296"/>
      <c r="AX65" s="296"/>
      <c r="AY65" s="296"/>
      <c r="AZ65" s="296"/>
      <c r="BA65" s="296"/>
    </row>
    <row r="66" spans="1:53" customHeight="1" ht="18.75">
      <c r="A66" s="445"/>
      <c r="B66" s="343" t="str">
        <f>'Qty &amp; UMH GUM'!C66</f>
        <v>82111-4DW00</v>
      </c>
      <c r="C66" s="281"/>
      <c r="D66" s="304" t="e">
        <f>ROUNDUP(IF('AS400 JEMBATAN'!$J66&gt;='AS400 JEMBATAN'!$I66,'AS400 JEMBATAN'!D66,$J66/$D$4)+$L66,0)</f>
        <v>#REF!</v>
      </c>
      <c r="E66" s="304" t="e">
        <f>ROUNDUP(IF('AS400 JEMBATAN'!$J66&gt;='AS400 JEMBATAN'!$I66,'AS400 JEMBATAN'!E66,$J66/$D$4)+$L66,0)</f>
        <v>#REF!</v>
      </c>
      <c r="F66" s="304" t="e">
        <f>ROUNDUP(IF('AS400 JEMBATAN'!$J66&gt;='AS400 JEMBATAN'!$I66,'AS400 JEMBATAN'!F66,$J66/$D$4)+$L66,0)</f>
        <v>#REF!</v>
      </c>
      <c r="G66" s="304" t="e">
        <f>ROUNDUP(IF('AS400 JEMBATAN'!$J66&gt;='AS400 JEMBATAN'!$I66,'AS400 JEMBATAN'!G66,$J66/$D$4)+$L66,0)</f>
        <v>#REF!</v>
      </c>
      <c r="H66" s="304" t="e">
        <f>ROUNDUP(IF('AS400 JEMBATAN'!$J66&gt;='AS400 JEMBATAN'!$I66,'AS400 JEMBATAN'!H66,$J66/$D$4)+$L66,0)</f>
        <v>#REF!</v>
      </c>
      <c r="I66" s="304" t="e">
        <f>SUM(D66:D66)</f>
        <v>#REF!</v>
      </c>
      <c r="J66" s="305" t="e">
        <f>'Qty &amp; UMH GUM'!R66</f>
        <v>#REF!</v>
      </c>
      <c r="K66" s="305" t="e">
        <f>ROUNDUP((J66-I66)/$D$4,0)</f>
        <v>#REF!</v>
      </c>
      <c r="L66" s="306">
        <v>0.0</v>
      </c>
      <c r="M66" s="304" t="e">
        <f>ROUNDUP(IF('AS400 JEMBATAN'!$S66&gt;='AS400 JEMBATAN'!$R66,'AS400 JEMBATAN'!M66,$S66/$M$4)+$U66,0)</f>
        <v>#REF!</v>
      </c>
      <c r="N66" s="304" t="e">
        <f>ROUNDUP(IF('AS400 JEMBATAN'!$S66&gt;='AS400 JEMBATAN'!$R66,'AS400 JEMBATAN'!N66,$S66/$M$4)+$U66,0)</f>
        <v>#REF!</v>
      </c>
      <c r="O66" s="304" t="e">
        <f>ROUNDUP(IF('AS400 JEMBATAN'!$S66&gt;='AS400 JEMBATAN'!$R66,'AS400 JEMBATAN'!O66,$S66/$M$4)+$U66,0)</f>
        <v>#REF!</v>
      </c>
      <c r="P66" s="304" t="e">
        <f>ROUNDUP(IF('AS400 JEMBATAN'!$S66&gt;='AS400 JEMBATAN'!$R66,'AS400 JEMBATAN'!P66,$S66/$M$4)+$U66,0)</f>
        <v>#REF!</v>
      </c>
      <c r="Q66" s="304"/>
      <c r="R66" s="304" t="e">
        <f>SUM(M66:M66)</f>
        <v>#REF!</v>
      </c>
      <c r="S66" s="305" t="e">
        <f>'Qty &amp; UMH GUM'!U66</f>
        <v>#REF!</v>
      </c>
      <c r="T66" s="305" t="e">
        <f>ROUNDUP((S66-R66)/$M$4,0)</f>
        <v>#REF!</v>
      </c>
      <c r="U66" s="307"/>
      <c r="V66" s="304" t="e">
        <f>ROUNDUP(IF('AS400 JEMBATAN'!$AB66&gt;='AS400 JEMBATAN'!$AA66,'AS400 JEMBATAN'!V66,$AB66/$V$4)+$AD66,0)</f>
        <v>#REF!</v>
      </c>
      <c r="W66" s="304" t="e">
        <f>ROUNDUP(IF('AS400 JEMBATAN'!$AB66&gt;='AS400 JEMBATAN'!$AA66,'AS400 JEMBATAN'!W66,$AB66/$V$4)+$AD66,0)</f>
        <v>#REF!</v>
      </c>
      <c r="X66" s="304" t="e">
        <f>ROUNDUP(IF('AS400 JEMBATAN'!$AB66&gt;='AS400 JEMBATAN'!$AA66,'AS400 JEMBATAN'!X66,$AB66/$V$4)+$AD66,0)</f>
        <v>#REF!</v>
      </c>
      <c r="Y66" s="304" t="e">
        <f>ROUNDUP(IF('AS400 JEMBATAN'!$AB66&gt;='AS400 JEMBATAN'!$AA66,'AS400 JEMBATAN'!Y66,$AB66/$V$4)+$AD66,0)</f>
        <v>#REF!</v>
      </c>
      <c r="Z66" s="304"/>
      <c r="AA66" s="304" t="e">
        <f>SUM(V66:V66)</f>
        <v>#REF!</v>
      </c>
      <c r="AB66" s="305" t="e">
        <f>'Qty &amp; UMH GUM'!X66</f>
        <v>#REF!</v>
      </c>
      <c r="AC66" s="304" t="e">
        <f>ROUNDUP((AB66-AA66)/$V$4,0)</f>
        <v>#REF!</v>
      </c>
      <c r="AD66" s="307">
        <v>0.0</v>
      </c>
      <c r="AE66" s="304" t="e">
        <f>ROUNDUP(IF('AS400 JEMBATAN'!$AK66&gt;='AS400 JEMBATAN'!$AJ66,'AS400 JEMBATAN'!AE66,$AK66/$AE$4)+$AM66,0)</f>
        <v>#REF!</v>
      </c>
      <c r="AF66" s="304" t="e">
        <f>ROUNDUP(IF('AS400 JEMBATAN'!$AK66&gt;='AS400 JEMBATAN'!$AJ66,'AS400 JEMBATAN'!AF66,$AK66/$AE$4)+$AM66,0)</f>
        <v>#REF!</v>
      </c>
      <c r="AG66" s="304" t="e">
        <f>ROUNDUP(IF('AS400 JEMBATAN'!$AK66&gt;='AS400 JEMBATAN'!$AJ66,'AS400 JEMBATAN'!AG66,$AK66/$AE$4)+$AM66,0)</f>
        <v>#REF!</v>
      </c>
      <c r="AH66" s="304" t="e">
        <f>ROUNDUP(IF('AS400 JEMBATAN'!$AK66&gt;='AS400 JEMBATAN'!$AJ66,'AS400 JEMBATAN'!AH66,$AK66/$AE$4)+$AM66,0)</f>
        <v>#REF!</v>
      </c>
      <c r="AI66" s="304"/>
      <c r="AJ66" s="304" t="e">
        <f>SUM(AE66:AE66)</f>
        <v>#REF!</v>
      </c>
      <c r="AK66" s="305" t="e">
        <f>'Qty &amp; UMH GUM'!AA66</f>
        <v>#REF!</v>
      </c>
      <c r="AL66" s="304" t="e">
        <f>ROUNDUP((AK66-AJ66)/$AE$4,0)</f>
        <v>#REF!</v>
      </c>
      <c r="AM66" s="409"/>
      <c r="AN66" s="308" t="e">
        <f>ROUNDUP(IF('AS400 JEMBATAN'!$AT66&gt;='AS400 JEMBATAN'!$AS66,'AS400 JEMBATAN'!AN66,$AT66/$AN$4)+$AV66,0)</f>
        <v>#REF!</v>
      </c>
      <c r="AO66" s="304" t="e">
        <f>ROUNDUP(IF('AS400 JEMBATAN'!$AT66&gt;='AS400 JEMBATAN'!$AS66,'AS400 JEMBATAN'!AO66,$AT66/$AN$4)+$AV66,0)</f>
        <v>#REF!</v>
      </c>
      <c r="AP66" s="304" t="e">
        <f>ROUNDUP(IF('AS400 JEMBATAN'!$AT66&gt;='AS400 JEMBATAN'!$AS66,'AS400 JEMBATAN'!AP66,$AT66/$AN$4)+$AV66,0)</f>
        <v>#REF!</v>
      </c>
      <c r="AQ66" s="304" t="e">
        <f>ROUNDUP(IF('AS400 JEMBATAN'!$AT66&gt;='AS400 JEMBATAN'!$AS66,'AS400 JEMBATAN'!AQ66,$AT66/$AN$4)+$AV66,0)</f>
        <v>#REF!</v>
      </c>
      <c r="AR66" s="304"/>
      <c r="AS66" s="304" t="e">
        <f>SUM(AN66:AN66)</f>
        <v>#REF!</v>
      </c>
      <c r="AT66" s="305" t="e">
        <f>'Qty &amp; UMH GUM'!AD66</f>
        <v>#REF!</v>
      </c>
      <c r="AU66" s="304" t="e">
        <f>ROUNDUP((AT66-AS66)/$AN$4,0)</f>
        <v>#REF!</v>
      </c>
      <c r="AV66" s="311"/>
      <c r="AW66" s="296"/>
      <c r="AX66" s="296"/>
      <c r="AY66" s="296"/>
      <c r="AZ66" s="296"/>
      <c r="BA66" s="296"/>
    </row>
    <row r="67" spans="1:53" customHeight="1" ht="18.75">
      <c r="A67" s="445"/>
      <c r="B67" s="343" t="str">
        <f>'Qty &amp; UMH GUM'!C67</f>
        <v>82111-4DW10</v>
      </c>
      <c r="C67" s="281"/>
      <c r="D67" s="304" t="e">
        <f>ROUNDUP(IF('AS400 JEMBATAN'!$J67&gt;='AS400 JEMBATAN'!$I67,'AS400 JEMBATAN'!D67,$J67/$D$4)+$L67,0)</f>
        <v>#REF!</v>
      </c>
      <c r="E67" s="304" t="e">
        <f>ROUNDUP(IF('AS400 JEMBATAN'!$J67&gt;='AS400 JEMBATAN'!$I67,'AS400 JEMBATAN'!E67,$J67/$D$4)+$L67,0)</f>
        <v>#REF!</v>
      </c>
      <c r="F67" s="304" t="e">
        <f>ROUNDUP(IF('AS400 JEMBATAN'!$J67&gt;='AS400 JEMBATAN'!$I67,'AS400 JEMBATAN'!F67,$J67/$D$4)+$L67,0)</f>
        <v>#REF!</v>
      </c>
      <c r="G67" s="304" t="e">
        <f>ROUNDUP(IF('AS400 JEMBATAN'!$J67&gt;='AS400 JEMBATAN'!$I67,'AS400 JEMBATAN'!G67,$J67/$D$4)+$L67,0)</f>
        <v>#REF!</v>
      </c>
      <c r="H67" s="304" t="e">
        <f>ROUNDUP(IF('AS400 JEMBATAN'!$J67&gt;='AS400 JEMBATAN'!$I67,'AS400 JEMBATAN'!H67,$J67/$D$4)+$L67,0)</f>
        <v>#REF!</v>
      </c>
      <c r="I67" s="304" t="e">
        <f>SUM(D67:D67)</f>
        <v>#REF!</v>
      </c>
      <c r="J67" s="305" t="e">
        <f>'Qty &amp; UMH GUM'!R67</f>
        <v>#REF!</v>
      </c>
      <c r="K67" s="305" t="e">
        <f>ROUNDUP((J67-I67)/$D$4,0)</f>
        <v>#REF!</v>
      </c>
      <c r="L67" s="306">
        <v>0.0</v>
      </c>
      <c r="M67" s="304" t="e">
        <f>ROUNDUP(IF('AS400 JEMBATAN'!$S67&gt;='AS400 JEMBATAN'!$R67,'AS400 JEMBATAN'!M67,$S67/$M$4)+$U67,0)</f>
        <v>#REF!</v>
      </c>
      <c r="N67" s="304" t="e">
        <f>ROUNDUP(IF('AS400 JEMBATAN'!$S67&gt;='AS400 JEMBATAN'!$R67,'AS400 JEMBATAN'!N67,$S67/$M$4)+$U67,0)</f>
        <v>#REF!</v>
      </c>
      <c r="O67" s="304" t="e">
        <f>ROUNDUP(IF('AS400 JEMBATAN'!$S67&gt;='AS400 JEMBATAN'!$R67,'AS400 JEMBATAN'!O67,$S67/$M$4)+$U67,0)</f>
        <v>#REF!</v>
      </c>
      <c r="P67" s="304" t="e">
        <f>ROUNDUP(IF('AS400 JEMBATAN'!$S67&gt;='AS400 JEMBATAN'!$R67,'AS400 JEMBATAN'!P67,$S67/$M$4)+$U67,0)</f>
        <v>#REF!</v>
      </c>
      <c r="Q67" s="304"/>
      <c r="R67" s="304" t="e">
        <f>SUM(M67:M67)</f>
        <v>#REF!</v>
      </c>
      <c r="S67" s="305" t="e">
        <f>'Qty &amp; UMH GUM'!U67</f>
        <v>#REF!</v>
      </c>
      <c r="T67" s="305" t="e">
        <f>ROUNDUP((S67-R67)/$M$4,0)</f>
        <v>#REF!</v>
      </c>
      <c r="U67" s="307"/>
      <c r="V67" s="304" t="e">
        <f>ROUNDUP(IF('AS400 JEMBATAN'!$AB67&gt;='AS400 JEMBATAN'!$AA67,'AS400 JEMBATAN'!V67,$AB67/$V$4)+$AD67,0)</f>
        <v>#REF!</v>
      </c>
      <c r="W67" s="304" t="e">
        <f>ROUNDUP(IF('AS400 JEMBATAN'!$AB67&gt;='AS400 JEMBATAN'!$AA67,'AS400 JEMBATAN'!W67,$AB67/$V$4)+$AD67,0)</f>
        <v>#REF!</v>
      </c>
      <c r="X67" s="304" t="e">
        <f>ROUNDUP(IF('AS400 JEMBATAN'!$AB67&gt;='AS400 JEMBATAN'!$AA67,'AS400 JEMBATAN'!X67,$AB67/$V$4)+$AD67,0)</f>
        <v>#REF!</v>
      </c>
      <c r="Y67" s="304" t="e">
        <f>ROUNDUP(IF('AS400 JEMBATAN'!$AB67&gt;='AS400 JEMBATAN'!$AA67,'AS400 JEMBATAN'!Y67,$AB67/$V$4)+$AD67,0)</f>
        <v>#REF!</v>
      </c>
      <c r="Z67" s="304"/>
      <c r="AA67" s="304" t="e">
        <f>SUM(V67:V67)</f>
        <v>#REF!</v>
      </c>
      <c r="AB67" s="305" t="e">
        <f>'Qty &amp; UMH GUM'!X67</f>
        <v>#REF!</v>
      </c>
      <c r="AC67" s="304" t="e">
        <f>ROUNDUP((AB67-AA67)/$V$4,0)</f>
        <v>#REF!</v>
      </c>
      <c r="AD67" s="307">
        <v>0.0</v>
      </c>
      <c r="AE67" s="304" t="e">
        <f>ROUNDUP(IF('AS400 JEMBATAN'!$AK67&gt;='AS400 JEMBATAN'!$AJ67,'AS400 JEMBATAN'!AE67,$AK67/$AE$4)+$AM67,0)</f>
        <v>#REF!</v>
      </c>
      <c r="AF67" s="304" t="e">
        <f>ROUNDUP(IF('AS400 JEMBATAN'!$AK67&gt;='AS400 JEMBATAN'!$AJ67,'AS400 JEMBATAN'!AF67,$AK67/$AE$4)+$AM67,0)</f>
        <v>#REF!</v>
      </c>
      <c r="AG67" s="304" t="e">
        <f>ROUNDUP(IF('AS400 JEMBATAN'!$AK67&gt;='AS400 JEMBATAN'!$AJ67,'AS400 JEMBATAN'!AG67,$AK67/$AE$4)+$AM67,0)</f>
        <v>#REF!</v>
      </c>
      <c r="AH67" s="304" t="e">
        <f>ROUNDUP(IF('AS400 JEMBATAN'!$AK67&gt;='AS400 JEMBATAN'!$AJ67,'AS400 JEMBATAN'!AH67,$AK67/$AE$4)+$AM67,0)</f>
        <v>#REF!</v>
      </c>
      <c r="AI67" s="304"/>
      <c r="AJ67" s="304" t="e">
        <f>SUM(AE67:AE67)</f>
        <v>#REF!</v>
      </c>
      <c r="AK67" s="305" t="e">
        <f>'Qty &amp; UMH GUM'!AA67</f>
        <v>#REF!</v>
      </c>
      <c r="AL67" s="304" t="e">
        <f>ROUNDUP((AK67-AJ67)/$AE$4,0)</f>
        <v>#REF!</v>
      </c>
      <c r="AM67" s="409"/>
      <c r="AN67" s="308" t="e">
        <f>ROUNDUP(IF('AS400 JEMBATAN'!$AT67&gt;='AS400 JEMBATAN'!$AS67,'AS400 JEMBATAN'!AN67,$AT67/$AN$4)+$AV67,0)</f>
        <v>#REF!</v>
      </c>
      <c r="AO67" s="304" t="e">
        <f>ROUNDUP(IF('AS400 JEMBATAN'!$AT67&gt;='AS400 JEMBATAN'!$AS67,'AS400 JEMBATAN'!AO67,$AT67/$AN$4)+$AV67,0)</f>
        <v>#REF!</v>
      </c>
      <c r="AP67" s="304" t="e">
        <f>ROUNDUP(IF('AS400 JEMBATAN'!$AT67&gt;='AS400 JEMBATAN'!$AS67,'AS400 JEMBATAN'!AP67,$AT67/$AN$4)+$AV67,0)</f>
        <v>#REF!</v>
      </c>
      <c r="AQ67" s="304" t="e">
        <f>ROUNDUP(IF('AS400 JEMBATAN'!$AT67&gt;='AS400 JEMBATAN'!$AS67,'AS400 JEMBATAN'!AQ67,$AT67/$AN$4)+$AV67,0)</f>
        <v>#REF!</v>
      </c>
      <c r="AR67" s="304"/>
      <c r="AS67" s="304" t="e">
        <f>SUM(AN67:AN67)</f>
        <v>#REF!</v>
      </c>
      <c r="AT67" s="305" t="e">
        <f>'Qty &amp; UMH GUM'!AD67</f>
        <v>#REF!</v>
      </c>
      <c r="AU67" s="304" t="e">
        <f>ROUNDUP((AT67-AS67)/$AN$4,0)</f>
        <v>#REF!</v>
      </c>
      <c r="AV67" s="311"/>
      <c r="AW67" s="296"/>
      <c r="AX67" s="296"/>
      <c r="AY67" s="296"/>
      <c r="AZ67" s="296"/>
      <c r="BA67" s="296"/>
    </row>
    <row r="68" spans="1:53" customHeight="1" ht="18.75">
      <c r="A68" s="445"/>
      <c r="B68" s="343" t="str">
        <f>'Qty &amp; UMH GUM'!C68</f>
        <v>82111-4DW20</v>
      </c>
      <c r="C68" s="281"/>
      <c r="D68" s="304" t="e">
        <f>ROUNDUP(IF('AS400 JEMBATAN'!$J68&gt;='AS400 JEMBATAN'!$I68,'AS400 JEMBATAN'!D68,$J68/$D$4)+$L68,0)</f>
        <v>#REF!</v>
      </c>
      <c r="E68" s="304" t="e">
        <f>ROUNDUP(IF('AS400 JEMBATAN'!$J68&gt;='AS400 JEMBATAN'!$I68,'AS400 JEMBATAN'!E68,$J68/$D$4)+$L68,0)</f>
        <v>#REF!</v>
      </c>
      <c r="F68" s="304" t="e">
        <f>ROUNDUP(IF('AS400 JEMBATAN'!$J68&gt;='AS400 JEMBATAN'!$I68,'AS400 JEMBATAN'!F68,$J68/$D$4)+$L68,0)</f>
        <v>#REF!</v>
      </c>
      <c r="G68" s="304" t="e">
        <f>ROUNDUP(IF('AS400 JEMBATAN'!$J68&gt;='AS400 JEMBATAN'!$I68,'AS400 JEMBATAN'!G68,$J68/$D$4)+$L68,0)</f>
        <v>#REF!</v>
      </c>
      <c r="H68" s="304" t="e">
        <f>ROUNDUP(IF('AS400 JEMBATAN'!$J68&gt;='AS400 JEMBATAN'!$I68,'AS400 JEMBATAN'!H68,$J68/$D$4)+$L68,0)</f>
        <v>#REF!</v>
      </c>
      <c r="I68" s="304" t="e">
        <f>SUM(D68:D68)</f>
        <v>#REF!</v>
      </c>
      <c r="J68" s="305" t="e">
        <f>'Qty &amp; UMH GUM'!R68</f>
        <v>#REF!</v>
      </c>
      <c r="K68" s="305" t="e">
        <f>ROUNDUP((J68-I68)/$D$4,0)</f>
        <v>#REF!</v>
      </c>
      <c r="L68" s="306">
        <v>0.0</v>
      </c>
      <c r="M68" s="304" t="e">
        <f>ROUNDUP(IF('AS400 JEMBATAN'!$S68&gt;='AS400 JEMBATAN'!$R68,'AS400 JEMBATAN'!M68,$S68/$M$4)+$U68,0)</f>
        <v>#REF!</v>
      </c>
      <c r="N68" s="304" t="e">
        <f>ROUNDUP(IF('AS400 JEMBATAN'!$S68&gt;='AS400 JEMBATAN'!$R68,'AS400 JEMBATAN'!N68,$S68/$M$4)+$U68,0)</f>
        <v>#REF!</v>
      </c>
      <c r="O68" s="304" t="e">
        <f>ROUNDUP(IF('AS400 JEMBATAN'!$S68&gt;='AS400 JEMBATAN'!$R68,'AS400 JEMBATAN'!O68,$S68/$M$4)+$U68,0)</f>
        <v>#REF!</v>
      </c>
      <c r="P68" s="304" t="e">
        <f>ROUNDUP(IF('AS400 JEMBATAN'!$S68&gt;='AS400 JEMBATAN'!$R68,'AS400 JEMBATAN'!P68,$S68/$M$4)+$U68,0)</f>
        <v>#REF!</v>
      </c>
      <c r="Q68" s="304"/>
      <c r="R68" s="304" t="e">
        <f>SUM(M68:M68)</f>
        <v>#REF!</v>
      </c>
      <c r="S68" s="305" t="e">
        <f>'Qty &amp; UMH GUM'!U68</f>
        <v>#REF!</v>
      </c>
      <c r="T68" s="305" t="e">
        <f>ROUNDUP((S68-R68)/$M$4,0)</f>
        <v>#REF!</v>
      </c>
      <c r="U68" s="307"/>
      <c r="V68" s="304" t="e">
        <f>ROUNDUP(IF('AS400 JEMBATAN'!$AB68&gt;='AS400 JEMBATAN'!$AA68,'AS400 JEMBATAN'!V68,$AB68/$V$4)+$AD68,0)</f>
        <v>#REF!</v>
      </c>
      <c r="W68" s="304" t="e">
        <f>ROUNDUP(IF('AS400 JEMBATAN'!$AB68&gt;='AS400 JEMBATAN'!$AA68,'AS400 JEMBATAN'!W68,$AB68/$V$4)+$AD68,0)</f>
        <v>#REF!</v>
      </c>
      <c r="X68" s="304" t="e">
        <f>ROUNDUP(IF('AS400 JEMBATAN'!$AB68&gt;='AS400 JEMBATAN'!$AA68,'AS400 JEMBATAN'!X68,$AB68/$V$4)+$AD68,0)</f>
        <v>#REF!</v>
      </c>
      <c r="Y68" s="304" t="e">
        <f>ROUNDUP(IF('AS400 JEMBATAN'!$AB68&gt;='AS400 JEMBATAN'!$AA68,'AS400 JEMBATAN'!Y68,$AB68/$V$4)+$AD68,0)</f>
        <v>#REF!</v>
      </c>
      <c r="Z68" s="304"/>
      <c r="AA68" s="304" t="e">
        <f>SUM(V68:V68)</f>
        <v>#REF!</v>
      </c>
      <c r="AB68" s="305" t="e">
        <f>'Qty &amp; UMH GUM'!X68</f>
        <v>#REF!</v>
      </c>
      <c r="AC68" s="304" t="e">
        <f>ROUNDUP((AB68-AA68)/$V$4,0)</f>
        <v>#REF!</v>
      </c>
      <c r="AD68" s="307">
        <v>0.0</v>
      </c>
      <c r="AE68" s="304" t="e">
        <f>ROUNDUP(IF('AS400 JEMBATAN'!$AK68&gt;='AS400 JEMBATAN'!$AJ68,'AS400 JEMBATAN'!AE68,$AK68/$AE$4)+$AM68,0)</f>
        <v>#REF!</v>
      </c>
      <c r="AF68" s="304" t="e">
        <f>ROUNDUP(IF('AS400 JEMBATAN'!$AK68&gt;='AS400 JEMBATAN'!$AJ68,'AS400 JEMBATAN'!AF68,$AK68/$AE$4)+$AM68,0)</f>
        <v>#REF!</v>
      </c>
      <c r="AG68" s="304" t="e">
        <f>ROUNDUP(IF('AS400 JEMBATAN'!$AK68&gt;='AS400 JEMBATAN'!$AJ68,'AS400 JEMBATAN'!AG68,$AK68/$AE$4)+$AM68,0)</f>
        <v>#REF!</v>
      </c>
      <c r="AH68" s="304" t="e">
        <f>ROUNDUP(IF('AS400 JEMBATAN'!$AK68&gt;='AS400 JEMBATAN'!$AJ68,'AS400 JEMBATAN'!AH68,$AK68/$AE$4)+$AM68,0)</f>
        <v>#REF!</v>
      </c>
      <c r="AI68" s="304"/>
      <c r="AJ68" s="304" t="e">
        <f>SUM(AE68:AE68)</f>
        <v>#REF!</v>
      </c>
      <c r="AK68" s="305" t="e">
        <f>'Qty &amp; UMH GUM'!AA68</f>
        <v>#REF!</v>
      </c>
      <c r="AL68" s="304" t="e">
        <f>ROUNDUP((AK68-AJ68)/$AE$4,0)</f>
        <v>#REF!</v>
      </c>
      <c r="AM68" s="409"/>
      <c r="AN68" s="308" t="e">
        <f>ROUNDUP(IF('AS400 JEMBATAN'!$AT68&gt;='AS400 JEMBATAN'!$AS68,'AS400 JEMBATAN'!AN68,$AT68/$AN$4)+$AV68,0)</f>
        <v>#REF!</v>
      </c>
      <c r="AO68" s="304" t="e">
        <f>ROUNDUP(IF('AS400 JEMBATAN'!$AT68&gt;='AS400 JEMBATAN'!$AS68,'AS400 JEMBATAN'!AO68,$AT68/$AN$4)+$AV68,0)</f>
        <v>#REF!</v>
      </c>
      <c r="AP68" s="304" t="e">
        <f>ROUNDUP(IF('AS400 JEMBATAN'!$AT68&gt;='AS400 JEMBATAN'!$AS68,'AS400 JEMBATAN'!AP68,$AT68/$AN$4)+$AV68,0)</f>
        <v>#REF!</v>
      </c>
      <c r="AQ68" s="304" t="e">
        <f>ROUNDUP(IF('AS400 JEMBATAN'!$AT68&gt;='AS400 JEMBATAN'!$AS68,'AS400 JEMBATAN'!AQ68,$AT68/$AN$4)+$AV68,0)</f>
        <v>#REF!</v>
      </c>
      <c r="AR68" s="304"/>
      <c r="AS68" s="304" t="e">
        <f>SUM(AN68:AN68)</f>
        <v>#REF!</v>
      </c>
      <c r="AT68" s="305" t="e">
        <f>'Qty &amp; UMH GUM'!AD68</f>
        <v>#REF!</v>
      </c>
      <c r="AU68" s="304" t="e">
        <f>ROUNDUP((AT68-AS68)/$AN$4,0)</f>
        <v>#REF!</v>
      </c>
      <c r="AV68" s="311"/>
      <c r="AW68" s="296"/>
      <c r="AX68" s="296"/>
      <c r="AY68" s="296"/>
      <c r="AZ68" s="296"/>
      <c r="BA68" s="296"/>
    </row>
    <row r="69" spans="1:53" customHeight="1" ht="18.75">
      <c r="A69" s="445"/>
      <c r="B69" s="343" t="str">
        <f>'Qty &amp; UMH GUM'!C69</f>
        <v>82111-4DW30</v>
      </c>
      <c r="C69" s="281"/>
      <c r="D69" s="304" t="e">
        <f>ROUNDUP(IF('AS400 JEMBATAN'!$J69&gt;='AS400 JEMBATAN'!$I69,'AS400 JEMBATAN'!D69,$J69/$D$4)+$L69,0)</f>
        <v>#REF!</v>
      </c>
      <c r="E69" s="304" t="e">
        <f>ROUNDUP(IF('AS400 JEMBATAN'!$J69&gt;='AS400 JEMBATAN'!$I69,'AS400 JEMBATAN'!E69,$J69/$D$4)+$L69,0)</f>
        <v>#REF!</v>
      </c>
      <c r="F69" s="304" t="e">
        <f>ROUNDUP(IF('AS400 JEMBATAN'!$J69&gt;='AS400 JEMBATAN'!$I69,'AS400 JEMBATAN'!F69,$J69/$D$4)+$L69,0)</f>
        <v>#REF!</v>
      </c>
      <c r="G69" s="304" t="e">
        <f>ROUNDUP(IF('AS400 JEMBATAN'!$J69&gt;='AS400 JEMBATAN'!$I69,'AS400 JEMBATAN'!G69,$J69/$D$4)+$L69,0)</f>
        <v>#REF!</v>
      </c>
      <c r="H69" s="304" t="e">
        <f>ROUNDUP(IF('AS400 JEMBATAN'!$J69&gt;='AS400 JEMBATAN'!$I69,'AS400 JEMBATAN'!H69,$J69/$D$4)+$L69,0)</f>
        <v>#REF!</v>
      </c>
      <c r="I69" s="304" t="e">
        <f>SUM(D69:D69)</f>
        <v>#REF!</v>
      </c>
      <c r="J69" s="305" t="e">
        <f>'Qty &amp; UMH GUM'!R69</f>
        <v>#REF!</v>
      </c>
      <c r="K69" s="305" t="e">
        <f>ROUNDUP((J69-I69)/$D$4,0)</f>
        <v>#REF!</v>
      </c>
      <c r="L69" s="306">
        <v>0.0</v>
      </c>
      <c r="M69" s="304" t="e">
        <f>ROUNDUP(IF('AS400 JEMBATAN'!$S69&gt;='AS400 JEMBATAN'!$R69,'AS400 JEMBATAN'!M69,$S69/$M$4)+$U69,0)</f>
        <v>#REF!</v>
      </c>
      <c r="N69" s="304" t="e">
        <f>ROUNDUP(IF('AS400 JEMBATAN'!$S69&gt;='AS400 JEMBATAN'!$R69,'AS400 JEMBATAN'!N69,$S69/$M$4)+$U69,0)</f>
        <v>#REF!</v>
      </c>
      <c r="O69" s="304" t="e">
        <f>ROUNDUP(IF('AS400 JEMBATAN'!$S69&gt;='AS400 JEMBATAN'!$R69,'AS400 JEMBATAN'!O69,$S69/$M$4)+$U69,0)</f>
        <v>#REF!</v>
      </c>
      <c r="P69" s="304" t="e">
        <f>ROUNDUP(IF('AS400 JEMBATAN'!$S69&gt;='AS400 JEMBATAN'!$R69,'AS400 JEMBATAN'!P69,$S69/$M$4)+$U69,0)</f>
        <v>#REF!</v>
      </c>
      <c r="Q69" s="304"/>
      <c r="R69" s="304" t="e">
        <f>SUM(M69:M69)</f>
        <v>#REF!</v>
      </c>
      <c r="S69" s="305" t="e">
        <f>'Qty &amp; UMH GUM'!U69</f>
        <v>#REF!</v>
      </c>
      <c r="T69" s="305" t="e">
        <f>ROUNDUP((S69-R69)/$M$4,0)</f>
        <v>#REF!</v>
      </c>
      <c r="U69" s="307"/>
      <c r="V69" s="304" t="e">
        <f>ROUNDUP(IF('AS400 JEMBATAN'!$AB69&gt;='AS400 JEMBATAN'!$AA69,'AS400 JEMBATAN'!V69,$AB69/$V$4)+$AD69,0)</f>
        <v>#REF!</v>
      </c>
      <c r="W69" s="304" t="e">
        <f>ROUNDUP(IF('AS400 JEMBATAN'!$AB69&gt;='AS400 JEMBATAN'!$AA69,'AS400 JEMBATAN'!W69,$AB69/$V$4)+$AD69,0)</f>
        <v>#REF!</v>
      </c>
      <c r="X69" s="304" t="e">
        <f>ROUNDUP(IF('AS400 JEMBATAN'!$AB69&gt;='AS400 JEMBATAN'!$AA69,'AS400 JEMBATAN'!X69,$AB69/$V$4)+$AD69,0)</f>
        <v>#REF!</v>
      </c>
      <c r="Y69" s="304" t="e">
        <f>ROUNDUP(IF('AS400 JEMBATAN'!$AB69&gt;='AS400 JEMBATAN'!$AA69,'AS400 JEMBATAN'!Y69,$AB69/$V$4)+$AD69,0)</f>
        <v>#REF!</v>
      </c>
      <c r="Z69" s="304"/>
      <c r="AA69" s="304" t="e">
        <f>SUM(V69:V69)</f>
        <v>#REF!</v>
      </c>
      <c r="AB69" s="305" t="e">
        <f>'Qty &amp; UMH GUM'!X69</f>
        <v>#REF!</v>
      </c>
      <c r="AC69" s="304" t="e">
        <f>ROUNDUP((AB69-AA69)/$V$4,0)</f>
        <v>#REF!</v>
      </c>
      <c r="AD69" s="307">
        <v>0.0</v>
      </c>
      <c r="AE69" s="304" t="e">
        <f>ROUNDUP(IF('AS400 JEMBATAN'!$AK69&gt;='AS400 JEMBATAN'!$AJ69,'AS400 JEMBATAN'!AE69,$AK69/$AE$4)+$AM69,0)</f>
        <v>#REF!</v>
      </c>
      <c r="AF69" s="304" t="e">
        <f>ROUNDUP(IF('AS400 JEMBATAN'!$AK69&gt;='AS400 JEMBATAN'!$AJ69,'AS400 JEMBATAN'!AF69,$AK69/$AE$4)+$AM69,0)</f>
        <v>#REF!</v>
      </c>
      <c r="AG69" s="304" t="e">
        <f>ROUNDUP(IF('AS400 JEMBATAN'!$AK69&gt;='AS400 JEMBATAN'!$AJ69,'AS400 JEMBATAN'!AG69,$AK69/$AE$4)+$AM69,0)</f>
        <v>#REF!</v>
      </c>
      <c r="AH69" s="304" t="e">
        <f>ROUNDUP(IF('AS400 JEMBATAN'!$AK69&gt;='AS400 JEMBATAN'!$AJ69,'AS400 JEMBATAN'!AH69,$AK69/$AE$4)+$AM69,0)</f>
        <v>#REF!</v>
      </c>
      <c r="AI69" s="304"/>
      <c r="AJ69" s="304" t="e">
        <f>SUM(AE69:AE69)</f>
        <v>#REF!</v>
      </c>
      <c r="AK69" s="305" t="e">
        <f>'Qty &amp; UMH GUM'!AA69</f>
        <v>#REF!</v>
      </c>
      <c r="AL69" s="304" t="e">
        <f>ROUNDUP((AK69-AJ69)/$AE$4,0)</f>
        <v>#REF!</v>
      </c>
      <c r="AM69" s="409"/>
      <c r="AN69" s="308" t="e">
        <f>ROUNDUP(IF('AS400 JEMBATAN'!$AT69&gt;='AS400 JEMBATAN'!$AS69,'AS400 JEMBATAN'!AN69,$AT69/$AN$4)+$AV69,0)</f>
        <v>#REF!</v>
      </c>
      <c r="AO69" s="304" t="e">
        <f>ROUNDUP(IF('AS400 JEMBATAN'!$AT69&gt;='AS400 JEMBATAN'!$AS69,'AS400 JEMBATAN'!AO69,$AT69/$AN$4)+$AV69,0)</f>
        <v>#REF!</v>
      </c>
      <c r="AP69" s="304" t="e">
        <f>ROUNDUP(IF('AS400 JEMBATAN'!$AT69&gt;='AS400 JEMBATAN'!$AS69,'AS400 JEMBATAN'!AP69,$AT69/$AN$4)+$AV69,0)</f>
        <v>#REF!</v>
      </c>
      <c r="AQ69" s="304" t="e">
        <f>ROUNDUP(IF('AS400 JEMBATAN'!$AT69&gt;='AS400 JEMBATAN'!$AS69,'AS400 JEMBATAN'!AQ69,$AT69/$AN$4)+$AV69,0)</f>
        <v>#REF!</v>
      </c>
      <c r="AR69" s="304"/>
      <c r="AS69" s="304" t="e">
        <f>SUM(AN69:AN69)</f>
        <v>#REF!</v>
      </c>
      <c r="AT69" s="305" t="e">
        <f>'Qty &amp; UMH GUM'!AD69</f>
        <v>#REF!</v>
      </c>
      <c r="AU69" s="304" t="e">
        <f>ROUNDUP((AT69-AS69)/$AN$4,0)</f>
        <v>#REF!</v>
      </c>
      <c r="AV69" s="311"/>
    </row>
    <row r="70" spans="1:53" customHeight="1" ht="18.75">
      <c r="A70" s="445"/>
      <c r="B70" s="343" t="str">
        <f>'Qty &amp; UMH GUM'!C70</f>
        <v>82111-4DW50</v>
      </c>
      <c r="C70" s="281"/>
      <c r="D70" s="304" t="e">
        <f>ROUNDUP(IF('AS400 JEMBATAN'!$J70&gt;='AS400 JEMBATAN'!$I70,'AS400 JEMBATAN'!D70,$J70/$D$4)+$L70,0)</f>
        <v>#REF!</v>
      </c>
      <c r="E70" s="304" t="e">
        <f>ROUNDUP(IF('AS400 JEMBATAN'!$J70&gt;='AS400 JEMBATAN'!$I70,'AS400 JEMBATAN'!E70,$J70/$D$4)+$L70,0)</f>
        <v>#REF!</v>
      </c>
      <c r="F70" s="304" t="e">
        <f>ROUNDUP(IF('AS400 JEMBATAN'!$J70&gt;='AS400 JEMBATAN'!$I70,'AS400 JEMBATAN'!F70,$J70/$D$4)+$L70,0)</f>
        <v>#REF!</v>
      </c>
      <c r="G70" s="304" t="e">
        <f>ROUNDUP(IF('AS400 JEMBATAN'!$J70&gt;='AS400 JEMBATAN'!$I70,'AS400 JEMBATAN'!G70,$J70/$D$4)+$L70,0)</f>
        <v>#REF!</v>
      </c>
      <c r="H70" s="304" t="e">
        <f>ROUNDUP(IF('AS400 JEMBATAN'!$J70&gt;='AS400 JEMBATAN'!$I70,'AS400 JEMBATAN'!H70,$J70/$D$4)+$L70,0)</f>
        <v>#REF!</v>
      </c>
      <c r="I70" s="304" t="e">
        <f>SUM(D70:D70)</f>
        <v>#REF!</v>
      </c>
      <c r="J70" s="305" t="e">
        <f>'Qty &amp; UMH GUM'!R70</f>
        <v>#REF!</v>
      </c>
      <c r="K70" s="305" t="e">
        <f>ROUNDUP((J70-I70)/$D$4,0)</f>
        <v>#REF!</v>
      </c>
      <c r="L70" s="306">
        <v>29</v>
      </c>
      <c r="M70" s="304" t="e">
        <f>ROUNDUP(IF('AS400 JEMBATAN'!$S70&gt;='AS400 JEMBATAN'!$R70,'AS400 JEMBATAN'!M70,$S70/$M$4)+$U70,0)</f>
        <v>#REF!</v>
      </c>
      <c r="N70" s="304" t="e">
        <f>ROUNDUP(IF('AS400 JEMBATAN'!$S70&gt;='AS400 JEMBATAN'!$R70,'AS400 JEMBATAN'!N70,$S70/$M$4)+$U70,0)</f>
        <v>#REF!</v>
      </c>
      <c r="O70" s="304" t="e">
        <f>ROUNDUP(IF('AS400 JEMBATAN'!$S70&gt;='AS400 JEMBATAN'!$R70,'AS400 JEMBATAN'!O70,$S70/$M$4)+$U70,0)</f>
        <v>#REF!</v>
      </c>
      <c r="P70" s="304" t="e">
        <f>ROUNDUP(IF('AS400 JEMBATAN'!$S70&gt;='AS400 JEMBATAN'!$R70,'AS400 JEMBATAN'!P70,$S70/$M$4)+$U70,0)</f>
        <v>#REF!</v>
      </c>
      <c r="Q70" s="304"/>
      <c r="R70" s="304" t="e">
        <f>SUM(M70:M70)</f>
        <v>#REF!</v>
      </c>
      <c r="S70" s="305" t="e">
        <f>'Qty &amp; UMH GUM'!U70</f>
        <v>#REF!</v>
      </c>
      <c r="T70" s="305" t="e">
        <f>ROUNDUP((S70-R70)/$M$4,0)</f>
        <v>#REF!</v>
      </c>
      <c r="U70" s="307"/>
      <c r="V70" s="304" t="e">
        <f>ROUNDUP(IF('AS400 JEMBATAN'!$AB70&gt;='AS400 JEMBATAN'!$AA70,'AS400 JEMBATAN'!V70,$AB70/$V$4)+$AD70,0)</f>
        <v>#REF!</v>
      </c>
      <c r="W70" s="304" t="e">
        <f>ROUNDUP(IF('AS400 JEMBATAN'!$AB70&gt;='AS400 JEMBATAN'!$AA70,'AS400 JEMBATAN'!W70,$AB70/$V$4)+$AD70,0)</f>
        <v>#REF!</v>
      </c>
      <c r="X70" s="304" t="e">
        <f>ROUNDUP(IF('AS400 JEMBATAN'!$AB70&gt;='AS400 JEMBATAN'!$AA70,'AS400 JEMBATAN'!X70,$AB70/$V$4)+$AD70,0)</f>
        <v>#REF!</v>
      </c>
      <c r="Y70" s="304" t="e">
        <f>ROUNDUP(IF('AS400 JEMBATAN'!$AB70&gt;='AS400 JEMBATAN'!$AA70,'AS400 JEMBATAN'!Y70,$AB70/$V$4)+$AD70,0)</f>
        <v>#REF!</v>
      </c>
      <c r="Z70" s="304"/>
      <c r="AA70" s="304" t="e">
        <f>SUM(V70:V70)</f>
        <v>#REF!</v>
      </c>
      <c r="AB70" s="305" t="e">
        <f>'Qty &amp; UMH GUM'!X70</f>
        <v>#REF!</v>
      </c>
      <c r="AC70" s="304" t="e">
        <f>ROUNDUP((AB70-AA70)/$V$4,0)</f>
        <v>#REF!</v>
      </c>
      <c r="AD70" s="307"/>
      <c r="AE70" s="304" t="e">
        <f>ROUNDUP(IF('AS400 JEMBATAN'!$AK70&gt;='AS400 JEMBATAN'!$AJ70,'AS400 JEMBATAN'!AE70,$AK70/$AE$4)+$AM70,0)</f>
        <v>#REF!</v>
      </c>
      <c r="AF70" s="304" t="e">
        <f>ROUNDUP(IF('AS400 JEMBATAN'!$AK70&gt;='AS400 JEMBATAN'!$AJ70,'AS400 JEMBATAN'!AF70,$AK70/$AE$4)+$AM70,0)</f>
        <v>#REF!</v>
      </c>
      <c r="AG70" s="304" t="e">
        <f>ROUNDUP(IF('AS400 JEMBATAN'!$AK70&gt;='AS400 JEMBATAN'!$AJ70,'AS400 JEMBATAN'!AG70,$AK70/$AE$4)+$AM70,0)</f>
        <v>#REF!</v>
      </c>
      <c r="AH70" s="304" t="e">
        <f>ROUNDUP(IF('AS400 JEMBATAN'!$AK70&gt;='AS400 JEMBATAN'!$AJ70,'AS400 JEMBATAN'!AH70,$AK70/$AE$4)+$AM70,0)</f>
        <v>#REF!</v>
      </c>
      <c r="AI70" s="304"/>
      <c r="AJ70" s="304" t="e">
        <f>SUM(AE70:AE70)</f>
        <v>#REF!</v>
      </c>
      <c r="AK70" s="305" t="e">
        <f>'Qty &amp; UMH GUM'!AA70</f>
        <v>#REF!</v>
      </c>
      <c r="AL70" s="304" t="e">
        <f>ROUNDUP((AK70-AJ70)/$AE$4,0)</f>
        <v>#REF!</v>
      </c>
      <c r="AM70" s="409"/>
      <c r="AN70" s="308" t="e">
        <f>ROUNDUP(IF('AS400 JEMBATAN'!$AT70&gt;='AS400 JEMBATAN'!$AS70,'AS400 JEMBATAN'!AN70,$AT70/$AN$4)+$AV70,0)</f>
        <v>#REF!</v>
      </c>
      <c r="AO70" s="304" t="e">
        <f>ROUNDUP(IF('AS400 JEMBATAN'!$AT70&gt;='AS400 JEMBATAN'!$AS70,'AS400 JEMBATAN'!AO70,$AT70/$AN$4)+$AV70,0)</f>
        <v>#REF!</v>
      </c>
      <c r="AP70" s="304" t="e">
        <f>ROUNDUP(IF('AS400 JEMBATAN'!$AT70&gt;='AS400 JEMBATAN'!$AS70,'AS400 JEMBATAN'!AP70,$AT70/$AN$4)+$AV70,0)</f>
        <v>#REF!</v>
      </c>
      <c r="AQ70" s="304" t="e">
        <f>ROUNDUP(IF('AS400 JEMBATAN'!$AT70&gt;='AS400 JEMBATAN'!$AS70,'AS400 JEMBATAN'!AQ70,$AT70/$AN$4)+$AV70,0)</f>
        <v>#REF!</v>
      </c>
      <c r="AR70" s="304"/>
      <c r="AS70" s="304" t="e">
        <f>SUM(AN70:AN70)</f>
        <v>#REF!</v>
      </c>
      <c r="AT70" s="305" t="e">
        <f>'Qty &amp; UMH GUM'!AD70</f>
        <v>#REF!</v>
      </c>
      <c r="AU70" s="304" t="e">
        <f>ROUNDUP((AT70-AS70)/$AN$4,0)</f>
        <v>#REF!</v>
      </c>
      <c r="AV70" s="311"/>
      <c r="AW70" s="101"/>
      <c r="AY70" s="101"/>
    </row>
    <row r="71" spans="1:53" customHeight="1" ht="18.75">
      <c r="A71" s="445"/>
      <c r="B71" s="343" t="str">
        <f>'Qty &amp; UMH GUM'!C71</f>
        <v>82111-4DW60</v>
      </c>
      <c r="C71" s="281"/>
      <c r="D71" s="304" t="e">
        <f>ROUNDUP(IF('AS400 JEMBATAN'!$J71&gt;='AS400 JEMBATAN'!$I71,'AS400 JEMBATAN'!D71,$J71/$D$4)+$L71,0)</f>
        <v>#REF!</v>
      </c>
      <c r="E71" s="304" t="e">
        <f>ROUNDUP(IF('AS400 JEMBATAN'!$J71&gt;='AS400 JEMBATAN'!$I71,'AS400 JEMBATAN'!E71,$J71/$D$4)+$L71,0)</f>
        <v>#REF!</v>
      </c>
      <c r="F71" s="304" t="e">
        <f>ROUNDUP(IF('AS400 JEMBATAN'!$J71&gt;='AS400 JEMBATAN'!$I71,'AS400 JEMBATAN'!F71,$J71/$D$4)+$L71,0)</f>
        <v>#REF!</v>
      </c>
      <c r="G71" s="304" t="e">
        <f>ROUNDUP(IF('AS400 JEMBATAN'!$J71&gt;='AS400 JEMBATAN'!$I71,'AS400 JEMBATAN'!G71,$J71/$D$4)+$L71,0)</f>
        <v>#REF!</v>
      </c>
      <c r="H71" s="304" t="e">
        <f>ROUNDUP(IF('AS400 JEMBATAN'!$J71&gt;='AS400 JEMBATAN'!$I71,'AS400 JEMBATAN'!H71,$J71/$D$4)+$L71,0)</f>
        <v>#REF!</v>
      </c>
      <c r="I71" s="304" t="e">
        <f>SUM(D71:D71)</f>
        <v>#REF!</v>
      </c>
      <c r="J71" s="305" t="e">
        <f>'Qty &amp; UMH GUM'!R71</f>
        <v>#REF!</v>
      </c>
      <c r="K71" s="305" t="e">
        <f>ROUNDUP((J71-I71)/$D$4,0)</f>
        <v>#REF!</v>
      </c>
      <c r="L71" s="306">
        <v>0.0</v>
      </c>
      <c r="M71" s="304" t="e">
        <f>ROUNDUP(IF('AS400 JEMBATAN'!$S71&gt;='AS400 JEMBATAN'!$R71,'AS400 JEMBATAN'!M71,$S71/$M$4)+$U71,0)</f>
        <v>#REF!</v>
      </c>
      <c r="N71" s="304" t="e">
        <f>ROUNDUP(IF('AS400 JEMBATAN'!$S71&gt;='AS400 JEMBATAN'!$R71,'AS400 JEMBATAN'!N71,$S71/$M$4)+$U71,0)</f>
        <v>#REF!</v>
      </c>
      <c r="O71" s="304" t="e">
        <f>ROUNDUP(IF('AS400 JEMBATAN'!$S71&gt;='AS400 JEMBATAN'!$R71,'AS400 JEMBATAN'!O71,$S71/$M$4)+$U71,0)</f>
        <v>#REF!</v>
      </c>
      <c r="P71" s="304" t="e">
        <f>ROUNDUP(IF('AS400 JEMBATAN'!$S71&gt;='AS400 JEMBATAN'!$R71,'AS400 JEMBATAN'!P71,$S71/$M$4)+$U71,0)</f>
        <v>#REF!</v>
      </c>
      <c r="Q71" s="304"/>
      <c r="R71" s="304" t="e">
        <f>SUM(M71:M71)</f>
        <v>#REF!</v>
      </c>
      <c r="S71" s="305" t="e">
        <f>'Qty &amp; UMH GUM'!U71</f>
        <v>#REF!</v>
      </c>
      <c r="T71" s="305" t="e">
        <f>ROUNDUP((S71-R71)/$M$4,0)</f>
        <v>#REF!</v>
      </c>
      <c r="U71" s="307"/>
      <c r="V71" s="304" t="e">
        <f>ROUNDUP(IF('AS400 JEMBATAN'!$AB71&gt;='AS400 JEMBATAN'!$AA71,'AS400 JEMBATAN'!V71,$AB71/$V$4)+$AD71,0)</f>
        <v>#REF!</v>
      </c>
      <c r="W71" s="304" t="e">
        <f>ROUNDUP(IF('AS400 JEMBATAN'!$AB71&gt;='AS400 JEMBATAN'!$AA71,'AS400 JEMBATAN'!W71,$AB71/$V$4)+$AD71,0)</f>
        <v>#REF!</v>
      </c>
      <c r="X71" s="304" t="e">
        <f>ROUNDUP(IF('AS400 JEMBATAN'!$AB71&gt;='AS400 JEMBATAN'!$AA71,'AS400 JEMBATAN'!X71,$AB71/$V$4)+$AD71,0)</f>
        <v>#REF!</v>
      </c>
      <c r="Y71" s="304" t="e">
        <f>ROUNDUP(IF('AS400 JEMBATAN'!$AB71&gt;='AS400 JEMBATAN'!$AA71,'AS400 JEMBATAN'!Y71,$AB71/$V$4)+$AD71,0)</f>
        <v>#REF!</v>
      </c>
      <c r="Z71" s="304"/>
      <c r="AA71" s="304" t="e">
        <f>SUM(V71:V71)</f>
        <v>#REF!</v>
      </c>
      <c r="AB71" s="305" t="e">
        <f>'Qty &amp; UMH GUM'!X71</f>
        <v>#REF!</v>
      </c>
      <c r="AC71" s="304" t="e">
        <f>ROUNDUP((AB71-AA71)/$V$4,0)</f>
        <v>#REF!</v>
      </c>
      <c r="AD71" s="307">
        <v>0.0</v>
      </c>
      <c r="AE71" s="304" t="e">
        <f>ROUNDUP(IF('AS400 JEMBATAN'!$AK71&gt;='AS400 JEMBATAN'!$AJ71,'AS400 JEMBATAN'!AE71,$AK71/$AE$4)+$AM71,0)</f>
        <v>#REF!</v>
      </c>
      <c r="AF71" s="304" t="e">
        <f>ROUNDUP(IF('AS400 JEMBATAN'!$AK71&gt;='AS400 JEMBATAN'!$AJ71,'AS400 JEMBATAN'!AF71,$AK71/$AE$4)+$AM71,0)</f>
        <v>#REF!</v>
      </c>
      <c r="AG71" s="304" t="e">
        <f>ROUNDUP(IF('AS400 JEMBATAN'!$AK71&gt;='AS400 JEMBATAN'!$AJ71,'AS400 JEMBATAN'!AG71,$AK71/$AE$4)+$AM71,0)</f>
        <v>#REF!</v>
      </c>
      <c r="AH71" s="304" t="e">
        <f>ROUNDUP(IF('AS400 JEMBATAN'!$AK71&gt;='AS400 JEMBATAN'!$AJ71,'AS400 JEMBATAN'!AH71,$AK71/$AE$4)+$AM71,0)</f>
        <v>#REF!</v>
      </c>
      <c r="AI71" s="304"/>
      <c r="AJ71" s="304" t="e">
        <f>SUM(AE71:AE71)</f>
        <v>#REF!</v>
      </c>
      <c r="AK71" s="305" t="e">
        <f>'Qty &amp; UMH GUM'!AA71</f>
        <v>#REF!</v>
      </c>
      <c r="AL71" s="304" t="e">
        <f>ROUNDUP((AK71-AJ71)/$AE$4,0)</f>
        <v>#REF!</v>
      </c>
      <c r="AM71" s="409"/>
      <c r="AN71" s="308" t="e">
        <f>ROUNDUP(IF('AS400 JEMBATAN'!$AT71&gt;='AS400 JEMBATAN'!$AS71,'AS400 JEMBATAN'!AN71,$AT71/$AN$4)+$AV71,0)</f>
        <v>#REF!</v>
      </c>
      <c r="AO71" s="304" t="e">
        <f>ROUNDUP(IF('AS400 JEMBATAN'!$AT71&gt;='AS400 JEMBATAN'!$AS71,'AS400 JEMBATAN'!AO71,$AT71/$AN$4)+$AV71,0)</f>
        <v>#REF!</v>
      </c>
      <c r="AP71" s="304" t="e">
        <f>ROUNDUP(IF('AS400 JEMBATAN'!$AT71&gt;='AS400 JEMBATAN'!$AS71,'AS400 JEMBATAN'!AP71,$AT71/$AN$4)+$AV71,0)</f>
        <v>#REF!</v>
      </c>
      <c r="AQ71" s="304" t="e">
        <f>ROUNDUP(IF('AS400 JEMBATAN'!$AT71&gt;='AS400 JEMBATAN'!$AS71,'AS400 JEMBATAN'!AQ71,$AT71/$AN$4)+$AV71,0)</f>
        <v>#REF!</v>
      </c>
      <c r="AR71" s="304"/>
      <c r="AS71" s="304" t="e">
        <f>SUM(AN71:AN71)</f>
        <v>#REF!</v>
      </c>
      <c r="AT71" s="305" t="e">
        <f>'Qty &amp; UMH GUM'!AD71</f>
        <v>#REF!</v>
      </c>
      <c r="AU71" s="304" t="e">
        <f>ROUNDUP((AT71-AS71)/$AN$4,0)</f>
        <v>#REF!</v>
      </c>
      <c r="AV71" s="311"/>
      <c r="AY71" s="101"/>
    </row>
    <row r="72" spans="1:53" customHeight="1" ht="18.75">
      <c r="A72" s="445"/>
      <c r="B72" s="343" t="str">
        <f>'Qty &amp; UMH GUM'!C72</f>
        <v>82111-4DW70</v>
      </c>
      <c r="C72" s="281"/>
      <c r="D72" s="304" t="e">
        <f>ROUNDUP(IF('AS400 JEMBATAN'!$J72&gt;='AS400 JEMBATAN'!$I72,'AS400 JEMBATAN'!D72,$J72/$D$4)+$L72,0)</f>
        <v>#REF!</v>
      </c>
      <c r="E72" s="304" t="e">
        <f>ROUNDUP(IF('AS400 JEMBATAN'!$J72&gt;='AS400 JEMBATAN'!$I72,'AS400 JEMBATAN'!E72,$J72/$D$4)+$L72,0)</f>
        <v>#REF!</v>
      </c>
      <c r="F72" s="304" t="e">
        <f>ROUNDUP(IF('AS400 JEMBATAN'!$J72&gt;='AS400 JEMBATAN'!$I72,'AS400 JEMBATAN'!F72,$J72/$D$4)+$L72,0)</f>
        <v>#REF!</v>
      </c>
      <c r="G72" s="304" t="e">
        <f>ROUNDUP(IF('AS400 JEMBATAN'!$J72&gt;='AS400 JEMBATAN'!$I72,'AS400 JEMBATAN'!G72,$J72/$D$4)+$L72,0)</f>
        <v>#REF!</v>
      </c>
      <c r="H72" s="304" t="e">
        <f>ROUNDUP(IF('AS400 JEMBATAN'!$J72&gt;='AS400 JEMBATAN'!$I72,'AS400 JEMBATAN'!H72,$J72/$D$4)+$L72,0)</f>
        <v>#REF!</v>
      </c>
      <c r="I72" s="304" t="e">
        <f>SUM(D72:D72)</f>
        <v>#REF!</v>
      </c>
      <c r="J72" s="305" t="e">
        <f>'Qty &amp; UMH GUM'!R72</f>
        <v>#REF!</v>
      </c>
      <c r="K72" s="305" t="e">
        <f>ROUNDUP((J72-I72)/$D$4,0)</f>
        <v>#REF!</v>
      </c>
      <c r="L72" s="306">
        <v>0.0</v>
      </c>
      <c r="M72" s="304" t="e">
        <f>ROUNDUP(IF('AS400 JEMBATAN'!$S72&gt;='AS400 JEMBATAN'!$R72,'AS400 JEMBATAN'!M72,$S72/$M$4)+$U72,0)</f>
        <v>#REF!</v>
      </c>
      <c r="N72" s="304" t="e">
        <f>ROUNDUP(IF('AS400 JEMBATAN'!$S72&gt;='AS400 JEMBATAN'!$R72,'AS400 JEMBATAN'!N72,$S72/$M$4)+$U72,0)</f>
        <v>#REF!</v>
      </c>
      <c r="O72" s="304" t="e">
        <f>ROUNDUP(IF('AS400 JEMBATAN'!$S72&gt;='AS400 JEMBATAN'!$R72,'AS400 JEMBATAN'!O72,$S72/$M$4)+$U72,0)</f>
        <v>#REF!</v>
      </c>
      <c r="P72" s="304" t="e">
        <f>ROUNDUP(IF('AS400 JEMBATAN'!$S72&gt;='AS400 JEMBATAN'!$R72,'AS400 JEMBATAN'!P72,$S72/$M$4)+$U72,0)</f>
        <v>#REF!</v>
      </c>
      <c r="Q72" s="304"/>
      <c r="R72" s="304" t="e">
        <f>SUM(M72:M72)</f>
        <v>#REF!</v>
      </c>
      <c r="S72" s="305" t="e">
        <f>'Qty &amp; UMH GUM'!U72</f>
        <v>#REF!</v>
      </c>
      <c r="T72" s="305" t="e">
        <f>ROUNDUP((S72-R72)/$M$4,0)</f>
        <v>#REF!</v>
      </c>
      <c r="U72" s="307"/>
      <c r="V72" s="304" t="e">
        <f>ROUNDUP(IF('AS400 JEMBATAN'!$AB72&gt;='AS400 JEMBATAN'!$AA72,'AS400 JEMBATAN'!V72,$AB72/$V$4)+$AD72,0)</f>
        <v>#REF!</v>
      </c>
      <c r="W72" s="304" t="e">
        <f>ROUNDUP(IF('AS400 JEMBATAN'!$AB72&gt;='AS400 JEMBATAN'!$AA72,'AS400 JEMBATAN'!W72,$AB72/$V$4)+$AD72,0)</f>
        <v>#REF!</v>
      </c>
      <c r="X72" s="304" t="e">
        <f>ROUNDUP(IF('AS400 JEMBATAN'!$AB72&gt;='AS400 JEMBATAN'!$AA72,'AS400 JEMBATAN'!X72,$AB72/$V$4)+$AD72,0)</f>
        <v>#REF!</v>
      </c>
      <c r="Y72" s="304" t="e">
        <f>ROUNDUP(IF('AS400 JEMBATAN'!$AB72&gt;='AS400 JEMBATAN'!$AA72,'AS400 JEMBATAN'!Y72,$AB72/$V$4)+$AD72,0)</f>
        <v>#REF!</v>
      </c>
      <c r="Z72" s="304"/>
      <c r="AA72" s="304" t="e">
        <f>SUM(V72:V72)</f>
        <v>#REF!</v>
      </c>
      <c r="AB72" s="305" t="e">
        <f>'Qty &amp; UMH GUM'!X72</f>
        <v>#REF!</v>
      </c>
      <c r="AC72" s="304" t="e">
        <f>ROUNDUP((AB72-AA72)/$V$4,0)</f>
        <v>#REF!</v>
      </c>
      <c r="AD72" s="307"/>
      <c r="AE72" s="304" t="e">
        <f>ROUNDUP(IF('AS400 JEMBATAN'!$AK72&gt;='AS400 JEMBATAN'!$AJ72,'AS400 JEMBATAN'!AE72,$AK72/$AE$4)+$AM72,0)</f>
        <v>#REF!</v>
      </c>
      <c r="AF72" s="304" t="e">
        <f>ROUNDUP(IF('AS400 JEMBATAN'!$AK72&gt;='AS400 JEMBATAN'!$AJ72,'AS400 JEMBATAN'!AF72,$AK72/$AE$4)+$AM72,0)</f>
        <v>#REF!</v>
      </c>
      <c r="AG72" s="304" t="e">
        <f>ROUNDUP(IF('AS400 JEMBATAN'!$AK72&gt;='AS400 JEMBATAN'!$AJ72,'AS400 JEMBATAN'!AG72,$AK72/$AE$4)+$AM72,0)</f>
        <v>#REF!</v>
      </c>
      <c r="AH72" s="304" t="e">
        <f>ROUNDUP(IF('AS400 JEMBATAN'!$AK72&gt;='AS400 JEMBATAN'!$AJ72,'AS400 JEMBATAN'!AH72,$AK72/$AE$4)+$AM72,0)</f>
        <v>#REF!</v>
      </c>
      <c r="AI72" s="304"/>
      <c r="AJ72" s="304" t="e">
        <f>SUM(AE72:AE72)</f>
        <v>#REF!</v>
      </c>
      <c r="AK72" s="305" t="e">
        <f>'Qty &amp; UMH GUM'!AA72</f>
        <v>#REF!</v>
      </c>
      <c r="AL72" s="304" t="e">
        <f>ROUNDUP((AK72-AJ72)/$AE$4,0)</f>
        <v>#REF!</v>
      </c>
      <c r="AM72" s="409"/>
      <c r="AN72" s="308" t="e">
        <f>ROUNDUP(IF('AS400 JEMBATAN'!$AT72&gt;='AS400 JEMBATAN'!$AS72,'AS400 JEMBATAN'!AN72,$AT72/$AN$4)+$AV72,0)</f>
        <v>#REF!</v>
      </c>
      <c r="AO72" s="304" t="e">
        <f>ROUNDUP(IF('AS400 JEMBATAN'!$AT72&gt;='AS400 JEMBATAN'!$AS72,'AS400 JEMBATAN'!AO72,$AT72/$AN$4)+$AV72,0)</f>
        <v>#REF!</v>
      </c>
      <c r="AP72" s="304" t="e">
        <f>ROUNDUP(IF('AS400 JEMBATAN'!$AT72&gt;='AS400 JEMBATAN'!$AS72,'AS400 JEMBATAN'!AP72,$AT72/$AN$4)+$AV72,0)</f>
        <v>#REF!</v>
      </c>
      <c r="AQ72" s="304" t="e">
        <f>ROUNDUP(IF('AS400 JEMBATAN'!$AT72&gt;='AS400 JEMBATAN'!$AS72,'AS400 JEMBATAN'!AQ72,$AT72/$AN$4)+$AV72,0)</f>
        <v>#REF!</v>
      </c>
      <c r="AR72" s="304"/>
      <c r="AS72" s="304" t="e">
        <f>SUM(AN72:AN72)</f>
        <v>#REF!</v>
      </c>
      <c r="AT72" s="305" t="e">
        <f>'Qty &amp; UMH GUM'!AD72</f>
        <v>#REF!</v>
      </c>
      <c r="AU72" s="304" t="e">
        <f>ROUNDUP((AT72-AS72)/$AN$4,0)</f>
        <v>#REF!</v>
      </c>
      <c r="AV72" s="311"/>
      <c r="AY72" s="101"/>
    </row>
    <row r="73" spans="1:53" customHeight="1" ht="18.75">
      <c r="A73" s="445"/>
      <c r="B73" s="343" t="str">
        <f>'Qty &amp; UMH GUM'!C73</f>
        <v>82111-4DW80</v>
      </c>
      <c r="C73" s="281"/>
      <c r="D73" s="304" t="e">
        <f>ROUNDUP(IF('AS400 JEMBATAN'!$J73&gt;='AS400 JEMBATAN'!$I73,'AS400 JEMBATAN'!D73,$J73/$D$4)+$L73,0)</f>
        <v>#REF!</v>
      </c>
      <c r="E73" s="304" t="e">
        <f>ROUNDUP(IF('AS400 JEMBATAN'!$J73&gt;='AS400 JEMBATAN'!$I73,'AS400 JEMBATAN'!E73,$J73/$D$4)+$L73,0)</f>
        <v>#REF!</v>
      </c>
      <c r="F73" s="304" t="e">
        <f>ROUNDUP(IF('AS400 JEMBATAN'!$J73&gt;='AS400 JEMBATAN'!$I73,'AS400 JEMBATAN'!F73,$J73/$D$4)+$L73,0)</f>
        <v>#REF!</v>
      </c>
      <c r="G73" s="304" t="e">
        <f>ROUNDUP(IF('AS400 JEMBATAN'!$J73&gt;='AS400 JEMBATAN'!$I73,'AS400 JEMBATAN'!G73,$J73/$D$4)+$L73,0)</f>
        <v>#REF!</v>
      </c>
      <c r="H73" s="304" t="e">
        <f>ROUNDUP(IF('AS400 JEMBATAN'!$J73&gt;='AS400 JEMBATAN'!$I73,'AS400 JEMBATAN'!H73,$J73/$D$4)+$L73,0)</f>
        <v>#REF!</v>
      </c>
      <c r="I73" s="304" t="e">
        <f>SUM(D73:D73)</f>
        <v>#REF!</v>
      </c>
      <c r="J73" s="305" t="e">
        <f>'Qty &amp; UMH GUM'!R73</f>
        <v>#REF!</v>
      </c>
      <c r="K73" s="305" t="e">
        <f>ROUNDUP((J73-I73)/$D$4,0)</f>
        <v>#REF!</v>
      </c>
      <c r="L73" s="306">
        <v>53</v>
      </c>
      <c r="M73" s="304" t="e">
        <f>ROUNDUP(IF('AS400 JEMBATAN'!$S73&gt;='AS400 JEMBATAN'!$R73,'AS400 JEMBATAN'!M73,$S73/$M$4)+$U73,0)</f>
        <v>#REF!</v>
      </c>
      <c r="N73" s="304" t="e">
        <f>ROUNDUP(IF('AS400 JEMBATAN'!$S73&gt;='AS400 JEMBATAN'!$R73,'AS400 JEMBATAN'!N73,$S73/$M$4)+$U73,0)</f>
        <v>#REF!</v>
      </c>
      <c r="O73" s="304" t="e">
        <f>ROUNDUP(IF('AS400 JEMBATAN'!$S73&gt;='AS400 JEMBATAN'!$R73,'AS400 JEMBATAN'!O73,$S73/$M$4)+$U73,0)</f>
        <v>#REF!</v>
      </c>
      <c r="P73" s="304" t="e">
        <f>ROUNDUP(IF('AS400 JEMBATAN'!$S73&gt;='AS400 JEMBATAN'!$R73,'AS400 JEMBATAN'!P73,$S73/$M$4)+$U73,0)</f>
        <v>#REF!</v>
      </c>
      <c r="Q73" s="304"/>
      <c r="R73" s="304" t="e">
        <f>SUM(M73:M73)</f>
        <v>#REF!</v>
      </c>
      <c r="S73" s="305" t="e">
        <f>'Qty &amp; UMH GUM'!U73</f>
        <v>#REF!</v>
      </c>
      <c r="T73" s="305" t="e">
        <f>ROUNDUP((S73-R73)/$M$4,0)</f>
        <v>#REF!</v>
      </c>
      <c r="U73" s="307"/>
      <c r="V73" s="304" t="e">
        <f>ROUNDUP(IF('AS400 JEMBATAN'!$AB73&gt;='AS400 JEMBATAN'!$AA73,'AS400 JEMBATAN'!V73,$AB73/$V$4)+$AD73,0)</f>
        <v>#REF!</v>
      </c>
      <c r="W73" s="304" t="e">
        <f>ROUNDUP(IF('AS400 JEMBATAN'!$AB73&gt;='AS400 JEMBATAN'!$AA73,'AS400 JEMBATAN'!W73,$AB73/$V$4)+$AD73,0)</f>
        <v>#REF!</v>
      </c>
      <c r="X73" s="304" t="e">
        <f>ROUNDUP(IF('AS400 JEMBATAN'!$AB73&gt;='AS400 JEMBATAN'!$AA73,'AS400 JEMBATAN'!X73,$AB73/$V$4)+$AD73,0)</f>
        <v>#REF!</v>
      </c>
      <c r="Y73" s="304" t="e">
        <f>ROUNDUP(IF('AS400 JEMBATAN'!$AB73&gt;='AS400 JEMBATAN'!$AA73,'AS400 JEMBATAN'!Y73,$AB73/$V$4)+$AD73,0)</f>
        <v>#REF!</v>
      </c>
      <c r="Z73" s="304"/>
      <c r="AA73" s="304" t="e">
        <f>SUM(V73:V73)</f>
        <v>#REF!</v>
      </c>
      <c r="AB73" s="305" t="e">
        <f>'Qty &amp; UMH GUM'!X73</f>
        <v>#REF!</v>
      </c>
      <c r="AC73" s="304" t="e">
        <f>ROUNDUP((AB73-AA73)/$V$4,0)</f>
        <v>#REF!</v>
      </c>
      <c r="AD73" s="307">
        <v>0.0</v>
      </c>
      <c r="AE73" s="304" t="e">
        <f>ROUNDUP(IF('AS400 JEMBATAN'!$AK73&gt;='AS400 JEMBATAN'!$AJ73,'AS400 JEMBATAN'!AE73,$AK73/$AE$4)+$AM73,0)</f>
        <v>#REF!</v>
      </c>
      <c r="AF73" s="304" t="e">
        <f>ROUNDUP(IF('AS400 JEMBATAN'!$AK73&gt;='AS400 JEMBATAN'!$AJ73,'AS400 JEMBATAN'!AF73,$AK73/$AE$4)+$AM73,0)</f>
        <v>#REF!</v>
      </c>
      <c r="AG73" s="304" t="e">
        <f>ROUNDUP(IF('AS400 JEMBATAN'!$AK73&gt;='AS400 JEMBATAN'!$AJ73,'AS400 JEMBATAN'!AG73,$AK73/$AE$4)+$AM73,0)</f>
        <v>#REF!</v>
      </c>
      <c r="AH73" s="304" t="e">
        <f>ROUNDUP(IF('AS400 JEMBATAN'!$AK73&gt;='AS400 JEMBATAN'!$AJ73,'AS400 JEMBATAN'!AH73,$AK73/$AE$4)+$AM73,0)</f>
        <v>#REF!</v>
      </c>
      <c r="AI73" s="304"/>
      <c r="AJ73" s="304" t="e">
        <f>SUM(AE73:AE73)</f>
        <v>#REF!</v>
      </c>
      <c r="AK73" s="305" t="e">
        <f>'Qty &amp; UMH GUM'!AA73</f>
        <v>#REF!</v>
      </c>
      <c r="AL73" s="304" t="e">
        <f>ROUNDUP((AK73-AJ73)/$AE$4,0)</f>
        <v>#REF!</v>
      </c>
      <c r="AM73" s="409"/>
      <c r="AN73" s="308" t="e">
        <f>ROUNDUP(IF('AS400 JEMBATAN'!$AT73&gt;='AS400 JEMBATAN'!$AS73,'AS400 JEMBATAN'!AN73,$AT73/$AN$4)+$AV73,0)</f>
        <v>#REF!</v>
      </c>
      <c r="AO73" s="304" t="e">
        <f>ROUNDUP(IF('AS400 JEMBATAN'!$AT73&gt;='AS400 JEMBATAN'!$AS73,'AS400 JEMBATAN'!AO73,$AT73/$AN$4)+$AV73,0)</f>
        <v>#REF!</v>
      </c>
      <c r="AP73" s="304" t="e">
        <f>ROUNDUP(IF('AS400 JEMBATAN'!$AT73&gt;='AS400 JEMBATAN'!$AS73,'AS400 JEMBATAN'!AP73,$AT73/$AN$4)+$AV73,0)</f>
        <v>#REF!</v>
      </c>
      <c r="AQ73" s="304" t="e">
        <f>ROUNDUP(IF('AS400 JEMBATAN'!$AT73&gt;='AS400 JEMBATAN'!$AS73,'AS400 JEMBATAN'!AQ73,$AT73/$AN$4)+$AV73,0)</f>
        <v>#REF!</v>
      </c>
      <c r="AR73" s="304"/>
      <c r="AS73" s="304" t="e">
        <f>SUM(AN73:AN73)</f>
        <v>#REF!</v>
      </c>
      <c r="AT73" s="305" t="e">
        <f>'Qty &amp; UMH GUM'!AD73</f>
        <v>#REF!</v>
      </c>
      <c r="AU73" s="304" t="e">
        <f>ROUNDUP((AT73-AS73)/$AN$4,0)</f>
        <v>#REF!</v>
      </c>
      <c r="AV73" s="311"/>
    </row>
    <row r="74" spans="1:53" customHeight="1" ht="18.75">
      <c r="A74" s="445"/>
      <c r="B74" s="343" t="str">
        <f>'Qty &amp; UMH GUM'!C74</f>
        <v>82111-4DW90</v>
      </c>
      <c r="C74" s="281"/>
      <c r="D74" s="304" t="e">
        <f>ROUNDUP(IF('AS400 JEMBATAN'!$J74&gt;='AS400 JEMBATAN'!$I74,'AS400 JEMBATAN'!D74,$J74/$D$4)+$L74,0)</f>
        <v>#REF!</v>
      </c>
      <c r="E74" s="304" t="e">
        <f>ROUNDUP(IF('AS400 JEMBATAN'!$J74&gt;='AS400 JEMBATAN'!$I74,'AS400 JEMBATAN'!E74,$J74/$D$4)+$L74,0)</f>
        <v>#REF!</v>
      </c>
      <c r="F74" s="304" t="e">
        <f>ROUNDUP(IF('AS400 JEMBATAN'!$J74&gt;='AS400 JEMBATAN'!$I74,'AS400 JEMBATAN'!F74,$J74/$D$4)+$L74,0)</f>
        <v>#REF!</v>
      </c>
      <c r="G74" s="304" t="e">
        <f>ROUNDUP(IF('AS400 JEMBATAN'!$J74&gt;='AS400 JEMBATAN'!$I74,'AS400 JEMBATAN'!G74,$J74/$D$4)+$L74,0)</f>
        <v>#REF!</v>
      </c>
      <c r="H74" s="304" t="e">
        <f>ROUNDUP(IF('AS400 JEMBATAN'!$J74&gt;='AS400 JEMBATAN'!$I74,'AS400 JEMBATAN'!H74,$J74/$D$4)+$L74,0)</f>
        <v>#REF!</v>
      </c>
      <c r="I74" s="304" t="e">
        <f>SUM(D74:D74)</f>
        <v>#REF!</v>
      </c>
      <c r="J74" s="305" t="e">
        <f>'Qty &amp; UMH GUM'!R74</f>
        <v>#REF!</v>
      </c>
      <c r="K74" s="305" t="e">
        <f>ROUNDUP((J74-I74)/$D$4,0)</f>
        <v>#REF!</v>
      </c>
      <c r="L74" s="306">
        <v>0.0</v>
      </c>
      <c r="M74" s="304" t="e">
        <f>ROUNDUP(IF('AS400 JEMBATAN'!$S74&gt;='AS400 JEMBATAN'!$R74,'AS400 JEMBATAN'!M74,$S74/$M$4)+$U74,0)</f>
        <v>#REF!</v>
      </c>
      <c r="N74" s="304" t="e">
        <f>ROUNDUP(IF('AS400 JEMBATAN'!$S74&gt;='AS400 JEMBATAN'!$R74,'AS400 JEMBATAN'!N74,$S74/$M$4)+$U74,0)</f>
        <v>#REF!</v>
      </c>
      <c r="O74" s="304" t="e">
        <f>ROUNDUP(IF('AS400 JEMBATAN'!$S74&gt;='AS400 JEMBATAN'!$R74,'AS400 JEMBATAN'!O74,$S74/$M$4)+$U74,0)</f>
        <v>#REF!</v>
      </c>
      <c r="P74" s="304" t="e">
        <f>ROUNDUP(IF('AS400 JEMBATAN'!$S74&gt;='AS400 JEMBATAN'!$R74,'AS400 JEMBATAN'!P74,$S74/$M$4)+$U74,0)</f>
        <v>#REF!</v>
      </c>
      <c r="Q74" s="304"/>
      <c r="R74" s="304" t="e">
        <f>SUM(M74:M74)</f>
        <v>#REF!</v>
      </c>
      <c r="S74" s="305" t="e">
        <f>'Qty &amp; UMH GUM'!U74</f>
        <v>#REF!</v>
      </c>
      <c r="T74" s="305" t="e">
        <f>ROUNDUP((S74-R74)/$M$4,0)</f>
        <v>#REF!</v>
      </c>
      <c r="U74" s="307"/>
      <c r="V74" s="304" t="e">
        <f>ROUNDUP(IF('AS400 JEMBATAN'!$AB74&gt;='AS400 JEMBATAN'!$AA74,'AS400 JEMBATAN'!V74,$AB74/$V$4)+$AD74,0)</f>
        <v>#REF!</v>
      </c>
      <c r="W74" s="304" t="e">
        <f>ROUNDUP(IF('AS400 JEMBATAN'!$AB74&gt;='AS400 JEMBATAN'!$AA74,'AS400 JEMBATAN'!W74,$AB74/$V$4)+$AD74,0)</f>
        <v>#REF!</v>
      </c>
      <c r="X74" s="304" t="e">
        <f>ROUNDUP(IF('AS400 JEMBATAN'!$AB74&gt;='AS400 JEMBATAN'!$AA74,'AS400 JEMBATAN'!X74,$AB74/$V$4)+$AD74,0)</f>
        <v>#REF!</v>
      </c>
      <c r="Y74" s="304" t="e">
        <f>ROUNDUP(IF('AS400 JEMBATAN'!$AB74&gt;='AS400 JEMBATAN'!$AA74,'AS400 JEMBATAN'!Y74,$AB74/$V$4)+$AD74,0)</f>
        <v>#REF!</v>
      </c>
      <c r="Z74" s="304"/>
      <c r="AA74" s="304" t="e">
        <f>SUM(V74:V74)</f>
        <v>#REF!</v>
      </c>
      <c r="AB74" s="305" t="e">
        <f>'Qty &amp; UMH GUM'!X74</f>
        <v>#REF!</v>
      </c>
      <c r="AC74" s="304" t="e">
        <f>ROUNDUP((AB74-AA74)/$V$4,0)</f>
        <v>#REF!</v>
      </c>
      <c r="AD74" s="307">
        <v>0.0</v>
      </c>
      <c r="AE74" s="304" t="e">
        <f>ROUNDUP(IF('AS400 JEMBATAN'!$AK74&gt;='AS400 JEMBATAN'!$AJ74,'AS400 JEMBATAN'!AE74,$AK74/$AE$4)+$AM74,0)</f>
        <v>#REF!</v>
      </c>
      <c r="AF74" s="304" t="e">
        <f>ROUNDUP(IF('AS400 JEMBATAN'!$AK74&gt;='AS400 JEMBATAN'!$AJ74,'AS400 JEMBATAN'!AF74,$AK74/$AE$4)+$AM74,0)</f>
        <v>#REF!</v>
      </c>
      <c r="AG74" s="304" t="e">
        <f>ROUNDUP(IF('AS400 JEMBATAN'!$AK74&gt;='AS400 JEMBATAN'!$AJ74,'AS400 JEMBATAN'!AG74,$AK74/$AE$4)+$AM74,0)</f>
        <v>#REF!</v>
      </c>
      <c r="AH74" s="304" t="e">
        <f>ROUNDUP(IF('AS400 JEMBATAN'!$AK74&gt;='AS400 JEMBATAN'!$AJ74,'AS400 JEMBATAN'!AH74,$AK74/$AE$4)+$AM74,0)</f>
        <v>#REF!</v>
      </c>
      <c r="AI74" s="304"/>
      <c r="AJ74" s="304" t="e">
        <f>SUM(AE74:AE74)</f>
        <v>#REF!</v>
      </c>
      <c r="AK74" s="305" t="e">
        <f>'Qty &amp; UMH GUM'!AA74</f>
        <v>#REF!</v>
      </c>
      <c r="AL74" s="304" t="e">
        <f>ROUNDUP((AK74-AJ74)/$AE$4,0)</f>
        <v>#REF!</v>
      </c>
      <c r="AM74" s="409"/>
      <c r="AN74" s="308" t="e">
        <f>ROUNDUP(IF('AS400 JEMBATAN'!$AT74&gt;='AS400 JEMBATAN'!$AS74,'AS400 JEMBATAN'!AN74,$AT74/$AN$4)+$AV74,0)</f>
        <v>#REF!</v>
      </c>
      <c r="AO74" s="304" t="e">
        <f>ROUNDUP(IF('AS400 JEMBATAN'!$AT74&gt;='AS400 JEMBATAN'!$AS74,'AS400 JEMBATAN'!AO74,$AT74/$AN$4)+$AV74,0)</f>
        <v>#REF!</v>
      </c>
      <c r="AP74" s="304" t="e">
        <f>ROUNDUP(IF('AS400 JEMBATAN'!$AT74&gt;='AS400 JEMBATAN'!$AS74,'AS400 JEMBATAN'!AP74,$AT74/$AN$4)+$AV74,0)</f>
        <v>#REF!</v>
      </c>
      <c r="AQ74" s="304" t="e">
        <f>ROUNDUP(IF('AS400 JEMBATAN'!$AT74&gt;='AS400 JEMBATAN'!$AS74,'AS400 JEMBATAN'!AQ74,$AT74/$AN$4)+$AV74,0)</f>
        <v>#REF!</v>
      </c>
      <c r="AR74" s="304"/>
      <c r="AS74" s="304" t="e">
        <f>SUM(AN74:AN74)</f>
        <v>#REF!</v>
      </c>
      <c r="AT74" s="305" t="e">
        <f>'Qty &amp; UMH GUM'!AD74</f>
        <v>#REF!</v>
      </c>
      <c r="AU74" s="304" t="e">
        <f>ROUNDUP((AT74-AS74)/$AN$4,0)</f>
        <v>#REF!</v>
      </c>
      <c r="AV74" s="311"/>
      <c r="AY74" s="101"/>
    </row>
    <row r="75" spans="1:53" customHeight="1" ht="18.75">
      <c r="A75" s="445"/>
      <c r="B75" s="343" t="str">
        <f>'Qty &amp; UMH GUM'!C75</f>
        <v>82111-4DX00</v>
      </c>
      <c r="C75" s="281"/>
      <c r="D75" s="304" t="e">
        <f>ROUNDUP(IF('AS400 JEMBATAN'!$J75&gt;='AS400 JEMBATAN'!$I75,'AS400 JEMBATAN'!D75,$J75/$D$4)+$L75,0)</f>
        <v>#REF!</v>
      </c>
      <c r="E75" s="304" t="e">
        <f>ROUNDUP(IF('AS400 JEMBATAN'!$J75&gt;='AS400 JEMBATAN'!$I75,'AS400 JEMBATAN'!E75,$J75/$D$4)+$L75,0)</f>
        <v>#REF!</v>
      </c>
      <c r="F75" s="304" t="e">
        <f>ROUNDUP(IF('AS400 JEMBATAN'!$J75&gt;='AS400 JEMBATAN'!$I75,'AS400 JEMBATAN'!F75,$J75/$D$4)+$L75,0)</f>
        <v>#REF!</v>
      </c>
      <c r="G75" s="304" t="e">
        <f>ROUNDUP(IF('AS400 JEMBATAN'!$J75&gt;='AS400 JEMBATAN'!$I75,'AS400 JEMBATAN'!G75,$J75/$D$4)+$L75,0)</f>
        <v>#REF!</v>
      </c>
      <c r="H75" s="304" t="e">
        <f>ROUNDUP(IF('AS400 JEMBATAN'!$J75&gt;='AS400 JEMBATAN'!$I75,'AS400 JEMBATAN'!H75,$J75/$D$4)+$L75,0)</f>
        <v>#REF!</v>
      </c>
      <c r="I75" s="304" t="e">
        <f>SUM(D75:D75)</f>
        <v>#REF!</v>
      </c>
      <c r="J75" s="305" t="e">
        <f>'Qty &amp; UMH GUM'!R75</f>
        <v>#REF!</v>
      </c>
      <c r="K75" s="305" t="e">
        <f>ROUNDUP((J75-I75)/$D$4,0)</f>
        <v>#REF!</v>
      </c>
      <c r="L75" s="306">
        <v>0.0</v>
      </c>
      <c r="M75" s="304" t="e">
        <f>ROUNDUP(IF('AS400 JEMBATAN'!$S75&gt;='AS400 JEMBATAN'!$R75,'AS400 JEMBATAN'!M75,$S75/$M$4)+$U75,0)</f>
        <v>#REF!</v>
      </c>
      <c r="N75" s="304" t="e">
        <f>ROUNDUP(IF('AS400 JEMBATAN'!$S75&gt;='AS400 JEMBATAN'!$R75,'AS400 JEMBATAN'!N75,$S75/$M$4)+$U75,0)</f>
        <v>#REF!</v>
      </c>
      <c r="O75" s="304" t="e">
        <f>ROUNDUP(IF('AS400 JEMBATAN'!$S75&gt;='AS400 JEMBATAN'!$R75,'AS400 JEMBATAN'!O75,$S75/$M$4)+$U75,0)</f>
        <v>#REF!</v>
      </c>
      <c r="P75" s="304" t="e">
        <f>ROUNDUP(IF('AS400 JEMBATAN'!$S75&gt;='AS400 JEMBATAN'!$R75,'AS400 JEMBATAN'!P75,$S75/$M$4)+$U75,0)</f>
        <v>#REF!</v>
      </c>
      <c r="Q75" s="304"/>
      <c r="R75" s="304" t="e">
        <f>SUM(M75:M75)</f>
        <v>#REF!</v>
      </c>
      <c r="S75" s="305" t="e">
        <f>'Qty &amp; UMH GUM'!U75</f>
        <v>#REF!</v>
      </c>
      <c r="T75" s="305" t="e">
        <f>ROUNDUP((S75-R75)/$M$4,0)</f>
        <v>#REF!</v>
      </c>
      <c r="U75" s="307"/>
      <c r="V75" s="304" t="e">
        <f>ROUNDUP(IF('AS400 JEMBATAN'!$AB75&gt;='AS400 JEMBATAN'!$AA75,'AS400 JEMBATAN'!V75,$AB75/$V$4)+$AD75,0)</f>
        <v>#REF!</v>
      </c>
      <c r="W75" s="304" t="e">
        <f>ROUNDUP(IF('AS400 JEMBATAN'!$AB75&gt;='AS400 JEMBATAN'!$AA75,'AS400 JEMBATAN'!W75,$AB75/$V$4)+$AD75,0)</f>
        <v>#REF!</v>
      </c>
      <c r="X75" s="304" t="e">
        <f>ROUNDUP(IF('AS400 JEMBATAN'!$AB75&gt;='AS400 JEMBATAN'!$AA75,'AS400 JEMBATAN'!X75,$AB75/$V$4)+$AD75,0)</f>
        <v>#REF!</v>
      </c>
      <c r="Y75" s="304" t="e">
        <f>ROUNDUP(IF('AS400 JEMBATAN'!$AB75&gt;='AS400 JEMBATAN'!$AA75,'AS400 JEMBATAN'!Y75,$AB75/$V$4)+$AD75,0)</f>
        <v>#REF!</v>
      </c>
      <c r="Z75" s="304"/>
      <c r="AA75" s="304" t="e">
        <f>SUM(V75:V75)</f>
        <v>#REF!</v>
      </c>
      <c r="AB75" s="305" t="e">
        <f>'Qty &amp; UMH GUM'!X75</f>
        <v>#REF!</v>
      </c>
      <c r="AC75" s="304" t="e">
        <f>ROUNDUP((AB75-AA75)/$V$4,0)</f>
        <v>#REF!</v>
      </c>
      <c r="AD75" s="307">
        <v>0.0</v>
      </c>
      <c r="AE75" s="304" t="e">
        <f>ROUNDUP(IF('AS400 JEMBATAN'!$AK75&gt;='AS400 JEMBATAN'!$AJ75,'AS400 JEMBATAN'!AE75,$AK75/$AE$4)+$AM75,0)</f>
        <v>#REF!</v>
      </c>
      <c r="AF75" s="304" t="e">
        <f>ROUNDUP(IF('AS400 JEMBATAN'!$AK75&gt;='AS400 JEMBATAN'!$AJ75,'AS400 JEMBATAN'!AF75,$AK75/$AE$4)+$AM75,0)</f>
        <v>#REF!</v>
      </c>
      <c r="AG75" s="304" t="e">
        <f>ROUNDUP(IF('AS400 JEMBATAN'!$AK75&gt;='AS400 JEMBATAN'!$AJ75,'AS400 JEMBATAN'!AG75,$AK75/$AE$4)+$AM75,0)</f>
        <v>#REF!</v>
      </c>
      <c r="AH75" s="304" t="e">
        <f>ROUNDUP(IF('AS400 JEMBATAN'!$AK75&gt;='AS400 JEMBATAN'!$AJ75,'AS400 JEMBATAN'!AH75,$AK75/$AE$4)+$AM75,0)</f>
        <v>#REF!</v>
      </c>
      <c r="AI75" s="304"/>
      <c r="AJ75" s="304" t="e">
        <f>SUM(AE75:AE75)</f>
        <v>#REF!</v>
      </c>
      <c r="AK75" s="305" t="e">
        <f>'Qty &amp; UMH GUM'!AA75</f>
        <v>#REF!</v>
      </c>
      <c r="AL75" s="304" t="e">
        <f>ROUNDUP((AK75-AJ75)/$AE$4,0)</f>
        <v>#REF!</v>
      </c>
      <c r="AM75" s="409"/>
      <c r="AN75" s="308" t="e">
        <f>ROUNDUP(IF('AS400 JEMBATAN'!$AT75&gt;='AS400 JEMBATAN'!$AS75,'AS400 JEMBATAN'!AN75,$AT75/$AN$4)+$AV75,0)</f>
        <v>#REF!</v>
      </c>
      <c r="AO75" s="304" t="e">
        <f>ROUNDUP(IF('AS400 JEMBATAN'!$AT75&gt;='AS400 JEMBATAN'!$AS75,'AS400 JEMBATAN'!AO75,$AT75/$AN$4)+$AV75,0)</f>
        <v>#REF!</v>
      </c>
      <c r="AP75" s="304" t="e">
        <f>ROUNDUP(IF('AS400 JEMBATAN'!$AT75&gt;='AS400 JEMBATAN'!$AS75,'AS400 JEMBATAN'!AP75,$AT75/$AN$4)+$AV75,0)</f>
        <v>#REF!</v>
      </c>
      <c r="AQ75" s="304" t="e">
        <f>ROUNDUP(IF('AS400 JEMBATAN'!$AT75&gt;='AS400 JEMBATAN'!$AS75,'AS400 JEMBATAN'!AQ75,$AT75/$AN$4)+$AV75,0)</f>
        <v>#REF!</v>
      </c>
      <c r="AR75" s="304"/>
      <c r="AS75" s="304" t="e">
        <f>SUM(AN75:AN75)</f>
        <v>#REF!</v>
      </c>
      <c r="AT75" s="305" t="e">
        <f>'Qty &amp; UMH GUM'!AD75</f>
        <v>#REF!</v>
      </c>
      <c r="AU75" s="304" t="e">
        <f>ROUNDUP((AT75-AS75)/$AN$4,0)</f>
        <v>#REF!</v>
      </c>
      <c r="AV75" s="311"/>
    </row>
    <row r="76" spans="1:53" customHeight="1" ht="18.75">
      <c r="A76" s="445"/>
      <c r="B76" s="343" t="str">
        <f>'Qty &amp; UMH GUM'!C76</f>
        <v>82111-4DX10</v>
      </c>
      <c r="C76" s="281"/>
      <c r="D76" s="304" t="e">
        <f>ROUNDUP(IF('AS400 JEMBATAN'!$J76&gt;='AS400 JEMBATAN'!$I76,'AS400 JEMBATAN'!D76,$J76/$D$4)+$L76,0)</f>
        <v>#REF!</v>
      </c>
      <c r="E76" s="304" t="e">
        <f>ROUNDUP(IF('AS400 JEMBATAN'!$J76&gt;='AS400 JEMBATAN'!$I76,'AS400 JEMBATAN'!E76,$J76/$D$4)+$L76,0)</f>
        <v>#REF!</v>
      </c>
      <c r="F76" s="304" t="e">
        <f>ROUNDUP(IF('AS400 JEMBATAN'!$J76&gt;='AS400 JEMBATAN'!$I76,'AS400 JEMBATAN'!F76,$J76/$D$4)+$L76,0)</f>
        <v>#REF!</v>
      </c>
      <c r="G76" s="304" t="e">
        <f>ROUNDUP(IF('AS400 JEMBATAN'!$J76&gt;='AS400 JEMBATAN'!$I76,'AS400 JEMBATAN'!G76,$J76/$D$4)+$L76,0)</f>
        <v>#REF!</v>
      </c>
      <c r="H76" s="304" t="e">
        <f>ROUNDUP(IF('AS400 JEMBATAN'!$J76&gt;='AS400 JEMBATAN'!$I76,'AS400 JEMBATAN'!H76,$J76/$D$4)+$L76,0)</f>
        <v>#REF!</v>
      </c>
      <c r="I76" s="304" t="e">
        <f>SUM(D76:D76)</f>
        <v>#REF!</v>
      </c>
      <c r="J76" s="305" t="e">
        <f>'Qty &amp; UMH GUM'!R76</f>
        <v>#REF!</v>
      </c>
      <c r="K76" s="305" t="e">
        <f>ROUNDUP((J76-I76)/$D$4,0)</f>
        <v>#REF!</v>
      </c>
      <c r="L76" s="306">
        <v>0.0</v>
      </c>
      <c r="M76" s="304" t="e">
        <f>ROUNDUP(IF('AS400 JEMBATAN'!$S76&gt;='AS400 JEMBATAN'!$R76,'AS400 JEMBATAN'!M76,$S76/$M$4)+$U76,0)</f>
        <v>#REF!</v>
      </c>
      <c r="N76" s="304" t="e">
        <f>ROUNDUP(IF('AS400 JEMBATAN'!$S76&gt;='AS400 JEMBATAN'!$R76,'AS400 JEMBATAN'!N76,$S76/$M$4)+$U76,0)</f>
        <v>#REF!</v>
      </c>
      <c r="O76" s="304" t="e">
        <f>ROUNDUP(IF('AS400 JEMBATAN'!$S76&gt;='AS400 JEMBATAN'!$R76,'AS400 JEMBATAN'!O76,$S76/$M$4)+$U76,0)</f>
        <v>#REF!</v>
      </c>
      <c r="P76" s="304" t="e">
        <f>ROUNDUP(IF('AS400 JEMBATAN'!$S76&gt;='AS400 JEMBATAN'!$R76,'AS400 JEMBATAN'!P76,$S76/$M$4)+$U76,0)</f>
        <v>#REF!</v>
      </c>
      <c r="Q76" s="304"/>
      <c r="R76" s="304" t="e">
        <f>SUM(M76:M76)</f>
        <v>#REF!</v>
      </c>
      <c r="S76" s="305" t="e">
        <f>'Qty &amp; UMH GUM'!U76</f>
        <v>#REF!</v>
      </c>
      <c r="T76" s="305" t="e">
        <f>ROUNDUP((S76-R76)/$M$4,0)</f>
        <v>#REF!</v>
      </c>
      <c r="U76" s="307"/>
      <c r="V76" s="304" t="e">
        <f>ROUNDUP(IF('AS400 JEMBATAN'!$AB76&gt;='AS400 JEMBATAN'!$AA76,'AS400 JEMBATAN'!V76,$AB76/$V$4)+$AD76,0)</f>
        <v>#REF!</v>
      </c>
      <c r="W76" s="304" t="e">
        <f>ROUNDUP(IF('AS400 JEMBATAN'!$AB76&gt;='AS400 JEMBATAN'!$AA76,'AS400 JEMBATAN'!W76,$AB76/$V$4)+$AD76,0)</f>
        <v>#REF!</v>
      </c>
      <c r="X76" s="304" t="e">
        <f>ROUNDUP(IF('AS400 JEMBATAN'!$AB76&gt;='AS400 JEMBATAN'!$AA76,'AS400 JEMBATAN'!X76,$AB76/$V$4)+$AD76,0)</f>
        <v>#REF!</v>
      </c>
      <c r="Y76" s="304" t="e">
        <f>ROUNDUP(IF('AS400 JEMBATAN'!$AB76&gt;='AS400 JEMBATAN'!$AA76,'AS400 JEMBATAN'!Y76,$AB76/$V$4)+$AD76,0)</f>
        <v>#REF!</v>
      </c>
      <c r="Z76" s="304"/>
      <c r="AA76" s="304" t="e">
        <f>SUM(V76:V76)</f>
        <v>#REF!</v>
      </c>
      <c r="AB76" s="305" t="e">
        <f>'Qty &amp; UMH GUM'!X76</f>
        <v>#REF!</v>
      </c>
      <c r="AC76" s="304" t="e">
        <f>ROUNDUP((AB76-AA76)/$V$4,0)</f>
        <v>#REF!</v>
      </c>
      <c r="AD76" s="307">
        <v>0.0</v>
      </c>
      <c r="AE76" s="304" t="e">
        <f>ROUNDUP(IF('AS400 JEMBATAN'!$AK76&gt;='AS400 JEMBATAN'!$AJ76,'AS400 JEMBATAN'!AE76,$AK76/$AE$4)+$AM76,0)</f>
        <v>#REF!</v>
      </c>
      <c r="AF76" s="304" t="e">
        <f>ROUNDUP(IF('AS400 JEMBATAN'!$AK76&gt;='AS400 JEMBATAN'!$AJ76,'AS400 JEMBATAN'!AF76,$AK76/$AE$4)+$AM76,0)</f>
        <v>#REF!</v>
      </c>
      <c r="AG76" s="304" t="e">
        <f>ROUNDUP(IF('AS400 JEMBATAN'!$AK76&gt;='AS400 JEMBATAN'!$AJ76,'AS400 JEMBATAN'!AG76,$AK76/$AE$4)+$AM76,0)</f>
        <v>#REF!</v>
      </c>
      <c r="AH76" s="304" t="e">
        <f>ROUNDUP(IF('AS400 JEMBATAN'!$AK76&gt;='AS400 JEMBATAN'!$AJ76,'AS400 JEMBATAN'!AH76,$AK76/$AE$4)+$AM76,0)</f>
        <v>#REF!</v>
      </c>
      <c r="AI76" s="304"/>
      <c r="AJ76" s="304" t="e">
        <f>SUM(AE76:AE76)</f>
        <v>#REF!</v>
      </c>
      <c r="AK76" s="305" t="e">
        <f>'Qty &amp; UMH GUM'!AA76</f>
        <v>#REF!</v>
      </c>
      <c r="AL76" s="304" t="e">
        <f>ROUNDUP((AK76-AJ76)/$AE$4,0)</f>
        <v>#REF!</v>
      </c>
      <c r="AM76" s="409"/>
      <c r="AN76" s="308" t="e">
        <f>ROUNDUP(IF('AS400 JEMBATAN'!$AT76&gt;='AS400 JEMBATAN'!$AS76,'AS400 JEMBATAN'!AN76,$AT76/$AN$4)+$AV76,0)</f>
        <v>#REF!</v>
      </c>
      <c r="AO76" s="304" t="e">
        <f>ROUNDUP(IF('AS400 JEMBATAN'!$AT76&gt;='AS400 JEMBATAN'!$AS76,'AS400 JEMBATAN'!AO76,$AT76/$AN$4)+$AV76,0)</f>
        <v>#REF!</v>
      </c>
      <c r="AP76" s="304" t="e">
        <f>ROUNDUP(IF('AS400 JEMBATAN'!$AT76&gt;='AS400 JEMBATAN'!$AS76,'AS400 JEMBATAN'!AP76,$AT76/$AN$4)+$AV76,0)</f>
        <v>#REF!</v>
      </c>
      <c r="AQ76" s="304" t="e">
        <f>ROUNDUP(IF('AS400 JEMBATAN'!$AT76&gt;='AS400 JEMBATAN'!$AS76,'AS400 JEMBATAN'!AQ76,$AT76/$AN$4)+$AV76,0)</f>
        <v>#REF!</v>
      </c>
      <c r="AR76" s="304"/>
      <c r="AS76" s="304" t="e">
        <f>SUM(AN76:AN76)</f>
        <v>#REF!</v>
      </c>
      <c r="AT76" s="305" t="e">
        <f>'Qty &amp; UMH GUM'!AD76</f>
        <v>#REF!</v>
      </c>
      <c r="AU76" s="304" t="e">
        <f>ROUNDUP((AT76-AS76)/$AN$4,0)</f>
        <v>#REF!</v>
      </c>
      <c r="AV76" s="311"/>
    </row>
    <row r="77" spans="1:53" customHeight="1" ht="18.75">
      <c r="A77" s="445"/>
      <c r="B77" s="343" t="str">
        <f>'Qty &amp; UMH GUM'!C77</f>
        <v>82111-4DX20</v>
      </c>
      <c r="C77" s="281"/>
      <c r="D77" s="304" t="e">
        <f>ROUNDUP(IF('AS400 JEMBATAN'!$J77&gt;='AS400 JEMBATAN'!$I77,'AS400 JEMBATAN'!D77,$J77/$D$4)+$L77,0)</f>
        <v>#REF!</v>
      </c>
      <c r="E77" s="304" t="e">
        <f>ROUNDUP(IF('AS400 JEMBATAN'!$J77&gt;='AS400 JEMBATAN'!$I77,'AS400 JEMBATAN'!E77,$J77/$D$4)+$L77,0)</f>
        <v>#REF!</v>
      </c>
      <c r="F77" s="304" t="e">
        <f>ROUNDUP(IF('AS400 JEMBATAN'!$J77&gt;='AS400 JEMBATAN'!$I77,'AS400 JEMBATAN'!F77,$J77/$D$4)+$L77,0)</f>
        <v>#REF!</v>
      </c>
      <c r="G77" s="304" t="e">
        <f>ROUNDUP(IF('AS400 JEMBATAN'!$J77&gt;='AS400 JEMBATAN'!$I77,'AS400 JEMBATAN'!G77,$J77/$D$4)+$L77,0)</f>
        <v>#REF!</v>
      </c>
      <c r="H77" s="304" t="e">
        <f>ROUNDUP(IF('AS400 JEMBATAN'!$J77&gt;='AS400 JEMBATAN'!$I77,'AS400 JEMBATAN'!H77,$J77/$D$4)+$L77,0)</f>
        <v>#REF!</v>
      </c>
      <c r="I77" s="304" t="e">
        <f>SUM(D77:D77)</f>
        <v>#REF!</v>
      </c>
      <c r="J77" s="305" t="e">
        <f>'Qty &amp; UMH GUM'!R77</f>
        <v>#REF!</v>
      </c>
      <c r="K77" s="305" t="e">
        <f>ROUNDUP((J77-I77)/$D$4,0)</f>
        <v>#REF!</v>
      </c>
      <c r="L77" s="306">
        <v>0.0</v>
      </c>
      <c r="M77" s="304" t="e">
        <f>ROUNDUP(IF('AS400 JEMBATAN'!$S77&gt;='AS400 JEMBATAN'!$R77,'AS400 JEMBATAN'!M77,$S77/$M$4)+$U77,0)</f>
        <v>#REF!</v>
      </c>
      <c r="N77" s="304" t="e">
        <f>ROUNDUP(IF('AS400 JEMBATAN'!$S77&gt;='AS400 JEMBATAN'!$R77,'AS400 JEMBATAN'!N77,$S77/$M$4)+$U77,0)</f>
        <v>#REF!</v>
      </c>
      <c r="O77" s="304" t="e">
        <f>ROUNDUP(IF('AS400 JEMBATAN'!$S77&gt;='AS400 JEMBATAN'!$R77,'AS400 JEMBATAN'!O77,$S77/$M$4)+$U77,0)</f>
        <v>#REF!</v>
      </c>
      <c r="P77" s="304" t="e">
        <f>ROUNDUP(IF('AS400 JEMBATAN'!$S77&gt;='AS400 JEMBATAN'!$R77,'AS400 JEMBATAN'!P77,$S77/$M$4)+$U77,0)</f>
        <v>#REF!</v>
      </c>
      <c r="Q77" s="304"/>
      <c r="R77" s="304" t="e">
        <f>SUM(M77:M77)</f>
        <v>#REF!</v>
      </c>
      <c r="S77" s="305" t="e">
        <f>'Qty &amp; UMH GUM'!U77</f>
        <v>#REF!</v>
      </c>
      <c r="T77" s="305" t="e">
        <f>ROUNDUP((S77-R77)/$M$4,0)</f>
        <v>#REF!</v>
      </c>
      <c r="U77" s="307"/>
      <c r="V77" s="304" t="e">
        <f>ROUNDUP(IF('AS400 JEMBATAN'!$AB77&gt;='AS400 JEMBATAN'!$AA77,'AS400 JEMBATAN'!V77,$AB77/$V$4)+$AD77,0)</f>
        <v>#REF!</v>
      </c>
      <c r="W77" s="304" t="e">
        <f>ROUNDUP(IF('AS400 JEMBATAN'!$AB77&gt;='AS400 JEMBATAN'!$AA77,'AS400 JEMBATAN'!W77,$AB77/$V$4)+$AD77,0)</f>
        <v>#REF!</v>
      </c>
      <c r="X77" s="304" t="e">
        <f>ROUNDUP(IF('AS400 JEMBATAN'!$AB77&gt;='AS400 JEMBATAN'!$AA77,'AS400 JEMBATAN'!X77,$AB77/$V$4)+$AD77,0)</f>
        <v>#REF!</v>
      </c>
      <c r="Y77" s="304" t="e">
        <f>ROUNDUP(IF('AS400 JEMBATAN'!$AB77&gt;='AS400 JEMBATAN'!$AA77,'AS400 JEMBATAN'!Y77,$AB77/$V$4)+$AD77,0)</f>
        <v>#REF!</v>
      </c>
      <c r="Z77" s="304"/>
      <c r="AA77" s="304" t="e">
        <f>SUM(V77:V77)</f>
        <v>#REF!</v>
      </c>
      <c r="AB77" s="305" t="e">
        <f>'Qty &amp; UMH GUM'!X77</f>
        <v>#REF!</v>
      </c>
      <c r="AC77" s="304" t="e">
        <f>ROUNDUP((AB77-AA77)/$V$4,0)</f>
        <v>#REF!</v>
      </c>
      <c r="AD77" s="307">
        <v>0.0</v>
      </c>
      <c r="AE77" s="304" t="e">
        <f>ROUNDUP(IF('AS400 JEMBATAN'!$AK77&gt;='AS400 JEMBATAN'!$AJ77,'AS400 JEMBATAN'!AE77,$AK77/$AE$4)+$AM77,0)</f>
        <v>#REF!</v>
      </c>
      <c r="AF77" s="304" t="e">
        <f>ROUNDUP(IF('AS400 JEMBATAN'!$AK77&gt;='AS400 JEMBATAN'!$AJ77,'AS400 JEMBATAN'!AF77,$AK77/$AE$4)+$AM77,0)</f>
        <v>#REF!</v>
      </c>
      <c r="AG77" s="304" t="e">
        <f>ROUNDUP(IF('AS400 JEMBATAN'!$AK77&gt;='AS400 JEMBATAN'!$AJ77,'AS400 JEMBATAN'!AG77,$AK77/$AE$4)+$AM77,0)</f>
        <v>#REF!</v>
      </c>
      <c r="AH77" s="304" t="e">
        <f>ROUNDUP(IF('AS400 JEMBATAN'!$AK77&gt;='AS400 JEMBATAN'!$AJ77,'AS400 JEMBATAN'!AH77,$AK77/$AE$4)+$AM77,0)</f>
        <v>#REF!</v>
      </c>
      <c r="AI77" s="304"/>
      <c r="AJ77" s="304" t="e">
        <f>SUM(AE77:AE77)</f>
        <v>#REF!</v>
      </c>
      <c r="AK77" s="305" t="e">
        <f>'Qty &amp; UMH GUM'!AA77</f>
        <v>#REF!</v>
      </c>
      <c r="AL77" s="304" t="e">
        <f>ROUNDUP((AK77-AJ77)/$AE$4,0)</f>
        <v>#REF!</v>
      </c>
      <c r="AM77" s="409"/>
      <c r="AN77" s="308" t="e">
        <f>ROUNDUP(IF('AS400 JEMBATAN'!$AT77&gt;='AS400 JEMBATAN'!$AS77,'AS400 JEMBATAN'!AN77,$AT77/$AN$4)+$AV77,0)</f>
        <v>#REF!</v>
      </c>
      <c r="AO77" s="304" t="e">
        <f>ROUNDUP(IF('AS400 JEMBATAN'!$AT77&gt;='AS400 JEMBATAN'!$AS77,'AS400 JEMBATAN'!AO77,$AT77/$AN$4)+$AV77,0)</f>
        <v>#REF!</v>
      </c>
      <c r="AP77" s="304" t="e">
        <f>ROUNDUP(IF('AS400 JEMBATAN'!$AT77&gt;='AS400 JEMBATAN'!$AS77,'AS400 JEMBATAN'!AP77,$AT77/$AN$4)+$AV77,0)</f>
        <v>#REF!</v>
      </c>
      <c r="AQ77" s="304" t="e">
        <f>ROUNDUP(IF('AS400 JEMBATAN'!$AT77&gt;='AS400 JEMBATAN'!$AS77,'AS400 JEMBATAN'!AQ77,$AT77/$AN$4)+$AV77,0)</f>
        <v>#REF!</v>
      </c>
      <c r="AR77" s="304"/>
      <c r="AS77" s="304" t="e">
        <f>SUM(AN77:AN77)</f>
        <v>#REF!</v>
      </c>
      <c r="AT77" s="305" t="e">
        <f>'Qty &amp; UMH GUM'!AD77</f>
        <v>#REF!</v>
      </c>
      <c r="AU77" s="304" t="e">
        <f>ROUNDUP((AT77-AS77)/$AN$4,0)</f>
        <v>#REF!</v>
      </c>
      <c r="AV77" s="311"/>
    </row>
    <row r="78" spans="1:53" customHeight="1" ht="18.75">
      <c r="A78" s="445"/>
      <c r="B78" s="343" t="str">
        <f>'Qty &amp; UMH GUM'!C78</f>
        <v>82111-4DX30</v>
      </c>
      <c r="C78" s="281"/>
      <c r="D78" s="304" t="e">
        <f>ROUNDUP(IF('AS400 JEMBATAN'!$J78&gt;='AS400 JEMBATAN'!$I78,'AS400 JEMBATAN'!D78,$J78/$D$4)+$L78,0)</f>
        <v>#REF!</v>
      </c>
      <c r="E78" s="304" t="e">
        <f>ROUNDUP(IF('AS400 JEMBATAN'!$J78&gt;='AS400 JEMBATAN'!$I78,'AS400 JEMBATAN'!E78,$J78/$D$4)+$L78,0)</f>
        <v>#REF!</v>
      </c>
      <c r="F78" s="304" t="e">
        <f>ROUNDUP(IF('AS400 JEMBATAN'!$J78&gt;='AS400 JEMBATAN'!$I78,'AS400 JEMBATAN'!F78,$J78/$D$4)+$L78,0)</f>
        <v>#REF!</v>
      </c>
      <c r="G78" s="304" t="e">
        <f>ROUNDUP(IF('AS400 JEMBATAN'!$J78&gt;='AS400 JEMBATAN'!$I78,'AS400 JEMBATAN'!G78,$J78/$D$4)+$L78,0)</f>
        <v>#REF!</v>
      </c>
      <c r="H78" s="304" t="e">
        <f>ROUNDUP(IF('AS400 JEMBATAN'!$J78&gt;='AS400 JEMBATAN'!$I78,'AS400 JEMBATAN'!H78,$J78/$D$4)+$L78,0)</f>
        <v>#REF!</v>
      </c>
      <c r="I78" s="304" t="e">
        <f>SUM(D78:D78)</f>
        <v>#REF!</v>
      </c>
      <c r="J78" s="305" t="e">
        <f>'Qty &amp; UMH GUM'!R78</f>
        <v>#REF!</v>
      </c>
      <c r="K78" s="305" t="e">
        <f>ROUNDUP((J78-I78)/$D$4,0)</f>
        <v>#REF!</v>
      </c>
      <c r="L78" s="306">
        <v>0.0</v>
      </c>
      <c r="M78" s="304" t="e">
        <f>ROUNDUP(IF('AS400 JEMBATAN'!$S78&gt;='AS400 JEMBATAN'!$R78,'AS400 JEMBATAN'!M78,$S78/$M$4)+$U78,0)</f>
        <v>#REF!</v>
      </c>
      <c r="N78" s="304" t="e">
        <f>ROUNDUP(IF('AS400 JEMBATAN'!$S78&gt;='AS400 JEMBATAN'!$R78,'AS400 JEMBATAN'!N78,$S78/$M$4)+$U78,0)</f>
        <v>#REF!</v>
      </c>
      <c r="O78" s="304" t="e">
        <f>ROUNDUP(IF('AS400 JEMBATAN'!$S78&gt;='AS400 JEMBATAN'!$R78,'AS400 JEMBATAN'!O78,$S78/$M$4)+$U78,0)</f>
        <v>#REF!</v>
      </c>
      <c r="P78" s="304" t="e">
        <f>ROUNDUP(IF('AS400 JEMBATAN'!$S78&gt;='AS400 JEMBATAN'!$R78,'AS400 JEMBATAN'!P78,$S78/$M$4)+$U78,0)</f>
        <v>#REF!</v>
      </c>
      <c r="Q78" s="304"/>
      <c r="R78" s="304" t="e">
        <f>SUM(M78:M78)</f>
        <v>#REF!</v>
      </c>
      <c r="S78" s="305" t="e">
        <f>'Qty &amp; UMH GUM'!U78</f>
        <v>#REF!</v>
      </c>
      <c r="T78" s="305" t="e">
        <f>ROUNDUP((S78-R78)/$M$4,0)</f>
        <v>#REF!</v>
      </c>
      <c r="U78" s="307"/>
      <c r="V78" s="304" t="e">
        <f>ROUNDUP(IF('AS400 JEMBATAN'!$AB78&gt;='AS400 JEMBATAN'!$AA78,'AS400 JEMBATAN'!V78,$AB78/$V$4)+$AD78,0)</f>
        <v>#REF!</v>
      </c>
      <c r="W78" s="304" t="e">
        <f>ROUNDUP(IF('AS400 JEMBATAN'!$AB78&gt;='AS400 JEMBATAN'!$AA78,'AS400 JEMBATAN'!W78,$AB78/$V$4)+$AD78,0)</f>
        <v>#REF!</v>
      </c>
      <c r="X78" s="304" t="e">
        <f>ROUNDUP(IF('AS400 JEMBATAN'!$AB78&gt;='AS400 JEMBATAN'!$AA78,'AS400 JEMBATAN'!X78,$AB78/$V$4)+$AD78,0)</f>
        <v>#REF!</v>
      </c>
      <c r="Y78" s="304" t="e">
        <f>ROUNDUP(IF('AS400 JEMBATAN'!$AB78&gt;='AS400 JEMBATAN'!$AA78,'AS400 JEMBATAN'!Y78,$AB78/$V$4)+$AD78,0)</f>
        <v>#REF!</v>
      </c>
      <c r="Z78" s="304"/>
      <c r="AA78" s="304" t="e">
        <f>SUM(V78:V78)</f>
        <v>#REF!</v>
      </c>
      <c r="AB78" s="305" t="e">
        <f>'Qty &amp; UMH GUM'!X78</f>
        <v>#REF!</v>
      </c>
      <c r="AC78" s="304" t="e">
        <f>ROUNDUP((AB78-AA78)/$V$4,0)</f>
        <v>#REF!</v>
      </c>
      <c r="AD78" s="307">
        <v>0.0</v>
      </c>
      <c r="AE78" s="304" t="e">
        <f>ROUNDUP(IF('AS400 JEMBATAN'!$AK78&gt;='AS400 JEMBATAN'!$AJ78,'AS400 JEMBATAN'!AE78,$AK78/$AE$4)+$AM78,0)</f>
        <v>#REF!</v>
      </c>
      <c r="AF78" s="304" t="e">
        <f>ROUNDUP(IF('AS400 JEMBATAN'!$AK78&gt;='AS400 JEMBATAN'!$AJ78,'AS400 JEMBATAN'!AF78,$AK78/$AE$4)+$AM78,0)</f>
        <v>#REF!</v>
      </c>
      <c r="AG78" s="304" t="e">
        <f>ROUNDUP(IF('AS400 JEMBATAN'!$AK78&gt;='AS400 JEMBATAN'!$AJ78,'AS400 JEMBATAN'!AG78,$AK78/$AE$4)+$AM78,0)</f>
        <v>#REF!</v>
      </c>
      <c r="AH78" s="304" t="e">
        <f>ROUNDUP(IF('AS400 JEMBATAN'!$AK78&gt;='AS400 JEMBATAN'!$AJ78,'AS400 JEMBATAN'!AH78,$AK78/$AE$4)+$AM78,0)</f>
        <v>#REF!</v>
      </c>
      <c r="AI78" s="304"/>
      <c r="AJ78" s="304" t="e">
        <f>SUM(AE78:AE78)</f>
        <v>#REF!</v>
      </c>
      <c r="AK78" s="305" t="e">
        <f>'Qty &amp; UMH GUM'!AA78</f>
        <v>#REF!</v>
      </c>
      <c r="AL78" s="304" t="e">
        <f>ROUNDUP((AK78-AJ78)/$AE$4,0)</f>
        <v>#REF!</v>
      </c>
      <c r="AM78" s="409"/>
      <c r="AN78" s="308" t="e">
        <f>ROUNDUP(IF('AS400 JEMBATAN'!$AT78&gt;='AS400 JEMBATAN'!$AS78,'AS400 JEMBATAN'!AN78,$AT78/$AN$4)+$AV78,0)</f>
        <v>#REF!</v>
      </c>
      <c r="AO78" s="304" t="e">
        <f>ROUNDUP(IF('AS400 JEMBATAN'!$AT78&gt;='AS400 JEMBATAN'!$AS78,'AS400 JEMBATAN'!AO78,$AT78/$AN$4)+$AV78,0)</f>
        <v>#REF!</v>
      </c>
      <c r="AP78" s="304" t="e">
        <f>ROUNDUP(IF('AS400 JEMBATAN'!$AT78&gt;='AS400 JEMBATAN'!$AS78,'AS400 JEMBATAN'!AP78,$AT78/$AN$4)+$AV78,0)</f>
        <v>#REF!</v>
      </c>
      <c r="AQ78" s="304" t="e">
        <f>ROUNDUP(IF('AS400 JEMBATAN'!$AT78&gt;='AS400 JEMBATAN'!$AS78,'AS400 JEMBATAN'!AQ78,$AT78/$AN$4)+$AV78,0)</f>
        <v>#REF!</v>
      </c>
      <c r="AR78" s="304"/>
      <c r="AS78" s="304" t="e">
        <f>SUM(AN78:AN78)</f>
        <v>#REF!</v>
      </c>
      <c r="AT78" s="305" t="e">
        <f>'Qty &amp; UMH GUM'!AD78</f>
        <v>#REF!</v>
      </c>
      <c r="AU78" s="304" t="e">
        <f>ROUNDUP((AT78-AS78)/$AN$4,0)</f>
        <v>#REF!</v>
      </c>
      <c r="AV78" s="311"/>
      <c r="AW78" s="296"/>
      <c r="AX78" s="296"/>
      <c r="AY78" s="296"/>
      <c r="AZ78" s="296"/>
      <c r="BA78" s="296"/>
    </row>
    <row r="79" spans="1:53" customHeight="1" ht="18.75">
      <c r="A79" s="445"/>
      <c r="B79" s="343" t="str">
        <f>'Qty &amp; UMH GUM'!C79</f>
        <v>82111-4DX50</v>
      </c>
      <c r="C79" s="281"/>
      <c r="D79" s="304" t="e">
        <f>ROUNDUP(IF('AS400 JEMBATAN'!$J79&gt;='AS400 JEMBATAN'!$I79,'AS400 JEMBATAN'!D79,$J79/$D$4)+$L79,0)</f>
        <v>#REF!</v>
      </c>
      <c r="E79" s="304" t="e">
        <f>ROUNDUP(IF('AS400 JEMBATAN'!$J79&gt;='AS400 JEMBATAN'!$I79,'AS400 JEMBATAN'!E79,$J79/$D$4)+$L79,0)</f>
        <v>#REF!</v>
      </c>
      <c r="F79" s="304" t="e">
        <f>ROUNDUP(IF('AS400 JEMBATAN'!$J79&gt;='AS400 JEMBATAN'!$I79,'AS400 JEMBATAN'!F79,$J79/$D$4)+$L79,0)</f>
        <v>#REF!</v>
      </c>
      <c r="G79" s="304" t="e">
        <f>ROUNDUP(IF('AS400 JEMBATAN'!$J79&gt;='AS400 JEMBATAN'!$I79,'AS400 JEMBATAN'!G79,$J79/$D$4)+$L79,0)</f>
        <v>#REF!</v>
      </c>
      <c r="H79" s="304" t="e">
        <f>ROUNDUP(IF('AS400 JEMBATAN'!$J79&gt;='AS400 JEMBATAN'!$I79,'AS400 JEMBATAN'!H79,$J79/$D$4)+$L79,0)</f>
        <v>#REF!</v>
      </c>
      <c r="I79" s="304" t="e">
        <f>SUM(D79:D79)</f>
        <v>#REF!</v>
      </c>
      <c r="J79" s="305" t="e">
        <f>'Qty &amp; UMH GUM'!R79</f>
        <v>#REF!</v>
      </c>
      <c r="K79" s="305" t="e">
        <f>ROUNDUP((J79-I79)/$D$4,0)</f>
        <v>#REF!</v>
      </c>
      <c r="L79" s="306">
        <v>0.0</v>
      </c>
      <c r="M79" s="304" t="e">
        <f>ROUNDUP(IF('AS400 JEMBATAN'!$S79&gt;='AS400 JEMBATAN'!$R79,'AS400 JEMBATAN'!M79,$S79/$M$4)+$U79,0)</f>
        <v>#REF!</v>
      </c>
      <c r="N79" s="304" t="e">
        <f>ROUNDUP(IF('AS400 JEMBATAN'!$S79&gt;='AS400 JEMBATAN'!$R79,'AS400 JEMBATAN'!N79,$S79/$M$4)+$U79,0)</f>
        <v>#REF!</v>
      </c>
      <c r="O79" s="304" t="e">
        <f>ROUNDUP(IF('AS400 JEMBATAN'!$S79&gt;='AS400 JEMBATAN'!$R79,'AS400 JEMBATAN'!O79,$S79/$M$4)+$U79,0)</f>
        <v>#REF!</v>
      </c>
      <c r="P79" s="304" t="e">
        <f>ROUNDUP(IF('AS400 JEMBATAN'!$S79&gt;='AS400 JEMBATAN'!$R79,'AS400 JEMBATAN'!P79,$S79/$M$4)+$U79,0)</f>
        <v>#REF!</v>
      </c>
      <c r="Q79" s="304"/>
      <c r="R79" s="304" t="e">
        <f>SUM(M79:M79)</f>
        <v>#REF!</v>
      </c>
      <c r="S79" s="305" t="e">
        <f>'Qty &amp; UMH GUM'!U79</f>
        <v>#REF!</v>
      </c>
      <c r="T79" s="305" t="e">
        <f>ROUNDUP((S79-R79)/$M$4,0)</f>
        <v>#REF!</v>
      </c>
      <c r="U79" s="307"/>
      <c r="V79" s="304" t="e">
        <f>ROUNDUP(IF('AS400 JEMBATAN'!$AB79&gt;='AS400 JEMBATAN'!$AA79,'AS400 JEMBATAN'!V79,$AB79/$V$4)+$AD79,0)</f>
        <v>#REF!</v>
      </c>
      <c r="W79" s="304" t="e">
        <f>ROUNDUP(IF('AS400 JEMBATAN'!$AB79&gt;='AS400 JEMBATAN'!$AA79,'AS400 JEMBATAN'!W79,$AB79/$V$4)+$AD79,0)</f>
        <v>#REF!</v>
      </c>
      <c r="X79" s="304" t="e">
        <f>ROUNDUP(IF('AS400 JEMBATAN'!$AB79&gt;='AS400 JEMBATAN'!$AA79,'AS400 JEMBATAN'!X79,$AB79/$V$4)+$AD79,0)</f>
        <v>#REF!</v>
      </c>
      <c r="Y79" s="304" t="e">
        <f>ROUNDUP(IF('AS400 JEMBATAN'!$AB79&gt;='AS400 JEMBATAN'!$AA79,'AS400 JEMBATAN'!Y79,$AB79/$V$4)+$AD79,0)</f>
        <v>#REF!</v>
      </c>
      <c r="Z79" s="304"/>
      <c r="AA79" s="304" t="e">
        <f>SUM(V79:V79)</f>
        <v>#REF!</v>
      </c>
      <c r="AB79" s="305" t="e">
        <f>'Qty &amp; UMH GUM'!X79</f>
        <v>#REF!</v>
      </c>
      <c r="AC79" s="304" t="e">
        <f>ROUNDUP((AB79-AA79)/$V$4,0)</f>
        <v>#REF!</v>
      </c>
      <c r="AD79" s="307">
        <v>0.0</v>
      </c>
      <c r="AE79" s="304" t="e">
        <f>ROUNDUP(IF('AS400 JEMBATAN'!$AK79&gt;='AS400 JEMBATAN'!$AJ79,'AS400 JEMBATAN'!AE79,$AK79/$AE$4)+$AM79,0)</f>
        <v>#REF!</v>
      </c>
      <c r="AF79" s="304" t="e">
        <f>ROUNDUP(IF('AS400 JEMBATAN'!$AK79&gt;='AS400 JEMBATAN'!$AJ79,'AS400 JEMBATAN'!AF79,$AK79/$AE$4)+$AM79,0)</f>
        <v>#REF!</v>
      </c>
      <c r="AG79" s="304" t="e">
        <f>ROUNDUP(IF('AS400 JEMBATAN'!$AK79&gt;='AS400 JEMBATAN'!$AJ79,'AS400 JEMBATAN'!AG79,$AK79/$AE$4)+$AM79,0)</f>
        <v>#REF!</v>
      </c>
      <c r="AH79" s="304" t="e">
        <f>ROUNDUP(IF('AS400 JEMBATAN'!$AK79&gt;='AS400 JEMBATAN'!$AJ79,'AS400 JEMBATAN'!AH79,$AK79/$AE$4)+$AM79,0)</f>
        <v>#REF!</v>
      </c>
      <c r="AI79" s="304"/>
      <c r="AJ79" s="304" t="e">
        <f>SUM(AE79:AE79)</f>
        <v>#REF!</v>
      </c>
      <c r="AK79" s="305" t="e">
        <f>'Qty &amp; UMH GUM'!AA79</f>
        <v>#REF!</v>
      </c>
      <c r="AL79" s="304" t="e">
        <f>ROUNDUP((AK79-AJ79)/$AE$4,0)</f>
        <v>#REF!</v>
      </c>
      <c r="AM79" s="409"/>
      <c r="AN79" s="308" t="e">
        <f>ROUNDUP(IF('AS400 JEMBATAN'!$AT79&gt;='AS400 JEMBATAN'!$AS79,'AS400 JEMBATAN'!AN79,$AT79/$AN$4)+$AV79,0)</f>
        <v>#REF!</v>
      </c>
      <c r="AO79" s="304" t="e">
        <f>ROUNDUP(IF('AS400 JEMBATAN'!$AT79&gt;='AS400 JEMBATAN'!$AS79,'AS400 JEMBATAN'!AO79,$AT79/$AN$4)+$AV79,0)</f>
        <v>#REF!</v>
      </c>
      <c r="AP79" s="304" t="e">
        <f>ROUNDUP(IF('AS400 JEMBATAN'!$AT79&gt;='AS400 JEMBATAN'!$AS79,'AS400 JEMBATAN'!AP79,$AT79/$AN$4)+$AV79,0)</f>
        <v>#REF!</v>
      </c>
      <c r="AQ79" s="304" t="e">
        <f>ROUNDUP(IF('AS400 JEMBATAN'!$AT79&gt;='AS400 JEMBATAN'!$AS79,'AS400 JEMBATAN'!AQ79,$AT79/$AN$4)+$AV79,0)</f>
        <v>#REF!</v>
      </c>
      <c r="AR79" s="304"/>
      <c r="AS79" s="304" t="e">
        <f>SUM(AN79:AN79)</f>
        <v>#REF!</v>
      </c>
      <c r="AT79" s="305" t="e">
        <f>'Qty &amp; UMH GUM'!AD79</f>
        <v>#REF!</v>
      </c>
      <c r="AU79" s="304" t="e">
        <f>ROUNDUP((AT79-AS79)/$AN$4,0)</f>
        <v>#REF!</v>
      </c>
      <c r="AV79" s="311"/>
      <c r="AW79" s="296"/>
      <c r="AX79" s="296"/>
      <c r="AY79" s="296"/>
      <c r="AZ79" s="296"/>
      <c r="BA79" s="296"/>
    </row>
    <row r="80" spans="1:53" customHeight="1" ht="18.75">
      <c r="A80" s="445"/>
      <c r="B80" s="343" t="str">
        <f>'Qty &amp; UMH GUM'!C80</f>
        <v>82111-4DX60</v>
      </c>
      <c r="C80" s="281"/>
      <c r="D80" s="304" t="e">
        <f>ROUNDUP(IF('AS400 JEMBATAN'!$J80&gt;='AS400 JEMBATAN'!$I80,'AS400 JEMBATAN'!D80,$J80/$D$4)+$L80,0)</f>
        <v>#REF!</v>
      </c>
      <c r="E80" s="304" t="e">
        <f>ROUNDUP(IF('AS400 JEMBATAN'!$J80&gt;='AS400 JEMBATAN'!$I80,'AS400 JEMBATAN'!E80,$J80/$D$4)+$L80,0)</f>
        <v>#REF!</v>
      </c>
      <c r="F80" s="304" t="e">
        <f>ROUNDUP(IF('AS400 JEMBATAN'!$J80&gt;='AS400 JEMBATAN'!$I80,'AS400 JEMBATAN'!F80,$J80/$D$4)+$L80,0)</f>
        <v>#REF!</v>
      </c>
      <c r="G80" s="304" t="e">
        <f>ROUNDUP(IF('AS400 JEMBATAN'!$J80&gt;='AS400 JEMBATAN'!$I80,'AS400 JEMBATAN'!G80,$J80/$D$4)+$L80,0)</f>
        <v>#REF!</v>
      </c>
      <c r="H80" s="304" t="e">
        <f>ROUNDUP(IF('AS400 JEMBATAN'!$J80&gt;='AS400 JEMBATAN'!$I80,'AS400 JEMBATAN'!H80,$J80/$D$4)+$L80,0)</f>
        <v>#REF!</v>
      </c>
      <c r="I80" s="304" t="e">
        <f>SUM(D80:D80)</f>
        <v>#REF!</v>
      </c>
      <c r="J80" s="305" t="e">
        <f>'Qty &amp; UMH GUM'!R80</f>
        <v>#REF!</v>
      </c>
      <c r="K80" s="305" t="e">
        <f>ROUNDUP((J80-I80)/$D$4,0)</f>
        <v>#REF!</v>
      </c>
      <c r="L80" s="306">
        <v>0.0</v>
      </c>
      <c r="M80" s="304" t="e">
        <f>ROUNDUP(IF('AS400 JEMBATAN'!$S80&gt;='AS400 JEMBATAN'!$R80,'AS400 JEMBATAN'!M80,$S80/$M$4)+$U80,0)</f>
        <v>#REF!</v>
      </c>
      <c r="N80" s="304" t="e">
        <f>ROUNDUP(IF('AS400 JEMBATAN'!$S80&gt;='AS400 JEMBATAN'!$R80,'AS400 JEMBATAN'!N80,$S80/$M$4)+$U80,0)</f>
        <v>#REF!</v>
      </c>
      <c r="O80" s="304" t="e">
        <f>ROUNDUP(IF('AS400 JEMBATAN'!$S80&gt;='AS400 JEMBATAN'!$R80,'AS400 JEMBATAN'!O80,$S80/$M$4)+$U80,0)</f>
        <v>#REF!</v>
      </c>
      <c r="P80" s="304" t="e">
        <f>ROUNDUP(IF('AS400 JEMBATAN'!$S80&gt;='AS400 JEMBATAN'!$R80,'AS400 JEMBATAN'!P80,$S80/$M$4)+$U80,0)</f>
        <v>#REF!</v>
      </c>
      <c r="Q80" s="304"/>
      <c r="R80" s="304" t="e">
        <f>SUM(M80:M80)</f>
        <v>#REF!</v>
      </c>
      <c r="S80" s="305" t="e">
        <f>'Qty &amp; UMH GUM'!U80</f>
        <v>#REF!</v>
      </c>
      <c r="T80" s="305" t="e">
        <f>ROUNDUP((S80-R80)/$M$4,0)</f>
        <v>#REF!</v>
      </c>
      <c r="U80" s="307"/>
      <c r="V80" s="304" t="e">
        <f>ROUNDUP(IF('AS400 JEMBATAN'!$AB80&gt;='AS400 JEMBATAN'!$AA80,'AS400 JEMBATAN'!V80,$AB80/$V$4)+$AD80,0)</f>
        <v>#REF!</v>
      </c>
      <c r="W80" s="304" t="e">
        <f>ROUNDUP(IF('AS400 JEMBATAN'!$AB80&gt;='AS400 JEMBATAN'!$AA80,'AS400 JEMBATAN'!W80,$AB80/$V$4)+$AD80,0)</f>
        <v>#REF!</v>
      </c>
      <c r="X80" s="304" t="e">
        <f>ROUNDUP(IF('AS400 JEMBATAN'!$AB80&gt;='AS400 JEMBATAN'!$AA80,'AS400 JEMBATAN'!X80,$AB80/$V$4)+$AD80,0)</f>
        <v>#REF!</v>
      </c>
      <c r="Y80" s="304" t="e">
        <f>ROUNDUP(IF('AS400 JEMBATAN'!$AB80&gt;='AS400 JEMBATAN'!$AA80,'AS400 JEMBATAN'!Y80,$AB80/$V$4)+$AD80,0)</f>
        <v>#REF!</v>
      </c>
      <c r="Z80" s="304"/>
      <c r="AA80" s="304" t="e">
        <f>SUM(V80:V80)</f>
        <v>#REF!</v>
      </c>
      <c r="AB80" s="305" t="e">
        <f>'Qty &amp; UMH GUM'!X80</f>
        <v>#REF!</v>
      </c>
      <c r="AC80" s="304" t="e">
        <f>ROUNDUP((AB80-AA80)/$V$4,0)</f>
        <v>#REF!</v>
      </c>
      <c r="AD80" s="307">
        <v>0.0</v>
      </c>
      <c r="AE80" s="304" t="e">
        <f>ROUNDUP(IF('AS400 JEMBATAN'!$AK80&gt;='AS400 JEMBATAN'!$AJ80,'AS400 JEMBATAN'!AE80,$AK80/$AE$4)+$AM80,0)</f>
        <v>#REF!</v>
      </c>
      <c r="AF80" s="304" t="e">
        <f>ROUNDUP(IF('AS400 JEMBATAN'!$AK80&gt;='AS400 JEMBATAN'!$AJ80,'AS400 JEMBATAN'!AF80,$AK80/$AE$4)+$AM80,0)</f>
        <v>#REF!</v>
      </c>
      <c r="AG80" s="304" t="e">
        <f>ROUNDUP(IF('AS400 JEMBATAN'!$AK80&gt;='AS400 JEMBATAN'!$AJ80,'AS400 JEMBATAN'!AG80,$AK80/$AE$4)+$AM80,0)</f>
        <v>#REF!</v>
      </c>
      <c r="AH80" s="304" t="e">
        <f>ROUNDUP(IF('AS400 JEMBATAN'!$AK80&gt;='AS400 JEMBATAN'!$AJ80,'AS400 JEMBATAN'!AH80,$AK80/$AE$4)+$AM80,0)</f>
        <v>#REF!</v>
      </c>
      <c r="AI80" s="304"/>
      <c r="AJ80" s="304" t="e">
        <f>SUM(AE80:AE80)</f>
        <v>#REF!</v>
      </c>
      <c r="AK80" s="305" t="e">
        <f>'Qty &amp; UMH GUM'!AA80</f>
        <v>#REF!</v>
      </c>
      <c r="AL80" s="304" t="e">
        <f>ROUNDUP((AK80-AJ80)/$AE$4,0)</f>
        <v>#REF!</v>
      </c>
      <c r="AM80" s="409"/>
      <c r="AN80" s="308" t="e">
        <f>ROUNDUP(IF('AS400 JEMBATAN'!$AT80&gt;='AS400 JEMBATAN'!$AS80,'AS400 JEMBATAN'!AN80,$AT80/$AN$4)+$AV80,0)</f>
        <v>#REF!</v>
      </c>
      <c r="AO80" s="304" t="e">
        <f>ROUNDUP(IF('AS400 JEMBATAN'!$AT80&gt;='AS400 JEMBATAN'!$AS80,'AS400 JEMBATAN'!AO80,$AT80/$AN$4)+$AV80,0)</f>
        <v>#REF!</v>
      </c>
      <c r="AP80" s="304" t="e">
        <f>ROUNDUP(IF('AS400 JEMBATAN'!$AT80&gt;='AS400 JEMBATAN'!$AS80,'AS400 JEMBATAN'!AP80,$AT80/$AN$4)+$AV80,0)</f>
        <v>#REF!</v>
      </c>
      <c r="AQ80" s="304" t="e">
        <f>ROUNDUP(IF('AS400 JEMBATAN'!$AT80&gt;='AS400 JEMBATAN'!$AS80,'AS400 JEMBATAN'!AQ80,$AT80/$AN$4)+$AV80,0)</f>
        <v>#REF!</v>
      </c>
      <c r="AR80" s="304"/>
      <c r="AS80" s="304" t="e">
        <f>SUM(AN80:AN80)</f>
        <v>#REF!</v>
      </c>
      <c r="AT80" s="305" t="e">
        <f>'Qty &amp; UMH GUM'!AD80</f>
        <v>#REF!</v>
      </c>
      <c r="AU80" s="304" t="e">
        <f>ROUNDUP((AT80-AS80)/$AN$4,0)</f>
        <v>#REF!</v>
      </c>
      <c r="AV80" s="311"/>
      <c r="AW80" s="296"/>
      <c r="AX80" s="296"/>
      <c r="AY80" s="296"/>
      <c r="AZ80" s="296"/>
      <c r="BA80" s="296"/>
    </row>
    <row r="81" spans="1:53" customHeight="1" ht="18.75">
      <c r="A81" s="445"/>
      <c r="B81" s="343" t="str">
        <f>'Qty &amp; UMH GUM'!C81</f>
        <v>82111-4DX70</v>
      </c>
      <c r="C81" s="281"/>
      <c r="D81" s="304" t="e">
        <f>ROUNDUP(IF('AS400 JEMBATAN'!$J81&gt;='AS400 JEMBATAN'!$I81,'AS400 JEMBATAN'!D81,$J81/$D$4)+$L81,0)</f>
        <v>#REF!</v>
      </c>
      <c r="E81" s="304" t="e">
        <f>ROUNDUP(IF('AS400 JEMBATAN'!$J81&gt;='AS400 JEMBATAN'!$I81,'AS400 JEMBATAN'!E81,$J81/$D$4)+$L81,0)</f>
        <v>#REF!</v>
      </c>
      <c r="F81" s="304" t="e">
        <f>ROUNDUP(IF('AS400 JEMBATAN'!$J81&gt;='AS400 JEMBATAN'!$I81,'AS400 JEMBATAN'!F81,$J81/$D$4)+$L81,0)</f>
        <v>#REF!</v>
      </c>
      <c r="G81" s="304" t="e">
        <f>ROUNDUP(IF('AS400 JEMBATAN'!$J81&gt;='AS400 JEMBATAN'!$I81,'AS400 JEMBATAN'!G81,$J81/$D$4)+$L81,0)</f>
        <v>#REF!</v>
      </c>
      <c r="H81" s="304" t="e">
        <f>ROUNDUP(IF('AS400 JEMBATAN'!$J81&gt;='AS400 JEMBATAN'!$I81,'AS400 JEMBATAN'!H81,$J81/$D$4)+$L81,0)</f>
        <v>#REF!</v>
      </c>
      <c r="I81" s="304" t="e">
        <f>SUM(D81:D81)</f>
        <v>#REF!</v>
      </c>
      <c r="J81" s="305" t="e">
        <f>'Qty &amp; UMH GUM'!R81</f>
        <v>#REF!</v>
      </c>
      <c r="K81" s="305" t="e">
        <f>ROUNDUP((J81-I81)/$D$4,0)</f>
        <v>#REF!</v>
      </c>
      <c r="L81" s="306">
        <v>0.0</v>
      </c>
      <c r="M81" s="304" t="e">
        <f>ROUNDUP(IF('AS400 JEMBATAN'!$S81&gt;='AS400 JEMBATAN'!$R81,'AS400 JEMBATAN'!M81,$S81/$M$4)+$U81,0)</f>
        <v>#REF!</v>
      </c>
      <c r="N81" s="304" t="e">
        <f>ROUNDUP(IF('AS400 JEMBATAN'!$S81&gt;='AS400 JEMBATAN'!$R81,'AS400 JEMBATAN'!N81,$S81/$M$4)+$U81,0)</f>
        <v>#REF!</v>
      </c>
      <c r="O81" s="304" t="e">
        <f>ROUNDUP(IF('AS400 JEMBATAN'!$S81&gt;='AS400 JEMBATAN'!$R81,'AS400 JEMBATAN'!O81,$S81/$M$4)+$U81,0)</f>
        <v>#REF!</v>
      </c>
      <c r="P81" s="304" t="e">
        <f>ROUNDUP(IF('AS400 JEMBATAN'!$S81&gt;='AS400 JEMBATAN'!$R81,'AS400 JEMBATAN'!P81,$S81/$M$4)+$U81,0)</f>
        <v>#REF!</v>
      </c>
      <c r="Q81" s="304"/>
      <c r="R81" s="304" t="e">
        <f>SUM(M81:M81)</f>
        <v>#REF!</v>
      </c>
      <c r="S81" s="305" t="e">
        <f>'Qty &amp; UMH GUM'!U81</f>
        <v>#REF!</v>
      </c>
      <c r="T81" s="305" t="e">
        <f>ROUNDUP((S81-R81)/$M$4,0)</f>
        <v>#REF!</v>
      </c>
      <c r="U81" s="307"/>
      <c r="V81" s="304" t="e">
        <f>ROUNDUP(IF('AS400 JEMBATAN'!$AB81&gt;='AS400 JEMBATAN'!$AA81,'AS400 JEMBATAN'!V81,$AB81/$V$4)+$AD81,0)</f>
        <v>#REF!</v>
      </c>
      <c r="W81" s="304" t="e">
        <f>ROUNDUP(IF('AS400 JEMBATAN'!$AB81&gt;='AS400 JEMBATAN'!$AA81,'AS400 JEMBATAN'!W81,$AB81/$V$4)+$AD81,0)</f>
        <v>#REF!</v>
      </c>
      <c r="X81" s="304" t="e">
        <f>ROUNDUP(IF('AS400 JEMBATAN'!$AB81&gt;='AS400 JEMBATAN'!$AA81,'AS400 JEMBATAN'!X81,$AB81/$V$4)+$AD81,0)</f>
        <v>#REF!</v>
      </c>
      <c r="Y81" s="304" t="e">
        <f>ROUNDUP(IF('AS400 JEMBATAN'!$AB81&gt;='AS400 JEMBATAN'!$AA81,'AS400 JEMBATAN'!Y81,$AB81/$V$4)+$AD81,0)</f>
        <v>#REF!</v>
      </c>
      <c r="Z81" s="304"/>
      <c r="AA81" s="304" t="e">
        <f>SUM(V81:V81)</f>
        <v>#REF!</v>
      </c>
      <c r="AB81" s="305" t="e">
        <f>'Qty &amp; UMH GUM'!X81</f>
        <v>#REF!</v>
      </c>
      <c r="AC81" s="304" t="e">
        <f>ROUNDUP((AB81-AA81)/$V$4,0)</f>
        <v>#REF!</v>
      </c>
      <c r="AD81" s="307">
        <v>0.0</v>
      </c>
      <c r="AE81" s="304" t="e">
        <f>ROUNDUP(IF('AS400 JEMBATAN'!$AK81&gt;='AS400 JEMBATAN'!$AJ81,'AS400 JEMBATAN'!AE81,$AK81/$AE$4)+$AM81,0)</f>
        <v>#REF!</v>
      </c>
      <c r="AF81" s="304" t="e">
        <f>ROUNDUP(IF('AS400 JEMBATAN'!$AK81&gt;='AS400 JEMBATAN'!$AJ81,'AS400 JEMBATAN'!AF81,$AK81/$AE$4)+$AM81,0)</f>
        <v>#REF!</v>
      </c>
      <c r="AG81" s="304" t="e">
        <f>ROUNDUP(IF('AS400 JEMBATAN'!$AK81&gt;='AS400 JEMBATAN'!$AJ81,'AS400 JEMBATAN'!AG81,$AK81/$AE$4)+$AM81,0)</f>
        <v>#REF!</v>
      </c>
      <c r="AH81" s="304" t="e">
        <f>ROUNDUP(IF('AS400 JEMBATAN'!$AK81&gt;='AS400 JEMBATAN'!$AJ81,'AS400 JEMBATAN'!AH81,$AK81/$AE$4)+$AM81,0)</f>
        <v>#REF!</v>
      </c>
      <c r="AI81" s="304"/>
      <c r="AJ81" s="304" t="e">
        <f>SUM(AE81:AE81)</f>
        <v>#REF!</v>
      </c>
      <c r="AK81" s="305" t="e">
        <f>'Qty &amp; UMH GUM'!AA81</f>
        <v>#REF!</v>
      </c>
      <c r="AL81" s="304" t="e">
        <f>ROUNDUP((AK81-AJ81)/$AE$4,0)</f>
        <v>#REF!</v>
      </c>
      <c r="AM81" s="409"/>
      <c r="AN81" s="308" t="e">
        <f>ROUNDUP(IF('AS400 JEMBATAN'!$AT81&gt;='AS400 JEMBATAN'!$AS81,'AS400 JEMBATAN'!AN81,$AT81/$AN$4)+$AV81,0)</f>
        <v>#REF!</v>
      </c>
      <c r="AO81" s="304" t="e">
        <f>ROUNDUP(IF('AS400 JEMBATAN'!$AT81&gt;='AS400 JEMBATAN'!$AS81,'AS400 JEMBATAN'!AO81,$AT81/$AN$4)+$AV81,0)</f>
        <v>#REF!</v>
      </c>
      <c r="AP81" s="304" t="e">
        <f>ROUNDUP(IF('AS400 JEMBATAN'!$AT81&gt;='AS400 JEMBATAN'!$AS81,'AS400 JEMBATAN'!AP81,$AT81/$AN$4)+$AV81,0)</f>
        <v>#REF!</v>
      </c>
      <c r="AQ81" s="304" t="e">
        <f>ROUNDUP(IF('AS400 JEMBATAN'!$AT81&gt;='AS400 JEMBATAN'!$AS81,'AS400 JEMBATAN'!AQ81,$AT81/$AN$4)+$AV81,0)</f>
        <v>#REF!</v>
      </c>
      <c r="AR81" s="304"/>
      <c r="AS81" s="304" t="e">
        <f>SUM(AN81:AN81)</f>
        <v>#REF!</v>
      </c>
      <c r="AT81" s="305" t="e">
        <f>'Qty &amp; UMH GUM'!AD81</f>
        <v>#REF!</v>
      </c>
      <c r="AU81" s="304" t="e">
        <f>ROUNDUP((AT81-AS81)/$AN$4,0)</f>
        <v>#REF!</v>
      </c>
      <c r="AV81" s="311"/>
      <c r="AW81" s="296"/>
      <c r="AX81" s="296"/>
      <c r="AY81" s="296"/>
      <c r="AZ81" s="296"/>
      <c r="BA81" s="296"/>
    </row>
    <row r="82" spans="1:53" customHeight="1" ht="18.75">
      <c r="A82" s="445"/>
      <c r="B82" s="343" t="str">
        <f>'Qty &amp; UMH GUM'!C82</f>
        <v>82111-4DX80</v>
      </c>
      <c r="C82" s="281"/>
      <c r="D82" s="304" t="e">
        <f>ROUNDUP(IF('AS400 JEMBATAN'!$J82&gt;='AS400 JEMBATAN'!$I82,'AS400 JEMBATAN'!D82,$J82/$D$4)+$L82,0)</f>
        <v>#REF!</v>
      </c>
      <c r="E82" s="304" t="e">
        <f>ROUNDUP(IF('AS400 JEMBATAN'!$J82&gt;='AS400 JEMBATAN'!$I82,'AS400 JEMBATAN'!E82,$J82/$D$4)+$L82,0)</f>
        <v>#REF!</v>
      </c>
      <c r="F82" s="304" t="e">
        <f>ROUNDUP(IF('AS400 JEMBATAN'!$J82&gt;='AS400 JEMBATAN'!$I82,'AS400 JEMBATAN'!F82,$J82/$D$4)+$L82,0)</f>
        <v>#REF!</v>
      </c>
      <c r="G82" s="304" t="e">
        <f>ROUNDUP(IF('AS400 JEMBATAN'!$J82&gt;='AS400 JEMBATAN'!$I82,'AS400 JEMBATAN'!G82,$J82/$D$4)+$L82,0)</f>
        <v>#REF!</v>
      </c>
      <c r="H82" s="304" t="e">
        <f>ROUNDUP(IF('AS400 JEMBATAN'!$J82&gt;='AS400 JEMBATAN'!$I82,'AS400 JEMBATAN'!H82,$J82/$D$4)+$L82,0)</f>
        <v>#REF!</v>
      </c>
      <c r="I82" s="304" t="e">
        <f>SUM(D82:D82)</f>
        <v>#REF!</v>
      </c>
      <c r="J82" s="305" t="e">
        <f>'Qty &amp; UMH GUM'!R82</f>
        <v>#REF!</v>
      </c>
      <c r="K82" s="305" t="e">
        <f>ROUNDUP((J82-I82)/$D$4,0)</f>
        <v>#REF!</v>
      </c>
      <c r="L82" s="306">
        <v>0.0</v>
      </c>
      <c r="M82" s="304" t="e">
        <f>ROUNDUP(IF('AS400 JEMBATAN'!$S82&gt;='AS400 JEMBATAN'!$R82,'AS400 JEMBATAN'!M82,$S82/$M$4)+$U82,0)</f>
        <v>#REF!</v>
      </c>
      <c r="N82" s="304" t="e">
        <f>ROUNDUP(IF('AS400 JEMBATAN'!$S82&gt;='AS400 JEMBATAN'!$R82,'AS400 JEMBATAN'!N82,$S82/$M$4)+$U82,0)</f>
        <v>#REF!</v>
      </c>
      <c r="O82" s="304" t="e">
        <f>ROUNDUP(IF('AS400 JEMBATAN'!$S82&gt;='AS400 JEMBATAN'!$R82,'AS400 JEMBATAN'!O82,$S82/$M$4)+$U82,0)</f>
        <v>#REF!</v>
      </c>
      <c r="P82" s="304" t="e">
        <f>ROUNDUP(IF('AS400 JEMBATAN'!$S82&gt;='AS400 JEMBATAN'!$R82,'AS400 JEMBATAN'!P82,$S82/$M$4)+$U82,0)</f>
        <v>#REF!</v>
      </c>
      <c r="Q82" s="304"/>
      <c r="R82" s="304" t="e">
        <f>SUM(M82:M82)</f>
        <v>#REF!</v>
      </c>
      <c r="S82" s="305" t="e">
        <f>'Qty &amp; UMH GUM'!U82</f>
        <v>#REF!</v>
      </c>
      <c r="T82" s="305" t="e">
        <f>ROUNDUP((S82-R82)/$M$4,0)</f>
        <v>#REF!</v>
      </c>
      <c r="U82" s="307"/>
      <c r="V82" s="304" t="e">
        <f>ROUNDUP(IF('AS400 JEMBATAN'!$AB82&gt;='AS400 JEMBATAN'!$AA82,'AS400 JEMBATAN'!V82,$AB82/$V$4)+$AD82,0)</f>
        <v>#REF!</v>
      </c>
      <c r="W82" s="304" t="e">
        <f>ROUNDUP(IF('AS400 JEMBATAN'!$AB82&gt;='AS400 JEMBATAN'!$AA82,'AS400 JEMBATAN'!W82,$AB82/$V$4)+$AD82,0)</f>
        <v>#REF!</v>
      </c>
      <c r="X82" s="304" t="e">
        <f>ROUNDUP(IF('AS400 JEMBATAN'!$AB82&gt;='AS400 JEMBATAN'!$AA82,'AS400 JEMBATAN'!X82,$AB82/$V$4)+$AD82,0)</f>
        <v>#REF!</v>
      </c>
      <c r="Y82" s="304" t="e">
        <f>ROUNDUP(IF('AS400 JEMBATAN'!$AB82&gt;='AS400 JEMBATAN'!$AA82,'AS400 JEMBATAN'!Y82,$AB82/$V$4)+$AD82,0)</f>
        <v>#REF!</v>
      </c>
      <c r="Z82" s="304"/>
      <c r="AA82" s="304" t="e">
        <f>SUM(V82:V82)</f>
        <v>#REF!</v>
      </c>
      <c r="AB82" s="305" t="e">
        <f>'Qty &amp; UMH GUM'!X82</f>
        <v>#REF!</v>
      </c>
      <c r="AC82" s="304" t="e">
        <f>ROUNDUP((AB82-AA82)/$V$4,0)</f>
        <v>#REF!</v>
      </c>
      <c r="AD82" s="307">
        <v>0.0</v>
      </c>
      <c r="AE82" s="304" t="e">
        <f>ROUNDUP(IF('AS400 JEMBATAN'!$AK82&gt;='AS400 JEMBATAN'!$AJ82,'AS400 JEMBATAN'!AE82,$AK82/$AE$4)+$AM82,0)</f>
        <v>#REF!</v>
      </c>
      <c r="AF82" s="304" t="e">
        <f>ROUNDUP(IF('AS400 JEMBATAN'!$AK82&gt;='AS400 JEMBATAN'!$AJ82,'AS400 JEMBATAN'!AF82,$AK82/$AE$4)+$AM82,0)</f>
        <v>#REF!</v>
      </c>
      <c r="AG82" s="304" t="e">
        <f>ROUNDUP(IF('AS400 JEMBATAN'!$AK82&gt;='AS400 JEMBATAN'!$AJ82,'AS400 JEMBATAN'!AG82,$AK82/$AE$4)+$AM82,0)</f>
        <v>#REF!</v>
      </c>
      <c r="AH82" s="304" t="e">
        <f>ROUNDUP(IF('AS400 JEMBATAN'!$AK82&gt;='AS400 JEMBATAN'!$AJ82,'AS400 JEMBATAN'!AH82,$AK82/$AE$4)+$AM82,0)</f>
        <v>#REF!</v>
      </c>
      <c r="AI82" s="304"/>
      <c r="AJ82" s="304" t="e">
        <f>SUM(AE82:AE82)</f>
        <v>#REF!</v>
      </c>
      <c r="AK82" s="305" t="e">
        <f>'Qty &amp; UMH GUM'!AA82</f>
        <v>#REF!</v>
      </c>
      <c r="AL82" s="304" t="e">
        <f>ROUNDUP((AK82-AJ82)/$AE$4,0)</f>
        <v>#REF!</v>
      </c>
      <c r="AM82" s="409"/>
      <c r="AN82" s="308" t="e">
        <f>ROUNDUP(IF('AS400 JEMBATAN'!$AT82&gt;='AS400 JEMBATAN'!$AS82,'AS400 JEMBATAN'!AN82,$AT82/$AN$4)+$AV82,0)</f>
        <v>#REF!</v>
      </c>
      <c r="AO82" s="304" t="e">
        <f>ROUNDUP(IF('AS400 JEMBATAN'!$AT82&gt;='AS400 JEMBATAN'!$AS82,'AS400 JEMBATAN'!AO82,$AT82/$AN$4)+$AV82,0)</f>
        <v>#REF!</v>
      </c>
      <c r="AP82" s="304" t="e">
        <f>ROUNDUP(IF('AS400 JEMBATAN'!$AT82&gt;='AS400 JEMBATAN'!$AS82,'AS400 JEMBATAN'!AP82,$AT82/$AN$4)+$AV82,0)</f>
        <v>#REF!</v>
      </c>
      <c r="AQ82" s="304" t="e">
        <f>ROUNDUP(IF('AS400 JEMBATAN'!$AT82&gt;='AS400 JEMBATAN'!$AS82,'AS400 JEMBATAN'!AQ82,$AT82/$AN$4)+$AV82,0)</f>
        <v>#REF!</v>
      </c>
      <c r="AR82" s="304"/>
      <c r="AS82" s="304" t="e">
        <f>SUM(AN82:AN82)</f>
        <v>#REF!</v>
      </c>
      <c r="AT82" s="305" t="e">
        <f>'Qty &amp; UMH GUM'!AD82</f>
        <v>#REF!</v>
      </c>
      <c r="AU82" s="304" t="e">
        <f>ROUNDUP((AT82-AS82)/$AN$4,0)</f>
        <v>#REF!</v>
      </c>
      <c r="AV82" s="311"/>
      <c r="AW82" s="296"/>
      <c r="AX82" s="296"/>
      <c r="AY82" s="296"/>
      <c r="AZ82" s="296"/>
      <c r="BA82" s="296"/>
    </row>
    <row r="83" spans="1:53" customHeight="1" ht="18.75">
      <c r="A83" s="445"/>
      <c r="B83" s="343" t="str">
        <f>'Qty &amp; UMH GUM'!C83</f>
        <v>82111-4DX90</v>
      </c>
      <c r="C83" s="281"/>
      <c r="D83" s="304" t="e">
        <f>ROUNDUP(IF('AS400 JEMBATAN'!$J83&gt;='AS400 JEMBATAN'!$I83,'AS400 JEMBATAN'!D83,$J83/$D$4)+$L83,0)</f>
        <v>#REF!</v>
      </c>
      <c r="E83" s="304" t="e">
        <f>ROUNDUP(IF('AS400 JEMBATAN'!$J83&gt;='AS400 JEMBATAN'!$I83,'AS400 JEMBATAN'!E83,$J83/$D$4)+$L83,0)</f>
        <v>#REF!</v>
      </c>
      <c r="F83" s="304" t="e">
        <f>ROUNDUP(IF('AS400 JEMBATAN'!$J83&gt;='AS400 JEMBATAN'!$I83,'AS400 JEMBATAN'!F83,$J83/$D$4)+$L83,0)</f>
        <v>#REF!</v>
      </c>
      <c r="G83" s="304" t="e">
        <f>ROUNDUP(IF('AS400 JEMBATAN'!$J83&gt;='AS400 JEMBATAN'!$I83,'AS400 JEMBATAN'!G83,$J83/$D$4)+$L83,0)</f>
        <v>#REF!</v>
      </c>
      <c r="H83" s="304" t="e">
        <f>ROUNDUP(IF('AS400 JEMBATAN'!$J83&gt;='AS400 JEMBATAN'!$I83,'AS400 JEMBATAN'!H83,$J83/$D$4)+$L83,0)</f>
        <v>#REF!</v>
      </c>
      <c r="I83" s="304" t="e">
        <f>SUM(D83:D83)</f>
        <v>#REF!</v>
      </c>
      <c r="J83" s="305" t="e">
        <f>'Qty &amp; UMH GUM'!R83</f>
        <v>#REF!</v>
      </c>
      <c r="K83" s="305" t="e">
        <f>ROUNDUP((J83-I83)/$D$4,0)</f>
        <v>#REF!</v>
      </c>
      <c r="L83" s="306">
        <v>0.0</v>
      </c>
      <c r="M83" s="304" t="e">
        <f>ROUNDUP(IF('AS400 JEMBATAN'!$S83&gt;='AS400 JEMBATAN'!$R83,'AS400 JEMBATAN'!M83,$S83/$M$4)+$U83,0)</f>
        <v>#REF!</v>
      </c>
      <c r="N83" s="304" t="e">
        <f>ROUNDUP(IF('AS400 JEMBATAN'!$S83&gt;='AS400 JEMBATAN'!$R83,'AS400 JEMBATAN'!N83,$S83/$M$4)+$U83,0)</f>
        <v>#REF!</v>
      </c>
      <c r="O83" s="304" t="e">
        <f>ROUNDUP(IF('AS400 JEMBATAN'!$S83&gt;='AS400 JEMBATAN'!$R83,'AS400 JEMBATAN'!O83,$S83/$M$4)+$U83,0)</f>
        <v>#REF!</v>
      </c>
      <c r="P83" s="304" t="e">
        <f>ROUNDUP(IF('AS400 JEMBATAN'!$S83&gt;='AS400 JEMBATAN'!$R83,'AS400 JEMBATAN'!P83,$S83/$M$4)+$U83,0)</f>
        <v>#REF!</v>
      </c>
      <c r="Q83" s="304"/>
      <c r="R83" s="304" t="e">
        <f>SUM(M83:M83)</f>
        <v>#REF!</v>
      </c>
      <c r="S83" s="305" t="e">
        <f>'Qty &amp; UMH GUM'!U83</f>
        <v>#REF!</v>
      </c>
      <c r="T83" s="305" t="e">
        <f>ROUNDUP((S83-R83)/$M$4,0)</f>
        <v>#REF!</v>
      </c>
      <c r="U83" s="307"/>
      <c r="V83" s="304" t="e">
        <f>ROUNDUP(IF('AS400 JEMBATAN'!$AB83&gt;='AS400 JEMBATAN'!$AA83,'AS400 JEMBATAN'!V83,$AB83/$V$4)+$AD83,0)</f>
        <v>#REF!</v>
      </c>
      <c r="W83" s="304" t="e">
        <f>ROUNDUP(IF('AS400 JEMBATAN'!$AB83&gt;='AS400 JEMBATAN'!$AA83,'AS400 JEMBATAN'!W83,$AB83/$V$4)+$AD83,0)</f>
        <v>#REF!</v>
      </c>
      <c r="X83" s="304" t="e">
        <f>ROUNDUP(IF('AS400 JEMBATAN'!$AB83&gt;='AS400 JEMBATAN'!$AA83,'AS400 JEMBATAN'!X83,$AB83/$V$4)+$AD83,0)</f>
        <v>#REF!</v>
      </c>
      <c r="Y83" s="304" t="e">
        <f>ROUNDUP(IF('AS400 JEMBATAN'!$AB83&gt;='AS400 JEMBATAN'!$AA83,'AS400 JEMBATAN'!Y83,$AB83/$V$4)+$AD83,0)</f>
        <v>#REF!</v>
      </c>
      <c r="Z83" s="304"/>
      <c r="AA83" s="304" t="e">
        <f>SUM(V83:V83)</f>
        <v>#REF!</v>
      </c>
      <c r="AB83" s="305" t="e">
        <f>'Qty &amp; UMH GUM'!X83</f>
        <v>#REF!</v>
      </c>
      <c r="AC83" s="304" t="e">
        <f>ROUNDUP((AB83-AA83)/$V$4,0)</f>
        <v>#REF!</v>
      </c>
      <c r="AD83" s="307">
        <v>0.0</v>
      </c>
      <c r="AE83" s="304" t="e">
        <f>ROUNDUP(IF('AS400 JEMBATAN'!$AK83&gt;='AS400 JEMBATAN'!$AJ83,'AS400 JEMBATAN'!AE83,$AK83/$AE$4)+$AM83,0)</f>
        <v>#REF!</v>
      </c>
      <c r="AF83" s="304" t="e">
        <f>ROUNDUP(IF('AS400 JEMBATAN'!$AK83&gt;='AS400 JEMBATAN'!$AJ83,'AS400 JEMBATAN'!AF83,$AK83/$AE$4)+$AM83,0)</f>
        <v>#REF!</v>
      </c>
      <c r="AG83" s="304" t="e">
        <f>ROUNDUP(IF('AS400 JEMBATAN'!$AK83&gt;='AS400 JEMBATAN'!$AJ83,'AS400 JEMBATAN'!AG83,$AK83/$AE$4)+$AM83,0)</f>
        <v>#REF!</v>
      </c>
      <c r="AH83" s="304" t="e">
        <f>ROUNDUP(IF('AS400 JEMBATAN'!$AK83&gt;='AS400 JEMBATAN'!$AJ83,'AS400 JEMBATAN'!AH83,$AK83/$AE$4)+$AM83,0)</f>
        <v>#REF!</v>
      </c>
      <c r="AI83" s="304"/>
      <c r="AJ83" s="304" t="e">
        <f>SUM(AE83:AE83)</f>
        <v>#REF!</v>
      </c>
      <c r="AK83" s="305" t="e">
        <f>'Qty &amp; UMH GUM'!AA83</f>
        <v>#REF!</v>
      </c>
      <c r="AL83" s="304" t="e">
        <f>ROUNDUP((AK83-AJ83)/$AE$4,0)</f>
        <v>#REF!</v>
      </c>
      <c r="AM83" s="409"/>
      <c r="AN83" s="308" t="e">
        <f>ROUNDUP(IF('AS400 JEMBATAN'!$AT83&gt;='AS400 JEMBATAN'!$AS83,'AS400 JEMBATAN'!AN83,$AT83/$AN$4)+$AV83,0)</f>
        <v>#REF!</v>
      </c>
      <c r="AO83" s="304" t="e">
        <f>ROUNDUP(IF('AS400 JEMBATAN'!$AT83&gt;='AS400 JEMBATAN'!$AS83,'AS400 JEMBATAN'!AO83,$AT83/$AN$4)+$AV83,0)</f>
        <v>#REF!</v>
      </c>
      <c r="AP83" s="304" t="e">
        <f>ROUNDUP(IF('AS400 JEMBATAN'!$AT83&gt;='AS400 JEMBATAN'!$AS83,'AS400 JEMBATAN'!AP83,$AT83/$AN$4)+$AV83,0)</f>
        <v>#REF!</v>
      </c>
      <c r="AQ83" s="304" t="e">
        <f>ROUNDUP(IF('AS400 JEMBATAN'!$AT83&gt;='AS400 JEMBATAN'!$AS83,'AS400 JEMBATAN'!AQ83,$AT83/$AN$4)+$AV83,0)</f>
        <v>#REF!</v>
      </c>
      <c r="AR83" s="304"/>
      <c r="AS83" s="304" t="e">
        <f>SUM(AN83:AN83)</f>
        <v>#REF!</v>
      </c>
      <c r="AT83" s="305" t="e">
        <f>'Qty &amp; UMH GUM'!AD83</f>
        <v>#REF!</v>
      </c>
      <c r="AU83" s="304" t="e">
        <f>ROUNDUP((AT83-AS83)/$AN$4,0)</f>
        <v>#REF!</v>
      </c>
      <c r="AV83" s="311"/>
    </row>
    <row r="84" spans="1:53" customHeight="1" ht="18.75">
      <c r="A84" s="445"/>
      <c r="B84" s="343" t="str">
        <f>'Qty &amp; UMH GUM'!C84</f>
        <v>82111-4DY10</v>
      </c>
      <c r="C84" s="281"/>
      <c r="D84" s="304" t="e">
        <f>ROUNDUP(IF('AS400 JEMBATAN'!$J84&gt;='AS400 JEMBATAN'!$I84,'AS400 JEMBATAN'!D84,$J84/$D$4)+$L84,0)</f>
        <v>#REF!</v>
      </c>
      <c r="E84" s="304" t="e">
        <f>ROUNDUP(IF('AS400 JEMBATAN'!$J84&gt;='AS400 JEMBATAN'!$I84,'AS400 JEMBATAN'!E84,$J84/$D$4)+$L84,0)</f>
        <v>#REF!</v>
      </c>
      <c r="F84" s="304" t="e">
        <f>ROUNDUP(IF('AS400 JEMBATAN'!$J84&gt;='AS400 JEMBATAN'!$I84,'AS400 JEMBATAN'!F84,$J84/$D$4)+$L84,0)</f>
        <v>#REF!</v>
      </c>
      <c r="G84" s="304" t="e">
        <f>ROUNDUP(IF('AS400 JEMBATAN'!$J84&gt;='AS400 JEMBATAN'!$I84,'AS400 JEMBATAN'!G84,$J84/$D$4)+$L84,0)</f>
        <v>#REF!</v>
      </c>
      <c r="H84" s="304" t="e">
        <f>ROUNDUP(IF('AS400 JEMBATAN'!$J84&gt;='AS400 JEMBATAN'!$I84,'AS400 JEMBATAN'!H84,$J84/$D$4)+$L84,0)</f>
        <v>#REF!</v>
      </c>
      <c r="I84" s="304" t="e">
        <f>SUM(D84:D84)</f>
        <v>#REF!</v>
      </c>
      <c r="J84" s="305" t="e">
        <f>'Qty &amp; UMH GUM'!R84</f>
        <v>#REF!</v>
      </c>
      <c r="K84" s="305" t="e">
        <f>ROUNDUP((J84-I84)/$D$4,0)</f>
        <v>#REF!</v>
      </c>
      <c r="L84" s="306">
        <v>0.0</v>
      </c>
      <c r="M84" s="304" t="e">
        <f>ROUNDUP(IF('AS400 JEMBATAN'!$S84&gt;='AS400 JEMBATAN'!$R84,'AS400 JEMBATAN'!M84,$S84/$M$4)+$U84,0)</f>
        <v>#REF!</v>
      </c>
      <c r="N84" s="304" t="e">
        <f>ROUNDUP(IF('AS400 JEMBATAN'!$S84&gt;='AS400 JEMBATAN'!$R84,'AS400 JEMBATAN'!N84,$S84/$M$4)+$U84,0)</f>
        <v>#REF!</v>
      </c>
      <c r="O84" s="304" t="e">
        <f>ROUNDUP(IF('AS400 JEMBATAN'!$S84&gt;='AS400 JEMBATAN'!$R84,'AS400 JEMBATAN'!O84,$S84/$M$4)+$U84,0)</f>
        <v>#REF!</v>
      </c>
      <c r="P84" s="304" t="e">
        <f>ROUNDUP(IF('AS400 JEMBATAN'!$S84&gt;='AS400 JEMBATAN'!$R84,'AS400 JEMBATAN'!P84,$S84/$M$4)+$U84,0)</f>
        <v>#REF!</v>
      </c>
      <c r="Q84" s="304"/>
      <c r="R84" s="304" t="e">
        <f>SUM(M84:M84)</f>
        <v>#REF!</v>
      </c>
      <c r="S84" s="305" t="e">
        <f>'Qty &amp; UMH GUM'!U84</f>
        <v>#REF!</v>
      </c>
      <c r="T84" s="305" t="e">
        <f>ROUNDUP((S84-R84)/$M$4,0)</f>
        <v>#REF!</v>
      </c>
      <c r="U84" s="307"/>
      <c r="V84" s="304" t="e">
        <f>ROUNDUP(IF('AS400 JEMBATAN'!$AB84&gt;='AS400 JEMBATAN'!$AA84,'AS400 JEMBATAN'!V84,$AB84/$V$4)+$AD84,0)</f>
        <v>#REF!</v>
      </c>
      <c r="W84" s="304" t="e">
        <f>ROUNDUP(IF('AS400 JEMBATAN'!$AB84&gt;='AS400 JEMBATAN'!$AA84,'AS400 JEMBATAN'!W84,$AB84/$V$4)+$AD84,0)</f>
        <v>#REF!</v>
      </c>
      <c r="X84" s="304" t="e">
        <f>ROUNDUP(IF('AS400 JEMBATAN'!$AB84&gt;='AS400 JEMBATAN'!$AA84,'AS400 JEMBATAN'!X84,$AB84/$V$4)+$AD84,0)</f>
        <v>#REF!</v>
      </c>
      <c r="Y84" s="304" t="e">
        <f>ROUNDUP(IF('AS400 JEMBATAN'!$AB84&gt;='AS400 JEMBATAN'!$AA84,'AS400 JEMBATAN'!Y84,$AB84/$V$4)+$AD84,0)</f>
        <v>#REF!</v>
      </c>
      <c r="Z84" s="304"/>
      <c r="AA84" s="304" t="e">
        <f>SUM(V84:V84)</f>
        <v>#REF!</v>
      </c>
      <c r="AB84" s="305" t="e">
        <f>'Qty &amp; UMH GUM'!X84</f>
        <v>#REF!</v>
      </c>
      <c r="AC84" s="304" t="e">
        <f>ROUNDUP((AB84-AA84)/$V$4,0)</f>
        <v>#REF!</v>
      </c>
      <c r="AD84" s="307">
        <v>0.0</v>
      </c>
      <c r="AE84" s="304" t="e">
        <f>ROUNDUP(IF('AS400 JEMBATAN'!$AK84&gt;='AS400 JEMBATAN'!$AJ84,'AS400 JEMBATAN'!AE84,$AK84/$AE$4)+$AM84,0)</f>
        <v>#REF!</v>
      </c>
      <c r="AF84" s="304" t="e">
        <f>ROUNDUP(IF('AS400 JEMBATAN'!$AK84&gt;='AS400 JEMBATAN'!$AJ84,'AS400 JEMBATAN'!AF84,$AK84/$AE$4)+$AM84,0)</f>
        <v>#REF!</v>
      </c>
      <c r="AG84" s="304" t="e">
        <f>ROUNDUP(IF('AS400 JEMBATAN'!$AK84&gt;='AS400 JEMBATAN'!$AJ84,'AS400 JEMBATAN'!AG84,$AK84/$AE$4)+$AM84,0)</f>
        <v>#REF!</v>
      </c>
      <c r="AH84" s="304" t="e">
        <f>ROUNDUP(IF('AS400 JEMBATAN'!$AK84&gt;='AS400 JEMBATAN'!$AJ84,'AS400 JEMBATAN'!AH84,$AK84/$AE$4)+$AM84,0)</f>
        <v>#REF!</v>
      </c>
      <c r="AI84" s="304"/>
      <c r="AJ84" s="304" t="e">
        <f>SUM(AE84:AE84)</f>
        <v>#REF!</v>
      </c>
      <c r="AK84" s="305" t="e">
        <f>'Qty &amp; UMH GUM'!AA84</f>
        <v>#REF!</v>
      </c>
      <c r="AL84" s="304" t="e">
        <f>ROUNDUP((AK84-AJ84)/$AE$4,0)</f>
        <v>#REF!</v>
      </c>
      <c r="AM84" s="409"/>
      <c r="AN84" s="308" t="e">
        <f>ROUNDUP(IF('AS400 JEMBATAN'!$AT84&gt;='AS400 JEMBATAN'!$AS84,'AS400 JEMBATAN'!AN84,$AT84/$AN$4)+$AV84,0)</f>
        <v>#REF!</v>
      </c>
      <c r="AO84" s="304" t="e">
        <f>ROUNDUP(IF('AS400 JEMBATAN'!$AT84&gt;='AS400 JEMBATAN'!$AS84,'AS400 JEMBATAN'!AO84,$AT84/$AN$4)+$AV84,0)</f>
        <v>#REF!</v>
      </c>
      <c r="AP84" s="304" t="e">
        <f>ROUNDUP(IF('AS400 JEMBATAN'!$AT84&gt;='AS400 JEMBATAN'!$AS84,'AS400 JEMBATAN'!AP84,$AT84/$AN$4)+$AV84,0)</f>
        <v>#REF!</v>
      </c>
      <c r="AQ84" s="304" t="e">
        <f>ROUNDUP(IF('AS400 JEMBATAN'!$AT84&gt;='AS400 JEMBATAN'!$AS84,'AS400 JEMBATAN'!AQ84,$AT84/$AN$4)+$AV84,0)</f>
        <v>#REF!</v>
      </c>
      <c r="AR84" s="304"/>
      <c r="AS84" s="304" t="e">
        <f>SUM(AN84:AN84)</f>
        <v>#REF!</v>
      </c>
      <c r="AT84" s="305" t="e">
        <f>'Qty &amp; UMH GUM'!AD84</f>
        <v>#REF!</v>
      </c>
      <c r="AU84" s="304" t="e">
        <f>ROUNDUP((AT84-AS84)/$AN$4,0)</f>
        <v>#REF!</v>
      </c>
      <c r="AV84" s="311"/>
      <c r="AW84" s="101"/>
      <c r="AY84" s="101"/>
    </row>
    <row r="85" spans="1:53" customHeight="1" ht="18.75">
      <c r="A85" s="445"/>
      <c r="B85" s="343"/>
      <c r="C85" s="303"/>
      <c r="D85" s="304"/>
      <c r="E85" s="304"/>
      <c r="F85" s="304"/>
      <c r="G85" s="304"/>
      <c r="H85" s="304"/>
      <c r="I85" s="304"/>
      <c r="J85" s="305"/>
      <c r="K85" s="305"/>
      <c r="L85" s="306"/>
      <c r="M85" s="304"/>
      <c r="N85" s="304"/>
      <c r="O85" s="304"/>
      <c r="P85" s="304"/>
      <c r="Q85" s="304"/>
      <c r="R85" s="304"/>
      <c r="S85" s="305"/>
      <c r="T85" s="305"/>
      <c r="U85" s="307"/>
      <c r="V85" s="304"/>
      <c r="W85" s="304"/>
      <c r="X85" s="304"/>
      <c r="Y85" s="304"/>
      <c r="Z85" s="304"/>
      <c r="AA85" s="304"/>
      <c r="AB85" s="305"/>
      <c r="AC85" s="304"/>
      <c r="AD85" s="307"/>
      <c r="AE85" s="304"/>
      <c r="AF85" s="304"/>
      <c r="AG85" s="304"/>
      <c r="AH85" s="304"/>
      <c r="AI85" s="304"/>
      <c r="AJ85" s="304"/>
      <c r="AK85" s="305"/>
      <c r="AL85" s="304"/>
      <c r="AM85" s="409"/>
      <c r="AN85" s="308"/>
      <c r="AO85" s="304"/>
      <c r="AP85" s="304"/>
      <c r="AQ85" s="304"/>
      <c r="AR85" s="304"/>
      <c r="AS85" s="304"/>
      <c r="AT85" s="305"/>
      <c r="AU85" s="304"/>
      <c r="AV85" s="310"/>
      <c r="AY85" s="101"/>
    </row>
    <row r="86" spans="1:53" customHeight="1" ht="18.75">
      <c r="A86" s="445"/>
      <c r="B86" s="343"/>
      <c r="C86" s="303"/>
      <c r="D86" s="304"/>
      <c r="E86" s="304"/>
      <c r="F86" s="304"/>
      <c r="G86" s="304"/>
      <c r="H86" s="304"/>
      <c r="I86" s="304"/>
      <c r="J86" s="305"/>
      <c r="K86" s="305"/>
      <c r="L86" s="306"/>
      <c r="M86" s="304"/>
      <c r="N86" s="304"/>
      <c r="O86" s="304"/>
      <c r="P86" s="304"/>
      <c r="Q86" s="304"/>
      <c r="R86" s="304"/>
      <c r="S86" s="305"/>
      <c r="T86" s="305"/>
      <c r="U86" s="307"/>
      <c r="V86" s="304"/>
      <c r="W86" s="304"/>
      <c r="X86" s="304"/>
      <c r="Y86" s="304"/>
      <c r="Z86" s="304"/>
      <c r="AA86" s="304"/>
      <c r="AB86" s="305"/>
      <c r="AC86" s="304"/>
      <c r="AD86" s="307"/>
      <c r="AE86" s="304"/>
      <c r="AF86" s="304"/>
      <c r="AG86" s="304"/>
      <c r="AH86" s="304"/>
      <c r="AI86" s="304"/>
      <c r="AJ86" s="304"/>
      <c r="AK86" s="305"/>
      <c r="AL86" s="304"/>
      <c r="AM86" s="409"/>
      <c r="AN86" s="308"/>
      <c r="AO86" s="304"/>
      <c r="AP86" s="304"/>
      <c r="AQ86" s="304"/>
      <c r="AR86" s="304"/>
      <c r="AS86" s="304"/>
      <c r="AT86" s="305"/>
      <c r="AU86" s="304"/>
      <c r="AV86" s="310"/>
      <c r="AY86" s="101"/>
    </row>
    <row r="87" spans="1:53" customHeight="1" ht="18.75">
      <c r="A87" s="445"/>
      <c r="B87" s="343"/>
      <c r="C87" s="281"/>
      <c r="D87" s="304"/>
      <c r="E87" s="304"/>
      <c r="F87" s="304"/>
      <c r="G87" s="304"/>
      <c r="H87" s="304"/>
      <c r="I87" s="304"/>
      <c r="J87" s="305"/>
      <c r="K87" s="305"/>
      <c r="L87" s="306"/>
      <c r="M87" s="304"/>
      <c r="N87" s="304"/>
      <c r="O87" s="304"/>
      <c r="P87" s="304"/>
      <c r="Q87" s="304"/>
      <c r="R87" s="304"/>
      <c r="S87" s="305"/>
      <c r="T87" s="305"/>
      <c r="U87" s="307"/>
      <c r="V87" s="304"/>
      <c r="W87" s="304"/>
      <c r="X87" s="304"/>
      <c r="Y87" s="304"/>
      <c r="Z87" s="304"/>
      <c r="AA87" s="304"/>
      <c r="AB87" s="305"/>
      <c r="AC87" s="304"/>
      <c r="AD87" s="307"/>
      <c r="AE87" s="304"/>
      <c r="AF87" s="304"/>
      <c r="AG87" s="304"/>
      <c r="AH87" s="304"/>
      <c r="AI87" s="304"/>
      <c r="AJ87" s="304"/>
      <c r="AK87" s="305"/>
      <c r="AL87" s="304"/>
      <c r="AM87" s="409"/>
      <c r="AN87" s="308"/>
      <c r="AO87" s="304"/>
      <c r="AP87" s="304"/>
      <c r="AQ87" s="304"/>
      <c r="AR87" s="304"/>
      <c r="AS87" s="304"/>
      <c r="AT87" s="305"/>
      <c r="AU87" s="304"/>
      <c r="AV87" s="311"/>
    </row>
    <row r="88" spans="1:53" customHeight="1" ht="18.75">
      <c r="A88" s="445"/>
      <c r="B88" s="343"/>
      <c r="C88" s="281"/>
      <c r="D88" s="304"/>
      <c r="E88" s="304"/>
      <c r="F88" s="304"/>
      <c r="G88" s="304"/>
      <c r="H88" s="304"/>
      <c r="I88" s="304"/>
      <c r="J88" s="305"/>
      <c r="K88" s="305"/>
      <c r="L88" s="306"/>
      <c r="M88" s="304"/>
      <c r="N88" s="304"/>
      <c r="O88" s="304"/>
      <c r="P88" s="304"/>
      <c r="Q88" s="304"/>
      <c r="R88" s="304"/>
      <c r="S88" s="305"/>
      <c r="T88" s="305"/>
      <c r="U88" s="307"/>
      <c r="V88" s="304"/>
      <c r="W88" s="304"/>
      <c r="X88" s="304"/>
      <c r="Y88" s="304"/>
      <c r="Z88" s="304"/>
      <c r="AA88" s="304"/>
      <c r="AB88" s="305"/>
      <c r="AC88" s="304"/>
      <c r="AD88" s="307"/>
      <c r="AE88" s="304"/>
      <c r="AF88" s="304"/>
      <c r="AG88" s="304"/>
      <c r="AH88" s="304"/>
      <c r="AI88" s="304"/>
      <c r="AJ88" s="304"/>
      <c r="AK88" s="305"/>
      <c r="AL88" s="304"/>
      <c r="AM88" s="409"/>
      <c r="AN88" s="308"/>
      <c r="AO88" s="304"/>
      <c r="AP88" s="304"/>
      <c r="AQ88" s="304"/>
      <c r="AR88" s="304"/>
      <c r="AS88" s="304"/>
      <c r="AT88" s="305"/>
      <c r="AU88" s="304"/>
      <c r="AV88" s="311"/>
    </row>
    <row r="89" spans="1:53" customHeight="1" ht="18.75">
      <c r="A89" s="445"/>
      <c r="B89" s="343"/>
      <c r="C89" s="281"/>
      <c r="D89" s="304"/>
      <c r="E89" s="304"/>
      <c r="F89" s="304"/>
      <c r="G89" s="304"/>
      <c r="H89" s="304"/>
      <c r="I89" s="304"/>
      <c r="J89" s="305"/>
      <c r="K89" s="305"/>
      <c r="L89" s="306"/>
      <c r="M89" s="304"/>
      <c r="N89" s="304"/>
      <c r="O89" s="304"/>
      <c r="P89" s="304"/>
      <c r="Q89" s="304"/>
      <c r="R89" s="304"/>
      <c r="S89" s="305"/>
      <c r="T89" s="305"/>
      <c r="U89" s="307"/>
      <c r="V89" s="304"/>
      <c r="W89" s="304"/>
      <c r="X89" s="304"/>
      <c r="Y89" s="304"/>
      <c r="Z89" s="304"/>
      <c r="AA89" s="304"/>
      <c r="AB89" s="305"/>
      <c r="AC89" s="304"/>
      <c r="AD89" s="307"/>
      <c r="AE89" s="304"/>
      <c r="AF89" s="304"/>
      <c r="AG89" s="304"/>
      <c r="AH89" s="304"/>
      <c r="AI89" s="304"/>
      <c r="AJ89" s="304"/>
      <c r="AK89" s="305"/>
      <c r="AL89" s="304"/>
      <c r="AM89" s="409"/>
      <c r="AN89" s="308"/>
      <c r="AO89" s="304"/>
      <c r="AP89" s="304"/>
      <c r="AQ89" s="304"/>
      <c r="AR89" s="304"/>
      <c r="AS89" s="304"/>
      <c r="AT89" s="305"/>
      <c r="AU89" s="304"/>
      <c r="AV89" s="311"/>
    </row>
    <row r="90" spans="1:53" customHeight="1" ht="18.75">
      <c r="A90" s="445"/>
      <c r="B90" s="342"/>
      <c r="C90" s="303"/>
      <c r="D90" s="304"/>
      <c r="E90" s="304"/>
      <c r="F90" s="304"/>
      <c r="G90" s="304"/>
      <c r="H90" s="304"/>
      <c r="I90" s="304"/>
      <c r="J90" s="305"/>
      <c r="K90" s="305"/>
      <c r="L90" s="306"/>
      <c r="M90" s="304"/>
      <c r="N90" s="304"/>
      <c r="O90" s="304"/>
      <c r="P90" s="304"/>
      <c r="Q90" s="304"/>
      <c r="R90" s="304"/>
      <c r="S90" s="305"/>
      <c r="T90" s="305"/>
      <c r="U90" s="307"/>
      <c r="V90" s="304"/>
      <c r="W90" s="304"/>
      <c r="X90" s="304"/>
      <c r="Y90" s="304"/>
      <c r="Z90" s="304"/>
      <c r="AA90" s="304"/>
      <c r="AB90" s="305"/>
      <c r="AC90" s="304"/>
      <c r="AD90" s="307"/>
      <c r="AE90" s="304"/>
      <c r="AF90" s="304"/>
      <c r="AG90" s="304"/>
      <c r="AH90" s="304"/>
      <c r="AI90" s="304"/>
      <c r="AJ90" s="304"/>
      <c r="AK90" s="305"/>
      <c r="AL90" s="304"/>
      <c r="AM90" s="307"/>
      <c r="AN90" s="308"/>
      <c r="AO90" s="304"/>
      <c r="AP90" s="304"/>
      <c r="AQ90" s="304"/>
      <c r="AR90" s="304"/>
      <c r="AS90" s="304"/>
      <c r="AT90" s="305"/>
      <c r="AU90" s="304"/>
      <c r="AV90" s="307"/>
      <c r="AW90" s="296"/>
      <c r="AX90" s="296"/>
      <c r="AY90" s="296"/>
      <c r="AZ90" s="296"/>
      <c r="BA90" s="296"/>
    </row>
    <row r="91" spans="1:53" customHeight="1" ht="18.75">
      <c r="A91" s="445"/>
      <c r="B91" s="342"/>
      <c r="C91" s="303"/>
      <c r="D91" s="304"/>
      <c r="E91" s="304"/>
      <c r="F91" s="304"/>
      <c r="G91" s="304"/>
      <c r="H91" s="304"/>
      <c r="I91" s="304"/>
      <c r="J91" s="305"/>
      <c r="K91" s="305"/>
      <c r="L91" s="306"/>
      <c r="M91" s="304"/>
      <c r="N91" s="304"/>
      <c r="O91" s="304"/>
      <c r="P91" s="304"/>
      <c r="Q91" s="304"/>
      <c r="R91" s="304"/>
      <c r="S91" s="305"/>
      <c r="T91" s="305"/>
      <c r="U91" s="307"/>
      <c r="V91" s="304"/>
      <c r="W91" s="304"/>
      <c r="X91" s="304"/>
      <c r="Y91" s="304"/>
      <c r="Z91" s="304"/>
      <c r="AA91" s="304"/>
      <c r="AB91" s="305"/>
      <c r="AC91" s="304"/>
      <c r="AD91" s="307"/>
      <c r="AE91" s="304"/>
      <c r="AF91" s="304"/>
      <c r="AG91" s="304"/>
      <c r="AH91" s="304"/>
      <c r="AI91" s="304"/>
      <c r="AJ91" s="304"/>
      <c r="AK91" s="305"/>
      <c r="AL91" s="304"/>
      <c r="AM91" s="307"/>
      <c r="AN91" s="308"/>
      <c r="AO91" s="304"/>
      <c r="AP91" s="304"/>
      <c r="AQ91" s="304"/>
      <c r="AR91" s="304"/>
      <c r="AS91" s="304"/>
      <c r="AT91" s="305"/>
      <c r="AU91" s="304"/>
      <c r="AV91" s="307"/>
      <c r="AW91" s="296"/>
      <c r="AX91" s="296"/>
      <c r="AY91" s="296"/>
      <c r="AZ91" s="296"/>
      <c r="BA91" s="296"/>
    </row>
    <row r="92" spans="1:53" customHeight="1" ht="18.75">
      <c r="A92" s="445"/>
      <c r="B92" s="342"/>
      <c r="C92" s="303"/>
      <c r="D92" s="304"/>
      <c r="E92" s="304"/>
      <c r="F92" s="304"/>
      <c r="G92" s="304"/>
      <c r="H92" s="304"/>
      <c r="I92" s="304"/>
      <c r="J92" s="305"/>
      <c r="K92" s="305"/>
      <c r="L92" s="306"/>
      <c r="M92" s="304"/>
      <c r="N92" s="304"/>
      <c r="O92" s="304"/>
      <c r="P92" s="304"/>
      <c r="Q92" s="304"/>
      <c r="R92" s="304"/>
      <c r="S92" s="305"/>
      <c r="T92" s="305"/>
      <c r="U92" s="307"/>
      <c r="V92" s="304"/>
      <c r="W92" s="304"/>
      <c r="X92" s="304"/>
      <c r="Y92" s="304"/>
      <c r="Z92" s="304"/>
      <c r="AA92" s="304"/>
      <c r="AB92" s="305"/>
      <c r="AC92" s="304"/>
      <c r="AD92" s="307"/>
      <c r="AE92" s="304"/>
      <c r="AF92" s="304"/>
      <c r="AG92" s="304"/>
      <c r="AH92" s="304"/>
      <c r="AI92" s="304"/>
      <c r="AJ92" s="304"/>
      <c r="AK92" s="305"/>
      <c r="AL92" s="304"/>
      <c r="AM92" s="307"/>
      <c r="AN92" s="308"/>
      <c r="AO92" s="304"/>
      <c r="AP92" s="304"/>
      <c r="AQ92" s="304"/>
      <c r="AR92" s="304"/>
      <c r="AS92" s="304"/>
      <c r="AT92" s="305"/>
      <c r="AU92" s="304"/>
      <c r="AV92" s="307"/>
      <c r="AW92" s="296"/>
      <c r="AX92" s="296"/>
      <c r="AY92" s="296"/>
      <c r="AZ92" s="296"/>
      <c r="BA92" s="296"/>
    </row>
    <row r="93" spans="1:53" customHeight="1" ht="18.75">
      <c r="A93" s="445"/>
      <c r="B93" s="342"/>
      <c r="C93" s="303"/>
      <c r="D93" s="304"/>
      <c r="E93" s="304"/>
      <c r="F93" s="304"/>
      <c r="G93" s="304"/>
      <c r="H93" s="304"/>
      <c r="I93" s="304"/>
      <c r="J93" s="305"/>
      <c r="K93" s="305"/>
      <c r="L93" s="306"/>
      <c r="M93" s="304"/>
      <c r="N93" s="304"/>
      <c r="O93" s="304"/>
      <c r="P93" s="304"/>
      <c r="Q93" s="304"/>
      <c r="R93" s="304"/>
      <c r="S93" s="305"/>
      <c r="T93" s="305"/>
      <c r="U93" s="307"/>
      <c r="V93" s="304"/>
      <c r="W93" s="304"/>
      <c r="X93" s="304"/>
      <c r="Y93" s="304"/>
      <c r="Z93" s="304"/>
      <c r="AA93" s="304"/>
      <c r="AB93" s="305"/>
      <c r="AC93" s="304"/>
      <c r="AD93" s="307"/>
      <c r="AE93" s="304"/>
      <c r="AF93" s="304"/>
      <c r="AG93" s="304"/>
      <c r="AH93" s="304"/>
      <c r="AI93" s="304"/>
      <c r="AJ93" s="304"/>
      <c r="AK93" s="305"/>
      <c r="AL93" s="304"/>
      <c r="AM93" s="307"/>
      <c r="AN93" s="308"/>
      <c r="AO93" s="304"/>
      <c r="AP93" s="304"/>
      <c r="AQ93" s="304"/>
      <c r="AR93" s="304"/>
      <c r="AS93" s="304"/>
      <c r="AT93" s="305"/>
      <c r="AU93" s="304"/>
      <c r="AV93" s="307"/>
      <c r="AW93" s="296"/>
      <c r="AX93" s="296"/>
      <c r="AY93" s="296"/>
      <c r="AZ93" s="296"/>
      <c r="BA93" s="296"/>
    </row>
    <row r="94" spans="1:53" customHeight="1" ht="18.75">
      <c r="A94" s="555"/>
      <c r="B94" s="356"/>
      <c r="C94" s="302"/>
      <c r="D94" s="312"/>
      <c r="E94" s="312"/>
      <c r="F94" s="312"/>
      <c r="G94" s="312"/>
      <c r="H94" s="312"/>
      <c r="I94" s="312"/>
      <c r="J94" s="313"/>
      <c r="K94" s="313"/>
      <c r="L94" s="314"/>
      <c r="M94" s="312"/>
      <c r="N94" s="312"/>
      <c r="O94" s="312"/>
      <c r="P94" s="312"/>
      <c r="Q94" s="312"/>
      <c r="R94" s="312"/>
      <c r="S94" s="313"/>
      <c r="T94" s="313"/>
      <c r="U94" s="315"/>
      <c r="V94" s="312"/>
      <c r="W94" s="312"/>
      <c r="X94" s="312"/>
      <c r="Y94" s="312"/>
      <c r="Z94" s="312"/>
      <c r="AA94" s="312"/>
      <c r="AB94" s="313"/>
      <c r="AC94" s="312"/>
      <c r="AD94" s="315"/>
      <c r="AE94" s="312"/>
      <c r="AF94" s="312"/>
      <c r="AG94" s="312"/>
      <c r="AH94" s="312"/>
      <c r="AI94" s="312"/>
      <c r="AJ94" s="312"/>
      <c r="AK94" s="313"/>
      <c r="AL94" s="312"/>
      <c r="AM94" s="316"/>
      <c r="AN94" s="317"/>
      <c r="AO94" s="312"/>
      <c r="AP94" s="312"/>
      <c r="AQ94" s="312"/>
      <c r="AR94" s="312"/>
      <c r="AS94" s="312"/>
      <c r="AT94" s="313"/>
      <c r="AU94" s="312"/>
      <c r="AV94" s="318"/>
    </row>
    <row r="95" spans="1:53" customHeight="1" ht="18.75">
      <c r="A95" s="66"/>
      <c r="B95" s="290" t="s">
        <v>125</v>
      </c>
      <c r="C95" s="66"/>
      <c r="D95" s="319" t="e">
        <f>SUM(D9:D94)</f>
        <v>#REF!</v>
      </c>
      <c r="E95" s="319" t="e">
        <f>SUM(E9:E94)</f>
        <v>#REF!</v>
      </c>
      <c r="F95" s="319" t="e">
        <f>SUM(F9:F94)</f>
        <v>#REF!</v>
      </c>
      <c r="G95" s="319" t="e">
        <f>SUM(G9:G94)</f>
        <v>#REF!</v>
      </c>
      <c r="H95" s="319" t="e">
        <f>SUM(H9:H94)</f>
        <v>#REF!</v>
      </c>
      <c r="I95" s="319" t="e">
        <f>SUM(I9:I94)</f>
        <v>#REF!</v>
      </c>
      <c r="J95" s="319" t="e">
        <f>SUM(J9:J94)</f>
        <v>#REF!</v>
      </c>
      <c r="K95" s="319" t="e">
        <f>SUM(K9:K94)</f>
        <v>#REF!</v>
      </c>
      <c r="L95" s="319">
        <f>SUM(L9:L94)</f>
        <v>82</v>
      </c>
      <c r="M95" s="319" t="e">
        <f>SUM(M9:M94)</f>
        <v>#REF!</v>
      </c>
      <c r="N95" s="319" t="e">
        <f>SUM(N9:N94)</f>
        <v>#REF!</v>
      </c>
      <c r="O95" s="319" t="e">
        <f>SUM(O9:O94)</f>
        <v>#REF!</v>
      </c>
      <c r="P95" s="319" t="e">
        <f>SUM(P9:P94)</f>
        <v>#REF!</v>
      </c>
      <c r="Q95" s="319">
        <f>SUM(Q9:Q94)</f>
        <v>0</v>
      </c>
      <c r="R95" s="319" t="e">
        <f>SUM(R9:R94)</f>
        <v>#REF!</v>
      </c>
      <c r="S95" s="319" t="e">
        <f>SUM(S9:S94)</f>
        <v>#REF!</v>
      </c>
      <c r="T95" s="319" t="e">
        <f>SUM(T9:T94)</f>
        <v>#REF!</v>
      </c>
      <c r="U95" s="319">
        <f>SUM(U9:U94)</f>
        <v>0</v>
      </c>
      <c r="V95" s="319" t="e">
        <f>SUM(V9:V94)</f>
        <v>#REF!</v>
      </c>
      <c r="W95" s="319" t="e">
        <f>SUM(W9:W94)</f>
        <v>#REF!</v>
      </c>
      <c r="X95" s="319" t="e">
        <f>SUM(X9:X94)</f>
        <v>#REF!</v>
      </c>
      <c r="Y95" s="319" t="e">
        <f>SUM(Y9:Y94)</f>
        <v>#REF!</v>
      </c>
      <c r="Z95" s="319">
        <f>SUM(Z9:Z94)</f>
        <v>0</v>
      </c>
      <c r="AA95" s="319" t="e">
        <f>SUM(AA9:AA94)</f>
        <v>#REF!</v>
      </c>
      <c r="AB95" s="319" t="e">
        <f>SUM(AB9:AB94)</f>
        <v>#REF!</v>
      </c>
      <c r="AC95" s="319" t="e">
        <f>SUM(AC9:AC94)</f>
        <v>#REF!</v>
      </c>
      <c r="AD95" s="319">
        <f>SUM(AD9:AD94)</f>
        <v>0</v>
      </c>
      <c r="AE95" s="319" t="e">
        <f>SUM(AE9:AE94)</f>
        <v>#REF!</v>
      </c>
      <c r="AF95" s="319" t="e">
        <f>SUM(AF9:AF94)</f>
        <v>#REF!</v>
      </c>
      <c r="AG95" s="319" t="e">
        <f>SUM(AG9:AG94)</f>
        <v>#REF!</v>
      </c>
      <c r="AH95" s="319" t="e">
        <f>SUM(AH9:AH94)</f>
        <v>#REF!</v>
      </c>
      <c r="AI95" s="319">
        <f>SUM(AI9:AI94)</f>
        <v>0</v>
      </c>
      <c r="AJ95" s="319" t="e">
        <f>SUM(AJ9:AJ94)</f>
        <v>#REF!</v>
      </c>
      <c r="AK95" s="319" t="e">
        <f>SUM(AK9:AK94)</f>
        <v>#REF!</v>
      </c>
      <c r="AL95" s="319" t="e">
        <f>SUM(AL9:AL94)</f>
        <v>#REF!</v>
      </c>
      <c r="AM95" s="319">
        <f>SUM(AM9:AM94)</f>
        <v>0</v>
      </c>
      <c r="AN95" s="319" t="e">
        <f>SUM(AN9:AN94)</f>
        <v>#REF!</v>
      </c>
      <c r="AO95" s="319" t="e">
        <f>SUM(AO9:AO94)</f>
        <v>#REF!</v>
      </c>
      <c r="AP95" s="319" t="e">
        <f>SUM(AP9:AP94)</f>
        <v>#REF!</v>
      </c>
      <c r="AQ95" s="319" t="e">
        <f>SUM(AQ9:AQ94)</f>
        <v>#REF!</v>
      </c>
      <c r="AR95" s="319">
        <f>SUM(AR9:AR94)</f>
        <v>0</v>
      </c>
      <c r="AS95" s="319" t="e">
        <f>SUM(AS9:AS94)</f>
        <v>#REF!</v>
      </c>
      <c r="AT95" s="319" t="e">
        <f>SUM(AT9:AT94)</f>
        <v>#REF!</v>
      </c>
      <c r="AU95" s="319" t="e">
        <f>SUM(AU9:AU94)</f>
        <v>#REF!</v>
      </c>
      <c r="AV95" s="101"/>
    </row>
    <row r="96" spans="1:53" customHeight="1" ht="18.75" s="284" customFormat="1">
      <c r="A96" s="290"/>
      <c r="B96" s="290"/>
      <c r="C96" s="290"/>
      <c r="D96" s="296"/>
      <c r="E96" s="296"/>
      <c r="F96" s="296"/>
      <c r="G96" s="296"/>
      <c r="H96" s="296"/>
      <c r="I96" s="296"/>
      <c r="J96" s="296"/>
      <c r="K96" s="296"/>
      <c r="L96" s="296"/>
      <c r="M96" s="296"/>
      <c r="N96" s="296"/>
      <c r="O96" s="296"/>
      <c r="P96" s="296"/>
      <c r="Q96" s="296"/>
      <c r="R96" s="296"/>
      <c r="S96" s="296"/>
      <c r="T96" s="296"/>
      <c r="U96" s="296"/>
      <c r="V96" s="296"/>
      <c r="W96" s="296"/>
      <c r="X96" s="296"/>
      <c r="Y96" s="296"/>
      <c r="Z96" s="296"/>
      <c r="AA96" s="296"/>
      <c r="AB96" s="296"/>
      <c r="AC96" s="296"/>
      <c r="AD96" s="296"/>
      <c r="AE96" s="296"/>
      <c r="AF96" s="296"/>
      <c r="AG96" s="296"/>
      <c r="AH96" s="296"/>
      <c r="AI96" s="296"/>
      <c r="AJ96" s="296"/>
      <c r="AK96" s="296"/>
      <c r="AL96" s="296"/>
      <c r="AM96" s="296"/>
      <c r="AN96" s="296"/>
      <c r="AO96" s="296"/>
      <c r="AP96" s="296"/>
      <c r="AQ96" s="296"/>
      <c r="AR96" s="296"/>
      <c r="AS96" s="296"/>
      <c r="AT96" s="296"/>
      <c r="AU96" s="296"/>
      <c r="AV96" s="296"/>
    </row>
    <row r="97" spans="1:53" customHeight="1" ht="18.75">
      <c r="A97" s="66"/>
      <c r="B97" s="66"/>
      <c r="C97" s="66"/>
      <c r="J97" s="66"/>
      <c r="K97" s="66"/>
      <c r="L97" s="66"/>
      <c r="R97" s="101"/>
      <c r="AB97" s="101"/>
    </row>
    <row r="98" spans="1:53" customHeight="1" ht="18.75">
      <c r="A98" s="66"/>
      <c r="B98" s="344"/>
      <c r="C98" s="66"/>
      <c r="D98" s="101"/>
      <c r="E98" s="101"/>
      <c r="F98" s="101"/>
      <c r="G98" s="101"/>
      <c r="H98" s="101"/>
      <c r="J98" s="66"/>
      <c r="K98" s="66"/>
      <c r="L98" s="66"/>
      <c r="M98" s="101"/>
      <c r="N98" s="101"/>
      <c r="O98" s="101"/>
      <c r="P98" s="101"/>
      <c r="Q98" s="101"/>
      <c r="S98" s="101"/>
      <c r="V98" s="101"/>
      <c r="W98" s="101"/>
      <c r="X98" s="101"/>
      <c r="Y98" s="101"/>
      <c r="Z98" s="101"/>
      <c r="AE98" s="101"/>
      <c r="AF98" s="101"/>
      <c r="AG98" s="101"/>
      <c r="AH98" s="101"/>
      <c r="AI98" s="101"/>
      <c r="AN98" s="101"/>
      <c r="AO98" s="101"/>
      <c r="AP98" s="101"/>
      <c r="AQ98" s="101"/>
      <c r="AR98" s="101"/>
    </row>
    <row r="99" spans="1:53" customHeight="1" ht="18">
      <c r="A99" s="66"/>
      <c r="B99" s="344"/>
      <c r="C99" s="66"/>
      <c r="D99" s="101"/>
      <c r="E99" s="101"/>
      <c r="F99" s="101"/>
      <c r="G99" s="101"/>
      <c r="H99" s="101"/>
      <c r="J99" s="66"/>
      <c r="K99" s="66"/>
      <c r="L99" s="66"/>
      <c r="M99" s="101"/>
      <c r="N99" s="101"/>
      <c r="O99" s="101"/>
      <c r="P99" s="101"/>
      <c r="Q99" s="101"/>
      <c r="V99" s="101"/>
      <c r="W99" s="101"/>
      <c r="X99" s="101"/>
      <c r="Y99" s="101"/>
      <c r="Z99" s="101"/>
      <c r="AE99" s="101"/>
      <c r="AF99" s="101"/>
      <c r="AG99" s="101"/>
      <c r="AH99" s="101"/>
      <c r="AI99" s="101"/>
      <c r="AN99" s="101"/>
      <c r="AO99" s="101"/>
      <c r="AP99" s="101"/>
      <c r="AQ99" s="101"/>
      <c r="AR99" s="101"/>
    </row>
    <row r="100" spans="1:53" customHeight="1" ht="23.25">
      <c r="A100" s="66"/>
      <c r="B100" s="66"/>
      <c r="C100" s="66"/>
      <c r="D100" s="101"/>
      <c r="E100" s="101"/>
      <c r="F100" s="101"/>
      <c r="G100" s="101"/>
      <c r="H100" s="101"/>
      <c r="J100" s="66"/>
      <c r="K100" s="66"/>
      <c r="L100" s="66"/>
      <c r="M100" s="101"/>
      <c r="N100" s="101"/>
      <c r="O100" s="101"/>
      <c r="P100" s="101"/>
      <c r="Q100" s="101"/>
      <c r="V100" s="101"/>
      <c r="W100" s="101"/>
      <c r="X100" s="101"/>
      <c r="Y100" s="101"/>
      <c r="Z100" s="101"/>
      <c r="AE100" s="101"/>
      <c r="AF100" s="101"/>
      <c r="AG100" s="101"/>
      <c r="AH100" s="101"/>
      <c r="AI100" s="101"/>
      <c r="AN100" s="101"/>
      <c r="AO100" s="101"/>
      <c r="AP100" s="101"/>
      <c r="AQ100" s="101"/>
      <c r="AR100" s="101"/>
    </row>
    <row r="101" spans="1:53" customHeight="1" ht="12.75">
      <c r="A101" s="66"/>
      <c r="B101" s="66"/>
      <c r="C101" s="66"/>
      <c r="J101" s="66"/>
      <c r="K101" s="66"/>
      <c r="L101" s="66"/>
    </row>
    <row r="102" spans="1:53" customHeight="1" ht="12.75">
      <c r="A102" s="66"/>
      <c r="B102" s="66"/>
      <c r="C102" s="66"/>
      <c r="J102" s="66"/>
      <c r="K102" s="66"/>
      <c r="L102" s="66"/>
    </row>
    <row r="103" spans="1:53" customHeight="1" ht="12.75">
      <c r="A103" s="66"/>
      <c r="B103" s="66"/>
      <c r="C103" s="66"/>
      <c r="J103" s="66"/>
      <c r="K103" s="66"/>
      <c r="L103" s="66"/>
    </row>
    <row r="104" spans="1:53" customHeight="1" ht="12.75">
      <c r="A104" s="66"/>
      <c r="B104" s="66"/>
      <c r="C104" s="66"/>
      <c r="J104" s="66"/>
      <c r="K104" s="66"/>
      <c r="L104" s="66"/>
    </row>
    <row r="105" spans="1:53" customHeight="1" ht="12.75">
      <c r="A105" s="66"/>
      <c r="B105" s="66"/>
      <c r="C105" s="66"/>
      <c r="J105" s="66"/>
      <c r="K105" s="66"/>
      <c r="L105" s="66"/>
    </row>
    <row r="106" spans="1:53" customHeight="1" ht="12.75">
      <c r="A106" s="66"/>
      <c r="B106" s="66"/>
      <c r="C106" s="66"/>
      <c r="J106" s="66"/>
      <c r="K106" s="66"/>
      <c r="L106" s="66"/>
    </row>
    <row r="107" spans="1:53" customHeight="1" ht="12.75">
      <c r="A107" s="66"/>
      <c r="B107" s="66"/>
      <c r="C107" s="66"/>
      <c r="J107" s="66"/>
      <c r="K107" s="66"/>
      <c r="L107" s="66"/>
    </row>
    <row r="108" spans="1:53" customHeight="1" ht="12.75">
      <c r="A108" s="66"/>
      <c r="B108" s="66"/>
      <c r="C108" s="66"/>
      <c r="J108" s="66"/>
      <c r="K108" s="66"/>
      <c r="L108" s="66"/>
    </row>
    <row r="109" spans="1:53" customHeight="1" ht="12.75">
      <c r="A109" s="66"/>
      <c r="B109" s="66"/>
      <c r="C109" s="66"/>
      <c r="J109" s="66"/>
      <c r="K109" s="66"/>
      <c r="L109" s="66"/>
    </row>
    <row r="110" spans="1:53" customHeight="1" ht="12.75">
      <c r="A110" s="66"/>
      <c r="B110" s="66"/>
      <c r="C110" s="66"/>
      <c r="J110" s="66"/>
      <c r="K110" s="66"/>
      <c r="L110" s="66"/>
    </row>
    <row r="111" spans="1:53" customHeight="1" ht="12.75">
      <c r="A111" s="66"/>
      <c r="B111" s="66"/>
      <c r="C111" s="66"/>
      <c r="J111" s="66"/>
      <c r="K111" s="66"/>
      <c r="L111" s="66"/>
    </row>
    <row r="112" spans="1:53" customHeight="1" ht="12.75">
      <c r="A112" s="66"/>
      <c r="B112" s="66"/>
      <c r="C112" s="66"/>
      <c r="J112" s="66"/>
      <c r="K112" s="66"/>
      <c r="L112" s="66"/>
    </row>
    <row r="113" spans="1:53" customHeight="1" ht="12.75">
      <c r="A113" s="66"/>
      <c r="B113" s="66"/>
      <c r="C113" s="66"/>
      <c r="J113" s="66"/>
      <c r="K113" s="66"/>
      <c r="L113" s="66"/>
    </row>
    <row r="114" spans="1:53" customHeight="1" ht="12.75">
      <c r="A114" s="66"/>
      <c r="B114" s="66"/>
      <c r="C114" s="66"/>
      <c r="J114" s="66"/>
      <c r="K114" s="66"/>
      <c r="L114" s="66"/>
    </row>
    <row r="115" spans="1:53" customHeight="1" ht="12.75">
      <c r="A115" s="66"/>
      <c r="B115" s="66"/>
      <c r="C115" s="66"/>
      <c r="J115" s="66"/>
      <c r="K115" s="66"/>
      <c r="L115" s="66"/>
    </row>
    <row r="116" spans="1:53" customHeight="1" ht="12.75">
      <c r="A116" s="66"/>
      <c r="B116" s="66"/>
      <c r="C116" s="66"/>
      <c r="J116" s="66"/>
      <c r="K116" s="66"/>
      <c r="L116" s="66"/>
    </row>
    <row r="117" spans="1:53" customHeight="1" ht="12.75">
      <c r="A117" s="66"/>
      <c r="B117" s="66"/>
      <c r="C117" s="66"/>
      <c r="J117" s="66"/>
      <c r="K117" s="66"/>
      <c r="L117" s="66"/>
    </row>
    <row r="118" spans="1:53" customHeight="1" ht="12.75">
      <c r="A118" s="66"/>
      <c r="B118" s="66"/>
      <c r="C118" s="66"/>
      <c r="J118" s="66"/>
      <c r="K118" s="66"/>
      <c r="L118" s="66"/>
    </row>
    <row r="119" spans="1:53" customHeight="1" ht="12.75">
      <c r="A119" s="66"/>
      <c r="B119" s="66"/>
      <c r="C119" s="66"/>
      <c r="J119" s="66"/>
      <c r="K119" s="66"/>
      <c r="L119" s="66"/>
    </row>
    <row r="120" spans="1:53" customHeight="1" ht="12.75">
      <c r="A120" s="66"/>
      <c r="B120" s="66"/>
      <c r="C120" s="66"/>
      <c r="J120" s="66"/>
      <c r="K120" s="66"/>
      <c r="L120" s="66"/>
    </row>
    <row r="121" spans="1:53" customHeight="1" ht="12.75">
      <c r="A121" s="66"/>
      <c r="B121" s="66"/>
      <c r="C121" s="66"/>
      <c r="J121" s="66"/>
      <c r="K121" s="66"/>
      <c r="L121" s="66"/>
    </row>
    <row r="122" spans="1:53" customHeight="1" ht="12.75">
      <c r="A122" s="66"/>
      <c r="B122" s="66"/>
      <c r="C122" s="66"/>
      <c r="J122" s="66"/>
      <c r="K122" s="66"/>
      <c r="L122" s="66"/>
    </row>
    <row r="123" spans="1:53" customHeight="1" ht="12.75">
      <c r="A123" s="66"/>
      <c r="B123" s="66"/>
      <c r="C123" s="66"/>
      <c r="J123" s="66"/>
      <c r="K123" s="66"/>
      <c r="L123" s="66"/>
    </row>
    <row r="124" spans="1:53" customHeight="1" ht="12.75">
      <c r="A124" s="66"/>
      <c r="B124" s="66"/>
      <c r="C124" s="66"/>
      <c r="J124" s="66"/>
      <c r="K124" s="66"/>
      <c r="L124" s="66"/>
    </row>
    <row r="125" spans="1:53" customHeight="1" ht="12.75">
      <c r="A125" s="66"/>
      <c r="B125" s="66"/>
      <c r="C125" s="66"/>
      <c r="J125" s="66"/>
      <c r="K125" s="66"/>
      <c r="L125" s="66"/>
    </row>
    <row r="126" spans="1:53" customHeight="1" ht="12.75">
      <c r="A126" s="66"/>
      <c r="B126" s="66"/>
      <c r="C126" s="66"/>
      <c r="J126" s="66"/>
      <c r="K126" s="66"/>
      <c r="L126" s="66"/>
    </row>
    <row r="127" spans="1:53" customHeight="1" ht="12.75">
      <c r="A127" s="66"/>
      <c r="B127" s="66"/>
      <c r="C127" s="66"/>
      <c r="J127" s="66"/>
      <c r="K127" s="66"/>
      <c r="L127" s="66"/>
    </row>
    <row r="128" spans="1:53" customHeight="1" ht="12.75">
      <c r="A128" s="66"/>
      <c r="B128" s="66"/>
      <c r="C128" s="66"/>
      <c r="J128" s="66"/>
      <c r="K128" s="66"/>
      <c r="L128" s="66"/>
    </row>
    <row r="129" spans="1:53" customHeight="1" ht="12.75">
      <c r="A129" s="66"/>
      <c r="B129" s="66"/>
      <c r="C129" s="66"/>
      <c r="J129" s="66"/>
      <c r="K129" s="66"/>
      <c r="L129" s="66"/>
    </row>
    <row r="130" spans="1:53" customHeight="1" ht="12.75">
      <c r="A130" s="66"/>
      <c r="B130" s="66"/>
      <c r="C130" s="66"/>
      <c r="J130" s="66"/>
      <c r="K130" s="66"/>
      <c r="L130" s="66"/>
    </row>
    <row r="131" spans="1:53" customHeight="1" ht="12.75">
      <c r="A131" s="66"/>
      <c r="B131" s="66"/>
      <c r="C131" s="66"/>
      <c r="J131" s="66"/>
      <c r="K131" s="66"/>
      <c r="L131" s="66"/>
    </row>
    <row r="132" spans="1:53" customHeight="1" ht="12.75">
      <c r="A132" s="66"/>
      <c r="B132" s="66"/>
      <c r="C132" s="66"/>
      <c r="J132" s="66"/>
      <c r="K132" s="66"/>
      <c r="L132" s="66"/>
    </row>
    <row r="133" spans="1:53" customHeight="1" ht="12.75">
      <c r="A133" s="66"/>
      <c r="B133" s="66"/>
      <c r="C133" s="66"/>
      <c r="J133" s="66"/>
      <c r="K133" s="66"/>
      <c r="L133" s="66"/>
    </row>
    <row r="134" spans="1:53" customHeight="1" ht="12.75">
      <c r="A134" s="66"/>
      <c r="B134" s="66"/>
      <c r="C134" s="66"/>
      <c r="J134" s="66"/>
      <c r="K134" s="66"/>
      <c r="L134" s="66"/>
    </row>
    <row r="135" spans="1:53" customHeight="1" ht="12.75">
      <c r="A135" s="66"/>
      <c r="B135" s="66"/>
      <c r="C135" s="66"/>
      <c r="J135" s="66"/>
      <c r="K135" s="66"/>
      <c r="L135" s="66"/>
    </row>
    <row r="136" spans="1:53" customHeight="1" ht="12.75">
      <c r="A136" s="66"/>
      <c r="B136" s="66"/>
      <c r="C136" s="66"/>
      <c r="J136" s="66"/>
      <c r="K136" s="66"/>
      <c r="L136" s="66"/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M6:U7"/>
    <mergeCell ref="V6:AD7"/>
    <mergeCell ref="AE6:AM7"/>
    <mergeCell ref="A9:A94"/>
    <mergeCell ref="AN6:AV7"/>
    <mergeCell ref="A6:A8"/>
    <mergeCell ref="B6:B8"/>
    <mergeCell ref="C6:C8"/>
    <mergeCell ref="D6:L7"/>
  </mergeCells>
  <conditionalFormatting sqref="AC9">
    <cfRule type="cellIs" dxfId="0" priority="1" operator="equal">
      <formula>B1</formula>
    </cfRule>
  </conditionalFormatting>
  <conditionalFormatting sqref="AL9">
    <cfRule type="cellIs" dxfId="0" priority="2" operator="equal">
      <formula>B1</formula>
    </cfRule>
  </conditionalFormatting>
  <conditionalFormatting sqref="AU9">
    <cfRule type="cellIs" dxfId="0" priority="3" operator="equal">
      <formula>B1</formula>
    </cfRule>
  </conditionalFormatting>
  <conditionalFormatting sqref="AU90:AU95">
    <cfRule type="cellIs" dxfId="0" priority="4" operator="equal">
      <formula>B1</formula>
    </cfRule>
  </conditionalFormatting>
  <conditionalFormatting sqref="AL90:AL95">
    <cfRule type="cellIs" dxfId="0" priority="5" operator="equal">
      <formula>B1</formula>
    </cfRule>
  </conditionalFormatting>
  <conditionalFormatting sqref="AC90:AC95">
    <cfRule type="cellIs" dxfId="0" priority="6" operator="equal">
      <formula>B1</formula>
    </cfRule>
  </conditionalFormatting>
  <conditionalFormatting sqref="K9">
    <cfRule type="cellIs" dxfId="1" priority="7" operator="equal">
      <formula>$L1</formula>
    </cfRule>
  </conditionalFormatting>
  <conditionalFormatting sqref="K90:K95">
    <cfRule type="cellIs" dxfId="1" priority="8" operator="equal">
      <formula>$L1</formula>
    </cfRule>
  </conditionalFormatting>
  <conditionalFormatting sqref="T9">
    <cfRule type="cellIs" dxfId="0" priority="9" operator="equal">
      <formula>B1</formula>
    </cfRule>
    <cfRule type="cellIs" dxfId="1" priority="10" operator="equal">
      <formula>$L1</formula>
    </cfRule>
  </conditionalFormatting>
  <conditionalFormatting sqref="T90:T95">
    <cfRule type="cellIs" dxfId="0" priority="11" operator="equal">
      <formula>B1</formula>
    </cfRule>
    <cfRule type="cellIs" dxfId="1" priority="12" operator="equal">
      <formula>$L1</formula>
    </cfRule>
  </conditionalFormatting>
  <conditionalFormatting sqref="AU10:AU17">
    <cfRule type="cellIs" dxfId="0" priority="13" operator="equal">
      <formula>B1</formula>
    </cfRule>
  </conditionalFormatting>
  <conditionalFormatting sqref="AL10:AL17">
    <cfRule type="cellIs" dxfId="0" priority="14" operator="equal">
      <formula>B1</formula>
    </cfRule>
  </conditionalFormatting>
  <conditionalFormatting sqref="AC10:AC17">
    <cfRule type="cellIs" dxfId="0" priority="15" operator="equal">
      <formula>B1</formula>
    </cfRule>
  </conditionalFormatting>
  <conditionalFormatting sqref="K10:K17">
    <cfRule type="cellIs" dxfId="1" priority="16" operator="equal">
      <formula>$L1</formula>
    </cfRule>
  </conditionalFormatting>
  <conditionalFormatting sqref="T10:T17">
    <cfRule type="cellIs" dxfId="0" priority="17" operator="equal">
      <formula>B1</formula>
    </cfRule>
    <cfRule type="cellIs" dxfId="1" priority="18" operator="equal">
      <formula>$L1</formula>
    </cfRule>
  </conditionalFormatting>
  <conditionalFormatting sqref="AC85:AC89">
    <cfRule type="cellIs" dxfId="0" priority="19" operator="equal">
      <formula>B1</formula>
    </cfRule>
  </conditionalFormatting>
  <conditionalFormatting sqref="AL85:AL89">
    <cfRule type="cellIs" dxfId="0" priority="20" operator="equal">
      <formula>B1</formula>
    </cfRule>
  </conditionalFormatting>
  <conditionalFormatting sqref="AU85:AU89">
    <cfRule type="cellIs" dxfId="0" priority="21" operator="equal">
      <formula>B1</formula>
    </cfRule>
  </conditionalFormatting>
  <conditionalFormatting sqref="K85:K89">
    <cfRule type="cellIs" dxfId="1" priority="22" operator="equal">
      <formula>$L1</formula>
    </cfRule>
  </conditionalFormatting>
  <conditionalFormatting sqref="T85:T89">
    <cfRule type="cellIs" dxfId="0" priority="23" operator="equal">
      <formula>B1</formula>
    </cfRule>
    <cfRule type="cellIs" dxfId="1" priority="24" operator="equal">
      <formula>$L1</formula>
    </cfRule>
  </conditionalFormatting>
  <conditionalFormatting sqref="AU52:AU62">
    <cfRule type="cellIs" dxfId="0" priority="25" operator="equal">
      <formula>B1</formula>
    </cfRule>
  </conditionalFormatting>
  <conditionalFormatting sqref="AL52:AL62">
    <cfRule type="cellIs" dxfId="0" priority="26" operator="equal">
      <formula>B1</formula>
    </cfRule>
  </conditionalFormatting>
  <conditionalFormatting sqref="AC52:AC62">
    <cfRule type="cellIs" dxfId="0" priority="27" operator="equal">
      <formula>B1</formula>
    </cfRule>
  </conditionalFormatting>
  <conditionalFormatting sqref="K52:K62">
    <cfRule type="cellIs" dxfId="1" priority="28" operator="equal">
      <formula>$L1</formula>
    </cfRule>
  </conditionalFormatting>
  <conditionalFormatting sqref="T52:T62">
    <cfRule type="cellIs" dxfId="0" priority="29" operator="equal">
      <formula>B1</formula>
    </cfRule>
    <cfRule type="cellIs" dxfId="1" priority="30" operator="equal">
      <formula>$L1</formula>
    </cfRule>
  </conditionalFormatting>
  <conditionalFormatting sqref="AU22:AU26">
    <cfRule type="cellIs" dxfId="0" priority="31" operator="equal">
      <formula>B1</formula>
    </cfRule>
  </conditionalFormatting>
  <conditionalFormatting sqref="AL22:AL26">
    <cfRule type="cellIs" dxfId="0" priority="32" operator="equal">
      <formula>B1</formula>
    </cfRule>
  </conditionalFormatting>
  <conditionalFormatting sqref="AC22:AC26">
    <cfRule type="cellIs" dxfId="0" priority="33" operator="equal">
      <formula>B1</formula>
    </cfRule>
  </conditionalFormatting>
  <conditionalFormatting sqref="AC45:AC51">
    <cfRule type="cellIs" dxfId="0" priority="34" operator="equal">
      <formula>B1</formula>
    </cfRule>
  </conditionalFormatting>
  <conditionalFormatting sqref="AL45:AL51">
    <cfRule type="cellIs" dxfId="0" priority="35" operator="equal">
      <formula>B1</formula>
    </cfRule>
  </conditionalFormatting>
  <conditionalFormatting sqref="AU45:AU51">
    <cfRule type="cellIs" dxfId="0" priority="36" operator="equal">
      <formula>B1</formula>
    </cfRule>
  </conditionalFormatting>
  <conditionalFormatting sqref="K22:K26">
    <cfRule type="cellIs" dxfId="1" priority="37" operator="equal">
      <formula>$L1</formula>
    </cfRule>
  </conditionalFormatting>
  <conditionalFormatting sqref="K45:K51">
    <cfRule type="cellIs" dxfId="1" priority="38" operator="equal">
      <formula>$L1</formula>
    </cfRule>
  </conditionalFormatting>
  <conditionalFormatting sqref="T22:T26">
    <cfRule type="cellIs" dxfId="0" priority="39" operator="equal">
      <formula>B1</formula>
    </cfRule>
    <cfRule type="cellIs" dxfId="1" priority="40" operator="equal">
      <formula>$L1</formula>
    </cfRule>
  </conditionalFormatting>
  <conditionalFormatting sqref="T45:T51">
    <cfRule type="cellIs" dxfId="0" priority="41" operator="equal">
      <formula>B1</formula>
    </cfRule>
    <cfRule type="cellIs" dxfId="1" priority="42" operator="equal">
      <formula>$L1</formula>
    </cfRule>
  </conditionalFormatting>
  <conditionalFormatting sqref="AC18:AC21">
    <cfRule type="cellIs" dxfId="0" priority="43" operator="equal">
      <formula>B1</formula>
    </cfRule>
  </conditionalFormatting>
  <conditionalFormatting sqref="AL18:AL21">
    <cfRule type="cellIs" dxfId="0" priority="44" operator="equal">
      <formula>B1</formula>
    </cfRule>
  </conditionalFormatting>
  <conditionalFormatting sqref="AU18:AU21">
    <cfRule type="cellIs" dxfId="0" priority="45" operator="equal">
      <formula>B1</formula>
    </cfRule>
  </conditionalFormatting>
  <conditionalFormatting sqref="K18:K21">
    <cfRule type="cellIs" dxfId="1" priority="46" operator="equal">
      <formula>$L1</formula>
    </cfRule>
  </conditionalFormatting>
  <conditionalFormatting sqref="T18:T21">
    <cfRule type="cellIs" dxfId="0" priority="47" operator="equal">
      <formula>B1</formula>
    </cfRule>
    <cfRule type="cellIs" dxfId="1" priority="48" operator="equal">
      <formula>$L1</formula>
    </cfRule>
  </conditionalFormatting>
  <conditionalFormatting sqref="AU34:AU44">
    <cfRule type="cellIs" dxfId="0" priority="49" operator="equal">
      <formula>B1</formula>
    </cfRule>
  </conditionalFormatting>
  <conditionalFormatting sqref="AL34:AL44">
    <cfRule type="cellIs" dxfId="0" priority="50" operator="equal">
      <formula>B1</formula>
    </cfRule>
  </conditionalFormatting>
  <conditionalFormatting sqref="AC34:AC44">
    <cfRule type="cellIs" dxfId="0" priority="51" operator="equal">
      <formula>B1</formula>
    </cfRule>
  </conditionalFormatting>
  <conditionalFormatting sqref="K34:K44">
    <cfRule type="cellIs" dxfId="1" priority="52" operator="equal">
      <formula>$L1</formula>
    </cfRule>
  </conditionalFormatting>
  <conditionalFormatting sqref="T34:T44">
    <cfRule type="cellIs" dxfId="0" priority="53" operator="equal">
      <formula>B1</formula>
    </cfRule>
    <cfRule type="cellIs" dxfId="1" priority="54" operator="equal">
      <formula>$L1</formula>
    </cfRule>
  </conditionalFormatting>
  <conditionalFormatting sqref="AC27:AC30">
    <cfRule type="cellIs" dxfId="0" priority="55" operator="equal">
      <formula>B1</formula>
    </cfRule>
  </conditionalFormatting>
  <conditionalFormatting sqref="AL27:AL30">
    <cfRule type="cellIs" dxfId="0" priority="56" operator="equal">
      <formula>B1</formula>
    </cfRule>
  </conditionalFormatting>
  <conditionalFormatting sqref="AU27:AU30">
    <cfRule type="cellIs" dxfId="0" priority="57" operator="equal">
      <formula>B1</formula>
    </cfRule>
  </conditionalFormatting>
  <conditionalFormatting sqref="K27:K30">
    <cfRule type="cellIs" dxfId="1" priority="58" operator="equal">
      <formula>$L1</formula>
    </cfRule>
  </conditionalFormatting>
  <conditionalFormatting sqref="T27:T30">
    <cfRule type="cellIs" dxfId="0" priority="59" operator="equal">
      <formula>B1</formula>
    </cfRule>
    <cfRule type="cellIs" dxfId="1" priority="60" operator="equal">
      <formula>$L1</formula>
    </cfRule>
  </conditionalFormatting>
  <conditionalFormatting sqref="AC31">
    <cfRule type="cellIs" dxfId="0" priority="61" operator="equal">
      <formula>B1</formula>
    </cfRule>
  </conditionalFormatting>
  <conditionalFormatting sqref="AL31">
    <cfRule type="cellIs" dxfId="0" priority="62" operator="equal">
      <formula>B1</formula>
    </cfRule>
  </conditionalFormatting>
  <conditionalFormatting sqref="AU31">
    <cfRule type="cellIs" dxfId="0" priority="63" operator="equal">
      <formula>B1</formula>
    </cfRule>
  </conditionalFormatting>
  <conditionalFormatting sqref="K31">
    <cfRule type="cellIs" dxfId="1" priority="64" operator="equal">
      <formula>$L1</formula>
    </cfRule>
  </conditionalFormatting>
  <conditionalFormatting sqref="T31">
    <cfRule type="cellIs" dxfId="0" priority="65" operator="equal">
      <formula>B1</formula>
    </cfRule>
    <cfRule type="cellIs" dxfId="1" priority="66" operator="equal">
      <formula>$L1</formula>
    </cfRule>
  </conditionalFormatting>
  <conditionalFormatting sqref="AC32">
    <cfRule type="cellIs" dxfId="0" priority="67" operator="equal">
      <formula>B1</formula>
    </cfRule>
  </conditionalFormatting>
  <conditionalFormatting sqref="AL32">
    <cfRule type="cellIs" dxfId="0" priority="68" operator="equal">
      <formula>B1</formula>
    </cfRule>
  </conditionalFormatting>
  <conditionalFormatting sqref="AU32">
    <cfRule type="cellIs" dxfId="0" priority="69" operator="equal">
      <formula>B1</formula>
    </cfRule>
  </conditionalFormatting>
  <conditionalFormatting sqref="K32">
    <cfRule type="cellIs" dxfId="1" priority="70" operator="equal">
      <formula>$L1</formula>
    </cfRule>
  </conditionalFormatting>
  <conditionalFormatting sqref="T32">
    <cfRule type="cellIs" dxfId="0" priority="71" operator="equal">
      <formula>B1</formula>
    </cfRule>
    <cfRule type="cellIs" dxfId="1" priority="72" operator="equal">
      <formula>$L1</formula>
    </cfRule>
  </conditionalFormatting>
  <conditionalFormatting sqref="AC33">
    <cfRule type="cellIs" dxfId="0" priority="73" operator="equal">
      <formula>B1</formula>
    </cfRule>
  </conditionalFormatting>
  <conditionalFormatting sqref="AL33">
    <cfRule type="cellIs" dxfId="0" priority="74" operator="equal">
      <formula>B1</formula>
    </cfRule>
  </conditionalFormatting>
  <conditionalFormatting sqref="AU33">
    <cfRule type="cellIs" dxfId="0" priority="75" operator="equal">
      <formula>B1</formula>
    </cfRule>
  </conditionalFormatting>
  <conditionalFormatting sqref="K33">
    <cfRule type="cellIs" dxfId="1" priority="76" operator="equal">
      <formula>$L1</formula>
    </cfRule>
  </conditionalFormatting>
  <conditionalFormatting sqref="T33">
    <cfRule type="cellIs" dxfId="0" priority="77" operator="equal">
      <formula>B1</formula>
    </cfRule>
    <cfRule type="cellIs" dxfId="1" priority="78" operator="equal">
      <formula>$L1</formula>
    </cfRule>
  </conditionalFormatting>
  <conditionalFormatting sqref="AU63">
    <cfRule type="cellIs" dxfId="0" priority="79" operator="equal">
      <formula>B1</formula>
    </cfRule>
  </conditionalFormatting>
  <conditionalFormatting sqref="AL63">
    <cfRule type="cellIs" dxfId="0" priority="80" operator="equal">
      <formula>B1</formula>
    </cfRule>
  </conditionalFormatting>
  <conditionalFormatting sqref="AC63">
    <cfRule type="cellIs" dxfId="0" priority="81" operator="equal">
      <formula>B1</formula>
    </cfRule>
  </conditionalFormatting>
  <conditionalFormatting sqref="K63">
    <cfRule type="cellIs" dxfId="1" priority="82" operator="equal">
      <formula>$L1</formula>
    </cfRule>
  </conditionalFormatting>
  <conditionalFormatting sqref="T63">
    <cfRule type="cellIs" dxfId="0" priority="83" operator="equal">
      <formula>B1</formula>
    </cfRule>
    <cfRule type="cellIs" dxfId="1" priority="84" operator="equal">
      <formula>$L1</formula>
    </cfRule>
  </conditionalFormatting>
  <conditionalFormatting sqref="AU64:AU84">
    <cfRule type="cellIs" dxfId="0" priority="85" operator="equal">
      <formula>B1</formula>
    </cfRule>
  </conditionalFormatting>
  <conditionalFormatting sqref="AL64:AL84">
    <cfRule type="cellIs" dxfId="0" priority="86" operator="equal">
      <formula>B1</formula>
    </cfRule>
  </conditionalFormatting>
  <conditionalFormatting sqref="AC64:AC84">
    <cfRule type="cellIs" dxfId="0" priority="87" operator="equal">
      <formula>B1</formula>
    </cfRule>
  </conditionalFormatting>
  <conditionalFormatting sqref="K64:K84">
    <cfRule type="cellIs" dxfId="1" priority="88" operator="equal">
      <formula>$L1</formula>
    </cfRule>
  </conditionalFormatting>
  <conditionalFormatting sqref="T64:T84">
    <cfRule type="cellIs" dxfId="0" priority="89" operator="equal">
      <formula>B1</formula>
    </cfRule>
    <cfRule type="cellIs" dxfId="1" priority="90" operator="equal">
      <formula>$L1</formula>
    </cfRule>
  </conditionalFormatting>
  <printOptions gridLines="false" gridLinesSet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N224"/>
  <sheetViews>
    <sheetView tabSelected="0" workbookViewId="0" showGridLines="true" showRowColHeaders="1">
      <selection activeCell="AD106" sqref="AD106"/>
    </sheetView>
  </sheetViews>
  <sheetFormatPr customHeight="true" defaultRowHeight="12.75" defaultColWidth="9.140625" outlineLevelRow="0" outlineLevelCol="0"/>
  <cols>
    <col min="1" max="1" width="10.42578125" customWidth="true" style="4"/>
    <col min="2" max="2" width="9" customWidth="true" style="4"/>
    <col min="3" max="3" width="18.28515625" customWidth="true" style="4"/>
    <col min="4" max="4" width="8.7109375" customWidth="true" style="4"/>
    <col min="5" max="5" width="7" customWidth="true" style="4"/>
    <col min="6" max="6" width="5.140625" customWidth="true" style="4"/>
    <col min="7" max="7" width="6.7109375" customWidth="true" style="4"/>
    <col min="8" max="8" width="8" customWidth="true" style="4"/>
    <col min="9" max="9" width="8" customWidth="true" style="4"/>
    <col min="10" max="10" width="8.5703125" customWidth="true" style="4"/>
    <col min="11" max="11" width="8.5703125" customWidth="true" style="4"/>
    <col min="12" max="12" width="7.85546875" customWidth="true" style="4"/>
    <col min="13" max="13" width="9.42578125" customWidth="true" style="4"/>
    <col min="14" max="14" width="9.7109375" customWidth="true" style="4"/>
    <col min="15" max="15" width="7.85546875" customWidth="true" style="4"/>
    <col min="16" max="16" width="8.5703125" customWidth="true" style="4"/>
    <col min="17" max="17" width="8.7109375" customWidth="true" style="4"/>
    <col min="18" max="18" width="7.85546875" customWidth="true" style="4"/>
    <col min="19" max="19" width="8.7109375" customWidth="true" style="4"/>
    <col min="20" max="20" width="8.5703125" customWidth="true" style="4"/>
    <col min="21" max="21" width="7.85546875" customWidth="true" style="4"/>
    <col min="22" max="22" width="9" customWidth="true" style="4"/>
    <col min="23" max="23" width="9.7109375" customWidth="true" style="4"/>
    <col min="24" max="24" width="7.85546875" customWidth="true" style="4"/>
    <col min="25" max="25" width="9" customWidth="true" style="4"/>
    <col min="26" max="26" width="9.5703125" customWidth="true" style="4"/>
    <col min="27" max="27" width="7.140625" customWidth="true" style="4"/>
    <col min="28" max="28" width="9" customWidth="true" style="4"/>
    <col min="29" max="29" width="9.28515625" customWidth="true" style="4"/>
    <col min="30" max="30" width="7.140625" customWidth="true" style="4"/>
    <col min="31" max="31" width="9.140625" style="9"/>
    <col min="32" max="32" width="9.5703125" customWidth="true" style="12"/>
    <col min="33" max="33" width="9.140625" style="12"/>
    <col min="34" max="34" width="9.140625" style="12"/>
    <col min="35" max="35" width="9.5703125" customWidth="true" style="12"/>
    <col min="36" max="36" width="9.140625" style="12"/>
    <col min="37" max="37" width="9.140625" style="12"/>
    <col min="38" max="38" width="9.5703125" customWidth="true" style="12"/>
    <col min="39" max="39" width="9.140625" style="12"/>
    <col min="40" max="40" width="9.140625" style="12"/>
    <col min="41" max="41" width="9.140625" style="12"/>
    <col min="42" max="42" width="9.140625" style="12"/>
    <col min="43" max="43" width="9.140625" style="12"/>
    <col min="44" max="44" width="9.5703125" customWidth="true" style="12"/>
    <col min="45" max="45" width="9.140625" style="12"/>
    <col min="46" max="46" width="9.140625" style="12"/>
    <col min="47" max="47" width="9.140625" style="12"/>
    <col min="48" max="48" width="9.140625" style="12"/>
    <col min="49" max="49" width="9.140625" style="12"/>
    <col min="50" max="50" width="9.5703125" customWidth="true" style="12"/>
    <col min="51" max="51" width="9.140625" style="9"/>
    <col min="52" max="52" width="10.140625" customWidth="true" style="9"/>
  </cols>
  <sheetData>
    <row r="1" spans="1:66" customHeight="1" ht="17.25" s="6" customFormat="1">
      <c r="A1" s="1"/>
      <c r="B1" s="1"/>
      <c r="C1" s="2"/>
      <c r="D1" s="2"/>
      <c r="E1" s="2"/>
      <c r="F1" s="2"/>
      <c r="G1" s="2"/>
      <c r="H1" s="3"/>
      <c r="I1" s="3"/>
      <c r="J1" s="4"/>
      <c r="K1" s="5"/>
      <c r="L1" s="483" t="s">
        <v>128</v>
      </c>
      <c r="M1" s="483"/>
      <c r="N1" s="483"/>
      <c r="O1" s="483"/>
      <c r="P1" s="483"/>
      <c r="Q1" s="483"/>
      <c r="R1" s="483"/>
      <c r="S1" s="5"/>
      <c r="T1" s="5"/>
      <c r="U1" s="5"/>
      <c r="V1" s="4"/>
      <c r="W1" s="4"/>
      <c r="X1" s="4"/>
      <c r="Y1" s="127"/>
      <c r="Z1" s="127"/>
      <c r="AA1" s="127"/>
      <c r="AB1" s="202"/>
      <c r="AC1" s="490" t="s">
        <v>1</v>
      </c>
      <c r="AD1" s="491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</row>
    <row r="2" spans="1:66" customHeight="1" ht="18">
      <c r="A2" s="241" t="str">
        <f>'Qty &amp; UMH GUM'!A2:C2</f>
        <v>S/R NO     : </v>
      </c>
      <c r="B2" s="562"/>
      <c r="C2" s="563"/>
      <c r="D2" s="7"/>
      <c r="E2" s="7"/>
      <c r="F2" s="7"/>
      <c r="G2" s="7"/>
      <c r="J2" s="8"/>
      <c r="K2" s="8"/>
      <c r="N2" s="245" t="str">
        <f>'Qty &amp; UMH GUM'!O2</f>
        <v>900B-486D</v>
      </c>
      <c r="O2" s="488"/>
      <c r="P2" s="488"/>
      <c r="T2" s="145"/>
      <c r="U2" s="8"/>
      <c r="V2" s="8"/>
      <c r="Y2" s="9"/>
      <c r="Z2" s="9"/>
      <c r="AA2" s="9"/>
      <c r="AB2" s="203"/>
      <c r="AC2" s="484"/>
      <c r="AD2" s="481"/>
    </row>
    <row r="3" spans="1:66" customHeight="1" ht="14.25" s="12" customFormat="1">
      <c r="A3" s="241" t="str">
        <f>'Qty &amp; UMH GUM'!A3:C3</f>
        <v>FAX NO   :</v>
      </c>
      <c r="B3" s="562"/>
      <c r="C3" s="563"/>
      <c r="D3" s="7"/>
      <c r="E3" s="7"/>
      <c r="F3" s="7"/>
      <c r="G3" s="7"/>
      <c r="H3" s="4"/>
      <c r="I3" s="4"/>
      <c r="J3" s="4"/>
      <c r="K3" s="4"/>
      <c r="L3" s="4"/>
      <c r="M3" s="4"/>
      <c r="N3" s="82">
        <f>'Qty &amp; UMH GUM'!O3</f>
        <v>46082</v>
      </c>
      <c r="O3" s="476"/>
      <c r="P3" s="476"/>
      <c r="Q3" s="10"/>
      <c r="R3" s="10"/>
      <c r="S3" s="10"/>
      <c r="T3" s="11"/>
      <c r="U3" s="11"/>
      <c r="V3" s="10"/>
      <c r="W3" s="10"/>
      <c r="X3" s="10"/>
      <c r="AB3" s="204"/>
      <c r="AC3" s="485"/>
      <c r="AD3" s="486"/>
    </row>
    <row r="4" spans="1:66" customHeight="1" ht="12">
      <c r="A4" s="241" t="str">
        <f>'Qty &amp; UMH GUM'!A4:C4</f>
        <v>DATE        :  </v>
      </c>
      <c r="B4" s="562"/>
      <c r="C4" s="563"/>
      <c r="D4" s="73"/>
      <c r="E4" s="7"/>
      <c r="F4" s="7"/>
      <c r="G4" s="7"/>
      <c r="N4" s="144"/>
      <c r="Q4" s="144"/>
      <c r="S4" s="144"/>
      <c r="U4" s="144"/>
      <c r="W4" s="144"/>
      <c r="Y4" s="144"/>
      <c r="AA4" s="144"/>
      <c r="AB4" s="205"/>
      <c r="AC4" s="484" t="s">
        <v>150</v>
      </c>
      <c r="AD4" s="481"/>
      <c r="AF4" s="130" t="s">
        <v>10</v>
      </c>
    </row>
    <row r="5" spans="1:66" customHeight="1" ht="11.25" s="12" customFormat="1">
      <c r="A5" s="13"/>
      <c r="B5" s="13"/>
      <c r="C5" s="14">
        <f>NOW()</f>
        <v>46196.1646875</v>
      </c>
      <c r="D5" s="14"/>
      <c r="E5" s="14"/>
      <c r="F5" s="14"/>
      <c r="G5" s="14"/>
      <c r="H5" s="15"/>
      <c r="I5" s="16"/>
      <c r="J5" s="143"/>
      <c r="K5" s="4"/>
      <c r="L5" s="4"/>
      <c r="M5" s="18"/>
      <c r="N5" s="4"/>
      <c r="O5" s="4"/>
      <c r="P5" s="19"/>
      <c r="Q5" s="10"/>
      <c r="R5" s="10"/>
      <c r="S5" s="19"/>
      <c r="T5" s="20">
        <f>'Qty &amp; UMH GUM'!U5</f>
        <v/>
      </c>
      <c r="U5" s="10"/>
      <c r="V5" s="21"/>
      <c r="W5" s="10"/>
      <c r="X5" s="10"/>
      <c r="Y5" s="21"/>
      <c r="Z5" s="10"/>
      <c r="AA5" s="10"/>
      <c r="AB5" s="21"/>
      <c r="AC5" s="10"/>
      <c r="AD5" s="10"/>
    </row>
    <row r="6" spans="1:66" customHeight="1" ht="12.75" s="12" customFormat="1">
      <c r="A6" s="460" t="s">
        <v>17</v>
      </c>
      <c r="B6" s="460" t="s">
        <v>18</v>
      </c>
      <c r="C6" s="447" t="s">
        <v>19</v>
      </c>
      <c r="D6" s="514" t="s">
        <v>20</v>
      </c>
      <c r="E6" s="516" t="s">
        <v>21</v>
      </c>
      <c r="F6" s="447" t="s">
        <v>22</v>
      </c>
      <c r="G6" s="516" t="s">
        <v>23</v>
      </c>
      <c r="H6" s="534" t="s">
        <v>151</v>
      </c>
      <c r="I6" s="450" t="str">
        <f>'Qty &amp; UMH GUM'!J6</f>
        <v>FEB</v>
      </c>
      <c r="J6" s="466"/>
      <c r="K6" s="466"/>
      <c r="L6" s="450" t="str">
        <f>'Qty &amp; UMH GUM'!M6</f>
        <v>MAR</v>
      </c>
      <c r="M6" s="466"/>
      <c r="N6" s="467"/>
      <c r="O6" s="450" t="str">
        <f>'Qty &amp; UMH GUM'!P6</f>
        <v>APR</v>
      </c>
      <c r="P6" s="466"/>
      <c r="Q6" s="467"/>
      <c r="R6" s="451" t="str">
        <f>'Qty &amp; UMH GUM'!S6</f>
        <v>MAY</v>
      </c>
      <c r="S6" s="466"/>
      <c r="T6" s="466"/>
      <c r="U6" s="450" t="str">
        <f>'Qty &amp; UMH GUM'!V6</f>
        <v>JUN</v>
      </c>
      <c r="V6" s="466"/>
      <c r="W6" s="467"/>
      <c r="X6" s="451" t="str">
        <f>'Qty &amp; UMH GUM'!Y6</f>
        <v>JUL</v>
      </c>
      <c r="Y6" s="466"/>
      <c r="Z6" s="466"/>
      <c r="AA6" s="450" t="str">
        <f>'Qty &amp; UMH GUM'!AB6</f>
        <v>AUG</v>
      </c>
      <c r="AB6" s="466"/>
      <c r="AC6" s="467"/>
      <c r="AD6" s="529" t="s">
        <v>40</v>
      </c>
      <c r="AF6" s="465" t="s">
        <v>32</v>
      </c>
      <c r="AG6" s="466"/>
      <c r="AH6" s="467"/>
      <c r="AI6" s="465" t="s">
        <v>25</v>
      </c>
      <c r="AJ6" s="466"/>
      <c r="AK6" s="467"/>
      <c r="AL6" s="465" t="s">
        <v>26</v>
      </c>
      <c r="AM6" s="466"/>
      <c r="AN6" s="467"/>
      <c r="AO6" s="465" t="s">
        <v>27</v>
      </c>
      <c r="AP6" s="466"/>
      <c r="AQ6" s="467"/>
      <c r="AR6" s="465" t="s">
        <v>28</v>
      </c>
      <c r="AS6" s="466"/>
      <c r="AT6" s="467"/>
      <c r="AU6" s="465" t="s">
        <v>29</v>
      </c>
      <c r="AV6" s="466"/>
      <c r="AW6" s="467"/>
      <c r="AX6" s="465" t="s">
        <v>30</v>
      </c>
      <c r="AY6" s="466"/>
      <c r="AZ6" s="467"/>
    </row>
    <row r="7" spans="1:66" customHeight="1" ht="12.75" s="12" customFormat="1">
      <c r="A7" s="461"/>
      <c r="B7" s="461"/>
      <c r="C7" s="448"/>
      <c r="D7" s="482"/>
      <c r="E7" s="517"/>
      <c r="F7" s="448"/>
      <c r="G7" s="517"/>
      <c r="H7" s="535"/>
      <c r="I7" s="468" t="str">
        <f>'Qty &amp; UMH GUM'!J7</f>
        <v>02/FEB ~ 27/FEB</v>
      </c>
      <c r="J7" s="469"/>
      <c r="K7" s="469"/>
      <c r="L7" s="468" t="str">
        <f>'Qty &amp; UMH GUM'!M7</f>
        <v>02/MAR ~ 31/MAR</v>
      </c>
      <c r="M7" s="469"/>
      <c r="N7" s="470"/>
      <c r="O7" s="468" t="str">
        <f>'Qty &amp; UMH GUM'!P7</f>
        <v>01/APR ~ 30/APR</v>
      </c>
      <c r="P7" s="469"/>
      <c r="Q7" s="470"/>
      <c r="R7" s="281" t="str">
        <f>'Qty &amp; UMH GUM'!S7</f>
        <v>02/MAY ~ 30/MAY</v>
      </c>
      <c r="S7" s="469"/>
      <c r="T7" s="469"/>
      <c r="U7" s="468" t="str">
        <f>'Qty &amp; UMH GUM'!V7</f>
        <v>02/JUN ~ 30/JUN</v>
      </c>
      <c r="V7" s="469"/>
      <c r="W7" s="470"/>
      <c r="X7" s="281" t="str">
        <f>'Qty &amp; UMH GUM'!Y7</f>
        <v>01/JUL ~ 31/JUL</v>
      </c>
      <c r="Y7" s="469"/>
      <c r="Z7" s="469"/>
      <c r="AA7" s="468" t="str">
        <f>'Qty &amp; UMH GUM'!AB7</f>
        <v>03/AUG ~ 31/AUG</v>
      </c>
      <c r="AB7" s="469"/>
      <c r="AC7" s="470"/>
      <c r="AD7" s="448"/>
      <c r="AF7" s="468" t="s">
        <v>33</v>
      </c>
      <c r="AG7" s="469"/>
      <c r="AH7" s="470"/>
      <c r="AI7" s="468" t="s">
        <v>34</v>
      </c>
      <c r="AJ7" s="469"/>
      <c r="AK7" s="470"/>
      <c r="AL7" s="468" t="s">
        <v>35</v>
      </c>
      <c r="AM7" s="469"/>
      <c r="AN7" s="470"/>
      <c r="AO7" s="468" t="s">
        <v>36</v>
      </c>
      <c r="AP7" s="469"/>
      <c r="AQ7" s="470"/>
      <c r="AR7" s="468" t="s">
        <v>37</v>
      </c>
      <c r="AS7" s="469"/>
      <c r="AT7" s="470"/>
      <c r="AU7" s="468" t="s">
        <v>38</v>
      </c>
      <c r="AV7" s="469"/>
      <c r="AW7" s="470"/>
      <c r="AX7" s="468" t="s">
        <v>39</v>
      </c>
      <c r="AY7" s="469"/>
      <c r="AZ7" s="470"/>
    </row>
    <row r="8" spans="1:66" customHeight="1" ht="13.5" s="12" customFormat="1">
      <c r="A8" s="462"/>
      <c r="B8" s="462"/>
      <c r="C8" s="449"/>
      <c r="D8" s="515"/>
      <c r="E8" s="518"/>
      <c r="F8" s="449"/>
      <c r="G8" s="518"/>
      <c r="H8" s="536"/>
      <c r="I8" s="22" t="s">
        <v>40</v>
      </c>
      <c r="J8" s="23" t="s">
        <v>41</v>
      </c>
      <c r="K8" s="26" t="s">
        <v>42</v>
      </c>
      <c r="L8" s="22" t="s">
        <v>40</v>
      </c>
      <c r="M8" s="23" t="s">
        <v>41</v>
      </c>
      <c r="N8" s="24" t="s">
        <v>42</v>
      </c>
      <c r="O8" s="22" t="s">
        <v>40</v>
      </c>
      <c r="P8" s="23" t="s">
        <v>41</v>
      </c>
      <c r="Q8" s="24" t="s">
        <v>42</v>
      </c>
      <c r="R8" s="25" t="s">
        <v>40</v>
      </c>
      <c r="S8" s="23" t="s">
        <v>41</v>
      </c>
      <c r="T8" s="26" t="s">
        <v>42</v>
      </c>
      <c r="U8" s="22" t="s">
        <v>40</v>
      </c>
      <c r="V8" s="23" t="s">
        <v>41</v>
      </c>
      <c r="W8" s="24" t="s">
        <v>42</v>
      </c>
      <c r="X8" s="25" t="s">
        <v>40</v>
      </c>
      <c r="Y8" s="23" t="s">
        <v>41</v>
      </c>
      <c r="Z8" s="26" t="s">
        <v>42</v>
      </c>
      <c r="AA8" s="22" t="s">
        <v>40</v>
      </c>
      <c r="AB8" s="23" t="s">
        <v>41</v>
      </c>
      <c r="AC8" s="24" t="s">
        <v>42</v>
      </c>
      <c r="AD8" s="530"/>
      <c r="AF8" s="22" t="s">
        <v>40</v>
      </c>
      <c r="AG8" s="23" t="s">
        <v>41</v>
      </c>
      <c r="AH8" s="24" t="s">
        <v>42</v>
      </c>
      <c r="AI8" s="25" t="s">
        <v>40</v>
      </c>
      <c r="AJ8" s="23" t="s">
        <v>41</v>
      </c>
      <c r="AK8" s="26" t="s">
        <v>42</v>
      </c>
      <c r="AL8" s="22" t="s">
        <v>40</v>
      </c>
      <c r="AM8" s="23" t="s">
        <v>41</v>
      </c>
      <c r="AN8" s="24" t="s">
        <v>42</v>
      </c>
      <c r="AO8" s="25" t="s">
        <v>40</v>
      </c>
      <c r="AP8" s="23" t="s">
        <v>41</v>
      </c>
      <c r="AQ8" s="26" t="s">
        <v>42</v>
      </c>
      <c r="AR8" s="22" t="s">
        <v>40</v>
      </c>
      <c r="AS8" s="23" t="s">
        <v>41</v>
      </c>
      <c r="AT8" s="24" t="s">
        <v>42</v>
      </c>
      <c r="AU8" s="25" t="s">
        <v>40</v>
      </c>
      <c r="AV8" s="23" t="s">
        <v>41</v>
      </c>
      <c r="AW8" s="26" t="s">
        <v>42</v>
      </c>
      <c r="AX8" s="22" t="s">
        <v>40</v>
      </c>
      <c r="AY8" s="23" t="s">
        <v>41</v>
      </c>
      <c r="AZ8" s="24" t="s">
        <v>42</v>
      </c>
    </row>
    <row r="9" spans="1:66" customHeight="1" ht="15.75">
      <c r="A9" s="520" t="s">
        <v>131</v>
      </c>
      <c r="B9" s="521"/>
      <c r="C9" s="158" t="e">
        <v>#REF!</v>
      </c>
      <c r="D9" s="54" t="e">
        <v>#REF!</v>
      </c>
      <c r="E9" s="37"/>
      <c r="F9" s="37" t="e">
        <v>#REF!</v>
      </c>
      <c r="G9" s="37" t="e">
        <v>#REF!</v>
      </c>
      <c r="H9" s="38" t="e">
        <v>#REF!</v>
      </c>
      <c r="I9" s="42" t="e">
        <v>#REF!</v>
      </c>
      <c r="J9" s="49" t="e">
        <v>#REF!</v>
      </c>
      <c r="K9" s="185" t="e">
        <v>#REF!</v>
      </c>
      <c r="L9" s="39" t="e">
        <v>#REF!</v>
      </c>
      <c r="M9" s="40" t="e">
        <v>#REF!</v>
      </c>
      <c r="N9" s="41" t="e">
        <v>#REF!</v>
      </c>
      <c r="O9" s="39" t="e">
        <v>#REF!</v>
      </c>
      <c r="P9" s="40" t="e">
        <v>#REF!</v>
      </c>
      <c r="Q9" s="41" t="e">
        <v>#REF!</v>
      </c>
      <c r="R9" s="42" t="e">
        <v>#REF!</v>
      </c>
      <c r="S9" s="40" t="e">
        <v>#REF!</v>
      </c>
      <c r="T9" s="43" t="e">
        <v>#REF!</v>
      </c>
      <c r="U9" s="39" t="e">
        <v>#REF!</v>
      </c>
      <c r="V9" s="40" t="e">
        <v>#REF!</v>
      </c>
      <c r="W9" s="41" t="e">
        <v>#REF!</v>
      </c>
      <c r="X9" s="42" t="e">
        <v>#REF!</v>
      </c>
      <c r="Y9" s="40" t="e">
        <v>#REF!</v>
      </c>
      <c r="Z9" s="43" t="e">
        <v>#REF!</v>
      </c>
      <c r="AA9" s="39" t="e">
        <v>#REF!</v>
      </c>
      <c r="AB9" s="40" t="e">
        <v>#REF!</v>
      </c>
      <c r="AC9" s="41" t="e">
        <v>#REF!</v>
      </c>
      <c r="AD9" s="56" t="e">
        <v>#REF!</v>
      </c>
      <c r="AF9" s="131" t="e">
        <f>I9*F9</f>
        <v>#REF!</v>
      </c>
      <c r="AG9" s="132" t="e">
        <f>J9*F9</f>
        <v>#REF!</v>
      </c>
      <c r="AH9" s="133" t="e">
        <f>K9*F9</f>
        <v>#REF!</v>
      </c>
      <c r="AI9" s="33" t="e">
        <f>L9*F9</f>
        <v>#REF!</v>
      </c>
      <c r="AJ9" s="132" t="e">
        <f>M9*F9</f>
        <v>#REF!</v>
      </c>
      <c r="AK9" s="133" t="e">
        <f>N9*F9</f>
        <v>#REF!</v>
      </c>
      <c r="AL9" s="33" t="e">
        <f>O9*F9</f>
        <v>#REF!</v>
      </c>
      <c r="AM9" s="132" t="e">
        <f>P9*F9</f>
        <v>#REF!</v>
      </c>
      <c r="AN9" s="133" t="e">
        <f>Q9*F9</f>
        <v>#REF!</v>
      </c>
      <c r="AO9" s="33" t="e">
        <f>R9*F9</f>
        <v>#REF!</v>
      </c>
      <c r="AP9" s="132" t="e">
        <f>S9*F9</f>
        <v>#REF!</v>
      </c>
      <c r="AQ9" s="133" t="e">
        <f>T9*F9</f>
        <v>#REF!</v>
      </c>
      <c r="AR9" s="33" t="e">
        <f>U9*F9</f>
        <v>#REF!</v>
      </c>
      <c r="AS9" s="132" t="e">
        <f>V9*F9</f>
        <v>#REF!</v>
      </c>
      <c r="AT9" s="133" t="e">
        <f>W9*F9</f>
        <v>#REF!</v>
      </c>
      <c r="AU9" s="33" t="e">
        <f>X9*F9</f>
        <v>#REF!</v>
      </c>
      <c r="AV9" s="132" t="e">
        <f>Y9*F9</f>
        <v>#REF!</v>
      </c>
      <c r="AW9" s="133" t="e">
        <f>Z9*F9</f>
        <v>#REF!</v>
      </c>
      <c r="AX9" s="33" t="e">
        <f>AA9*F9</f>
        <v>#REF!</v>
      </c>
      <c r="AY9" s="132" t="e">
        <f>AB9*F9</f>
        <v>#REF!</v>
      </c>
      <c r="AZ9" s="133" t="e">
        <f>AC9*F9</f>
        <v>#REF!</v>
      </c>
    </row>
    <row r="10" spans="1:66" customHeight="1" ht="15.75">
      <c r="A10" s="445"/>
      <c r="B10" s="522"/>
      <c r="C10" s="159" t="e">
        <v>#REF!</v>
      </c>
      <c r="D10" s="55" t="e">
        <v>#REF!</v>
      </c>
      <c r="E10" s="27"/>
      <c r="F10" s="27" t="e">
        <v>#REF!</v>
      </c>
      <c r="G10" s="27" t="e">
        <v>#REF!</v>
      </c>
      <c r="H10" s="28" t="e">
        <v>#REF!</v>
      </c>
      <c r="I10" s="47" t="e">
        <v>#REF!</v>
      </c>
      <c r="J10" s="51" t="e">
        <v>#REF!</v>
      </c>
      <c r="K10" s="186" t="e">
        <v>#REF!</v>
      </c>
      <c r="L10" s="44" t="e">
        <v>#REF!</v>
      </c>
      <c r="M10" s="45" t="e">
        <v>#REF!</v>
      </c>
      <c r="N10" s="46" t="e">
        <v>#REF!</v>
      </c>
      <c r="O10" s="44" t="e">
        <v>#REF!</v>
      </c>
      <c r="P10" s="45" t="e">
        <v>#REF!</v>
      </c>
      <c r="Q10" s="46" t="e">
        <v>#REF!</v>
      </c>
      <c r="R10" s="47" t="e">
        <v>#REF!</v>
      </c>
      <c r="S10" s="45" t="e">
        <v>#REF!</v>
      </c>
      <c r="T10" s="48" t="e">
        <v>#REF!</v>
      </c>
      <c r="U10" s="44" t="e">
        <v>#REF!</v>
      </c>
      <c r="V10" s="45" t="e">
        <v>#REF!</v>
      </c>
      <c r="W10" s="46" t="e">
        <v>#REF!</v>
      </c>
      <c r="X10" s="47" t="e">
        <v>#REF!</v>
      </c>
      <c r="Y10" s="45" t="e">
        <v>#REF!</v>
      </c>
      <c r="Z10" s="48" t="e">
        <v>#REF!</v>
      </c>
      <c r="AA10" s="44" t="e">
        <v>#REF!</v>
      </c>
      <c r="AB10" s="45" t="e">
        <v>#REF!</v>
      </c>
      <c r="AC10" s="46" t="e">
        <v>#REF!</v>
      </c>
      <c r="AD10" s="53" t="e">
        <v>#REF!</v>
      </c>
      <c r="AF10" s="131" t="e">
        <f>I10*F10</f>
        <v>#REF!</v>
      </c>
      <c r="AG10" s="132" t="e">
        <f>J10*F10</f>
        <v>#REF!</v>
      </c>
      <c r="AH10" s="133" t="e">
        <f>K10*F10</f>
        <v>#REF!</v>
      </c>
      <c r="AI10" s="33" t="e">
        <f>L10*F10</f>
        <v>#REF!</v>
      </c>
      <c r="AJ10" s="132" t="e">
        <f>M10*F10</f>
        <v>#REF!</v>
      </c>
      <c r="AK10" s="133" t="e">
        <f>N10*F10</f>
        <v>#REF!</v>
      </c>
      <c r="AL10" s="33" t="e">
        <f>O10*F10</f>
        <v>#REF!</v>
      </c>
      <c r="AM10" s="132" t="e">
        <f>P10*F10</f>
        <v>#REF!</v>
      </c>
      <c r="AN10" s="133" t="e">
        <f>Q10*F10</f>
        <v>#REF!</v>
      </c>
      <c r="AO10" s="33" t="e">
        <f>R10*F10</f>
        <v>#REF!</v>
      </c>
      <c r="AP10" s="132" t="e">
        <f>S10*F10</f>
        <v>#REF!</v>
      </c>
      <c r="AQ10" s="133" t="e">
        <f>T10*F10</f>
        <v>#REF!</v>
      </c>
      <c r="AR10" s="33" t="e">
        <f>U10*F10</f>
        <v>#REF!</v>
      </c>
      <c r="AS10" s="132" t="e">
        <f>V10*F10</f>
        <v>#REF!</v>
      </c>
      <c r="AT10" s="133" t="e">
        <f>W10*F10</f>
        <v>#REF!</v>
      </c>
      <c r="AU10" s="33" t="e">
        <f>X10*F10</f>
        <v>#REF!</v>
      </c>
      <c r="AV10" s="132" t="e">
        <f>Y10*F10</f>
        <v>#REF!</v>
      </c>
      <c r="AW10" s="133" t="e">
        <f>Z10*F10</f>
        <v>#REF!</v>
      </c>
      <c r="AX10" s="33" t="e">
        <f>AA10*F10</f>
        <v>#REF!</v>
      </c>
      <c r="AY10" s="132" t="e">
        <f>AB10*F10</f>
        <v>#REF!</v>
      </c>
      <c r="AZ10" s="133" t="e">
        <f>AC10*F10</f>
        <v>#REF!</v>
      </c>
    </row>
    <row r="11" spans="1:66" customHeight="1" ht="15.75">
      <c r="A11" s="445"/>
      <c r="B11" s="522"/>
      <c r="C11" s="159" t="e">
        <v>#REF!</v>
      </c>
      <c r="D11" s="55" t="e">
        <v>#REF!</v>
      </c>
      <c r="E11" s="27"/>
      <c r="F11" s="27" t="e">
        <v>#REF!</v>
      </c>
      <c r="G11" s="27" t="e">
        <v>#REF!</v>
      </c>
      <c r="H11" s="28" t="e">
        <v>#REF!</v>
      </c>
      <c r="I11" s="47" t="e">
        <v>#REF!</v>
      </c>
      <c r="J11" s="45" t="e">
        <v>#REF!</v>
      </c>
      <c r="K11" s="48" t="e">
        <v>#REF!</v>
      </c>
      <c r="L11" s="44" t="e">
        <v>#REF!</v>
      </c>
      <c r="M11" s="45" t="e">
        <v>#REF!</v>
      </c>
      <c r="N11" s="46" t="e">
        <v>#REF!</v>
      </c>
      <c r="O11" s="44" t="e">
        <v>#REF!</v>
      </c>
      <c r="P11" s="45" t="e">
        <v>#REF!</v>
      </c>
      <c r="Q11" s="46" t="e">
        <v>#REF!</v>
      </c>
      <c r="R11" s="47" t="e">
        <v>#REF!</v>
      </c>
      <c r="S11" s="45" t="e">
        <v>#REF!</v>
      </c>
      <c r="T11" s="48" t="e">
        <v>#REF!</v>
      </c>
      <c r="U11" s="44" t="e">
        <v>#REF!</v>
      </c>
      <c r="V11" s="45" t="e">
        <v>#REF!</v>
      </c>
      <c r="W11" s="46" t="e">
        <v>#REF!</v>
      </c>
      <c r="X11" s="47" t="e">
        <v>#REF!</v>
      </c>
      <c r="Y11" s="45" t="e">
        <v>#REF!</v>
      </c>
      <c r="Z11" s="48" t="e">
        <v>#REF!</v>
      </c>
      <c r="AA11" s="44" t="e">
        <v>#REF!</v>
      </c>
      <c r="AB11" s="45" t="e">
        <v>#REF!</v>
      </c>
      <c r="AC11" s="46" t="e">
        <v>#REF!</v>
      </c>
      <c r="AD11" s="53" t="e">
        <v>#REF!</v>
      </c>
      <c r="AF11" s="131" t="e">
        <f>I11*F11</f>
        <v>#REF!</v>
      </c>
      <c r="AG11" s="132" t="e">
        <f>J11*F11</f>
        <v>#REF!</v>
      </c>
      <c r="AH11" s="133" t="e">
        <f>K11*F11</f>
        <v>#REF!</v>
      </c>
      <c r="AI11" s="33" t="e">
        <f>L11*F11</f>
        <v>#REF!</v>
      </c>
      <c r="AJ11" s="132" t="e">
        <f>M11*F11</f>
        <v>#REF!</v>
      </c>
      <c r="AK11" s="133" t="e">
        <f>N11*F11</f>
        <v>#REF!</v>
      </c>
      <c r="AL11" s="33" t="e">
        <f>O11*F11</f>
        <v>#REF!</v>
      </c>
      <c r="AM11" s="132" t="e">
        <f>P11*F11</f>
        <v>#REF!</v>
      </c>
      <c r="AN11" s="133" t="e">
        <f>Q11*F11</f>
        <v>#REF!</v>
      </c>
      <c r="AO11" s="33" t="e">
        <f>R11*F11</f>
        <v>#REF!</v>
      </c>
      <c r="AP11" s="132" t="e">
        <f>S11*F11</f>
        <v>#REF!</v>
      </c>
      <c r="AQ11" s="133" t="e">
        <f>T11*F11</f>
        <v>#REF!</v>
      </c>
      <c r="AR11" s="33" t="e">
        <f>U11*F11</f>
        <v>#REF!</v>
      </c>
      <c r="AS11" s="132" t="e">
        <f>V11*F11</f>
        <v>#REF!</v>
      </c>
      <c r="AT11" s="133" t="e">
        <f>W11*F11</f>
        <v>#REF!</v>
      </c>
      <c r="AU11" s="33" t="e">
        <f>X11*F11</f>
        <v>#REF!</v>
      </c>
      <c r="AV11" s="132" t="e">
        <f>Y11*F11</f>
        <v>#REF!</v>
      </c>
      <c r="AW11" s="133" t="e">
        <f>Z11*F11</f>
        <v>#REF!</v>
      </c>
      <c r="AX11" s="33" t="e">
        <f>AA11*F11</f>
        <v>#REF!</v>
      </c>
      <c r="AY11" s="132" t="e">
        <f>AB11*F11</f>
        <v>#REF!</v>
      </c>
      <c r="AZ11" s="133" t="e">
        <f>AC11*F11</f>
        <v>#REF!</v>
      </c>
    </row>
    <row r="12" spans="1:66" customHeight="1" ht="15.75">
      <c r="A12" s="445"/>
      <c r="B12" s="522"/>
      <c r="C12" s="159" t="e">
        <v>#REF!</v>
      </c>
      <c r="D12" s="55" t="e">
        <v>#REF!</v>
      </c>
      <c r="E12" s="27"/>
      <c r="F12" s="27" t="e">
        <v>#REF!</v>
      </c>
      <c r="G12" s="27" t="e">
        <v>#REF!</v>
      </c>
      <c r="H12" s="28" t="e">
        <v>#REF!</v>
      </c>
      <c r="I12" s="47" t="e">
        <v>#REF!</v>
      </c>
      <c r="J12" s="45" t="e">
        <v>#REF!</v>
      </c>
      <c r="K12" s="48" t="e">
        <v>#REF!</v>
      </c>
      <c r="L12" s="44" t="e">
        <v>#REF!</v>
      </c>
      <c r="M12" s="45" t="e">
        <v>#REF!</v>
      </c>
      <c r="N12" s="46" t="e">
        <v>#REF!</v>
      </c>
      <c r="O12" s="44" t="e">
        <v>#REF!</v>
      </c>
      <c r="P12" s="45" t="e">
        <v>#REF!</v>
      </c>
      <c r="Q12" s="46" t="e">
        <v>#REF!</v>
      </c>
      <c r="R12" s="47" t="e">
        <v>#REF!</v>
      </c>
      <c r="S12" s="45" t="e">
        <v>#REF!</v>
      </c>
      <c r="T12" s="48" t="e">
        <v>#REF!</v>
      </c>
      <c r="U12" s="44" t="e">
        <v>#REF!</v>
      </c>
      <c r="V12" s="45" t="e">
        <v>#REF!</v>
      </c>
      <c r="W12" s="46" t="e">
        <v>#REF!</v>
      </c>
      <c r="X12" s="47" t="e">
        <v>#REF!</v>
      </c>
      <c r="Y12" s="45" t="e">
        <v>#REF!</v>
      </c>
      <c r="Z12" s="48" t="e">
        <v>#REF!</v>
      </c>
      <c r="AA12" s="44" t="e">
        <v>#REF!</v>
      </c>
      <c r="AB12" s="45" t="e">
        <v>#REF!</v>
      </c>
      <c r="AC12" s="46" t="e">
        <v>#REF!</v>
      </c>
      <c r="AD12" s="53" t="e">
        <v>#REF!</v>
      </c>
      <c r="AF12" s="131" t="e">
        <f>I12*F12</f>
        <v>#REF!</v>
      </c>
      <c r="AG12" s="132" t="e">
        <f>J12*F12</f>
        <v>#REF!</v>
      </c>
      <c r="AH12" s="133" t="e">
        <f>K12*F12</f>
        <v>#REF!</v>
      </c>
      <c r="AI12" s="33" t="e">
        <f>L12*F12</f>
        <v>#REF!</v>
      </c>
      <c r="AJ12" s="132" t="e">
        <f>M12*F12</f>
        <v>#REF!</v>
      </c>
      <c r="AK12" s="133" t="e">
        <f>N12*F12</f>
        <v>#REF!</v>
      </c>
      <c r="AL12" s="33" t="e">
        <f>O12*F12</f>
        <v>#REF!</v>
      </c>
      <c r="AM12" s="132" t="e">
        <f>P12*F12</f>
        <v>#REF!</v>
      </c>
      <c r="AN12" s="133" t="e">
        <f>Q12*F12</f>
        <v>#REF!</v>
      </c>
      <c r="AO12" s="33" t="e">
        <f>R12*F12</f>
        <v>#REF!</v>
      </c>
      <c r="AP12" s="132" t="e">
        <f>S12*F12</f>
        <v>#REF!</v>
      </c>
      <c r="AQ12" s="133" t="e">
        <f>T12*F12</f>
        <v>#REF!</v>
      </c>
      <c r="AR12" s="33" t="e">
        <f>U12*F12</f>
        <v>#REF!</v>
      </c>
      <c r="AS12" s="132" t="e">
        <f>V12*F12</f>
        <v>#REF!</v>
      </c>
      <c r="AT12" s="133" t="e">
        <f>W12*F12</f>
        <v>#REF!</v>
      </c>
      <c r="AU12" s="33" t="e">
        <f>X12*F12</f>
        <v>#REF!</v>
      </c>
      <c r="AV12" s="132" t="e">
        <f>Y12*F12</f>
        <v>#REF!</v>
      </c>
      <c r="AW12" s="133" t="e">
        <f>Z12*F12</f>
        <v>#REF!</v>
      </c>
      <c r="AX12" s="33" t="e">
        <f>AA12*F12</f>
        <v>#REF!</v>
      </c>
      <c r="AY12" s="132" t="e">
        <f>AB12*F12</f>
        <v>#REF!</v>
      </c>
      <c r="AZ12" s="133" t="e">
        <f>AC12*F12</f>
        <v>#REF!</v>
      </c>
    </row>
    <row r="13" spans="1:66" customHeight="1" ht="15.75">
      <c r="A13" s="445"/>
      <c r="B13" s="522"/>
      <c r="C13" s="159" t="e">
        <v>#REF!</v>
      </c>
      <c r="D13" s="55" t="e">
        <v>#REF!</v>
      </c>
      <c r="E13" s="27"/>
      <c r="F13" s="27" t="e">
        <v>#REF!</v>
      </c>
      <c r="G13" s="27" t="e">
        <v>#REF!</v>
      </c>
      <c r="H13" s="28" t="e">
        <v>#REF!</v>
      </c>
      <c r="I13" s="47" t="e">
        <v>#REF!</v>
      </c>
      <c r="J13" s="45" t="e">
        <v>#REF!</v>
      </c>
      <c r="K13" s="48" t="e">
        <v>#REF!</v>
      </c>
      <c r="L13" s="44" t="e">
        <v>#REF!</v>
      </c>
      <c r="M13" s="45" t="e">
        <v>#REF!</v>
      </c>
      <c r="N13" s="46" t="e">
        <v>#REF!</v>
      </c>
      <c r="O13" s="44" t="e">
        <v>#REF!</v>
      </c>
      <c r="P13" s="45" t="e">
        <v>#REF!</v>
      </c>
      <c r="Q13" s="46" t="e">
        <v>#REF!</v>
      </c>
      <c r="R13" s="47" t="e">
        <v>#REF!</v>
      </c>
      <c r="S13" s="45" t="e">
        <v>#REF!</v>
      </c>
      <c r="T13" s="48" t="e">
        <v>#REF!</v>
      </c>
      <c r="U13" s="44" t="e">
        <v>#REF!</v>
      </c>
      <c r="V13" s="45" t="e">
        <v>#REF!</v>
      </c>
      <c r="W13" s="46" t="e">
        <v>#REF!</v>
      </c>
      <c r="X13" s="47" t="e">
        <v>#REF!</v>
      </c>
      <c r="Y13" s="45" t="e">
        <v>#REF!</v>
      </c>
      <c r="Z13" s="48" t="e">
        <v>#REF!</v>
      </c>
      <c r="AA13" s="44" t="e">
        <v>#REF!</v>
      </c>
      <c r="AB13" s="45" t="e">
        <v>#REF!</v>
      </c>
      <c r="AC13" s="46" t="e">
        <v>#REF!</v>
      </c>
      <c r="AD13" s="53" t="e">
        <v>#REF!</v>
      </c>
      <c r="AF13" s="131" t="e">
        <f>I13*F13</f>
        <v>#REF!</v>
      </c>
      <c r="AG13" s="132" t="e">
        <f>J13*F13</f>
        <v>#REF!</v>
      </c>
      <c r="AH13" s="133" t="e">
        <f>K13*F13</f>
        <v>#REF!</v>
      </c>
      <c r="AI13" s="33" t="e">
        <f>L13*F13</f>
        <v>#REF!</v>
      </c>
      <c r="AJ13" s="132" t="e">
        <f>M13*F13</f>
        <v>#REF!</v>
      </c>
      <c r="AK13" s="133" t="e">
        <f>N13*F13</f>
        <v>#REF!</v>
      </c>
      <c r="AL13" s="33" t="e">
        <f>O13*F13</f>
        <v>#REF!</v>
      </c>
      <c r="AM13" s="132" t="e">
        <f>P13*F13</f>
        <v>#REF!</v>
      </c>
      <c r="AN13" s="133" t="e">
        <f>Q13*F13</f>
        <v>#REF!</v>
      </c>
      <c r="AO13" s="33" t="e">
        <f>R13*F13</f>
        <v>#REF!</v>
      </c>
      <c r="AP13" s="132" t="e">
        <f>S13*F13</f>
        <v>#REF!</v>
      </c>
      <c r="AQ13" s="133" t="e">
        <f>T13*F13</f>
        <v>#REF!</v>
      </c>
      <c r="AR13" s="33" t="e">
        <f>U13*F13</f>
        <v>#REF!</v>
      </c>
      <c r="AS13" s="132" t="e">
        <f>V13*F13</f>
        <v>#REF!</v>
      </c>
      <c r="AT13" s="133" t="e">
        <f>W13*F13</f>
        <v>#REF!</v>
      </c>
      <c r="AU13" s="33" t="e">
        <f>X13*F13</f>
        <v>#REF!</v>
      </c>
      <c r="AV13" s="132" t="e">
        <f>Y13*F13</f>
        <v>#REF!</v>
      </c>
      <c r="AW13" s="133" t="e">
        <f>Z13*F13</f>
        <v>#REF!</v>
      </c>
      <c r="AX13" s="33" t="e">
        <f>AA13*F13</f>
        <v>#REF!</v>
      </c>
      <c r="AY13" s="132" t="e">
        <f>AB13*F13</f>
        <v>#REF!</v>
      </c>
      <c r="AZ13" s="133" t="e">
        <f>AC13*F13</f>
        <v>#REF!</v>
      </c>
    </row>
    <row r="14" spans="1:66" customHeight="1" ht="15.75">
      <c r="A14" s="445"/>
      <c r="B14" s="522"/>
      <c r="C14" s="159" t="e">
        <v>#REF!</v>
      </c>
      <c r="D14" s="55" t="e">
        <v>#REF!</v>
      </c>
      <c r="E14" s="27"/>
      <c r="F14" s="27" t="e">
        <v>#REF!</v>
      </c>
      <c r="G14" s="27" t="e">
        <v>#REF!</v>
      </c>
      <c r="H14" s="28" t="e">
        <v>#REF!</v>
      </c>
      <c r="I14" s="47" t="e">
        <v>#REF!</v>
      </c>
      <c r="J14" s="45" t="e">
        <v>#REF!</v>
      </c>
      <c r="K14" s="48" t="e">
        <v>#REF!</v>
      </c>
      <c r="L14" s="44" t="e">
        <v>#REF!</v>
      </c>
      <c r="M14" s="45" t="e">
        <v>#REF!</v>
      </c>
      <c r="N14" s="46" t="e">
        <v>#REF!</v>
      </c>
      <c r="O14" s="44" t="e">
        <v>#REF!</v>
      </c>
      <c r="P14" s="45" t="e">
        <v>#REF!</v>
      </c>
      <c r="Q14" s="46" t="e">
        <v>#REF!</v>
      </c>
      <c r="R14" s="47" t="e">
        <v>#REF!</v>
      </c>
      <c r="S14" s="45" t="e">
        <v>#REF!</v>
      </c>
      <c r="T14" s="48" t="e">
        <v>#REF!</v>
      </c>
      <c r="U14" s="44" t="e">
        <v>#REF!</v>
      </c>
      <c r="V14" s="45" t="e">
        <v>#REF!</v>
      </c>
      <c r="W14" s="46" t="e">
        <v>#REF!</v>
      </c>
      <c r="X14" s="47" t="e">
        <v>#REF!</v>
      </c>
      <c r="Y14" s="45" t="e">
        <v>#REF!</v>
      </c>
      <c r="Z14" s="48" t="e">
        <v>#REF!</v>
      </c>
      <c r="AA14" s="44" t="e">
        <v>#REF!</v>
      </c>
      <c r="AB14" s="45" t="e">
        <v>#REF!</v>
      </c>
      <c r="AC14" s="46" t="e">
        <v>#REF!</v>
      </c>
      <c r="AD14" s="53" t="e">
        <v>#REF!</v>
      </c>
      <c r="AF14" s="131" t="e">
        <f>I14*F14</f>
        <v>#REF!</v>
      </c>
      <c r="AG14" s="132" t="e">
        <f>J14*F14</f>
        <v>#REF!</v>
      </c>
      <c r="AH14" s="133" t="e">
        <f>K14*F14</f>
        <v>#REF!</v>
      </c>
      <c r="AI14" s="33" t="e">
        <f>L14*F14</f>
        <v>#REF!</v>
      </c>
      <c r="AJ14" s="132" t="e">
        <f>M14*F14</f>
        <v>#REF!</v>
      </c>
      <c r="AK14" s="133" t="e">
        <f>N14*F14</f>
        <v>#REF!</v>
      </c>
      <c r="AL14" s="33" t="e">
        <f>O14*F14</f>
        <v>#REF!</v>
      </c>
      <c r="AM14" s="132" t="e">
        <f>P14*F14</f>
        <v>#REF!</v>
      </c>
      <c r="AN14" s="133" t="e">
        <f>Q14*F14</f>
        <v>#REF!</v>
      </c>
      <c r="AO14" s="33" t="e">
        <f>R14*F14</f>
        <v>#REF!</v>
      </c>
      <c r="AP14" s="132" t="e">
        <f>S14*F14</f>
        <v>#REF!</v>
      </c>
      <c r="AQ14" s="133" t="e">
        <f>T14*F14</f>
        <v>#REF!</v>
      </c>
      <c r="AR14" s="33" t="e">
        <f>U14*F14</f>
        <v>#REF!</v>
      </c>
      <c r="AS14" s="132" t="e">
        <f>V14*F14</f>
        <v>#REF!</v>
      </c>
      <c r="AT14" s="133" t="e">
        <f>W14*F14</f>
        <v>#REF!</v>
      </c>
      <c r="AU14" s="33" t="e">
        <f>X14*F14</f>
        <v>#REF!</v>
      </c>
      <c r="AV14" s="132" t="e">
        <f>Y14*F14</f>
        <v>#REF!</v>
      </c>
      <c r="AW14" s="133" t="e">
        <f>Z14*F14</f>
        <v>#REF!</v>
      </c>
      <c r="AX14" s="33" t="e">
        <f>AA14*F14</f>
        <v>#REF!</v>
      </c>
      <c r="AY14" s="132" t="e">
        <f>AB14*F14</f>
        <v>#REF!</v>
      </c>
      <c r="AZ14" s="133" t="e">
        <f>AC14*F14</f>
        <v>#REF!</v>
      </c>
    </row>
    <row r="15" spans="1:66" customHeight="1" ht="15.75">
      <c r="A15" s="445"/>
      <c r="B15" s="523"/>
      <c r="C15" s="556" t="s">
        <v>152</v>
      </c>
      <c r="D15" s="557"/>
      <c r="E15" s="557"/>
      <c r="F15" s="557"/>
      <c r="G15" s="557"/>
      <c r="H15" s="558"/>
      <c r="I15" s="85" t="e">
        <f>SUM(I9:I14)</f>
        <v>#REF!</v>
      </c>
      <c r="J15" s="86" t="e">
        <f>SUM(J9:J14)</f>
        <v>#REF!</v>
      </c>
      <c r="K15" s="179" t="e">
        <f>SUM(K9:K14)</f>
        <v>#REF!</v>
      </c>
      <c r="L15" s="89" t="e">
        <f>SUM(L9:L14)</f>
        <v>#REF!</v>
      </c>
      <c r="M15" s="86" t="e">
        <f>SUM(M9:M14)</f>
        <v>#REF!</v>
      </c>
      <c r="N15" s="87" t="e">
        <f>SUM(N9:N14)</f>
        <v>#REF!</v>
      </c>
      <c r="O15" s="89" t="e">
        <f>SUM(O9:O14)</f>
        <v>#REF!</v>
      </c>
      <c r="P15" s="86" t="e">
        <f>SUM(P9:P14)</f>
        <v>#REF!</v>
      </c>
      <c r="Q15" s="87" t="e">
        <f>SUM(Q9:Q14)</f>
        <v>#REF!</v>
      </c>
      <c r="R15" s="85" t="e">
        <f>SUM(R9:R14)</f>
        <v>#REF!</v>
      </c>
      <c r="S15" s="86" t="e">
        <f>SUM(S9:S14)</f>
        <v>#REF!</v>
      </c>
      <c r="T15" s="179" t="e">
        <f>SUM(T9:T14)</f>
        <v>#REF!</v>
      </c>
      <c r="U15" s="89" t="e">
        <f>SUM(U9:U14)</f>
        <v>#REF!</v>
      </c>
      <c r="V15" s="86" t="e">
        <f>SUM(V9:V14)</f>
        <v>#REF!</v>
      </c>
      <c r="W15" s="87" t="e">
        <f>SUM(W9:W14)</f>
        <v>#REF!</v>
      </c>
      <c r="X15" s="85" t="e">
        <f>SUM(X9:X14)</f>
        <v>#REF!</v>
      </c>
      <c r="Y15" s="86" t="e">
        <f>SUM(Y9:Y14)</f>
        <v>#REF!</v>
      </c>
      <c r="Z15" s="179" t="e">
        <f>SUM(Z9:Z14)</f>
        <v>#REF!</v>
      </c>
      <c r="AA15" s="89" t="e">
        <f>SUM(AA9:AA14)</f>
        <v>#REF!</v>
      </c>
      <c r="AB15" s="86" t="e">
        <f>SUM(AB9:AB14)</f>
        <v>#REF!</v>
      </c>
      <c r="AC15" s="87" t="e">
        <f>SUM(AC9:AC14)</f>
        <v>#REF!</v>
      </c>
      <c r="AD15" s="88" t="e">
        <f>SUM(AD9:AD14)</f>
        <v>#REF!</v>
      </c>
      <c r="AF15" s="131" t="e">
        <f>I15*F15</f>
        <v>#REF!</v>
      </c>
      <c r="AG15" s="132" t="e">
        <f>J15*F15</f>
        <v>#REF!</v>
      </c>
      <c r="AH15" s="133" t="e">
        <f>K15*F15</f>
        <v>#REF!</v>
      </c>
      <c r="AI15" s="33" t="e">
        <f>L15*F15</f>
        <v>#REF!</v>
      </c>
      <c r="AJ15" s="132" t="e">
        <f>M15*F15</f>
        <v>#REF!</v>
      </c>
      <c r="AK15" s="133" t="e">
        <f>N15*F15</f>
        <v>#REF!</v>
      </c>
      <c r="AL15" s="33" t="e">
        <f>O15*F15</f>
        <v>#REF!</v>
      </c>
      <c r="AM15" s="132" t="e">
        <f>P15*F15</f>
        <v>#REF!</v>
      </c>
      <c r="AN15" s="133" t="e">
        <f>Q15*F15</f>
        <v>#REF!</v>
      </c>
      <c r="AO15" s="33" t="e">
        <f>R15*F15</f>
        <v>#REF!</v>
      </c>
      <c r="AP15" s="132" t="e">
        <f>S15*F15</f>
        <v>#REF!</v>
      </c>
      <c r="AQ15" s="133" t="e">
        <f>T15*F15</f>
        <v>#REF!</v>
      </c>
      <c r="AR15" s="33" t="e">
        <f>U15*F15</f>
        <v>#REF!</v>
      </c>
      <c r="AS15" s="132" t="e">
        <f>V15*F15</f>
        <v>#REF!</v>
      </c>
      <c r="AT15" s="133" t="e">
        <f>W15*F15</f>
        <v>#REF!</v>
      </c>
      <c r="AU15" s="33" t="e">
        <f>X15*F15</f>
        <v>#REF!</v>
      </c>
      <c r="AV15" s="132" t="e">
        <f>Y15*F15</f>
        <v>#REF!</v>
      </c>
      <c r="AW15" s="133" t="e">
        <f>Z15*F15</f>
        <v>#REF!</v>
      </c>
      <c r="AX15" s="33" t="e">
        <f>AA15*F15</f>
        <v>#REF!</v>
      </c>
      <c r="AY15" s="135" t="e">
        <f>AB15*F15</f>
        <v>#REF!</v>
      </c>
      <c r="AZ15" s="134" t="e">
        <f>AC15*F15</f>
        <v>#REF!</v>
      </c>
    </row>
    <row r="16" spans="1:66" customHeight="1" ht="15.75">
      <c r="A16" s="445"/>
      <c r="B16" s="525" t="s">
        <v>132</v>
      </c>
      <c r="C16" s="159" t="str">
        <f>'Qty &amp; UMH GUM'!C9</f>
        <v>82111-4DT30</v>
      </c>
      <c r="D16" s="55">
        <f>'Qty &amp; UMH GUM'!D9</f>
        <v/>
      </c>
      <c r="E16" s="27"/>
      <c r="F16" s="27">
        <f>'Qty &amp; UMH GUM'!F9</f>
        <v/>
      </c>
      <c r="G16" s="27">
        <f>'Qty &amp; UMH GUM'!G9</f>
        <v/>
      </c>
      <c r="H16" s="28">
        <f>'Qty &amp; UMH GUM'!H9</f>
        <v/>
      </c>
      <c r="I16" s="47">
        <f>'Qty &amp; UMH GUM'!J9</f>
        <v>0</v>
      </c>
      <c r="J16" s="45" t="e">
        <f>'Qty &amp; UMH GUM'!K9</f>
        <v>#REF!</v>
      </c>
      <c r="K16" s="48">
        <f>'Qty &amp; UMH GUM'!L9</f>
        <v>0</v>
      </c>
      <c r="L16" s="44" t="e">
        <f>'Qty &amp; UMH GUM'!M9</f>
        <v>#REF!</v>
      </c>
      <c r="M16" s="45" t="e">
        <f>'Qty &amp; UMH GUM'!N9</f>
        <v>#REF!</v>
      </c>
      <c r="N16" s="46" t="e">
        <f>'Qty &amp; UMH GUM'!O9</f>
        <v>#REF!</v>
      </c>
      <c r="O16" s="44" t="e">
        <f>'Qty &amp; UMH GUM'!P9</f>
        <v>#REF!</v>
      </c>
      <c r="P16" s="45" t="e">
        <f>'Qty &amp; UMH GUM'!Q9</f>
        <v>#REF!</v>
      </c>
      <c r="Q16" s="46" t="e">
        <f>'Qty &amp; UMH GUM'!R9</f>
        <v>#REF!</v>
      </c>
      <c r="R16" s="47" t="e">
        <f>'Qty &amp; UMH GUM'!S9</f>
        <v>#REF!</v>
      </c>
      <c r="S16" s="45" t="e">
        <f>'Qty &amp; UMH GUM'!T9</f>
        <v>#REF!</v>
      </c>
      <c r="T16" s="48" t="e">
        <f>'Qty &amp; UMH GUM'!U9</f>
        <v>#REF!</v>
      </c>
      <c r="U16" s="44" t="e">
        <f>'Qty &amp; UMH GUM'!V9</f>
        <v>#REF!</v>
      </c>
      <c r="V16" s="45" t="e">
        <f>'Qty &amp; UMH GUM'!W9</f>
        <v>#REF!</v>
      </c>
      <c r="W16" s="46" t="e">
        <f>'Qty &amp; UMH GUM'!X9</f>
        <v>#REF!</v>
      </c>
      <c r="X16" s="47" t="e">
        <f>'Qty &amp; UMH GUM'!Y9</f>
        <v>#REF!</v>
      </c>
      <c r="Y16" s="45" t="e">
        <f>'Qty &amp; UMH GUM'!Z9</f>
        <v>#REF!</v>
      </c>
      <c r="Z16" s="48" t="e">
        <f>'Qty &amp; UMH GUM'!AA9</f>
        <v>#REF!</v>
      </c>
      <c r="AA16" s="44" t="e">
        <f>'Qty &amp; UMH GUM'!AB9</f>
        <v>#REF!</v>
      </c>
      <c r="AB16" s="45" t="e">
        <f>'Qty &amp; UMH GUM'!AC9</f>
        <v>#REF!</v>
      </c>
      <c r="AC16" s="46" t="e">
        <f>'Qty &amp; UMH GUM'!AD9</f>
        <v>#REF!</v>
      </c>
      <c r="AD16" s="53">
        <f>'Qty &amp; UMH GUM'!AE9</f>
        <v/>
      </c>
      <c r="AF16" s="131">
        <f>I16*F16</f>
        <v>0</v>
      </c>
      <c r="AG16" s="132" t="e">
        <f>J16*F16</f>
        <v>#REF!</v>
      </c>
      <c r="AH16" s="133">
        <f>K16*F16</f>
        <v>0</v>
      </c>
      <c r="AI16" s="33" t="e">
        <f>L16*F16</f>
        <v>#REF!</v>
      </c>
      <c r="AJ16" s="132" t="e">
        <f>M16*F16</f>
        <v>#REF!</v>
      </c>
      <c r="AK16" s="133" t="e">
        <f>N16*F16</f>
        <v>#REF!</v>
      </c>
      <c r="AL16" s="33" t="e">
        <f>O16*F16</f>
        <v>#REF!</v>
      </c>
      <c r="AM16" s="132" t="e">
        <f>P16*F16</f>
        <v>#REF!</v>
      </c>
      <c r="AN16" s="133" t="e">
        <f>Q16*F16</f>
        <v>#REF!</v>
      </c>
      <c r="AO16" s="33" t="e">
        <f>R16*F16</f>
        <v>#REF!</v>
      </c>
      <c r="AP16" s="132" t="e">
        <f>S16*F16</f>
        <v>#REF!</v>
      </c>
      <c r="AQ16" s="133" t="e">
        <f>T16*F16</f>
        <v>#REF!</v>
      </c>
      <c r="AR16" s="33" t="e">
        <f>U16*F16</f>
        <v>#REF!</v>
      </c>
      <c r="AS16" s="132" t="e">
        <f>V16*F16</f>
        <v>#REF!</v>
      </c>
      <c r="AT16" s="133" t="e">
        <f>W16*F16</f>
        <v>#REF!</v>
      </c>
      <c r="AU16" s="33" t="e">
        <f>X16*F16</f>
        <v>#REF!</v>
      </c>
      <c r="AV16" s="132" t="e">
        <f>Y16*F16</f>
        <v>#REF!</v>
      </c>
      <c r="AW16" s="133" t="e">
        <f>Z16*F16</f>
        <v>#REF!</v>
      </c>
      <c r="AX16" s="33" t="e">
        <f>AA16*F16</f>
        <v>#REF!</v>
      </c>
      <c r="AY16" s="132" t="e">
        <f>AB16*F16</f>
        <v>#REF!</v>
      </c>
      <c r="AZ16" s="133" t="e">
        <f>AC16*F16</f>
        <v>#REF!</v>
      </c>
    </row>
    <row r="17" spans="1:66" customHeight="1" ht="15.75">
      <c r="A17" s="445"/>
      <c r="B17" s="525"/>
      <c r="C17" s="159" t="e">
        <v>#REF!</v>
      </c>
      <c r="D17" s="55" t="e">
        <v>#REF!</v>
      </c>
      <c r="E17" s="27"/>
      <c r="F17" s="27" t="e">
        <v>#REF!</v>
      </c>
      <c r="G17" s="27" t="e">
        <v>#REF!</v>
      </c>
      <c r="H17" s="156" t="e">
        <v>#REF!</v>
      </c>
      <c r="I17" s="47" t="e">
        <v>#REF!</v>
      </c>
      <c r="J17" s="45" t="e">
        <v>#REF!</v>
      </c>
      <c r="K17" s="48" t="e">
        <v>#REF!</v>
      </c>
      <c r="L17" s="44" t="e">
        <v>#REF!</v>
      </c>
      <c r="M17" s="45" t="e">
        <v>#REF!</v>
      </c>
      <c r="N17" s="46" t="e">
        <v>#REF!</v>
      </c>
      <c r="O17" s="44" t="e">
        <v>#REF!</v>
      </c>
      <c r="P17" s="45" t="e">
        <v>#REF!</v>
      </c>
      <c r="Q17" s="46" t="e">
        <v>#REF!</v>
      </c>
      <c r="R17" s="47" t="e">
        <v>#REF!</v>
      </c>
      <c r="S17" s="45" t="e">
        <v>#REF!</v>
      </c>
      <c r="T17" s="48" t="e">
        <v>#REF!</v>
      </c>
      <c r="U17" s="44" t="e">
        <v>#REF!</v>
      </c>
      <c r="V17" s="45" t="e">
        <v>#REF!</v>
      </c>
      <c r="W17" s="46" t="e">
        <v>#REF!</v>
      </c>
      <c r="X17" s="47" t="e">
        <v>#REF!</v>
      </c>
      <c r="Y17" s="45" t="e">
        <v>#REF!</v>
      </c>
      <c r="Z17" s="48" t="e">
        <v>#REF!</v>
      </c>
      <c r="AA17" s="44" t="e">
        <v>#REF!</v>
      </c>
      <c r="AB17" s="45" t="e">
        <v>#REF!</v>
      </c>
      <c r="AC17" s="46" t="e">
        <v>#REF!</v>
      </c>
      <c r="AD17" s="53" t="e">
        <v>#REF!</v>
      </c>
      <c r="AF17" s="131" t="e">
        <f>I17*F17</f>
        <v>#REF!</v>
      </c>
      <c r="AG17" s="132" t="e">
        <f>J17*F17</f>
        <v>#REF!</v>
      </c>
      <c r="AH17" s="133" t="e">
        <f>K17*F17</f>
        <v>#REF!</v>
      </c>
      <c r="AI17" s="33" t="e">
        <f>L17*F17</f>
        <v>#REF!</v>
      </c>
      <c r="AJ17" s="132" t="e">
        <f>M17*F17</f>
        <v>#REF!</v>
      </c>
      <c r="AK17" s="133" t="e">
        <f>N17*F17</f>
        <v>#REF!</v>
      </c>
      <c r="AL17" s="33" t="e">
        <f>O17*F17</f>
        <v>#REF!</v>
      </c>
      <c r="AM17" s="132" t="e">
        <f>P17*F17</f>
        <v>#REF!</v>
      </c>
      <c r="AN17" s="133" t="e">
        <f>Q17*F17</f>
        <v>#REF!</v>
      </c>
      <c r="AO17" s="33" t="e">
        <f>R17*F17</f>
        <v>#REF!</v>
      </c>
      <c r="AP17" s="132" t="e">
        <f>S17*F17</f>
        <v>#REF!</v>
      </c>
      <c r="AQ17" s="133" t="e">
        <f>T17*F17</f>
        <v>#REF!</v>
      </c>
      <c r="AR17" s="33" t="e">
        <f>U17*F17</f>
        <v>#REF!</v>
      </c>
      <c r="AS17" s="132" t="e">
        <f>V17*F17</f>
        <v>#REF!</v>
      </c>
      <c r="AT17" s="133" t="e">
        <f>W17*F17</f>
        <v>#REF!</v>
      </c>
      <c r="AU17" s="33" t="e">
        <f>X17*F17</f>
        <v>#REF!</v>
      </c>
      <c r="AV17" s="132" t="e">
        <f>Y17*F17</f>
        <v>#REF!</v>
      </c>
      <c r="AW17" s="133" t="e">
        <f>Z17*F17</f>
        <v>#REF!</v>
      </c>
      <c r="AX17" s="33" t="e">
        <f>AA17*F17</f>
        <v>#REF!</v>
      </c>
      <c r="AY17" s="132" t="e">
        <f>AB17*F17</f>
        <v>#REF!</v>
      </c>
      <c r="AZ17" s="133" t="e">
        <f>AC17*F17</f>
        <v>#REF!</v>
      </c>
    </row>
    <row r="18" spans="1:66" customHeight="1" ht="15.75">
      <c r="A18" s="445"/>
      <c r="B18" s="525"/>
      <c r="C18" s="159" t="e">
        <v>#REF!</v>
      </c>
      <c r="D18" s="160" t="e">
        <v>#REF!</v>
      </c>
      <c r="E18" s="27"/>
      <c r="F18" s="27" t="e">
        <v>#REF!</v>
      </c>
      <c r="G18" s="27" t="e">
        <v>#REF!</v>
      </c>
      <c r="H18" s="28" t="e">
        <v>#REF!</v>
      </c>
      <c r="I18" s="47" t="e">
        <v>#REF!</v>
      </c>
      <c r="J18" s="51" t="e">
        <v>#REF!</v>
      </c>
      <c r="K18" s="186" t="e">
        <v>#REF!</v>
      </c>
      <c r="L18" s="44" t="e">
        <v>#REF!</v>
      </c>
      <c r="M18" s="51" t="e">
        <v>#REF!</v>
      </c>
      <c r="N18" s="46" t="e">
        <v>#REF!</v>
      </c>
      <c r="O18" s="44" t="e">
        <v>#REF!</v>
      </c>
      <c r="P18" s="51" t="e">
        <v>#REF!</v>
      </c>
      <c r="Q18" s="46" t="e">
        <v>#REF!</v>
      </c>
      <c r="R18" s="47" t="e">
        <v>#REF!</v>
      </c>
      <c r="S18" s="45" t="e">
        <v>#REF!</v>
      </c>
      <c r="T18" s="48" t="e">
        <v>#REF!</v>
      </c>
      <c r="U18" s="44" t="e">
        <v>#REF!</v>
      </c>
      <c r="V18" s="45" t="e">
        <v>#REF!</v>
      </c>
      <c r="W18" s="46" t="e">
        <v>#REF!</v>
      </c>
      <c r="X18" s="47" t="e">
        <v>#REF!</v>
      </c>
      <c r="Y18" s="45" t="e">
        <v>#REF!</v>
      </c>
      <c r="Z18" s="48" t="e">
        <v>#REF!</v>
      </c>
      <c r="AA18" s="44" t="e">
        <v>#REF!</v>
      </c>
      <c r="AB18" s="45" t="e">
        <v>#REF!</v>
      </c>
      <c r="AC18" s="46" t="e">
        <v>#REF!</v>
      </c>
      <c r="AD18" s="53" t="e">
        <v>#REF!</v>
      </c>
      <c r="AF18" s="131" t="e">
        <f>I18*F18</f>
        <v>#REF!</v>
      </c>
      <c r="AG18" s="132" t="e">
        <f>J18*F18</f>
        <v>#REF!</v>
      </c>
      <c r="AH18" s="133" t="e">
        <f>K18*F18</f>
        <v>#REF!</v>
      </c>
      <c r="AI18" s="33" t="e">
        <f>L18*F18</f>
        <v>#REF!</v>
      </c>
      <c r="AJ18" s="132" t="e">
        <f>M18*F18</f>
        <v>#REF!</v>
      </c>
      <c r="AK18" s="133" t="e">
        <f>N18*F18</f>
        <v>#REF!</v>
      </c>
      <c r="AL18" s="33" t="e">
        <f>O18*F18</f>
        <v>#REF!</v>
      </c>
      <c r="AM18" s="132" t="e">
        <f>P18*F18</f>
        <v>#REF!</v>
      </c>
      <c r="AN18" s="133" t="e">
        <f>Q18*F18</f>
        <v>#REF!</v>
      </c>
      <c r="AO18" s="33" t="e">
        <f>R18*F18</f>
        <v>#REF!</v>
      </c>
      <c r="AP18" s="132" t="e">
        <f>S18*F18</f>
        <v>#REF!</v>
      </c>
      <c r="AQ18" s="133" t="e">
        <f>T18*F18</f>
        <v>#REF!</v>
      </c>
      <c r="AR18" s="33" t="e">
        <f>U18*F18</f>
        <v>#REF!</v>
      </c>
      <c r="AS18" s="132" t="e">
        <f>V18*F18</f>
        <v>#REF!</v>
      </c>
      <c r="AT18" s="133" t="e">
        <f>W18*F18</f>
        <v>#REF!</v>
      </c>
      <c r="AU18" s="33" t="e">
        <f>X18*F18</f>
        <v>#REF!</v>
      </c>
      <c r="AV18" s="132" t="e">
        <f>Y18*F18</f>
        <v>#REF!</v>
      </c>
      <c r="AW18" s="133" t="e">
        <f>Z18*F18</f>
        <v>#REF!</v>
      </c>
      <c r="AX18" s="33" t="e">
        <f>AA18*F18</f>
        <v>#REF!</v>
      </c>
      <c r="AY18" s="132" t="e">
        <f>AB18*F18</f>
        <v>#REF!</v>
      </c>
      <c r="AZ18" s="133" t="e">
        <f>AC18*F18</f>
        <v>#REF!</v>
      </c>
    </row>
    <row r="19" spans="1:66" customHeight="1" ht="15.75">
      <c r="A19" s="445"/>
      <c r="B19" s="525"/>
      <c r="C19" s="159" t="e">
        <v>#REF!</v>
      </c>
      <c r="D19" s="160" t="e">
        <v>#REF!</v>
      </c>
      <c r="E19" s="27"/>
      <c r="F19" s="27" t="e">
        <v>#REF!</v>
      </c>
      <c r="G19" s="27" t="e">
        <v>#REF!</v>
      </c>
      <c r="H19" s="28" t="e">
        <v>#REF!</v>
      </c>
      <c r="I19" s="47" t="e">
        <v>#REF!</v>
      </c>
      <c r="J19" s="51" t="e">
        <v>#REF!</v>
      </c>
      <c r="K19" s="186" t="e">
        <v>#REF!</v>
      </c>
      <c r="L19" s="44" t="e">
        <v>#REF!</v>
      </c>
      <c r="M19" s="51" t="e">
        <v>#REF!</v>
      </c>
      <c r="N19" s="46" t="e">
        <v>#REF!</v>
      </c>
      <c r="O19" s="44" t="e">
        <v>#REF!</v>
      </c>
      <c r="P19" s="51" t="e">
        <v>#REF!</v>
      </c>
      <c r="Q19" s="46" t="e">
        <v>#REF!</v>
      </c>
      <c r="R19" s="47" t="e">
        <v>#REF!</v>
      </c>
      <c r="S19" s="45" t="e">
        <v>#REF!</v>
      </c>
      <c r="T19" s="48" t="e">
        <v>#REF!</v>
      </c>
      <c r="U19" s="44" t="e">
        <v>#REF!</v>
      </c>
      <c r="V19" s="45" t="e">
        <v>#REF!</v>
      </c>
      <c r="W19" s="46" t="e">
        <v>#REF!</v>
      </c>
      <c r="X19" s="47" t="e">
        <v>#REF!</v>
      </c>
      <c r="Y19" s="45" t="e">
        <v>#REF!</v>
      </c>
      <c r="Z19" s="48" t="e">
        <v>#REF!</v>
      </c>
      <c r="AA19" s="44" t="e">
        <v>#REF!</v>
      </c>
      <c r="AB19" s="45" t="e">
        <v>#REF!</v>
      </c>
      <c r="AC19" s="46" t="e">
        <v>#REF!</v>
      </c>
      <c r="AD19" s="53" t="e">
        <v>#REF!</v>
      </c>
      <c r="AF19" s="131"/>
      <c r="AG19" s="132"/>
      <c r="AH19" s="133"/>
      <c r="AI19" s="33"/>
      <c r="AJ19" s="132"/>
      <c r="AK19" s="133"/>
      <c r="AL19" s="33"/>
      <c r="AM19" s="132"/>
      <c r="AN19" s="133"/>
      <c r="AO19" s="33"/>
      <c r="AP19" s="132"/>
      <c r="AQ19" s="133"/>
      <c r="AR19" s="33"/>
      <c r="AS19" s="132"/>
      <c r="AT19" s="133"/>
      <c r="AU19" s="33"/>
      <c r="AV19" s="132"/>
      <c r="AW19" s="133"/>
      <c r="AX19" s="33"/>
      <c r="AY19" s="132"/>
      <c r="AZ19" s="133"/>
    </row>
    <row r="20" spans="1:66" customHeight="1" ht="15.75">
      <c r="A20" s="445"/>
      <c r="B20" s="525"/>
      <c r="C20" s="159" t="e">
        <v>#REF!</v>
      </c>
      <c r="D20" s="161" t="e">
        <v>#REF!</v>
      </c>
      <c r="E20" s="27"/>
      <c r="F20" s="27" t="e">
        <v>#REF!</v>
      </c>
      <c r="G20" s="27" t="e">
        <v>#REF!</v>
      </c>
      <c r="H20" s="28" t="e">
        <v>#REF!</v>
      </c>
      <c r="I20" s="47" t="e">
        <v>#REF!</v>
      </c>
      <c r="J20" s="51" t="e">
        <v>#REF!</v>
      </c>
      <c r="K20" s="186" t="e">
        <v>#REF!</v>
      </c>
      <c r="L20" s="44" t="e">
        <v>#REF!</v>
      </c>
      <c r="M20" s="51" t="e">
        <v>#REF!</v>
      </c>
      <c r="N20" s="46" t="e">
        <v>#REF!</v>
      </c>
      <c r="O20" s="44" t="e">
        <v>#REF!</v>
      </c>
      <c r="P20" s="51" t="e">
        <v>#REF!</v>
      </c>
      <c r="Q20" s="46" t="e">
        <v>#REF!</v>
      </c>
      <c r="R20" s="47" t="e">
        <v>#REF!</v>
      </c>
      <c r="S20" s="45" t="e">
        <v>#REF!</v>
      </c>
      <c r="T20" s="48" t="e">
        <v>#REF!</v>
      </c>
      <c r="U20" s="44" t="e">
        <v>#REF!</v>
      </c>
      <c r="V20" s="45" t="e">
        <v>#REF!</v>
      </c>
      <c r="W20" s="46" t="e">
        <v>#REF!</v>
      </c>
      <c r="X20" s="47" t="e">
        <v>#REF!</v>
      </c>
      <c r="Y20" s="45" t="e">
        <v>#REF!</v>
      </c>
      <c r="Z20" s="48" t="e">
        <v>#REF!</v>
      </c>
      <c r="AA20" s="44" t="e">
        <v>#REF!</v>
      </c>
      <c r="AB20" s="45" t="e">
        <v>#REF!</v>
      </c>
      <c r="AC20" s="46" t="e">
        <v>#REF!</v>
      </c>
      <c r="AD20" s="53" t="e">
        <v>#REF!</v>
      </c>
      <c r="AF20" s="131"/>
      <c r="AG20" s="132"/>
      <c r="AH20" s="133"/>
      <c r="AI20" s="33"/>
      <c r="AJ20" s="132"/>
      <c r="AK20" s="133"/>
      <c r="AL20" s="33"/>
      <c r="AM20" s="132"/>
      <c r="AN20" s="133"/>
      <c r="AO20" s="33"/>
      <c r="AP20" s="132"/>
      <c r="AQ20" s="133"/>
      <c r="AR20" s="33"/>
      <c r="AS20" s="132"/>
      <c r="AT20" s="133"/>
      <c r="AU20" s="33"/>
      <c r="AV20" s="132"/>
      <c r="AW20" s="133"/>
      <c r="AX20" s="33"/>
      <c r="AY20" s="132"/>
      <c r="AZ20" s="133"/>
    </row>
    <row r="21" spans="1:66" customHeight="1" ht="15.75" s="12" customFormat="1">
      <c r="A21" s="445"/>
      <c r="B21" s="525"/>
      <c r="C21" s="159" t="e">
        <v>#REF!</v>
      </c>
      <c r="D21" s="55" t="e">
        <v>#REF!</v>
      </c>
      <c r="E21" s="27"/>
      <c r="F21" s="27" t="e">
        <v>#REF!</v>
      </c>
      <c r="G21" s="27" t="e">
        <v>#REF!</v>
      </c>
      <c r="H21" s="28" t="e">
        <v>#REF!</v>
      </c>
      <c r="I21" s="47" t="e">
        <v>#REF!</v>
      </c>
      <c r="J21" s="45" t="e">
        <v>#REF!</v>
      </c>
      <c r="K21" s="48" t="e">
        <v>#REF!</v>
      </c>
      <c r="L21" s="44" t="e">
        <v>#REF!</v>
      </c>
      <c r="M21" s="45" t="e">
        <v>#REF!</v>
      </c>
      <c r="N21" s="46" t="e">
        <v>#REF!</v>
      </c>
      <c r="O21" s="44" t="e">
        <v>#REF!</v>
      </c>
      <c r="P21" s="45" t="e">
        <v>#REF!</v>
      </c>
      <c r="Q21" s="46" t="e">
        <v>#REF!</v>
      </c>
      <c r="R21" s="47" t="e">
        <v>#REF!</v>
      </c>
      <c r="S21" s="45" t="e">
        <v>#REF!</v>
      </c>
      <c r="T21" s="48" t="e">
        <v>#REF!</v>
      </c>
      <c r="U21" s="44" t="e">
        <v>#REF!</v>
      </c>
      <c r="V21" s="45" t="e">
        <v>#REF!</v>
      </c>
      <c r="W21" s="46" t="e">
        <v>#REF!</v>
      </c>
      <c r="X21" s="47" t="e">
        <v>#REF!</v>
      </c>
      <c r="Y21" s="45" t="e">
        <v>#REF!</v>
      </c>
      <c r="Z21" s="48" t="e">
        <v>#REF!</v>
      </c>
      <c r="AA21" s="44" t="e">
        <v>#REF!</v>
      </c>
      <c r="AB21" s="45" t="e">
        <v>#REF!</v>
      </c>
      <c r="AC21" s="46" t="e">
        <v>#REF!</v>
      </c>
      <c r="AD21" s="53" t="e">
        <v>#REF!</v>
      </c>
      <c r="AF21" s="131" t="e">
        <f>I21*F21</f>
        <v>#REF!</v>
      </c>
      <c r="AG21" s="132" t="e">
        <f>J21*F21</f>
        <v>#REF!</v>
      </c>
      <c r="AH21" s="133" t="e">
        <f>K21*F21</f>
        <v>#REF!</v>
      </c>
      <c r="AI21" s="33" t="e">
        <f>L21*F21</f>
        <v>#REF!</v>
      </c>
      <c r="AJ21" s="132" t="e">
        <f>M21*F21</f>
        <v>#REF!</v>
      </c>
      <c r="AK21" s="133" t="e">
        <f>N21*F21</f>
        <v>#REF!</v>
      </c>
      <c r="AL21" s="33" t="e">
        <f>O21*F21</f>
        <v>#REF!</v>
      </c>
      <c r="AM21" s="132" t="e">
        <f>P21*F21</f>
        <v>#REF!</v>
      </c>
      <c r="AN21" s="133" t="e">
        <f>Q21*F21</f>
        <v>#REF!</v>
      </c>
      <c r="AO21" s="33" t="e">
        <f>R21*F21</f>
        <v>#REF!</v>
      </c>
      <c r="AP21" s="132" t="e">
        <f>S21*F21</f>
        <v>#REF!</v>
      </c>
      <c r="AQ21" s="133" t="e">
        <f>T21*F21</f>
        <v>#REF!</v>
      </c>
      <c r="AR21" s="33" t="e">
        <f>U21*F21</f>
        <v>#REF!</v>
      </c>
      <c r="AS21" s="132" t="e">
        <f>V21*F21</f>
        <v>#REF!</v>
      </c>
      <c r="AT21" s="133" t="e">
        <f>W21*F21</f>
        <v>#REF!</v>
      </c>
      <c r="AU21" s="33" t="e">
        <f>X21*F21</f>
        <v>#REF!</v>
      </c>
      <c r="AV21" s="132" t="e">
        <f>Y21*F21</f>
        <v>#REF!</v>
      </c>
      <c r="AW21" s="133" t="e">
        <f>Z21*F21</f>
        <v>#REF!</v>
      </c>
      <c r="AX21" s="33" t="e">
        <f>AA21*F21</f>
        <v>#REF!</v>
      </c>
      <c r="AY21" s="132" t="e">
        <f>AB21*F21</f>
        <v>#REF!</v>
      </c>
      <c r="AZ21" s="133" t="e">
        <f>AC21*F21</f>
        <v>#REF!</v>
      </c>
    </row>
    <row r="22" spans="1:66" customHeight="1" ht="15.75" s="12" customFormat="1">
      <c r="A22" s="445"/>
      <c r="B22" s="525"/>
      <c r="C22" s="159" t="e">
        <v>#REF!</v>
      </c>
      <c r="D22" s="55" t="e">
        <v>#REF!</v>
      </c>
      <c r="E22" s="27"/>
      <c r="F22" s="27" t="e">
        <v>#REF!</v>
      </c>
      <c r="G22" s="27" t="e">
        <v>#REF!</v>
      </c>
      <c r="H22" s="28" t="e">
        <v>#REF!</v>
      </c>
      <c r="I22" s="47" t="e">
        <v>#REF!</v>
      </c>
      <c r="J22" s="45" t="e">
        <v>#REF!</v>
      </c>
      <c r="K22" s="48" t="e">
        <v>#REF!</v>
      </c>
      <c r="L22" s="44" t="e">
        <v>#REF!</v>
      </c>
      <c r="M22" s="45" t="e">
        <v>#REF!</v>
      </c>
      <c r="N22" s="46" t="e">
        <v>#REF!</v>
      </c>
      <c r="O22" s="44" t="e">
        <v>#REF!</v>
      </c>
      <c r="P22" s="45" t="e">
        <v>#REF!</v>
      </c>
      <c r="Q22" s="46" t="e">
        <v>#REF!</v>
      </c>
      <c r="R22" s="47" t="e">
        <v>#REF!</v>
      </c>
      <c r="S22" s="45" t="e">
        <v>#REF!</v>
      </c>
      <c r="T22" s="48" t="e">
        <v>#REF!</v>
      </c>
      <c r="U22" s="44" t="e">
        <v>#REF!</v>
      </c>
      <c r="V22" s="45" t="e">
        <v>#REF!</v>
      </c>
      <c r="W22" s="46" t="e">
        <v>#REF!</v>
      </c>
      <c r="X22" s="47" t="e">
        <v>#REF!</v>
      </c>
      <c r="Y22" s="45" t="e">
        <v>#REF!</v>
      </c>
      <c r="Z22" s="48" t="e">
        <v>#REF!</v>
      </c>
      <c r="AA22" s="44" t="e">
        <v>#REF!</v>
      </c>
      <c r="AB22" s="45" t="e">
        <v>#REF!</v>
      </c>
      <c r="AC22" s="46" t="e">
        <v>#REF!</v>
      </c>
      <c r="AD22" s="53" t="e">
        <v>#REF!</v>
      </c>
      <c r="AF22" s="131" t="e">
        <f>I22*F22</f>
        <v>#REF!</v>
      </c>
      <c r="AG22" s="132" t="e">
        <f>J22*F22</f>
        <v>#REF!</v>
      </c>
      <c r="AH22" s="133" t="e">
        <f>K22*F22</f>
        <v>#REF!</v>
      </c>
      <c r="AI22" s="33" t="e">
        <f>L22*F22</f>
        <v>#REF!</v>
      </c>
      <c r="AJ22" s="132" t="e">
        <f>M22*F22</f>
        <v>#REF!</v>
      </c>
      <c r="AK22" s="133" t="e">
        <f>N22*F22</f>
        <v>#REF!</v>
      </c>
      <c r="AL22" s="33" t="e">
        <f>O22*F22</f>
        <v>#REF!</v>
      </c>
      <c r="AM22" s="132" t="e">
        <f>P22*F22</f>
        <v>#REF!</v>
      </c>
      <c r="AN22" s="133" t="e">
        <f>Q22*F22</f>
        <v>#REF!</v>
      </c>
      <c r="AO22" s="33" t="e">
        <f>R22*F22</f>
        <v>#REF!</v>
      </c>
      <c r="AP22" s="132" t="e">
        <f>S22*F22</f>
        <v>#REF!</v>
      </c>
      <c r="AQ22" s="133" t="e">
        <f>T22*F22</f>
        <v>#REF!</v>
      </c>
      <c r="AR22" s="33" t="e">
        <f>U22*F22</f>
        <v>#REF!</v>
      </c>
      <c r="AS22" s="132" t="e">
        <f>V22*F22</f>
        <v>#REF!</v>
      </c>
      <c r="AT22" s="133" t="e">
        <f>W22*F22</f>
        <v>#REF!</v>
      </c>
      <c r="AU22" s="33" t="e">
        <f>X22*F22</f>
        <v>#REF!</v>
      </c>
      <c r="AV22" s="132" t="e">
        <f>Y22*F22</f>
        <v>#REF!</v>
      </c>
      <c r="AW22" s="133" t="e">
        <f>Z22*F22</f>
        <v>#REF!</v>
      </c>
      <c r="AX22" s="33" t="e">
        <f>AA22*F22</f>
        <v>#REF!</v>
      </c>
      <c r="AY22" s="132" t="e">
        <f>AB22*F22</f>
        <v>#REF!</v>
      </c>
      <c r="AZ22" s="133" t="e">
        <f>AC22*F22</f>
        <v>#REF!</v>
      </c>
    </row>
    <row r="23" spans="1:66" customHeight="1" ht="15.75">
      <c r="A23" s="445"/>
      <c r="B23" s="525"/>
      <c r="C23" s="155" t="e">
        <v>#REF!</v>
      </c>
      <c r="D23" s="162" t="e">
        <v>#REF!</v>
      </c>
      <c r="E23" s="76"/>
      <c r="F23" s="76" t="e">
        <v>#REF!</v>
      </c>
      <c r="G23" s="76" t="e">
        <v>#REF!</v>
      </c>
      <c r="H23" s="146" t="e">
        <v>#REF!</v>
      </c>
      <c r="I23" s="47" t="e">
        <v>#REF!</v>
      </c>
      <c r="J23" s="153" t="e">
        <v>#REF!</v>
      </c>
      <c r="K23" s="150" t="e">
        <v>#REF!</v>
      </c>
      <c r="L23" s="151" t="e">
        <v>#REF!</v>
      </c>
      <c r="M23" s="153" t="e">
        <v>#REF!</v>
      </c>
      <c r="N23" s="152" t="e">
        <v>#REF!</v>
      </c>
      <c r="O23" s="151" t="e">
        <v>#REF!</v>
      </c>
      <c r="P23" s="153" t="e">
        <v>#REF!</v>
      </c>
      <c r="Q23" s="152" t="e">
        <v>#REF!</v>
      </c>
      <c r="R23" s="147" t="e">
        <v>#REF!</v>
      </c>
      <c r="S23" s="153" t="e">
        <v>#REF!</v>
      </c>
      <c r="T23" s="150" t="e">
        <v>#REF!</v>
      </c>
      <c r="U23" s="151" t="e">
        <v>#REF!</v>
      </c>
      <c r="V23" s="153" t="e">
        <v>#REF!</v>
      </c>
      <c r="W23" s="152" t="e">
        <v>#REF!</v>
      </c>
      <c r="X23" s="147" t="e">
        <v>#REF!</v>
      </c>
      <c r="Y23" s="153" t="e">
        <v>#REF!</v>
      </c>
      <c r="Z23" s="150" t="e">
        <v>#REF!</v>
      </c>
      <c r="AA23" s="151" t="e">
        <v>#REF!</v>
      </c>
      <c r="AB23" s="153" t="e">
        <v>#REF!</v>
      </c>
      <c r="AC23" s="152" t="e">
        <v>#REF!</v>
      </c>
      <c r="AD23" s="154" t="e">
        <v>#REF!</v>
      </c>
      <c r="AF23" s="131" t="e">
        <f>I23*F23</f>
        <v>#REF!</v>
      </c>
      <c r="AG23" s="132" t="e">
        <f>J23*F23</f>
        <v>#REF!</v>
      </c>
      <c r="AH23" s="133" t="e">
        <f>K23*F23</f>
        <v>#REF!</v>
      </c>
      <c r="AI23" s="33" t="e">
        <f>L23*F23</f>
        <v>#REF!</v>
      </c>
      <c r="AJ23" s="132" t="e">
        <f>M23*F23</f>
        <v>#REF!</v>
      </c>
      <c r="AK23" s="133" t="e">
        <f>N23*F23</f>
        <v>#REF!</v>
      </c>
      <c r="AL23" s="33" t="e">
        <f>O23*F23</f>
        <v>#REF!</v>
      </c>
      <c r="AM23" s="132" t="e">
        <f>P23*F23</f>
        <v>#REF!</v>
      </c>
      <c r="AN23" s="133" t="e">
        <f>Q23*F23</f>
        <v>#REF!</v>
      </c>
      <c r="AO23" s="33" t="e">
        <f>R23*F23</f>
        <v>#REF!</v>
      </c>
      <c r="AP23" s="132" t="e">
        <f>S23*F23</f>
        <v>#REF!</v>
      </c>
      <c r="AQ23" s="133" t="e">
        <f>T23*F23</f>
        <v>#REF!</v>
      </c>
      <c r="AR23" s="33" t="e">
        <f>U23*F23</f>
        <v>#REF!</v>
      </c>
      <c r="AS23" s="132" t="e">
        <f>V23*F23</f>
        <v>#REF!</v>
      </c>
      <c r="AT23" s="133" t="e">
        <f>W23*F23</f>
        <v>#REF!</v>
      </c>
      <c r="AU23" s="33" t="e">
        <f>X23*F23</f>
        <v>#REF!</v>
      </c>
      <c r="AV23" s="132" t="e">
        <f>Y23*F23</f>
        <v>#REF!</v>
      </c>
      <c r="AW23" s="133" t="e">
        <f>Z23*F23</f>
        <v>#REF!</v>
      </c>
      <c r="AX23" s="33" t="e">
        <f>AA23*F23</f>
        <v>#REF!</v>
      </c>
      <c r="AY23" s="132" t="e">
        <f>AB23*F23</f>
        <v>#REF!</v>
      </c>
      <c r="AZ23" s="133" t="e">
        <f>AC23*F23</f>
        <v>#REF!</v>
      </c>
    </row>
    <row r="24" spans="1:66" customHeight="1" ht="15.75">
      <c r="A24" s="445"/>
      <c r="B24" s="564"/>
      <c r="C24" s="556" t="s">
        <v>152</v>
      </c>
      <c r="D24" s="557"/>
      <c r="E24" s="557"/>
      <c r="F24" s="557"/>
      <c r="G24" s="557"/>
      <c r="H24" s="558"/>
      <c r="I24" s="85" t="e">
        <f>SUM(I16:I23)</f>
        <v>#REF!</v>
      </c>
      <c r="J24" s="86" t="e">
        <f>SUM(J16:J23)</f>
        <v>#REF!</v>
      </c>
      <c r="K24" s="179" t="e">
        <f>SUM(K16:K23)</f>
        <v>#REF!</v>
      </c>
      <c r="L24" s="89" t="e">
        <f>SUM(L16:L23)</f>
        <v>#REF!</v>
      </c>
      <c r="M24" s="86" t="e">
        <f>SUM(M16:M23)</f>
        <v>#REF!</v>
      </c>
      <c r="N24" s="87" t="e">
        <f>SUM(N16:N23)</f>
        <v>#REF!</v>
      </c>
      <c r="O24" s="89" t="e">
        <f>SUM(O16:O23)</f>
        <v>#REF!</v>
      </c>
      <c r="P24" s="86" t="e">
        <f>SUM(P16:P23)</f>
        <v>#REF!</v>
      </c>
      <c r="Q24" s="87" t="e">
        <f>SUM(Q16:Q23)</f>
        <v>#REF!</v>
      </c>
      <c r="R24" s="85" t="e">
        <f>SUM(R16:R23)</f>
        <v>#REF!</v>
      </c>
      <c r="S24" s="86" t="e">
        <f>SUM(S16:S23)</f>
        <v>#REF!</v>
      </c>
      <c r="T24" s="179" t="e">
        <f>SUM(T16:T23)</f>
        <v>#REF!</v>
      </c>
      <c r="U24" s="89" t="e">
        <f>SUM(U16:U23)</f>
        <v>#REF!</v>
      </c>
      <c r="V24" s="86" t="e">
        <f>SUM(V16:V23)</f>
        <v>#REF!</v>
      </c>
      <c r="W24" s="87" t="e">
        <f>SUM(W16:W23)</f>
        <v>#REF!</v>
      </c>
      <c r="X24" s="85" t="e">
        <f>SUM(X16:X23)</f>
        <v>#REF!</v>
      </c>
      <c r="Y24" s="86" t="e">
        <f>SUM(Y16:Y23)</f>
        <v>#REF!</v>
      </c>
      <c r="Z24" s="179" t="e">
        <f>SUM(Z16:Z23)</f>
        <v>#REF!</v>
      </c>
      <c r="AA24" s="89" t="e">
        <f>SUM(AA16:AA23)</f>
        <v>#REF!</v>
      </c>
      <c r="AB24" s="86" t="e">
        <f>SUM(AB16:AB23)</f>
        <v>#REF!</v>
      </c>
      <c r="AC24" s="87" t="e">
        <f>SUM(AC16:AC23)</f>
        <v>#REF!</v>
      </c>
      <c r="AD24" s="88" t="e">
        <f>SUM(AD16:AD23)</f>
        <v>#REF!</v>
      </c>
      <c r="AF24" s="131" t="e">
        <f>I24*F24</f>
        <v>#REF!</v>
      </c>
      <c r="AG24" s="132" t="e">
        <f>J24*F24</f>
        <v>#REF!</v>
      </c>
      <c r="AH24" s="133" t="e">
        <f>K24*F24</f>
        <v>#REF!</v>
      </c>
      <c r="AI24" s="33" t="e">
        <f>L24*F24</f>
        <v>#REF!</v>
      </c>
      <c r="AJ24" s="132" t="e">
        <f>M24*F24</f>
        <v>#REF!</v>
      </c>
      <c r="AK24" s="133" t="e">
        <f>N24*F24</f>
        <v>#REF!</v>
      </c>
      <c r="AL24" s="33" t="e">
        <f>O24*F24</f>
        <v>#REF!</v>
      </c>
      <c r="AM24" s="132" t="e">
        <f>P24*F24</f>
        <v>#REF!</v>
      </c>
      <c r="AN24" s="133" t="e">
        <f>Q24*F24</f>
        <v>#REF!</v>
      </c>
      <c r="AO24" s="33" t="e">
        <f>R24*F24</f>
        <v>#REF!</v>
      </c>
      <c r="AP24" s="132" t="e">
        <f>S24*F24</f>
        <v>#REF!</v>
      </c>
      <c r="AQ24" s="133" t="e">
        <f>T24*F24</f>
        <v>#REF!</v>
      </c>
      <c r="AR24" s="33" t="e">
        <f>U24*F24</f>
        <v>#REF!</v>
      </c>
      <c r="AS24" s="132" t="e">
        <f>V24*F24</f>
        <v>#REF!</v>
      </c>
      <c r="AT24" s="133" t="e">
        <f>W24*F24</f>
        <v>#REF!</v>
      </c>
      <c r="AU24" s="33" t="e">
        <f>X24*F24</f>
        <v>#REF!</v>
      </c>
      <c r="AV24" s="132" t="e">
        <f>Y24*F24</f>
        <v>#REF!</v>
      </c>
      <c r="AW24" s="133" t="e">
        <f>Z24*F24</f>
        <v>#REF!</v>
      </c>
      <c r="AX24" s="33" t="e">
        <f>AA24*F24</f>
        <v>#REF!</v>
      </c>
      <c r="AY24" s="135" t="e">
        <f>AB24*F24</f>
        <v>#REF!</v>
      </c>
      <c r="AZ24" s="134" t="e">
        <f>AC24*F24</f>
        <v>#REF!</v>
      </c>
    </row>
    <row r="25" spans="1:66" customHeight="1" ht="15.75" s="12" customFormat="1">
      <c r="A25" s="445"/>
      <c r="B25" s="524" t="s">
        <v>153</v>
      </c>
      <c r="C25" s="158" t="e">
        <v>#REF!</v>
      </c>
      <c r="D25" s="54" t="e">
        <v>#REF!</v>
      </c>
      <c r="E25" s="37" t="e">
        <v>#REF!</v>
      </c>
      <c r="F25" s="37" t="e">
        <v>#REF!</v>
      </c>
      <c r="G25" s="37" t="e">
        <v>#REF!</v>
      </c>
      <c r="H25" s="38" t="e">
        <v>#REF!</v>
      </c>
      <c r="I25" s="39" t="e">
        <v>#REF!</v>
      </c>
      <c r="J25" s="40" t="e">
        <v>#REF!</v>
      </c>
      <c r="K25" s="41" t="e">
        <v>#REF!</v>
      </c>
      <c r="L25" s="39" t="e">
        <v>#REF!</v>
      </c>
      <c r="M25" s="40" t="e">
        <v>#REF!</v>
      </c>
      <c r="N25" s="41" t="e">
        <v>#REF!</v>
      </c>
      <c r="O25" s="39" t="e">
        <v>#REF!</v>
      </c>
      <c r="P25" s="40" t="e">
        <v>#REF!</v>
      </c>
      <c r="Q25" s="41" t="e">
        <v>#REF!</v>
      </c>
      <c r="R25" s="39" t="e">
        <v>#REF!</v>
      </c>
      <c r="S25" s="40" t="e">
        <v>#REF!</v>
      </c>
      <c r="T25" s="41" t="e">
        <v>#REF!</v>
      </c>
      <c r="U25" s="39" t="e">
        <v>#REF!</v>
      </c>
      <c r="V25" s="40" t="e">
        <v>#REF!</v>
      </c>
      <c r="W25" s="41" t="e">
        <v>#REF!</v>
      </c>
      <c r="X25" s="39" t="e">
        <v>#REF!</v>
      </c>
      <c r="Y25" s="40" t="e">
        <v>#REF!</v>
      </c>
      <c r="Z25" s="41" t="e">
        <v>#REF!</v>
      </c>
      <c r="AA25" s="39" t="e">
        <v>#REF!</v>
      </c>
      <c r="AB25" s="40" t="e">
        <v>#REF!</v>
      </c>
      <c r="AC25" s="41" t="e">
        <v>#REF!</v>
      </c>
      <c r="AD25" s="181" t="e">
        <v>#REF!</v>
      </c>
      <c r="AE25" s="171"/>
      <c r="AF25" s="172" t="e">
        <f>I25*$F25</f>
        <v>#REF!</v>
      </c>
      <c r="AG25" s="173" t="e">
        <f>J25*$F25</f>
        <v>#REF!</v>
      </c>
      <c r="AH25" s="174" t="e">
        <f>K25*$F25</f>
        <v>#REF!</v>
      </c>
      <c r="AI25" s="172" t="e">
        <f>L25*$F25</f>
        <v>#REF!</v>
      </c>
      <c r="AJ25" s="173" t="e">
        <f>M25*$F25</f>
        <v>#REF!</v>
      </c>
      <c r="AK25" s="174" t="e">
        <f>N25*$F25</f>
        <v>#REF!</v>
      </c>
      <c r="AL25" s="172" t="e">
        <f>O25*$F25</f>
        <v>#REF!</v>
      </c>
      <c r="AM25" s="173" t="e">
        <f>P25*$F25</f>
        <v>#REF!</v>
      </c>
      <c r="AN25" s="174" t="e">
        <f>Q25*$F25</f>
        <v>#REF!</v>
      </c>
      <c r="AO25" s="172" t="e">
        <f>R25*$F25</f>
        <v>#REF!</v>
      </c>
      <c r="AP25" s="173" t="e">
        <f>S25*$F25</f>
        <v>#REF!</v>
      </c>
      <c r="AQ25" s="174" t="e">
        <f>T25*$F25</f>
        <v>#REF!</v>
      </c>
      <c r="AR25" s="172" t="e">
        <f>U25*$F25</f>
        <v>#REF!</v>
      </c>
      <c r="AS25" s="173" t="e">
        <f>V25*$F25</f>
        <v>#REF!</v>
      </c>
      <c r="AT25" s="174" t="e">
        <f>W25*$F25</f>
        <v>#REF!</v>
      </c>
      <c r="AU25" s="172" t="e">
        <f>X25*$F25</f>
        <v>#REF!</v>
      </c>
      <c r="AV25" s="173" t="e">
        <f>Y25*$F25</f>
        <v>#REF!</v>
      </c>
      <c r="AW25" s="174" t="e">
        <f>Z25*$F25</f>
        <v>#REF!</v>
      </c>
      <c r="AX25" s="172" t="e">
        <f>AA25*$F25</f>
        <v>#REF!</v>
      </c>
      <c r="AY25" s="173" t="e">
        <f>AB25*$F25</f>
        <v>#REF!</v>
      </c>
    </row>
    <row r="26" spans="1:66" customHeight="1" ht="15.75">
      <c r="A26" s="445"/>
      <c r="B26" s="525"/>
      <c r="C26" s="155" t="e">
        <v>#REF!</v>
      </c>
      <c r="D26" s="162" t="e">
        <v>#REF!</v>
      </c>
      <c r="E26" s="76" t="e">
        <v>#REF!</v>
      </c>
      <c r="F26" s="76" t="e">
        <v>#REF!</v>
      </c>
      <c r="G26" s="76" t="e">
        <v>#REF!</v>
      </c>
      <c r="H26" s="146" t="e">
        <v>#REF!</v>
      </c>
      <c r="I26" s="151" t="e">
        <v>#REF!</v>
      </c>
      <c r="J26" s="153" t="e">
        <v>#REF!</v>
      </c>
      <c r="K26" s="152" t="e">
        <v>#REF!</v>
      </c>
      <c r="L26" s="151" t="e">
        <v>#REF!</v>
      </c>
      <c r="M26" s="153" t="e">
        <v>#REF!</v>
      </c>
      <c r="N26" s="152" t="e">
        <v>#REF!</v>
      </c>
      <c r="O26" s="151" t="e">
        <v>#REF!</v>
      </c>
      <c r="P26" s="153" t="e">
        <v>#REF!</v>
      </c>
      <c r="Q26" s="152" t="e">
        <v>#REF!</v>
      </c>
      <c r="R26" s="151" t="e">
        <v>#REF!</v>
      </c>
      <c r="S26" s="153" t="e">
        <v>#REF!</v>
      </c>
      <c r="T26" s="152" t="e">
        <v>#REF!</v>
      </c>
      <c r="U26" s="151" t="e">
        <v>#REF!</v>
      </c>
      <c r="V26" s="153" t="e">
        <v>#REF!</v>
      </c>
      <c r="W26" s="152" t="e">
        <v>#REF!</v>
      </c>
      <c r="X26" s="151" t="e">
        <v>#REF!</v>
      </c>
      <c r="Y26" s="153" t="e">
        <v>#REF!</v>
      </c>
      <c r="Z26" s="152" t="e">
        <v>#REF!</v>
      </c>
      <c r="AA26" s="151" t="e">
        <v>#REF!</v>
      </c>
      <c r="AB26" s="153" t="e">
        <v>#REF!</v>
      </c>
      <c r="AC26" s="152" t="e">
        <v>#REF!</v>
      </c>
      <c r="AD26" s="182" t="e">
        <v>#REF!</v>
      </c>
      <c r="AE26" s="171"/>
      <c r="AF26" s="172" t="e">
        <f>I26*$F26</f>
        <v>#REF!</v>
      </c>
      <c r="AG26" s="173" t="e">
        <f>J26*$F26</f>
        <v>#REF!</v>
      </c>
      <c r="AH26" s="174" t="e">
        <f>K26*$F26</f>
        <v>#REF!</v>
      </c>
      <c r="AI26" s="172" t="e">
        <f>L26*$F26</f>
        <v>#REF!</v>
      </c>
      <c r="AJ26" s="173" t="e">
        <f>M26*$F26</f>
        <v>#REF!</v>
      </c>
      <c r="AK26" s="174" t="e">
        <f>N26*$F26</f>
        <v>#REF!</v>
      </c>
      <c r="AL26" s="172" t="e">
        <f>O26*$F26</f>
        <v>#REF!</v>
      </c>
      <c r="AM26" s="173" t="e">
        <f>P26*$F26</f>
        <v>#REF!</v>
      </c>
      <c r="AN26" s="174" t="e">
        <f>Q26*$F26</f>
        <v>#REF!</v>
      </c>
      <c r="AO26" s="172" t="e">
        <f>R26*$F26</f>
        <v>#REF!</v>
      </c>
      <c r="AP26" s="173" t="e">
        <f>S26*$F26</f>
        <v>#REF!</v>
      </c>
      <c r="AQ26" s="174" t="e">
        <f>T26*$F26</f>
        <v>#REF!</v>
      </c>
      <c r="AR26" s="172" t="e">
        <f>U26*$F26</f>
        <v>#REF!</v>
      </c>
      <c r="AS26" s="173" t="e">
        <f>V26*$F26</f>
        <v>#REF!</v>
      </c>
      <c r="AT26" s="174" t="e">
        <f>W26*$F26</f>
        <v>#REF!</v>
      </c>
      <c r="AU26" s="172" t="e">
        <f>X26*$F26</f>
        <v>#REF!</v>
      </c>
      <c r="AV26" s="173" t="e">
        <f>Y26*$F26</f>
        <v>#REF!</v>
      </c>
      <c r="AW26" s="174" t="e">
        <f>Z26*$F26</f>
        <v>#REF!</v>
      </c>
      <c r="AX26" s="172" t="e">
        <f>AA26*$F26</f>
        <v>#REF!</v>
      </c>
      <c r="AY26" s="173" t="e">
        <f>AB26*$F26</f>
        <v>#REF!</v>
      </c>
    </row>
    <row r="27" spans="1:66" customHeight="1" ht="15.75">
      <c r="A27" s="445"/>
      <c r="B27" s="564"/>
      <c r="C27" s="556" t="s">
        <v>152</v>
      </c>
      <c r="D27" s="557"/>
      <c r="E27" s="557"/>
      <c r="F27" s="557"/>
      <c r="G27" s="557"/>
      <c r="H27" s="558"/>
      <c r="I27" s="89" t="e">
        <f>SUM(I25:I26)</f>
        <v>#REF!</v>
      </c>
      <c r="J27" s="86" t="e">
        <f>SUM(J25:J26)</f>
        <v>#REF!</v>
      </c>
      <c r="K27" s="87" t="e">
        <f>SUM(K25:K26)</f>
        <v>#REF!</v>
      </c>
      <c r="L27" s="89" t="e">
        <f>SUM(L25:L26)</f>
        <v>#REF!</v>
      </c>
      <c r="M27" s="86" t="e">
        <f>SUM(M25:M26)</f>
        <v>#REF!</v>
      </c>
      <c r="N27" s="87" t="e">
        <f>SUM(N25:N26)</f>
        <v>#REF!</v>
      </c>
      <c r="O27" s="89" t="e">
        <f>SUM(O25:O26)</f>
        <v>#REF!</v>
      </c>
      <c r="P27" s="86" t="e">
        <f>SUM(P25:P26)</f>
        <v>#REF!</v>
      </c>
      <c r="Q27" s="87" t="e">
        <f>SUM(Q25:Q26)</f>
        <v>#REF!</v>
      </c>
      <c r="R27" s="89" t="e">
        <f>SUM(R25:R26)</f>
        <v>#REF!</v>
      </c>
      <c r="S27" s="86" t="e">
        <f>SUM(S25:S26)</f>
        <v>#REF!</v>
      </c>
      <c r="T27" s="87" t="e">
        <f>SUM(T25:T26)</f>
        <v>#REF!</v>
      </c>
      <c r="U27" s="89" t="e">
        <f>SUM(U25:U26)</f>
        <v>#REF!</v>
      </c>
      <c r="V27" s="86" t="e">
        <f>SUM(V25:V26)</f>
        <v>#REF!</v>
      </c>
      <c r="W27" s="87" t="e">
        <f>SUM(W25:W26)</f>
        <v>#REF!</v>
      </c>
      <c r="X27" s="89" t="e">
        <f>SUM(X25:X26)</f>
        <v>#REF!</v>
      </c>
      <c r="Y27" s="86" t="e">
        <f>SUM(Y25:Y26)</f>
        <v>#REF!</v>
      </c>
      <c r="Z27" s="87" t="e">
        <f>SUM(Z25:Z26)</f>
        <v>#REF!</v>
      </c>
      <c r="AA27" s="89" t="e">
        <f>SUM(AA25:AA26)</f>
        <v>#REF!</v>
      </c>
      <c r="AB27" s="86" t="e">
        <f>SUM(AB25:AB26)</f>
        <v>#REF!</v>
      </c>
      <c r="AC27" s="87" t="e">
        <f>SUM(AC25:AC26)</f>
        <v>#REF!</v>
      </c>
      <c r="AD27" s="88" t="e">
        <f>SUM(AD25:AD26)</f>
        <v>#REF!</v>
      </c>
      <c r="AE27" s="171"/>
      <c r="AF27" s="172" t="e">
        <f>I27*$F27</f>
        <v>#REF!</v>
      </c>
      <c r="AG27" s="173" t="e">
        <f>J27*$F27</f>
        <v>#REF!</v>
      </c>
      <c r="AH27" s="174" t="e">
        <f>K27*$F27</f>
        <v>#REF!</v>
      </c>
      <c r="AI27" s="172" t="e">
        <f>L27*$F27</f>
        <v>#REF!</v>
      </c>
      <c r="AJ27" s="173" t="e">
        <f>M27*$F27</f>
        <v>#REF!</v>
      </c>
      <c r="AK27" s="174" t="e">
        <f>N27*$F27</f>
        <v>#REF!</v>
      </c>
      <c r="AL27" s="172" t="e">
        <f>O27*$F27</f>
        <v>#REF!</v>
      </c>
      <c r="AM27" s="173" t="e">
        <f>P27*$F27</f>
        <v>#REF!</v>
      </c>
      <c r="AN27" s="174" t="e">
        <f>Q27*$F27</f>
        <v>#REF!</v>
      </c>
      <c r="AO27" s="172" t="e">
        <f>R27*$F27</f>
        <v>#REF!</v>
      </c>
      <c r="AP27" s="173" t="e">
        <f>S27*$F27</f>
        <v>#REF!</v>
      </c>
      <c r="AQ27" s="174" t="e">
        <f>T27*$F27</f>
        <v>#REF!</v>
      </c>
      <c r="AR27" s="172" t="e">
        <f>U27*$F27</f>
        <v>#REF!</v>
      </c>
      <c r="AS27" s="173" t="e">
        <f>V27*$F27</f>
        <v>#REF!</v>
      </c>
      <c r="AT27" s="174" t="e">
        <f>W27*$F27</f>
        <v>#REF!</v>
      </c>
      <c r="AU27" s="172" t="e">
        <f>X27*$F27</f>
        <v>#REF!</v>
      </c>
      <c r="AV27" s="173" t="e">
        <f>Y27*$F27</f>
        <v>#REF!</v>
      </c>
      <c r="AW27" s="174" t="e">
        <f>Z27*$F27</f>
        <v>#REF!</v>
      </c>
      <c r="AX27" s="172" t="e">
        <f>AA27*$F27</f>
        <v>#REF!</v>
      </c>
      <c r="AY27" s="173" t="e">
        <f>AB27*$F27</f>
        <v>#REF!</v>
      </c>
    </row>
    <row r="28" spans="1:66" customHeight="1" ht="15.75">
      <c r="A28" s="445"/>
      <c r="B28" s="537" t="s">
        <v>154</v>
      </c>
      <c r="C28" s="155" t="e">
        <v>#REF!</v>
      </c>
      <c r="D28" s="157" t="e">
        <v>#REF!</v>
      </c>
      <c r="E28" s="76" t="e">
        <v>#REF!</v>
      </c>
      <c r="F28" s="76" t="e">
        <v>#REF!</v>
      </c>
      <c r="G28" s="76" t="e">
        <v>#REF!</v>
      </c>
      <c r="H28" s="146" t="e">
        <v>#REF!</v>
      </c>
      <c r="I28" s="151" t="e">
        <v>#REF!</v>
      </c>
      <c r="J28" s="148" t="e">
        <v>#REF!</v>
      </c>
      <c r="K28" s="149" t="e">
        <v>#REF!</v>
      </c>
      <c r="L28" s="151" t="e">
        <v>#REF!</v>
      </c>
      <c r="M28" s="148" t="e">
        <v>#REF!</v>
      </c>
      <c r="N28" s="152" t="e">
        <v>#REF!</v>
      </c>
      <c r="O28" s="151" t="e">
        <v>#REF!</v>
      </c>
      <c r="P28" s="148" t="e">
        <v>#REF!</v>
      </c>
      <c r="Q28" s="152" t="e">
        <v>#REF!</v>
      </c>
      <c r="R28" s="147" t="e">
        <v>#REF!</v>
      </c>
      <c r="S28" s="153" t="e">
        <v>#REF!</v>
      </c>
      <c r="T28" s="150" t="e">
        <v>#REF!</v>
      </c>
      <c r="U28" s="151" t="e">
        <v>#REF!</v>
      </c>
      <c r="V28" s="153" t="e">
        <v>#REF!</v>
      </c>
      <c r="W28" s="152" t="e">
        <v>#REF!</v>
      </c>
      <c r="X28" s="147" t="e">
        <v>#REF!</v>
      </c>
      <c r="Y28" s="153" t="e">
        <v>#REF!</v>
      </c>
      <c r="Z28" s="150" t="e">
        <v>#REF!</v>
      </c>
      <c r="AA28" s="151" t="e">
        <v>#REF!</v>
      </c>
      <c r="AB28" s="153" t="e">
        <v>#REF!</v>
      </c>
      <c r="AC28" s="152" t="e">
        <v>#REF!</v>
      </c>
      <c r="AD28" s="154" t="e">
        <v>#REF!</v>
      </c>
      <c r="AF28" s="131"/>
      <c r="AG28" s="132"/>
      <c r="AH28" s="133"/>
      <c r="AI28" s="33"/>
      <c r="AJ28" s="132"/>
      <c r="AK28" s="133"/>
      <c r="AL28" s="33"/>
      <c r="AM28" s="132"/>
      <c r="AN28" s="133"/>
      <c r="AO28" s="33"/>
      <c r="AP28" s="132"/>
      <c r="AQ28" s="133"/>
      <c r="AR28" s="33"/>
      <c r="AS28" s="132"/>
      <c r="AT28" s="133"/>
      <c r="AU28" s="33"/>
      <c r="AV28" s="132"/>
      <c r="AW28" s="133"/>
      <c r="AX28" s="33"/>
      <c r="AY28" s="132"/>
      <c r="AZ28" s="133"/>
    </row>
    <row r="29" spans="1:66" customHeight="1" ht="15.75">
      <c r="A29" s="555"/>
      <c r="B29" s="555"/>
      <c r="C29" s="556" t="s">
        <v>152</v>
      </c>
      <c r="D29" s="557"/>
      <c r="E29" s="557"/>
      <c r="F29" s="557"/>
      <c r="G29" s="557"/>
      <c r="H29" s="558"/>
      <c r="I29" s="89" t="e">
        <f>+I28</f>
        <v>#REF!</v>
      </c>
      <c r="J29" s="86" t="e">
        <f>+J28</f>
        <v>#REF!</v>
      </c>
      <c r="K29" s="87" t="e">
        <f>+K28</f>
        <v>#REF!</v>
      </c>
      <c r="L29" s="89" t="e">
        <f>+L28</f>
        <v>#REF!</v>
      </c>
      <c r="M29" s="86" t="e">
        <f>+M28</f>
        <v>#REF!</v>
      </c>
      <c r="N29" s="87" t="e">
        <f>+N28</f>
        <v>#REF!</v>
      </c>
      <c r="O29" s="89" t="e">
        <f>+O28</f>
        <v>#REF!</v>
      </c>
      <c r="P29" s="86" t="e">
        <f>+P28</f>
        <v>#REF!</v>
      </c>
      <c r="Q29" s="87" t="e">
        <f>+Q28</f>
        <v>#REF!</v>
      </c>
      <c r="R29" s="85" t="e">
        <f>+R28</f>
        <v>#REF!</v>
      </c>
      <c r="S29" s="86" t="e">
        <f>+S28</f>
        <v>#REF!</v>
      </c>
      <c r="T29" s="179" t="e">
        <f>+T28</f>
        <v>#REF!</v>
      </c>
      <c r="U29" s="89" t="e">
        <f>+U28</f>
        <v>#REF!</v>
      </c>
      <c r="V29" s="86" t="e">
        <f>+V28</f>
        <v>#REF!</v>
      </c>
      <c r="W29" s="87" t="e">
        <f>+W28</f>
        <v>#REF!</v>
      </c>
      <c r="X29" s="85" t="e">
        <f>+X28</f>
        <v>#REF!</v>
      </c>
      <c r="Y29" s="86" t="e">
        <f>+Y28</f>
        <v>#REF!</v>
      </c>
      <c r="Z29" s="179" t="e">
        <f>+Z28</f>
        <v>#REF!</v>
      </c>
      <c r="AA29" s="89" t="e">
        <f>+AA28</f>
        <v>#REF!</v>
      </c>
      <c r="AB29" s="86" t="e">
        <f>+AB28</f>
        <v>#REF!</v>
      </c>
      <c r="AC29" s="87" t="e">
        <f>+AC28</f>
        <v>#REF!</v>
      </c>
      <c r="AD29" s="88" t="e">
        <f>+AD28</f>
        <v>#REF!</v>
      </c>
      <c r="AF29" s="131" t="e">
        <f>I29*F29</f>
        <v>#REF!</v>
      </c>
      <c r="AG29" s="132" t="e">
        <f>J29*F29</f>
        <v>#REF!</v>
      </c>
      <c r="AH29" s="133" t="e">
        <f>K29*F29</f>
        <v>#REF!</v>
      </c>
      <c r="AI29" s="33" t="e">
        <f>L29*F29</f>
        <v>#REF!</v>
      </c>
      <c r="AJ29" s="132" t="e">
        <f>M29*F29</f>
        <v>#REF!</v>
      </c>
      <c r="AK29" s="133" t="e">
        <f>N29*F29</f>
        <v>#REF!</v>
      </c>
      <c r="AL29" s="33" t="e">
        <f>O29*F29</f>
        <v>#REF!</v>
      </c>
      <c r="AM29" s="132" t="e">
        <f>P29*F29</f>
        <v>#REF!</v>
      </c>
      <c r="AN29" s="133" t="e">
        <f>Q29*F29</f>
        <v>#REF!</v>
      </c>
      <c r="AO29" s="33" t="e">
        <f>R29*F29</f>
        <v>#REF!</v>
      </c>
      <c r="AP29" s="132" t="e">
        <f>S29*F29</f>
        <v>#REF!</v>
      </c>
      <c r="AQ29" s="133" t="e">
        <f>T29*F29</f>
        <v>#REF!</v>
      </c>
      <c r="AR29" s="33" t="e">
        <f>U29*F29</f>
        <v>#REF!</v>
      </c>
      <c r="AS29" s="132" t="e">
        <f>V29*F29</f>
        <v>#REF!</v>
      </c>
      <c r="AT29" s="133" t="e">
        <f>W29*F29</f>
        <v>#REF!</v>
      </c>
      <c r="AU29" s="33" t="e">
        <f>X29*F29</f>
        <v>#REF!</v>
      </c>
      <c r="AV29" s="132" t="e">
        <f>Y29*F29</f>
        <v>#REF!</v>
      </c>
      <c r="AW29" s="133" t="e">
        <f>Z29*F29</f>
        <v>#REF!</v>
      </c>
      <c r="AX29" s="33" t="e">
        <f>AA29*F29</f>
        <v>#REF!</v>
      </c>
      <c r="AY29" s="135" t="e">
        <f>AB29*F29</f>
        <v>#REF!</v>
      </c>
      <c r="AZ29" s="134" t="e">
        <f>AC29*F29</f>
        <v>#REF!</v>
      </c>
    </row>
    <row r="30" spans="1:66" customHeight="1" ht="15.75">
      <c r="A30" s="520" t="s">
        <v>155</v>
      </c>
      <c r="B30" s="520" t="s">
        <v>156</v>
      </c>
      <c r="C30" s="158" t="e">
        <v>#REF!</v>
      </c>
      <c r="D30" s="74" t="e">
        <v>#REF!</v>
      </c>
      <c r="E30" s="37" t="e">
        <v>#REF!</v>
      </c>
      <c r="F30" s="37" t="e">
        <v>#REF!</v>
      </c>
      <c r="G30" s="37" t="e">
        <v>#REF!</v>
      </c>
      <c r="H30" s="38" t="e">
        <v>#REF!</v>
      </c>
      <c r="I30" s="39" t="e">
        <v>#REF!</v>
      </c>
      <c r="J30" s="49" t="e">
        <v>#REF!</v>
      </c>
      <c r="K30" s="50" t="e">
        <v>#REF!</v>
      </c>
      <c r="L30" s="39" t="e">
        <v>#REF!</v>
      </c>
      <c r="M30" s="49" t="e">
        <v>#REF!</v>
      </c>
      <c r="N30" s="41" t="e">
        <v>#REF!</v>
      </c>
      <c r="O30" s="39" t="e">
        <v>#REF!</v>
      </c>
      <c r="P30" s="49" t="e">
        <v>#REF!</v>
      </c>
      <c r="Q30" s="41" t="e">
        <v>#REF!</v>
      </c>
      <c r="R30" s="42" t="e">
        <v>#REF!</v>
      </c>
      <c r="S30" s="49" t="e">
        <v>#REF!</v>
      </c>
      <c r="T30" s="43" t="e">
        <v>#REF!</v>
      </c>
      <c r="U30" s="39" t="e">
        <v>#REF!</v>
      </c>
      <c r="V30" s="49" t="e">
        <v>#REF!</v>
      </c>
      <c r="W30" s="41" t="e">
        <v>#REF!</v>
      </c>
      <c r="X30" s="42" t="e">
        <v>#REF!</v>
      </c>
      <c r="Y30" s="49" t="e">
        <v>#REF!</v>
      </c>
      <c r="Z30" s="43" t="e">
        <v>#REF!</v>
      </c>
      <c r="AA30" s="39" t="e">
        <v>#REF!</v>
      </c>
      <c r="AB30" s="49" t="e">
        <v>#REF!</v>
      </c>
      <c r="AC30" s="41" t="e">
        <v>#REF!</v>
      </c>
      <c r="AD30" s="56" t="e">
        <v>#REF!</v>
      </c>
      <c r="AF30" s="131" t="e">
        <f>I30*F30</f>
        <v>#REF!</v>
      </c>
      <c r="AG30" s="132" t="e">
        <f>J30*F30</f>
        <v>#REF!</v>
      </c>
      <c r="AH30" s="133" t="e">
        <f>K30*F30</f>
        <v>#REF!</v>
      </c>
      <c r="AI30" s="33" t="e">
        <f>L30*F30</f>
        <v>#REF!</v>
      </c>
      <c r="AJ30" s="132" t="e">
        <f>M30*F30</f>
        <v>#REF!</v>
      </c>
      <c r="AK30" s="133" t="e">
        <f>N30*F30</f>
        <v>#REF!</v>
      </c>
      <c r="AL30" s="33" t="e">
        <f>O30*F30</f>
        <v>#REF!</v>
      </c>
      <c r="AM30" s="132" t="e">
        <f>P30*F30</f>
        <v>#REF!</v>
      </c>
      <c r="AN30" s="133" t="e">
        <f>Q30*F30</f>
        <v>#REF!</v>
      </c>
      <c r="AO30" s="33" t="e">
        <f>R30*F30</f>
        <v>#REF!</v>
      </c>
      <c r="AP30" s="132" t="e">
        <f>S30*F30</f>
        <v>#REF!</v>
      </c>
      <c r="AQ30" s="133" t="e">
        <f>T30*F30</f>
        <v>#REF!</v>
      </c>
      <c r="AR30" s="33" t="e">
        <f>U30*F30</f>
        <v>#REF!</v>
      </c>
      <c r="AS30" s="132" t="e">
        <f>V30*F30</f>
        <v>#REF!</v>
      </c>
      <c r="AT30" s="133" t="e">
        <f>W30*F30</f>
        <v>#REF!</v>
      </c>
      <c r="AU30" s="33" t="e">
        <f>X30*F30</f>
        <v>#REF!</v>
      </c>
      <c r="AV30" s="132" t="e">
        <f>Y30*F30</f>
        <v>#REF!</v>
      </c>
      <c r="AW30" s="133" t="e">
        <f>Z30*F30</f>
        <v>#REF!</v>
      </c>
      <c r="AX30" s="33" t="e">
        <f>AA30*F30</f>
        <v>#REF!</v>
      </c>
      <c r="AY30" s="132" t="e">
        <f>AB30*F30</f>
        <v>#REF!</v>
      </c>
      <c r="AZ30" s="133" t="e">
        <f>AC30*F30</f>
        <v>#REF!</v>
      </c>
    </row>
    <row r="31" spans="1:66" customHeight="1" ht="15.75">
      <c r="A31" s="555"/>
      <c r="B31" s="555"/>
      <c r="C31" s="556" t="s">
        <v>152</v>
      </c>
      <c r="D31" s="557"/>
      <c r="E31" s="557"/>
      <c r="F31" s="557"/>
      <c r="G31" s="557"/>
      <c r="H31" s="558"/>
      <c r="I31" s="89" t="e">
        <f>+I30</f>
        <v>#REF!</v>
      </c>
      <c r="J31" s="86" t="e">
        <f>+J30</f>
        <v>#REF!</v>
      </c>
      <c r="K31" s="87" t="e">
        <f>+K30</f>
        <v>#REF!</v>
      </c>
      <c r="L31" s="89" t="e">
        <f>+L30</f>
        <v>#REF!</v>
      </c>
      <c r="M31" s="85" t="e">
        <f>+M30</f>
        <v>#REF!</v>
      </c>
      <c r="N31" s="183" t="e">
        <f>+N30</f>
        <v>#REF!</v>
      </c>
      <c r="O31" s="89" t="e">
        <f>+O30</f>
        <v>#REF!</v>
      </c>
      <c r="P31" s="85" t="e">
        <f>+P30</f>
        <v>#REF!</v>
      </c>
      <c r="Q31" s="183" t="e">
        <f>+Q30</f>
        <v>#REF!</v>
      </c>
      <c r="R31" s="85" t="e">
        <f>+R30</f>
        <v>#REF!</v>
      </c>
      <c r="S31" s="85" t="e">
        <f>+S30</f>
        <v>#REF!</v>
      </c>
      <c r="T31" s="180" t="e">
        <f>+T30</f>
        <v>#REF!</v>
      </c>
      <c r="U31" s="89" t="e">
        <f>+U30</f>
        <v>#REF!</v>
      </c>
      <c r="V31" s="85" t="e">
        <f>+V30</f>
        <v>#REF!</v>
      </c>
      <c r="W31" s="183" t="e">
        <f>+W30</f>
        <v>#REF!</v>
      </c>
      <c r="X31" s="85" t="e">
        <f>+X30</f>
        <v>#REF!</v>
      </c>
      <c r="Y31" s="85" t="e">
        <f>+Y30</f>
        <v>#REF!</v>
      </c>
      <c r="Z31" s="180" t="e">
        <f>+Z30</f>
        <v>#REF!</v>
      </c>
      <c r="AA31" s="89" t="e">
        <f>+AA30</f>
        <v>#REF!</v>
      </c>
      <c r="AB31" s="85" t="e">
        <f>+AB30</f>
        <v>#REF!</v>
      </c>
      <c r="AC31" s="183" t="e">
        <f>+AC30</f>
        <v>#REF!</v>
      </c>
      <c r="AD31" s="88" t="e">
        <f>+AD30</f>
        <v>#REF!</v>
      </c>
      <c r="AF31" s="131" t="e">
        <f>I31*F31</f>
        <v>#REF!</v>
      </c>
      <c r="AG31" s="132" t="e">
        <f>J31*F31</f>
        <v>#REF!</v>
      </c>
      <c r="AH31" s="133" t="e">
        <f>K31*F31</f>
        <v>#REF!</v>
      </c>
      <c r="AI31" s="33" t="e">
        <f>L31*F31</f>
        <v>#REF!</v>
      </c>
      <c r="AJ31" s="132" t="e">
        <f>M31*F31</f>
        <v>#REF!</v>
      </c>
      <c r="AK31" s="133" t="e">
        <f>N31*F31</f>
        <v>#REF!</v>
      </c>
      <c r="AL31" s="33" t="e">
        <f>O31*F31</f>
        <v>#REF!</v>
      </c>
      <c r="AM31" s="132" t="e">
        <f>P31*F31</f>
        <v>#REF!</v>
      </c>
      <c r="AN31" s="133" t="e">
        <f>Q31*F31</f>
        <v>#REF!</v>
      </c>
      <c r="AO31" s="33" t="e">
        <f>R31*F31</f>
        <v>#REF!</v>
      </c>
      <c r="AP31" s="132" t="e">
        <f>S31*F31</f>
        <v>#REF!</v>
      </c>
      <c r="AQ31" s="133" t="e">
        <f>T31*F31</f>
        <v>#REF!</v>
      </c>
      <c r="AR31" s="33" t="e">
        <f>U31*F31</f>
        <v>#REF!</v>
      </c>
      <c r="AS31" s="132" t="e">
        <f>V31*F31</f>
        <v>#REF!</v>
      </c>
      <c r="AT31" s="133" t="e">
        <f>W31*F31</f>
        <v>#REF!</v>
      </c>
      <c r="AU31" s="33" t="e">
        <f>X31*F31</f>
        <v>#REF!</v>
      </c>
      <c r="AV31" s="132" t="e">
        <f>Y31*F31</f>
        <v>#REF!</v>
      </c>
      <c r="AW31" s="133" t="e">
        <f>Z31*F31</f>
        <v>#REF!</v>
      </c>
      <c r="AX31" s="33" t="e">
        <f>AA31*F31</f>
        <v>#REF!</v>
      </c>
      <c r="AY31" s="135" t="e">
        <f>AB31*F31</f>
        <v>#REF!</v>
      </c>
      <c r="AZ31" s="134" t="e">
        <f>AC31*F31</f>
        <v>#REF!</v>
      </c>
    </row>
    <row r="32" spans="1:66" customHeight="1" ht="15.75">
      <c r="A32" s="520" t="s">
        <v>157</v>
      </c>
      <c r="B32" s="520"/>
      <c r="C32" s="206" t="s">
        <v>158</v>
      </c>
      <c r="D32" s="209"/>
      <c r="E32" s="209"/>
      <c r="F32" s="209"/>
      <c r="G32" s="209"/>
      <c r="H32" s="209"/>
      <c r="I32" s="215">
        <v>0.0</v>
      </c>
      <c r="J32" s="216">
        <v>0.0</v>
      </c>
      <c r="K32" s="40">
        <f>IF(I32&gt;J32,0,J32-I32)</f>
        <v>0</v>
      </c>
      <c r="L32" s="216"/>
      <c r="M32" s="216"/>
      <c r="N32" s="40">
        <f>IF(L32&gt;M32,0,M32-L32)</f>
        <v>0</v>
      </c>
      <c r="O32" s="217"/>
      <c r="P32" s="217"/>
      <c r="Q32" s="217">
        <f>IF(O32&gt;P32,0,P32-O32)</f>
        <v>0</v>
      </c>
      <c r="R32" s="217"/>
      <c r="S32" s="217"/>
      <c r="T32" s="217">
        <f>IF(R32&gt;S32,0,S32-R32)</f>
        <v>0</v>
      </c>
      <c r="U32" s="217"/>
      <c r="V32" s="217"/>
      <c r="W32" s="217">
        <f>IF(U32&gt;V32,0,V32-U32)</f>
        <v>0</v>
      </c>
      <c r="X32" s="217"/>
      <c r="Y32" s="217"/>
      <c r="Z32" s="217">
        <f>IF(X32&gt;Y32,0,Y32-X32)</f>
        <v>0</v>
      </c>
      <c r="AA32" s="216"/>
      <c r="AB32" s="216"/>
      <c r="AC32" s="40">
        <f>IF(AA32&gt;AB32,0,AB32-AA32)</f>
        <v>0</v>
      </c>
      <c r="AD32" s="218">
        <f>AA32+AC32-AB32</f>
        <v>0</v>
      </c>
      <c r="AF32" s="171"/>
      <c r="AG32" s="172"/>
      <c r="AH32" s="173"/>
      <c r="AI32" s="174"/>
      <c r="AJ32" s="172"/>
      <c r="AK32" s="173"/>
      <c r="AL32" s="174"/>
      <c r="AM32" s="172"/>
      <c r="AN32" s="173"/>
      <c r="AO32" s="174"/>
      <c r="AP32" s="172"/>
      <c r="AQ32" s="173"/>
      <c r="AR32" s="174"/>
      <c r="AS32" s="172"/>
      <c r="AT32" s="173"/>
      <c r="AU32" s="174"/>
      <c r="AV32" s="172"/>
      <c r="AW32" s="173"/>
      <c r="AX32" s="174"/>
      <c r="AY32" s="172"/>
      <c r="AZ32" s="173"/>
    </row>
    <row r="33" spans="1:66" customHeight="1" ht="15.75">
      <c r="A33" s="445"/>
      <c r="B33" s="445"/>
      <c r="C33" s="207" t="s">
        <v>159</v>
      </c>
      <c r="D33" s="210"/>
      <c r="E33" s="210"/>
      <c r="F33" s="210"/>
      <c r="G33" s="210"/>
      <c r="H33" s="210"/>
      <c r="I33" s="219"/>
      <c r="J33" s="220"/>
      <c r="K33" s="45">
        <f>IF(I33&gt;J33,0,J33-I33)</f>
        <v>0</v>
      </c>
      <c r="L33" s="220"/>
      <c r="M33" s="220"/>
      <c r="N33" s="45">
        <f>IF(L33&gt;M33,0,M33-L33)</f>
        <v>0</v>
      </c>
      <c r="O33" s="220"/>
      <c r="P33" s="220"/>
      <c r="Q33" s="45">
        <f>IF(O33&gt;P33,0,P33-O33)</f>
        <v>0</v>
      </c>
      <c r="R33" s="220"/>
      <c r="S33" s="220"/>
      <c r="T33" s="45">
        <f>IF(R33&gt;S33,0,S33-R33)</f>
        <v>0</v>
      </c>
      <c r="U33" s="220"/>
      <c r="V33" s="220"/>
      <c r="W33" s="45">
        <f>IF(U33&gt;V33,0,V33-U33)</f>
        <v>0</v>
      </c>
      <c r="X33" s="220"/>
      <c r="Y33" s="220"/>
      <c r="Z33" s="45">
        <f>IF(X33&gt;Y33,0,Y33-X33)</f>
        <v>0</v>
      </c>
      <c r="AA33" s="220"/>
      <c r="AB33" s="220"/>
      <c r="AC33" s="45">
        <f>IF(AA33&gt;AB33,0,AB33-AA33)</f>
        <v>0</v>
      </c>
      <c r="AD33" s="48">
        <f>AA33+AC33-AB33</f>
        <v>0</v>
      </c>
      <c r="AF33" s="171"/>
      <c r="AG33" s="172"/>
      <c r="AH33" s="173"/>
      <c r="AI33" s="174"/>
      <c r="AJ33" s="172"/>
      <c r="AK33" s="173"/>
      <c r="AL33" s="174"/>
      <c r="AM33" s="172"/>
      <c r="AN33" s="173"/>
      <c r="AO33" s="174"/>
      <c r="AP33" s="172"/>
      <c r="AQ33" s="173"/>
      <c r="AR33" s="174"/>
      <c r="AS33" s="172"/>
      <c r="AT33" s="173"/>
      <c r="AU33" s="174"/>
      <c r="AV33" s="172"/>
      <c r="AW33" s="173"/>
      <c r="AX33" s="174"/>
      <c r="AY33" s="172"/>
      <c r="AZ33" s="173"/>
    </row>
    <row r="34" spans="1:66" customHeight="1" ht="15.75">
      <c r="A34" s="445"/>
      <c r="B34" s="445"/>
      <c r="C34" s="207" t="s">
        <v>160</v>
      </c>
      <c r="D34" s="210"/>
      <c r="E34" s="210"/>
      <c r="F34" s="210"/>
      <c r="G34" s="210"/>
      <c r="H34" s="210"/>
      <c r="I34" s="219"/>
      <c r="J34" s="220"/>
      <c r="K34" s="45">
        <f>IF(I34&gt;J34,0,J34-I34)</f>
        <v>0</v>
      </c>
      <c r="L34" s="220"/>
      <c r="M34" s="220"/>
      <c r="N34" s="45">
        <f>IF(L34&gt;M34,0,M34-L34)</f>
        <v>0</v>
      </c>
      <c r="O34" s="220"/>
      <c r="P34" s="220"/>
      <c r="Q34" s="45">
        <f>IF(O34&gt;P34,0,P34-O34)</f>
        <v>0</v>
      </c>
      <c r="R34" s="220"/>
      <c r="S34" s="220"/>
      <c r="T34" s="45">
        <f>IF(R34&gt;S34,0,S34-R34)</f>
        <v>0</v>
      </c>
      <c r="U34" s="220"/>
      <c r="V34" s="220"/>
      <c r="W34" s="45">
        <f>IF(U34&gt;V34,0,V34-U34)</f>
        <v>0</v>
      </c>
      <c r="X34" s="220"/>
      <c r="Y34" s="220"/>
      <c r="Z34" s="45">
        <f>IF(X34&gt;Y34,0,Y34-X34)</f>
        <v>0</v>
      </c>
      <c r="AA34" s="220"/>
      <c r="AB34" s="220"/>
      <c r="AC34" s="45">
        <f>IF(AA34&gt;AB34,0,AB34-AA34)</f>
        <v>0</v>
      </c>
      <c r="AD34" s="48">
        <f>AA34+AC34-AB34</f>
        <v>0</v>
      </c>
      <c r="AF34" s="171"/>
      <c r="AG34" s="172"/>
      <c r="AH34" s="173"/>
      <c r="AI34" s="174"/>
      <c r="AJ34" s="172"/>
      <c r="AK34" s="173"/>
      <c r="AL34" s="174"/>
      <c r="AM34" s="172"/>
      <c r="AN34" s="173"/>
      <c r="AO34" s="174"/>
      <c r="AP34" s="172"/>
      <c r="AQ34" s="173"/>
      <c r="AR34" s="174"/>
      <c r="AS34" s="172"/>
      <c r="AT34" s="173"/>
      <c r="AU34" s="174"/>
      <c r="AV34" s="172"/>
      <c r="AW34" s="173"/>
      <c r="AX34" s="174"/>
      <c r="AY34" s="172"/>
      <c r="AZ34" s="173"/>
    </row>
    <row r="35" spans="1:66" customHeight="1" ht="15.75">
      <c r="A35" s="445"/>
      <c r="B35" s="445"/>
      <c r="C35" s="207" t="s">
        <v>161</v>
      </c>
      <c r="D35" s="210"/>
      <c r="E35" s="210"/>
      <c r="F35" s="210"/>
      <c r="G35" s="210"/>
      <c r="H35" s="210"/>
      <c r="I35" s="219"/>
      <c r="J35" s="220"/>
      <c r="K35" s="45">
        <f>IF(I35&gt;J35,0,J35-I35)</f>
        <v>0</v>
      </c>
      <c r="L35" s="220"/>
      <c r="M35" s="220"/>
      <c r="N35" s="45">
        <f>IF(L35&gt;M35,0,M35-L35)</f>
        <v>0</v>
      </c>
      <c r="O35" s="220"/>
      <c r="P35" s="220"/>
      <c r="Q35" s="45">
        <f>IF(O35&gt;P35,0,P35-O35)</f>
        <v>0</v>
      </c>
      <c r="R35" s="220"/>
      <c r="S35" s="220"/>
      <c r="T35" s="45">
        <f>IF(R35&gt;S35,0,S35-R35)</f>
        <v>0</v>
      </c>
      <c r="U35" s="220"/>
      <c r="V35" s="220"/>
      <c r="W35" s="45">
        <f>IF(U35&gt;V35,0,V35-U35)</f>
        <v>0</v>
      </c>
      <c r="X35" s="220"/>
      <c r="Y35" s="220"/>
      <c r="Z35" s="45">
        <f>IF(X35&gt;Y35,0,Y35-X35)</f>
        <v>0</v>
      </c>
      <c r="AA35" s="220"/>
      <c r="AB35" s="220"/>
      <c r="AC35" s="45">
        <f>IF(AA35&gt;AB35,0,AB35-AA35)</f>
        <v>0</v>
      </c>
      <c r="AD35" s="48">
        <f>AA35+AC35-AB35</f>
        <v>0</v>
      </c>
      <c r="AF35" s="171"/>
      <c r="AG35" s="172"/>
      <c r="AH35" s="173"/>
      <c r="AI35" s="174"/>
      <c r="AJ35" s="172"/>
      <c r="AK35" s="173"/>
      <c r="AL35" s="174"/>
      <c r="AM35" s="172"/>
      <c r="AN35" s="173"/>
      <c r="AO35" s="174"/>
      <c r="AP35" s="172"/>
      <c r="AQ35" s="173"/>
      <c r="AR35" s="174"/>
      <c r="AS35" s="172"/>
      <c r="AT35" s="173"/>
      <c r="AU35" s="174"/>
      <c r="AV35" s="172"/>
      <c r="AW35" s="173"/>
      <c r="AX35" s="174"/>
      <c r="AY35" s="172"/>
      <c r="AZ35" s="173"/>
    </row>
    <row r="36" spans="1:66" customHeight="1" ht="15.75">
      <c r="A36" s="445"/>
      <c r="B36" s="445"/>
      <c r="C36" s="207" t="s">
        <v>162</v>
      </c>
      <c r="D36" s="210"/>
      <c r="E36" s="210"/>
      <c r="F36" s="210"/>
      <c r="G36" s="210"/>
      <c r="H36" s="210"/>
      <c r="I36" s="219"/>
      <c r="J36" s="220"/>
      <c r="K36" s="45">
        <f>IF(I36&gt;J36,0,J36-I36)</f>
        <v>0</v>
      </c>
      <c r="L36" s="220"/>
      <c r="M36" s="220"/>
      <c r="N36" s="45">
        <f>IF(L36&gt;M36,0,M36-L36)</f>
        <v>0</v>
      </c>
      <c r="O36" s="220"/>
      <c r="P36" s="220"/>
      <c r="Q36" s="45">
        <f>IF(O36&gt;P36,0,P36-O36)</f>
        <v>0</v>
      </c>
      <c r="R36" s="220"/>
      <c r="S36" s="220"/>
      <c r="T36" s="45">
        <f>IF(R36&gt;S36,0,S36-R36)</f>
        <v>0</v>
      </c>
      <c r="U36" s="220"/>
      <c r="V36" s="220"/>
      <c r="W36" s="45">
        <f>IF(U36&gt;V36,0,V36-U36)</f>
        <v>0</v>
      </c>
      <c r="X36" s="220"/>
      <c r="Y36" s="220"/>
      <c r="Z36" s="45">
        <f>IF(X36&gt;Y36,0,Y36-X36)</f>
        <v>0</v>
      </c>
      <c r="AA36" s="220"/>
      <c r="AB36" s="220"/>
      <c r="AC36" s="45">
        <f>IF(AA36&gt;AB36,0,AB36-AA36)</f>
        <v>0</v>
      </c>
      <c r="AD36" s="48">
        <f>AA36+AC36-AB36</f>
        <v>0</v>
      </c>
      <c r="AF36" s="171"/>
      <c r="AG36" s="172"/>
      <c r="AH36" s="173"/>
      <c r="AI36" s="174"/>
      <c r="AJ36" s="172"/>
      <c r="AK36" s="173"/>
      <c r="AL36" s="174"/>
      <c r="AM36" s="172"/>
      <c r="AN36" s="173"/>
      <c r="AO36" s="174"/>
      <c r="AP36" s="172"/>
      <c r="AQ36" s="173"/>
      <c r="AR36" s="174"/>
      <c r="AS36" s="172"/>
      <c r="AT36" s="173"/>
      <c r="AU36" s="174"/>
      <c r="AV36" s="172"/>
      <c r="AW36" s="173"/>
      <c r="AX36" s="174"/>
      <c r="AY36" s="172"/>
      <c r="AZ36" s="173"/>
    </row>
    <row r="37" spans="1:66" customHeight="1" ht="15.75">
      <c r="A37" s="445"/>
      <c r="B37" s="445"/>
      <c r="C37" s="207" t="s">
        <v>163</v>
      </c>
      <c r="D37" s="210"/>
      <c r="E37" s="210"/>
      <c r="F37" s="210"/>
      <c r="G37" s="210"/>
      <c r="H37" s="210"/>
      <c r="I37" s="219"/>
      <c r="J37" s="220"/>
      <c r="K37" s="45">
        <f>IF(I37&gt;J37,0,J37-I37)</f>
        <v>0</v>
      </c>
      <c r="L37" s="220"/>
      <c r="M37" s="220"/>
      <c r="N37" s="45">
        <f>IF(L37&gt;M37,0,M37-L37)</f>
        <v>0</v>
      </c>
      <c r="O37" s="220"/>
      <c r="P37" s="220"/>
      <c r="Q37" s="45">
        <f>IF(O37&gt;P37,0,P37-O37)</f>
        <v>0</v>
      </c>
      <c r="R37" s="220"/>
      <c r="S37" s="220"/>
      <c r="T37" s="45">
        <f>IF(R37&gt;S37,0,S37-R37)</f>
        <v>0</v>
      </c>
      <c r="U37" s="220"/>
      <c r="V37" s="220"/>
      <c r="W37" s="45">
        <f>IF(U37&gt;V37,0,V37-U37)</f>
        <v>0</v>
      </c>
      <c r="X37" s="220"/>
      <c r="Y37" s="220"/>
      <c r="Z37" s="45">
        <f>IF(X37&gt;Y37,0,Y37-X37)</f>
        <v>0</v>
      </c>
      <c r="AA37" s="220"/>
      <c r="AB37" s="220"/>
      <c r="AC37" s="45">
        <f>IF(AA37&gt;AB37,0,AB37-AA37)</f>
        <v>0</v>
      </c>
      <c r="AD37" s="48">
        <f>AA37+AC37-AB37</f>
        <v>0</v>
      </c>
      <c r="AF37" s="171"/>
      <c r="AG37" s="172"/>
      <c r="AH37" s="173"/>
      <c r="AI37" s="174"/>
      <c r="AJ37" s="172"/>
      <c r="AK37" s="173"/>
      <c r="AL37" s="174"/>
      <c r="AM37" s="172"/>
      <c r="AN37" s="173"/>
      <c r="AO37" s="174"/>
      <c r="AP37" s="172"/>
      <c r="AQ37" s="173"/>
      <c r="AR37" s="174"/>
      <c r="AS37" s="172"/>
      <c r="AT37" s="173"/>
      <c r="AU37" s="174"/>
      <c r="AV37" s="172"/>
      <c r="AW37" s="173"/>
      <c r="AX37" s="174"/>
      <c r="AY37" s="172"/>
      <c r="AZ37" s="173"/>
    </row>
    <row r="38" spans="1:66" customHeight="1" ht="15.75">
      <c r="A38" s="445"/>
      <c r="B38" s="445"/>
      <c r="C38" s="207" t="s">
        <v>164</v>
      </c>
      <c r="D38" s="210"/>
      <c r="E38" s="210"/>
      <c r="F38" s="210"/>
      <c r="G38" s="210"/>
      <c r="H38" s="210"/>
      <c r="I38" s="219"/>
      <c r="J38" s="220"/>
      <c r="K38" s="45">
        <f>IF(I38&gt;J38,0,J38-I38)</f>
        <v>0</v>
      </c>
      <c r="L38" s="220"/>
      <c r="M38" s="220"/>
      <c r="N38" s="45">
        <f>IF(L38&gt;M38,0,M38-L38)</f>
        <v>0</v>
      </c>
      <c r="O38" s="220"/>
      <c r="P38" s="220"/>
      <c r="Q38" s="45">
        <f>IF(O38&gt;P38,0,P38-O38)</f>
        <v>0</v>
      </c>
      <c r="R38" s="220"/>
      <c r="S38" s="220"/>
      <c r="T38" s="45">
        <f>IF(R38&gt;S38,0,S38-R38)</f>
        <v>0</v>
      </c>
      <c r="U38" s="220"/>
      <c r="V38" s="220"/>
      <c r="W38" s="45">
        <f>IF(U38&gt;V38,0,V38-U38)</f>
        <v>0</v>
      </c>
      <c r="X38" s="220"/>
      <c r="Y38" s="220"/>
      <c r="Z38" s="45">
        <f>IF(X38&gt;Y38,0,Y38-X38)</f>
        <v>0</v>
      </c>
      <c r="AA38" s="220"/>
      <c r="AB38" s="220"/>
      <c r="AC38" s="45">
        <f>IF(AA38&gt;AB38,0,AB38-AA38)</f>
        <v>0</v>
      </c>
      <c r="AD38" s="48">
        <f>AA38+AC38-AB38</f>
        <v>0</v>
      </c>
      <c r="AF38" s="171"/>
      <c r="AG38" s="172"/>
      <c r="AH38" s="173"/>
      <c r="AI38" s="174"/>
      <c r="AJ38" s="172"/>
      <c r="AK38" s="173"/>
      <c r="AL38" s="174"/>
      <c r="AM38" s="172"/>
      <c r="AN38" s="173"/>
      <c r="AO38" s="174"/>
      <c r="AP38" s="172"/>
      <c r="AQ38" s="173"/>
      <c r="AR38" s="174"/>
      <c r="AS38" s="172"/>
      <c r="AT38" s="173"/>
      <c r="AU38" s="174"/>
      <c r="AV38" s="172"/>
      <c r="AW38" s="173"/>
      <c r="AX38" s="174"/>
      <c r="AY38" s="172"/>
      <c r="AZ38" s="173"/>
    </row>
    <row r="39" spans="1:66" customHeight="1" ht="15.75">
      <c r="A39" s="445"/>
      <c r="B39" s="445"/>
      <c r="C39" s="207" t="s">
        <v>165</v>
      </c>
      <c r="D39" s="210"/>
      <c r="E39" s="210"/>
      <c r="F39" s="210"/>
      <c r="G39" s="210"/>
      <c r="H39" s="210"/>
      <c r="I39" s="219"/>
      <c r="J39" s="220"/>
      <c r="K39" s="45">
        <f>IF(I39&gt;J39,0,J39-I39)</f>
        <v>0</v>
      </c>
      <c r="L39" s="220"/>
      <c r="M39" s="220"/>
      <c r="N39" s="45">
        <f>IF(L39&gt;M39,0,M39-L39)</f>
        <v>0</v>
      </c>
      <c r="O39" s="220"/>
      <c r="P39" s="220"/>
      <c r="Q39" s="45">
        <f>IF(O39&gt;P39,0,P39-O39)</f>
        <v>0</v>
      </c>
      <c r="R39" s="220"/>
      <c r="S39" s="220"/>
      <c r="T39" s="45">
        <f>IF(R39&gt;S39,0,S39-R39)</f>
        <v>0</v>
      </c>
      <c r="U39" s="220"/>
      <c r="V39" s="220"/>
      <c r="W39" s="45">
        <f>IF(U39&gt;V39,0,V39-U39)</f>
        <v>0</v>
      </c>
      <c r="X39" s="220"/>
      <c r="Y39" s="220"/>
      <c r="Z39" s="45">
        <f>IF(X39&gt;Y39,0,Y39-X39)</f>
        <v>0</v>
      </c>
      <c r="AA39" s="220"/>
      <c r="AB39" s="220"/>
      <c r="AC39" s="45">
        <f>IF(AA39&gt;AB39,0,AB39-AA39)</f>
        <v>0</v>
      </c>
      <c r="AD39" s="48">
        <f>AA39+AC39-AB39</f>
        <v>0</v>
      </c>
      <c r="AF39" s="171"/>
      <c r="AG39" s="172"/>
      <c r="AH39" s="173"/>
      <c r="AI39" s="174"/>
      <c r="AJ39" s="172"/>
      <c r="AK39" s="173"/>
      <c r="AL39" s="174"/>
      <c r="AM39" s="172"/>
      <c r="AN39" s="173"/>
      <c r="AO39" s="174"/>
      <c r="AP39" s="172"/>
      <c r="AQ39" s="173"/>
      <c r="AR39" s="174"/>
      <c r="AS39" s="172"/>
      <c r="AT39" s="173"/>
      <c r="AU39" s="174"/>
      <c r="AV39" s="172"/>
      <c r="AW39" s="173"/>
      <c r="AX39" s="174"/>
      <c r="AY39" s="172"/>
      <c r="AZ39" s="173"/>
    </row>
    <row r="40" spans="1:66" customHeight="1" ht="15.75">
      <c r="A40" s="445"/>
      <c r="B40" s="445"/>
      <c r="C40" s="207" t="s">
        <v>166</v>
      </c>
      <c r="D40" s="210"/>
      <c r="E40" s="210"/>
      <c r="F40" s="210"/>
      <c r="G40" s="210"/>
      <c r="H40" s="210"/>
      <c r="I40" s="219"/>
      <c r="J40" s="220"/>
      <c r="K40" s="45">
        <f>IF(I40&gt;J40,0,J40-I40)</f>
        <v>0</v>
      </c>
      <c r="L40" s="220"/>
      <c r="M40" s="220"/>
      <c r="N40" s="45">
        <f>IF(L40&gt;M40,0,M40-L40)</f>
        <v>0</v>
      </c>
      <c r="O40" s="220"/>
      <c r="P40" s="220"/>
      <c r="Q40" s="45">
        <f>IF(O40&gt;P40,0,P40-O40)</f>
        <v>0</v>
      </c>
      <c r="R40" s="220"/>
      <c r="S40" s="220"/>
      <c r="T40" s="45">
        <f>IF(R40&gt;S40,0,S40-R40)</f>
        <v>0</v>
      </c>
      <c r="U40" s="220"/>
      <c r="V40" s="220"/>
      <c r="W40" s="45">
        <f>IF(U40&gt;V40,0,V40-U40)</f>
        <v>0</v>
      </c>
      <c r="X40" s="220"/>
      <c r="Y40" s="220"/>
      <c r="Z40" s="45">
        <f>IF(X40&gt;Y40,0,Y40-X40)</f>
        <v>0</v>
      </c>
      <c r="AA40" s="220"/>
      <c r="AB40" s="220"/>
      <c r="AC40" s="45">
        <f>IF(AA40&gt;AB40,0,AB40-AA40)</f>
        <v>0</v>
      </c>
      <c r="AD40" s="48">
        <f>AA40+AC40-AB40</f>
        <v>0</v>
      </c>
      <c r="AF40" s="171"/>
      <c r="AG40" s="172"/>
      <c r="AH40" s="173"/>
      <c r="AI40" s="174"/>
      <c r="AJ40" s="172"/>
      <c r="AK40" s="173"/>
      <c r="AL40" s="174"/>
      <c r="AM40" s="172"/>
      <c r="AN40" s="173"/>
      <c r="AO40" s="174"/>
      <c r="AP40" s="172"/>
      <c r="AQ40" s="173"/>
      <c r="AR40" s="174"/>
      <c r="AS40" s="172"/>
      <c r="AT40" s="173"/>
      <c r="AU40" s="174"/>
      <c r="AV40" s="172"/>
      <c r="AW40" s="173"/>
      <c r="AX40" s="174"/>
      <c r="AY40" s="172"/>
      <c r="AZ40" s="173"/>
    </row>
    <row r="41" spans="1:66" customHeight="1" ht="15.75">
      <c r="A41" s="445"/>
      <c r="B41" s="445"/>
      <c r="C41" s="207" t="s">
        <v>167</v>
      </c>
      <c r="D41" s="210"/>
      <c r="E41" s="210"/>
      <c r="F41" s="210"/>
      <c r="G41" s="210"/>
      <c r="H41" s="210"/>
      <c r="I41" s="219"/>
      <c r="J41" s="220"/>
      <c r="K41" s="45">
        <f>IF(I41&gt;J41,0,J41-I41)</f>
        <v>0</v>
      </c>
      <c r="L41" s="220"/>
      <c r="M41" s="220"/>
      <c r="N41" s="45">
        <f>IF(L41&gt;M41,0,M41-L41)</f>
        <v>0</v>
      </c>
      <c r="O41" s="220"/>
      <c r="P41" s="220"/>
      <c r="Q41" s="45">
        <f>IF(O41&gt;P41,0,P41-O41)</f>
        <v>0</v>
      </c>
      <c r="R41" s="220"/>
      <c r="S41" s="220"/>
      <c r="T41" s="45">
        <f>IF(R41&gt;S41,0,S41-R41)</f>
        <v>0</v>
      </c>
      <c r="U41" s="220"/>
      <c r="V41" s="220"/>
      <c r="W41" s="45">
        <f>IF(U41&gt;V41,0,V41-U41)</f>
        <v>0</v>
      </c>
      <c r="X41" s="220"/>
      <c r="Y41" s="220"/>
      <c r="Z41" s="45">
        <f>IF(X41&gt;Y41,0,Y41-X41)</f>
        <v>0</v>
      </c>
      <c r="AA41" s="220"/>
      <c r="AB41" s="220"/>
      <c r="AC41" s="45">
        <f>IF(AA41&gt;AB41,0,AB41-AA41)</f>
        <v>0</v>
      </c>
      <c r="AD41" s="48">
        <f>AA41+AC41-AB41</f>
        <v>0</v>
      </c>
      <c r="AF41" s="171"/>
      <c r="AG41" s="172"/>
      <c r="AH41" s="173"/>
      <c r="AI41" s="174"/>
      <c r="AJ41" s="172"/>
      <c r="AK41" s="173"/>
      <c r="AL41" s="174"/>
      <c r="AM41" s="172"/>
      <c r="AN41" s="173"/>
      <c r="AO41" s="174"/>
      <c r="AP41" s="172"/>
      <c r="AQ41" s="173"/>
      <c r="AR41" s="174"/>
      <c r="AS41" s="172"/>
      <c r="AT41" s="173"/>
      <c r="AU41" s="174"/>
      <c r="AV41" s="172"/>
      <c r="AW41" s="173"/>
      <c r="AX41" s="174"/>
      <c r="AY41" s="172"/>
      <c r="AZ41" s="173"/>
    </row>
    <row r="42" spans="1:66" customHeight="1" ht="15.75">
      <c r="A42" s="445"/>
      <c r="B42" s="445"/>
      <c r="C42" s="207" t="s">
        <v>168</v>
      </c>
      <c r="D42" s="210"/>
      <c r="E42" s="210"/>
      <c r="F42" s="210"/>
      <c r="G42" s="210"/>
      <c r="H42" s="210"/>
      <c r="I42" s="219"/>
      <c r="J42" s="220"/>
      <c r="K42" s="45">
        <f>IF(I42&gt;J42,0,J42-I42)</f>
        <v>0</v>
      </c>
      <c r="L42" s="220"/>
      <c r="M42" s="220"/>
      <c r="N42" s="45">
        <f>IF(L42&gt;M42,0,M42-L42)</f>
        <v>0</v>
      </c>
      <c r="O42" s="220"/>
      <c r="P42" s="220"/>
      <c r="Q42" s="45">
        <f>IF(O42&gt;P42,0,P42-O42)</f>
        <v>0</v>
      </c>
      <c r="R42" s="220"/>
      <c r="S42" s="220"/>
      <c r="T42" s="45">
        <f>IF(R42&gt;S42,0,S42-R42)</f>
        <v>0</v>
      </c>
      <c r="U42" s="220"/>
      <c r="V42" s="220"/>
      <c r="W42" s="45">
        <f>IF(U42&gt;V42,0,V42-U42)</f>
        <v>0</v>
      </c>
      <c r="X42" s="220"/>
      <c r="Y42" s="220"/>
      <c r="Z42" s="45">
        <f>IF(X42&gt;Y42,0,Y42-X42)</f>
        <v>0</v>
      </c>
      <c r="AA42" s="220"/>
      <c r="AB42" s="220"/>
      <c r="AC42" s="45">
        <f>IF(AA42&gt;AB42,0,AB42-AA42)</f>
        <v>0</v>
      </c>
      <c r="AD42" s="48">
        <f>AA42+AC42-AB42</f>
        <v>0</v>
      </c>
      <c r="AF42" s="171"/>
      <c r="AG42" s="172"/>
      <c r="AH42" s="173"/>
      <c r="AI42" s="174"/>
      <c r="AJ42" s="172"/>
      <c r="AK42" s="173"/>
      <c r="AL42" s="174"/>
      <c r="AM42" s="172"/>
      <c r="AN42" s="173"/>
      <c r="AO42" s="174"/>
      <c r="AP42" s="172"/>
      <c r="AQ42" s="173"/>
      <c r="AR42" s="174"/>
      <c r="AS42" s="172"/>
      <c r="AT42" s="173"/>
      <c r="AU42" s="174"/>
      <c r="AV42" s="172"/>
      <c r="AW42" s="173"/>
      <c r="AX42" s="174"/>
      <c r="AY42" s="172"/>
      <c r="AZ42" s="173"/>
    </row>
    <row r="43" spans="1:66" customHeight="1" ht="15.75">
      <c r="A43" s="445"/>
      <c r="B43" s="445"/>
      <c r="C43" s="207" t="s">
        <v>169</v>
      </c>
      <c r="D43" s="210"/>
      <c r="E43" s="210"/>
      <c r="F43" s="210"/>
      <c r="G43" s="210"/>
      <c r="H43" s="210"/>
      <c r="I43" s="219"/>
      <c r="J43" s="220"/>
      <c r="K43" s="45">
        <f>IF(I43&gt;J43,0,J43-I43)</f>
        <v>0</v>
      </c>
      <c r="L43" s="220"/>
      <c r="M43" s="220"/>
      <c r="N43" s="45">
        <f>IF(L43&gt;M43,0,M43-L43)</f>
        <v>0</v>
      </c>
      <c r="O43" s="220"/>
      <c r="P43" s="220"/>
      <c r="Q43" s="45">
        <f>IF(O43&gt;P43,0,P43-O43)</f>
        <v>0</v>
      </c>
      <c r="R43" s="220"/>
      <c r="S43" s="220"/>
      <c r="T43" s="45">
        <f>IF(R43&gt;S43,0,S43-R43)</f>
        <v>0</v>
      </c>
      <c r="U43" s="220"/>
      <c r="V43" s="220"/>
      <c r="W43" s="45">
        <f>IF(U43&gt;V43,0,V43-U43)</f>
        <v>0</v>
      </c>
      <c r="X43" s="220"/>
      <c r="Y43" s="220"/>
      <c r="Z43" s="45">
        <f>IF(X43&gt;Y43,0,Y43-X43)</f>
        <v>0</v>
      </c>
      <c r="AA43" s="220"/>
      <c r="AB43" s="220"/>
      <c r="AC43" s="45">
        <f>IF(AA43&gt;AB43,0,AB43-AA43)</f>
        <v>0</v>
      </c>
      <c r="AD43" s="48">
        <f>AA43+AC43-AB43</f>
        <v>0</v>
      </c>
      <c r="AF43" s="171"/>
      <c r="AG43" s="172"/>
      <c r="AH43" s="173"/>
      <c r="AI43" s="174"/>
      <c r="AJ43" s="172"/>
      <c r="AK43" s="173"/>
      <c r="AL43" s="174"/>
      <c r="AM43" s="172"/>
      <c r="AN43" s="173"/>
      <c r="AO43" s="174"/>
      <c r="AP43" s="172"/>
      <c r="AQ43" s="173"/>
      <c r="AR43" s="174"/>
      <c r="AS43" s="172"/>
      <c r="AT43" s="173"/>
      <c r="AU43" s="174"/>
      <c r="AV43" s="172"/>
      <c r="AW43" s="173"/>
      <c r="AX43" s="174"/>
      <c r="AY43" s="172"/>
      <c r="AZ43" s="173"/>
    </row>
    <row r="44" spans="1:66" customHeight="1" ht="15.75">
      <c r="A44" s="445"/>
      <c r="B44" s="445"/>
      <c r="C44" s="207" t="s">
        <v>170</v>
      </c>
      <c r="D44" s="210"/>
      <c r="E44" s="210"/>
      <c r="F44" s="210"/>
      <c r="G44" s="210"/>
      <c r="H44" s="210"/>
      <c r="I44" s="219"/>
      <c r="J44" s="220"/>
      <c r="K44" s="45">
        <f>IF(I44&gt;J44,0,J44-I44)</f>
        <v>0</v>
      </c>
      <c r="L44" s="220"/>
      <c r="M44" s="220"/>
      <c r="N44" s="45">
        <f>IF(L44&gt;M44,0,M44-L44)</f>
        <v>0</v>
      </c>
      <c r="O44" s="220"/>
      <c r="P44" s="220"/>
      <c r="Q44" s="45">
        <f>IF(O44&gt;P44,0,P44-O44)</f>
        <v>0</v>
      </c>
      <c r="R44" s="220"/>
      <c r="S44" s="220"/>
      <c r="T44" s="45">
        <f>IF(R44&gt;S44,0,S44-R44)</f>
        <v>0</v>
      </c>
      <c r="U44" s="220"/>
      <c r="V44" s="220"/>
      <c r="W44" s="45">
        <f>IF(U44&gt;V44,0,V44-U44)</f>
        <v>0</v>
      </c>
      <c r="X44" s="220"/>
      <c r="Y44" s="220"/>
      <c r="Z44" s="45">
        <f>IF(X44&gt;Y44,0,Y44-X44)</f>
        <v>0</v>
      </c>
      <c r="AA44" s="220"/>
      <c r="AB44" s="220"/>
      <c r="AC44" s="45">
        <f>IF(AA44&gt;AB44,0,AB44-AA44)</f>
        <v>0</v>
      </c>
      <c r="AD44" s="48">
        <f>AA44+AC44-AB44</f>
        <v>0</v>
      </c>
      <c r="AF44" s="171"/>
      <c r="AG44" s="172"/>
      <c r="AH44" s="173"/>
      <c r="AI44" s="174"/>
      <c r="AJ44" s="172"/>
      <c r="AK44" s="173"/>
      <c r="AL44" s="174"/>
      <c r="AM44" s="172"/>
      <c r="AN44" s="173"/>
      <c r="AO44" s="174"/>
      <c r="AP44" s="172"/>
      <c r="AQ44" s="173"/>
      <c r="AR44" s="174"/>
      <c r="AS44" s="172"/>
      <c r="AT44" s="173"/>
      <c r="AU44" s="174"/>
      <c r="AV44" s="172"/>
      <c r="AW44" s="173"/>
      <c r="AX44" s="174"/>
      <c r="AY44" s="172"/>
      <c r="AZ44" s="173"/>
    </row>
    <row r="45" spans="1:66" customHeight="1" ht="15.75">
      <c r="A45" s="445"/>
      <c r="B45" s="445"/>
      <c r="C45" s="208" t="s">
        <v>171</v>
      </c>
      <c r="D45" s="211"/>
      <c r="E45" s="211"/>
      <c r="F45" s="211"/>
      <c r="G45" s="211"/>
      <c r="H45" s="211"/>
      <c r="I45" s="222"/>
      <c r="J45" s="223"/>
      <c r="K45" s="223">
        <f>IF(I45&gt;J45,0,J45-I45)</f>
        <v>0</v>
      </c>
      <c r="L45" s="223"/>
      <c r="M45" s="223"/>
      <c r="N45" s="223">
        <f>IF(L45&gt;M45,0,M45-L45)</f>
        <v>0</v>
      </c>
      <c r="O45" s="223"/>
      <c r="P45" s="223"/>
      <c r="Q45" s="223">
        <f>IF(O45&gt;P45,0,P45-O45)</f>
        <v>0</v>
      </c>
      <c r="R45" s="223"/>
      <c r="S45" s="223"/>
      <c r="T45" s="223">
        <f>IF(R45&gt;S45,0,S45-R45)</f>
        <v>0</v>
      </c>
      <c r="U45" s="223"/>
      <c r="V45" s="223"/>
      <c r="W45" s="223">
        <f>IF(U45&gt;V45,0,V45-U45)</f>
        <v>0</v>
      </c>
      <c r="X45" s="223"/>
      <c r="Y45" s="223"/>
      <c r="Z45" s="223">
        <f>IF(X45&gt;Y45,0,Y45-X45)</f>
        <v>0</v>
      </c>
      <c r="AA45" s="223"/>
      <c r="AB45" s="223"/>
      <c r="AC45" s="223">
        <f>IF(AA45&gt;AB45,0,AB45-AA45)</f>
        <v>0</v>
      </c>
      <c r="AD45" s="224">
        <f>AA45+AC45-AB45</f>
        <v>0</v>
      </c>
      <c r="AF45" s="171"/>
      <c r="AG45" s="172"/>
      <c r="AH45" s="173"/>
      <c r="AI45" s="174"/>
      <c r="AJ45" s="172"/>
      <c r="AK45" s="173"/>
      <c r="AL45" s="174"/>
      <c r="AM45" s="172"/>
      <c r="AN45" s="173"/>
      <c r="AO45" s="174"/>
      <c r="AP45" s="172"/>
      <c r="AQ45" s="173"/>
      <c r="AR45" s="174"/>
      <c r="AS45" s="172"/>
      <c r="AT45" s="173"/>
      <c r="AU45" s="174"/>
      <c r="AV45" s="172"/>
      <c r="AW45" s="173"/>
      <c r="AX45" s="174"/>
      <c r="AY45" s="172"/>
      <c r="AZ45" s="173"/>
    </row>
    <row r="46" spans="1:66" customHeight="1" ht="15.75">
      <c r="A46" s="445"/>
      <c r="B46" s="555"/>
      <c r="C46" s="559" t="s">
        <v>152</v>
      </c>
      <c r="D46" s="560"/>
      <c r="E46" s="560"/>
      <c r="F46" s="560"/>
      <c r="G46" s="560"/>
      <c r="H46" s="561"/>
      <c r="I46" s="212">
        <f>SUM(I32:I45)</f>
        <v>0</v>
      </c>
      <c r="J46" s="213">
        <f>SUM(J32:J45)</f>
        <v>0</v>
      </c>
      <c r="K46" s="213">
        <f>SUM(K32:K45)</f>
        <v>0</v>
      </c>
      <c r="L46" s="213">
        <f>SUM(L32:L45)</f>
        <v>0</v>
      </c>
      <c r="M46" s="213">
        <f>SUM(M32:M45)</f>
        <v>0</v>
      </c>
      <c r="N46" s="213">
        <f>SUM(N32:N45)</f>
        <v>0</v>
      </c>
      <c r="O46" s="213">
        <f>SUM(O32:O45)</f>
        <v>0</v>
      </c>
      <c r="P46" s="213">
        <f>SUM(P32:P45)</f>
        <v>0</v>
      </c>
      <c r="Q46" s="213">
        <f>SUM(Q32:Q45)</f>
        <v>0</v>
      </c>
      <c r="R46" s="213">
        <f>SUM(R32:R45)</f>
        <v>0</v>
      </c>
      <c r="S46" s="213">
        <f>SUM(S32:S45)</f>
        <v>0</v>
      </c>
      <c r="T46" s="213">
        <f>SUM(T32:T45)</f>
        <v>0</v>
      </c>
      <c r="U46" s="213">
        <f>SUM(U32:U45)</f>
        <v>0</v>
      </c>
      <c r="V46" s="213">
        <f>SUM(V32:V45)</f>
        <v>0</v>
      </c>
      <c r="W46" s="213">
        <f>SUM(W32:W45)</f>
        <v>0</v>
      </c>
      <c r="X46" s="213">
        <f>SUM(X32:X45)</f>
        <v>0</v>
      </c>
      <c r="Y46" s="213">
        <f>SUM(Y32:Y45)</f>
        <v>0</v>
      </c>
      <c r="Z46" s="213">
        <f>SUM(Z32:Z45)</f>
        <v>0</v>
      </c>
      <c r="AA46" s="213">
        <f>SUM(AA32:AA45)</f>
        <v>0</v>
      </c>
      <c r="AB46" s="213">
        <f>SUM(AB32:AB45)</f>
        <v>0</v>
      </c>
      <c r="AC46" s="213">
        <f>SUM(AC32:AC45)</f>
        <v>0</v>
      </c>
      <c r="AD46" s="214">
        <f>SUM(AD32:AD45)</f>
        <v>0</v>
      </c>
      <c r="AF46" s="171"/>
      <c r="AG46" s="172"/>
      <c r="AH46" s="173"/>
      <c r="AI46" s="174"/>
      <c r="AJ46" s="172"/>
      <c r="AK46" s="173"/>
      <c r="AL46" s="174"/>
      <c r="AM46" s="172"/>
      <c r="AN46" s="173"/>
      <c r="AO46" s="174"/>
      <c r="AP46" s="172"/>
      <c r="AQ46" s="173"/>
      <c r="AR46" s="174"/>
      <c r="AS46" s="172"/>
      <c r="AT46" s="173"/>
      <c r="AU46" s="174"/>
      <c r="AV46" s="172"/>
      <c r="AW46" s="173"/>
      <c r="AX46" s="174"/>
      <c r="AY46" s="172"/>
      <c r="AZ46" s="173"/>
    </row>
    <row r="47" spans="1:66" customHeight="1" ht="15.75">
      <c r="A47" s="445"/>
      <c r="B47" s="520" t="s">
        <v>154</v>
      </c>
      <c r="C47" s="208" t="s">
        <v>172</v>
      </c>
      <c r="D47" s="211"/>
      <c r="E47" s="211"/>
      <c r="F47" s="211"/>
      <c r="G47" s="211"/>
      <c r="H47" s="211"/>
      <c r="I47" s="222"/>
      <c r="J47" s="223"/>
      <c r="K47" s="223">
        <f>IF(I47&gt;J47,0,J47-I47)</f>
        <v>0</v>
      </c>
      <c r="L47" s="223"/>
      <c r="M47" s="223"/>
      <c r="N47" s="223">
        <f>IF(L47&gt;M47,0,M47-L47)</f>
        <v>0</v>
      </c>
      <c r="O47" s="223"/>
      <c r="P47" s="223"/>
      <c r="Q47" s="223">
        <f>IF(O47&gt;P47,0,P47-O47)</f>
        <v>0</v>
      </c>
      <c r="R47" s="223"/>
      <c r="S47" s="223"/>
      <c r="T47" s="223">
        <f>IF(R47&gt;S47,0,S47-R47)</f>
        <v>0</v>
      </c>
      <c r="U47" s="223"/>
      <c r="V47" s="223"/>
      <c r="W47" s="223">
        <f>IF(U47&gt;V47,0,V47-U47)</f>
        <v>0</v>
      </c>
      <c r="X47" s="223"/>
      <c r="Y47" s="223"/>
      <c r="Z47" s="223">
        <f>IF(X47&gt;Y47,0,Y47-X47)</f>
        <v>0</v>
      </c>
      <c r="AA47" s="223"/>
      <c r="AB47" s="223"/>
      <c r="AC47" s="223">
        <f>IF(AA47&gt;AB47,0,AB47-AA47)</f>
        <v>0</v>
      </c>
      <c r="AD47" s="224">
        <f>AA47+AC47-AB47</f>
        <v>0</v>
      </c>
      <c r="AF47" s="171"/>
      <c r="AG47" s="172"/>
      <c r="AH47" s="173"/>
      <c r="AI47" s="174"/>
      <c r="AJ47" s="172"/>
      <c r="AK47" s="173"/>
      <c r="AL47" s="174"/>
      <c r="AM47" s="172"/>
      <c r="AN47" s="173"/>
      <c r="AO47" s="174"/>
      <c r="AP47" s="172"/>
      <c r="AQ47" s="173"/>
      <c r="AR47" s="174"/>
      <c r="AS47" s="172"/>
      <c r="AT47" s="173"/>
      <c r="AU47" s="174"/>
      <c r="AV47" s="172"/>
      <c r="AW47" s="173"/>
      <c r="AX47" s="174"/>
      <c r="AY47" s="172"/>
      <c r="AZ47" s="173"/>
    </row>
    <row r="48" spans="1:66" customHeight="1" ht="15.75">
      <c r="A48" s="555"/>
      <c r="B48" s="555"/>
      <c r="C48" s="559" t="s">
        <v>152</v>
      </c>
      <c r="D48" s="560"/>
      <c r="E48" s="560"/>
      <c r="F48" s="560"/>
      <c r="G48" s="560"/>
      <c r="H48" s="561"/>
      <c r="I48" s="228"/>
      <c r="J48" s="229"/>
      <c r="K48" s="229"/>
      <c r="L48" s="229"/>
      <c r="M48" s="229"/>
      <c r="N48" s="229"/>
      <c r="O48" s="229"/>
      <c r="P48" s="229"/>
      <c r="Q48" s="229"/>
      <c r="R48" s="229"/>
      <c r="S48" s="229"/>
      <c r="T48" s="229"/>
      <c r="U48" s="229"/>
      <c r="V48" s="229"/>
      <c r="W48" s="229"/>
      <c r="X48" s="229"/>
      <c r="Y48" s="229"/>
      <c r="Z48" s="229"/>
      <c r="AA48" s="229"/>
      <c r="AB48" s="229"/>
      <c r="AC48" s="229"/>
      <c r="AD48" s="230"/>
      <c r="AF48" s="171"/>
      <c r="AG48" s="172"/>
      <c r="AH48" s="173"/>
      <c r="AI48" s="174"/>
      <c r="AJ48" s="172"/>
      <c r="AK48" s="173"/>
      <c r="AL48" s="174"/>
      <c r="AM48" s="172"/>
      <c r="AN48" s="173"/>
      <c r="AO48" s="174"/>
      <c r="AP48" s="172"/>
      <c r="AQ48" s="173"/>
      <c r="AR48" s="174"/>
      <c r="AS48" s="172"/>
      <c r="AT48" s="173"/>
      <c r="AU48" s="174"/>
      <c r="AV48" s="172"/>
      <c r="AW48" s="173"/>
      <c r="AX48" s="174"/>
      <c r="AY48" s="172"/>
      <c r="AZ48" s="173"/>
    </row>
    <row r="49" spans="1:66" customHeight="1" ht="15.75" s="12" customFormat="1">
      <c r="A49" s="67"/>
      <c r="B49" s="67"/>
      <c r="C49" s="499" t="s">
        <v>133</v>
      </c>
      <c r="D49" s="500"/>
      <c r="E49" s="500"/>
      <c r="F49" s="500"/>
      <c r="G49" s="500"/>
      <c r="H49" s="501"/>
      <c r="I49" s="190" t="e">
        <f>+I15+I24+I27+I29+I31</f>
        <v>#REF!</v>
      </c>
      <c r="J49" s="191" t="e">
        <f>+J15+J24+J27+J29+J31</f>
        <v>#REF!</v>
      </c>
      <c r="K49" s="92" t="e">
        <f>+K15+K24+K27+K29+K31</f>
        <v>#REF!</v>
      </c>
      <c r="L49" s="187" t="e">
        <f>+L15+L24+L27+L29+L31</f>
        <v>#REF!</v>
      </c>
      <c r="M49" s="90" t="e">
        <f>+M15+M24+M27+M29+M31</f>
        <v>#REF!</v>
      </c>
      <c r="N49" s="92" t="e">
        <f>+N15+N24+N27+N29+N31</f>
        <v>#REF!</v>
      </c>
      <c r="O49" s="187" t="e">
        <f>+O15+O24+O27+O29+O31</f>
        <v>#REF!</v>
      </c>
      <c r="P49" s="90" t="e">
        <f>+P15+P24+P27+P29+P31</f>
        <v>#REF!</v>
      </c>
      <c r="Q49" s="92" t="e">
        <f>+Q15+Q24+Q27+Q29+Q31</f>
        <v>#REF!</v>
      </c>
      <c r="R49" s="90" t="e">
        <f>+R15+R24+R27+R29+R31</f>
        <v>#REF!</v>
      </c>
      <c r="S49" s="90" t="e">
        <f>+S15+S24+S27+S29+S31</f>
        <v>#REF!</v>
      </c>
      <c r="T49" s="184" t="e">
        <f>+T15+T24+T27+T29+T31</f>
        <v>#REF!</v>
      </c>
      <c r="U49" s="187" t="e">
        <f>+U15+U24+U27+U29+U31</f>
        <v>#REF!</v>
      </c>
      <c r="V49" s="90" t="e">
        <f>+V15+V24+V27+V29+V31</f>
        <v>#REF!</v>
      </c>
      <c r="W49" s="92" t="e">
        <f>+W15+W24+W27+W29+W31</f>
        <v>#REF!</v>
      </c>
      <c r="X49" s="90" t="e">
        <f>+X15+X24+X27+X29+X31</f>
        <v>#REF!</v>
      </c>
      <c r="Y49" s="90" t="e">
        <f>+Y15+Y24+Y27+Y29+Y31</f>
        <v>#REF!</v>
      </c>
      <c r="Z49" s="184" t="e">
        <f>+Z15+Z24+Z27+Z29+Z31</f>
        <v>#REF!</v>
      </c>
      <c r="AA49" s="187" t="e">
        <f>+AA15+AA24+AA27+AA29+AA31</f>
        <v>#REF!</v>
      </c>
      <c r="AB49" s="90" t="e">
        <f>+AB15+AB24+AB27+AB29+AB31</f>
        <v>#REF!</v>
      </c>
      <c r="AC49" s="92" t="e">
        <f>+AC15+AC24+AC27+AC29+AC31</f>
        <v>#REF!</v>
      </c>
      <c r="AD49" s="163" t="e">
        <f>+AD15+AD24+AD27+AD29+AD31</f>
        <v>#REF!</v>
      </c>
      <c r="AF49" s="136" t="e">
        <f>SUM(AF9:AF24)</f>
        <v>#REF!</v>
      </c>
      <c r="AG49" s="137" t="e">
        <f>SUM(AG9:AG24)</f>
        <v>#REF!</v>
      </c>
      <c r="AH49" s="138" t="e">
        <f>SUM(AH9:AH24)</f>
        <v>#REF!</v>
      </c>
      <c r="AI49" s="139" t="e">
        <f>SUM(AI9:AI24)</f>
        <v>#REF!</v>
      </c>
      <c r="AJ49" s="137" t="e">
        <f>SUM(AJ9:AJ24)</f>
        <v>#REF!</v>
      </c>
      <c r="AK49" s="138" t="e">
        <f>SUM(AK9:AK24)</f>
        <v>#REF!</v>
      </c>
      <c r="AL49" s="139" t="e">
        <f>SUM(AL9:AL24)</f>
        <v>#REF!</v>
      </c>
      <c r="AM49" s="137" t="e">
        <f>SUM(AM9:AM24)</f>
        <v>#REF!</v>
      </c>
      <c r="AN49" s="138" t="e">
        <f>SUM(AN9:AN24)</f>
        <v>#REF!</v>
      </c>
      <c r="AO49" s="139" t="e">
        <f>SUM(AO9:AO24)</f>
        <v>#REF!</v>
      </c>
      <c r="AP49" s="137" t="e">
        <f>SUM(AP9:AP24)</f>
        <v>#REF!</v>
      </c>
      <c r="AQ49" s="138" t="e">
        <f>SUM(AQ9:AQ24)</f>
        <v>#REF!</v>
      </c>
      <c r="AR49" s="139" t="e">
        <f>SUM(AR9:AR24)</f>
        <v>#REF!</v>
      </c>
      <c r="AS49" s="137" t="e">
        <f>SUM(AS9:AS24)</f>
        <v>#REF!</v>
      </c>
      <c r="AT49" s="138" t="e">
        <f>SUM(AT9:AT24)</f>
        <v>#REF!</v>
      </c>
      <c r="AU49" s="139" t="e">
        <f>SUM(AU9:AU24)</f>
        <v>#REF!</v>
      </c>
      <c r="AV49" s="137" t="e">
        <f>SUM(AV9:AV24)</f>
        <v>#REF!</v>
      </c>
      <c r="AW49" s="138" t="e">
        <f>SUM(AW9:AW24)</f>
        <v>#REF!</v>
      </c>
      <c r="AX49" s="139" t="e">
        <f>SUM(AX9:AX24)</f>
        <v>#REF!</v>
      </c>
      <c r="AY49" s="140" t="e">
        <f>SUM(AY9:AY24)</f>
        <v>#REF!</v>
      </c>
      <c r="AZ49" s="141" t="e">
        <f>SUM(AZ9:AZ24)</f>
        <v>#REF!</v>
      </c>
    </row>
    <row r="50" spans="1:66" customHeight="1" ht="15.75" s="12" customFormat="1">
      <c r="A50" s="31"/>
      <c r="B50" s="167"/>
      <c r="C50" s="79" t="s">
        <v>121</v>
      </c>
      <c r="D50" s="80"/>
      <c r="E50" s="80"/>
      <c r="F50" s="80"/>
      <c r="G50" s="80"/>
      <c r="H50" s="80"/>
      <c r="I50" s="463" t="str">
        <f>I6</f>
        <v>FEB</v>
      </c>
      <c r="J50" s="463"/>
      <c r="K50" s="464"/>
      <c r="L50" s="463" t="str">
        <f>L6</f>
        <v>MAR</v>
      </c>
      <c r="M50" s="463"/>
      <c r="N50" s="463"/>
      <c r="O50" s="463" t="str">
        <f>O6</f>
        <v>APR</v>
      </c>
      <c r="P50" s="463"/>
      <c r="Q50" s="463"/>
      <c r="R50" s="503" t="str">
        <f>R6</f>
        <v>MAY</v>
      </c>
      <c r="S50" s="463"/>
      <c r="T50" s="464"/>
      <c r="U50" s="463" t="str">
        <f>U6</f>
        <v>JUN</v>
      </c>
      <c r="V50" s="463"/>
      <c r="W50" s="463"/>
      <c r="X50" s="503" t="str">
        <f>X6</f>
        <v>JUL</v>
      </c>
      <c r="Y50" s="463"/>
      <c r="Z50" s="464"/>
      <c r="AA50" s="463" t="str">
        <f>AA6</f>
        <v>AUG</v>
      </c>
      <c r="AB50" s="463"/>
      <c r="AC50" s="463"/>
      <c r="AD50" s="32"/>
    </row>
    <row r="51" spans="1:66" customHeight="1" ht="15.75" s="12" customFormat="1">
      <c r="A51" s="31"/>
      <c r="B51" s="31"/>
      <c r="C51" s="77" t="s">
        <v>122</v>
      </c>
      <c r="D51" s="78"/>
      <c r="E51" s="78"/>
      <c r="F51" s="78"/>
      <c r="G51" s="78"/>
      <c r="H51" s="78"/>
      <c r="I51" s="471">
        <f>'Qty &amp; UMH GUM'!J100:L100</f>
        <v>20</v>
      </c>
      <c r="J51" s="472"/>
      <c r="K51" s="472"/>
      <c r="L51" s="471">
        <f>'Qty &amp; UMH GUM'!M100:O100</f>
        <v>23</v>
      </c>
      <c r="M51" s="472"/>
      <c r="N51" s="473"/>
      <c r="O51" s="471">
        <f>'Qty &amp; UMH GUM'!P100:R100</f>
        <v>17</v>
      </c>
      <c r="P51" s="472"/>
      <c r="Q51" s="473"/>
      <c r="R51" s="472">
        <f>'Qty &amp; UMH GUM'!S100:U100</f>
        <v>21</v>
      </c>
      <c r="S51" s="472"/>
      <c r="T51" s="472"/>
      <c r="U51" s="471">
        <f>'Qty &amp; UMH GUM'!V100:X100</f>
        <v>21</v>
      </c>
      <c r="V51" s="472"/>
      <c r="W51" s="473"/>
      <c r="X51" s="472">
        <f>'Qty &amp; UMH GUM'!Y100:AA100</f>
        <v>20</v>
      </c>
      <c r="Y51" s="472"/>
      <c r="Z51" s="472"/>
      <c r="AA51" s="506">
        <f>'Qty &amp; UMH GUM'!AB100:AD100</f>
        <v>20</v>
      </c>
      <c r="AB51" s="506"/>
      <c r="AC51" s="506"/>
      <c r="AD51" s="32"/>
    </row>
    <row r="52" spans="1:66" customHeight="1" ht="15.75" s="6" customFormat="1">
      <c r="A52" s="1"/>
      <c r="B52" s="1"/>
      <c r="C52" s="2"/>
      <c r="D52" s="2"/>
      <c r="E52" s="2"/>
      <c r="F52" s="2"/>
      <c r="G52" s="2"/>
      <c r="H52" s="3"/>
      <c r="I52" s="3"/>
      <c r="J52" s="4"/>
      <c r="K52" s="5"/>
      <c r="L52" s="129" t="s">
        <v>123</v>
      </c>
      <c r="M52" s="129"/>
      <c r="N52" s="168"/>
      <c r="O52" s="129"/>
      <c r="P52" s="129"/>
      <c r="Q52" s="129"/>
      <c r="R52" s="129"/>
      <c r="S52" s="5"/>
      <c r="T52" s="5"/>
      <c r="U52" s="5"/>
      <c r="V52" s="4"/>
      <c r="W52" s="4"/>
      <c r="X52" s="4"/>
      <c r="AA52" s="127"/>
      <c r="AB52" s="127"/>
      <c r="AC52" s="128"/>
      <c r="AD52" s="128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</row>
    <row r="53" spans="1:66" customHeight="1" ht="15.75">
      <c r="A53" s="241" t="str">
        <f>A2</f>
        <v>S/R NO     : </v>
      </c>
      <c r="B53" s="562"/>
      <c r="C53" s="563"/>
      <c r="D53" s="7"/>
      <c r="E53" s="7"/>
      <c r="F53" s="7"/>
      <c r="G53" s="7"/>
      <c r="J53" s="8"/>
      <c r="K53" s="8"/>
      <c r="N53" s="245" t="str">
        <f>N2</f>
        <v>900B-486D</v>
      </c>
      <c r="O53" s="488"/>
      <c r="P53" s="488"/>
      <c r="Q53" s="144"/>
      <c r="R53" s="144"/>
      <c r="S53" s="144"/>
      <c r="T53" s="144"/>
      <c r="U53" s="144"/>
      <c r="V53" s="144"/>
      <c r="W53" s="144"/>
      <c r="X53" s="144"/>
      <c r="Y53" s="144"/>
      <c r="Z53" s="144"/>
      <c r="AA53" s="126"/>
      <c r="AB53" s="126"/>
      <c r="AC53" s="126"/>
      <c r="AD53" s="9"/>
    </row>
    <row r="54" spans="1:66" customHeight="1" ht="15.75" s="12" customFormat="1">
      <c r="A54" s="241" t="str">
        <f>A3</f>
        <v>FAX NO   :</v>
      </c>
      <c r="B54" s="562"/>
      <c r="C54" s="563"/>
      <c r="D54" s="7"/>
      <c r="E54" s="7"/>
      <c r="F54" s="7"/>
      <c r="G54" s="7"/>
      <c r="H54" s="4"/>
      <c r="I54" s="4"/>
      <c r="J54" s="4"/>
      <c r="K54" s="4"/>
      <c r="L54" s="4"/>
      <c r="M54" s="4"/>
      <c r="N54" s="82">
        <f>N3</f>
        <v>46082</v>
      </c>
      <c r="O54" s="476"/>
      <c r="P54" s="476"/>
      <c r="Q54" s="169"/>
      <c r="R54" s="10"/>
      <c r="S54" s="10"/>
      <c r="T54" s="11"/>
      <c r="U54" s="11"/>
      <c r="V54" s="10"/>
      <c r="W54" s="10"/>
      <c r="X54" s="10"/>
    </row>
    <row r="55" spans="1:66" customHeight="1" ht="15.75">
      <c r="A55" s="241" t="str">
        <f>A4</f>
        <v>DATE        :  </v>
      </c>
      <c r="B55" s="562"/>
      <c r="C55" s="563"/>
      <c r="D55" s="73"/>
      <c r="E55" s="7"/>
      <c r="F55" s="7"/>
      <c r="G55" s="7"/>
      <c r="N55" s="144"/>
      <c r="AA55" s="5"/>
      <c r="AB55" s="5"/>
      <c r="AC55" s="9"/>
      <c r="AD55" s="9"/>
    </row>
    <row r="56" spans="1:66" customHeight="1" ht="15.75" s="12" customFormat="1">
      <c r="A56" s="13"/>
      <c r="B56" s="13"/>
      <c r="C56" s="14">
        <f>NOW()</f>
        <v>46196.1646875</v>
      </c>
      <c r="D56" s="14"/>
      <c r="E56" s="14"/>
      <c r="F56" s="14"/>
      <c r="G56" s="14"/>
      <c r="H56" s="15"/>
      <c r="I56" s="16"/>
      <c r="J56" s="17"/>
      <c r="K56" s="4"/>
      <c r="L56" s="4"/>
      <c r="M56" s="18"/>
      <c r="N56" s="144"/>
      <c r="O56" s="4"/>
      <c r="P56" s="19"/>
      <c r="Q56" s="10"/>
      <c r="R56" s="10"/>
      <c r="S56" s="19"/>
      <c r="T56" s="20">
        <f>T5</f>
        <v/>
      </c>
      <c r="U56" s="10"/>
      <c r="V56" s="21"/>
      <c r="W56" s="10"/>
      <c r="X56" s="10"/>
      <c r="Y56" s="21"/>
      <c r="Z56" s="10"/>
      <c r="AA56" s="10"/>
      <c r="AB56" s="21"/>
      <c r="AC56" s="10"/>
      <c r="AD56" s="10"/>
    </row>
    <row r="57" spans="1:66" customHeight="1" ht="15.75" s="12" customFormat="1">
      <c r="A57" s="460" t="str">
        <f>A6</f>
        <v>DEST</v>
      </c>
      <c r="B57" s="460" t="str">
        <f>B6</f>
        <v>TYPE</v>
      </c>
      <c r="C57" s="447" t="str">
        <f>C6</f>
        <v>HARNESS No.</v>
      </c>
      <c r="D57" s="447" t="str">
        <f>D6</f>
        <v>LEVEL</v>
      </c>
      <c r="E57" s="516" t="str">
        <f>E6</f>
        <v>ASSY CODE</v>
      </c>
      <c r="F57" s="447" t="str">
        <f>F6</f>
        <v>CCT</v>
      </c>
      <c r="G57" s="516" t="str">
        <f>G6</f>
        <v>Std Pack</v>
      </c>
      <c r="H57" s="534" t="str">
        <f>H6</f>
        <v>UMH OCS</v>
      </c>
      <c r="I57" s="450" t="str">
        <f>I6</f>
        <v>FEB</v>
      </c>
      <c r="J57" s="466"/>
      <c r="K57" s="451">
        <f>K6</f>
        <v/>
      </c>
      <c r="L57" s="450" t="str">
        <f>L6</f>
        <v>MAR</v>
      </c>
      <c r="M57" s="466"/>
      <c r="N57" s="452">
        <f>N6</f>
        <v/>
      </c>
      <c r="O57" s="451" t="str">
        <f>O6</f>
        <v>APR</v>
      </c>
      <c r="P57" s="466"/>
      <c r="Q57" s="451">
        <f>Q6</f>
        <v/>
      </c>
      <c r="R57" s="450" t="str">
        <f>R6</f>
        <v>MAY</v>
      </c>
      <c r="S57" s="466"/>
      <c r="T57" s="452">
        <f>T6</f>
        <v/>
      </c>
      <c r="U57" s="451" t="str">
        <f>U6</f>
        <v>JUN</v>
      </c>
      <c r="V57" s="466"/>
      <c r="W57" s="451">
        <f>W6</f>
        <v/>
      </c>
      <c r="X57" s="450" t="str">
        <f>X6</f>
        <v>JUL</v>
      </c>
      <c r="Y57" s="510"/>
      <c r="Z57" s="452">
        <f>Z6</f>
        <v/>
      </c>
      <c r="AA57" s="451" t="str">
        <f>AA6</f>
        <v>AUG</v>
      </c>
      <c r="AB57" s="510"/>
      <c r="AC57" s="451">
        <f>AC6</f>
        <v/>
      </c>
      <c r="AD57" s="529" t="str">
        <f>AD6</f>
        <v>BAL</v>
      </c>
    </row>
    <row r="58" spans="1:66" customHeight="1" ht="15.75" s="12" customFormat="1">
      <c r="A58" s="461"/>
      <c r="B58" s="461"/>
      <c r="C58" s="448"/>
      <c r="D58" s="448"/>
      <c r="E58" s="517"/>
      <c r="F58" s="448"/>
      <c r="G58" s="517"/>
      <c r="H58" s="535"/>
      <c r="I58" s="281" t="str">
        <f>I7</f>
        <v>02/FEB ~ 27/FEB</v>
      </c>
      <c r="J58" s="469"/>
      <c r="K58" s="281">
        <f>K7</f>
        <v/>
      </c>
      <c r="L58" s="468" t="str">
        <f>L7</f>
        <v>02/MAR ~ 31/MAR</v>
      </c>
      <c r="M58" s="469"/>
      <c r="N58" s="470">
        <f>N7</f>
        <v/>
      </c>
      <c r="O58" s="281" t="str">
        <f>O7</f>
        <v>01/APR ~ 30/APR</v>
      </c>
      <c r="P58" s="469"/>
      <c r="Q58" s="281">
        <f>Q7</f>
        <v/>
      </c>
      <c r="R58" s="468" t="str">
        <f>R7</f>
        <v>02/MAY ~ 30/MAY</v>
      </c>
      <c r="S58" s="469"/>
      <c r="T58" s="470">
        <f>T7</f>
        <v/>
      </c>
      <c r="U58" s="281" t="str">
        <f>U7</f>
        <v>02/JUN ~ 30/JUN</v>
      </c>
      <c r="V58" s="469"/>
      <c r="W58" s="281">
        <f>W7</f>
        <v/>
      </c>
      <c r="X58" s="468" t="str">
        <f>X7</f>
        <v>01/JUL ~ 31/JUL</v>
      </c>
      <c r="Y58" s="507"/>
      <c r="Z58" s="470">
        <f>Z7</f>
        <v/>
      </c>
      <c r="AA58" s="281" t="str">
        <f>AA7</f>
        <v>03/AUG ~ 31/AUG</v>
      </c>
      <c r="AB58" s="507"/>
      <c r="AC58" s="281">
        <f>AC7</f>
        <v/>
      </c>
      <c r="AD58" s="448"/>
    </row>
    <row r="59" spans="1:66" customHeight="1" ht="15.75" s="12" customFormat="1">
      <c r="A59" s="462"/>
      <c r="B59" s="462"/>
      <c r="C59" s="449"/>
      <c r="D59" s="449"/>
      <c r="E59" s="518"/>
      <c r="F59" s="449"/>
      <c r="G59" s="518"/>
      <c r="H59" s="536"/>
      <c r="I59" s="25" t="str">
        <f>I8</f>
        <v>BAL</v>
      </c>
      <c r="J59" s="23"/>
      <c r="K59" s="26" t="str">
        <f>K8</f>
        <v>PROD</v>
      </c>
      <c r="L59" s="22" t="str">
        <f>I8</f>
        <v>BAL</v>
      </c>
      <c r="M59" s="23" t="str">
        <f>J8</f>
        <v>DEL</v>
      </c>
      <c r="N59" s="24" t="str">
        <f>K8</f>
        <v>PROD</v>
      </c>
      <c r="O59" s="25" t="str">
        <f>L8</f>
        <v>BAL</v>
      </c>
      <c r="P59" s="23" t="str">
        <f>M8</f>
        <v>DEL</v>
      </c>
      <c r="Q59" s="26" t="str">
        <f>N8</f>
        <v>PROD</v>
      </c>
      <c r="R59" s="22" t="str">
        <f>O8</f>
        <v>BAL</v>
      </c>
      <c r="S59" s="23" t="str">
        <f>P8</f>
        <v>DEL</v>
      </c>
      <c r="T59" s="24" t="str">
        <f>Q8</f>
        <v>PROD</v>
      </c>
      <c r="U59" s="25" t="str">
        <f>R8</f>
        <v>BAL</v>
      </c>
      <c r="V59" s="23" t="str">
        <f>S8</f>
        <v>DEL</v>
      </c>
      <c r="W59" s="26" t="str">
        <f>T8</f>
        <v>PROD</v>
      </c>
      <c r="X59" s="22" t="str">
        <f>U8</f>
        <v>BAL</v>
      </c>
      <c r="Y59" s="23" t="str">
        <f>V8</f>
        <v>DEL</v>
      </c>
      <c r="Z59" s="24" t="str">
        <f>W8</f>
        <v>PROD</v>
      </c>
      <c r="AA59" s="25" t="str">
        <f>X8</f>
        <v>BAL</v>
      </c>
      <c r="AB59" s="23" t="str">
        <f>Y8</f>
        <v>DEL</v>
      </c>
      <c r="AC59" s="26" t="str">
        <f>Z8</f>
        <v>PROD</v>
      </c>
      <c r="AD59" s="530"/>
      <c r="AF59" s="32"/>
      <c r="AI59" s="32"/>
      <c r="AL59" s="32"/>
      <c r="AO59" s="32"/>
      <c r="AR59" s="32"/>
      <c r="AU59" s="32"/>
      <c r="AX59" s="32"/>
    </row>
    <row r="60" spans="1:66" customHeight="1" ht="15.75">
      <c r="A60" s="520" t="str">
        <f>+A9</f>
        <v>NASHVILLE &amp; CANTON TK09</v>
      </c>
      <c r="B60" s="521"/>
      <c r="C60" s="75" t="e">
        <f>C9</f>
        <v>#REF!</v>
      </c>
      <c r="D60" s="54" t="e">
        <f>D9</f>
        <v>#REF!</v>
      </c>
      <c r="E60" s="37">
        <f>E9</f>
        <v/>
      </c>
      <c r="F60" s="37" t="e">
        <f>F9</f>
        <v>#REF!</v>
      </c>
      <c r="G60" s="37" t="e">
        <f>G9</f>
        <v>#REF!</v>
      </c>
      <c r="H60" s="38" t="e">
        <f>H9</f>
        <v>#REF!</v>
      </c>
      <c r="I60" s="42" t="e">
        <f>$H60*I9</f>
        <v>#REF!</v>
      </c>
      <c r="J60" s="40" t="e">
        <f>$H60*J9</f>
        <v>#REF!</v>
      </c>
      <c r="K60" s="43" t="e">
        <f>$H60*K9</f>
        <v>#REF!</v>
      </c>
      <c r="L60" s="39" t="e">
        <f>$H60*L9</f>
        <v>#REF!</v>
      </c>
      <c r="M60" s="40" t="e">
        <f>$H60*M9</f>
        <v>#REF!</v>
      </c>
      <c r="N60" s="41" t="e">
        <f>$H60*N9</f>
        <v>#REF!</v>
      </c>
      <c r="O60" s="42" t="e">
        <f>$H60*O9</f>
        <v>#REF!</v>
      </c>
      <c r="P60" s="40" t="e">
        <f>$H60*P9</f>
        <v>#REF!</v>
      </c>
      <c r="Q60" s="43" t="e">
        <f>$H60*Q9</f>
        <v>#REF!</v>
      </c>
      <c r="R60" s="39" t="e">
        <f>$H60*R9</f>
        <v>#REF!</v>
      </c>
      <c r="S60" s="40" t="e">
        <f>$H60*S9</f>
        <v>#REF!</v>
      </c>
      <c r="T60" s="41" t="e">
        <f>$H60*T9</f>
        <v>#REF!</v>
      </c>
      <c r="U60" s="42" t="e">
        <f>$H60*U9</f>
        <v>#REF!</v>
      </c>
      <c r="V60" s="40" t="e">
        <f>$H60*V9</f>
        <v>#REF!</v>
      </c>
      <c r="W60" s="43" t="e">
        <f>$H60*W9</f>
        <v>#REF!</v>
      </c>
      <c r="X60" s="39" t="e">
        <f>$H60*X9</f>
        <v>#REF!</v>
      </c>
      <c r="Y60" s="40" t="e">
        <f>$H60*Y9</f>
        <v>#REF!</v>
      </c>
      <c r="Z60" s="41" t="e">
        <f>$H60*Z9</f>
        <v>#REF!</v>
      </c>
      <c r="AA60" s="42" t="e">
        <f>$H60*AA9</f>
        <v>#REF!</v>
      </c>
      <c r="AB60" s="40" t="e">
        <f>$H60*AB9</f>
        <v>#REF!</v>
      </c>
      <c r="AC60" s="43" t="e">
        <f>$H60*AC9</f>
        <v>#REF!</v>
      </c>
      <c r="AD60" s="56" t="e">
        <f>$H60*AD9</f>
        <v>#REF!</v>
      </c>
      <c r="AF60" s="32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</row>
    <row r="61" spans="1:66" customHeight="1" ht="15.75">
      <c r="A61" s="445"/>
      <c r="B61" s="522"/>
      <c r="C61" s="159" t="e">
        <f>C10</f>
        <v>#REF!</v>
      </c>
      <c r="D61" s="55" t="e">
        <f>D10</f>
        <v>#REF!</v>
      </c>
      <c r="E61" s="27">
        <f>E10</f>
        <v/>
      </c>
      <c r="F61" s="27" t="e">
        <f>F10</f>
        <v>#REF!</v>
      </c>
      <c r="G61" s="27" t="e">
        <f>G10</f>
        <v>#REF!</v>
      </c>
      <c r="H61" s="28" t="e">
        <f>H10</f>
        <v>#REF!</v>
      </c>
      <c r="I61" s="47" t="e">
        <f>$H61*I10</f>
        <v>#REF!</v>
      </c>
      <c r="J61" s="45" t="e">
        <f>$H61*J10</f>
        <v>#REF!</v>
      </c>
      <c r="K61" s="48" t="e">
        <f>$H61*K10</f>
        <v>#REF!</v>
      </c>
      <c r="L61" s="44" t="e">
        <f>$H61*L10</f>
        <v>#REF!</v>
      </c>
      <c r="M61" s="45" t="e">
        <f>$H61*M10</f>
        <v>#REF!</v>
      </c>
      <c r="N61" s="46" t="e">
        <f>$H61*N10</f>
        <v>#REF!</v>
      </c>
      <c r="O61" s="47" t="e">
        <f>$H61*O10</f>
        <v>#REF!</v>
      </c>
      <c r="P61" s="45" t="e">
        <f>$H61*P10</f>
        <v>#REF!</v>
      </c>
      <c r="Q61" s="48" t="e">
        <f>$H61*Q10</f>
        <v>#REF!</v>
      </c>
      <c r="R61" s="44" t="e">
        <f>$H61*R10</f>
        <v>#REF!</v>
      </c>
      <c r="S61" s="45" t="e">
        <f>$H61*S10</f>
        <v>#REF!</v>
      </c>
      <c r="T61" s="46" t="e">
        <f>$H61*T10</f>
        <v>#REF!</v>
      </c>
      <c r="U61" s="47" t="e">
        <f>$H61*U10</f>
        <v>#REF!</v>
      </c>
      <c r="V61" s="45" t="e">
        <f>$H61*V10</f>
        <v>#REF!</v>
      </c>
      <c r="W61" s="48" t="e">
        <f>$H61*W10</f>
        <v>#REF!</v>
      </c>
      <c r="X61" s="44" t="e">
        <f>$H61*X10</f>
        <v>#REF!</v>
      </c>
      <c r="Y61" s="45" t="e">
        <f>$H61*Y10</f>
        <v>#REF!</v>
      </c>
      <c r="Z61" s="46" t="e">
        <f>$H61*Z10</f>
        <v>#REF!</v>
      </c>
      <c r="AA61" s="47" t="e">
        <f>$H61*AA10</f>
        <v>#REF!</v>
      </c>
      <c r="AB61" s="45" t="e">
        <f>$H61*AB10</f>
        <v>#REF!</v>
      </c>
      <c r="AC61" s="48" t="e">
        <f>$H61*AC10</f>
        <v>#REF!</v>
      </c>
      <c r="AD61" s="53" t="e">
        <f>$H61*AD10</f>
        <v>#REF!</v>
      </c>
      <c r="AF61" s="32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</row>
    <row r="62" spans="1:66" customHeight="1" ht="15.75">
      <c r="A62" s="445"/>
      <c r="B62" s="522"/>
      <c r="C62" s="159" t="e">
        <f>C11</f>
        <v>#REF!</v>
      </c>
      <c r="D62" s="55" t="e">
        <f>D11</f>
        <v>#REF!</v>
      </c>
      <c r="E62" s="27">
        <f>E11</f>
        <v/>
      </c>
      <c r="F62" s="27" t="e">
        <f>F11</f>
        <v>#REF!</v>
      </c>
      <c r="G62" s="27" t="e">
        <f>G11</f>
        <v>#REF!</v>
      </c>
      <c r="H62" s="28" t="e">
        <f>H11</f>
        <v>#REF!</v>
      </c>
      <c r="I62" s="47" t="e">
        <f>$H62*I11</f>
        <v>#REF!</v>
      </c>
      <c r="J62" s="45" t="e">
        <f>$H62*J11</f>
        <v>#REF!</v>
      </c>
      <c r="K62" s="48" t="e">
        <f>$H62*K11</f>
        <v>#REF!</v>
      </c>
      <c r="L62" s="44" t="e">
        <f>$H62*L11</f>
        <v>#REF!</v>
      </c>
      <c r="M62" s="45" t="e">
        <f>$H62*M11</f>
        <v>#REF!</v>
      </c>
      <c r="N62" s="46" t="e">
        <f>$H62*N11</f>
        <v>#REF!</v>
      </c>
      <c r="O62" s="47" t="e">
        <f>$H62*O11</f>
        <v>#REF!</v>
      </c>
      <c r="P62" s="45" t="e">
        <f>$H62*P11</f>
        <v>#REF!</v>
      </c>
      <c r="Q62" s="48" t="e">
        <f>$H62*Q11</f>
        <v>#REF!</v>
      </c>
      <c r="R62" s="44" t="e">
        <f>$H62*R11</f>
        <v>#REF!</v>
      </c>
      <c r="S62" s="45" t="e">
        <f>$H62*S11</f>
        <v>#REF!</v>
      </c>
      <c r="T62" s="46" t="e">
        <f>$H62*T11</f>
        <v>#REF!</v>
      </c>
      <c r="U62" s="47" t="e">
        <f>$H62*U11</f>
        <v>#REF!</v>
      </c>
      <c r="V62" s="45" t="e">
        <f>$H62*V11</f>
        <v>#REF!</v>
      </c>
      <c r="W62" s="48" t="e">
        <f>$H62*W11</f>
        <v>#REF!</v>
      </c>
      <c r="X62" s="44" t="e">
        <f>$H62*X11</f>
        <v>#REF!</v>
      </c>
      <c r="Y62" s="45" t="e">
        <f>$H62*Y11</f>
        <v>#REF!</v>
      </c>
      <c r="Z62" s="46" t="e">
        <f>$H62*Z11</f>
        <v>#REF!</v>
      </c>
      <c r="AA62" s="47" t="e">
        <f>$H62*AA11</f>
        <v>#REF!</v>
      </c>
      <c r="AB62" s="45" t="e">
        <f>$H62*AB11</f>
        <v>#REF!</v>
      </c>
      <c r="AC62" s="48" t="e">
        <f>$H62*AC11</f>
        <v>#REF!</v>
      </c>
      <c r="AD62" s="53" t="e">
        <f>$H62*AD11</f>
        <v>#REF!</v>
      </c>
      <c r="AF62" s="32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</row>
    <row r="63" spans="1:66" customHeight="1" ht="15.75">
      <c r="A63" s="445"/>
      <c r="B63" s="522"/>
      <c r="C63" s="159" t="e">
        <f>C12</f>
        <v>#REF!</v>
      </c>
      <c r="D63" s="55" t="e">
        <f>D12</f>
        <v>#REF!</v>
      </c>
      <c r="E63" s="27">
        <f>E12</f>
        <v/>
      </c>
      <c r="F63" s="27" t="e">
        <f>F12</f>
        <v>#REF!</v>
      </c>
      <c r="G63" s="27" t="e">
        <f>G12</f>
        <v>#REF!</v>
      </c>
      <c r="H63" s="28" t="e">
        <f>H12</f>
        <v>#REF!</v>
      </c>
      <c r="I63" s="47" t="e">
        <f>$H63*I12</f>
        <v>#REF!</v>
      </c>
      <c r="J63" s="45" t="e">
        <f>$H63*J12</f>
        <v>#REF!</v>
      </c>
      <c r="K63" s="48" t="e">
        <f>$H63*K12</f>
        <v>#REF!</v>
      </c>
      <c r="L63" s="44" t="e">
        <f>$H63*L12</f>
        <v>#REF!</v>
      </c>
      <c r="M63" s="45" t="e">
        <f>$H63*M12</f>
        <v>#REF!</v>
      </c>
      <c r="N63" s="46" t="e">
        <f>$H63*N12</f>
        <v>#REF!</v>
      </c>
      <c r="O63" s="47" t="e">
        <f>$H63*O12</f>
        <v>#REF!</v>
      </c>
      <c r="P63" s="45" t="e">
        <f>$H63*P12</f>
        <v>#REF!</v>
      </c>
      <c r="Q63" s="48" t="e">
        <f>$H63*Q12</f>
        <v>#REF!</v>
      </c>
      <c r="R63" s="44" t="e">
        <f>$H63*R12</f>
        <v>#REF!</v>
      </c>
      <c r="S63" s="45" t="e">
        <f>$H63*S12</f>
        <v>#REF!</v>
      </c>
      <c r="T63" s="46" t="e">
        <f>$H63*T12</f>
        <v>#REF!</v>
      </c>
      <c r="U63" s="47" t="e">
        <f>$H63*U12</f>
        <v>#REF!</v>
      </c>
      <c r="V63" s="45" t="e">
        <f>$H63*V12</f>
        <v>#REF!</v>
      </c>
      <c r="W63" s="48" t="e">
        <f>$H63*W12</f>
        <v>#REF!</v>
      </c>
      <c r="X63" s="44" t="e">
        <f>$H63*X12</f>
        <v>#REF!</v>
      </c>
      <c r="Y63" s="45" t="e">
        <f>$H63*Y12</f>
        <v>#REF!</v>
      </c>
      <c r="Z63" s="46" t="e">
        <f>$H63*Z12</f>
        <v>#REF!</v>
      </c>
      <c r="AA63" s="47" t="e">
        <f>$H63*AA12</f>
        <v>#REF!</v>
      </c>
      <c r="AB63" s="45" t="e">
        <f>$H63*AB12</f>
        <v>#REF!</v>
      </c>
      <c r="AC63" s="48" t="e">
        <f>$H63*AC12</f>
        <v>#REF!</v>
      </c>
      <c r="AD63" s="53" t="e">
        <f>$H63*AD12</f>
        <v>#REF!</v>
      </c>
      <c r="AF63" s="32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</row>
    <row r="64" spans="1:66" customHeight="1" ht="15.75">
      <c r="A64" s="445"/>
      <c r="B64" s="522"/>
      <c r="C64" s="159" t="e">
        <f>C13</f>
        <v>#REF!</v>
      </c>
      <c r="D64" s="55" t="e">
        <f>D13</f>
        <v>#REF!</v>
      </c>
      <c r="E64" s="27">
        <f>E13</f>
        <v/>
      </c>
      <c r="F64" s="27" t="e">
        <f>F13</f>
        <v>#REF!</v>
      </c>
      <c r="G64" s="27" t="e">
        <f>G13</f>
        <v>#REF!</v>
      </c>
      <c r="H64" s="28" t="e">
        <f>H13</f>
        <v>#REF!</v>
      </c>
      <c r="I64" s="47" t="e">
        <f>$H64*I13</f>
        <v>#REF!</v>
      </c>
      <c r="J64" s="45" t="e">
        <f>$H64*J13</f>
        <v>#REF!</v>
      </c>
      <c r="K64" s="48" t="e">
        <f>$H64*K13</f>
        <v>#REF!</v>
      </c>
      <c r="L64" s="44" t="e">
        <f>$H64*L13</f>
        <v>#REF!</v>
      </c>
      <c r="M64" s="45" t="e">
        <f>$H64*M13</f>
        <v>#REF!</v>
      </c>
      <c r="N64" s="46" t="e">
        <f>$H64*N13</f>
        <v>#REF!</v>
      </c>
      <c r="O64" s="47" t="e">
        <f>$H64*O13</f>
        <v>#REF!</v>
      </c>
      <c r="P64" s="45" t="e">
        <f>$H64*P13</f>
        <v>#REF!</v>
      </c>
      <c r="Q64" s="48" t="e">
        <f>$H64*Q13</f>
        <v>#REF!</v>
      </c>
      <c r="R64" s="44" t="e">
        <f>$H64*R13</f>
        <v>#REF!</v>
      </c>
      <c r="S64" s="45" t="e">
        <f>$H64*S13</f>
        <v>#REF!</v>
      </c>
      <c r="T64" s="46" t="e">
        <f>$H64*T13</f>
        <v>#REF!</v>
      </c>
      <c r="U64" s="47" t="e">
        <f>$H64*U13</f>
        <v>#REF!</v>
      </c>
      <c r="V64" s="45" t="e">
        <f>$H64*V13</f>
        <v>#REF!</v>
      </c>
      <c r="W64" s="48" t="e">
        <f>$H64*W13</f>
        <v>#REF!</v>
      </c>
      <c r="X64" s="44" t="e">
        <f>$H64*X13</f>
        <v>#REF!</v>
      </c>
      <c r="Y64" s="45" t="e">
        <f>$H64*Y13</f>
        <v>#REF!</v>
      </c>
      <c r="Z64" s="46" t="e">
        <f>$H64*Z13</f>
        <v>#REF!</v>
      </c>
      <c r="AA64" s="47" t="e">
        <f>$H64*AA13</f>
        <v>#REF!</v>
      </c>
      <c r="AB64" s="45" t="e">
        <f>$H64*AB13</f>
        <v>#REF!</v>
      </c>
      <c r="AC64" s="48" t="e">
        <f>$H64*AC13</f>
        <v>#REF!</v>
      </c>
      <c r="AD64" s="53" t="e">
        <f>$H64*AD13</f>
        <v>#REF!</v>
      </c>
      <c r="AF64" s="32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</row>
    <row r="65" spans="1:66" customHeight="1" ht="15.75">
      <c r="A65" s="445"/>
      <c r="B65" s="522"/>
      <c r="C65" s="159" t="e">
        <f>C14</f>
        <v>#REF!</v>
      </c>
      <c r="D65" s="55" t="e">
        <f>D14</f>
        <v>#REF!</v>
      </c>
      <c r="E65" s="27">
        <f>E14</f>
        <v/>
      </c>
      <c r="F65" s="27" t="e">
        <f>F14</f>
        <v>#REF!</v>
      </c>
      <c r="G65" s="27" t="e">
        <f>G14</f>
        <v>#REF!</v>
      </c>
      <c r="H65" s="28" t="e">
        <f>H14</f>
        <v>#REF!</v>
      </c>
      <c r="I65" s="47" t="e">
        <f>$H65*I14</f>
        <v>#REF!</v>
      </c>
      <c r="J65" s="45" t="e">
        <f>$H65*J14</f>
        <v>#REF!</v>
      </c>
      <c r="K65" s="48" t="e">
        <f>$H65*K14</f>
        <v>#REF!</v>
      </c>
      <c r="L65" s="44" t="e">
        <f>$H65*L14</f>
        <v>#REF!</v>
      </c>
      <c r="M65" s="45" t="e">
        <f>$H65*M14</f>
        <v>#REF!</v>
      </c>
      <c r="N65" s="46" t="e">
        <f>$H65*N14</f>
        <v>#REF!</v>
      </c>
      <c r="O65" s="47" t="e">
        <f>$H65*O14</f>
        <v>#REF!</v>
      </c>
      <c r="P65" s="45" t="e">
        <f>$H65*P14</f>
        <v>#REF!</v>
      </c>
      <c r="Q65" s="48" t="e">
        <f>$H65*Q14</f>
        <v>#REF!</v>
      </c>
      <c r="R65" s="44" t="e">
        <f>$H65*R14</f>
        <v>#REF!</v>
      </c>
      <c r="S65" s="45" t="e">
        <f>$H65*S14</f>
        <v>#REF!</v>
      </c>
      <c r="T65" s="46" t="e">
        <f>$H65*T14</f>
        <v>#REF!</v>
      </c>
      <c r="U65" s="47" t="e">
        <f>$H65*U14</f>
        <v>#REF!</v>
      </c>
      <c r="V65" s="45" t="e">
        <f>$H65*V14</f>
        <v>#REF!</v>
      </c>
      <c r="W65" s="48" t="e">
        <f>$H65*W14</f>
        <v>#REF!</v>
      </c>
      <c r="X65" s="44" t="e">
        <f>$H65*X14</f>
        <v>#REF!</v>
      </c>
      <c r="Y65" s="45" t="e">
        <f>$H65*Y14</f>
        <v>#REF!</v>
      </c>
      <c r="Z65" s="46" t="e">
        <f>$H65*Z14</f>
        <v>#REF!</v>
      </c>
      <c r="AA65" s="47" t="e">
        <f>$H65*AA14</f>
        <v>#REF!</v>
      </c>
      <c r="AB65" s="45" t="e">
        <f>$H65*AB14</f>
        <v>#REF!</v>
      </c>
      <c r="AC65" s="48" t="e">
        <f>$H65*AC14</f>
        <v>#REF!</v>
      </c>
      <c r="AD65" s="53" t="e">
        <f>$H65*AD14</f>
        <v>#REF!</v>
      </c>
      <c r="AF65" s="32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</row>
    <row r="66" spans="1:66" customHeight="1" ht="15.75">
      <c r="A66" s="445"/>
      <c r="B66" s="523"/>
      <c r="C66" s="565" t="s">
        <v>152</v>
      </c>
      <c r="D66" s="566"/>
      <c r="E66" s="566"/>
      <c r="F66" s="566"/>
      <c r="G66" s="566"/>
      <c r="H66" s="567"/>
      <c r="I66" s="85" t="e">
        <f>SUM(I60:I65)</f>
        <v>#REF!</v>
      </c>
      <c r="J66" s="86" t="e">
        <f>SUM(J60:J65)</f>
        <v>#REF!</v>
      </c>
      <c r="K66" s="179" t="e">
        <f>SUM(K60:K65)</f>
        <v>#REF!</v>
      </c>
      <c r="L66" s="89" t="e">
        <f>SUM(L60:L65)</f>
        <v>#REF!</v>
      </c>
      <c r="M66" s="86" t="e">
        <f>SUM(M60:M65)</f>
        <v>#REF!</v>
      </c>
      <c r="N66" s="87" t="e">
        <f>SUM(N60:N65)</f>
        <v>#REF!</v>
      </c>
      <c r="O66" s="85" t="e">
        <f>SUM(O60:O65)</f>
        <v>#REF!</v>
      </c>
      <c r="P66" s="86" t="e">
        <f>SUM(P60:P65)</f>
        <v>#REF!</v>
      </c>
      <c r="Q66" s="179" t="e">
        <f>SUM(Q60:Q65)</f>
        <v>#REF!</v>
      </c>
      <c r="R66" s="89" t="e">
        <f>SUM(R60:R65)</f>
        <v>#REF!</v>
      </c>
      <c r="S66" s="86" t="e">
        <f>SUM(S60:S65)</f>
        <v>#REF!</v>
      </c>
      <c r="T66" s="87" t="e">
        <f>SUM(T60:T65)</f>
        <v>#REF!</v>
      </c>
      <c r="U66" s="85" t="e">
        <f>SUM(U60:U65)</f>
        <v>#REF!</v>
      </c>
      <c r="V66" s="86" t="e">
        <f>SUM(V60:V65)</f>
        <v>#REF!</v>
      </c>
      <c r="W66" s="179" t="e">
        <f>SUM(W60:W65)</f>
        <v>#REF!</v>
      </c>
      <c r="X66" s="89" t="e">
        <f>SUM(X60:X65)</f>
        <v>#REF!</v>
      </c>
      <c r="Y66" s="86" t="e">
        <f>SUM(Y60:Y65)</f>
        <v>#REF!</v>
      </c>
      <c r="Z66" s="87" t="e">
        <f>SUM(Z60:Z65)</f>
        <v>#REF!</v>
      </c>
      <c r="AA66" s="85" t="e">
        <f>SUM(AA60:AA65)</f>
        <v>#REF!</v>
      </c>
      <c r="AB66" s="86" t="e">
        <f>SUM(AB60:AB65)</f>
        <v>#REF!</v>
      </c>
      <c r="AC66" s="179" t="e">
        <f>SUM(AC60:AC65)</f>
        <v>#REF!</v>
      </c>
      <c r="AD66" s="88" t="e">
        <f>SUM(AD60:AD65)</f>
        <v>#REF!</v>
      </c>
      <c r="AF66" s="32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7"/>
      <c r="AZ66" s="7"/>
    </row>
    <row r="67" spans="1:66" customHeight="1" ht="15.75">
      <c r="A67" s="445"/>
      <c r="B67" s="524" t="str">
        <f>B16</f>
        <v>GCC</v>
      </c>
      <c r="C67" s="75" t="str">
        <f>C16</f>
        <v>82111-4DT30</v>
      </c>
      <c r="D67" s="54">
        <f>D16</f>
        <v/>
      </c>
      <c r="E67" s="37">
        <f>E16</f>
        <v/>
      </c>
      <c r="F67" s="37">
        <f>F16</f>
        <v/>
      </c>
      <c r="G67" s="37">
        <f>G16</f>
        <v/>
      </c>
      <c r="H67" s="38">
        <f>H16</f>
        <v/>
      </c>
      <c r="I67" s="47">
        <f>$H67*I16</f>
        <v>0</v>
      </c>
      <c r="J67" s="45" t="e">
        <f>$H67*J16</f>
        <v>#REF!</v>
      </c>
      <c r="K67" s="48">
        <f>$H67*K16</f>
        <v>0</v>
      </c>
      <c r="L67" s="44" t="e">
        <f>$H67*L16</f>
        <v>#REF!</v>
      </c>
      <c r="M67" s="45" t="e">
        <f>$H67*M16</f>
        <v>#REF!</v>
      </c>
      <c r="N67" s="46" t="e">
        <f>$H67*N16</f>
        <v>#REF!</v>
      </c>
      <c r="O67" s="47" t="e">
        <f>$H67*O16</f>
        <v>#REF!</v>
      </c>
      <c r="P67" s="45" t="e">
        <f>$H67*P16</f>
        <v>#REF!</v>
      </c>
      <c r="Q67" s="48" t="e">
        <f>$H67*Q16</f>
        <v>#REF!</v>
      </c>
      <c r="R67" s="44" t="e">
        <f>$H67*R16</f>
        <v>#REF!</v>
      </c>
      <c r="S67" s="45" t="e">
        <f>$H67*S16</f>
        <v>#REF!</v>
      </c>
      <c r="T67" s="46" t="e">
        <f>$H67*T16</f>
        <v>#REF!</v>
      </c>
      <c r="U67" s="47" t="e">
        <f>$H67*U16</f>
        <v>#REF!</v>
      </c>
      <c r="V67" s="45" t="e">
        <f>$H67*V16</f>
        <v>#REF!</v>
      </c>
      <c r="W67" s="48" t="e">
        <f>$H67*W16</f>
        <v>#REF!</v>
      </c>
      <c r="X67" s="44" t="e">
        <f>$H67*X16</f>
        <v>#REF!</v>
      </c>
      <c r="Y67" s="45" t="e">
        <f>$H67*Y16</f>
        <v>#REF!</v>
      </c>
      <c r="Z67" s="46" t="e">
        <f>$H67*Z16</f>
        <v>#REF!</v>
      </c>
      <c r="AA67" s="47" t="e">
        <f>$H67*AA16</f>
        <v>#REF!</v>
      </c>
      <c r="AB67" s="45" t="e">
        <f>$H67*AB16</f>
        <v>#REF!</v>
      </c>
      <c r="AC67" s="48" t="e">
        <f>$H67*AC16</f>
        <v>#REF!</v>
      </c>
      <c r="AD67" s="53">
        <f>$H67*AD16</f>
        <v>0</v>
      </c>
      <c r="AF67" s="32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</row>
    <row r="68" spans="1:66" customHeight="1" ht="15.75">
      <c r="A68" s="445"/>
      <c r="B68" s="525"/>
      <c r="C68" s="159" t="e">
        <f>C17</f>
        <v>#REF!</v>
      </c>
      <c r="D68" s="55" t="e">
        <f>D17</f>
        <v>#REF!</v>
      </c>
      <c r="E68" s="27">
        <f>E17</f>
        <v/>
      </c>
      <c r="F68" s="27" t="e">
        <f>F17</f>
        <v>#REF!</v>
      </c>
      <c r="G68" s="27" t="e">
        <f>G17</f>
        <v>#REF!</v>
      </c>
      <c r="H68" s="28" t="e">
        <f>H17</f>
        <v>#REF!</v>
      </c>
      <c r="I68" s="47" t="e">
        <f>$H68*I17</f>
        <v>#REF!</v>
      </c>
      <c r="J68" s="45" t="e">
        <f>$H68*J17</f>
        <v>#REF!</v>
      </c>
      <c r="K68" s="48" t="e">
        <f>$H68*K17</f>
        <v>#REF!</v>
      </c>
      <c r="L68" s="44" t="e">
        <f>$H68*L17</f>
        <v>#REF!</v>
      </c>
      <c r="M68" s="45" t="e">
        <f>$H68*M17</f>
        <v>#REF!</v>
      </c>
      <c r="N68" s="46" t="e">
        <f>$H68*N17</f>
        <v>#REF!</v>
      </c>
      <c r="O68" s="47" t="e">
        <f>$H68*O17</f>
        <v>#REF!</v>
      </c>
      <c r="P68" s="45" t="e">
        <f>$H68*P17</f>
        <v>#REF!</v>
      </c>
      <c r="Q68" s="48" t="e">
        <f>$H68*Q17</f>
        <v>#REF!</v>
      </c>
      <c r="R68" s="44" t="e">
        <f>$H68*R17</f>
        <v>#REF!</v>
      </c>
      <c r="S68" s="45" t="e">
        <f>$H68*S17</f>
        <v>#REF!</v>
      </c>
      <c r="T68" s="46" t="e">
        <f>$H68*T17</f>
        <v>#REF!</v>
      </c>
      <c r="U68" s="47" t="e">
        <f>$H68*U17</f>
        <v>#REF!</v>
      </c>
      <c r="V68" s="45" t="e">
        <f>$H68*V17</f>
        <v>#REF!</v>
      </c>
      <c r="W68" s="48" t="e">
        <f>$H68*W17</f>
        <v>#REF!</v>
      </c>
      <c r="X68" s="44" t="e">
        <f>$H68*X17</f>
        <v>#REF!</v>
      </c>
      <c r="Y68" s="45" t="e">
        <f>$H68*Y17</f>
        <v>#REF!</v>
      </c>
      <c r="Z68" s="46" t="e">
        <f>$H68*Z17</f>
        <v>#REF!</v>
      </c>
      <c r="AA68" s="47" t="e">
        <f>$H68*AA17</f>
        <v>#REF!</v>
      </c>
      <c r="AB68" s="45" t="e">
        <f>$H68*AB17</f>
        <v>#REF!</v>
      </c>
      <c r="AC68" s="48" t="e">
        <f>$H68*AC17</f>
        <v>#REF!</v>
      </c>
      <c r="AD68" s="53" t="e">
        <f>$H68*AD17</f>
        <v>#REF!</v>
      </c>
      <c r="AF68" s="32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</row>
    <row r="69" spans="1:66" customHeight="1" ht="15.75">
      <c r="A69" s="445"/>
      <c r="B69" s="525"/>
      <c r="C69" s="159" t="e">
        <f>C18</f>
        <v>#REF!</v>
      </c>
      <c r="D69" s="160" t="e">
        <f>D18</f>
        <v>#REF!</v>
      </c>
      <c r="E69" s="27">
        <f>E18</f>
        <v/>
      </c>
      <c r="F69" s="27" t="e">
        <f>F18</f>
        <v>#REF!</v>
      </c>
      <c r="G69" s="27" t="e">
        <f>G18</f>
        <v>#REF!</v>
      </c>
      <c r="H69" s="28" t="e">
        <f>H18</f>
        <v>#REF!</v>
      </c>
      <c r="I69" s="47" t="e">
        <f>$H69*I18</f>
        <v>#REF!</v>
      </c>
      <c r="J69" s="45" t="e">
        <f>$H69*J18</f>
        <v>#REF!</v>
      </c>
      <c r="K69" s="48" t="e">
        <f>$H69*K18</f>
        <v>#REF!</v>
      </c>
      <c r="L69" s="44" t="e">
        <f>$H69*L18</f>
        <v>#REF!</v>
      </c>
      <c r="M69" s="45" t="e">
        <f>$H69*M18</f>
        <v>#REF!</v>
      </c>
      <c r="N69" s="46" t="e">
        <f>$H69*N18</f>
        <v>#REF!</v>
      </c>
      <c r="O69" s="47" t="e">
        <f>$H69*O18</f>
        <v>#REF!</v>
      </c>
      <c r="P69" s="45" t="e">
        <f>$H69*P18</f>
        <v>#REF!</v>
      </c>
      <c r="Q69" s="48" t="e">
        <f>$H69*Q18</f>
        <v>#REF!</v>
      </c>
      <c r="R69" s="44" t="e">
        <f>$H69*R18</f>
        <v>#REF!</v>
      </c>
      <c r="S69" s="45" t="e">
        <f>$H69*S18</f>
        <v>#REF!</v>
      </c>
      <c r="T69" s="46" t="e">
        <f>$H69*T18</f>
        <v>#REF!</v>
      </c>
      <c r="U69" s="47" t="e">
        <f>$H69*U18</f>
        <v>#REF!</v>
      </c>
      <c r="V69" s="45" t="e">
        <f>$H69*V18</f>
        <v>#REF!</v>
      </c>
      <c r="W69" s="48" t="e">
        <f>$H69*W18</f>
        <v>#REF!</v>
      </c>
      <c r="X69" s="44" t="e">
        <f>$H69*X18</f>
        <v>#REF!</v>
      </c>
      <c r="Y69" s="45" t="e">
        <f>$H69*Y18</f>
        <v>#REF!</v>
      </c>
      <c r="Z69" s="46" t="e">
        <f>$H69*Z18</f>
        <v>#REF!</v>
      </c>
      <c r="AA69" s="47" t="e">
        <f>$H69*AA18</f>
        <v>#REF!</v>
      </c>
      <c r="AB69" s="45" t="e">
        <f>$H69*AB18</f>
        <v>#REF!</v>
      </c>
      <c r="AC69" s="48" t="e">
        <f>$H69*AC18</f>
        <v>#REF!</v>
      </c>
      <c r="AD69" s="53" t="e">
        <f>$H69*AD18</f>
        <v>#REF!</v>
      </c>
      <c r="AF69" s="32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</row>
    <row r="70" spans="1:66" customHeight="1" ht="15.75">
      <c r="A70" s="445"/>
      <c r="B70" s="525"/>
      <c r="C70" s="159" t="e">
        <f>C19</f>
        <v>#REF!</v>
      </c>
      <c r="D70" s="160" t="e">
        <f>D19</f>
        <v>#REF!</v>
      </c>
      <c r="E70" s="27">
        <f>E19</f>
        <v/>
      </c>
      <c r="F70" s="27" t="e">
        <f>F19</f>
        <v>#REF!</v>
      </c>
      <c r="G70" s="27" t="e">
        <f>G19</f>
        <v>#REF!</v>
      </c>
      <c r="H70" s="28" t="e">
        <f>H19</f>
        <v>#REF!</v>
      </c>
      <c r="I70" s="47" t="e">
        <f>$H70*I19</f>
        <v>#REF!</v>
      </c>
      <c r="J70" s="45" t="e">
        <f>$H70*J19</f>
        <v>#REF!</v>
      </c>
      <c r="K70" s="48" t="e">
        <f>$H70*K19</f>
        <v>#REF!</v>
      </c>
      <c r="L70" s="44" t="e">
        <f>$H70*L19</f>
        <v>#REF!</v>
      </c>
      <c r="M70" s="45" t="e">
        <f>$H70*M19</f>
        <v>#REF!</v>
      </c>
      <c r="N70" s="46" t="e">
        <f>$H70*N19</f>
        <v>#REF!</v>
      </c>
      <c r="O70" s="47" t="e">
        <f>$H70*O19</f>
        <v>#REF!</v>
      </c>
      <c r="P70" s="45" t="e">
        <f>$H70*P19</f>
        <v>#REF!</v>
      </c>
      <c r="Q70" s="48" t="e">
        <f>$H70*Q19</f>
        <v>#REF!</v>
      </c>
      <c r="R70" s="44" t="e">
        <f>$H70*R19</f>
        <v>#REF!</v>
      </c>
      <c r="S70" s="45" t="e">
        <f>$H70*S19</f>
        <v>#REF!</v>
      </c>
      <c r="T70" s="46" t="e">
        <f>$H70*T19</f>
        <v>#REF!</v>
      </c>
      <c r="U70" s="47" t="e">
        <f>$H70*U19</f>
        <v>#REF!</v>
      </c>
      <c r="V70" s="45" t="e">
        <f>$H70*V19</f>
        <v>#REF!</v>
      </c>
      <c r="W70" s="48" t="e">
        <f>$H70*W19</f>
        <v>#REF!</v>
      </c>
      <c r="X70" s="44" t="e">
        <f>$H70*X19</f>
        <v>#REF!</v>
      </c>
      <c r="Y70" s="45" t="e">
        <f>$H70*Y19</f>
        <v>#REF!</v>
      </c>
      <c r="Z70" s="46" t="e">
        <f>$H70*Z19</f>
        <v>#REF!</v>
      </c>
      <c r="AA70" s="47" t="e">
        <f>$H70*AA19</f>
        <v>#REF!</v>
      </c>
      <c r="AB70" s="45" t="e">
        <f>$H70*AB19</f>
        <v>#REF!</v>
      </c>
      <c r="AC70" s="48" t="e">
        <f>$H70*AC19</f>
        <v>#REF!</v>
      </c>
      <c r="AD70" s="53" t="e">
        <f>$H70*AD19</f>
        <v>#REF!</v>
      </c>
      <c r="AF70" s="32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</row>
    <row r="71" spans="1:66" customHeight="1" ht="15.75">
      <c r="A71" s="445"/>
      <c r="B71" s="525"/>
      <c r="C71" s="159" t="e">
        <f>C20</f>
        <v>#REF!</v>
      </c>
      <c r="D71" s="160" t="e">
        <f>D20</f>
        <v>#REF!</v>
      </c>
      <c r="E71" s="27">
        <f>E20</f>
        <v/>
      </c>
      <c r="F71" s="27" t="e">
        <f>F20</f>
        <v>#REF!</v>
      </c>
      <c r="G71" s="27" t="e">
        <f>G20</f>
        <v>#REF!</v>
      </c>
      <c r="H71" s="28" t="e">
        <f>H20</f>
        <v>#REF!</v>
      </c>
      <c r="I71" s="47" t="e">
        <f>$H71*I20</f>
        <v>#REF!</v>
      </c>
      <c r="J71" s="45" t="e">
        <f>$H71*J20</f>
        <v>#REF!</v>
      </c>
      <c r="K71" s="48" t="e">
        <f>$H71*K20</f>
        <v>#REF!</v>
      </c>
      <c r="L71" s="44" t="e">
        <f>$H71*L20</f>
        <v>#REF!</v>
      </c>
      <c r="M71" s="45" t="e">
        <f>$H71*M20</f>
        <v>#REF!</v>
      </c>
      <c r="N71" s="46" t="e">
        <f>$H71*N20</f>
        <v>#REF!</v>
      </c>
      <c r="O71" s="47" t="e">
        <f>$H71*O20</f>
        <v>#REF!</v>
      </c>
      <c r="P71" s="45" t="e">
        <f>$H71*P20</f>
        <v>#REF!</v>
      </c>
      <c r="Q71" s="48" t="e">
        <f>$H71*Q20</f>
        <v>#REF!</v>
      </c>
      <c r="R71" s="44" t="e">
        <f>$H71*R20</f>
        <v>#REF!</v>
      </c>
      <c r="S71" s="45" t="e">
        <f>$H71*S20</f>
        <v>#REF!</v>
      </c>
      <c r="T71" s="46" t="e">
        <f>$H71*T20</f>
        <v>#REF!</v>
      </c>
      <c r="U71" s="47" t="e">
        <f>$H71*U20</f>
        <v>#REF!</v>
      </c>
      <c r="V71" s="45" t="e">
        <f>$H71*V20</f>
        <v>#REF!</v>
      </c>
      <c r="W71" s="48" t="e">
        <f>$H71*W20</f>
        <v>#REF!</v>
      </c>
      <c r="X71" s="44" t="e">
        <f>$H71*X20</f>
        <v>#REF!</v>
      </c>
      <c r="Y71" s="45" t="e">
        <f>$H71*Y20</f>
        <v>#REF!</v>
      </c>
      <c r="Z71" s="46" t="e">
        <f>$H71*Z20</f>
        <v>#REF!</v>
      </c>
      <c r="AA71" s="47" t="e">
        <f>$H71*AA20</f>
        <v>#REF!</v>
      </c>
      <c r="AB71" s="45" t="e">
        <f>$H71*AB20</f>
        <v>#REF!</v>
      </c>
      <c r="AC71" s="48" t="e">
        <f>$H71*AC20</f>
        <v>#REF!</v>
      </c>
      <c r="AD71" s="53" t="e">
        <f>$H71*AD20</f>
        <v>#REF!</v>
      </c>
      <c r="AF71" s="32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</row>
    <row r="72" spans="1:66" customHeight="1" ht="15.75" s="12" customFormat="1">
      <c r="A72" s="445"/>
      <c r="B72" s="525"/>
      <c r="C72" s="159" t="e">
        <f>C21</f>
        <v>#REF!</v>
      </c>
      <c r="D72" s="55" t="e">
        <f>D21</f>
        <v>#REF!</v>
      </c>
      <c r="E72" s="27">
        <f>E21</f>
        <v/>
      </c>
      <c r="F72" s="27" t="e">
        <f>F21</f>
        <v>#REF!</v>
      </c>
      <c r="G72" s="27" t="e">
        <f>G21</f>
        <v>#REF!</v>
      </c>
      <c r="H72" s="28" t="e">
        <f>H21</f>
        <v>#REF!</v>
      </c>
      <c r="I72" s="47" t="e">
        <f>$H72*I21</f>
        <v>#REF!</v>
      </c>
      <c r="J72" s="45" t="e">
        <f>$H72*J21</f>
        <v>#REF!</v>
      </c>
      <c r="K72" s="48" t="e">
        <f>$H72*K21</f>
        <v>#REF!</v>
      </c>
      <c r="L72" s="44" t="e">
        <f>$H72*L21</f>
        <v>#REF!</v>
      </c>
      <c r="M72" s="45" t="e">
        <f>$H72*M21</f>
        <v>#REF!</v>
      </c>
      <c r="N72" s="46" t="e">
        <f>$H72*N21</f>
        <v>#REF!</v>
      </c>
      <c r="O72" s="47" t="e">
        <f>$H72*O21</f>
        <v>#REF!</v>
      </c>
      <c r="P72" s="45" t="e">
        <f>$H72*P21</f>
        <v>#REF!</v>
      </c>
      <c r="Q72" s="48" t="e">
        <f>$H72*Q21</f>
        <v>#REF!</v>
      </c>
      <c r="R72" s="44" t="e">
        <f>$H72*R21</f>
        <v>#REF!</v>
      </c>
      <c r="S72" s="45" t="e">
        <f>$H72*S21</f>
        <v>#REF!</v>
      </c>
      <c r="T72" s="46" t="e">
        <f>$H72*T21</f>
        <v>#REF!</v>
      </c>
      <c r="U72" s="47" t="e">
        <f>$H72*U21</f>
        <v>#REF!</v>
      </c>
      <c r="V72" s="45" t="e">
        <f>$H72*V21</f>
        <v>#REF!</v>
      </c>
      <c r="W72" s="48" t="e">
        <f>$H72*W21</f>
        <v>#REF!</v>
      </c>
      <c r="X72" s="44" t="e">
        <f>$H72*X21</f>
        <v>#REF!</v>
      </c>
      <c r="Y72" s="45" t="e">
        <f>$H72*Y21</f>
        <v>#REF!</v>
      </c>
      <c r="Z72" s="46" t="e">
        <f>$H72*Z21</f>
        <v>#REF!</v>
      </c>
      <c r="AA72" s="47" t="e">
        <f>$H72*AA21</f>
        <v>#REF!</v>
      </c>
      <c r="AB72" s="45" t="e">
        <f>$H72*AB21</f>
        <v>#REF!</v>
      </c>
      <c r="AC72" s="48" t="e">
        <f>$H72*AC21</f>
        <v>#REF!</v>
      </c>
      <c r="AD72" s="53" t="e">
        <f>$H72*AD21</f>
        <v>#REF!</v>
      </c>
      <c r="AF72" s="32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</row>
    <row r="73" spans="1:66" customHeight="1" ht="15.75" s="12" customFormat="1">
      <c r="A73" s="445"/>
      <c r="B73" s="525"/>
      <c r="C73" s="159" t="e">
        <f>C22</f>
        <v>#REF!</v>
      </c>
      <c r="D73" s="55" t="e">
        <f>D22</f>
        <v>#REF!</v>
      </c>
      <c r="E73" s="27">
        <f>E22</f>
        <v/>
      </c>
      <c r="F73" s="27" t="e">
        <f>F22</f>
        <v>#REF!</v>
      </c>
      <c r="G73" s="27" t="e">
        <f>G22</f>
        <v>#REF!</v>
      </c>
      <c r="H73" s="28" t="e">
        <f>H22</f>
        <v>#REF!</v>
      </c>
      <c r="I73" s="47" t="e">
        <f>$H73*I22</f>
        <v>#REF!</v>
      </c>
      <c r="J73" s="45" t="e">
        <f>$H73*J22</f>
        <v>#REF!</v>
      </c>
      <c r="K73" s="48" t="e">
        <f>$H73*K22</f>
        <v>#REF!</v>
      </c>
      <c r="L73" s="44" t="e">
        <f>$H73*L22</f>
        <v>#REF!</v>
      </c>
      <c r="M73" s="45" t="e">
        <f>$H73*M22</f>
        <v>#REF!</v>
      </c>
      <c r="N73" s="46" t="e">
        <f>$H73*N22</f>
        <v>#REF!</v>
      </c>
      <c r="O73" s="47" t="e">
        <f>$H73*O22</f>
        <v>#REF!</v>
      </c>
      <c r="P73" s="45" t="e">
        <f>$H73*P22</f>
        <v>#REF!</v>
      </c>
      <c r="Q73" s="48" t="e">
        <f>$H73*Q22</f>
        <v>#REF!</v>
      </c>
      <c r="R73" s="44" t="e">
        <f>$H73*R22</f>
        <v>#REF!</v>
      </c>
      <c r="S73" s="45" t="e">
        <f>$H73*S22</f>
        <v>#REF!</v>
      </c>
      <c r="T73" s="46" t="e">
        <f>$H73*T22</f>
        <v>#REF!</v>
      </c>
      <c r="U73" s="47" t="e">
        <f>$H73*U22</f>
        <v>#REF!</v>
      </c>
      <c r="V73" s="45" t="e">
        <f>$H73*V22</f>
        <v>#REF!</v>
      </c>
      <c r="W73" s="48" t="e">
        <f>$H73*W22</f>
        <v>#REF!</v>
      </c>
      <c r="X73" s="44" t="e">
        <f>$H73*X22</f>
        <v>#REF!</v>
      </c>
      <c r="Y73" s="45" t="e">
        <f>$H73*Y22</f>
        <v>#REF!</v>
      </c>
      <c r="Z73" s="46" t="e">
        <f>$H73*Z22</f>
        <v>#REF!</v>
      </c>
      <c r="AA73" s="47" t="e">
        <f>$H73*AA22</f>
        <v>#REF!</v>
      </c>
      <c r="AB73" s="45" t="e">
        <f>$H73*AB22</f>
        <v>#REF!</v>
      </c>
      <c r="AC73" s="48" t="e">
        <f>$H73*AC22</f>
        <v>#REF!</v>
      </c>
      <c r="AD73" s="53" t="e">
        <f>$H73*AD22</f>
        <v>#REF!</v>
      </c>
      <c r="AF73" s="32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</row>
    <row r="74" spans="1:66" customHeight="1" ht="15.75">
      <c r="A74" s="445"/>
      <c r="B74" s="525"/>
      <c r="C74" s="155" t="e">
        <f>C23</f>
        <v>#REF!</v>
      </c>
      <c r="D74" s="162" t="e">
        <f>D23</f>
        <v>#REF!</v>
      </c>
      <c r="E74" s="76">
        <f>E23</f>
        <v/>
      </c>
      <c r="F74" s="76" t="e">
        <f>F23</f>
        <v>#REF!</v>
      </c>
      <c r="G74" s="76" t="e">
        <f>G23</f>
        <v>#REF!</v>
      </c>
      <c r="H74" s="146" t="e">
        <f>H23</f>
        <v>#REF!</v>
      </c>
      <c r="I74" s="147" t="e">
        <f>$H74*I23</f>
        <v>#REF!</v>
      </c>
      <c r="J74" s="148" t="e">
        <f>$H74*J23</f>
        <v>#REF!</v>
      </c>
      <c r="K74" s="150" t="e">
        <f>$H74*K23</f>
        <v>#REF!</v>
      </c>
      <c r="L74" s="151" t="e">
        <f>$H74*L23</f>
        <v>#REF!</v>
      </c>
      <c r="M74" s="148" t="e">
        <f>$H74*M23</f>
        <v>#REF!</v>
      </c>
      <c r="N74" s="149" t="e">
        <f>$H74*N23</f>
        <v>#REF!</v>
      </c>
      <c r="O74" s="147" t="e">
        <f>$H74*O23</f>
        <v>#REF!</v>
      </c>
      <c r="P74" s="148" t="e">
        <f>$H74*P23</f>
        <v>#REF!</v>
      </c>
      <c r="Q74" s="150" t="e">
        <f>$H74*Q23</f>
        <v>#REF!</v>
      </c>
      <c r="R74" s="151" t="e">
        <f>$H74*R23</f>
        <v>#REF!</v>
      </c>
      <c r="S74" s="148" t="e">
        <f>$H74*S23</f>
        <v>#REF!</v>
      </c>
      <c r="T74" s="149" t="e">
        <f>$H74*T23</f>
        <v>#REF!</v>
      </c>
      <c r="U74" s="147" t="e">
        <f>$H74*U23</f>
        <v>#REF!</v>
      </c>
      <c r="V74" s="148" t="e">
        <f>$H74*V23</f>
        <v>#REF!</v>
      </c>
      <c r="W74" s="150" t="e">
        <f>$H74*W23</f>
        <v>#REF!</v>
      </c>
      <c r="X74" s="151" t="e">
        <f>$H74*X23</f>
        <v>#REF!</v>
      </c>
      <c r="Y74" s="148" t="e">
        <f>$H74*Y23</f>
        <v>#REF!</v>
      </c>
      <c r="Z74" s="149" t="e">
        <f>$H74*Z23</f>
        <v>#REF!</v>
      </c>
      <c r="AA74" s="147" t="e">
        <f>$H74*AA23</f>
        <v>#REF!</v>
      </c>
      <c r="AB74" s="148" t="e">
        <f>$H74*AB23</f>
        <v>#REF!</v>
      </c>
      <c r="AC74" s="150" t="e">
        <f>$H74*AC23</f>
        <v>#REF!</v>
      </c>
      <c r="AD74" s="154" t="e">
        <f>$H74*AD23</f>
        <v>#REF!</v>
      </c>
      <c r="AF74" s="32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</row>
    <row r="75" spans="1:66" customHeight="1" ht="15.75">
      <c r="A75" s="445"/>
      <c r="B75" s="525"/>
      <c r="C75" s="565" t="s">
        <v>152</v>
      </c>
      <c r="D75" s="566"/>
      <c r="E75" s="566"/>
      <c r="F75" s="566"/>
      <c r="G75" s="566"/>
      <c r="H75" s="567"/>
      <c r="I75" s="164" t="e">
        <f>SUM(I67:I74)</f>
        <v>#REF!</v>
      </c>
      <c r="J75" s="165" t="e">
        <f>SUM(J67:J74)</f>
        <v>#REF!</v>
      </c>
      <c r="K75" s="188" t="e">
        <f>SUM(K67:K74)</f>
        <v>#REF!</v>
      </c>
      <c r="L75" s="189" t="e">
        <f>SUM(L67:L74)</f>
        <v>#REF!</v>
      </c>
      <c r="M75" s="165" t="e">
        <f>SUM(M67:M74)</f>
        <v>#REF!</v>
      </c>
      <c r="N75" s="166" t="e">
        <f>SUM(N67:N74)</f>
        <v>#REF!</v>
      </c>
      <c r="O75" s="164" t="e">
        <f>SUM(O67:O74)</f>
        <v>#REF!</v>
      </c>
      <c r="P75" s="165" t="e">
        <f>SUM(P67:P74)</f>
        <v>#REF!</v>
      </c>
      <c r="Q75" s="188" t="e">
        <f>SUM(Q67:Q74)</f>
        <v>#REF!</v>
      </c>
      <c r="R75" s="189" t="e">
        <f>SUM(R67:R74)</f>
        <v>#REF!</v>
      </c>
      <c r="S75" s="165" t="e">
        <f>SUM(S67:S74)</f>
        <v>#REF!</v>
      </c>
      <c r="T75" s="166" t="e">
        <f>SUM(T67:T74)</f>
        <v>#REF!</v>
      </c>
      <c r="U75" s="164" t="e">
        <f>SUM(U67:U74)</f>
        <v>#REF!</v>
      </c>
      <c r="V75" s="165" t="e">
        <f>SUM(V67:V74)</f>
        <v>#REF!</v>
      </c>
      <c r="W75" s="188" t="e">
        <f>SUM(W67:W74)</f>
        <v>#REF!</v>
      </c>
      <c r="X75" s="189" t="e">
        <f>SUM(X67:X74)</f>
        <v>#REF!</v>
      </c>
      <c r="Y75" s="165" t="e">
        <f>SUM(Y67:Y74)</f>
        <v>#REF!</v>
      </c>
      <c r="Z75" s="166" t="e">
        <f>SUM(Z67:Z74)</f>
        <v>#REF!</v>
      </c>
      <c r="AA75" s="164" t="e">
        <f>SUM(AA67:AA74)</f>
        <v>#REF!</v>
      </c>
      <c r="AB75" s="86" t="e">
        <f>SUM(AB67:AB74)</f>
        <v>#REF!</v>
      </c>
      <c r="AC75" s="179" t="e">
        <f>SUM(AC67:AC74)</f>
        <v>#REF!</v>
      </c>
      <c r="AD75" s="88" t="e">
        <f>SUM(AD67:AD74)</f>
        <v>#REF!</v>
      </c>
      <c r="AF75" s="32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7"/>
      <c r="AZ75" s="7"/>
    </row>
    <row r="76" spans="1:66" customHeight="1" ht="15.75" s="12" customFormat="1">
      <c r="A76" s="445"/>
      <c r="B76" s="524" t="s">
        <v>153</v>
      </c>
      <c r="C76" s="75" t="e">
        <f>C25</f>
        <v>#REF!</v>
      </c>
      <c r="D76" s="54" t="e">
        <f>D25</f>
        <v>#REF!</v>
      </c>
      <c r="E76" s="37" t="e">
        <f>E25</f>
        <v>#REF!</v>
      </c>
      <c r="F76" s="37" t="e">
        <f>F25</f>
        <v>#REF!</v>
      </c>
      <c r="G76" s="37" t="e">
        <f>G25</f>
        <v>#REF!</v>
      </c>
      <c r="H76" s="38" t="e">
        <f>H25</f>
        <v>#REF!</v>
      </c>
      <c r="I76" s="39" t="e">
        <f>$H76*I25</f>
        <v>#REF!</v>
      </c>
      <c r="J76" s="40" t="e">
        <f>$H76*J25</f>
        <v>#REF!</v>
      </c>
      <c r="K76" s="41" t="e">
        <f>$H76*K25</f>
        <v>#REF!</v>
      </c>
      <c r="L76" s="39" t="e">
        <f>$H76*L25</f>
        <v>#REF!</v>
      </c>
      <c r="M76" s="40" t="e">
        <f>$H76*M25</f>
        <v>#REF!</v>
      </c>
      <c r="N76" s="41" t="e">
        <f>$H76*N25</f>
        <v>#REF!</v>
      </c>
      <c r="O76" s="39" t="e">
        <f>$H76*O25</f>
        <v>#REF!</v>
      </c>
      <c r="P76" s="40" t="e">
        <f>$H76*P25</f>
        <v>#REF!</v>
      </c>
      <c r="Q76" s="41" t="e">
        <f>$H76*Q25</f>
        <v>#REF!</v>
      </c>
      <c r="R76" s="39" t="e">
        <f>$H76*R25</f>
        <v>#REF!</v>
      </c>
      <c r="S76" s="40" t="e">
        <f>$H76*S25</f>
        <v>#REF!</v>
      </c>
      <c r="T76" s="41" t="e">
        <f>$H76*T25</f>
        <v>#REF!</v>
      </c>
      <c r="U76" s="39" t="e">
        <f>$H76*U25</f>
        <v>#REF!</v>
      </c>
      <c r="V76" s="40" t="e">
        <f>$H76*V25</f>
        <v>#REF!</v>
      </c>
      <c r="W76" s="41" t="e">
        <f>$H76*W25</f>
        <v>#REF!</v>
      </c>
      <c r="X76" s="39" t="e">
        <f>$H76*X25</f>
        <v>#REF!</v>
      </c>
      <c r="Y76" s="40" t="e">
        <f>$H76*Y25</f>
        <v>#REF!</v>
      </c>
      <c r="Z76" s="41" t="e">
        <f>$H76*Z25</f>
        <v>#REF!</v>
      </c>
      <c r="AA76" s="39" t="e">
        <f>$H76*AA25</f>
        <v>#REF!</v>
      </c>
      <c r="AB76" s="40" t="e">
        <f>$H76*AB25</f>
        <v>#REF!</v>
      </c>
      <c r="AC76" s="41" t="e">
        <f>$H76*AC25</f>
        <v>#REF!</v>
      </c>
      <c r="AD76" s="181" t="e">
        <f>$H76*AD25</f>
        <v>#REF!</v>
      </c>
      <c r="AE76" s="101"/>
      <c r="AF76" s="172" t="e">
        <f>I76*$F76</f>
        <v>#REF!</v>
      </c>
      <c r="AG76" s="173" t="e">
        <f>J76*$F76</f>
        <v>#REF!</v>
      </c>
      <c r="AH76" s="174" t="e">
        <f>K76*$F76</f>
        <v>#REF!</v>
      </c>
      <c r="AI76" s="172" t="e">
        <f>L76*$F76</f>
        <v>#REF!</v>
      </c>
      <c r="AJ76" s="173" t="e">
        <f>M76*$F76</f>
        <v>#REF!</v>
      </c>
      <c r="AK76" s="174" t="e">
        <f>N76*$F76</f>
        <v>#REF!</v>
      </c>
      <c r="AL76" s="172" t="e">
        <f>O76*$F76</f>
        <v>#REF!</v>
      </c>
      <c r="AM76" s="173" t="e">
        <f>P76*$F76</f>
        <v>#REF!</v>
      </c>
      <c r="AN76" s="174" t="e">
        <f>Q76*$F76</f>
        <v>#REF!</v>
      </c>
      <c r="AO76" s="172" t="e">
        <f>R76*$F76</f>
        <v>#REF!</v>
      </c>
      <c r="AP76" s="173" t="e">
        <f>S76*$F76</f>
        <v>#REF!</v>
      </c>
      <c r="AQ76" s="174" t="e">
        <f>T76*$F76</f>
        <v>#REF!</v>
      </c>
      <c r="AR76" s="172" t="e">
        <f>U76*$F76</f>
        <v>#REF!</v>
      </c>
      <c r="AS76" s="173" t="e">
        <f>V76*$F76</f>
        <v>#REF!</v>
      </c>
      <c r="AT76" s="174" t="e">
        <f>W76*$F76</f>
        <v>#REF!</v>
      </c>
      <c r="AU76" s="172" t="e">
        <f>X76*$F76</f>
        <v>#REF!</v>
      </c>
      <c r="AV76" s="173" t="e">
        <f>Y76*$F76</f>
        <v>#REF!</v>
      </c>
      <c r="AW76" s="174" t="e">
        <f>Z76*$F76</f>
        <v>#REF!</v>
      </c>
      <c r="AX76" s="172" t="e">
        <f>AA76*$F76</f>
        <v>#REF!</v>
      </c>
      <c r="AY76" s="173" t="e">
        <f>AB76*$F76</f>
        <v>#REF!</v>
      </c>
    </row>
    <row r="77" spans="1:66" customHeight="1" ht="15.75">
      <c r="A77" s="445"/>
      <c r="B77" s="525"/>
      <c r="C77" s="155" t="e">
        <f>C26</f>
        <v>#REF!</v>
      </c>
      <c r="D77" s="162" t="e">
        <f>D26</f>
        <v>#REF!</v>
      </c>
      <c r="E77" s="76" t="e">
        <f>E26</f>
        <v>#REF!</v>
      </c>
      <c r="F77" s="76" t="e">
        <f>F26</f>
        <v>#REF!</v>
      </c>
      <c r="G77" s="76" t="e">
        <f>G26</f>
        <v>#REF!</v>
      </c>
      <c r="H77" s="146" t="e">
        <f>H26</f>
        <v>#REF!</v>
      </c>
      <c r="I77" s="151" t="e">
        <f>$H77*I26</f>
        <v>#REF!</v>
      </c>
      <c r="J77" s="148" t="e">
        <f>$H77*J26</f>
        <v>#REF!</v>
      </c>
      <c r="K77" s="149" t="e">
        <f>$H77*K26</f>
        <v>#REF!</v>
      </c>
      <c r="L77" s="151" t="e">
        <f>$H77*L26</f>
        <v>#REF!</v>
      </c>
      <c r="M77" s="148" t="e">
        <f>$H77*M26</f>
        <v>#REF!</v>
      </c>
      <c r="N77" s="149" t="e">
        <f>$H77*N26</f>
        <v>#REF!</v>
      </c>
      <c r="O77" s="151" t="e">
        <f>$H77*O26</f>
        <v>#REF!</v>
      </c>
      <c r="P77" s="148" t="e">
        <f>$H77*P26</f>
        <v>#REF!</v>
      </c>
      <c r="Q77" s="149" t="e">
        <f>$H77*Q26</f>
        <v>#REF!</v>
      </c>
      <c r="R77" s="151" t="e">
        <f>$H77*R26</f>
        <v>#REF!</v>
      </c>
      <c r="S77" s="148" t="e">
        <f>$H77*S26</f>
        <v>#REF!</v>
      </c>
      <c r="T77" s="149" t="e">
        <f>$H77*T26</f>
        <v>#REF!</v>
      </c>
      <c r="U77" s="151" t="e">
        <f>$H77*U26</f>
        <v>#REF!</v>
      </c>
      <c r="V77" s="148" t="e">
        <f>$H77*V26</f>
        <v>#REF!</v>
      </c>
      <c r="W77" s="149" t="e">
        <f>$H77*W26</f>
        <v>#REF!</v>
      </c>
      <c r="X77" s="151" t="e">
        <f>$H77*X26</f>
        <v>#REF!</v>
      </c>
      <c r="Y77" s="148" t="e">
        <f>$H77*Y26</f>
        <v>#REF!</v>
      </c>
      <c r="Z77" s="149" t="e">
        <f>$H77*Z26</f>
        <v>#REF!</v>
      </c>
      <c r="AA77" s="151" t="e">
        <f>$H77*AA26</f>
        <v>#REF!</v>
      </c>
      <c r="AB77" s="148" t="e">
        <f>$H77*AB26</f>
        <v>#REF!</v>
      </c>
      <c r="AC77" s="149" t="e">
        <f>$H77*AC26</f>
        <v>#REF!</v>
      </c>
      <c r="AD77" s="181" t="e">
        <f>$H77*AD26</f>
        <v>#REF!</v>
      </c>
      <c r="AE77" s="101"/>
      <c r="AF77" s="172" t="e">
        <f>I77*$F77</f>
        <v>#REF!</v>
      </c>
      <c r="AG77" s="173" t="e">
        <f>J77*$F77</f>
        <v>#REF!</v>
      </c>
      <c r="AH77" s="174" t="e">
        <f>K77*$F77</f>
        <v>#REF!</v>
      </c>
      <c r="AI77" s="172" t="e">
        <f>L77*$F77</f>
        <v>#REF!</v>
      </c>
      <c r="AJ77" s="173" t="e">
        <f>M77*$F77</f>
        <v>#REF!</v>
      </c>
      <c r="AK77" s="174" t="e">
        <f>N77*$F77</f>
        <v>#REF!</v>
      </c>
      <c r="AL77" s="172" t="e">
        <f>O77*$F77</f>
        <v>#REF!</v>
      </c>
      <c r="AM77" s="173" t="e">
        <f>P77*$F77</f>
        <v>#REF!</v>
      </c>
      <c r="AN77" s="174" t="e">
        <f>Q77*$F77</f>
        <v>#REF!</v>
      </c>
      <c r="AO77" s="172" t="e">
        <f>R77*$F77</f>
        <v>#REF!</v>
      </c>
      <c r="AP77" s="173" t="e">
        <f>S77*$F77</f>
        <v>#REF!</v>
      </c>
      <c r="AQ77" s="174" t="e">
        <f>T77*$F77</f>
        <v>#REF!</v>
      </c>
      <c r="AR77" s="172" t="e">
        <f>U77*$F77</f>
        <v>#REF!</v>
      </c>
      <c r="AS77" s="173" t="e">
        <f>V77*$F77</f>
        <v>#REF!</v>
      </c>
      <c r="AT77" s="174" t="e">
        <f>W77*$F77</f>
        <v>#REF!</v>
      </c>
      <c r="AU77" s="172" t="e">
        <f>X77*$F77</f>
        <v>#REF!</v>
      </c>
      <c r="AV77" s="173" t="e">
        <f>Y77*$F77</f>
        <v>#REF!</v>
      </c>
      <c r="AW77" s="174" t="e">
        <f>Z77*$F77</f>
        <v>#REF!</v>
      </c>
      <c r="AX77" s="172" t="e">
        <f>AA77*$F77</f>
        <v>#REF!</v>
      </c>
      <c r="AY77" s="173" t="e">
        <f>AB77*$F77</f>
        <v>#REF!</v>
      </c>
    </row>
    <row r="78" spans="1:66" customHeight="1" ht="15.75">
      <c r="A78" s="445"/>
      <c r="B78" s="564"/>
      <c r="C78" s="556" t="s">
        <v>152</v>
      </c>
      <c r="D78" s="557"/>
      <c r="E78" s="557"/>
      <c r="F78" s="557"/>
      <c r="G78" s="557"/>
      <c r="H78" s="558"/>
      <c r="I78" s="89" t="e">
        <f>SUM(I76:I77)</f>
        <v>#REF!</v>
      </c>
      <c r="J78" s="86" t="e">
        <f>SUM(J76:J77)</f>
        <v>#REF!</v>
      </c>
      <c r="K78" s="87" t="e">
        <f>SUM(K76:K77)</f>
        <v>#REF!</v>
      </c>
      <c r="L78" s="89" t="e">
        <f>SUM(L76:L77)</f>
        <v>#REF!</v>
      </c>
      <c r="M78" s="86" t="e">
        <f>SUM(M76:M77)</f>
        <v>#REF!</v>
      </c>
      <c r="N78" s="87" t="e">
        <f>SUM(N76:N77)</f>
        <v>#REF!</v>
      </c>
      <c r="O78" s="89" t="e">
        <f>SUM(O76:O77)</f>
        <v>#REF!</v>
      </c>
      <c r="P78" s="86" t="e">
        <f>SUM(P76:P77)</f>
        <v>#REF!</v>
      </c>
      <c r="Q78" s="87" t="e">
        <f>SUM(Q76:Q77)</f>
        <v>#REF!</v>
      </c>
      <c r="R78" s="89" t="e">
        <f>SUM(R76:R77)</f>
        <v>#REF!</v>
      </c>
      <c r="S78" s="86" t="e">
        <f>SUM(S76:S77)</f>
        <v>#REF!</v>
      </c>
      <c r="T78" s="87" t="e">
        <f>SUM(T76:T77)</f>
        <v>#REF!</v>
      </c>
      <c r="U78" s="89" t="e">
        <f>SUM(U76:U77)</f>
        <v>#REF!</v>
      </c>
      <c r="V78" s="86" t="e">
        <f>SUM(V76:V77)</f>
        <v>#REF!</v>
      </c>
      <c r="W78" s="87" t="e">
        <f>SUM(W76:W77)</f>
        <v>#REF!</v>
      </c>
      <c r="X78" s="89" t="e">
        <f>SUM(X76:X77)</f>
        <v>#REF!</v>
      </c>
      <c r="Y78" s="86" t="e">
        <f>SUM(Y76:Y77)</f>
        <v>#REF!</v>
      </c>
      <c r="Z78" s="87" t="e">
        <f>SUM(Z76:Z77)</f>
        <v>#REF!</v>
      </c>
      <c r="AA78" s="89" t="e">
        <f>SUM(AA76:AA77)</f>
        <v>#REF!</v>
      </c>
      <c r="AB78" s="86" t="e">
        <f>SUM(AB76:AB77)</f>
        <v>#REF!</v>
      </c>
      <c r="AC78" s="87" t="e">
        <f>SUM(AC76:AC77)</f>
        <v>#REF!</v>
      </c>
      <c r="AD78" s="88" t="e">
        <f>SUM(AD76:AD77)</f>
        <v>#REF!</v>
      </c>
      <c r="AE78" s="101"/>
      <c r="AF78" s="172" t="e">
        <f>I78*$F78</f>
        <v>#REF!</v>
      </c>
      <c r="AG78" s="173" t="e">
        <f>J78*$F78</f>
        <v>#REF!</v>
      </c>
      <c r="AH78" s="174" t="e">
        <f>K78*$F78</f>
        <v>#REF!</v>
      </c>
      <c r="AI78" s="172" t="e">
        <f>L78*$F78</f>
        <v>#REF!</v>
      </c>
      <c r="AJ78" s="173" t="e">
        <f>M78*$F78</f>
        <v>#REF!</v>
      </c>
      <c r="AK78" s="174" t="e">
        <f>N78*$F78</f>
        <v>#REF!</v>
      </c>
      <c r="AL78" s="172" t="e">
        <f>O78*$F78</f>
        <v>#REF!</v>
      </c>
      <c r="AM78" s="173" t="e">
        <f>P78*$F78</f>
        <v>#REF!</v>
      </c>
      <c r="AN78" s="174" t="e">
        <f>Q78*$F78</f>
        <v>#REF!</v>
      </c>
      <c r="AO78" s="172" t="e">
        <f>R78*$F78</f>
        <v>#REF!</v>
      </c>
      <c r="AP78" s="173" t="e">
        <f>S78*$F78</f>
        <v>#REF!</v>
      </c>
      <c r="AQ78" s="174" t="e">
        <f>T78*$F78</f>
        <v>#REF!</v>
      </c>
      <c r="AR78" s="172" t="e">
        <f>U78*$F78</f>
        <v>#REF!</v>
      </c>
      <c r="AS78" s="173" t="e">
        <f>V78*$F78</f>
        <v>#REF!</v>
      </c>
      <c r="AT78" s="174" t="e">
        <f>W78*$F78</f>
        <v>#REF!</v>
      </c>
      <c r="AU78" s="172" t="e">
        <f>X78*$F78</f>
        <v>#REF!</v>
      </c>
      <c r="AV78" s="173" t="e">
        <f>Y78*$F78</f>
        <v>#REF!</v>
      </c>
      <c r="AW78" s="174" t="e">
        <f>Z78*$F78</f>
        <v>#REF!</v>
      </c>
      <c r="AX78" s="172" t="e">
        <f>AA78*$F78</f>
        <v>#REF!</v>
      </c>
      <c r="AY78" s="173" t="e">
        <f>AB78*$F78</f>
        <v>#REF!</v>
      </c>
    </row>
    <row r="79" spans="1:66" customHeight="1" ht="15.75">
      <c r="A79" s="445"/>
      <c r="B79" s="537" t="s">
        <v>154</v>
      </c>
      <c r="C79" s="155" t="e">
        <f>C28</f>
        <v>#REF!</v>
      </c>
      <c r="D79" s="157" t="e">
        <f>D28</f>
        <v>#REF!</v>
      </c>
      <c r="E79" s="76" t="e">
        <f>E28</f>
        <v>#REF!</v>
      </c>
      <c r="F79" s="76" t="e">
        <f>F28</f>
        <v>#REF!</v>
      </c>
      <c r="G79" s="76" t="e">
        <f>G28</f>
        <v>#REF!</v>
      </c>
      <c r="H79" s="146" t="e">
        <f>H28</f>
        <v>#REF!</v>
      </c>
      <c r="I79" s="151" t="e">
        <f>$H79*I28</f>
        <v>#REF!</v>
      </c>
      <c r="J79" s="148" t="e">
        <f>$H79*J28</f>
        <v>#REF!</v>
      </c>
      <c r="K79" s="149" t="e">
        <f>$H79*K28</f>
        <v>#REF!</v>
      </c>
      <c r="L79" s="151" t="e">
        <f>$H79*L28</f>
        <v>#REF!</v>
      </c>
      <c r="M79" s="148" t="e">
        <f>$H79*M28</f>
        <v>#REF!</v>
      </c>
      <c r="N79" s="149" t="e">
        <f>$H79*N28</f>
        <v>#REF!</v>
      </c>
      <c r="O79" s="151" t="e">
        <f>$H79*O28</f>
        <v>#REF!</v>
      </c>
      <c r="P79" s="148" t="e">
        <f>$H79*P28</f>
        <v>#REF!</v>
      </c>
      <c r="Q79" s="149" t="e">
        <f>$H79*Q28</f>
        <v>#REF!</v>
      </c>
      <c r="R79" s="151" t="e">
        <f>$H79*R28</f>
        <v>#REF!</v>
      </c>
      <c r="S79" s="148" t="e">
        <f>$H79*S28</f>
        <v>#REF!</v>
      </c>
      <c r="T79" s="149" t="e">
        <f>$H79*T28</f>
        <v>#REF!</v>
      </c>
      <c r="U79" s="151" t="e">
        <f>$H79*U28</f>
        <v>#REF!</v>
      </c>
      <c r="V79" s="148" t="e">
        <f>$H79*V28</f>
        <v>#REF!</v>
      </c>
      <c r="W79" s="149" t="e">
        <f>$H79*W28</f>
        <v>#REF!</v>
      </c>
      <c r="X79" s="151" t="e">
        <f>$H79*X28</f>
        <v>#REF!</v>
      </c>
      <c r="Y79" s="148" t="e">
        <f>$H79*Y28</f>
        <v>#REF!</v>
      </c>
      <c r="Z79" s="149" t="e">
        <f>$H79*Z28</f>
        <v>#REF!</v>
      </c>
      <c r="AA79" s="151" t="e">
        <f>$H79*AA28</f>
        <v>#REF!</v>
      </c>
      <c r="AB79" s="148" t="e">
        <f>$H79*AB28</f>
        <v>#REF!</v>
      </c>
      <c r="AC79" s="149" t="e">
        <f>$H79*AC28</f>
        <v>#REF!</v>
      </c>
      <c r="AD79" s="170" t="e">
        <f>$H79*AD28</f>
        <v>#REF!</v>
      </c>
      <c r="AF79" s="131"/>
      <c r="AG79" s="132"/>
      <c r="AH79" s="133"/>
      <c r="AI79" s="33"/>
      <c r="AJ79" s="132"/>
      <c r="AK79" s="133"/>
      <c r="AL79" s="33"/>
      <c r="AM79" s="132"/>
      <c r="AN79" s="133"/>
      <c r="AO79" s="33"/>
      <c r="AP79" s="132"/>
      <c r="AQ79" s="133"/>
      <c r="AR79" s="33"/>
      <c r="AS79" s="132"/>
      <c r="AT79" s="133"/>
      <c r="AU79" s="33"/>
      <c r="AV79" s="132"/>
      <c r="AW79" s="133"/>
      <c r="AX79" s="33"/>
      <c r="AY79" s="132"/>
      <c r="AZ79" s="133"/>
    </row>
    <row r="80" spans="1:66" customHeight="1" ht="15.75">
      <c r="A80" s="555"/>
      <c r="B80" s="555"/>
      <c r="C80" s="556" t="s">
        <v>152</v>
      </c>
      <c r="D80" s="557"/>
      <c r="E80" s="557"/>
      <c r="F80" s="557"/>
      <c r="G80" s="557"/>
      <c r="H80" s="558"/>
      <c r="I80" s="89" t="e">
        <f>+I79</f>
        <v>#REF!</v>
      </c>
      <c r="J80" s="86" t="e">
        <f>+J79</f>
        <v>#REF!</v>
      </c>
      <c r="K80" s="87" t="e">
        <f>+K79</f>
        <v>#REF!</v>
      </c>
      <c r="L80" s="89" t="e">
        <f>+L79</f>
        <v>#REF!</v>
      </c>
      <c r="M80" s="86" t="e">
        <f>+M79</f>
        <v>#REF!</v>
      </c>
      <c r="N80" s="87" t="e">
        <f>+N79</f>
        <v>#REF!</v>
      </c>
      <c r="O80" s="89" t="e">
        <f>+O79</f>
        <v>#REF!</v>
      </c>
      <c r="P80" s="86" t="e">
        <f>+P79</f>
        <v>#REF!</v>
      </c>
      <c r="Q80" s="87" t="e">
        <f>+Q79</f>
        <v>#REF!</v>
      </c>
      <c r="R80" s="89" t="e">
        <f>+R79</f>
        <v>#REF!</v>
      </c>
      <c r="S80" s="86" t="e">
        <f>+S79</f>
        <v>#REF!</v>
      </c>
      <c r="T80" s="87" t="e">
        <f>+T79</f>
        <v>#REF!</v>
      </c>
      <c r="U80" s="89" t="e">
        <f>+U79</f>
        <v>#REF!</v>
      </c>
      <c r="V80" s="86" t="e">
        <f>+V79</f>
        <v>#REF!</v>
      </c>
      <c r="W80" s="87" t="e">
        <f>+W79</f>
        <v>#REF!</v>
      </c>
      <c r="X80" s="89" t="e">
        <f>+X79</f>
        <v>#REF!</v>
      </c>
      <c r="Y80" s="86" t="e">
        <f>+Y79</f>
        <v>#REF!</v>
      </c>
      <c r="Z80" s="87" t="e">
        <f>+Z79</f>
        <v>#REF!</v>
      </c>
      <c r="AA80" s="89" t="e">
        <f>+AA79</f>
        <v>#REF!</v>
      </c>
      <c r="AB80" s="86" t="e">
        <f>+AB79</f>
        <v>#REF!</v>
      </c>
      <c r="AC80" s="87" t="e">
        <f>+AC79</f>
        <v>#REF!</v>
      </c>
      <c r="AD80" s="88" t="e">
        <f>+AD79</f>
        <v>#REF!</v>
      </c>
      <c r="AF80" s="131" t="e">
        <f>I80*F80</f>
        <v>#REF!</v>
      </c>
      <c r="AG80" s="132" t="e">
        <f>J80*F80</f>
        <v>#REF!</v>
      </c>
      <c r="AH80" s="133" t="e">
        <f>K80*F80</f>
        <v>#REF!</v>
      </c>
      <c r="AI80" s="33" t="e">
        <f>L80*F80</f>
        <v>#REF!</v>
      </c>
      <c r="AJ80" s="132" t="e">
        <f>M80*F80</f>
        <v>#REF!</v>
      </c>
      <c r="AK80" s="133" t="e">
        <f>N80*F80</f>
        <v>#REF!</v>
      </c>
      <c r="AL80" s="33" t="e">
        <f>O80*F80</f>
        <v>#REF!</v>
      </c>
      <c r="AM80" s="132" t="e">
        <f>P80*F80</f>
        <v>#REF!</v>
      </c>
      <c r="AN80" s="133" t="e">
        <f>Q80*F80</f>
        <v>#REF!</v>
      </c>
      <c r="AO80" s="33" t="e">
        <f>R80*F80</f>
        <v>#REF!</v>
      </c>
      <c r="AP80" s="132" t="e">
        <f>S80*F80</f>
        <v>#REF!</v>
      </c>
      <c r="AQ80" s="133" t="e">
        <f>T80*F80</f>
        <v>#REF!</v>
      </c>
      <c r="AR80" s="33" t="e">
        <f>U80*F80</f>
        <v>#REF!</v>
      </c>
      <c r="AS80" s="132" t="e">
        <f>V80*F80</f>
        <v>#REF!</v>
      </c>
      <c r="AT80" s="133" t="e">
        <f>W80*F80</f>
        <v>#REF!</v>
      </c>
      <c r="AU80" s="33" t="e">
        <f>X80*F80</f>
        <v>#REF!</v>
      </c>
      <c r="AV80" s="132" t="e">
        <f>Y80*F80</f>
        <v>#REF!</v>
      </c>
      <c r="AW80" s="133" t="e">
        <f>Z80*F80</f>
        <v>#REF!</v>
      </c>
      <c r="AX80" s="33" t="e">
        <f>AA80*F80</f>
        <v>#REF!</v>
      </c>
      <c r="AY80" s="135" t="e">
        <f>AB80*F80</f>
        <v>#REF!</v>
      </c>
      <c r="AZ80" s="134" t="e">
        <f>AC80*F80</f>
        <v>#REF!</v>
      </c>
    </row>
    <row r="81" spans="1:66" customHeight="1" ht="15.75">
      <c r="A81" s="520" t="s">
        <v>155</v>
      </c>
      <c r="B81" s="520" t="s">
        <v>156</v>
      </c>
      <c r="C81" s="75" t="e">
        <f>C30</f>
        <v>#REF!</v>
      </c>
      <c r="D81" s="54" t="e">
        <f>D30</f>
        <v>#REF!</v>
      </c>
      <c r="E81" s="37" t="e">
        <f>E30</f>
        <v>#REF!</v>
      </c>
      <c r="F81" s="37" t="e">
        <f>F30</f>
        <v>#REF!</v>
      </c>
      <c r="G81" s="37" t="e">
        <f>G30</f>
        <v>#REF!</v>
      </c>
      <c r="H81" s="38" t="e">
        <f>H30</f>
        <v>#REF!</v>
      </c>
      <c r="I81" s="39" t="e">
        <f>$H81*I30</f>
        <v>#REF!</v>
      </c>
      <c r="J81" s="40" t="e">
        <f>$H81*J30</f>
        <v>#REF!</v>
      </c>
      <c r="K81" s="41" t="e">
        <f>$H81*K30</f>
        <v>#REF!</v>
      </c>
      <c r="L81" s="39" t="e">
        <f>$H81*L30</f>
        <v>#REF!</v>
      </c>
      <c r="M81" s="40" t="e">
        <f>$H81*M30</f>
        <v>#REF!</v>
      </c>
      <c r="N81" s="41" t="e">
        <f>$H81*N30</f>
        <v>#REF!</v>
      </c>
      <c r="O81" s="39" t="e">
        <f>$H81*O30</f>
        <v>#REF!</v>
      </c>
      <c r="P81" s="40" t="e">
        <f>$H81*P30</f>
        <v>#REF!</v>
      </c>
      <c r="Q81" s="41" t="e">
        <f>$H81*Q30</f>
        <v>#REF!</v>
      </c>
      <c r="R81" s="39" t="e">
        <f>$H81*R30</f>
        <v>#REF!</v>
      </c>
      <c r="S81" s="40" t="e">
        <f>$H81*S30</f>
        <v>#REF!</v>
      </c>
      <c r="T81" s="41" t="e">
        <f>$H81*T30</f>
        <v>#REF!</v>
      </c>
      <c r="U81" s="39" t="e">
        <f>$H81*U30</f>
        <v>#REF!</v>
      </c>
      <c r="V81" s="40" t="e">
        <f>$H81*V30</f>
        <v>#REF!</v>
      </c>
      <c r="W81" s="41" t="e">
        <f>$H81*W30</f>
        <v>#REF!</v>
      </c>
      <c r="X81" s="39" t="e">
        <f>$H81*X30</f>
        <v>#REF!</v>
      </c>
      <c r="Y81" s="40" t="e">
        <f>$H81*Y30</f>
        <v>#REF!</v>
      </c>
      <c r="Z81" s="41" t="e">
        <f>$H81*Z30</f>
        <v>#REF!</v>
      </c>
      <c r="AA81" s="39" t="e">
        <f>$H81*AA30</f>
        <v>#REF!</v>
      </c>
      <c r="AB81" s="40" t="e">
        <f>$H81*AB30</f>
        <v>#REF!</v>
      </c>
      <c r="AC81" s="41" t="e">
        <f>$H81*AC30</f>
        <v>#REF!</v>
      </c>
      <c r="AD81" s="56" t="e">
        <f>$H81*AD30</f>
        <v>#REF!</v>
      </c>
      <c r="AF81" s="131" t="e">
        <f>I81*F81</f>
        <v>#REF!</v>
      </c>
      <c r="AG81" s="132" t="e">
        <f>J81*F81</f>
        <v>#REF!</v>
      </c>
      <c r="AH81" s="133" t="e">
        <f>K81*F81</f>
        <v>#REF!</v>
      </c>
      <c r="AI81" s="33" t="e">
        <f>L81*F81</f>
        <v>#REF!</v>
      </c>
      <c r="AJ81" s="132" t="e">
        <f>M81*F81</f>
        <v>#REF!</v>
      </c>
      <c r="AK81" s="133" t="e">
        <f>N81*F81</f>
        <v>#REF!</v>
      </c>
      <c r="AL81" s="33" t="e">
        <f>O81*F81</f>
        <v>#REF!</v>
      </c>
      <c r="AM81" s="132" t="e">
        <f>P81*F81</f>
        <v>#REF!</v>
      </c>
      <c r="AN81" s="133" t="e">
        <f>Q81*F81</f>
        <v>#REF!</v>
      </c>
      <c r="AO81" s="33" t="e">
        <f>R81*F81</f>
        <v>#REF!</v>
      </c>
      <c r="AP81" s="132" t="e">
        <f>S81*F81</f>
        <v>#REF!</v>
      </c>
      <c r="AQ81" s="133" t="e">
        <f>T81*F81</f>
        <v>#REF!</v>
      </c>
      <c r="AR81" s="33" t="e">
        <f>U81*F81</f>
        <v>#REF!</v>
      </c>
      <c r="AS81" s="132" t="e">
        <f>V81*F81</f>
        <v>#REF!</v>
      </c>
      <c r="AT81" s="133" t="e">
        <f>W81*F81</f>
        <v>#REF!</v>
      </c>
      <c r="AU81" s="33" t="e">
        <f>X81*F81</f>
        <v>#REF!</v>
      </c>
      <c r="AV81" s="132" t="e">
        <f>Y81*F81</f>
        <v>#REF!</v>
      </c>
      <c r="AW81" s="133" t="e">
        <f>Z81*F81</f>
        <v>#REF!</v>
      </c>
      <c r="AX81" s="33" t="e">
        <f>AA81*F81</f>
        <v>#REF!</v>
      </c>
      <c r="AY81" s="132" t="e">
        <f>AB81*F81</f>
        <v>#REF!</v>
      </c>
      <c r="AZ81" s="133" t="e">
        <f>AC81*F81</f>
        <v>#REF!</v>
      </c>
    </row>
    <row r="82" spans="1:66" customHeight="1" ht="15.75">
      <c r="A82" s="555"/>
      <c r="B82" s="555"/>
      <c r="C82" s="556" t="s">
        <v>152</v>
      </c>
      <c r="D82" s="557"/>
      <c r="E82" s="557"/>
      <c r="F82" s="557"/>
      <c r="G82" s="557"/>
      <c r="H82" s="558"/>
      <c r="I82" s="89" t="e">
        <f>+I81</f>
        <v>#REF!</v>
      </c>
      <c r="J82" s="86" t="e">
        <f>+J81</f>
        <v>#REF!</v>
      </c>
      <c r="K82" s="87" t="e">
        <f>+K81</f>
        <v>#REF!</v>
      </c>
      <c r="L82" s="89" t="e">
        <f>+L81</f>
        <v>#REF!</v>
      </c>
      <c r="M82" s="86" t="e">
        <f>+M81</f>
        <v>#REF!</v>
      </c>
      <c r="N82" s="87" t="e">
        <f>+N81</f>
        <v>#REF!</v>
      </c>
      <c r="O82" s="89" t="e">
        <f>+O81</f>
        <v>#REF!</v>
      </c>
      <c r="P82" s="86" t="e">
        <f>+P81</f>
        <v>#REF!</v>
      </c>
      <c r="Q82" s="87" t="e">
        <f>+Q81</f>
        <v>#REF!</v>
      </c>
      <c r="R82" s="89" t="e">
        <f>+R81</f>
        <v>#REF!</v>
      </c>
      <c r="S82" s="86" t="e">
        <f>+S81</f>
        <v>#REF!</v>
      </c>
      <c r="T82" s="87" t="e">
        <f>+T81</f>
        <v>#REF!</v>
      </c>
      <c r="U82" s="89" t="e">
        <f>+U81</f>
        <v>#REF!</v>
      </c>
      <c r="V82" s="86" t="e">
        <f>+V81</f>
        <v>#REF!</v>
      </c>
      <c r="W82" s="87" t="e">
        <f>+W81</f>
        <v>#REF!</v>
      </c>
      <c r="X82" s="89" t="e">
        <f>+X81</f>
        <v>#REF!</v>
      </c>
      <c r="Y82" s="86" t="e">
        <f>+Y81</f>
        <v>#REF!</v>
      </c>
      <c r="Z82" s="87" t="e">
        <f>+Z81</f>
        <v>#REF!</v>
      </c>
      <c r="AA82" s="89" t="e">
        <f>+AA81</f>
        <v>#REF!</v>
      </c>
      <c r="AB82" s="86" t="e">
        <f>+AB81</f>
        <v>#REF!</v>
      </c>
      <c r="AC82" s="87" t="e">
        <f>+AC81</f>
        <v>#REF!</v>
      </c>
      <c r="AD82" s="88" t="e">
        <f>+AD81</f>
        <v>#REF!</v>
      </c>
      <c r="AF82" s="131" t="e">
        <f>I82*F82</f>
        <v>#REF!</v>
      </c>
      <c r="AG82" s="132" t="e">
        <f>J82*F82</f>
        <v>#REF!</v>
      </c>
      <c r="AH82" s="133" t="e">
        <f>K82*F82</f>
        <v>#REF!</v>
      </c>
      <c r="AI82" s="33" t="e">
        <f>L82*F82</f>
        <v>#REF!</v>
      </c>
      <c r="AJ82" s="132" t="e">
        <f>M82*F82</f>
        <v>#REF!</v>
      </c>
      <c r="AK82" s="133" t="e">
        <f>N82*F82</f>
        <v>#REF!</v>
      </c>
      <c r="AL82" s="33" t="e">
        <f>O82*F82</f>
        <v>#REF!</v>
      </c>
      <c r="AM82" s="132" t="e">
        <f>P82*F82</f>
        <v>#REF!</v>
      </c>
      <c r="AN82" s="133" t="e">
        <f>Q82*F82</f>
        <v>#REF!</v>
      </c>
      <c r="AO82" s="33" t="e">
        <f>R82*F82</f>
        <v>#REF!</v>
      </c>
      <c r="AP82" s="132" t="e">
        <f>S82*F82</f>
        <v>#REF!</v>
      </c>
      <c r="AQ82" s="133" t="e">
        <f>T82*F82</f>
        <v>#REF!</v>
      </c>
      <c r="AR82" s="33" t="e">
        <f>U82*F82</f>
        <v>#REF!</v>
      </c>
      <c r="AS82" s="132" t="e">
        <f>V82*F82</f>
        <v>#REF!</v>
      </c>
      <c r="AT82" s="133" t="e">
        <f>W82*F82</f>
        <v>#REF!</v>
      </c>
      <c r="AU82" s="33" t="e">
        <f>X82*F82</f>
        <v>#REF!</v>
      </c>
      <c r="AV82" s="132" t="e">
        <f>Y82*F82</f>
        <v>#REF!</v>
      </c>
      <c r="AW82" s="133" t="e">
        <f>Z82*F82</f>
        <v>#REF!</v>
      </c>
      <c r="AX82" s="33" t="e">
        <f>AA82*F82</f>
        <v>#REF!</v>
      </c>
      <c r="AY82" s="135" t="e">
        <f>AB82*F82</f>
        <v>#REF!</v>
      </c>
      <c r="AZ82" s="134" t="e">
        <f>AC82*F82</f>
        <v>#REF!</v>
      </c>
    </row>
    <row r="83" spans="1:66" customHeight="1" ht="15.75">
      <c r="A83" s="520" t="s">
        <v>173</v>
      </c>
      <c r="B83" s="520"/>
      <c r="C83" s="206"/>
      <c r="D83" s="225"/>
      <c r="E83" s="225"/>
      <c r="F83" s="225"/>
      <c r="G83" s="225"/>
      <c r="H83" s="225"/>
      <c r="I83" s="215">
        <v>0.0</v>
      </c>
      <c r="J83" s="216">
        <v>0.0</v>
      </c>
      <c r="K83" s="216"/>
      <c r="L83" s="216"/>
      <c r="M83" s="216"/>
      <c r="N83" s="216"/>
      <c r="O83" s="217"/>
      <c r="P83" s="217"/>
      <c r="Q83" s="217"/>
      <c r="R83" s="217"/>
      <c r="S83" s="217"/>
      <c r="T83" s="217"/>
      <c r="U83" s="217"/>
      <c r="V83" s="217"/>
      <c r="W83" s="217"/>
      <c r="X83" s="217"/>
      <c r="Y83" s="217"/>
      <c r="Z83" s="217"/>
      <c r="AA83" s="216"/>
      <c r="AB83" s="216"/>
      <c r="AC83" s="216"/>
      <c r="AD83" s="218"/>
      <c r="AF83" s="171"/>
      <c r="AG83" s="172"/>
      <c r="AH83" s="173"/>
      <c r="AI83" s="174"/>
      <c r="AJ83" s="172"/>
      <c r="AK83" s="173"/>
      <c r="AL83" s="174"/>
      <c r="AM83" s="172"/>
      <c r="AN83" s="173"/>
      <c r="AO83" s="174"/>
      <c r="AP83" s="172"/>
      <c r="AQ83" s="173"/>
      <c r="AR83" s="174"/>
      <c r="AS83" s="172"/>
      <c r="AT83" s="173"/>
      <c r="AU83" s="174"/>
      <c r="AV83" s="172"/>
      <c r="AW83" s="173"/>
      <c r="AX83" s="174"/>
      <c r="AY83" s="172"/>
      <c r="AZ83" s="173"/>
    </row>
    <row r="84" spans="1:66" customHeight="1" ht="15.75">
      <c r="A84" s="445"/>
      <c r="B84" s="445"/>
      <c r="C84" s="207"/>
      <c r="D84" s="226"/>
      <c r="E84" s="226"/>
      <c r="F84" s="226"/>
      <c r="G84" s="226"/>
      <c r="H84" s="226"/>
      <c r="I84" s="219"/>
      <c r="J84" s="220"/>
      <c r="K84" s="220"/>
      <c r="L84" s="220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20"/>
      <c r="X84" s="220"/>
      <c r="Y84" s="220"/>
      <c r="Z84" s="220"/>
      <c r="AA84" s="220"/>
      <c r="AB84" s="220"/>
      <c r="AC84" s="220"/>
      <c r="AD84" s="221"/>
      <c r="AF84" s="171"/>
      <c r="AG84" s="172"/>
      <c r="AH84" s="173"/>
      <c r="AI84" s="174"/>
      <c r="AJ84" s="172"/>
      <c r="AK84" s="173"/>
      <c r="AL84" s="174"/>
      <c r="AM84" s="172"/>
      <c r="AN84" s="173"/>
      <c r="AO84" s="174"/>
      <c r="AP84" s="172"/>
      <c r="AQ84" s="173"/>
      <c r="AR84" s="174"/>
      <c r="AS84" s="172"/>
      <c r="AT84" s="173"/>
      <c r="AU84" s="174"/>
      <c r="AV84" s="172"/>
      <c r="AW84" s="173"/>
      <c r="AX84" s="174"/>
      <c r="AY84" s="172"/>
      <c r="AZ84" s="173"/>
    </row>
    <row r="85" spans="1:66" customHeight="1" ht="15.75">
      <c r="A85" s="445"/>
      <c r="B85" s="445"/>
      <c r="C85" s="207"/>
      <c r="D85" s="226"/>
      <c r="E85" s="226"/>
      <c r="F85" s="226"/>
      <c r="G85" s="226"/>
      <c r="H85" s="226"/>
      <c r="I85" s="219"/>
      <c r="J85" s="220"/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20"/>
      <c r="X85" s="220"/>
      <c r="Y85" s="220"/>
      <c r="Z85" s="220"/>
      <c r="AA85" s="220"/>
      <c r="AB85" s="220"/>
      <c r="AC85" s="220"/>
      <c r="AD85" s="221"/>
      <c r="AF85" s="171"/>
      <c r="AG85" s="172"/>
      <c r="AH85" s="173"/>
      <c r="AI85" s="174"/>
      <c r="AJ85" s="172"/>
      <c r="AK85" s="173"/>
      <c r="AL85" s="174"/>
      <c r="AM85" s="172"/>
      <c r="AN85" s="173"/>
      <c r="AO85" s="174"/>
      <c r="AP85" s="172"/>
      <c r="AQ85" s="173"/>
      <c r="AR85" s="174"/>
      <c r="AS85" s="172"/>
      <c r="AT85" s="173"/>
      <c r="AU85" s="174"/>
      <c r="AV85" s="172"/>
      <c r="AW85" s="173"/>
      <c r="AX85" s="174"/>
      <c r="AY85" s="172"/>
      <c r="AZ85" s="173"/>
    </row>
    <row r="86" spans="1:66" customHeight="1" ht="15.75">
      <c r="A86" s="445"/>
      <c r="B86" s="445"/>
      <c r="C86" s="207"/>
      <c r="D86" s="226"/>
      <c r="E86" s="226"/>
      <c r="F86" s="226"/>
      <c r="G86" s="226"/>
      <c r="H86" s="226"/>
      <c r="I86" s="219"/>
      <c r="J86" s="220"/>
      <c r="K86" s="220"/>
      <c r="L86" s="220"/>
      <c r="M86" s="220"/>
      <c r="N86" s="220"/>
      <c r="O86" s="220"/>
      <c r="P86" s="220"/>
      <c r="Q86" s="220"/>
      <c r="R86" s="220"/>
      <c r="S86" s="220"/>
      <c r="T86" s="220"/>
      <c r="U86" s="220"/>
      <c r="V86" s="220"/>
      <c r="W86" s="220"/>
      <c r="X86" s="220"/>
      <c r="Y86" s="220"/>
      <c r="Z86" s="220"/>
      <c r="AA86" s="220"/>
      <c r="AB86" s="220"/>
      <c r="AC86" s="220"/>
      <c r="AD86" s="221"/>
      <c r="AF86" s="171"/>
      <c r="AG86" s="172"/>
      <c r="AH86" s="173"/>
      <c r="AI86" s="174"/>
      <c r="AJ86" s="172"/>
      <c r="AK86" s="173"/>
      <c r="AL86" s="174"/>
      <c r="AM86" s="172"/>
      <c r="AN86" s="173"/>
      <c r="AO86" s="174"/>
      <c r="AP86" s="172"/>
      <c r="AQ86" s="173"/>
      <c r="AR86" s="174"/>
      <c r="AS86" s="172"/>
      <c r="AT86" s="173"/>
      <c r="AU86" s="174"/>
      <c r="AV86" s="172"/>
      <c r="AW86" s="173"/>
      <c r="AX86" s="174"/>
      <c r="AY86" s="172"/>
      <c r="AZ86" s="173"/>
    </row>
    <row r="87" spans="1:66" customHeight="1" ht="15.75">
      <c r="A87" s="445"/>
      <c r="B87" s="445"/>
      <c r="C87" s="207"/>
      <c r="D87" s="226"/>
      <c r="E87" s="226"/>
      <c r="F87" s="226"/>
      <c r="G87" s="226"/>
      <c r="H87" s="226"/>
      <c r="I87" s="219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20"/>
      <c r="X87" s="220"/>
      <c r="Y87" s="220"/>
      <c r="Z87" s="220"/>
      <c r="AA87" s="220"/>
      <c r="AB87" s="220"/>
      <c r="AC87" s="220"/>
      <c r="AD87" s="221"/>
      <c r="AF87" s="171"/>
      <c r="AG87" s="172"/>
      <c r="AH87" s="173"/>
      <c r="AI87" s="174"/>
      <c r="AJ87" s="172"/>
      <c r="AK87" s="173"/>
      <c r="AL87" s="174"/>
      <c r="AM87" s="172"/>
      <c r="AN87" s="173"/>
      <c r="AO87" s="174"/>
      <c r="AP87" s="172"/>
      <c r="AQ87" s="173"/>
      <c r="AR87" s="174"/>
      <c r="AS87" s="172"/>
      <c r="AT87" s="173"/>
      <c r="AU87" s="174"/>
      <c r="AV87" s="172"/>
      <c r="AW87" s="173"/>
      <c r="AX87" s="174"/>
      <c r="AY87" s="172"/>
      <c r="AZ87" s="173"/>
    </row>
    <row r="88" spans="1:66" customHeight="1" ht="15.75">
      <c r="A88" s="445"/>
      <c r="B88" s="445"/>
      <c r="C88" s="207"/>
      <c r="D88" s="226"/>
      <c r="E88" s="226"/>
      <c r="F88" s="226"/>
      <c r="G88" s="226"/>
      <c r="H88" s="226"/>
      <c r="I88" s="219"/>
      <c r="J88" s="220"/>
      <c r="K88" s="220"/>
      <c r="L88" s="220"/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20"/>
      <c r="X88" s="220"/>
      <c r="Y88" s="220"/>
      <c r="Z88" s="220"/>
      <c r="AA88" s="220"/>
      <c r="AB88" s="220"/>
      <c r="AC88" s="220"/>
      <c r="AD88" s="221"/>
      <c r="AF88" s="171"/>
      <c r="AG88" s="172"/>
      <c r="AH88" s="173"/>
      <c r="AI88" s="174"/>
      <c r="AJ88" s="172"/>
      <c r="AK88" s="173"/>
      <c r="AL88" s="174"/>
      <c r="AM88" s="172"/>
      <c r="AN88" s="173"/>
      <c r="AO88" s="174"/>
      <c r="AP88" s="172"/>
      <c r="AQ88" s="173"/>
      <c r="AR88" s="174"/>
      <c r="AS88" s="172"/>
      <c r="AT88" s="173"/>
      <c r="AU88" s="174"/>
      <c r="AV88" s="172"/>
      <c r="AW88" s="173"/>
      <c r="AX88" s="174"/>
      <c r="AY88" s="172"/>
      <c r="AZ88" s="173"/>
    </row>
    <row r="89" spans="1:66" customHeight="1" ht="15.75">
      <c r="A89" s="445"/>
      <c r="B89" s="445"/>
      <c r="C89" s="207"/>
      <c r="D89" s="226"/>
      <c r="E89" s="226"/>
      <c r="F89" s="226"/>
      <c r="G89" s="226"/>
      <c r="H89" s="226"/>
      <c r="I89" s="219"/>
      <c r="J89" s="220"/>
      <c r="K89" s="220"/>
      <c r="L89" s="220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20"/>
      <c r="X89" s="220"/>
      <c r="Y89" s="220"/>
      <c r="Z89" s="220"/>
      <c r="AA89" s="220"/>
      <c r="AB89" s="220"/>
      <c r="AC89" s="220"/>
      <c r="AD89" s="221"/>
      <c r="AF89" s="171"/>
      <c r="AG89" s="172"/>
      <c r="AH89" s="173"/>
      <c r="AI89" s="174"/>
      <c r="AJ89" s="172"/>
      <c r="AK89" s="173"/>
      <c r="AL89" s="174"/>
      <c r="AM89" s="172"/>
      <c r="AN89" s="173"/>
      <c r="AO89" s="174"/>
      <c r="AP89" s="172"/>
      <c r="AQ89" s="173"/>
      <c r="AR89" s="174"/>
      <c r="AS89" s="172"/>
      <c r="AT89" s="173"/>
      <c r="AU89" s="174"/>
      <c r="AV89" s="172"/>
      <c r="AW89" s="173"/>
      <c r="AX89" s="174"/>
      <c r="AY89" s="172"/>
      <c r="AZ89" s="173"/>
    </row>
    <row r="90" spans="1:66" customHeight="1" ht="15.75">
      <c r="A90" s="445"/>
      <c r="B90" s="445"/>
      <c r="C90" s="207"/>
      <c r="D90" s="226"/>
      <c r="E90" s="226"/>
      <c r="F90" s="226"/>
      <c r="G90" s="226"/>
      <c r="H90" s="226"/>
      <c r="I90" s="219"/>
      <c r="J90" s="220"/>
      <c r="K90" s="220"/>
      <c r="L90" s="220"/>
      <c r="M90" s="220"/>
      <c r="N90" s="220"/>
      <c r="O90" s="220"/>
      <c r="P90" s="220"/>
      <c r="Q90" s="220"/>
      <c r="R90" s="220"/>
      <c r="S90" s="220"/>
      <c r="T90" s="220"/>
      <c r="U90" s="220"/>
      <c r="V90" s="220"/>
      <c r="W90" s="220"/>
      <c r="X90" s="220"/>
      <c r="Y90" s="220"/>
      <c r="Z90" s="220"/>
      <c r="AA90" s="220"/>
      <c r="AB90" s="220"/>
      <c r="AC90" s="220"/>
      <c r="AD90" s="221"/>
      <c r="AF90" s="171"/>
      <c r="AG90" s="172"/>
      <c r="AH90" s="173"/>
      <c r="AI90" s="174"/>
      <c r="AJ90" s="172"/>
      <c r="AK90" s="173"/>
      <c r="AL90" s="174"/>
      <c r="AM90" s="172"/>
      <c r="AN90" s="173"/>
      <c r="AO90" s="174"/>
      <c r="AP90" s="172"/>
      <c r="AQ90" s="173"/>
      <c r="AR90" s="174"/>
      <c r="AS90" s="172"/>
      <c r="AT90" s="173"/>
      <c r="AU90" s="174"/>
      <c r="AV90" s="172"/>
      <c r="AW90" s="173"/>
      <c r="AX90" s="174"/>
      <c r="AY90" s="172"/>
      <c r="AZ90" s="173"/>
    </row>
    <row r="91" spans="1:66" customHeight="1" ht="15.75">
      <c r="A91" s="445"/>
      <c r="B91" s="445"/>
      <c r="C91" s="207"/>
      <c r="D91" s="226"/>
      <c r="E91" s="226"/>
      <c r="F91" s="226"/>
      <c r="G91" s="226"/>
      <c r="H91" s="226"/>
      <c r="I91" s="219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20"/>
      <c r="X91" s="220"/>
      <c r="Y91" s="220"/>
      <c r="Z91" s="220"/>
      <c r="AA91" s="220"/>
      <c r="AB91" s="220"/>
      <c r="AC91" s="220"/>
      <c r="AD91" s="221"/>
      <c r="AF91" s="171"/>
      <c r="AG91" s="172"/>
      <c r="AH91" s="173"/>
      <c r="AI91" s="174"/>
      <c r="AJ91" s="172"/>
      <c r="AK91" s="173"/>
      <c r="AL91" s="174"/>
      <c r="AM91" s="172"/>
      <c r="AN91" s="173"/>
      <c r="AO91" s="174"/>
      <c r="AP91" s="172"/>
      <c r="AQ91" s="173"/>
      <c r="AR91" s="174"/>
      <c r="AS91" s="172"/>
      <c r="AT91" s="173"/>
      <c r="AU91" s="174"/>
      <c r="AV91" s="172"/>
      <c r="AW91" s="173"/>
      <c r="AX91" s="174"/>
      <c r="AY91" s="172"/>
      <c r="AZ91" s="173"/>
    </row>
    <row r="92" spans="1:66" customHeight="1" ht="15.75">
      <c r="A92" s="445"/>
      <c r="B92" s="445"/>
      <c r="C92" s="207"/>
      <c r="D92" s="226"/>
      <c r="E92" s="226"/>
      <c r="F92" s="226"/>
      <c r="G92" s="226"/>
      <c r="H92" s="226"/>
      <c r="I92" s="219"/>
      <c r="J92" s="220"/>
      <c r="K92" s="220"/>
      <c r="L92" s="220"/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20"/>
      <c r="X92" s="220"/>
      <c r="Y92" s="220"/>
      <c r="Z92" s="220"/>
      <c r="AA92" s="220"/>
      <c r="AB92" s="220"/>
      <c r="AC92" s="220"/>
      <c r="AD92" s="221"/>
      <c r="AF92" s="171"/>
      <c r="AG92" s="172"/>
      <c r="AH92" s="173"/>
      <c r="AI92" s="174"/>
      <c r="AJ92" s="172"/>
      <c r="AK92" s="173"/>
      <c r="AL92" s="174"/>
      <c r="AM92" s="172"/>
      <c r="AN92" s="173"/>
      <c r="AO92" s="174"/>
      <c r="AP92" s="172"/>
      <c r="AQ92" s="173"/>
      <c r="AR92" s="174"/>
      <c r="AS92" s="172"/>
      <c r="AT92" s="173"/>
      <c r="AU92" s="174"/>
      <c r="AV92" s="172"/>
      <c r="AW92" s="173"/>
      <c r="AX92" s="174"/>
      <c r="AY92" s="172"/>
      <c r="AZ92" s="173"/>
    </row>
    <row r="93" spans="1:66" customHeight="1" ht="15.75">
      <c r="A93" s="445"/>
      <c r="B93" s="445"/>
      <c r="C93" s="207"/>
      <c r="D93" s="226"/>
      <c r="E93" s="226"/>
      <c r="F93" s="226"/>
      <c r="G93" s="226"/>
      <c r="H93" s="226"/>
      <c r="I93" s="219"/>
      <c r="J93" s="220"/>
      <c r="K93" s="220"/>
      <c r="L93" s="220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20"/>
      <c r="X93" s="220"/>
      <c r="Y93" s="220"/>
      <c r="Z93" s="220"/>
      <c r="AA93" s="220"/>
      <c r="AB93" s="220"/>
      <c r="AC93" s="220"/>
      <c r="AD93" s="221"/>
      <c r="AF93" s="171"/>
      <c r="AG93" s="172"/>
      <c r="AH93" s="173"/>
      <c r="AI93" s="174"/>
      <c r="AJ93" s="172"/>
      <c r="AK93" s="173"/>
      <c r="AL93" s="174"/>
      <c r="AM93" s="172"/>
      <c r="AN93" s="173"/>
      <c r="AO93" s="174"/>
      <c r="AP93" s="172"/>
      <c r="AQ93" s="173"/>
      <c r="AR93" s="174"/>
      <c r="AS93" s="172"/>
      <c r="AT93" s="173"/>
      <c r="AU93" s="174"/>
      <c r="AV93" s="172"/>
      <c r="AW93" s="173"/>
      <c r="AX93" s="174"/>
      <c r="AY93" s="172"/>
      <c r="AZ93" s="173"/>
    </row>
    <row r="94" spans="1:66" customHeight="1" ht="15.75">
      <c r="A94" s="445"/>
      <c r="B94" s="445"/>
      <c r="C94" s="207"/>
      <c r="D94" s="226"/>
      <c r="E94" s="226"/>
      <c r="F94" s="226"/>
      <c r="G94" s="226"/>
      <c r="H94" s="226"/>
      <c r="I94" s="219"/>
      <c r="J94" s="220"/>
      <c r="K94" s="220"/>
      <c r="L94" s="220"/>
      <c r="M94" s="220"/>
      <c r="N94" s="220"/>
      <c r="O94" s="220"/>
      <c r="P94" s="220"/>
      <c r="Q94" s="220"/>
      <c r="R94" s="220"/>
      <c r="S94" s="220"/>
      <c r="T94" s="220"/>
      <c r="U94" s="220"/>
      <c r="V94" s="220"/>
      <c r="W94" s="220"/>
      <c r="X94" s="220"/>
      <c r="Y94" s="220"/>
      <c r="Z94" s="220"/>
      <c r="AA94" s="220"/>
      <c r="AB94" s="220"/>
      <c r="AC94" s="220"/>
      <c r="AD94" s="221"/>
      <c r="AF94" s="171"/>
      <c r="AG94" s="172"/>
      <c r="AH94" s="173"/>
      <c r="AI94" s="174"/>
      <c r="AJ94" s="172"/>
      <c r="AK94" s="173"/>
      <c r="AL94" s="174"/>
      <c r="AM94" s="172"/>
      <c r="AN94" s="173"/>
      <c r="AO94" s="174"/>
      <c r="AP94" s="172"/>
      <c r="AQ94" s="173"/>
      <c r="AR94" s="174"/>
      <c r="AS94" s="172"/>
      <c r="AT94" s="173"/>
      <c r="AU94" s="174"/>
      <c r="AV94" s="172"/>
      <c r="AW94" s="173"/>
      <c r="AX94" s="174"/>
      <c r="AY94" s="172"/>
      <c r="AZ94" s="173"/>
    </row>
    <row r="95" spans="1:66" customHeight="1" ht="15.75">
      <c r="A95" s="445"/>
      <c r="B95" s="445"/>
      <c r="C95" s="207"/>
      <c r="D95" s="226"/>
      <c r="E95" s="226"/>
      <c r="F95" s="226"/>
      <c r="G95" s="226"/>
      <c r="H95" s="226"/>
      <c r="I95" s="219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20"/>
      <c r="X95" s="220"/>
      <c r="Y95" s="220"/>
      <c r="Z95" s="220"/>
      <c r="AA95" s="220"/>
      <c r="AB95" s="220"/>
      <c r="AC95" s="220"/>
      <c r="AD95" s="221"/>
      <c r="AF95" s="171"/>
      <c r="AG95" s="172"/>
      <c r="AH95" s="173"/>
      <c r="AI95" s="174"/>
      <c r="AJ95" s="172"/>
      <c r="AK95" s="173"/>
      <c r="AL95" s="174"/>
      <c r="AM95" s="172"/>
      <c r="AN95" s="173"/>
      <c r="AO95" s="174"/>
      <c r="AP95" s="172"/>
      <c r="AQ95" s="173"/>
      <c r="AR95" s="174"/>
      <c r="AS95" s="172"/>
      <c r="AT95" s="173"/>
      <c r="AU95" s="174"/>
      <c r="AV95" s="172"/>
      <c r="AW95" s="173"/>
      <c r="AX95" s="174"/>
      <c r="AY95" s="172"/>
      <c r="AZ95" s="173"/>
    </row>
    <row r="96" spans="1:66" customHeight="1" ht="15.75">
      <c r="A96" s="445"/>
      <c r="B96" s="445"/>
      <c r="C96" s="207"/>
      <c r="D96" s="227"/>
      <c r="E96" s="227"/>
      <c r="F96" s="227"/>
      <c r="G96" s="227"/>
      <c r="H96" s="227"/>
      <c r="I96" s="222"/>
      <c r="J96" s="223"/>
      <c r="K96" s="223"/>
      <c r="L96" s="223"/>
      <c r="M96" s="223"/>
      <c r="N96" s="223"/>
      <c r="O96" s="223"/>
      <c r="P96" s="223"/>
      <c r="Q96" s="223"/>
      <c r="R96" s="223"/>
      <c r="S96" s="223"/>
      <c r="T96" s="223"/>
      <c r="U96" s="223"/>
      <c r="V96" s="223"/>
      <c r="W96" s="223"/>
      <c r="X96" s="223"/>
      <c r="Y96" s="223"/>
      <c r="Z96" s="223"/>
      <c r="AA96" s="223"/>
      <c r="AB96" s="223"/>
      <c r="AC96" s="223"/>
      <c r="AD96" s="224"/>
      <c r="AF96" s="171"/>
      <c r="AG96" s="172"/>
      <c r="AH96" s="173"/>
      <c r="AI96" s="174"/>
      <c r="AJ96" s="172"/>
      <c r="AK96" s="173"/>
      <c r="AL96" s="174"/>
      <c r="AM96" s="172"/>
      <c r="AN96" s="173"/>
      <c r="AO96" s="174"/>
      <c r="AP96" s="172"/>
      <c r="AQ96" s="173"/>
      <c r="AR96" s="174"/>
      <c r="AS96" s="172"/>
      <c r="AT96" s="173"/>
      <c r="AU96" s="174"/>
      <c r="AV96" s="172"/>
      <c r="AW96" s="173"/>
      <c r="AX96" s="174"/>
      <c r="AY96" s="172"/>
      <c r="AZ96" s="173"/>
    </row>
    <row r="97" spans="1:66" customHeight="1" ht="15.75">
      <c r="A97" s="445"/>
      <c r="B97" s="555"/>
      <c r="C97" s="559" t="s">
        <v>152</v>
      </c>
      <c r="D97" s="560"/>
      <c r="E97" s="560"/>
      <c r="F97" s="560"/>
      <c r="G97" s="560"/>
      <c r="H97" s="561"/>
      <c r="I97" s="212">
        <f>SUM(I83:I96)</f>
        <v>0</v>
      </c>
      <c r="J97" s="213">
        <f>SUM(J83:J96)</f>
        <v>0</v>
      </c>
      <c r="K97" s="213">
        <f>SUM(K83:K96)</f>
        <v>0</v>
      </c>
      <c r="L97" s="213">
        <f>SUM(L83:L96)</f>
        <v>0</v>
      </c>
      <c r="M97" s="213">
        <f>SUM(M83:M96)</f>
        <v>0</v>
      </c>
      <c r="N97" s="213">
        <f>SUM(N83:N96)</f>
        <v>0</v>
      </c>
      <c r="O97" s="213">
        <f>SUM(O83:O96)</f>
        <v>0</v>
      </c>
      <c r="P97" s="213">
        <f>SUM(P83:P96)</f>
        <v>0</v>
      </c>
      <c r="Q97" s="213">
        <f>SUM(Q83:Q96)</f>
        <v>0</v>
      </c>
      <c r="R97" s="213">
        <f>SUM(R83:R96)</f>
        <v>0</v>
      </c>
      <c r="S97" s="213">
        <f>SUM(S83:S96)</f>
        <v>0</v>
      </c>
      <c r="T97" s="213">
        <f>SUM(T83:T96)</f>
        <v>0</v>
      </c>
      <c r="U97" s="213">
        <f>SUM(U83:U96)</f>
        <v>0</v>
      </c>
      <c r="V97" s="213">
        <f>SUM(V83:V96)</f>
        <v>0</v>
      </c>
      <c r="W97" s="213">
        <f>SUM(W83:W96)</f>
        <v>0</v>
      </c>
      <c r="X97" s="213">
        <f>SUM(X83:X96)</f>
        <v>0</v>
      </c>
      <c r="Y97" s="213">
        <f>SUM(Y83:Y96)</f>
        <v>0</v>
      </c>
      <c r="Z97" s="213">
        <f>SUM(Z83:Z96)</f>
        <v>0</v>
      </c>
      <c r="AA97" s="213">
        <f>SUM(AA83:AA96)</f>
        <v>0</v>
      </c>
      <c r="AB97" s="213">
        <f>SUM(AB83:AB96)</f>
        <v>0</v>
      </c>
      <c r="AC97" s="213">
        <f>SUM(AC83:AC96)</f>
        <v>0</v>
      </c>
      <c r="AD97" s="214">
        <f>SUM(AD83:AD96)</f>
        <v>0</v>
      </c>
      <c r="AF97" s="171"/>
      <c r="AG97" s="172"/>
      <c r="AH97" s="173"/>
      <c r="AI97" s="174"/>
      <c r="AJ97" s="172"/>
      <c r="AK97" s="173"/>
      <c r="AL97" s="174"/>
      <c r="AM97" s="172"/>
      <c r="AN97" s="173"/>
      <c r="AO97" s="174"/>
      <c r="AP97" s="172"/>
      <c r="AQ97" s="173"/>
      <c r="AR97" s="174"/>
      <c r="AS97" s="172"/>
      <c r="AT97" s="173"/>
      <c r="AU97" s="174"/>
      <c r="AV97" s="172"/>
      <c r="AW97" s="173"/>
      <c r="AX97" s="174"/>
      <c r="AY97" s="172"/>
      <c r="AZ97" s="173"/>
    </row>
    <row r="98" spans="1:66" customHeight="1" ht="15.75">
      <c r="A98" s="445"/>
      <c r="B98" s="520" t="s">
        <v>154</v>
      </c>
      <c r="C98" s="208"/>
      <c r="D98" s="227">
        <f>D40</f>
        <v/>
      </c>
      <c r="E98" s="227">
        <f>E40</f>
        <v/>
      </c>
      <c r="F98" s="227">
        <f>F40</f>
        <v/>
      </c>
      <c r="G98" s="227">
        <f>G40</f>
        <v/>
      </c>
      <c r="H98" s="227">
        <f>H40</f>
        <v/>
      </c>
      <c r="I98" s="222"/>
      <c r="J98" s="223"/>
      <c r="K98" s="223">
        <f>IF(I98&gt;J98,0,J98-I98)</f>
        <v>0</v>
      </c>
      <c r="L98" s="223"/>
      <c r="M98" s="223"/>
      <c r="N98" s="223">
        <f>IF(L98&gt;M98,0,M98-L98)</f>
        <v>0</v>
      </c>
      <c r="O98" s="223"/>
      <c r="P98" s="223"/>
      <c r="Q98" s="223">
        <f>IF(O98&gt;P98,0,P98-O98)</f>
        <v>0</v>
      </c>
      <c r="R98" s="223"/>
      <c r="S98" s="223"/>
      <c r="T98" s="223">
        <f>IF(R98&gt;S98,0,S98-R98)</f>
        <v>0</v>
      </c>
      <c r="U98" s="223"/>
      <c r="V98" s="223"/>
      <c r="W98" s="223">
        <f>IF(U98&gt;V98,0,V98-U98)</f>
        <v>0</v>
      </c>
      <c r="X98" s="223"/>
      <c r="Y98" s="223"/>
      <c r="Z98" s="223">
        <f>IF(X98&gt;Y98,0,Y98-X98)</f>
        <v>0</v>
      </c>
      <c r="AA98" s="223"/>
      <c r="AB98" s="223"/>
      <c r="AC98" s="223">
        <f>IF(AA98&gt;AB98,0,AB98-AA98)</f>
        <v>0</v>
      </c>
      <c r="AD98" s="224">
        <f>AA98+AC98-AB98</f>
        <v>0</v>
      </c>
      <c r="AF98" s="171"/>
      <c r="AG98" s="172"/>
      <c r="AH98" s="173"/>
      <c r="AI98" s="174"/>
      <c r="AJ98" s="172"/>
      <c r="AK98" s="173"/>
      <c r="AL98" s="174"/>
      <c r="AM98" s="172"/>
      <c r="AN98" s="173"/>
      <c r="AO98" s="174"/>
      <c r="AP98" s="172"/>
      <c r="AQ98" s="173"/>
      <c r="AR98" s="174"/>
      <c r="AS98" s="172"/>
      <c r="AT98" s="173"/>
      <c r="AU98" s="174"/>
      <c r="AV98" s="172"/>
      <c r="AW98" s="173"/>
      <c r="AX98" s="174"/>
      <c r="AY98" s="172"/>
      <c r="AZ98" s="173"/>
    </row>
    <row r="99" spans="1:66" customHeight="1" ht="15.75">
      <c r="A99" s="555"/>
      <c r="B99" s="555"/>
      <c r="C99" s="559" t="s">
        <v>152</v>
      </c>
      <c r="D99" s="560"/>
      <c r="E99" s="560"/>
      <c r="F99" s="560"/>
      <c r="G99" s="560"/>
      <c r="H99" s="561"/>
      <c r="I99" s="228">
        <f>SUM(I98)</f>
        <v>0</v>
      </c>
      <c r="J99" s="229">
        <f>SUM(J98)</f>
        <v>0</v>
      </c>
      <c r="K99" s="229">
        <f>SUM(K98)</f>
        <v>0</v>
      </c>
      <c r="L99" s="229">
        <f>SUM(L98)</f>
        <v>0</v>
      </c>
      <c r="M99" s="229">
        <f>SUM(M98)</f>
        <v>0</v>
      </c>
      <c r="N99" s="229">
        <f>SUM(N98)</f>
        <v>0</v>
      </c>
      <c r="O99" s="229">
        <f>SUM(O98)</f>
        <v>0</v>
      </c>
      <c r="P99" s="229">
        <f>SUM(P98)</f>
        <v>0</v>
      </c>
      <c r="Q99" s="229">
        <f>SUM(Q98)</f>
        <v>0</v>
      </c>
      <c r="R99" s="229">
        <f>SUM(R98)</f>
        <v>0</v>
      </c>
      <c r="S99" s="229">
        <f>SUM(S98)</f>
        <v>0</v>
      </c>
      <c r="T99" s="229">
        <f>SUM(T98)</f>
        <v>0</v>
      </c>
      <c r="U99" s="229">
        <f>SUM(U98)</f>
        <v>0</v>
      </c>
      <c r="V99" s="229">
        <f>SUM(V98)</f>
        <v>0</v>
      </c>
      <c r="W99" s="229">
        <f>SUM(W98)</f>
        <v>0</v>
      </c>
      <c r="X99" s="229">
        <f>SUM(X98)</f>
        <v>0</v>
      </c>
      <c r="Y99" s="229">
        <f>SUM(Y98)</f>
        <v>0</v>
      </c>
      <c r="Z99" s="229">
        <f>SUM(Z98)</f>
        <v>0</v>
      </c>
      <c r="AA99" s="229">
        <f>SUM(AA98)</f>
        <v>0</v>
      </c>
      <c r="AB99" s="229">
        <f>SUM(AB98)</f>
        <v>0</v>
      </c>
      <c r="AC99" s="229">
        <f>SUM(AC98)</f>
        <v>0</v>
      </c>
      <c r="AD99" s="230">
        <f>SUM(AD98)</f>
        <v>0</v>
      </c>
      <c r="AF99" s="171"/>
      <c r="AG99" s="172"/>
      <c r="AH99" s="173"/>
      <c r="AI99" s="174"/>
      <c r="AJ99" s="172"/>
      <c r="AK99" s="173"/>
      <c r="AL99" s="174"/>
      <c r="AM99" s="172"/>
      <c r="AN99" s="173"/>
      <c r="AO99" s="174"/>
      <c r="AP99" s="172"/>
      <c r="AQ99" s="173"/>
      <c r="AR99" s="174"/>
      <c r="AS99" s="172"/>
      <c r="AT99" s="173"/>
      <c r="AU99" s="174"/>
      <c r="AV99" s="172"/>
      <c r="AW99" s="173"/>
      <c r="AX99" s="174"/>
      <c r="AY99" s="172"/>
      <c r="AZ99" s="173"/>
    </row>
    <row r="100" spans="1:66" customHeight="1" ht="15.75">
      <c r="A100" s="67"/>
      <c r="B100" s="67"/>
      <c r="C100" s="526" t="s">
        <v>133</v>
      </c>
      <c r="D100" s="527"/>
      <c r="E100" s="527"/>
      <c r="F100" s="527"/>
      <c r="G100" s="527"/>
      <c r="H100" s="528"/>
      <c r="I100" s="192" t="e">
        <f>I66+I75+I78+I80+I82</f>
        <v>#REF!</v>
      </c>
      <c r="J100" s="191" t="e">
        <f>J66+J75+J78+J80+J82</f>
        <v>#REF!</v>
      </c>
      <c r="K100" s="91" t="e">
        <f>K66+K75+K78+K80+K82</f>
        <v>#REF!</v>
      </c>
      <c r="L100" s="190" t="e">
        <f>L66+L75+L78+L80+L82</f>
        <v>#REF!</v>
      </c>
      <c r="M100" s="191" t="e">
        <f>M66+M75+M78+M80+M82</f>
        <v>#REF!</v>
      </c>
      <c r="N100" s="91" t="e">
        <f>N66+N75+N78+N80+N82</f>
        <v>#REF!</v>
      </c>
      <c r="O100" s="190" t="e">
        <f>O66+O75+O78+O80+O82</f>
        <v>#REF!</v>
      </c>
      <c r="P100" s="191" t="e">
        <f>P66+P75+P78+P80+P82</f>
        <v>#REF!</v>
      </c>
      <c r="Q100" s="91" t="e">
        <f>Q66+Q75+Q78+Q80+Q82</f>
        <v>#REF!</v>
      </c>
      <c r="R100" s="190" t="e">
        <f>R66+R75+R78+R80+R82</f>
        <v>#REF!</v>
      </c>
      <c r="S100" s="191" t="e">
        <f>S66+S75+S78+S80+S82</f>
        <v>#REF!</v>
      </c>
      <c r="T100" s="92" t="e">
        <f>T66+T75+T78+T80+T82</f>
        <v>#REF!</v>
      </c>
      <c r="U100" s="190" t="e">
        <f>U66+U75+U78+U80+U82</f>
        <v>#REF!</v>
      </c>
      <c r="V100" s="191" t="e">
        <f>V66+V75+V78+V80+V82</f>
        <v>#REF!</v>
      </c>
      <c r="W100" s="91" t="e">
        <f>W66+W75+W78+W80+W82</f>
        <v>#REF!</v>
      </c>
      <c r="X100" s="190" t="e">
        <f>X66+X75+X78+X80+X82</f>
        <v>#REF!</v>
      </c>
      <c r="Y100" s="191" t="e">
        <f>Y66+Y75+Y78+Y80+Y82</f>
        <v>#REF!</v>
      </c>
      <c r="Z100" s="91" t="e">
        <f>Z66+Z75+Z78+Z80+Z82</f>
        <v>#REF!</v>
      </c>
      <c r="AA100" s="190" t="e">
        <f>AA66+AA75+AA78+AA80+AA82</f>
        <v>#REF!</v>
      </c>
      <c r="AB100" s="191" t="e">
        <f>AB66+AB75+AB78+AB80+AB82</f>
        <v>#REF!</v>
      </c>
      <c r="AC100" s="91" t="e">
        <f>AC66+AC75+AC78+AC80+AC82</f>
        <v>#REF!</v>
      </c>
      <c r="AD100" s="93" t="e">
        <f>AD66+AD75+AD78+AD80+AD82</f>
        <v>#REF!</v>
      </c>
      <c r="AE100" s="12"/>
    </row>
    <row r="101" spans="1:66" customHeight="1" ht="15.75">
      <c r="A101" s="31"/>
      <c r="B101" s="31"/>
      <c r="C101" s="79" t="s">
        <v>121</v>
      </c>
      <c r="D101" s="80"/>
      <c r="E101" s="80"/>
      <c r="F101" s="80"/>
      <c r="G101" s="80"/>
      <c r="H101" s="80"/>
      <c r="I101" s="463" t="str">
        <f>I57</f>
        <v>FEB</v>
      </c>
      <c r="J101" s="463"/>
      <c r="K101" s="464"/>
      <c r="L101" s="463" t="str">
        <f>L57</f>
        <v>MAR</v>
      </c>
      <c r="M101" s="463"/>
      <c r="N101" s="463"/>
      <c r="O101" s="503" t="str">
        <f>O57</f>
        <v>APR</v>
      </c>
      <c r="P101" s="463"/>
      <c r="Q101" s="464"/>
      <c r="R101" s="463" t="str">
        <f>R57</f>
        <v>MAY</v>
      </c>
      <c r="S101" s="463"/>
      <c r="T101" s="463"/>
      <c r="U101" s="503" t="str">
        <f>U57</f>
        <v>JUN</v>
      </c>
      <c r="V101" s="463"/>
      <c r="W101" s="464"/>
      <c r="X101" s="463" t="str">
        <f>X57</f>
        <v>JUL</v>
      </c>
      <c r="Y101" s="463"/>
      <c r="Z101" s="463"/>
      <c r="AA101" s="503" t="str">
        <f>AA57</f>
        <v>AUG</v>
      </c>
      <c r="AB101" s="463"/>
      <c r="AC101" s="463"/>
      <c r="AD101" s="32"/>
      <c r="AE101" s="12"/>
      <c r="AF101" s="32"/>
    </row>
    <row r="102" spans="1:66" customHeight="1" ht="15.75">
      <c r="A102" s="31"/>
      <c r="B102" s="31"/>
      <c r="C102" s="77" t="s">
        <v>122</v>
      </c>
      <c r="D102" s="78"/>
      <c r="E102" s="78"/>
      <c r="F102" s="78"/>
      <c r="G102" s="78"/>
      <c r="H102" s="78"/>
      <c r="I102" s="471">
        <f>I51</f>
        <v>20</v>
      </c>
      <c r="J102" s="472"/>
      <c r="K102" s="472"/>
      <c r="L102" s="471">
        <f>L51</f>
        <v>23</v>
      </c>
      <c r="M102" s="472"/>
      <c r="N102" s="473"/>
      <c r="O102" s="472">
        <f>O51</f>
        <v>17</v>
      </c>
      <c r="P102" s="472"/>
      <c r="Q102" s="472"/>
      <c r="R102" s="471">
        <f>R51</f>
        <v>21</v>
      </c>
      <c r="S102" s="472"/>
      <c r="T102" s="473"/>
      <c r="U102" s="472">
        <f>U51</f>
        <v>21</v>
      </c>
      <c r="V102" s="472"/>
      <c r="W102" s="472"/>
      <c r="X102" s="506">
        <f>X51</f>
        <v>20</v>
      </c>
      <c r="Y102" s="506"/>
      <c r="Z102" s="506"/>
      <c r="AA102" s="473">
        <f>AA51</f>
        <v>20</v>
      </c>
      <c r="AB102" s="506"/>
      <c r="AC102" s="506"/>
      <c r="AD102" s="32"/>
      <c r="AE102" s="12"/>
    </row>
    <row r="103" spans="1:66" customHeight="1" ht="21" s="193" customFormat="1">
      <c r="A103" s="197"/>
      <c r="B103" s="197"/>
      <c r="C103" s="194" t="s">
        <v>136</v>
      </c>
      <c r="D103" s="194"/>
      <c r="E103" s="194"/>
      <c r="F103" s="194"/>
      <c r="G103" s="194"/>
      <c r="H103" s="198"/>
      <c r="I103" s="196" t="e">
        <f>+I15+I24+I27</f>
        <v>#REF!</v>
      </c>
      <c r="J103" s="196" t="e">
        <f>+J15+J24+J27</f>
        <v>#REF!</v>
      </c>
      <c r="K103" s="196" t="e">
        <f>+K15+K24+K27</f>
        <v>#REF!</v>
      </c>
      <c r="L103" s="200" t="e">
        <f>+L15+L24+L27</f>
        <v>#REF!</v>
      </c>
      <c r="M103" s="200" t="e">
        <f>+M15+M24+M27</f>
        <v>#REF!</v>
      </c>
      <c r="N103" s="200" t="e">
        <f>+N15+N24+N27</f>
        <v>#REF!</v>
      </c>
      <c r="O103" s="200" t="e">
        <f>+O15+O24+O27</f>
        <v>#REF!</v>
      </c>
      <c r="P103" s="200" t="e">
        <f>+P15+P24+P27</f>
        <v>#REF!</v>
      </c>
      <c r="Q103" s="200" t="e">
        <f>+Q15+Q24+Q27</f>
        <v>#REF!</v>
      </c>
      <c r="R103" s="200" t="e">
        <f>+R15+R24+R27</f>
        <v>#REF!</v>
      </c>
      <c r="S103" s="196" t="e">
        <f>+S15+S24+S27</f>
        <v>#REF!</v>
      </c>
      <c r="T103" s="196" t="e">
        <f>+T15+T24+T27</f>
        <v>#REF!</v>
      </c>
      <c r="U103" s="196" t="e">
        <f>+U15+U24+U27</f>
        <v>#REF!</v>
      </c>
      <c r="V103" s="196" t="e">
        <f>+V15+V24+V27</f>
        <v>#REF!</v>
      </c>
      <c r="W103" s="196" t="e">
        <f>+W15+W24+W27</f>
        <v>#REF!</v>
      </c>
      <c r="X103" s="196" t="e">
        <f>+X15+X24+X27</f>
        <v>#REF!</v>
      </c>
      <c r="Y103" s="196" t="e">
        <f>+Y15+Y24+Y27</f>
        <v>#REF!</v>
      </c>
      <c r="Z103" s="196" t="e">
        <f>+Z15+Z24+Z27</f>
        <v>#REF!</v>
      </c>
      <c r="AA103" s="200" t="e">
        <f>+AA15+AA24+AA27</f>
        <v>#REF!</v>
      </c>
      <c r="AB103" s="200" t="e">
        <f>+AB15+AB24+AB27</f>
        <v>#REF!</v>
      </c>
      <c r="AC103" s="196" t="e">
        <f>+AC15+AC24+AC27</f>
        <v>#REF!</v>
      </c>
      <c r="AD103" s="196" t="e">
        <f>+AD15+AD24+AD27</f>
        <v>#REF!</v>
      </c>
      <c r="AE103" s="195"/>
    </row>
    <row r="104" spans="1:66" customHeight="1" ht="21" s="193" customFormat="1">
      <c r="C104" s="193" t="s">
        <v>137</v>
      </c>
      <c r="I104" s="196" t="e">
        <f>+I66+I75+I78</f>
        <v>#REF!</v>
      </c>
      <c r="J104" s="196" t="e">
        <f>+J66+J75+J78</f>
        <v>#REF!</v>
      </c>
      <c r="K104" s="196" t="e">
        <f>+K66+K75+K78</f>
        <v>#REF!</v>
      </c>
      <c r="L104" s="196" t="e">
        <f>+L66+L75+L78</f>
        <v>#REF!</v>
      </c>
      <c r="M104" s="196" t="e">
        <f>+M66+M75+M78</f>
        <v>#REF!</v>
      </c>
      <c r="N104" s="196" t="e">
        <f>+N66+N75+N78</f>
        <v>#REF!</v>
      </c>
      <c r="O104" s="196" t="e">
        <f>+O66+O75+O78</f>
        <v>#REF!</v>
      </c>
      <c r="P104" s="196" t="e">
        <f>+P66+P75+P78</f>
        <v>#REF!</v>
      </c>
      <c r="Q104" s="196" t="e">
        <f>+Q66+Q75+Q78</f>
        <v>#REF!</v>
      </c>
      <c r="R104" s="196" t="e">
        <f>+R66+R75+R78</f>
        <v>#REF!</v>
      </c>
      <c r="S104" s="196" t="e">
        <f>+S66+S75+S78</f>
        <v>#REF!</v>
      </c>
      <c r="T104" s="196" t="e">
        <f>+T66+T75+T78</f>
        <v>#REF!</v>
      </c>
      <c r="U104" s="196" t="e">
        <f>+U66+U75+U78</f>
        <v>#REF!</v>
      </c>
      <c r="V104" s="196" t="e">
        <f>+V66+V75+V78</f>
        <v>#REF!</v>
      </c>
      <c r="W104" s="196" t="e">
        <f>+W66+W75+W78</f>
        <v>#REF!</v>
      </c>
      <c r="X104" s="196" t="e">
        <f>+X66+X75+X78</f>
        <v>#REF!</v>
      </c>
      <c r="Y104" s="196" t="e">
        <f>+Y66+Y75+Y78</f>
        <v>#REF!</v>
      </c>
      <c r="Z104" s="196" t="e">
        <f>+Z66+Z75+Z78</f>
        <v>#REF!</v>
      </c>
      <c r="AA104" s="196" t="e">
        <f>+AA66+AA75+AA78</f>
        <v>#REF!</v>
      </c>
      <c r="AB104" s="196" t="e">
        <f>+AB66+AB75+AB78</f>
        <v>#REF!</v>
      </c>
      <c r="AC104" s="196" t="e">
        <f>+AC66+AC75+AC78</f>
        <v>#REF!</v>
      </c>
      <c r="AD104" s="196" t="e">
        <f>+AD66+AD75+AD78</f>
        <v>#REF!</v>
      </c>
      <c r="AE104" s="195"/>
    </row>
    <row r="105" spans="1:66" customHeight="1" ht="21" s="193" customFormat="1">
      <c r="C105" s="193" t="s">
        <v>138</v>
      </c>
      <c r="I105" s="196" t="e">
        <f>+I29</f>
        <v>#REF!</v>
      </c>
      <c r="J105" s="196" t="e">
        <f>+J29</f>
        <v>#REF!</v>
      </c>
      <c r="K105" s="196" t="e">
        <f>+K29</f>
        <v>#REF!</v>
      </c>
      <c r="L105" s="196" t="e">
        <f>+L29</f>
        <v>#REF!</v>
      </c>
      <c r="M105" s="196" t="e">
        <f>+M29</f>
        <v>#REF!</v>
      </c>
      <c r="N105" s="196" t="e">
        <f>+N29</f>
        <v>#REF!</v>
      </c>
      <c r="O105" s="196" t="e">
        <f>+O29</f>
        <v>#REF!</v>
      </c>
      <c r="P105" s="196" t="e">
        <f>+P29</f>
        <v>#REF!</v>
      </c>
      <c r="Q105" s="196" t="e">
        <f>+Q29</f>
        <v>#REF!</v>
      </c>
      <c r="R105" s="196" t="e">
        <f>+R29</f>
        <v>#REF!</v>
      </c>
      <c r="S105" s="196" t="e">
        <f>+S29</f>
        <v>#REF!</v>
      </c>
      <c r="T105" s="196" t="e">
        <f>+T29</f>
        <v>#REF!</v>
      </c>
      <c r="U105" s="196" t="e">
        <f>+U29</f>
        <v>#REF!</v>
      </c>
      <c r="V105" s="196" t="e">
        <f>+V29</f>
        <v>#REF!</v>
      </c>
      <c r="W105" s="196" t="e">
        <f>+W29</f>
        <v>#REF!</v>
      </c>
      <c r="X105" s="196" t="e">
        <f>+X29</f>
        <v>#REF!</v>
      </c>
      <c r="Y105" s="196" t="e">
        <f>+Y29</f>
        <v>#REF!</v>
      </c>
      <c r="Z105" s="196" t="e">
        <f>+Z29</f>
        <v>#REF!</v>
      </c>
      <c r="AA105" s="196" t="e">
        <f>+AA29</f>
        <v>#REF!</v>
      </c>
      <c r="AB105" s="196" t="e">
        <f>+AB29</f>
        <v>#REF!</v>
      </c>
      <c r="AC105" s="196" t="e">
        <f>+AC29</f>
        <v>#REF!</v>
      </c>
      <c r="AD105" s="196" t="e">
        <f>+AD29</f>
        <v>#REF!</v>
      </c>
      <c r="AE105" s="195"/>
    </row>
    <row r="106" spans="1:66" customHeight="1" ht="21" s="193" customFormat="1">
      <c r="C106" s="193" t="s">
        <v>139</v>
      </c>
      <c r="I106" s="196" t="e">
        <f>+I80</f>
        <v>#REF!</v>
      </c>
      <c r="J106" s="196" t="e">
        <f>+J80</f>
        <v>#REF!</v>
      </c>
      <c r="K106" s="196" t="e">
        <f>+K80</f>
        <v>#REF!</v>
      </c>
      <c r="L106" s="196" t="e">
        <f>+L80</f>
        <v>#REF!</v>
      </c>
      <c r="M106" s="196" t="e">
        <f>+M80</f>
        <v>#REF!</v>
      </c>
      <c r="N106" s="196" t="e">
        <f>+N80</f>
        <v>#REF!</v>
      </c>
      <c r="O106" s="196" t="e">
        <f>+O80</f>
        <v>#REF!</v>
      </c>
      <c r="P106" s="196" t="e">
        <f>+P80</f>
        <v>#REF!</v>
      </c>
      <c r="Q106" s="196" t="e">
        <f>+Q80</f>
        <v>#REF!</v>
      </c>
      <c r="R106" s="196" t="e">
        <f>+R80</f>
        <v>#REF!</v>
      </c>
      <c r="S106" s="196" t="e">
        <f>+S80</f>
        <v>#REF!</v>
      </c>
      <c r="T106" s="196" t="e">
        <f>+T80</f>
        <v>#REF!</v>
      </c>
      <c r="U106" s="196" t="e">
        <f>+U80</f>
        <v>#REF!</v>
      </c>
      <c r="V106" s="196" t="e">
        <f>+V80</f>
        <v>#REF!</v>
      </c>
      <c r="W106" s="196" t="e">
        <f>+W80</f>
        <v>#REF!</v>
      </c>
      <c r="X106" s="196" t="e">
        <f>+X80</f>
        <v>#REF!</v>
      </c>
      <c r="Y106" s="196" t="e">
        <f>+Y80</f>
        <v>#REF!</v>
      </c>
      <c r="Z106" s="196" t="e">
        <f>+Z80</f>
        <v>#REF!</v>
      </c>
      <c r="AA106" s="196" t="e">
        <f>+AA80</f>
        <v>#REF!</v>
      </c>
      <c r="AB106" s="196" t="e">
        <f>+AB80</f>
        <v>#REF!</v>
      </c>
      <c r="AC106" s="196" t="e">
        <f>+AC80</f>
        <v>#REF!</v>
      </c>
      <c r="AD106" s="196" t="e">
        <f>+AD80</f>
        <v>#REF!</v>
      </c>
      <c r="AE106" s="195"/>
    </row>
    <row r="107" spans="1:66" customHeight="1" ht="21" s="12" customFormat="1">
      <c r="A107" s="7"/>
      <c r="B107" s="7"/>
      <c r="C107" s="73"/>
      <c r="D107" s="73"/>
      <c r="E107" s="7"/>
      <c r="F107" s="7"/>
      <c r="G107" s="7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</row>
    <row r="108" spans="1:66" customHeight="1" ht="21" s="12" customFormat="1">
      <c r="A108" s="13"/>
      <c r="B108" s="13"/>
      <c r="C108" s="94"/>
      <c r="D108" s="94"/>
      <c r="E108" s="94"/>
      <c r="F108" s="94"/>
      <c r="G108" s="94"/>
      <c r="H108" s="15"/>
      <c r="I108" s="16"/>
      <c r="J108" s="17"/>
      <c r="M108" s="66"/>
      <c r="P108" s="95"/>
      <c r="S108" s="95"/>
      <c r="T108" s="96"/>
      <c r="V108" s="66"/>
      <c r="Y108" s="66"/>
      <c r="AB108" s="66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</row>
    <row r="109" spans="1:66" customHeight="1" ht="21" s="12" customFormat="1">
      <c r="B109" s="66"/>
      <c r="C109" s="81"/>
      <c r="D109" s="81"/>
      <c r="E109" s="97"/>
      <c r="F109" s="81"/>
      <c r="G109" s="97"/>
      <c r="H109" s="98"/>
      <c r="I109" s="498"/>
      <c r="J109" s="498"/>
      <c r="K109" s="498"/>
      <c r="L109" s="498"/>
      <c r="M109" s="498"/>
      <c r="N109" s="498"/>
      <c r="O109" s="498"/>
      <c r="P109" s="498"/>
      <c r="Q109" s="498"/>
      <c r="R109" s="498"/>
      <c r="S109" s="498"/>
      <c r="T109" s="498"/>
      <c r="U109" s="498"/>
      <c r="V109" s="498"/>
      <c r="W109" s="498"/>
      <c r="X109" s="504"/>
      <c r="Y109" s="504"/>
      <c r="Z109" s="504"/>
      <c r="AA109" s="504"/>
      <c r="AB109" s="504"/>
      <c r="AC109" s="504"/>
      <c r="AD109" s="498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</row>
    <row r="110" spans="1:66" customHeight="1" ht="21" s="12" customFormat="1">
      <c r="B110" s="66"/>
      <c r="C110" s="81"/>
      <c r="D110" s="81"/>
      <c r="E110" s="97"/>
      <c r="F110" s="81"/>
      <c r="G110" s="97"/>
      <c r="H110" s="98"/>
      <c r="I110" s="494"/>
      <c r="J110" s="494"/>
      <c r="K110" s="494"/>
      <c r="L110" s="494"/>
      <c r="M110" s="494"/>
      <c r="N110" s="494"/>
      <c r="O110" s="494"/>
      <c r="P110" s="494"/>
      <c r="Q110" s="494"/>
      <c r="R110" s="494"/>
      <c r="S110" s="494"/>
      <c r="T110" s="494"/>
      <c r="U110" s="494"/>
      <c r="V110" s="494"/>
      <c r="W110" s="494"/>
      <c r="X110" s="519"/>
      <c r="Y110" s="519"/>
      <c r="Z110" s="519"/>
      <c r="AA110" s="519"/>
      <c r="AB110" s="519"/>
      <c r="AC110" s="519"/>
      <c r="AD110" s="498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</row>
    <row r="111" spans="1:66" customHeight="1" ht="21" s="12" customFormat="1">
      <c r="B111" s="66"/>
      <c r="C111" s="81"/>
      <c r="D111" s="81"/>
      <c r="E111" s="97"/>
      <c r="F111" s="81"/>
      <c r="G111" s="97"/>
      <c r="H111" s="98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498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</row>
    <row r="112" spans="1:66" customHeight="1" ht="21" s="12" customFormat="1">
      <c r="A112" s="7"/>
      <c r="B112" s="84"/>
      <c r="C112" s="99"/>
      <c r="D112" s="99"/>
      <c r="E112" s="81"/>
      <c r="F112" s="81"/>
      <c r="G112" s="81"/>
      <c r="H112" s="100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  <c r="AA112" s="101"/>
      <c r="AB112" s="101"/>
      <c r="AC112" s="101"/>
      <c r="AD112" s="101"/>
    </row>
    <row r="113" spans="1:66" customHeight="1" ht="21" s="12" customFormat="1">
      <c r="A113" s="7"/>
      <c r="B113" s="84"/>
      <c r="C113" s="201">
        <v>1</v>
      </c>
      <c r="D113" s="201">
        <v>2</v>
      </c>
      <c r="E113" s="201">
        <v>3</v>
      </c>
      <c r="F113" s="201">
        <v>4</v>
      </c>
      <c r="G113" s="201">
        <v>5</v>
      </c>
      <c r="H113" s="201">
        <v>6</v>
      </c>
      <c r="I113" s="201">
        <v>7</v>
      </c>
      <c r="J113" s="201">
        <v>8</v>
      </c>
      <c r="K113" s="201">
        <v>9</v>
      </c>
      <c r="L113" s="201">
        <v>10</v>
      </c>
      <c r="M113" s="201">
        <v>11</v>
      </c>
      <c r="N113" s="201">
        <v>12</v>
      </c>
      <c r="O113" s="201">
        <v>13</v>
      </c>
      <c r="P113" s="201">
        <v>14</v>
      </c>
      <c r="Q113" s="201">
        <v>15</v>
      </c>
      <c r="R113" s="201">
        <v>16</v>
      </c>
      <c r="S113" s="201">
        <v>17</v>
      </c>
      <c r="T113" s="201">
        <v>18</v>
      </c>
      <c r="U113" s="201">
        <v>19</v>
      </c>
      <c r="V113" s="201">
        <v>20</v>
      </c>
      <c r="W113" s="201">
        <v>21</v>
      </c>
      <c r="X113" s="201">
        <v>22</v>
      </c>
      <c r="Y113" s="201">
        <v>23</v>
      </c>
      <c r="Z113" s="201">
        <v>24</v>
      </c>
      <c r="AA113" s="201">
        <v>25</v>
      </c>
      <c r="AB113" s="201">
        <v>26</v>
      </c>
      <c r="AC113" s="201">
        <v>27</v>
      </c>
      <c r="AD113" s="101"/>
    </row>
    <row r="114" spans="1:66" customHeight="1" ht="21" s="12" customFormat="1">
      <c r="A114" s="7"/>
      <c r="B114" s="84"/>
      <c r="C114" s="99"/>
      <c r="D114" s="99"/>
      <c r="E114" s="81"/>
      <c r="F114" s="81"/>
      <c r="G114" s="81"/>
      <c r="H114" s="100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</row>
    <row r="115" spans="1:66" customHeight="1" ht="21" s="12" customFormat="1">
      <c r="A115" s="7"/>
      <c r="B115" s="84"/>
      <c r="C115" s="99"/>
      <c r="D115" s="99"/>
      <c r="E115" s="81"/>
      <c r="F115" s="81"/>
      <c r="G115" s="81"/>
      <c r="H115" s="100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</row>
    <row r="116" spans="1:66" customHeight="1" ht="21" s="12" customFormat="1">
      <c r="A116" s="7"/>
      <c r="B116" s="84"/>
      <c r="C116" s="99"/>
      <c r="D116" s="99"/>
      <c r="E116" s="81"/>
      <c r="F116" s="81"/>
      <c r="G116" s="81"/>
      <c r="H116" s="100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</row>
    <row r="117" spans="1:66" customHeight="1" ht="21" s="12" customFormat="1">
      <c r="A117" s="7"/>
      <c r="B117" s="84"/>
      <c r="C117" s="99"/>
      <c r="D117" s="99"/>
      <c r="E117" s="81"/>
      <c r="F117" s="81"/>
      <c r="G117" s="81"/>
      <c r="H117" s="100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  <c r="AD117" s="101"/>
    </row>
    <row r="118" spans="1:66" customHeight="1" ht="21" s="12" customFormat="1">
      <c r="A118" s="7"/>
      <c r="B118" s="84"/>
      <c r="C118" s="99"/>
      <c r="D118" s="99"/>
      <c r="E118" s="81"/>
      <c r="F118" s="81"/>
      <c r="G118" s="81"/>
      <c r="H118" s="100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</row>
    <row r="119" spans="1:66" customHeight="1" ht="21" s="12" customFormat="1">
      <c r="A119" s="7"/>
      <c r="B119" s="84"/>
      <c r="C119" s="99"/>
      <c r="D119" s="99"/>
      <c r="E119" s="81"/>
      <c r="F119" s="81"/>
      <c r="G119" s="81"/>
      <c r="H119" s="100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</row>
    <row r="120" spans="1:66" customHeight="1" ht="12.75" s="29" customFormat="1">
      <c r="A120" s="7"/>
      <c r="B120" s="84"/>
      <c r="C120" s="82"/>
      <c r="D120" s="82"/>
      <c r="E120" s="82"/>
      <c r="F120" s="82"/>
      <c r="G120" s="82"/>
      <c r="H120" s="8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  <c r="AB120" s="102"/>
      <c r="AC120" s="102"/>
      <c r="AD120" s="10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</row>
    <row r="121" spans="1:66" customHeight="1" ht="12.75" s="12" customFormat="1">
      <c r="A121" s="7"/>
      <c r="B121" s="84"/>
      <c r="C121" s="99"/>
      <c r="D121" s="99"/>
      <c r="E121" s="81"/>
      <c r="F121" s="81"/>
      <c r="G121" s="81"/>
      <c r="H121" s="100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  <c r="AD121" s="101"/>
    </row>
    <row r="122" spans="1:66" customHeight="1" ht="12.75" s="12" customFormat="1">
      <c r="A122" s="7"/>
      <c r="B122" s="84"/>
      <c r="C122" s="99"/>
      <c r="D122" s="99"/>
      <c r="E122" s="81"/>
      <c r="F122" s="81"/>
      <c r="G122" s="81"/>
      <c r="H122" s="100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  <c r="AD122" s="101"/>
    </row>
    <row r="123" spans="1:66" customHeight="1" ht="12.75" s="12" customFormat="1">
      <c r="A123" s="7"/>
      <c r="B123" s="84"/>
      <c r="C123" s="99"/>
      <c r="D123" s="99"/>
      <c r="E123" s="81"/>
      <c r="F123" s="81"/>
      <c r="G123" s="81"/>
      <c r="H123" s="100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  <c r="AD123" s="101"/>
      <c r="AF123" s="69"/>
      <c r="AG123" s="69"/>
      <c r="AH123" s="69"/>
      <c r="AI123" s="69"/>
      <c r="AJ123" s="69"/>
      <c r="AK123" s="69"/>
      <c r="AL123" s="69"/>
      <c r="AM123" s="69"/>
      <c r="AN123" s="69"/>
      <c r="AO123" s="69"/>
      <c r="AP123" s="69"/>
      <c r="AQ123" s="69"/>
      <c r="AR123" s="69"/>
      <c r="AS123" s="69"/>
      <c r="AT123" s="69"/>
      <c r="AU123" s="69"/>
      <c r="AV123" s="69"/>
      <c r="AW123" s="69"/>
      <c r="AX123" s="70"/>
    </row>
    <row r="124" spans="1:66" customHeight="1" ht="12.75" s="12" customFormat="1">
      <c r="A124" s="7"/>
      <c r="B124" s="84"/>
      <c r="C124" s="99"/>
      <c r="D124" s="99"/>
      <c r="E124" s="81"/>
      <c r="F124" s="81"/>
      <c r="G124" s="81"/>
      <c r="H124" s="100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  <c r="AD124" s="101"/>
      <c r="AF124" s="71"/>
      <c r="AG124" s="71"/>
      <c r="AH124" s="71"/>
      <c r="AI124" s="71"/>
      <c r="AJ124" s="71"/>
      <c r="AK124" s="71"/>
      <c r="AL124" s="71"/>
      <c r="AM124" s="71"/>
      <c r="AN124" s="71"/>
      <c r="AO124" s="71"/>
      <c r="AP124" s="71"/>
      <c r="AQ124" s="71"/>
      <c r="AR124" s="71"/>
      <c r="AS124" s="71"/>
      <c r="AT124" s="71"/>
      <c r="AU124" s="71"/>
      <c r="AV124" s="71"/>
      <c r="AW124" s="71"/>
      <c r="AX124" s="72"/>
    </row>
    <row r="125" spans="1:66" customHeight="1" ht="12.75" s="12" customFormat="1">
      <c r="A125" s="7"/>
      <c r="B125" s="84"/>
      <c r="C125" s="99"/>
      <c r="D125" s="99"/>
      <c r="E125" s="81"/>
      <c r="F125" s="81"/>
      <c r="G125" s="81"/>
      <c r="H125" s="100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F125" s="71"/>
      <c r="AG125" s="71"/>
      <c r="AH125" s="71"/>
      <c r="AI125" s="71"/>
      <c r="AJ125" s="71"/>
      <c r="AK125" s="71"/>
      <c r="AL125" s="71"/>
      <c r="AM125" s="71"/>
      <c r="AN125" s="71"/>
      <c r="AO125" s="71"/>
      <c r="AP125" s="71"/>
      <c r="AQ125" s="71"/>
      <c r="AR125" s="71"/>
      <c r="AS125" s="71"/>
      <c r="AT125" s="71"/>
      <c r="AU125" s="71"/>
      <c r="AV125" s="71"/>
      <c r="AW125" s="71"/>
      <c r="AX125" s="72"/>
    </row>
    <row r="126" spans="1:66" customHeight="1" ht="12.75" s="12" customFormat="1">
      <c r="A126" s="7"/>
      <c r="B126" s="84"/>
      <c r="C126" s="99"/>
      <c r="D126" s="99"/>
      <c r="E126" s="81"/>
      <c r="F126" s="81"/>
      <c r="G126" s="81"/>
      <c r="H126" s="100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  <c r="AD126" s="101"/>
      <c r="AF126" s="71"/>
      <c r="AG126" s="71"/>
      <c r="AH126" s="71"/>
      <c r="AI126" s="71"/>
      <c r="AJ126" s="71"/>
      <c r="AK126" s="71"/>
      <c r="AL126" s="71"/>
      <c r="AM126" s="71"/>
      <c r="AN126" s="71"/>
      <c r="AO126" s="71"/>
      <c r="AP126" s="71"/>
      <c r="AQ126" s="71"/>
      <c r="AR126" s="71"/>
      <c r="AS126" s="71"/>
      <c r="AT126" s="71"/>
      <c r="AU126" s="71"/>
      <c r="AV126" s="71"/>
      <c r="AW126" s="71"/>
      <c r="AX126" s="72"/>
    </row>
    <row r="127" spans="1:66" customHeight="1" ht="12.75" s="12" customFormat="1">
      <c r="A127" s="7"/>
      <c r="B127" s="84"/>
      <c r="C127" s="99"/>
      <c r="D127" s="99"/>
      <c r="E127" s="81"/>
      <c r="F127" s="81"/>
      <c r="G127" s="81"/>
      <c r="H127" s="100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  <c r="AD127" s="101"/>
      <c r="AF127" s="71"/>
      <c r="AG127" s="71"/>
      <c r="AH127" s="71"/>
      <c r="AI127" s="71"/>
      <c r="AJ127" s="71"/>
      <c r="AK127" s="71"/>
      <c r="AL127" s="71"/>
      <c r="AM127" s="71"/>
      <c r="AN127" s="71"/>
      <c r="AO127" s="71"/>
      <c r="AP127" s="71"/>
      <c r="AQ127" s="71"/>
      <c r="AR127" s="71"/>
      <c r="AS127" s="71"/>
      <c r="AT127" s="71"/>
      <c r="AU127" s="71"/>
      <c r="AV127" s="71"/>
      <c r="AW127" s="71"/>
      <c r="AX127" s="72"/>
    </row>
    <row r="128" spans="1:66" customHeight="1" ht="12.75" s="12" customFormat="1">
      <c r="A128" s="7"/>
      <c r="B128" s="84"/>
      <c r="C128" s="99"/>
      <c r="D128" s="99"/>
      <c r="E128" s="81"/>
      <c r="F128" s="81"/>
      <c r="G128" s="81"/>
      <c r="H128" s="100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  <c r="AD128" s="101"/>
      <c r="AF128" s="71"/>
      <c r="AG128" s="71"/>
      <c r="AH128" s="71"/>
      <c r="AI128" s="71"/>
      <c r="AJ128" s="71"/>
      <c r="AK128" s="71"/>
      <c r="AL128" s="71"/>
      <c r="AM128" s="71"/>
      <c r="AN128" s="71"/>
      <c r="AO128" s="71"/>
      <c r="AP128" s="71"/>
      <c r="AQ128" s="71"/>
      <c r="AR128" s="71"/>
      <c r="AS128" s="71"/>
      <c r="AT128" s="71"/>
      <c r="AU128" s="71"/>
      <c r="AV128" s="71"/>
      <c r="AW128" s="71"/>
      <c r="AX128" s="72"/>
    </row>
    <row r="129" spans="1:66" customHeight="1" ht="12.75" s="12" customFormat="1">
      <c r="A129" s="7"/>
      <c r="B129" s="84"/>
      <c r="C129" s="83"/>
      <c r="D129" s="83"/>
      <c r="E129" s="83"/>
      <c r="F129" s="83"/>
      <c r="G129" s="83"/>
      <c r="H129" s="83"/>
      <c r="I129" s="103"/>
      <c r="J129" s="103"/>
      <c r="K129" s="103"/>
      <c r="L129" s="103"/>
      <c r="M129" s="103"/>
      <c r="N129" s="103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  <c r="AA129" s="103"/>
      <c r="AB129" s="103"/>
      <c r="AC129" s="103"/>
      <c r="AD129" s="103"/>
      <c r="AF129" s="71"/>
      <c r="AG129" s="71"/>
      <c r="AH129" s="71"/>
      <c r="AI129" s="71"/>
      <c r="AJ129" s="71"/>
      <c r="AK129" s="71"/>
      <c r="AL129" s="71"/>
      <c r="AM129" s="71"/>
      <c r="AN129" s="71"/>
      <c r="AO129" s="71"/>
      <c r="AP129" s="71"/>
      <c r="AQ129" s="71"/>
      <c r="AR129" s="71"/>
      <c r="AS129" s="71"/>
      <c r="AT129" s="71"/>
      <c r="AU129" s="71"/>
      <c r="AV129" s="71"/>
      <c r="AW129" s="71"/>
      <c r="AX129" s="72"/>
    </row>
    <row r="130" spans="1:66" customHeight="1" ht="12.75" s="12" customFormat="1">
      <c r="A130" s="104"/>
      <c r="B130" s="105"/>
      <c r="C130" s="99"/>
      <c r="D130" s="99"/>
      <c r="E130" s="81"/>
      <c r="F130" s="81"/>
      <c r="G130" s="81"/>
      <c r="H130" s="100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  <c r="AD130" s="101"/>
      <c r="AF130" s="71"/>
      <c r="AG130" s="71"/>
      <c r="AH130" s="71"/>
      <c r="AI130" s="71"/>
      <c r="AJ130" s="71"/>
      <c r="AK130" s="71"/>
      <c r="AL130" s="71"/>
      <c r="AM130" s="71"/>
      <c r="AN130" s="71"/>
      <c r="AO130" s="71"/>
      <c r="AP130" s="71"/>
      <c r="AQ130" s="71"/>
      <c r="AR130" s="71"/>
      <c r="AS130" s="71"/>
      <c r="AT130" s="71"/>
      <c r="AU130" s="71"/>
      <c r="AV130" s="71"/>
      <c r="AW130" s="71"/>
      <c r="AX130" s="71"/>
    </row>
    <row r="131" spans="1:66" customHeight="1" ht="12.75" s="12" customFormat="1">
      <c r="A131" s="83"/>
      <c r="B131" s="105"/>
      <c r="C131" s="83"/>
      <c r="D131" s="83"/>
      <c r="E131" s="83"/>
      <c r="F131" s="83"/>
      <c r="G131" s="83"/>
      <c r="H131" s="83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  <c r="AB131" s="103"/>
      <c r="AC131" s="103"/>
      <c r="AD131" s="103"/>
      <c r="AF131" s="71"/>
      <c r="AG131" s="71"/>
      <c r="AH131" s="71"/>
      <c r="AI131" s="71"/>
      <c r="AJ131" s="71"/>
      <c r="AK131" s="71"/>
      <c r="AL131" s="71"/>
      <c r="AM131" s="71"/>
      <c r="AN131" s="71"/>
      <c r="AO131" s="71"/>
      <c r="AP131" s="71"/>
      <c r="AQ131" s="71"/>
      <c r="AR131" s="71"/>
      <c r="AS131" s="71"/>
      <c r="AT131" s="71"/>
      <c r="AU131" s="71"/>
      <c r="AV131" s="71"/>
      <c r="AW131" s="71"/>
      <c r="AX131" s="71"/>
    </row>
    <row r="132" spans="1:66" customHeight="1" ht="12.75" s="12" customFormat="1">
      <c r="A132" s="30"/>
      <c r="B132" s="30"/>
      <c r="C132" s="106"/>
      <c r="D132" s="106"/>
      <c r="E132" s="106"/>
      <c r="F132" s="106"/>
      <c r="G132" s="106"/>
      <c r="H132" s="106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  <c r="AB132" s="107"/>
      <c r="AC132" s="107"/>
      <c r="AD132" s="107"/>
      <c r="AF132" s="69"/>
      <c r="AG132" s="69"/>
      <c r="AH132" s="69"/>
      <c r="AI132" s="69"/>
      <c r="AJ132" s="69"/>
      <c r="AK132" s="69"/>
      <c r="AL132" s="69"/>
      <c r="AM132" s="69"/>
      <c r="AN132" s="69"/>
      <c r="AO132" s="69"/>
      <c r="AP132" s="69"/>
      <c r="AQ132" s="69"/>
      <c r="AR132" s="69"/>
      <c r="AS132" s="69"/>
      <c r="AT132" s="69"/>
      <c r="AU132" s="69"/>
      <c r="AV132" s="69"/>
      <c r="AW132" s="69"/>
      <c r="AX132" s="70"/>
    </row>
    <row r="133" spans="1:66" customHeight="1" ht="17.1" s="12" customFormat="1">
      <c r="A133" s="31"/>
      <c r="B133" s="31"/>
      <c r="C133" s="65"/>
      <c r="D133" s="65"/>
      <c r="E133" s="65"/>
      <c r="F133" s="65"/>
      <c r="G133" s="65"/>
      <c r="H133" s="65"/>
      <c r="I133" s="497"/>
      <c r="J133" s="497"/>
      <c r="K133" s="497"/>
      <c r="L133" s="497"/>
      <c r="M133" s="497"/>
      <c r="N133" s="497"/>
      <c r="O133" s="497"/>
      <c r="P133" s="497"/>
      <c r="Q133" s="497"/>
      <c r="R133" s="497"/>
      <c r="S133" s="497"/>
      <c r="T133" s="497"/>
      <c r="U133" s="497"/>
      <c r="V133" s="497"/>
      <c r="W133" s="497"/>
      <c r="X133" s="505"/>
      <c r="Y133" s="505"/>
      <c r="Z133" s="505"/>
      <c r="AA133" s="505"/>
      <c r="AB133" s="505"/>
      <c r="AC133" s="505"/>
      <c r="AD133" s="32"/>
      <c r="AF133" s="71"/>
      <c r="AG133" s="71"/>
      <c r="AH133" s="71"/>
      <c r="AI133" s="71"/>
      <c r="AJ133" s="71"/>
      <c r="AK133" s="71"/>
      <c r="AL133" s="71"/>
      <c r="AM133" s="71"/>
      <c r="AN133" s="71"/>
      <c r="AO133" s="71"/>
      <c r="AP133" s="71"/>
      <c r="AQ133" s="71"/>
      <c r="AR133" s="71"/>
      <c r="AS133" s="71"/>
      <c r="AT133" s="71"/>
      <c r="AU133" s="71"/>
      <c r="AV133" s="71"/>
      <c r="AW133" s="71"/>
      <c r="AX133" s="72"/>
    </row>
    <row r="134" spans="1:66" customHeight="1" ht="12.75" s="12" customFormat="1">
      <c r="A134" s="31"/>
      <c r="B134" s="31"/>
      <c r="C134" s="65"/>
      <c r="D134" s="65"/>
      <c r="E134" s="65"/>
      <c r="F134" s="65"/>
      <c r="G134" s="65"/>
      <c r="H134" s="65"/>
      <c r="I134" s="498"/>
      <c r="J134" s="498"/>
      <c r="K134" s="498"/>
      <c r="L134" s="498"/>
      <c r="M134" s="498"/>
      <c r="N134" s="498"/>
      <c r="O134" s="498"/>
      <c r="P134" s="498"/>
      <c r="Q134" s="498"/>
      <c r="R134" s="498"/>
      <c r="S134" s="498"/>
      <c r="T134" s="498"/>
      <c r="U134" s="498"/>
      <c r="V134" s="498"/>
      <c r="W134" s="498"/>
      <c r="X134" s="504"/>
      <c r="Y134" s="504"/>
      <c r="Z134" s="504"/>
      <c r="AA134" s="504"/>
      <c r="AB134" s="504"/>
      <c r="AC134" s="504"/>
      <c r="AD134" s="3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  <c r="AT134" s="72"/>
      <c r="AU134" s="72"/>
      <c r="AV134" s="72"/>
      <c r="AW134" s="72"/>
      <c r="AX134" s="72"/>
    </row>
    <row r="135" spans="1:66" customHeight="1" ht="12.75">
      <c r="A135" s="9"/>
      <c r="B135" s="9"/>
      <c r="C135" s="9"/>
      <c r="D135" s="9"/>
      <c r="E135" s="33"/>
      <c r="F135" s="33"/>
      <c r="G135" s="33"/>
      <c r="H135" s="5"/>
      <c r="I135" s="34"/>
      <c r="J135" s="35"/>
      <c r="K135" s="36"/>
      <c r="L135" s="34"/>
      <c r="M135" s="35"/>
      <c r="N135" s="36"/>
      <c r="O135" s="34"/>
      <c r="P135" s="35"/>
      <c r="Q135" s="36"/>
      <c r="R135" s="34"/>
      <c r="S135" s="35"/>
      <c r="T135" s="36"/>
      <c r="U135" s="34"/>
      <c r="V135" s="35"/>
      <c r="W135" s="36"/>
      <c r="X135" s="34"/>
      <c r="Y135" s="35"/>
      <c r="Z135" s="36"/>
      <c r="AA135" s="34"/>
      <c r="AB135" s="35"/>
      <c r="AC135" s="36"/>
      <c r="AD135" s="5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  <c r="AT135" s="72"/>
      <c r="AU135" s="72"/>
      <c r="AV135" s="72"/>
      <c r="AW135" s="72"/>
      <c r="AX135" s="72"/>
    </row>
    <row r="136" spans="1:66" customHeight="1" ht="12.75">
      <c r="A136" s="108"/>
      <c r="B136" s="108"/>
      <c r="C136" s="9"/>
      <c r="D136" s="9"/>
      <c r="E136" s="33"/>
      <c r="F136" s="33"/>
      <c r="G136" s="33"/>
      <c r="H136" s="5"/>
      <c r="I136" s="34"/>
      <c r="J136" s="35"/>
      <c r="K136" s="36"/>
      <c r="L136" s="34"/>
      <c r="M136" s="35"/>
      <c r="N136" s="36"/>
      <c r="O136" s="34"/>
      <c r="P136" s="35"/>
      <c r="Q136" s="36"/>
      <c r="R136" s="34"/>
      <c r="S136" s="35"/>
      <c r="T136" s="36"/>
      <c r="U136" s="34"/>
      <c r="V136" s="35"/>
      <c r="W136" s="36"/>
      <c r="X136" s="34"/>
      <c r="Y136" s="35"/>
      <c r="Z136" s="36"/>
      <c r="AA136" s="34"/>
      <c r="AB136" s="35"/>
      <c r="AC136" s="36"/>
      <c r="AD136" s="5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/>
      <c r="AR136" s="72"/>
      <c r="AS136" s="72"/>
      <c r="AT136" s="72"/>
      <c r="AU136" s="72"/>
      <c r="AV136" s="72"/>
      <c r="AW136" s="72"/>
      <c r="AX136" s="72"/>
    </row>
    <row r="137" spans="1:66" customHeight="1" ht="13.5" hidden="true">
      <c r="A137" s="9"/>
      <c r="B137" s="9"/>
      <c r="C137" s="9"/>
      <c r="D137" s="9"/>
      <c r="E137" s="33"/>
      <c r="F137" s="33"/>
      <c r="G137" s="33"/>
      <c r="H137" s="5"/>
      <c r="I137" s="34"/>
      <c r="J137" s="35"/>
      <c r="K137" s="36"/>
      <c r="L137" s="34"/>
      <c r="M137" s="35"/>
      <c r="N137" s="36"/>
      <c r="O137" s="34"/>
      <c r="P137" s="35"/>
      <c r="Q137" s="36"/>
      <c r="R137" s="34"/>
      <c r="S137" s="35"/>
      <c r="T137" s="36"/>
      <c r="U137" s="34"/>
      <c r="V137" s="35"/>
      <c r="W137" s="36"/>
      <c r="X137" s="34"/>
      <c r="Y137" s="35"/>
      <c r="Z137" s="36"/>
      <c r="AA137" s="34"/>
      <c r="AB137" s="35"/>
      <c r="AC137" s="36"/>
      <c r="AD137" s="5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0"/>
      <c r="AX137" s="70"/>
    </row>
    <row r="138" spans="1:66" customHeight="1" ht="17.1" hidden="true" s="58" customFormat="1">
      <c r="A138" s="109"/>
      <c r="B138" s="109"/>
      <c r="C138" s="109"/>
      <c r="D138" s="109"/>
      <c r="E138" s="109"/>
      <c r="F138" s="109"/>
      <c r="G138" s="109"/>
      <c r="H138" s="109"/>
      <c r="I138" s="502"/>
      <c r="J138" s="502"/>
      <c r="K138" s="502"/>
      <c r="L138" s="502"/>
      <c r="M138" s="502"/>
      <c r="N138" s="502"/>
      <c r="O138" s="502"/>
      <c r="P138" s="502"/>
      <c r="Q138" s="502"/>
      <c r="R138" s="502"/>
      <c r="S138" s="502"/>
      <c r="T138" s="502"/>
      <c r="U138" s="502"/>
      <c r="V138" s="502"/>
      <c r="W138" s="502"/>
      <c r="X138" s="502"/>
      <c r="Y138" s="502"/>
      <c r="Z138" s="502"/>
      <c r="AA138" s="502"/>
      <c r="AB138" s="502"/>
      <c r="AC138" s="502"/>
      <c r="AD138" s="57"/>
      <c r="AE138" s="57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0"/>
      <c r="AX138" s="70"/>
      <c r="AY138" s="57"/>
      <c r="AZ138" s="57"/>
      <c r="BA138" s="57"/>
      <c r="BB138" s="57"/>
      <c r="BC138" s="57"/>
      <c r="BD138" s="57"/>
      <c r="BE138" s="57"/>
      <c r="BF138" s="57"/>
      <c r="BG138" s="57"/>
      <c r="BH138" s="57"/>
      <c r="BI138" s="57"/>
      <c r="BJ138" s="57"/>
      <c r="BK138" s="57"/>
      <c r="BL138" s="57"/>
      <c r="BM138" s="57"/>
      <c r="BN138" s="57"/>
    </row>
    <row r="139" spans="1:66" customHeight="1" ht="18" hidden="true" s="60" customFormat="1">
      <c r="A139" s="110"/>
      <c r="B139" s="110"/>
      <c r="C139" s="110"/>
      <c r="D139" s="110"/>
      <c r="E139" s="110"/>
      <c r="F139" s="110"/>
      <c r="G139" s="110"/>
      <c r="H139" s="110"/>
      <c r="I139" s="111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  <c r="AA139" s="112"/>
      <c r="AB139" s="112"/>
      <c r="AC139" s="112"/>
      <c r="AD139" s="111"/>
      <c r="AE139" s="59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  <c r="AT139" s="72"/>
      <c r="AU139" s="72"/>
      <c r="AV139" s="72"/>
      <c r="AW139" s="72"/>
      <c r="AX139" s="72"/>
      <c r="AY139" s="59"/>
      <c r="AZ139" s="59"/>
      <c r="BA139" s="59"/>
      <c r="BB139" s="59"/>
      <c r="BC139" s="59"/>
      <c r="BD139" s="59"/>
      <c r="BE139" s="59"/>
      <c r="BF139" s="59"/>
      <c r="BG139" s="59"/>
      <c r="BH139" s="59"/>
      <c r="BI139" s="59"/>
      <c r="BJ139" s="59"/>
      <c r="BK139" s="59"/>
      <c r="BL139" s="59"/>
      <c r="BM139" s="59"/>
      <c r="BN139" s="59"/>
    </row>
    <row r="140" spans="1:66" customHeight="1" ht="18" hidden="true" s="60" customFormat="1">
      <c r="A140" s="110"/>
      <c r="B140" s="110"/>
      <c r="C140" s="110"/>
      <c r="D140" s="110"/>
      <c r="E140" s="110"/>
      <c r="F140" s="110"/>
      <c r="G140" s="110"/>
      <c r="H140" s="110"/>
      <c r="I140" s="110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  <c r="AA140" s="113"/>
      <c r="AB140" s="113"/>
      <c r="AC140" s="113"/>
      <c r="AD140" s="110"/>
      <c r="AE140" s="59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59"/>
      <c r="AZ140" s="59"/>
      <c r="BA140" s="59"/>
      <c r="BB140" s="59"/>
      <c r="BC140" s="59"/>
      <c r="BD140" s="59"/>
      <c r="BE140" s="59"/>
      <c r="BF140" s="59"/>
      <c r="BG140" s="59"/>
      <c r="BH140" s="59"/>
      <c r="BI140" s="59"/>
      <c r="BJ140" s="59"/>
      <c r="BK140" s="59"/>
      <c r="BL140" s="59"/>
      <c r="BM140" s="59"/>
      <c r="BN140" s="59"/>
    </row>
    <row r="141" spans="1:66" customHeight="1" ht="18" hidden="true" s="60" customFormat="1">
      <c r="A141" s="110"/>
      <c r="B141" s="110"/>
      <c r="C141" s="110"/>
      <c r="D141" s="110"/>
      <c r="E141" s="110"/>
      <c r="F141" s="110"/>
      <c r="G141" s="110"/>
      <c r="H141" s="110"/>
      <c r="I141" s="114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4"/>
      <c r="AE141" s="59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59"/>
      <c r="AZ141" s="59"/>
      <c r="BA141" s="59"/>
      <c r="BB141" s="59"/>
      <c r="BC141" s="59"/>
      <c r="BD141" s="59"/>
      <c r="BE141" s="59"/>
      <c r="BF141" s="59"/>
      <c r="BG141" s="59"/>
      <c r="BH141" s="59"/>
      <c r="BI141" s="59"/>
      <c r="BJ141" s="59"/>
      <c r="BK141" s="59"/>
      <c r="BL141" s="59"/>
      <c r="BM141" s="59"/>
      <c r="BN141" s="59"/>
    </row>
    <row r="142" spans="1:66" customHeight="1" ht="18" hidden="true" s="60" customFormat="1">
      <c r="A142" s="110"/>
      <c r="B142" s="110"/>
      <c r="C142" s="110"/>
      <c r="D142" s="110"/>
      <c r="E142" s="110"/>
      <c r="F142" s="110"/>
      <c r="G142" s="110"/>
      <c r="H142" s="110"/>
      <c r="I142" s="110"/>
      <c r="J142" s="113"/>
      <c r="K142" s="113"/>
      <c r="L142" s="110"/>
      <c r="M142" s="113"/>
      <c r="N142" s="113"/>
      <c r="O142" s="110"/>
      <c r="P142" s="113"/>
      <c r="Q142" s="113"/>
      <c r="R142" s="110"/>
      <c r="S142" s="113"/>
      <c r="T142" s="113"/>
      <c r="U142" s="110"/>
      <c r="V142" s="113"/>
      <c r="W142" s="113"/>
      <c r="X142" s="110"/>
      <c r="Y142" s="113"/>
      <c r="Z142" s="113"/>
      <c r="AA142" s="110"/>
      <c r="AB142" s="113"/>
      <c r="AC142" s="113"/>
      <c r="AD142" s="110"/>
      <c r="AE142" s="59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59"/>
      <c r="AZ142" s="59"/>
      <c r="BA142" s="59"/>
      <c r="BB142" s="59"/>
      <c r="BC142" s="59"/>
      <c r="BD142" s="59"/>
      <c r="BE142" s="59"/>
      <c r="BF142" s="59"/>
      <c r="BG142" s="59"/>
      <c r="BH142" s="59"/>
      <c r="BI142" s="59"/>
      <c r="BJ142" s="59"/>
      <c r="BK142" s="59"/>
      <c r="BL142" s="59"/>
      <c r="BM142" s="59"/>
      <c r="BN142" s="59"/>
    </row>
    <row r="143" spans="1:66" customHeight="1" ht="18" hidden="true" s="60" customFormat="1">
      <c r="A143" s="116"/>
      <c r="B143" s="116"/>
      <c r="C143" s="116"/>
      <c r="D143" s="116"/>
      <c r="E143" s="116"/>
      <c r="F143" s="116"/>
      <c r="G143" s="116"/>
      <c r="H143" s="116"/>
      <c r="I143" s="110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  <c r="AA143" s="113"/>
      <c r="AB143" s="113"/>
      <c r="AC143" s="113"/>
      <c r="AD143" s="110"/>
      <c r="AE143" s="59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59"/>
      <c r="AZ143" s="59"/>
      <c r="BA143" s="59"/>
      <c r="BB143" s="59"/>
      <c r="BC143" s="59"/>
      <c r="BD143" s="59"/>
      <c r="BE143" s="59"/>
      <c r="BF143" s="59"/>
      <c r="BG143" s="59"/>
      <c r="BH143" s="59"/>
      <c r="BI143" s="59"/>
      <c r="BJ143" s="59"/>
      <c r="BK143" s="59"/>
      <c r="BL143" s="59"/>
      <c r="BM143" s="59"/>
      <c r="BN143" s="59"/>
    </row>
    <row r="144" spans="1:66" customHeight="1" ht="18" hidden="true" s="60" customFormat="1">
      <c r="A144" s="116"/>
      <c r="B144" s="116"/>
      <c r="C144" s="116"/>
      <c r="D144" s="116"/>
      <c r="E144" s="116"/>
      <c r="F144" s="116"/>
      <c r="G144" s="116"/>
      <c r="H144" s="116"/>
      <c r="I144" s="110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  <c r="AA144" s="113"/>
      <c r="AB144" s="113"/>
      <c r="AC144" s="113"/>
      <c r="AD144" s="110"/>
      <c r="AE144" s="59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59"/>
      <c r="AZ144" s="59"/>
      <c r="BA144" s="59"/>
      <c r="BB144" s="59"/>
      <c r="BC144" s="59"/>
      <c r="BD144" s="59"/>
      <c r="BE144" s="59"/>
      <c r="BF144" s="59"/>
      <c r="BG144" s="59"/>
      <c r="BH144" s="59"/>
      <c r="BI144" s="59"/>
      <c r="BJ144" s="59"/>
      <c r="BK144" s="59"/>
      <c r="BL144" s="59"/>
      <c r="BM144" s="59"/>
      <c r="BN144" s="59"/>
    </row>
    <row r="145" spans="1:66" customHeight="1" ht="6.75" hidden="true" s="59" customFormat="1">
      <c r="A145" s="61"/>
      <c r="B145" s="61"/>
      <c r="C145" s="62"/>
      <c r="D145" s="62"/>
      <c r="E145" s="62"/>
      <c r="F145" s="62"/>
      <c r="G145" s="62"/>
      <c r="H145" s="62"/>
      <c r="I145" s="63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</row>
    <row r="146" spans="1:66" customHeight="1" ht="17.1" hidden="true" s="59" customFormat="1">
      <c r="A146" s="61"/>
      <c r="B146" s="61"/>
      <c r="C146" s="62"/>
      <c r="D146" s="62"/>
      <c r="E146" s="62"/>
      <c r="F146" s="62"/>
      <c r="G146" s="62"/>
      <c r="H146" s="62"/>
      <c r="I146" s="502"/>
      <c r="J146" s="502"/>
      <c r="K146" s="502"/>
      <c r="L146" s="502"/>
      <c r="M146" s="502"/>
      <c r="N146" s="502"/>
      <c r="O146" s="502"/>
      <c r="P146" s="502"/>
      <c r="Q146" s="502"/>
      <c r="R146" s="502"/>
      <c r="S146" s="502"/>
      <c r="T146" s="502"/>
      <c r="U146" s="502"/>
      <c r="V146" s="502"/>
      <c r="W146" s="502"/>
      <c r="X146" s="502"/>
      <c r="Y146" s="502"/>
      <c r="Z146" s="502"/>
      <c r="AA146" s="502"/>
      <c r="AB146" s="502"/>
      <c r="AC146" s="502"/>
      <c r="AD146" s="64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</row>
    <row r="147" spans="1:66" customHeight="1" ht="17.1" hidden="true" s="58" customFormat="1">
      <c r="A147" s="109"/>
      <c r="B147" s="109"/>
      <c r="C147" s="109"/>
      <c r="D147" s="109"/>
      <c r="E147" s="109"/>
      <c r="F147" s="109"/>
      <c r="G147" s="109"/>
      <c r="H147" s="109"/>
      <c r="I147" s="60"/>
      <c r="J147" s="60"/>
      <c r="K147" s="60"/>
      <c r="M147" s="60"/>
      <c r="N147" s="60"/>
      <c r="P147" s="60"/>
      <c r="Q147" s="60"/>
      <c r="S147" s="60"/>
      <c r="T147" s="60"/>
      <c r="V147" s="60"/>
      <c r="W147" s="60"/>
      <c r="Y147" s="60"/>
      <c r="Z147" s="60"/>
      <c r="AB147" s="60"/>
      <c r="AC147" s="60"/>
      <c r="AD147" s="57"/>
      <c r="AE147" s="57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57"/>
      <c r="AZ147" s="57"/>
      <c r="BA147" s="57"/>
      <c r="BB147" s="57"/>
      <c r="BC147" s="57"/>
      <c r="BD147" s="57"/>
      <c r="BE147" s="57"/>
      <c r="BF147" s="57"/>
      <c r="BG147" s="57"/>
      <c r="BH147" s="57"/>
      <c r="BI147" s="57"/>
      <c r="BJ147" s="57"/>
      <c r="BK147" s="57"/>
      <c r="BL147" s="57"/>
      <c r="BM147" s="57"/>
      <c r="BN147" s="57"/>
    </row>
    <row r="148" spans="1:66" customHeight="1" ht="18" hidden="true" s="60" customFormat="1">
      <c r="A148" s="117"/>
      <c r="B148" s="117"/>
      <c r="C148" s="117"/>
      <c r="D148" s="117"/>
      <c r="E148" s="117"/>
      <c r="F148" s="117"/>
      <c r="G148" s="117"/>
      <c r="H148" s="117"/>
      <c r="I148" s="118"/>
      <c r="J148" s="119"/>
      <c r="K148" s="115"/>
      <c r="L148" s="120"/>
      <c r="M148" s="119"/>
      <c r="N148" s="115"/>
      <c r="O148" s="120"/>
      <c r="P148" s="119"/>
      <c r="Q148" s="115"/>
      <c r="R148" s="120"/>
      <c r="S148" s="119"/>
      <c r="T148" s="115"/>
      <c r="U148" s="120"/>
      <c r="V148" s="119"/>
      <c r="W148" s="115"/>
      <c r="X148" s="120"/>
      <c r="Y148" s="119"/>
      <c r="Z148" s="115"/>
      <c r="AA148" s="120"/>
      <c r="AB148" s="119"/>
      <c r="AC148" s="115"/>
      <c r="AD148" s="111"/>
      <c r="AE148" s="59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59"/>
      <c r="AZ148" s="59"/>
      <c r="BA148" s="59"/>
      <c r="BB148" s="59"/>
      <c r="BC148" s="59"/>
      <c r="BD148" s="59"/>
      <c r="BE148" s="59"/>
      <c r="BF148" s="59"/>
      <c r="BG148" s="59"/>
      <c r="BH148" s="59"/>
      <c r="BI148" s="59"/>
      <c r="BJ148" s="59"/>
      <c r="BK148" s="59"/>
      <c r="BL148" s="59"/>
      <c r="BM148" s="59"/>
      <c r="BN148" s="59"/>
    </row>
    <row r="149" spans="1:66" customHeight="1" ht="18" hidden="true" s="60" customFormat="1">
      <c r="A149" s="117"/>
      <c r="B149" s="117"/>
      <c r="C149" s="117"/>
      <c r="D149" s="117"/>
      <c r="E149" s="117"/>
      <c r="F149" s="117"/>
      <c r="G149" s="117"/>
      <c r="H149" s="117"/>
      <c r="I149" s="118"/>
      <c r="J149" s="119"/>
      <c r="K149" s="115"/>
      <c r="L149" s="120"/>
      <c r="M149" s="119"/>
      <c r="N149" s="115"/>
      <c r="O149" s="120"/>
      <c r="P149" s="119"/>
      <c r="Q149" s="115"/>
      <c r="R149" s="120"/>
      <c r="S149" s="119"/>
      <c r="T149" s="115"/>
      <c r="U149" s="120"/>
      <c r="V149" s="119"/>
      <c r="W149" s="115"/>
      <c r="X149" s="120"/>
      <c r="Y149" s="119"/>
      <c r="Z149" s="115"/>
      <c r="AA149" s="120"/>
      <c r="AB149" s="119"/>
      <c r="AC149" s="115"/>
      <c r="AD149" s="121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</row>
    <row r="150" spans="1:66" customHeight="1" ht="18" hidden="true" s="60" customFormat="1">
      <c r="A150" s="117"/>
      <c r="B150" s="117"/>
      <c r="C150" s="117"/>
      <c r="D150" s="117"/>
      <c r="E150" s="117"/>
      <c r="F150" s="117"/>
      <c r="G150" s="117"/>
      <c r="H150" s="117"/>
      <c r="I150" s="118"/>
      <c r="J150" s="119"/>
      <c r="K150" s="115"/>
      <c r="L150" s="120"/>
      <c r="M150" s="119"/>
      <c r="N150" s="115"/>
      <c r="O150" s="120"/>
      <c r="P150" s="119"/>
      <c r="Q150" s="115"/>
      <c r="R150" s="120"/>
      <c r="S150" s="119"/>
      <c r="T150" s="115"/>
      <c r="U150" s="120"/>
      <c r="V150" s="119"/>
      <c r="W150" s="115"/>
      <c r="X150" s="120"/>
      <c r="Y150" s="119"/>
      <c r="Z150" s="115"/>
      <c r="AA150" s="120"/>
      <c r="AB150" s="119"/>
      <c r="AC150" s="115"/>
      <c r="AD150" s="121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</row>
    <row r="151" spans="1:66" customHeight="1" ht="18" hidden="true" s="60" customFormat="1">
      <c r="A151" s="117"/>
      <c r="B151" s="117"/>
      <c r="C151" s="117"/>
      <c r="D151" s="117"/>
      <c r="E151" s="117"/>
      <c r="F151" s="117"/>
      <c r="G151" s="117"/>
      <c r="H151" s="117"/>
      <c r="I151" s="118"/>
      <c r="J151" s="119"/>
      <c r="K151" s="115"/>
      <c r="L151" s="120"/>
      <c r="M151" s="119"/>
      <c r="N151" s="115"/>
      <c r="O151" s="120"/>
      <c r="P151" s="119"/>
      <c r="Q151" s="115"/>
      <c r="R151" s="122"/>
      <c r="S151" s="119"/>
      <c r="T151" s="115"/>
      <c r="U151" s="120"/>
      <c r="V151" s="119"/>
      <c r="W151" s="115"/>
      <c r="X151" s="120"/>
      <c r="Y151" s="119"/>
      <c r="Z151" s="115"/>
      <c r="AA151" s="120"/>
      <c r="AB151" s="119"/>
      <c r="AC151" s="115"/>
      <c r="AD151" s="121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</row>
    <row r="152" spans="1:66" customHeight="1" ht="18" hidden="true" s="58" customFormat="1">
      <c r="A152" s="123"/>
      <c r="B152" s="123"/>
      <c r="C152" s="123"/>
      <c r="D152" s="123"/>
      <c r="E152" s="123"/>
      <c r="F152" s="123"/>
      <c r="G152" s="123"/>
      <c r="H152" s="123"/>
      <c r="J152" s="119"/>
      <c r="K152" s="115"/>
      <c r="L152" s="122"/>
      <c r="M152" s="119"/>
      <c r="N152" s="115"/>
      <c r="O152" s="122"/>
      <c r="P152" s="119"/>
      <c r="Q152" s="115"/>
      <c r="R152" s="122"/>
      <c r="S152" s="119"/>
      <c r="T152" s="115"/>
      <c r="U152" s="122"/>
      <c r="V152" s="119"/>
      <c r="W152" s="115"/>
      <c r="X152" s="122"/>
      <c r="Y152" s="119"/>
      <c r="Z152" s="115"/>
      <c r="AA152" s="122"/>
      <c r="AB152" s="119"/>
      <c r="AC152" s="115"/>
      <c r="AD152" s="121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</row>
    <row r="153" spans="1:66" customHeight="1" ht="18" hidden="true" s="58" customFormat="1">
      <c r="A153" s="123"/>
      <c r="B153" s="123"/>
      <c r="C153" s="123"/>
      <c r="D153" s="123"/>
      <c r="E153" s="123"/>
      <c r="F153" s="123"/>
      <c r="G153" s="123"/>
      <c r="H153" s="123"/>
      <c r="J153" s="119"/>
      <c r="K153" s="115"/>
      <c r="L153" s="122"/>
      <c r="M153" s="119"/>
      <c r="N153" s="115"/>
      <c r="O153" s="122"/>
      <c r="P153" s="119"/>
      <c r="Q153" s="115"/>
      <c r="R153" s="122"/>
      <c r="S153" s="119"/>
      <c r="T153" s="115"/>
      <c r="U153" s="122"/>
      <c r="V153" s="119"/>
      <c r="W153" s="115"/>
      <c r="X153" s="122"/>
      <c r="Y153" s="119"/>
      <c r="Z153" s="115"/>
      <c r="AA153" s="122"/>
      <c r="AB153" s="119"/>
      <c r="AC153" s="115"/>
      <c r="AD153" s="121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</row>
    <row r="154" spans="1:66" customHeight="1" ht="18" hidden="true" s="60" customFormat="1">
      <c r="A154" s="124"/>
      <c r="B154" s="124"/>
      <c r="C154" s="124"/>
      <c r="D154" s="124"/>
      <c r="E154" s="124"/>
      <c r="F154" s="124"/>
      <c r="G154" s="124"/>
      <c r="H154" s="124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  <c r="AA154" s="125"/>
      <c r="AB154" s="125"/>
      <c r="AC154" s="125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</row>
    <row r="155" spans="1:66" customHeight="1" ht="12.75" hidden="true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spans="1:66" customHeight="1" ht="12.7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126"/>
      <c r="X156" s="9"/>
      <c r="Y156" s="9"/>
      <c r="Z156" s="9"/>
      <c r="AA156" s="9"/>
      <c r="AB156" s="9"/>
      <c r="AC156" s="9"/>
      <c r="AD156" s="9"/>
    </row>
    <row r="157" spans="1:66" customHeight="1" ht="12.7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126"/>
      <c r="R157" s="9"/>
      <c r="S157" s="9"/>
      <c r="T157" s="126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spans="1:66" customHeight="1" ht="12.7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126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spans="1:66" customHeight="1" ht="12.7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126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spans="1:66" customHeight="1" ht="12.7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spans="1:66" customHeight="1" ht="12.7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spans="1:66" customHeight="1" ht="12.7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spans="1:66" customHeight="1" ht="12.7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spans="1:66" customHeight="1" ht="12.7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spans="1:66" customHeight="1" ht="12.7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spans="1:66" customHeight="1" ht="12.7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spans="1:66" customHeight="1" ht="12.7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spans="1:66" customHeight="1" ht="12.7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spans="1:66" customHeight="1" ht="12.7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spans="1:66" customHeight="1" ht="12.7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spans="1:66" customHeight="1" ht="12.7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spans="1:66" customHeight="1" ht="12.7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spans="1:66" customHeight="1" ht="12.7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spans="1:66" customHeight="1" ht="12.7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spans="1:66" customHeight="1" ht="12.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spans="1:66" customHeight="1" ht="12.7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spans="1:66" customHeight="1" ht="12.7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spans="1:66" customHeight="1" ht="12.7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 spans="1:66" customHeight="1" ht="12.7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 spans="1:66" customHeight="1" ht="12.7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 spans="1:66" customHeight="1" ht="12.7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spans="1:66" customHeight="1" ht="12.7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 spans="1:66" customHeight="1" ht="12.7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 spans="1:66" customHeight="1" ht="12.7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 spans="1:66" customHeight="1" ht="12.7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 spans="1:66" customHeight="1" ht="12.7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 spans="1:66" customHeight="1" ht="12.7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 spans="1:66" customHeight="1" ht="12.7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spans="1:66" customHeight="1" ht="12.7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 spans="1:66" customHeight="1" ht="12.7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 spans="1:66" customHeight="1" ht="12.7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 spans="1:66" customHeight="1" ht="12.7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 spans="1:66" customHeight="1" ht="12.7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 spans="1:66" customHeight="1" ht="12.7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 spans="1:66" customHeight="1" ht="12.7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 spans="1:66" customHeight="1" ht="12.7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 spans="1:66" customHeight="1" ht="12.7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 spans="1:66" customHeight="1" ht="12.7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 spans="1:66" customHeight="1" ht="12.7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 spans="1:66" customHeight="1" ht="12.7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 spans="1:66" customHeight="1" ht="12.7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 spans="1:66" customHeight="1" ht="12.7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 spans="1:66" customHeight="1" ht="12.7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spans="1:66" customHeight="1" ht="12.7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 spans="1:66" customHeight="1" ht="12.7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 spans="1:66" customHeight="1" ht="12.7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 spans="1:66" customHeight="1" ht="12.7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 spans="1:66" customHeight="1" ht="12.7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 spans="1:66" customHeight="1" ht="12.7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 spans="1:66" customHeight="1" ht="12.7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 spans="1:66" customHeight="1" ht="12.7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spans="1:66" customHeight="1" ht="12.7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spans="1:66" customHeight="1" ht="12.7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spans="1:66" customHeight="1" ht="12.7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spans="1:66" customHeight="1" ht="12.7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spans="1:66" customHeight="1" ht="12.7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spans="1:66" customHeight="1" ht="12.7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spans="1:66" customHeight="1" ht="12.7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spans="1:66" customHeight="1" ht="12.7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spans="1:66" customHeight="1" ht="12.7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spans="1:66" customHeight="1" ht="12.7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spans="1:66" customHeight="1" ht="12.7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spans="1:66" customHeight="1" ht="12.7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spans="1:66" customHeight="1" ht="12.7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</sheetData>
  <sheetProtection objects="1" scenarios="1" formatCells="1" formatColumns="1" formatRows="1" insertColumns="1" insertRows="1" insertHyperlinks="1" deleteColumns="1" deleteRows="1" sort="1" autoFilter="1" pivotTables="1" selectLockedCells="0" selectUnlockedCells="0"/>
  <mergeCells>
    <mergeCell ref="AA138:AC138"/>
    <mergeCell ref="I146:K146"/>
    <mergeCell ref="L146:N146"/>
    <mergeCell ref="O146:Q146"/>
    <mergeCell ref="R146:T146"/>
    <mergeCell ref="U146:W146"/>
    <mergeCell ref="X146:Z146"/>
    <mergeCell ref="AA146:AC146"/>
    <mergeCell ref="I138:K138"/>
    <mergeCell ref="L138:N138"/>
    <mergeCell ref="O138:Q138"/>
    <mergeCell ref="R138:T138"/>
    <mergeCell ref="U138:W138"/>
    <mergeCell ref="X138:Z138"/>
    <mergeCell ref="AA133:AC133"/>
    <mergeCell ref="I134:K134"/>
    <mergeCell ref="L134:N134"/>
    <mergeCell ref="O134:Q134"/>
    <mergeCell ref="R134:T134"/>
    <mergeCell ref="U134:W134"/>
    <mergeCell ref="X134:Z134"/>
    <mergeCell ref="AA134:AC134"/>
    <mergeCell ref="I133:K133"/>
    <mergeCell ref="L133:N133"/>
    <mergeCell ref="O133:Q133"/>
    <mergeCell ref="R133:T133"/>
    <mergeCell ref="U133:W133"/>
    <mergeCell ref="X133:Z133"/>
    <mergeCell ref="AD109:AD111"/>
    <mergeCell ref="I110:K110"/>
    <mergeCell ref="L110:N110"/>
    <mergeCell ref="O110:Q110"/>
    <mergeCell ref="R110:T110"/>
    <mergeCell ref="U110:W110"/>
    <mergeCell ref="X110:Z110"/>
    <mergeCell ref="AA110:AC110"/>
    <mergeCell ref="I109:K109"/>
    <mergeCell ref="L109:N109"/>
    <mergeCell ref="AA101:AC101"/>
    <mergeCell ref="R102:T102"/>
    <mergeCell ref="U102:W102"/>
    <mergeCell ref="O109:Q109"/>
    <mergeCell ref="R109:T109"/>
    <mergeCell ref="U109:W109"/>
    <mergeCell ref="X109:Z109"/>
    <mergeCell ref="AA109:AC109"/>
    <mergeCell ref="X102:Z102"/>
    <mergeCell ref="AA102:AC102"/>
    <mergeCell ref="A83:A99"/>
    <mergeCell ref="B83:B97"/>
    <mergeCell ref="C97:H97"/>
    <mergeCell ref="O101:Q101"/>
    <mergeCell ref="R101:T101"/>
    <mergeCell ref="U101:W101"/>
    <mergeCell ref="L101:N101"/>
    <mergeCell ref="I102:K102"/>
    <mergeCell ref="L102:N102"/>
    <mergeCell ref="O102:Q102"/>
    <mergeCell ref="A81:A82"/>
    <mergeCell ref="B81:B82"/>
    <mergeCell ref="C82:H82"/>
    <mergeCell ref="C100:H100"/>
    <mergeCell ref="I101:K101"/>
    <mergeCell ref="B98:B99"/>
    <mergeCell ref="C99:H99"/>
    <mergeCell ref="AD57:AD59"/>
    <mergeCell ref="I58:K58"/>
    <mergeCell ref="L58:N58"/>
    <mergeCell ref="O58:Q58"/>
    <mergeCell ref="R58:T58"/>
    <mergeCell ref="U58:W58"/>
    <mergeCell ref="I57:K57"/>
    <mergeCell ref="L57:N57"/>
    <mergeCell ref="AA58:AC58"/>
    <mergeCell ref="AA57:AC57"/>
    <mergeCell ref="X101:Z101"/>
    <mergeCell ref="G57:G59"/>
    <mergeCell ref="A53:C53"/>
    <mergeCell ref="U57:W57"/>
    <mergeCell ref="X57:Z57"/>
    <mergeCell ref="O57:Q57"/>
    <mergeCell ref="X58:Z58"/>
    <mergeCell ref="H57:H59"/>
    <mergeCell ref="D57:D59"/>
    <mergeCell ref="R57:T57"/>
    <mergeCell ref="R7:T7"/>
    <mergeCell ref="X50:Z50"/>
    <mergeCell ref="AA50:AC50"/>
    <mergeCell ref="I51:K51"/>
    <mergeCell ref="L51:N51"/>
    <mergeCell ref="I50:K50"/>
    <mergeCell ref="L50:N50"/>
    <mergeCell ref="O50:Q50"/>
    <mergeCell ref="R50:T50"/>
    <mergeCell ref="O51:Q51"/>
    <mergeCell ref="R51:T51"/>
    <mergeCell ref="U51:W51"/>
    <mergeCell ref="X51:Z51"/>
    <mergeCell ref="AA51:AC51"/>
    <mergeCell ref="N53:P53"/>
    <mergeCell ref="N54:P54"/>
    <mergeCell ref="U6:W6"/>
    <mergeCell ref="U50:W50"/>
    <mergeCell ref="AX7:AZ7"/>
    <mergeCell ref="B28:B29"/>
    <mergeCell ref="C29:H29"/>
    <mergeCell ref="AF7:AH7"/>
    <mergeCell ref="AI7:AK7"/>
    <mergeCell ref="AL7:AN7"/>
    <mergeCell ref="AO7:AQ7"/>
    <mergeCell ref="AR7:AT7"/>
    <mergeCell ref="AI6:AK6"/>
    <mergeCell ref="AL6:AN6"/>
    <mergeCell ref="AO6:AQ6"/>
    <mergeCell ref="AR6:AT6"/>
    <mergeCell ref="AU6:AW6"/>
    <mergeCell ref="AA7:AC7"/>
    <mergeCell ref="AU7:AW7"/>
    <mergeCell ref="AF6:AH6"/>
    <mergeCell ref="AX6:AZ6"/>
    <mergeCell ref="R6:T6"/>
    <mergeCell ref="B9:B15"/>
    <mergeCell ref="C15:H15"/>
    <mergeCell ref="B16:B24"/>
    <mergeCell ref="C24:H24"/>
    <mergeCell ref="C6:C8"/>
    <mergeCell ref="D6:D8"/>
    <mergeCell ref="U7:W7"/>
    <mergeCell ref="X7:Z7"/>
    <mergeCell ref="A4:C4"/>
    <mergeCell ref="AC4:AD4"/>
    <mergeCell ref="A6:A8"/>
    <mergeCell ref="B6:B8"/>
    <mergeCell ref="X6:Z6"/>
    <mergeCell ref="AA6:AC6"/>
    <mergeCell ref="AD6:AD8"/>
    <mergeCell ref="E6:E8"/>
    <mergeCell ref="I6:K6"/>
    <mergeCell ref="L6:N6"/>
    <mergeCell ref="L1:R1"/>
    <mergeCell ref="AC1:AD1"/>
    <mergeCell ref="A2:C2"/>
    <mergeCell ref="N2:P2"/>
    <mergeCell ref="AC2:AD3"/>
    <mergeCell ref="A3:C3"/>
    <mergeCell ref="N3:P3"/>
    <mergeCell ref="O6:Q6"/>
    <mergeCell ref="I7:K7"/>
    <mergeCell ref="A9:A29"/>
    <mergeCell ref="H6:H8"/>
    <mergeCell ref="G6:G8"/>
    <mergeCell ref="B25:B27"/>
    <mergeCell ref="C27:H27"/>
    <mergeCell ref="F6:F8"/>
    <mergeCell ref="L7:N7"/>
    <mergeCell ref="O7:Q7"/>
    <mergeCell ref="B76:B78"/>
    <mergeCell ref="C78:H78"/>
    <mergeCell ref="B79:B80"/>
    <mergeCell ref="C80:H80"/>
    <mergeCell ref="A60:A80"/>
    <mergeCell ref="B67:B75"/>
    <mergeCell ref="C75:H75"/>
    <mergeCell ref="B60:B66"/>
    <mergeCell ref="C66:H66"/>
    <mergeCell ref="E57:E59"/>
    <mergeCell ref="F57:F59"/>
    <mergeCell ref="B47:B48"/>
    <mergeCell ref="C48:H48"/>
    <mergeCell ref="C49:H49"/>
    <mergeCell ref="A54:C54"/>
    <mergeCell ref="A55:C55"/>
    <mergeCell ref="A57:A59"/>
    <mergeCell ref="B57:B59"/>
    <mergeCell ref="C57:C59"/>
    <mergeCell ref="A30:A31"/>
    <mergeCell ref="B30:B31"/>
    <mergeCell ref="C31:H31"/>
    <mergeCell ref="A32:A48"/>
    <mergeCell ref="B32:B46"/>
    <mergeCell ref="C46:H46"/>
  </mergeCells>
  <printOptions gridLines="false" gridLinesSet="true" horizontalCentered="true"/>
  <pageMargins left="0" right="0" top="0.75" bottom="0.5" header="0.4" footer="0.25"/>
  <pageSetup paperSize="9" orientation="landscape" scale="52" fitToHeight="2" fitToWidth="1" pageOrder="downThenOver"/>
  <headerFooter differentOddEven="false" differentFirst="false" scaleWithDoc="true" alignWithMargins="true">
    <oddHeader>&amp;LPT. JATIM AUTOCOMP INDONESIA</oddHeader>
    <oddFooter>&amp;LSIX MONTH PRODUCTION PLAN.xls&amp;R&amp;"Times New Roman,Regular"&amp;9&amp;P / &amp;N</oddFooter>
    <evenHeader>&amp;LPT. JATIM AUTOCOMP INDONESIA</evenHeader>
    <evenFooter>&amp;LSIX MONTH PRODUCTION PLAN.xls&amp;R&amp;"Times New Roman,Regular"&amp;9&amp;P / &amp;N</evenFooter>
    <firstHeader/>
    <firstFooter/>
  </headerFooter>
  <rowBreaks count="3" manualBreakCount="3">
    <brk id="51" man="1"/>
    <brk id="102" man="1"/>
    <brk id="105" man="1"/>
  </rowBreaks>
  <legacyDrawing r:id="rId_comments_vml1"/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6"/>
  <sheetViews>
    <sheetView tabSelected="0" workbookViewId="0" showGridLines="true" showRowColHeaders="1">
      <selection activeCell="A55" sqref="A55:D66"/>
    </sheetView>
  </sheetViews>
  <sheetFormatPr customHeight="true" defaultRowHeight="12.75" outlineLevelRow="0" outlineLevelCol="0"/>
  <cols>
    <col min="2" max="2" width="16.85546875" customWidth="true" style="0"/>
  </cols>
  <sheetData>
    <row r="2" spans="1:4" customHeight="1" ht="12.75">
      <c r="A2" t="s">
        <v>32</v>
      </c>
      <c r="B2" t="s">
        <v>174</v>
      </c>
      <c r="C2">
        <v>2022</v>
      </c>
      <c r="D2">
        <v>4</v>
      </c>
    </row>
    <row r="3" spans="1:4" customHeight="1" ht="12.75">
      <c r="A3" t="s">
        <v>25</v>
      </c>
      <c r="B3" t="s">
        <v>175</v>
      </c>
      <c r="C3">
        <v>2022</v>
      </c>
      <c r="D3">
        <v>4</v>
      </c>
    </row>
    <row r="4" spans="1:4" customHeight="1" ht="12.75">
      <c r="A4" t="s">
        <v>26</v>
      </c>
      <c r="B4" t="s">
        <v>176</v>
      </c>
      <c r="C4">
        <v>2022</v>
      </c>
      <c r="D4">
        <v>5</v>
      </c>
    </row>
    <row r="5" spans="1:4" customHeight="1" ht="12.75">
      <c r="A5" t="s">
        <v>27</v>
      </c>
      <c r="B5" t="s">
        <v>177</v>
      </c>
      <c r="C5">
        <v>2022</v>
      </c>
      <c r="D5">
        <v>4</v>
      </c>
    </row>
    <row r="6" spans="1:4" customHeight="1" ht="12.75">
      <c r="A6" t="s">
        <v>28</v>
      </c>
      <c r="B6" t="s">
        <v>178</v>
      </c>
      <c r="C6">
        <v>2022</v>
      </c>
      <c r="D6">
        <v>4</v>
      </c>
    </row>
    <row r="7" spans="1:4" customHeight="1" ht="12.75">
      <c r="A7" t="s">
        <v>29</v>
      </c>
      <c r="B7" t="s">
        <v>179</v>
      </c>
      <c r="C7">
        <v>2022</v>
      </c>
      <c r="D7">
        <v>4</v>
      </c>
    </row>
    <row r="8" spans="1:4" customHeight="1" ht="12.75">
      <c r="A8" t="s">
        <v>30</v>
      </c>
      <c r="B8" t="s">
        <v>180</v>
      </c>
      <c r="C8">
        <v>2022</v>
      </c>
      <c r="D8">
        <v>4</v>
      </c>
    </row>
    <row r="9" spans="1:4" customHeight="1" ht="12.75">
      <c r="A9" t="s">
        <v>31</v>
      </c>
      <c r="B9" t="s">
        <v>181</v>
      </c>
      <c r="C9">
        <v>2022</v>
      </c>
      <c r="D9">
        <v>4</v>
      </c>
    </row>
    <row r="10" spans="1:4" customHeight="1" ht="12.75">
      <c r="A10" t="s">
        <v>182</v>
      </c>
      <c r="B10" t="s">
        <v>183</v>
      </c>
      <c r="C10">
        <v>2022</v>
      </c>
      <c r="D10">
        <v>4</v>
      </c>
    </row>
    <row r="11" spans="1:4" customHeight="1" ht="12.75">
      <c r="A11" t="s">
        <v>184</v>
      </c>
      <c r="B11" t="s">
        <v>185</v>
      </c>
      <c r="C11">
        <v>2022</v>
      </c>
      <c r="D11">
        <v>4</v>
      </c>
    </row>
    <row r="12" spans="1:4" customHeight="1" ht="12.75">
      <c r="A12" t="s">
        <v>186</v>
      </c>
      <c r="B12" t="s">
        <v>187</v>
      </c>
      <c r="C12">
        <v>2022</v>
      </c>
      <c r="D12">
        <v>5</v>
      </c>
    </row>
    <row r="13" spans="1:4" customHeight="1" ht="12.75">
      <c r="A13" t="s">
        <v>188</v>
      </c>
      <c r="B13" t="s">
        <v>189</v>
      </c>
      <c r="C13">
        <v>2022</v>
      </c>
      <c r="D13">
        <v>4</v>
      </c>
    </row>
    <row r="16" spans="1:4" customHeight="1" ht="12.75">
      <c r="A16" t="s">
        <v>32</v>
      </c>
      <c r="B16" t="s">
        <v>190</v>
      </c>
      <c r="C16">
        <v>2023</v>
      </c>
      <c r="D16">
        <v>4</v>
      </c>
    </row>
    <row r="17" spans="1:4" customHeight="1" ht="12.75">
      <c r="A17" t="s">
        <v>25</v>
      </c>
      <c r="B17" t="s">
        <v>191</v>
      </c>
      <c r="C17">
        <v>2023</v>
      </c>
      <c r="D17">
        <v>4</v>
      </c>
    </row>
    <row r="18" spans="1:4" customHeight="1" ht="12.75">
      <c r="A18" t="s">
        <v>26</v>
      </c>
      <c r="B18" t="s">
        <v>176</v>
      </c>
      <c r="C18">
        <v>2023</v>
      </c>
      <c r="D18">
        <v>5</v>
      </c>
    </row>
    <row r="19" spans="1:4" customHeight="1" ht="12.75">
      <c r="A19" t="s">
        <v>27</v>
      </c>
      <c r="B19" t="s">
        <v>192</v>
      </c>
      <c r="C19">
        <v>2023</v>
      </c>
      <c r="D19">
        <v>4</v>
      </c>
    </row>
    <row r="20" spans="1:4" customHeight="1" ht="12.75">
      <c r="A20" t="s">
        <v>28</v>
      </c>
      <c r="B20" t="s">
        <v>193</v>
      </c>
      <c r="C20">
        <v>2023</v>
      </c>
      <c r="D20">
        <v>5</v>
      </c>
    </row>
    <row r="21" spans="1:4" customHeight="1" ht="12.75">
      <c r="A21" t="s">
        <v>29</v>
      </c>
      <c r="B21" t="s">
        <v>179</v>
      </c>
      <c r="C21">
        <v>2023</v>
      </c>
      <c r="D21">
        <v>4</v>
      </c>
    </row>
    <row r="22" spans="1:4" customHeight="1" ht="12.75">
      <c r="A22" t="s">
        <v>30</v>
      </c>
      <c r="B22" t="s">
        <v>194</v>
      </c>
      <c r="C22">
        <v>2023</v>
      </c>
      <c r="D22">
        <v>4</v>
      </c>
    </row>
    <row r="23" spans="1:4" customHeight="1" ht="12.75">
      <c r="A23" t="s">
        <v>31</v>
      </c>
      <c r="B23" t="s">
        <v>181</v>
      </c>
      <c r="C23">
        <v>2023</v>
      </c>
      <c r="D23">
        <v>5</v>
      </c>
    </row>
    <row r="24" spans="1:4" customHeight="1" ht="12.75">
      <c r="A24" t="s">
        <v>182</v>
      </c>
      <c r="B24" t="s">
        <v>195</v>
      </c>
      <c r="C24">
        <v>2023</v>
      </c>
      <c r="D24">
        <v>4</v>
      </c>
    </row>
    <row r="25" spans="1:4" customHeight="1" ht="12.75">
      <c r="A25" t="s">
        <v>184</v>
      </c>
      <c r="B25" t="s">
        <v>196</v>
      </c>
      <c r="C25">
        <v>2023</v>
      </c>
      <c r="D25">
        <v>4</v>
      </c>
    </row>
    <row r="26" spans="1:4" customHeight="1" ht="12.75">
      <c r="A26" t="s">
        <v>186</v>
      </c>
      <c r="B26" t="s">
        <v>187</v>
      </c>
      <c r="C26">
        <v>2023</v>
      </c>
      <c r="D26">
        <v>5</v>
      </c>
    </row>
    <row r="27" spans="1:4" customHeight="1" ht="12.75">
      <c r="A27" t="s">
        <v>188</v>
      </c>
      <c r="B27" t="s">
        <v>197</v>
      </c>
      <c r="C27">
        <v>2023</v>
      </c>
      <c r="D27">
        <v>4</v>
      </c>
    </row>
    <row r="29" spans="1:4" customHeight="1" ht="12.75">
      <c r="A29" t="s">
        <v>32</v>
      </c>
      <c r="B29" t="s">
        <v>190</v>
      </c>
      <c r="C29">
        <v>2024</v>
      </c>
      <c r="D29">
        <v>5</v>
      </c>
    </row>
    <row r="30" spans="1:4" customHeight="1" ht="12.75">
      <c r="A30" t="s">
        <v>25</v>
      </c>
      <c r="B30" t="s">
        <v>198</v>
      </c>
      <c r="C30">
        <v>2024</v>
      </c>
      <c r="D30">
        <v>4</v>
      </c>
    </row>
    <row r="31" spans="1:4" customHeight="1" ht="12.75">
      <c r="A31" t="s">
        <v>26</v>
      </c>
      <c r="B31" t="s">
        <v>199</v>
      </c>
      <c r="C31">
        <v>2024</v>
      </c>
      <c r="D31">
        <v>4</v>
      </c>
    </row>
    <row r="32" spans="1:4" customHeight="1" ht="12.75">
      <c r="A32" t="s">
        <v>27</v>
      </c>
      <c r="B32" t="s">
        <v>200</v>
      </c>
      <c r="C32">
        <v>2024</v>
      </c>
      <c r="D32">
        <v>4</v>
      </c>
    </row>
    <row r="33" spans="1:4" customHeight="1" ht="12.75">
      <c r="A33" t="s">
        <v>28</v>
      </c>
      <c r="B33" t="s">
        <v>193</v>
      </c>
      <c r="C33">
        <v>2024</v>
      </c>
      <c r="D33">
        <v>4</v>
      </c>
    </row>
    <row r="34" spans="1:4" customHeight="1" ht="12.75">
      <c r="A34" t="s">
        <v>29</v>
      </c>
      <c r="B34" t="s">
        <v>201</v>
      </c>
      <c r="C34">
        <v>2024</v>
      </c>
      <c r="D34">
        <v>4</v>
      </c>
    </row>
    <row r="35" spans="1:4" customHeight="1" ht="12.75">
      <c r="A35" t="s">
        <v>30</v>
      </c>
      <c r="B35" t="s">
        <v>202</v>
      </c>
      <c r="C35">
        <v>2024</v>
      </c>
      <c r="D35">
        <v>5</v>
      </c>
    </row>
    <row r="36" spans="1:4" customHeight="1" ht="12.75">
      <c r="A36" t="s">
        <v>31</v>
      </c>
      <c r="B36" t="s">
        <v>203</v>
      </c>
      <c r="C36">
        <v>2024</v>
      </c>
      <c r="D36">
        <v>5</v>
      </c>
    </row>
    <row r="37" spans="1:4" customHeight="1" ht="12.75">
      <c r="A37" t="s">
        <v>182</v>
      </c>
      <c r="B37" t="s">
        <v>204</v>
      </c>
      <c r="C37">
        <v>2024</v>
      </c>
      <c r="D37">
        <v>4</v>
      </c>
    </row>
    <row r="38" spans="1:4" customHeight="1" ht="12.75">
      <c r="A38" t="s">
        <v>184</v>
      </c>
      <c r="B38" t="s">
        <v>205</v>
      </c>
      <c r="C38">
        <v>2024</v>
      </c>
      <c r="D38">
        <v>5</v>
      </c>
    </row>
    <row r="39" spans="1:4" customHeight="1" ht="12.75">
      <c r="A39" t="s">
        <v>186</v>
      </c>
      <c r="B39" t="s">
        <v>206</v>
      </c>
      <c r="C39">
        <v>2024</v>
      </c>
      <c r="D39">
        <v>4</v>
      </c>
    </row>
    <row r="40" spans="1:4" customHeight="1" ht="12.75">
      <c r="A40" t="s">
        <v>188</v>
      </c>
      <c r="B40" t="s">
        <v>207</v>
      </c>
      <c r="C40">
        <v>2024</v>
      </c>
      <c r="D40">
        <v>4</v>
      </c>
    </row>
    <row r="42" spans="1:4" customHeight="1" ht="12.75">
      <c r="A42" t="s">
        <v>32</v>
      </c>
      <c r="B42" t="s">
        <v>190</v>
      </c>
      <c r="C42">
        <v>2025</v>
      </c>
      <c r="D42">
        <v>4</v>
      </c>
    </row>
    <row r="43" spans="1:4" customHeight="1" ht="12.75">
      <c r="A43" t="s">
        <v>25</v>
      </c>
      <c r="B43" t="s">
        <v>208</v>
      </c>
      <c r="C43">
        <v>2025</v>
      </c>
      <c r="D43">
        <v>4</v>
      </c>
    </row>
    <row r="44" spans="1:4" customHeight="1" ht="12.75">
      <c r="A44" t="s">
        <v>26</v>
      </c>
      <c r="B44" t="s">
        <v>209</v>
      </c>
      <c r="C44">
        <v>2025</v>
      </c>
      <c r="D44">
        <v>4</v>
      </c>
    </row>
    <row r="45" spans="1:4" customHeight="1" ht="12.75">
      <c r="A45" t="s">
        <v>27</v>
      </c>
      <c r="B45" t="s">
        <v>210</v>
      </c>
      <c r="C45">
        <v>2025</v>
      </c>
      <c r="D45">
        <v>4</v>
      </c>
    </row>
    <row r="46" spans="1:4" customHeight="1" ht="12.75">
      <c r="A46" t="s">
        <v>28</v>
      </c>
      <c r="B46" t="s">
        <v>211</v>
      </c>
      <c r="C46">
        <v>2025</v>
      </c>
      <c r="D46">
        <v>4</v>
      </c>
    </row>
    <row r="47" spans="1:4" customHeight="1" ht="12.75">
      <c r="A47" t="s">
        <v>29</v>
      </c>
      <c r="B47" t="s">
        <v>179</v>
      </c>
      <c r="C47">
        <v>2025</v>
      </c>
      <c r="D47">
        <v>4</v>
      </c>
    </row>
    <row r="48" spans="1:4" customHeight="1" ht="12.75">
      <c r="A48" t="s">
        <v>30</v>
      </c>
      <c r="B48" t="s">
        <v>202</v>
      </c>
      <c r="C48">
        <v>2025</v>
      </c>
      <c r="D48">
        <v>5</v>
      </c>
    </row>
    <row r="49" spans="1:4" customHeight="1" ht="12.75">
      <c r="A49" t="s">
        <v>31</v>
      </c>
      <c r="B49" t="s">
        <v>212</v>
      </c>
      <c r="C49">
        <v>2025</v>
      </c>
      <c r="D49">
        <v>4</v>
      </c>
    </row>
    <row r="50" spans="1:4" customHeight="1" ht="12.75">
      <c r="A50" t="s">
        <v>182</v>
      </c>
      <c r="B50" t="s">
        <v>183</v>
      </c>
      <c r="C50">
        <v>2025</v>
      </c>
      <c r="D50">
        <v>4</v>
      </c>
    </row>
    <row r="51" spans="1:4" customHeight="1" ht="12.75">
      <c r="A51" t="s">
        <v>184</v>
      </c>
      <c r="B51" t="s">
        <v>205</v>
      </c>
      <c r="C51">
        <v>2025</v>
      </c>
      <c r="D51">
        <v>5</v>
      </c>
    </row>
    <row r="52" spans="1:4" customHeight="1" ht="12.75">
      <c r="A52" t="s">
        <v>186</v>
      </c>
      <c r="B52" t="s">
        <v>213</v>
      </c>
      <c r="C52">
        <v>2025</v>
      </c>
      <c r="D52">
        <v>4</v>
      </c>
    </row>
    <row r="53" spans="1:4" customHeight="1" ht="12.75">
      <c r="A53" t="s">
        <v>188</v>
      </c>
      <c r="B53" t="s">
        <v>214</v>
      </c>
      <c r="C53">
        <v>2025</v>
      </c>
      <c r="D53">
        <v>5</v>
      </c>
    </row>
    <row r="55" spans="1:4" customHeight="1" ht="12.75">
      <c r="A55" t="s">
        <v>32</v>
      </c>
      <c r="B55" t="s">
        <v>215</v>
      </c>
      <c r="C55">
        <v>2026</v>
      </c>
      <c r="D55">
        <v>4</v>
      </c>
    </row>
    <row r="56" spans="1:4" customHeight="1" ht="12.75">
      <c r="A56" t="s">
        <v>25</v>
      </c>
      <c r="B56" t="s">
        <v>216</v>
      </c>
      <c r="C56">
        <v>2026</v>
      </c>
      <c r="D56">
        <v>4</v>
      </c>
    </row>
    <row r="57" spans="1:4" customHeight="1" ht="12.75">
      <c r="A57" t="s">
        <v>26</v>
      </c>
      <c r="B57" t="s">
        <v>217</v>
      </c>
      <c r="C57">
        <v>2026</v>
      </c>
      <c r="D57">
        <v>4</v>
      </c>
    </row>
    <row r="58" spans="1:4" customHeight="1" ht="12.75">
      <c r="A58" t="s">
        <v>27</v>
      </c>
      <c r="B58" t="s">
        <v>200</v>
      </c>
      <c r="C58">
        <v>2026</v>
      </c>
      <c r="D58">
        <v>5</v>
      </c>
    </row>
    <row r="59" spans="1:4" customHeight="1" ht="12.75">
      <c r="A59" t="s">
        <v>28</v>
      </c>
      <c r="B59" t="s">
        <v>211</v>
      </c>
      <c r="C59">
        <v>2026</v>
      </c>
      <c r="D59">
        <v>4</v>
      </c>
    </row>
    <row r="60" spans="1:4" customHeight="1" ht="12.75">
      <c r="A60" t="s">
        <v>29</v>
      </c>
      <c r="B60" t="s">
        <v>179</v>
      </c>
      <c r="C60">
        <v>2026</v>
      </c>
      <c r="D60">
        <v>4</v>
      </c>
    </row>
    <row r="61" spans="1:4" customHeight="1" ht="12.75">
      <c r="A61" t="s">
        <v>30</v>
      </c>
      <c r="B61" t="s">
        <v>202</v>
      </c>
      <c r="C61">
        <v>2026</v>
      </c>
      <c r="D61">
        <v>5</v>
      </c>
    </row>
    <row r="62" spans="1:4" customHeight="1" ht="12.75">
      <c r="A62" t="s">
        <v>31</v>
      </c>
      <c r="B62" t="s">
        <v>218</v>
      </c>
      <c r="C62">
        <v>2026</v>
      </c>
      <c r="D62">
        <v>4</v>
      </c>
    </row>
    <row r="63" spans="1:4" customHeight="1" ht="12.75">
      <c r="A63" t="s">
        <v>182</v>
      </c>
      <c r="B63" t="s">
        <v>183</v>
      </c>
      <c r="C63">
        <v>2026</v>
      </c>
      <c r="D63">
        <v>5</v>
      </c>
    </row>
    <row r="64" spans="1:4" customHeight="1" ht="12.75">
      <c r="A64" t="s">
        <v>184</v>
      </c>
      <c r="B64" t="s">
        <v>219</v>
      </c>
      <c r="C64">
        <v>2026</v>
      </c>
      <c r="D64">
        <v>4</v>
      </c>
    </row>
    <row r="65" spans="1:4" customHeight="1" ht="12.75">
      <c r="A65" t="s">
        <v>186</v>
      </c>
      <c r="B65" t="s">
        <v>220</v>
      </c>
      <c r="C65">
        <v>2026</v>
      </c>
      <c r="D65">
        <v>4</v>
      </c>
    </row>
    <row r="66" spans="1:4" customHeight="1" ht="12.75">
      <c r="A66" t="s">
        <v>188</v>
      </c>
      <c r="B66" t="s">
        <v>214</v>
      </c>
      <c r="C66">
        <v>2026</v>
      </c>
      <c r="D66">
        <v>5</v>
      </c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XXXXXX</vt:lpstr>
      <vt:lpstr>XXXXXXXX</vt:lpstr>
      <vt:lpstr>XXXXXXXXXX</vt:lpstr>
      <vt:lpstr>XXXXXXXXX0</vt:lpstr>
      <vt:lpstr>Qty &amp; UMH GUM</vt:lpstr>
      <vt:lpstr>Summ Qty&amp;UMH GUM </vt:lpstr>
      <vt:lpstr>AS400 JEMBATAN</vt:lpstr>
      <vt:lpstr>AS400 TRANSFER</vt:lpstr>
      <vt:lpstr>Summ Qty &amp; UMH</vt:lpstr>
      <vt:lpstr>WEEK</vt:lpstr>
    </vt:vector>
  </TitlesOfParts>
  <Company>PT. Jatim Autocomp Indonesia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 Budi Susanto</dc:creator>
  <cp:lastModifiedBy>Lilik Suryati</cp:lastModifiedBy>
  <dcterms:created xsi:type="dcterms:W3CDTF">1998-07-02T08:12:14+00:00</dcterms:created>
  <dcterms:modified xsi:type="dcterms:W3CDTF">2026-03-11T04:02:01+00:00</dcterms:modified>
  <dc:title>Untitled Spreadsheet</dc:title>
  <dc:description/>
  <dc:subject/>
  <cp:keywords/>
  <cp:category/>
</cp:coreProperties>
</file>