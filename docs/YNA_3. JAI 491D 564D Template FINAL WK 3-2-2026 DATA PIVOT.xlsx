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Ppc01\ppc\PPC Department\TOYOTA 909W ( 200D, 220D)\SR\SOP\2026\3. MAR\"/>
    </mc:Choice>
  </mc:AlternateContent>
  <bookViews>
    <workbookView xWindow="10185" yWindow="-15" windowWidth="10080" windowHeight="7980" tabRatio="543" firstSheet="1" activeTab="1"/>
  </bookViews>
  <sheets>
    <sheet name="NOTES" sheetId="9" state="hidden" r:id="rId1"/>
    <sheet name="SUMMARY" sheetId="19" r:id="rId2"/>
    <sheet name="Final SR" sheetId="4" r:id="rId3"/>
    <sheet name="Sheet1" sheetId="11" r:id="rId4"/>
    <sheet name="JAI TOTALs" sheetId="8" r:id="rId5"/>
    <sheet name="TOTALss" sheetId="5" r:id="rId6"/>
    <sheet name="Timing Table" sheetId="7" r:id="rId7"/>
    <sheet name="GRAPH" sheetId="6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'Final SR'!$BV$11:$CB$329</definedName>
    <definedName name="_xlnm._FilterDatabase" localSheetId="6" hidden="1">'Timing Table'!$A$1:$M$85</definedName>
    <definedName name="ProdLines">[1]Chart!$A$66:$A$66</definedName>
  </definedNames>
  <calcPr calcId="162913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N49" i="19" l="1"/>
  <c r="BM49" i="19"/>
  <c r="BL49" i="19"/>
  <c r="BK49" i="19"/>
  <c r="BJ49" i="19"/>
  <c r="BI49" i="19"/>
  <c r="BH49" i="19"/>
  <c r="BG49" i="19"/>
  <c r="BF49" i="19"/>
  <c r="BE49" i="19"/>
  <c r="BD49" i="19"/>
  <c r="BC49" i="19"/>
  <c r="BN48" i="19"/>
  <c r="BM48" i="19"/>
  <c r="BL48" i="19"/>
  <c r="BK48" i="19"/>
  <c r="BJ48" i="19"/>
  <c r="BI48" i="19"/>
  <c r="BH48" i="19"/>
  <c r="BG48" i="19"/>
  <c r="BF48" i="19"/>
  <c r="BE48" i="19"/>
  <c r="BD48" i="19"/>
  <c r="BC48" i="19"/>
  <c r="BN47" i="19"/>
  <c r="BM47" i="19"/>
  <c r="BL47" i="19"/>
  <c r="BK47" i="19"/>
  <c r="BJ47" i="19"/>
  <c r="BI47" i="19"/>
  <c r="BH47" i="19"/>
  <c r="BG47" i="19"/>
  <c r="BF47" i="19"/>
  <c r="BE47" i="19"/>
  <c r="BD47" i="19"/>
  <c r="BC47" i="19"/>
  <c r="BN46" i="19"/>
  <c r="BM46" i="19"/>
  <c r="BL46" i="19"/>
  <c r="BK46" i="19"/>
  <c r="BJ46" i="19"/>
  <c r="BI46" i="19"/>
  <c r="BH46" i="19"/>
  <c r="BG46" i="19"/>
  <c r="BF46" i="19"/>
  <c r="BE46" i="19"/>
  <c r="BD46" i="19"/>
  <c r="BC46" i="19"/>
  <c r="BN45" i="19"/>
  <c r="BM45" i="19"/>
  <c r="BL45" i="19"/>
  <c r="BK45" i="19"/>
  <c r="BJ45" i="19"/>
  <c r="BI45" i="19"/>
  <c r="BH45" i="19"/>
  <c r="BG45" i="19"/>
  <c r="BF45" i="19"/>
  <c r="BE45" i="19"/>
  <c r="BD45" i="19"/>
  <c r="BC45" i="19"/>
  <c r="BN44" i="19"/>
  <c r="BM44" i="19"/>
  <c r="BL44" i="19"/>
  <c r="BK44" i="19"/>
  <c r="BJ44" i="19"/>
  <c r="BI44" i="19"/>
  <c r="BH44" i="19"/>
  <c r="BG44" i="19"/>
  <c r="BF44" i="19"/>
  <c r="BE44" i="19"/>
  <c r="BD44" i="19"/>
  <c r="BC44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N42" i="19"/>
  <c r="BM42" i="19"/>
  <c r="BL42" i="19"/>
  <c r="BK42" i="19"/>
  <c r="BJ42" i="19"/>
  <c r="BI42" i="19"/>
  <c r="BH42" i="19"/>
  <c r="BG42" i="19"/>
  <c r="BF42" i="19"/>
  <c r="BE42" i="19"/>
  <c r="BD42" i="19"/>
  <c r="BC42" i="19"/>
  <c r="BN41" i="19"/>
  <c r="BM41" i="19"/>
  <c r="BL41" i="19"/>
  <c r="BK41" i="19"/>
  <c r="BJ41" i="19"/>
  <c r="BI41" i="19"/>
  <c r="BH41" i="19"/>
  <c r="BG41" i="19"/>
  <c r="BF41" i="19"/>
  <c r="BE41" i="19"/>
  <c r="BD41" i="19"/>
  <c r="BC41" i="19"/>
  <c r="BN40" i="19"/>
  <c r="BM40" i="19"/>
  <c r="BL40" i="19"/>
  <c r="BK40" i="19"/>
  <c r="BJ40" i="19"/>
  <c r="BI40" i="19"/>
  <c r="BH40" i="19"/>
  <c r="BG40" i="19"/>
  <c r="BF40" i="19"/>
  <c r="BE40" i="19"/>
  <c r="BD40" i="19"/>
  <c r="BC40" i="19"/>
  <c r="BN39" i="19"/>
  <c r="BM39" i="19"/>
  <c r="BL39" i="19"/>
  <c r="BK39" i="19"/>
  <c r="BJ39" i="19"/>
  <c r="BI39" i="19"/>
  <c r="BH39" i="19"/>
  <c r="BG39" i="19"/>
  <c r="BF39" i="19"/>
  <c r="BE39" i="19"/>
  <c r="BD39" i="19"/>
  <c r="BC39" i="19"/>
  <c r="BN38" i="19"/>
  <c r="BM38" i="19"/>
  <c r="BL38" i="19"/>
  <c r="BK38" i="19"/>
  <c r="BJ38" i="19"/>
  <c r="BI38" i="19"/>
  <c r="BH38" i="19"/>
  <c r="BG38" i="19"/>
  <c r="BF38" i="19"/>
  <c r="BE38" i="19"/>
  <c r="BD38" i="19"/>
  <c r="BC38" i="19"/>
  <c r="BN37" i="19"/>
  <c r="BM37" i="19"/>
  <c r="BL37" i="19"/>
  <c r="BK37" i="19"/>
  <c r="BJ37" i="19"/>
  <c r="BI37" i="19"/>
  <c r="BH37" i="19"/>
  <c r="BG37" i="19"/>
  <c r="BF37" i="19"/>
  <c r="BE37" i="19"/>
  <c r="BD37" i="19"/>
  <c r="BC37" i="19"/>
  <c r="BN36" i="19"/>
  <c r="BM36" i="19"/>
  <c r="BL36" i="19"/>
  <c r="BK36" i="19"/>
  <c r="BJ36" i="19"/>
  <c r="BI36" i="19"/>
  <c r="BH36" i="19"/>
  <c r="BG36" i="19"/>
  <c r="BF36" i="19"/>
  <c r="BE36" i="19"/>
  <c r="BD36" i="19"/>
  <c r="BC36" i="19"/>
  <c r="BN35" i="19"/>
  <c r="BM35" i="19"/>
  <c r="BL35" i="19"/>
  <c r="BK35" i="19"/>
  <c r="BJ35" i="19"/>
  <c r="BI35" i="19"/>
  <c r="BH35" i="19"/>
  <c r="BG35" i="19"/>
  <c r="BF35" i="19"/>
  <c r="BE35" i="19"/>
  <c r="BD35" i="19"/>
  <c r="BC35" i="19"/>
  <c r="BN34" i="19"/>
  <c r="BM34" i="19"/>
  <c r="BL34" i="19"/>
  <c r="BK34" i="19"/>
  <c r="BJ34" i="19"/>
  <c r="BI34" i="19"/>
  <c r="BH34" i="19"/>
  <c r="BG34" i="19"/>
  <c r="BF34" i="19"/>
  <c r="BE34" i="19"/>
  <c r="BD34" i="19"/>
  <c r="BC34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N32" i="19"/>
  <c r="BM32" i="19"/>
  <c r="BL32" i="19"/>
  <c r="BK32" i="19"/>
  <c r="BJ32" i="19"/>
  <c r="BI32" i="19"/>
  <c r="BH32" i="19"/>
  <c r="BG32" i="19"/>
  <c r="BF32" i="19"/>
  <c r="BE32" i="19"/>
  <c r="BD32" i="19"/>
  <c r="BC32" i="19"/>
  <c r="BN31" i="19"/>
  <c r="BM31" i="19"/>
  <c r="BL31" i="19"/>
  <c r="BK31" i="19"/>
  <c r="BJ31" i="19"/>
  <c r="BI31" i="19"/>
  <c r="BH31" i="19"/>
  <c r="BG31" i="19"/>
  <c r="BF31" i="19"/>
  <c r="BE31" i="19"/>
  <c r="BD31" i="19"/>
  <c r="BC31" i="19"/>
  <c r="BN30" i="19"/>
  <c r="BM30" i="19"/>
  <c r="BL30" i="19"/>
  <c r="BK30" i="19"/>
  <c r="BJ30" i="19"/>
  <c r="BI30" i="19"/>
  <c r="BH30" i="19"/>
  <c r="BG30" i="19"/>
  <c r="BF30" i="19"/>
  <c r="BE30" i="19"/>
  <c r="BD30" i="19"/>
  <c r="BC30" i="19"/>
  <c r="BN29" i="19"/>
  <c r="BM29" i="19"/>
  <c r="BL29" i="19"/>
  <c r="BK29" i="19"/>
  <c r="BJ29" i="19"/>
  <c r="BI29" i="19"/>
  <c r="BH29" i="19"/>
  <c r="BG29" i="19"/>
  <c r="BF29" i="19"/>
  <c r="BE29" i="19"/>
  <c r="BD29" i="19"/>
  <c r="BC29" i="19"/>
  <c r="BN28" i="19"/>
  <c r="BM28" i="19"/>
  <c r="BL28" i="19"/>
  <c r="BK28" i="19"/>
  <c r="BJ28" i="19"/>
  <c r="BI28" i="19"/>
  <c r="BH28" i="19"/>
  <c r="BG28" i="19"/>
  <c r="BF28" i="19"/>
  <c r="BE28" i="19"/>
  <c r="BD28" i="19"/>
  <c r="BC28" i="19"/>
  <c r="BN27" i="19"/>
  <c r="BM27" i="19"/>
  <c r="BL27" i="19"/>
  <c r="BK27" i="19"/>
  <c r="BJ27" i="19"/>
  <c r="BI27" i="19"/>
  <c r="BH27" i="19"/>
  <c r="BG27" i="19"/>
  <c r="BF27" i="19"/>
  <c r="BE27" i="19"/>
  <c r="BD27" i="19"/>
  <c r="BC27" i="19"/>
  <c r="BN26" i="19"/>
  <c r="BM26" i="19"/>
  <c r="BL26" i="19"/>
  <c r="BK26" i="19"/>
  <c r="BJ26" i="19"/>
  <c r="BI26" i="19"/>
  <c r="BH26" i="19"/>
  <c r="BG26" i="19"/>
  <c r="BF26" i="19"/>
  <c r="BE26" i="19"/>
  <c r="BD26" i="19"/>
  <c r="BC26" i="19"/>
  <c r="BN25" i="19"/>
  <c r="BM25" i="19"/>
  <c r="BL25" i="19"/>
  <c r="BK25" i="19"/>
  <c r="BJ25" i="19"/>
  <c r="BI25" i="19"/>
  <c r="BH25" i="19"/>
  <c r="BG25" i="19"/>
  <c r="BF25" i="19"/>
  <c r="BE25" i="19"/>
  <c r="BD25" i="19"/>
  <c r="BC25" i="19"/>
  <c r="BN24" i="19"/>
  <c r="BM24" i="19"/>
  <c r="BL24" i="19"/>
  <c r="BK24" i="19"/>
  <c r="BJ24" i="19"/>
  <c r="BI24" i="19"/>
  <c r="BH24" i="19"/>
  <c r="BG24" i="19"/>
  <c r="BF24" i="19"/>
  <c r="BE24" i="19"/>
  <c r="BD24" i="19"/>
  <c r="BC24" i="19"/>
  <c r="BN23" i="19"/>
  <c r="BM23" i="19"/>
  <c r="BL23" i="19"/>
  <c r="BK23" i="19"/>
  <c r="BJ23" i="19"/>
  <c r="BI23" i="19"/>
  <c r="BH23" i="19"/>
  <c r="BG23" i="19"/>
  <c r="BF23" i="19"/>
  <c r="BE23" i="19"/>
  <c r="BD23" i="19"/>
  <c r="BC23" i="19"/>
  <c r="BN22" i="19"/>
  <c r="BM22" i="19"/>
  <c r="BL22" i="19"/>
  <c r="BK22" i="19"/>
  <c r="BJ22" i="19"/>
  <c r="BI22" i="19"/>
  <c r="BH22" i="19"/>
  <c r="BG22" i="19"/>
  <c r="BF22" i="19"/>
  <c r="BE22" i="19"/>
  <c r="BD22" i="19"/>
  <c r="BC22" i="19"/>
  <c r="BN21" i="19"/>
  <c r="BM21" i="19"/>
  <c r="BL21" i="19"/>
  <c r="BK21" i="19"/>
  <c r="BJ21" i="19"/>
  <c r="BI21" i="19"/>
  <c r="BH21" i="19"/>
  <c r="BG21" i="19"/>
  <c r="BF21" i="19"/>
  <c r="BE21" i="19"/>
  <c r="BD21" i="19"/>
  <c r="BC21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N13" i="19"/>
  <c r="BM13" i="19"/>
  <c r="BL13" i="19"/>
  <c r="BK13" i="19"/>
  <c r="BJ13" i="19"/>
  <c r="BI13" i="19"/>
  <c r="BH13" i="19"/>
  <c r="BG13" i="19"/>
  <c r="BF13" i="19"/>
  <c r="BE13" i="19"/>
  <c r="BD13" i="19"/>
  <c r="BC13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N7" i="19"/>
  <c r="BM7" i="19"/>
  <c r="BL7" i="19"/>
  <c r="BK7" i="19"/>
  <c r="BJ7" i="19"/>
  <c r="BI7" i="19"/>
  <c r="BH7" i="19"/>
  <c r="BG7" i="19"/>
  <c r="BF7" i="19"/>
  <c r="BE7" i="19"/>
  <c r="BD7" i="19"/>
  <c r="BC7" i="19"/>
  <c r="BN6" i="19"/>
  <c r="BM6" i="19"/>
  <c r="BL6" i="19"/>
  <c r="BK6" i="19"/>
  <c r="BJ6" i="19"/>
  <c r="BI6" i="19"/>
  <c r="BH6" i="19"/>
  <c r="BG6" i="19"/>
  <c r="BF6" i="19"/>
  <c r="BE6" i="19"/>
  <c r="BD6" i="19"/>
  <c r="BC6" i="19"/>
  <c r="BN5" i="19"/>
  <c r="BM5" i="19"/>
  <c r="BL5" i="19"/>
  <c r="BK5" i="19"/>
  <c r="BJ5" i="19"/>
  <c r="BI5" i="19"/>
  <c r="BH5" i="19"/>
  <c r="BG5" i="19"/>
  <c r="BF5" i="19"/>
  <c r="BE5" i="19"/>
  <c r="BD5" i="19"/>
  <c r="BC5" i="19"/>
  <c r="DW439" i="4"/>
  <c r="DV439" i="4"/>
  <c r="DU439" i="4"/>
  <c r="DT439" i="4"/>
  <c r="DS439" i="4"/>
  <c r="DR439" i="4"/>
  <c r="DQ439" i="4"/>
  <c r="DP439" i="4"/>
  <c r="DO439" i="4"/>
  <c r="DN439" i="4"/>
  <c r="DM439" i="4"/>
  <c r="DL439" i="4"/>
  <c r="DW438" i="4"/>
  <c r="DV438" i="4"/>
  <c r="DU438" i="4"/>
  <c r="DT438" i="4"/>
  <c r="DS438" i="4"/>
  <c r="DR438" i="4"/>
  <c r="DQ438" i="4"/>
  <c r="DP438" i="4"/>
  <c r="DO438" i="4"/>
  <c r="DN438" i="4"/>
  <c r="DM438" i="4"/>
  <c r="DL438" i="4"/>
  <c r="DW437" i="4"/>
  <c r="DV437" i="4"/>
  <c r="DU437" i="4"/>
  <c r="DT437" i="4"/>
  <c r="DS437" i="4"/>
  <c r="DR437" i="4"/>
  <c r="DQ437" i="4"/>
  <c r="DP437" i="4"/>
  <c r="DO437" i="4"/>
  <c r="DN437" i="4"/>
  <c r="DM437" i="4"/>
  <c r="DL437" i="4"/>
  <c r="DW436" i="4"/>
  <c r="DV436" i="4"/>
  <c r="DU436" i="4"/>
  <c r="DT436" i="4"/>
  <c r="DS436" i="4"/>
  <c r="DR436" i="4"/>
  <c r="DQ436" i="4"/>
  <c r="DP436" i="4"/>
  <c r="DO436" i="4"/>
  <c r="DN436" i="4"/>
  <c r="DM436" i="4"/>
  <c r="DL436" i="4"/>
  <c r="DW435" i="4"/>
  <c r="DV435" i="4"/>
  <c r="DU435" i="4"/>
  <c r="DT435" i="4"/>
  <c r="DS435" i="4"/>
  <c r="DR435" i="4"/>
  <c r="DQ435" i="4"/>
  <c r="DP435" i="4"/>
  <c r="DO435" i="4"/>
  <c r="DN435" i="4"/>
  <c r="DM435" i="4"/>
  <c r="DL435" i="4"/>
  <c r="DW434" i="4"/>
  <c r="DV434" i="4"/>
  <c r="DU434" i="4"/>
  <c r="DT434" i="4"/>
  <c r="DS434" i="4"/>
  <c r="DR434" i="4"/>
  <c r="DQ434" i="4"/>
  <c r="DP434" i="4"/>
  <c r="DO434" i="4"/>
  <c r="DN434" i="4"/>
  <c r="DM434" i="4"/>
  <c r="DL434" i="4"/>
  <c r="DW433" i="4"/>
  <c r="DV433" i="4"/>
  <c r="DU433" i="4"/>
  <c r="DT433" i="4"/>
  <c r="DS433" i="4"/>
  <c r="DR433" i="4"/>
  <c r="DQ433" i="4"/>
  <c r="DP433" i="4"/>
  <c r="DO433" i="4"/>
  <c r="DN433" i="4"/>
  <c r="DM433" i="4"/>
  <c r="DL433" i="4"/>
  <c r="DW432" i="4"/>
  <c r="DV432" i="4"/>
  <c r="DU432" i="4"/>
  <c r="DT432" i="4"/>
  <c r="DS432" i="4"/>
  <c r="DR432" i="4"/>
  <c r="DQ432" i="4"/>
  <c r="DP432" i="4"/>
  <c r="DO432" i="4"/>
  <c r="DN432" i="4"/>
  <c r="DM432" i="4"/>
  <c r="DL432" i="4"/>
  <c r="DW431" i="4"/>
  <c r="DV431" i="4"/>
  <c r="DU431" i="4"/>
  <c r="DT431" i="4"/>
  <c r="DS431" i="4"/>
  <c r="DR431" i="4"/>
  <c r="DQ431" i="4"/>
  <c r="DP431" i="4"/>
  <c r="DO431" i="4"/>
  <c r="DN431" i="4"/>
  <c r="DM431" i="4"/>
  <c r="DL431" i="4"/>
  <c r="DW430" i="4"/>
  <c r="DV430" i="4"/>
  <c r="DU430" i="4"/>
  <c r="DT430" i="4"/>
  <c r="DS430" i="4"/>
  <c r="DR430" i="4"/>
  <c r="DQ430" i="4"/>
  <c r="DP430" i="4"/>
  <c r="DO430" i="4"/>
  <c r="DN430" i="4"/>
  <c r="DM430" i="4"/>
  <c r="DL430" i="4"/>
  <c r="DW429" i="4"/>
  <c r="DV429" i="4"/>
  <c r="DU429" i="4"/>
  <c r="DT429" i="4"/>
  <c r="DS429" i="4"/>
  <c r="DR429" i="4"/>
  <c r="DQ429" i="4"/>
  <c r="DP429" i="4"/>
  <c r="DO429" i="4"/>
  <c r="DN429" i="4"/>
  <c r="DM429" i="4"/>
  <c r="DL429" i="4"/>
  <c r="DW428" i="4"/>
  <c r="DV428" i="4"/>
  <c r="DU428" i="4"/>
  <c r="DT428" i="4"/>
  <c r="DS428" i="4"/>
  <c r="DR428" i="4"/>
  <c r="DQ428" i="4"/>
  <c r="DP428" i="4"/>
  <c r="DO428" i="4"/>
  <c r="DN428" i="4"/>
  <c r="DM428" i="4"/>
  <c r="DL428" i="4"/>
  <c r="DW427" i="4"/>
  <c r="DV427" i="4"/>
  <c r="DU427" i="4"/>
  <c r="DT427" i="4"/>
  <c r="DS427" i="4"/>
  <c r="DR427" i="4"/>
  <c r="DQ427" i="4"/>
  <c r="DP427" i="4"/>
  <c r="DO427" i="4"/>
  <c r="DN427" i="4"/>
  <c r="DM427" i="4"/>
  <c r="DL427" i="4"/>
  <c r="DW426" i="4"/>
  <c r="DV426" i="4"/>
  <c r="DU426" i="4"/>
  <c r="DT426" i="4"/>
  <c r="DS426" i="4"/>
  <c r="DR426" i="4"/>
  <c r="DQ426" i="4"/>
  <c r="DP426" i="4"/>
  <c r="DO426" i="4"/>
  <c r="DN426" i="4"/>
  <c r="DM426" i="4"/>
  <c r="DL426" i="4"/>
  <c r="DW425" i="4"/>
  <c r="DV425" i="4"/>
  <c r="DU425" i="4"/>
  <c r="DT425" i="4"/>
  <c r="DS425" i="4"/>
  <c r="DR425" i="4"/>
  <c r="DQ425" i="4"/>
  <c r="DP425" i="4"/>
  <c r="DO425" i="4"/>
  <c r="DN425" i="4"/>
  <c r="DM425" i="4"/>
  <c r="DL425" i="4"/>
  <c r="DW424" i="4"/>
  <c r="DV424" i="4"/>
  <c r="DU424" i="4"/>
  <c r="DT424" i="4"/>
  <c r="DS424" i="4"/>
  <c r="DR424" i="4"/>
  <c r="DQ424" i="4"/>
  <c r="DP424" i="4"/>
  <c r="DO424" i="4"/>
  <c r="DN424" i="4"/>
  <c r="DM424" i="4"/>
  <c r="DL424" i="4"/>
  <c r="DW423" i="4"/>
  <c r="DV423" i="4"/>
  <c r="DU423" i="4"/>
  <c r="DT423" i="4"/>
  <c r="DS423" i="4"/>
  <c r="DR423" i="4"/>
  <c r="DQ423" i="4"/>
  <c r="DP423" i="4"/>
  <c r="DO423" i="4"/>
  <c r="DN423" i="4"/>
  <c r="DM423" i="4"/>
  <c r="DL423" i="4"/>
  <c r="DW422" i="4"/>
  <c r="DV422" i="4"/>
  <c r="DU422" i="4"/>
  <c r="DT422" i="4"/>
  <c r="DS422" i="4"/>
  <c r="DR422" i="4"/>
  <c r="DQ422" i="4"/>
  <c r="DP422" i="4"/>
  <c r="DO422" i="4"/>
  <c r="DN422" i="4"/>
  <c r="DM422" i="4"/>
  <c r="DL422" i="4"/>
  <c r="DW421" i="4"/>
  <c r="DV421" i="4"/>
  <c r="DU421" i="4"/>
  <c r="DT421" i="4"/>
  <c r="DS421" i="4"/>
  <c r="DR421" i="4"/>
  <c r="DQ421" i="4"/>
  <c r="DP421" i="4"/>
  <c r="DO421" i="4"/>
  <c r="DN421" i="4"/>
  <c r="DM421" i="4"/>
  <c r="DL421" i="4"/>
  <c r="DW420" i="4"/>
  <c r="DV420" i="4"/>
  <c r="DU420" i="4"/>
  <c r="DT420" i="4"/>
  <c r="DS420" i="4"/>
  <c r="DR420" i="4"/>
  <c r="DQ420" i="4"/>
  <c r="DP420" i="4"/>
  <c r="DO420" i="4"/>
  <c r="DN420" i="4"/>
  <c r="DM420" i="4"/>
  <c r="DL420" i="4"/>
  <c r="DW419" i="4"/>
  <c r="DV419" i="4"/>
  <c r="DU419" i="4"/>
  <c r="DT419" i="4"/>
  <c r="DS419" i="4"/>
  <c r="DR419" i="4"/>
  <c r="DQ419" i="4"/>
  <c r="DP419" i="4"/>
  <c r="DO419" i="4"/>
  <c r="DN419" i="4"/>
  <c r="DM419" i="4"/>
  <c r="DL419" i="4"/>
  <c r="DW418" i="4"/>
  <c r="DV418" i="4"/>
  <c r="DU418" i="4"/>
  <c r="DT418" i="4"/>
  <c r="DS418" i="4"/>
  <c r="DR418" i="4"/>
  <c r="DQ418" i="4"/>
  <c r="DP418" i="4"/>
  <c r="DO418" i="4"/>
  <c r="DN418" i="4"/>
  <c r="DM418" i="4"/>
  <c r="DL418" i="4"/>
  <c r="DW417" i="4"/>
  <c r="DV417" i="4"/>
  <c r="DU417" i="4"/>
  <c r="DT417" i="4"/>
  <c r="DS417" i="4"/>
  <c r="DR417" i="4"/>
  <c r="DQ417" i="4"/>
  <c r="DP417" i="4"/>
  <c r="DO417" i="4"/>
  <c r="DN417" i="4"/>
  <c r="DM417" i="4"/>
  <c r="DL417" i="4"/>
  <c r="DW416" i="4"/>
  <c r="DV416" i="4"/>
  <c r="DU416" i="4"/>
  <c r="DT416" i="4"/>
  <c r="DS416" i="4"/>
  <c r="DR416" i="4"/>
  <c r="DQ416" i="4"/>
  <c r="DP416" i="4"/>
  <c r="DO416" i="4"/>
  <c r="DN416" i="4"/>
  <c r="DM416" i="4"/>
  <c r="DL416" i="4"/>
  <c r="DW415" i="4"/>
  <c r="DV415" i="4"/>
  <c r="DU415" i="4"/>
  <c r="DT415" i="4"/>
  <c r="DS415" i="4"/>
  <c r="DR415" i="4"/>
  <c r="DQ415" i="4"/>
  <c r="DP415" i="4"/>
  <c r="DO415" i="4"/>
  <c r="DN415" i="4"/>
  <c r="DM415" i="4"/>
  <c r="DL415" i="4"/>
  <c r="DW414" i="4"/>
  <c r="DV414" i="4"/>
  <c r="DU414" i="4"/>
  <c r="DT414" i="4"/>
  <c r="DS414" i="4"/>
  <c r="DR414" i="4"/>
  <c r="DQ414" i="4"/>
  <c r="DP414" i="4"/>
  <c r="DO414" i="4"/>
  <c r="DN414" i="4"/>
  <c r="DM414" i="4"/>
  <c r="DL414" i="4"/>
  <c r="DW413" i="4"/>
  <c r="DV413" i="4"/>
  <c r="DU413" i="4"/>
  <c r="DT413" i="4"/>
  <c r="DS413" i="4"/>
  <c r="DR413" i="4"/>
  <c r="DQ413" i="4"/>
  <c r="DP413" i="4"/>
  <c r="DO413" i="4"/>
  <c r="DN413" i="4"/>
  <c r="DM413" i="4"/>
  <c r="DL413" i="4"/>
  <c r="DW412" i="4"/>
  <c r="DV412" i="4"/>
  <c r="DU412" i="4"/>
  <c r="DT412" i="4"/>
  <c r="DS412" i="4"/>
  <c r="DR412" i="4"/>
  <c r="DQ412" i="4"/>
  <c r="DP412" i="4"/>
  <c r="DO412" i="4"/>
  <c r="DN412" i="4"/>
  <c r="DM412" i="4"/>
  <c r="DL412" i="4"/>
  <c r="DW411" i="4"/>
  <c r="DV411" i="4"/>
  <c r="DU411" i="4"/>
  <c r="DT411" i="4"/>
  <c r="DS411" i="4"/>
  <c r="DR411" i="4"/>
  <c r="DQ411" i="4"/>
  <c r="DP411" i="4"/>
  <c r="DO411" i="4"/>
  <c r="DN411" i="4"/>
  <c r="DM411" i="4"/>
  <c r="DL411" i="4"/>
  <c r="DW410" i="4"/>
  <c r="DV410" i="4"/>
  <c r="DU410" i="4"/>
  <c r="DT410" i="4"/>
  <c r="DS410" i="4"/>
  <c r="DR410" i="4"/>
  <c r="DQ410" i="4"/>
  <c r="DP410" i="4"/>
  <c r="DO410" i="4"/>
  <c r="DN410" i="4"/>
  <c r="DM410" i="4"/>
  <c r="DL410" i="4"/>
  <c r="DW409" i="4"/>
  <c r="DV409" i="4"/>
  <c r="DU409" i="4"/>
  <c r="DT409" i="4"/>
  <c r="DS409" i="4"/>
  <c r="DR409" i="4"/>
  <c r="DQ409" i="4"/>
  <c r="DP409" i="4"/>
  <c r="DO409" i="4"/>
  <c r="DN409" i="4"/>
  <c r="DM409" i="4"/>
  <c r="DL409" i="4"/>
  <c r="DW408" i="4"/>
  <c r="DV408" i="4"/>
  <c r="DU408" i="4"/>
  <c r="DT408" i="4"/>
  <c r="DS408" i="4"/>
  <c r="DR408" i="4"/>
  <c r="DQ408" i="4"/>
  <c r="DP408" i="4"/>
  <c r="DO408" i="4"/>
  <c r="DN408" i="4"/>
  <c r="DM408" i="4"/>
  <c r="DL408" i="4"/>
  <c r="DW407" i="4"/>
  <c r="DV407" i="4"/>
  <c r="DU407" i="4"/>
  <c r="DT407" i="4"/>
  <c r="DS407" i="4"/>
  <c r="DR407" i="4"/>
  <c r="DQ407" i="4"/>
  <c r="DP407" i="4"/>
  <c r="DO407" i="4"/>
  <c r="DN407" i="4"/>
  <c r="DM407" i="4"/>
  <c r="DL407" i="4"/>
  <c r="DW406" i="4"/>
  <c r="DV406" i="4"/>
  <c r="DU406" i="4"/>
  <c r="DT406" i="4"/>
  <c r="DS406" i="4"/>
  <c r="DR406" i="4"/>
  <c r="DQ406" i="4"/>
  <c r="DP406" i="4"/>
  <c r="DO406" i="4"/>
  <c r="DN406" i="4"/>
  <c r="DM406" i="4"/>
  <c r="DL406" i="4"/>
  <c r="DW405" i="4"/>
  <c r="DV405" i="4"/>
  <c r="DU405" i="4"/>
  <c r="DT405" i="4"/>
  <c r="DS405" i="4"/>
  <c r="DR405" i="4"/>
  <c r="DQ405" i="4"/>
  <c r="DP405" i="4"/>
  <c r="DO405" i="4"/>
  <c r="DN405" i="4"/>
  <c r="DM405" i="4"/>
  <c r="DL405" i="4"/>
  <c r="DW404" i="4"/>
  <c r="DV404" i="4"/>
  <c r="DU404" i="4"/>
  <c r="DT404" i="4"/>
  <c r="DS404" i="4"/>
  <c r="DR404" i="4"/>
  <c r="DQ404" i="4"/>
  <c r="DP404" i="4"/>
  <c r="DO404" i="4"/>
  <c r="DN404" i="4"/>
  <c r="DM404" i="4"/>
  <c r="DL404" i="4"/>
  <c r="DW403" i="4"/>
  <c r="DV403" i="4"/>
  <c r="DU403" i="4"/>
  <c r="DT403" i="4"/>
  <c r="DS403" i="4"/>
  <c r="DR403" i="4"/>
  <c r="DQ403" i="4"/>
  <c r="DP403" i="4"/>
  <c r="DO403" i="4"/>
  <c r="DN403" i="4"/>
  <c r="DM403" i="4"/>
  <c r="DL403" i="4"/>
  <c r="DW402" i="4"/>
  <c r="DV402" i="4"/>
  <c r="DU402" i="4"/>
  <c r="DT402" i="4"/>
  <c r="DS402" i="4"/>
  <c r="DR402" i="4"/>
  <c r="DQ402" i="4"/>
  <c r="DP402" i="4"/>
  <c r="DO402" i="4"/>
  <c r="DN402" i="4"/>
  <c r="DM402" i="4"/>
  <c r="DL402" i="4"/>
  <c r="DW401" i="4"/>
  <c r="DV401" i="4"/>
  <c r="DU401" i="4"/>
  <c r="DT401" i="4"/>
  <c r="DS401" i="4"/>
  <c r="DR401" i="4"/>
  <c r="DQ401" i="4"/>
  <c r="DP401" i="4"/>
  <c r="DO401" i="4"/>
  <c r="DN401" i="4"/>
  <c r="DM401" i="4"/>
  <c r="DL401" i="4"/>
  <c r="DW400" i="4"/>
  <c r="DV400" i="4"/>
  <c r="DU400" i="4"/>
  <c r="DT400" i="4"/>
  <c r="DS400" i="4"/>
  <c r="DR400" i="4"/>
  <c r="DQ400" i="4"/>
  <c r="DP400" i="4"/>
  <c r="DO400" i="4"/>
  <c r="DN400" i="4"/>
  <c r="DM400" i="4"/>
  <c r="DL400" i="4"/>
  <c r="DW399" i="4"/>
  <c r="DV399" i="4"/>
  <c r="DU399" i="4"/>
  <c r="DT399" i="4"/>
  <c r="DS399" i="4"/>
  <c r="DR399" i="4"/>
  <c r="DQ399" i="4"/>
  <c r="DP399" i="4"/>
  <c r="DO399" i="4"/>
  <c r="DN399" i="4"/>
  <c r="DM399" i="4"/>
  <c r="DL399" i="4"/>
  <c r="DW398" i="4"/>
  <c r="DV398" i="4"/>
  <c r="DU398" i="4"/>
  <c r="DT398" i="4"/>
  <c r="DS398" i="4"/>
  <c r="DR398" i="4"/>
  <c r="DQ398" i="4"/>
  <c r="DP398" i="4"/>
  <c r="DO398" i="4"/>
  <c r="DN398" i="4"/>
  <c r="DM398" i="4"/>
  <c r="DL398" i="4"/>
  <c r="DW397" i="4"/>
  <c r="DV397" i="4"/>
  <c r="DU397" i="4"/>
  <c r="DT397" i="4"/>
  <c r="DS397" i="4"/>
  <c r="DR397" i="4"/>
  <c r="DQ397" i="4"/>
  <c r="DP397" i="4"/>
  <c r="DO397" i="4"/>
  <c r="DN397" i="4"/>
  <c r="DM397" i="4"/>
  <c r="DL397" i="4"/>
  <c r="DW396" i="4"/>
  <c r="DV396" i="4"/>
  <c r="DU396" i="4"/>
  <c r="DT396" i="4"/>
  <c r="DS396" i="4"/>
  <c r="DR396" i="4"/>
  <c r="DQ396" i="4"/>
  <c r="DP396" i="4"/>
  <c r="DO396" i="4"/>
  <c r="DN396" i="4"/>
  <c r="DM396" i="4"/>
  <c r="DL396" i="4"/>
  <c r="DW395" i="4"/>
  <c r="DV395" i="4"/>
  <c r="DU395" i="4"/>
  <c r="DT395" i="4"/>
  <c r="DS395" i="4"/>
  <c r="DR395" i="4"/>
  <c r="DQ395" i="4"/>
  <c r="DP395" i="4"/>
  <c r="DO395" i="4"/>
  <c r="DN395" i="4"/>
  <c r="DM395" i="4"/>
  <c r="DL395" i="4"/>
  <c r="DW394" i="4"/>
  <c r="DV394" i="4"/>
  <c r="DU394" i="4"/>
  <c r="DT394" i="4"/>
  <c r="DS394" i="4"/>
  <c r="DR394" i="4"/>
  <c r="DQ394" i="4"/>
  <c r="DP394" i="4"/>
  <c r="DO394" i="4"/>
  <c r="DN394" i="4"/>
  <c r="DM394" i="4"/>
  <c r="DL394" i="4"/>
  <c r="DW393" i="4"/>
  <c r="DV393" i="4"/>
  <c r="DU393" i="4"/>
  <c r="DT393" i="4"/>
  <c r="DS393" i="4"/>
  <c r="DR393" i="4"/>
  <c r="DQ393" i="4"/>
  <c r="DP393" i="4"/>
  <c r="DO393" i="4"/>
  <c r="DN393" i="4"/>
  <c r="DM393" i="4"/>
  <c r="DL393" i="4"/>
  <c r="DW392" i="4"/>
  <c r="DV392" i="4"/>
  <c r="DU392" i="4"/>
  <c r="DT392" i="4"/>
  <c r="DS392" i="4"/>
  <c r="DR392" i="4"/>
  <c r="DQ392" i="4"/>
  <c r="DP392" i="4"/>
  <c r="DO392" i="4"/>
  <c r="DN392" i="4"/>
  <c r="DM392" i="4"/>
  <c r="DL392" i="4"/>
  <c r="DW391" i="4"/>
  <c r="DV391" i="4"/>
  <c r="DU391" i="4"/>
  <c r="DT391" i="4"/>
  <c r="DS391" i="4"/>
  <c r="DR391" i="4"/>
  <c r="DQ391" i="4"/>
  <c r="DP391" i="4"/>
  <c r="DO391" i="4"/>
  <c r="DN391" i="4"/>
  <c r="DM391" i="4"/>
  <c r="DL391" i="4"/>
  <c r="DW390" i="4"/>
  <c r="DV390" i="4"/>
  <c r="DU390" i="4"/>
  <c r="DT390" i="4"/>
  <c r="DS390" i="4"/>
  <c r="DR390" i="4"/>
  <c r="DQ390" i="4"/>
  <c r="DP390" i="4"/>
  <c r="DO390" i="4"/>
  <c r="DN390" i="4"/>
  <c r="DM390" i="4"/>
  <c r="DL390" i="4"/>
  <c r="DW389" i="4"/>
  <c r="DV389" i="4"/>
  <c r="DU389" i="4"/>
  <c r="DT389" i="4"/>
  <c r="DS389" i="4"/>
  <c r="DR389" i="4"/>
  <c r="DQ389" i="4"/>
  <c r="DP389" i="4"/>
  <c r="DO389" i="4"/>
  <c r="DN389" i="4"/>
  <c r="DM389" i="4"/>
  <c r="DL389" i="4"/>
  <c r="DW388" i="4"/>
  <c r="DV388" i="4"/>
  <c r="DU388" i="4"/>
  <c r="DT388" i="4"/>
  <c r="DS388" i="4"/>
  <c r="DR388" i="4"/>
  <c r="DQ388" i="4"/>
  <c r="DP388" i="4"/>
  <c r="DO388" i="4"/>
  <c r="DN388" i="4"/>
  <c r="DM388" i="4"/>
  <c r="DL388" i="4"/>
  <c r="DW387" i="4"/>
  <c r="DV387" i="4"/>
  <c r="DU387" i="4"/>
  <c r="DT387" i="4"/>
  <c r="DS387" i="4"/>
  <c r="DR387" i="4"/>
  <c r="DQ387" i="4"/>
  <c r="DP387" i="4"/>
  <c r="DO387" i="4"/>
  <c r="DN387" i="4"/>
  <c r="DM387" i="4"/>
  <c r="DL387" i="4"/>
  <c r="DW386" i="4"/>
  <c r="DV386" i="4"/>
  <c r="DU386" i="4"/>
  <c r="DT386" i="4"/>
  <c r="DS386" i="4"/>
  <c r="DR386" i="4"/>
  <c r="DQ386" i="4"/>
  <c r="DP386" i="4"/>
  <c r="DO386" i="4"/>
  <c r="DN386" i="4"/>
  <c r="DM386" i="4"/>
  <c r="DL386" i="4"/>
  <c r="DW385" i="4"/>
  <c r="DV385" i="4"/>
  <c r="DU385" i="4"/>
  <c r="DT385" i="4"/>
  <c r="DS385" i="4"/>
  <c r="DR385" i="4"/>
  <c r="DQ385" i="4"/>
  <c r="DP385" i="4"/>
  <c r="DO385" i="4"/>
  <c r="DN385" i="4"/>
  <c r="DM385" i="4"/>
  <c r="DL385" i="4"/>
  <c r="DW384" i="4"/>
  <c r="DV384" i="4"/>
  <c r="DU384" i="4"/>
  <c r="DT384" i="4"/>
  <c r="DS384" i="4"/>
  <c r="DR384" i="4"/>
  <c r="DQ384" i="4"/>
  <c r="DP384" i="4"/>
  <c r="DO384" i="4"/>
  <c r="DN384" i="4"/>
  <c r="DM384" i="4"/>
  <c r="DL384" i="4"/>
  <c r="DW383" i="4"/>
  <c r="DV383" i="4"/>
  <c r="DU383" i="4"/>
  <c r="DT383" i="4"/>
  <c r="DS383" i="4"/>
  <c r="DR383" i="4"/>
  <c r="DQ383" i="4"/>
  <c r="DP383" i="4"/>
  <c r="DO383" i="4"/>
  <c r="DN383" i="4"/>
  <c r="DM383" i="4"/>
  <c r="DL383" i="4"/>
  <c r="DW382" i="4"/>
  <c r="DV382" i="4"/>
  <c r="DU382" i="4"/>
  <c r="DT382" i="4"/>
  <c r="DS382" i="4"/>
  <c r="DR382" i="4"/>
  <c r="DQ382" i="4"/>
  <c r="DP382" i="4"/>
  <c r="DO382" i="4"/>
  <c r="DN382" i="4"/>
  <c r="DM382" i="4"/>
  <c r="DL382" i="4"/>
  <c r="DW381" i="4"/>
  <c r="DV381" i="4"/>
  <c r="DU381" i="4"/>
  <c r="DT381" i="4"/>
  <c r="DS381" i="4"/>
  <c r="DR381" i="4"/>
  <c r="DQ381" i="4"/>
  <c r="DP381" i="4"/>
  <c r="DO381" i="4"/>
  <c r="DN381" i="4"/>
  <c r="DM381" i="4"/>
  <c r="DL381" i="4"/>
  <c r="DW380" i="4"/>
  <c r="DV380" i="4"/>
  <c r="DU380" i="4"/>
  <c r="DT380" i="4"/>
  <c r="DS380" i="4"/>
  <c r="DR380" i="4"/>
  <c r="DQ380" i="4"/>
  <c r="DP380" i="4"/>
  <c r="DO380" i="4"/>
  <c r="DN380" i="4"/>
  <c r="DM380" i="4"/>
  <c r="DL380" i="4"/>
  <c r="DW379" i="4"/>
  <c r="DV379" i="4"/>
  <c r="DU379" i="4"/>
  <c r="DT379" i="4"/>
  <c r="DS379" i="4"/>
  <c r="DR379" i="4"/>
  <c r="DQ379" i="4"/>
  <c r="DP379" i="4"/>
  <c r="DO379" i="4"/>
  <c r="DN379" i="4"/>
  <c r="DM379" i="4"/>
  <c r="DL379" i="4"/>
  <c r="DW378" i="4"/>
  <c r="DV378" i="4"/>
  <c r="DU378" i="4"/>
  <c r="DT378" i="4"/>
  <c r="DS378" i="4"/>
  <c r="DR378" i="4"/>
  <c r="DQ378" i="4"/>
  <c r="DP378" i="4"/>
  <c r="DO378" i="4"/>
  <c r="DN378" i="4"/>
  <c r="DM378" i="4"/>
  <c r="DL378" i="4"/>
  <c r="DW377" i="4"/>
  <c r="DV377" i="4"/>
  <c r="DU377" i="4"/>
  <c r="DT377" i="4"/>
  <c r="DS377" i="4"/>
  <c r="DR377" i="4"/>
  <c r="DQ377" i="4"/>
  <c r="DP377" i="4"/>
  <c r="DO377" i="4"/>
  <c r="DN377" i="4"/>
  <c r="DM377" i="4"/>
  <c r="DL377" i="4"/>
  <c r="DW376" i="4"/>
  <c r="DV376" i="4"/>
  <c r="DU376" i="4"/>
  <c r="DT376" i="4"/>
  <c r="DS376" i="4"/>
  <c r="DR376" i="4"/>
  <c r="DQ376" i="4"/>
  <c r="DP376" i="4"/>
  <c r="DO376" i="4"/>
  <c r="DN376" i="4"/>
  <c r="DM376" i="4"/>
  <c r="DL376" i="4"/>
  <c r="DW375" i="4"/>
  <c r="DV375" i="4"/>
  <c r="DU375" i="4"/>
  <c r="DT375" i="4"/>
  <c r="DS375" i="4"/>
  <c r="DR375" i="4"/>
  <c r="DQ375" i="4"/>
  <c r="DP375" i="4"/>
  <c r="DO375" i="4"/>
  <c r="DN375" i="4"/>
  <c r="DM375" i="4"/>
  <c r="DL375" i="4"/>
  <c r="DW374" i="4"/>
  <c r="DV374" i="4"/>
  <c r="DU374" i="4"/>
  <c r="DT374" i="4"/>
  <c r="DS374" i="4"/>
  <c r="DR374" i="4"/>
  <c r="DQ374" i="4"/>
  <c r="DP374" i="4"/>
  <c r="DO374" i="4"/>
  <c r="DN374" i="4"/>
  <c r="DM374" i="4"/>
  <c r="DL374" i="4"/>
  <c r="DW373" i="4"/>
  <c r="DV373" i="4"/>
  <c r="DU373" i="4"/>
  <c r="DT373" i="4"/>
  <c r="DS373" i="4"/>
  <c r="DR373" i="4"/>
  <c r="DQ373" i="4"/>
  <c r="DP373" i="4"/>
  <c r="DO373" i="4"/>
  <c r="DN373" i="4"/>
  <c r="DM373" i="4"/>
  <c r="DL373" i="4"/>
  <c r="DW372" i="4"/>
  <c r="DV372" i="4"/>
  <c r="DU372" i="4"/>
  <c r="DT372" i="4"/>
  <c r="DS372" i="4"/>
  <c r="DR372" i="4"/>
  <c r="DQ372" i="4"/>
  <c r="DP372" i="4"/>
  <c r="DO372" i="4"/>
  <c r="DN372" i="4"/>
  <c r="DM372" i="4"/>
  <c r="DL372" i="4"/>
  <c r="DW371" i="4"/>
  <c r="DV371" i="4"/>
  <c r="DU371" i="4"/>
  <c r="DT371" i="4"/>
  <c r="DS371" i="4"/>
  <c r="DR371" i="4"/>
  <c r="DQ371" i="4"/>
  <c r="DP371" i="4"/>
  <c r="DO371" i="4"/>
  <c r="DN371" i="4"/>
  <c r="DM371" i="4"/>
  <c r="DL371" i="4"/>
  <c r="DW370" i="4"/>
  <c r="DV370" i="4"/>
  <c r="DU370" i="4"/>
  <c r="DT370" i="4"/>
  <c r="DS370" i="4"/>
  <c r="DR370" i="4"/>
  <c r="DQ370" i="4"/>
  <c r="DP370" i="4"/>
  <c r="DO370" i="4"/>
  <c r="DN370" i="4"/>
  <c r="DM370" i="4"/>
  <c r="DL370" i="4"/>
  <c r="DW369" i="4"/>
  <c r="DV369" i="4"/>
  <c r="DU369" i="4"/>
  <c r="DT369" i="4"/>
  <c r="DS369" i="4"/>
  <c r="DR369" i="4"/>
  <c r="DQ369" i="4"/>
  <c r="DP369" i="4"/>
  <c r="DO369" i="4"/>
  <c r="DN369" i="4"/>
  <c r="DM369" i="4"/>
  <c r="DL369" i="4"/>
  <c r="DW368" i="4"/>
  <c r="DV368" i="4"/>
  <c r="DU368" i="4"/>
  <c r="DT368" i="4"/>
  <c r="DS368" i="4"/>
  <c r="DR368" i="4"/>
  <c r="DQ368" i="4"/>
  <c r="DP368" i="4"/>
  <c r="DO368" i="4"/>
  <c r="DN368" i="4"/>
  <c r="DM368" i="4"/>
  <c r="DL368" i="4"/>
  <c r="DW367" i="4"/>
  <c r="DV367" i="4"/>
  <c r="DU367" i="4"/>
  <c r="DT367" i="4"/>
  <c r="DS367" i="4"/>
  <c r="DR367" i="4"/>
  <c r="DQ367" i="4"/>
  <c r="DP367" i="4"/>
  <c r="DO367" i="4"/>
  <c r="DN367" i="4"/>
  <c r="DM367" i="4"/>
  <c r="DL367" i="4"/>
  <c r="DW366" i="4"/>
  <c r="DV366" i="4"/>
  <c r="DU366" i="4"/>
  <c r="DT366" i="4"/>
  <c r="DS366" i="4"/>
  <c r="DR366" i="4"/>
  <c r="DQ366" i="4"/>
  <c r="DP366" i="4"/>
  <c r="DO366" i="4"/>
  <c r="DN366" i="4"/>
  <c r="DM366" i="4"/>
  <c r="DL366" i="4"/>
  <c r="DW365" i="4"/>
  <c r="DV365" i="4"/>
  <c r="DU365" i="4"/>
  <c r="DT365" i="4"/>
  <c r="DS365" i="4"/>
  <c r="DR365" i="4"/>
  <c r="DQ365" i="4"/>
  <c r="DP365" i="4"/>
  <c r="DO365" i="4"/>
  <c r="DN365" i="4"/>
  <c r="DM365" i="4"/>
  <c r="DL365" i="4"/>
  <c r="DW364" i="4"/>
  <c r="DV364" i="4"/>
  <c r="DU364" i="4"/>
  <c r="DT364" i="4"/>
  <c r="DS364" i="4"/>
  <c r="DR364" i="4"/>
  <c r="DQ364" i="4"/>
  <c r="DP364" i="4"/>
  <c r="DO364" i="4"/>
  <c r="DN364" i="4"/>
  <c r="DM364" i="4"/>
  <c r="DL364" i="4"/>
  <c r="DW363" i="4"/>
  <c r="DV363" i="4"/>
  <c r="DU363" i="4"/>
  <c r="DT363" i="4"/>
  <c r="DS363" i="4"/>
  <c r="DR363" i="4"/>
  <c r="DQ363" i="4"/>
  <c r="DP363" i="4"/>
  <c r="DO363" i="4"/>
  <c r="DN363" i="4"/>
  <c r="DM363" i="4"/>
  <c r="DL363" i="4"/>
  <c r="DW362" i="4"/>
  <c r="DV362" i="4"/>
  <c r="DU362" i="4"/>
  <c r="DT362" i="4"/>
  <c r="DS362" i="4"/>
  <c r="DR362" i="4"/>
  <c r="DQ362" i="4"/>
  <c r="DP362" i="4"/>
  <c r="DO362" i="4"/>
  <c r="DN362" i="4"/>
  <c r="DM362" i="4"/>
  <c r="DL362" i="4"/>
  <c r="DW361" i="4"/>
  <c r="DV361" i="4"/>
  <c r="DU361" i="4"/>
  <c r="DT361" i="4"/>
  <c r="DS361" i="4"/>
  <c r="DR361" i="4"/>
  <c r="DQ361" i="4"/>
  <c r="DP361" i="4"/>
  <c r="DO361" i="4"/>
  <c r="DN361" i="4"/>
  <c r="DM361" i="4"/>
  <c r="DL361" i="4"/>
  <c r="DW360" i="4"/>
  <c r="DV360" i="4"/>
  <c r="DU360" i="4"/>
  <c r="DT360" i="4"/>
  <c r="DS360" i="4"/>
  <c r="DR360" i="4"/>
  <c r="DQ360" i="4"/>
  <c r="DP360" i="4"/>
  <c r="DO360" i="4"/>
  <c r="DN360" i="4"/>
  <c r="DM360" i="4"/>
  <c r="DL360" i="4"/>
  <c r="DW359" i="4"/>
  <c r="DV359" i="4"/>
  <c r="DU359" i="4"/>
  <c r="DT359" i="4"/>
  <c r="DS359" i="4"/>
  <c r="DR359" i="4"/>
  <c r="DQ359" i="4"/>
  <c r="DP359" i="4"/>
  <c r="DO359" i="4"/>
  <c r="DN359" i="4"/>
  <c r="DM359" i="4"/>
  <c r="DL359" i="4"/>
  <c r="DW358" i="4"/>
  <c r="DV358" i="4"/>
  <c r="DU358" i="4"/>
  <c r="DT358" i="4"/>
  <c r="DS358" i="4"/>
  <c r="DR358" i="4"/>
  <c r="DQ358" i="4"/>
  <c r="DP358" i="4"/>
  <c r="DO358" i="4"/>
  <c r="DN358" i="4"/>
  <c r="DM358" i="4"/>
  <c r="DL358" i="4"/>
  <c r="DW357" i="4"/>
  <c r="DV357" i="4"/>
  <c r="DU357" i="4"/>
  <c r="DT357" i="4"/>
  <c r="DS357" i="4"/>
  <c r="DR357" i="4"/>
  <c r="DQ357" i="4"/>
  <c r="DP357" i="4"/>
  <c r="DO357" i="4"/>
  <c r="DN357" i="4"/>
  <c r="DM357" i="4"/>
  <c r="DL357" i="4"/>
  <c r="DW356" i="4"/>
  <c r="DV356" i="4"/>
  <c r="DU356" i="4"/>
  <c r="DT356" i="4"/>
  <c r="DS356" i="4"/>
  <c r="DR356" i="4"/>
  <c r="DQ356" i="4"/>
  <c r="DP356" i="4"/>
  <c r="DO356" i="4"/>
  <c r="DN356" i="4"/>
  <c r="DM356" i="4"/>
  <c r="DL356" i="4"/>
  <c r="DW355" i="4"/>
  <c r="DV355" i="4"/>
  <c r="DU355" i="4"/>
  <c r="DT355" i="4"/>
  <c r="DS355" i="4"/>
  <c r="DR355" i="4"/>
  <c r="DQ355" i="4"/>
  <c r="DP355" i="4"/>
  <c r="DO355" i="4"/>
  <c r="DN355" i="4"/>
  <c r="DM355" i="4"/>
  <c r="DL355" i="4"/>
  <c r="DW354" i="4"/>
  <c r="DV354" i="4"/>
  <c r="DU354" i="4"/>
  <c r="DT354" i="4"/>
  <c r="DS354" i="4"/>
  <c r="DR354" i="4"/>
  <c r="DQ354" i="4"/>
  <c r="DP354" i="4"/>
  <c r="DO354" i="4"/>
  <c r="DN354" i="4"/>
  <c r="DM354" i="4"/>
  <c r="DL354" i="4"/>
  <c r="DW353" i="4"/>
  <c r="DV353" i="4"/>
  <c r="DU353" i="4"/>
  <c r="DT353" i="4"/>
  <c r="DS353" i="4"/>
  <c r="DR353" i="4"/>
  <c r="DQ353" i="4"/>
  <c r="DP353" i="4"/>
  <c r="DO353" i="4"/>
  <c r="DN353" i="4"/>
  <c r="DM353" i="4"/>
  <c r="DL353" i="4"/>
  <c r="DW352" i="4"/>
  <c r="DV352" i="4"/>
  <c r="DU352" i="4"/>
  <c r="DT352" i="4"/>
  <c r="DS352" i="4"/>
  <c r="DR352" i="4"/>
  <c r="DQ352" i="4"/>
  <c r="DP352" i="4"/>
  <c r="DO352" i="4"/>
  <c r="DN352" i="4"/>
  <c r="DM352" i="4"/>
  <c r="DL352" i="4"/>
  <c r="DW351" i="4"/>
  <c r="DV351" i="4"/>
  <c r="DU351" i="4"/>
  <c r="DT351" i="4"/>
  <c r="DS351" i="4"/>
  <c r="DR351" i="4"/>
  <c r="DQ351" i="4"/>
  <c r="DP351" i="4"/>
  <c r="DO351" i="4"/>
  <c r="DN351" i="4"/>
  <c r="DM351" i="4"/>
  <c r="DL351" i="4"/>
  <c r="DW350" i="4"/>
  <c r="DV350" i="4"/>
  <c r="DU350" i="4"/>
  <c r="DT350" i="4"/>
  <c r="DS350" i="4"/>
  <c r="DR350" i="4"/>
  <c r="DQ350" i="4"/>
  <c r="DP350" i="4"/>
  <c r="DO350" i="4"/>
  <c r="DN350" i="4"/>
  <c r="DM350" i="4"/>
  <c r="DL350" i="4"/>
  <c r="DW349" i="4"/>
  <c r="DV349" i="4"/>
  <c r="DU349" i="4"/>
  <c r="DT349" i="4"/>
  <c r="DS349" i="4"/>
  <c r="DR349" i="4"/>
  <c r="DQ349" i="4"/>
  <c r="DP349" i="4"/>
  <c r="DO349" i="4"/>
  <c r="DN349" i="4"/>
  <c r="DM349" i="4"/>
  <c r="DL349" i="4"/>
  <c r="DW348" i="4"/>
  <c r="DV348" i="4"/>
  <c r="DU348" i="4"/>
  <c r="DT348" i="4"/>
  <c r="DS348" i="4"/>
  <c r="DR348" i="4"/>
  <c r="DQ348" i="4"/>
  <c r="DP348" i="4"/>
  <c r="DO348" i="4"/>
  <c r="DN348" i="4"/>
  <c r="DM348" i="4"/>
  <c r="DL348" i="4"/>
  <c r="DW347" i="4"/>
  <c r="DV347" i="4"/>
  <c r="DU347" i="4"/>
  <c r="DT347" i="4"/>
  <c r="DS347" i="4"/>
  <c r="DR347" i="4"/>
  <c r="DQ347" i="4"/>
  <c r="DP347" i="4"/>
  <c r="DO347" i="4"/>
  <c r="DN347" i="4"/>
  <c r="DM347" i="4"/>
  <c r="DL347" i="4"/>
  <c r="DW346" i="4"/>
  <c r="DV346" i="4"/>
  <c r="DU346" i="4"/>
  <c r="DT346" i="4"/>
  <c r="DS346" i="4"/>
  <c r="DR346" i="4"/>
  <c r="DQ346" i="4"/>
  <c r="DP346" i="4"/>
  <c r="DO346" i="4"/>
  <c r="DN346" i="4"/>
  <c r="DM346" i="4"/>
  <c r="DL346" i="4"/>
  <c r="DW345" i="4"/>
  <c r="DV345" i="4"/>
  <c r="DU345" i="4"/>
  <c r="DT345" i="4"/>
  <c r="DS345" i="4"/>
  <c r="DR345" i="4"/>
  <c r="DQ345" i="4"/>
  <c r="DP345" i="4"/>
  <c r="DO345" i="4"/>
  <c r="DN345" i="4"/>
  <c r="DM345" i="4"/>
  <c r="DL345" i="4"/>
  <c r="DW344" i="4"/>
  <c r="DV344" i="4"/>
  <c r="DU344" i="4"/>
  <c r="DT344" i="4"/>
  <c r="DS344" i="4"/>
  <c r="DR344" i="4"/>
  <c r="DQ344" i="4"/>
  <c r="DP344" i="4"/>
  <c r="DO344" i="4"/>
  <c r="DN344" i="4"/>
  <c r="DM344" i="4"/>
  <c r="DL344" i="4"/>
  <c r="DW343" i="4"/>
  <c r="DV343" i="4"/>
  <c r="DU343" i="4"/>
  <c r="DT343" i="4"/>
  <c r="DS343" i="4"/>
  <c r="DR343" i="4"/>
  <c r="DQ343" i="4"/>
  <c r="DP343" i="4"/>
  <c r="DO343" i="4"/>
  <c r="DN343" i="4"/>
  <c r="DM343" i="4"/>
  <c r="DL343" i="4"/>
  <c r="DW342" i="4"/>
  <c r="DV342" i="4"/>
  <c r="DU342" i="4"/>
  <c r="DT342" i="4"/>
  <c r="DS342" i="4"/>
  <c r="DR342" i="4"/>
  <c r="DQ342" i="4"/>
  <c r="DP342" i="4"/>
  <c r="DO342" i="4"/>
  <c r="DN342" i="4"/>
  <c r="DM342" i="4"/>
  <c r="DL342" i="4"/>
  <c r="DW341" i="4"/>
  <c r="DV341" i="4"/>
  <c r="DU341" i="4"/>
  <c r="DT341" i="4"/>
  <c r="DS341" i="4"/>
  <c r="DR341" i="4"/>
  <c r="DQ341" i="4"/>
  <c r="DP341" i="4"/>
  <c r="DO341" i="4"/>
  <c r="DN341" i="4"/>
  <c r="DM341" i="4"/>
  <c r="DL341" i="4"/>
  <c r="DW340" i="4"/>
  <c r="DV340" i="4"/>
  <c r="DU340" i="4"/>
  <c r="DT340" i="4"/>
  <c r="DS340" i="4"/>
  <c r="DR340" i="4"/>
  <c r="DQ340" i="4"/>
  <c r="DP340" i="4"/>
  <c r="DO340" i="4"/>
  <c r="DN340" i="4"/>
  <c r="DM340" i="4"/>
  <c r="DL340" i="4"/>
  <c r="DW339" i="4"/>
  <c r="DV339" i="4"/>
  <c r="DU339" i="4"/>
  <c r="DT339" i="4"/>
  <c r="DS339" i="4"/>
  <c r="DR339" i="4"/>
  <c r="DQ339" i="4"/>
  <c r="DP339" i="4"/>
  <c r="DO339" i="4"/>
  <c r="DN339" i="4"/>
  <c r="DM339" i="4"/>
  <c r="DL339" i="4"/>
  <c r="DW338" i="4"/>
  <c r="DV338" i="4"/>
  <c r="DU338" i="4"/>
  <c r="DT338" i="4"/>
  <c r="DS338" i="4"/>
  <c r="DR338" i="4"/>
  <c r="DQ338" i="4"/>
  <c r="DP338" i="4"/>
  <c r="DO338" i="4"/>
  <c r="DN338" i="4"/>
  <c r="DM338" i="4"/>
  <c r="DL338" i="4"/>
  <c r="DW337" i="4"/>
  <c r="DV337" i="4"/>
  <c r="DU337" i="4"/>
  <c r="DT337" i="4"/>
  <c r="DS337" i="4"/>
  <c r="DR337" i="4"/>
  <c r="DQ337" i="4"/>
  <c r="DP337" i="4"/>
  <c r="DO337" i="4"/>
  <c r="DN337" i="4"/>
  <c r="DM337" i="4"/>
  <c r="DL337" i="4"/>
  <c r="DW336" i="4"/>
  <c r="DV336" i="4"/>
  <c r="DU336" i="4"/>
  <c r="DT336" i="4"/>
  <c r="DS336" i="4"/>
  <c r="DR336" i="4"/>
  <c r="DQ336" i="4"/>
  <c r="DP336" i="4"/>
  <c r="DO336" i="4"/>
  <c r="DN336" i="4"/>
  <c r="DM336" i="4"/>
  <c r="DL336" i="4"/>
  <c r="DW335" i="4"/>
  <c r="DV335" i="4"/>
  <c r="DU335" i="4"/>
  <c r="DT335" i="4"/>
  <c r="DS335" i="4"/>
  <c r="DR335" i="4"/>
  <c r="DQ335" i="4"/>
  <c r="DP335" i="4"/>
  <c r="DO335" i="4"/>
  <c r="DN335" i="4"/>
  <c r="DM335" i="4"/>
  <c r="DL335" i="4"/>
  <c r="DW334" i="4"/>
  <c r="DV334" i="4"/>
  <c r="DU334" i="4"/>
  <c r="DT334" i="4"/>
  <c r="DS334" i="4"/>
  <c r="DR334" i="4"/>
  <c r="DQ334" i="4"/>
  <c r="DP334" i="4"/>
  <c r="DO334" i="4"/>
  <c r="DN334" i="4"/>
  <c r="DM334" i="4"/>
  <c r="DL334" i="4"/>
  <c r="DW333" i="4"/>
  <c r="DV333" i="4"/>
  <c r="DU333" i="4"/>
  <c r="DT333" i="4"/>
  <c r="DS333" i="4"/>
  <c r="DR333" i="4"/>
  <c r="DQ333" i="4"/>
  <c r="DP333" i="4"/>
  <c r="DO333" i="4"/>
  <c r="DN333" i="4"/>
  <c r="DM333" i="4"/>
  <c r="DL333" i="4"/>
  <c r="DW332" i="4"/>
  <c r="DV332" i="4"/>
  <c r="DU332" i="4"/>
  <c r="DT332" i="4"/>
  <c r="DS332" i="4"/>
  <c r="DR332" i="4"/>
  <c r="DQ332" i="4"/>
  <c r="DP332" i="4"/>
  <c r="DO332" i="4"/>
  <c r="DN332" i="4"/>
  <c r="DM332" i="4"/>
  <c r="DL332" i="4"/>
  <c r="DW331" i="4"/>
  <c r="DV331" i="4"/>
  <c r="DU331" i="4"/>
  <c r="DT331" i="4"/>
  <c r="DS331" i="4"/>
  <c r="DR331" i="4"/>
  <c r="DQ331" i="4"/>
  <c r="DP331" i="4"/>
  <c r="DO331" i="4"/>
  <c r="DN331" i="4"/>
  <c r="DM331" i="4"/>
  <c r="DL331" i="4"/>
  <c r="DW330" i="4"/>
  <c r="DV330" i="4"/>
  <c r="DU330" i="4"/>
  <c r="DT330" i="4"/>
  <c r="DS330" i="4"/>
  <c r="DR330" i="4"/>
  <c r="DQ330" i="4"/>
  <c r="DP330" i="4"/>
  <c r="DO330" i="4"/>
  <c r="DN330" i="4"/>
  <c r="DM330" i="4"/>
  <c r="DL330" i="4"/>
  <c r="DW329" i="4"/>
  <c r="DV329" i="4"/>
  <c r="DU329" i="4"/>
  <c r="DT329" i="4"/>
  <c r="DS329" i="4"/>
  <c r="DR329" i="4"/>
  <c r="DQ329" i="4"/>
  <c r="DP329" i="4"/>
  <c r="DO329" i="4"/>
  <c r="DN329" i="4"/>
  <c r="DM329" i="4"/>
  <c r="DL329" i="4"/>
  <c r="DW328" i="4"/>
  <c r="DV328" i="4"/>
  <c r="DU328" i="4"/>
  <c r="DT328" i="4"/>
  <c r="DS328" i="4"/>
  <c r="DR328" i="4"/>
  <c r="DQ328" i="4"/>
  <c r="DP328" i="4"/>
  <c r="DO328" i="4"/>
  <c r="DN328" i="4"/>
  <c r="DM328" i="4"/>
  <c r="DL328" i="4"/>
  <c r="DW327" i="4"/>
  <c r="DV327" i="4"/>
  <c r="DU327" i="4"/>
  <c r="DT327" i="4"/>
  <c r="DS327" i="4"/>
  <c r="DR327" i="4"/>
  <c r="DQ327" i="4"/>
  <c r="DP327" i="4"/>
  <c r="DO327" i="4"/>
  <c r="DN327" i="4"/>
  <c r="DM327" i="4"/>
  <c r="DL327" i="4"/>
  <c r="DW326" i="4"/>
  <c r="DV326" i="4"/>
  <c r="DU326" i="4"/>
  <c r="DT326" i="4"/>
  <c r="DS326" i="4"/>
  <c r="DR326" i="4"/>
  <c r="DQ326" i="4"/>
  <c r="DP326" i="4"/>
  <c r="DO326" i="4"/>
  <c r="DN326" i="4"/>
  <c r="DM326" i="4"/>
  <c r="DL326" i="4"/>
  <c r="DW325" i="4"/>
  <c r="DV325" i="4"/>
  <c r="DU325" i="4"/>
  <c r="DT325" i="4"/>
  <c r="DS325" i="4"/>
  <c r="DR325" i="4"/>
  <c r="DQ325" i="4"/>
  <c r="DP325" i="4"/>
  <c r="DO325" i="4"/>
  <c r="DN325" i="4"/>
  <c r="DM325" i="4"/>
  <c r="DL325" i="4"/>
  <c r="DW324" i="4"/>
  <c r="DV324" i="4"/>
  <c r="DU324" i="4"/>
  <c r="DT324" i="4"/>
  <c r="DS324" i="4"/>
  <c r="DR324" i="4"/>
  <c r="DQ324" i="4"/>
  <c r="DP324" i="4"/>
  <c r="DO324" i="4"/>
  <c r="DN324" i="4"/>
  <c r="DM324" i="4"/>
  <c r="DL324" i="4"/>
  <c r="DW323" i="4"/>
  <c r="DV323" i="4"/>
  <c r="DU323" i="4"/>
  <c r="DT323" i="4"/>
  <c r="DS323" i="4"/>
  <c r="DR323" i="4"/>
  <c r="DQ323" i="4"/>
  <c r="DP323" i="4"/>
  <c r="DO323" i="4"/>
  <c r="DN323" i="4"/>
  <c r="DM323" i="4"/>
  <c r="DL323" i="4"/>
  <c r="DW322" i="4"/>
  <c r="DV322" i="4"/>
  <c r="DU322" i="4"/>
  <c r="DT322" i="4"/>
  <c r="DS322" i="4"/>
  <c r="DR322" i="4"/>
  <c r="DQ322" i="4"/>
  <c r="DP322" i="4"/>
  <c r="DO322" i="4"/>
  <c r="DN322" i="4"/>
  <c r="DM322" i="4"/>
  <c r="DL322" i="4"/>
  <c r="DW321" i="4"/>
  <c r="DV321" i="4"/>
  <c r="DU321" i="4"/>
  <c r="DT321" i="4"/>
  <c r="DS321" i="4"/>
  <c r="DR321" i="4"/>
  <c r="DQ321" i="4"/>
  <c r="DP321" i="4"/>
  <c r="DO321" i="4"/>
  <c r="DN321" i="4"/>
  <c r="DM321" i="4"/>
  <c r="DL321" i="4"/>
  <c r="DW320" i="4"/>
  <c r="DV320" i="4"/>
  <c r="DU320" i="4"/>
  <c r="DT320" i="4"/>
  <c r="DS320" i="4"/>
  <c r="DR320" i="4"/>
  <c r="DQ320" i="4"/>
  <c r="DP320" i="4"/>
  <c r="DO320" i="4"/>
  <c r="DN320" i="4"/>
  <c r="DM320" i="4"/>
  <c r="DL320" i="4"/>
  <c r="DW319" i="4"/>
  <c r="DV319" i="4"/>
  <c r="DU319" i="4"/>
  <c r="DT319" i="4"/>
  <c r="DS319" i="4"/>
  <c r="DR319" i="4"/>
  <c r="DQ319" i="4"/>
  <c r="DP319" i="4"/>
  <c r="DO319" i="4"/>
  <c r="DN319" i="4"/>
  <c r="DM319" i="4"/>
  <c r="DL319" i="4"/>
  <c r="DW318" i="4"/>
  <c r="DV318" i="4"/>
  <c r="DU318" i="4"/>
  <c r="DT318" i="4"/>
  <c r="DS318" i="4"/>
  <c r="DR318" i="4"/>
  <c r="DQ318" i="4"/>
  <c r="DP318" i="4"/>
  <c r="DO318" i="4"/>
  <c r="DN318" i="4"/>
  <c r="DM318" i="4"/>
  <c r="DL318" i="4"/>
  <c r="DW317" i="4"/>
  <c r="DV317" i="4"/>
  <c r="DU317" i="4"/>
  <c r="DT317" i="4"/>
  <c r="DS317" i="4"/>
  <c r="DR317" i="4"/>
  <c r="DQ317" i="4"/>
  <c r="DP317" i="4"/>
  <c r="DO317" i="4"/>
  <c r="DN317" i="4"/>
  <c r="DM317" i="4"/>
  <c r="DL317" i="4"/>
  <c r="DW316" i="4"/>
  <c r="DV316" i="4"/>
  <c r="DU316" i="4"/>
  <c r="DT316" i="4"/>
  <c r="DS316" i="4"/>
  <c r="DR316" i="4"/>
  <c r="DQ316" i="4"/>
  <c r="DP316" i="4"/>
  <c r="DO316" i="4"/>
  <c r="DN316" i="4"/>
  <c r="DM316" i="4"/>
  <c r="DL316" i="4"/>
  <c r="DW315" i="4"/>
  <c r="DV315" i="4"/>
  <c r="DU315" i="4"/>
  <c r="DT315" i="4"/>
  <c r="DS315" i="4"/>
  <c r="DR315" i="4"/>
  <c r="DQ315" i="4"/>
  <c r="DP315" i="4"/>
  <c r="DO315" i="4"/>
  <c r="DN315" i="4"/>
  <c r="DM315" i="4"/>
  <c r="DL315" i="4"/>
  <c r="DW314" i="4"/>
  <c r="DV314" i="4"/>
  <c r="DU314" i="4"/>
  <c r="DT314" i="4"/>
  <c r="DS314" i="4"/>
  <c r="DR314" i="4"/>
  <c r="DQ314" i="4"/>
  <c r="DP314" i="4"/>
  <c r="DO314" i="4"/>
  <c r="DN314" i="4"/>
  <c r="DM314" i="4"/>
  <c r="DL314" i="4"/>
  <c r="DW313" i="4"/>
  <c r="DV313" i="4"/>
  <c r="DU313" i="4"/>
  <c r="DT313" i="4"/>
  <c r="DS313" i="4"/>
  <c r="DR313" i="4"/>
  <c r="DQ313" i="4"/>
  <c r="DP313" i="4"/>
  <c r="DO313" i="4"/>
  <c r="DN313" i="4"/>
  <c r="DM313" i="4"/>
  <c r="DL313" i="4"/>
  <c r="DW312" i="4"/>
  <c r="DV312" i="4"/>
  <c r="DU312" i="4"/>
  <c r="DT312" i="4"/>
  <c r="DS312" i="4"/>
  <c r="DR312" i="4"/>
  <c r="DQ312" i="4"/>
  <c r="DP312" i="4"/>
  <c r="DO312" i="4"/>
  <c r="DN312" i="4"/>
  <c r="DM312" i="4"/>
  <c r="DL312" i="4"/>
  <c r="DW311" i="4"/>
  <c r="DV311" i="4"/>
  <c r="DU311" i="4"/>
  <c r="DT311" i="4"/>
  <c r="DS311" i="4"/>
  <c r="DR311" i="4"/>
  <c r="DQ311" i="4"/>
  <c r="DP311" i="4"/>
  <c r="DO311" i="4"/>
  <c r="DN311" i="4"/>
  <c r="DM311" i="4"/>
  <c r="DL311" i="4"/>
  <c r="DW310" i="4"/>
  <c r="DV310" i="4"/>
  <c r="DU310" i="4"/>
  <c r="DT310" i="4"/>
  <c r="DS310" i="4"/>
  <c r="DR310" i="4"/>
  <c r="DQ310" i="4"/>
  <c r="DP310" i="4"/>
  <c r="DO310" i="4"/>
  <c r="DN310" i="4"/>
  <c r="DM310" i="4"/>
  <c r="DL310" i="4"/>
  <c r="DW309" i="4"/>
  <c r="DV309" i="4"/>
  <c r="DU309" i="4"/>
  <c r="DT309" i="4"/>
  <c r="DS309" i="4"/>
  <c r="DR309" i="4"/>
  <c r="DQ309" i="4"/>
  <c r="DP309" i="4"/>
  <c r="DO309" i="4"/>
  <c r="DN309" i="4"/>
  <c r="DM309" i="4"/>
  <c r="DL309" i="4"/>
  <c r="DW308" i="4"/>
  <c r="DV308" i="4"/>
  <c r="DU308" i="4"/>
  <c r="DT308" i="4"/>
  <c r="DS308" i="4"/>
  <c r="DR308" i="4"/>
  <c r="DQ308" i="4"/>
  <c r="DP308" i="4"/>
  <c r="DO308" i="4"/>
  <c r="DN308" i="4"/>
  <c r="DM308" i="4"/>
  <c r="DL308" i="4"/>
  <c r="DW307" i="4"/>
  <c r="DV307" i="4"/>
  <c r="DU307" i="4"/>
  <c r="DT307" i="4"/>
  <c r="DS307" i="4"/>
  <c r="DR307" i="4"/>
  <c r="DQ307" i="4"/>
  <c r="DP307" i="4"/>
  <c r="DO307" i="4"/>
  <c r="DN307" i="4"/>
  <c r="DM307" i="4"/>
  <c r="DL307" i="4"/>
  <c r="DW306" i="4"/>
  <c r="DV306" i="4"/>
  <c r="DU306" i="4"/>
  <c r="DT306" i="4"/>
  <c r="DS306" i="4"/>
  <c r="DR306" i="4"/>
  <c r="DQ306" i="4"/>
  <c r="DP306" i="4"/>
  <c r="DO306" i="4"/>
  <c r="DN306" i="4"/>
  <c r="DM306" i="4"/>
  <c r="DL306" i="4"/>
  <c r="DW305" i="4"/>
  <c r="DV305" i="4"/>
  <c r="DU305" i="4"/>
  <c r="DT305" i="4"/>
  <c r="DS305" i="4"/>
  <c r="DR305" i="4"/>
  <c r="DQ305" i="4"/>
  <c r="DP305" i="4"/>
  <c r="DO305" i="4"/>
  <c r="DN305" i="4"/>
  <c r="DM305" i="4"/>
  <c r="DL305" i="4"/>
  <c r="DW304" i="4"/>
  <c r="DV304" i="4"/>
  <c r="DU304" i="4"/>
  <c r="DT304" i="4"/>
  <c r="DS304" i="4"/>
  <c r="DR304" i="4"/>
  <c r="DQ304" i="4"/>
  <c r="DP304" i="4"/>
  <c r="DO304" i="4"/>
  <c r="DN304" i="4"/>
  <c r="DM304" i="4"/>
  <c r="DL304" i="4"/>
  <c r="DW303" i="4"/>
  <c r="DV303" i="4"/>
  <c r="DU303" i="4"/>
  <c r="DT303" i="4"/>
  <c r="DS303" i="4"/>
  <c r="DR303" i="4"/>
  <c r="DQ303" i="4"/>
  <c r="DP303" i="4"/>
  <c r="DO303" i="4"/>
  <c r="DN303" i="4"/>
  <c r="DM303" i="4"/>
  <c r="DL303" i="4"/>
  <c r="DW302" i="4"/>
  <c r="DV302" i="4"/>
  <c r="DU302" i="4"/>
  <c r="DT302" i="4"/>
  <c r="DS302" i="4"/>
  <c r="DR302" i="4"/>
  <c r="DQ302" i="4"/>
  <c r="DP302" i="4"/>
  <c r="DO302" i="4"/>
  <c r="DN302" i="4"/>
  <c r="DM302" i="4"/>
  <c r="DL302" i="4"/>
  <c r="DW301" i="4"/>
  <c r="DV301" i="4"/>
  <c r="DU301" i="4"/>
  <c r="DT301" i="4"/>
  <c r="DS301" i="4"/>
  <c r="DR301" i="4"/>
  <c r="DQ301" i="4"/>
  <c r="DP301" i="4"/>
  <c r="DO301" i="4"/>
  <c r="DN301" i="4"/>
  <c r="DM301" i="4"/>
  <c r="DL301" i="4"/>
  <c r="DW300" i="4"/>
  <c r="DV300" i="4"/>
  <c r="DU300" i="4"/>
  <c r="DT300" i="4"/>
  <c r="DS300" i="4"/>
  <c r="DR300" i="4"/>
  <c r="DQ300" i="4"/>
  <c r="DP300" i="4"/>
  <c r="DO300" i="4"/>
  <c r="DN300" i="4"/>
  <c r="DM300" i="4"/>
  <c r="DL300" i="4"/>
  <c r="DW299" i="4"/>
  <c r="DV299" i="4"/>
  <c r="DU299" i="4"/>
  <c r="DT299" i="4"/>
  <c r="DS299" i="4"/>
  <c r="DR299" i="4"/>
  <c r="DQ299" i="4"/>
  <c r="DP299" i="4"/>
  <c r="DO299" i="4"/>
  <c r="DN299" i="4"/>
  <c r="DM299" i="4"/>
  <c r="DL299" i="4"/>
  <c r="DW298" i="4"/>
  <c r="DV298" i="4"/>
  <c r="DU298" i="4"/>
  <c r="DT298" i="4"/>
  <c r="DS298" i="4"/>
  <c r="DR298" i="4"/>
  <c r="DQ298" i="4"/>
  <c r="DP298" i="4"/>
  <c r="DO298" i="4"/>
  <c r="DN298" i="4"/>
  <c r="DM298" i="4"/>
  <c r="DL298" i="4"/>
  <c r="DW297" i="4"/>
  <c r="DV297" i="4"/>
  <c r="DU297" i="4"/>
  <c r="DT297" i="4"/>
  <c r="DS297" i="4"/>
  <c r="DR297" i="4"/>
  <c r="DQ297" i="4"/>
  <c r="DP297" i="4"/>
  <c r="DO297" i="4"/>
  <c r="DN297" i="4"/>
  <c r="DM297" i="4"/>
  <c r="DL297" i="4"/>
  <c r="DW296" i="4"/>
  <c r="DV296" i="4"/>
  <c r="DU296" i="4"/>
  <c r="DT296" i="4"/>
  <c r="DS296" i="4"/>
  <c r="DR296" i="4"/>
  <c r="DQ296" i="4"/>
  <c r="DP296" i="4"/>
  <c r="DO296" i="4"/>
  <c r="DN296" i="4"/>
  <c r="DM296" i="4"/>
  <c r="DL296" i="4"/>
  <c r="DW295" i="4"/>
  <c r="DV295" i="4"/>
  <c r="DU295" i="4"/>
  <c r="DT295" i="4"/>
  <c r="DS295" i="4"/>
  <c r="DR295" i="4"/>
  <c r="DQ295" i="4"/>
  <c r="DP295" i="4"/>
  <c r="DO295" i="4"/>
  <c r="DN295" i="4"/>
  <c r="DM295" i="4"/>
  <c r="DL295" i="4"/>
  <c r="DW294" i="4"/>
  <c r="DV294" i="4"/>
  <c r="DU294" i="4"/>
  <c r="DT294" i="4"/>
  <c r="DS294" i="4"/>
  <c r="DR294" i="4"/>
  <c r="DQ294" i="4"/>
  <c r="DP294" i="4"/>
  <c r="DO294" i="4"/>
  <c r="DN294" i="4"/>
  <c r="DM294" i="4"/>
  <c r="DL294" i="4"/>
  <c r="DW293" i="4"/>
  <c r="DV293" i="4"/>
  <c r="DU293" i="4"/>
  <c r="DT293" i="4"/>
  <c r="DS293" i="4"/>
  <c r="DR293" i="4"/>
  <c r="DQ293" i="4"/>
  <c r="DP293" i="4"/>
  <c r="DO293" i="4"/>
  <c r="DN293" i="4"/>
  <c r="DM293" i="4"/>
  <c r="DL293" i="4"/>
  <c r="DW292" i="4"/>
  <c r="DV292" i="4"/>
  <c r="DU292" i="4"/>
  <c r="DT292" i="4"/>
  <c r="DS292" i="4"/>
  <c r="DR292" i="4"/>
  <c r="DQ292" i="4"/>
  <c r="DP292" i="4"/>
  <c r="DO292" i="4"/>
  <c r="DN292" i="4"/>
  <c r="DM292" i="4"/>
  <c r="DL292" i="4"/>
  <c r="DW291" i="4"/>
  <c r="DV291" i="4"/>
  <c r="DU291" i="4"/>
  <c r="DT291" i="4"/>
  <c r="DS291" i="4"/>
  <c r="DR291" i="4"/>
  <c r="DQ291" i="4"/>
  <c r="DP291" i="4"/>
  <c r="DO291" i="4"/>
  <c r="DN291" i="4"/>
  <c r="DM291" i="4"/>
  <c r="DL291" i="4"/>
  <c r="DW290" i="4"/>
  <c r="DV290" i="4"/>
  <c r="DU290" i="4"/>
  <c r="DT290" i="4"/>
  <c r="DS290" i="4"/>
  <c r="DR290" i="4"/>
  <c r="DQ290" i="4"/>
  <c r="DP290" i="4"/>
  <c r="DO290" i="4"/>
  <c r="DN290" i="4"/>
  <c r="DM290" i="4"/>
  <c r="DL290" i="4"/>
  <c r="DW289" i="4"/>
  <c r="DV289" i="4"/>
  <c r="DU289" i="4"/>
  <c r="DT289" i="4"/>
  <c r="DS289" i="4"/>
  <c r="DR289" i="4"/>
  <c r="DQ289" i="4"/>
  <c r="DP289" i="4"/>
  <c r="DO289" i="4"/>
  <c r="DN289" i="4"/>
  <c r="DM289" i="4"/>
  <c r="DL289" i="4"/>
  <c r="DW288" i="4"/>
  <c r="DV288" i="4"/>
  <c r="DU288" i="4"/>
  <c r="DT288" i="4"/>
  <c r="DS288" i="4"/>
  <c r="DR288" i="4"/>
  <c r="DQ288" i="4"/>
  <c r="DP288" i="4"/>
  <c r="DO288" i="4"/>
  <c r="DN288" i="4"/>
  <c r="DM288" i="4"/>
  <c r="DL288" i="4"/>
  <c r="DW287" i="4"/>
  <c r="DV287" i="4"/>
  <c r="DU287" i="4"/>
  <c r="DT287" i="4"/>
  <c r="DS287" i="4"/>
  <c r="DR287" i="4"/>
  <c r="DQ287" i="4"/>
  <c r="DP287" i="4"/>
  <c r="DO287" i="4"/>
  <c r="DN287" i="4"/>
  <c r="DM287" i="4"/>
  <c r="DL287" i="4"/>
  <c r="DW286" i="4"/>
  <c r="DV286" i="4"/>
  <c r="DU286" i="4"/>
  <c r="DT286" i="4"/>
  <c r="DS286" i="4"/>
  <c r="DR286" i="4"/>
  <c r="DQ286" i="4"/>
  <c r="DP286" i="4"/>
  <c r="DO286" i="4"/>
  <c r="DN286" i="4"/>
  <c r="DM286" i="4"/>
  <c r="DL286" i="4"/>
  <c r="DW285" i="4"/>
  <c r="DV285" i="4"/>
  <c r="DU285" i="4"/>
  <c r="DT285" i="4"/>
  <c r="DS285" i="4"/>
  <c r="DR285" i="4"/>
  <c r="DQ285" i="4"/>
  <c r="DP285" i="4"/>
  <c r="DO285" i="4"/>
  <c r="DN285" i="4"/>
  <c r="DM285" i="4"/>
  <c r="DL285" i="4"/>
  <c r="DW284" i="4"/>
  <c r="DV284" i="4"/>
  <c r="DU284" i="4"/>
  <c r="DT284" i="4"/>
  <c r="DS284" i="4"/>
  <c r="DR284" i="4"/>
  <c r="DQ284" i="4"/>
  <c r="DP284" i="4"/>
  <c r="DO284" i="4"/>
  <c r="DN284" i="4"/>
  <c r="DM284" i="4"/>
  <c r="DL284" i="4"/>
  <c r="DW283" i="4"/>
  <c r="DV283" i="4"/>
  <c r="DU283" i="4"/>
  <c r="DT283" i="4"/>
  <c r="DS283" i="4"/>
  <c r="DR283" i="4"/>
  <c r="DQ283" i="4"/>
  <c r="DP283" i="4"/>
  <c r="DO283" i="4"/>
  <c r="DN283" i="4"/>
  <c r="DM283" i="4"/>
  <c r="DL283" i="4"/>
  <c r="DW282" i="4"/>
  <c r="DV282" i="4"/>
  <c r="DU282" i="4"/>
  <c r="DT282" i="4"/>
  <c r="DS282" i="4"/>
  <c r="DR282" i="4"/>
  <c r="DQ282" i="4"/>
  <c r="DP282" i="4"/>
  <c r="DO282" i="4"/>
  <c r="DN282" i="4"/>
  <c r="DM282" i="4"/>
  <c r="DL282" i="4"/>
  <c r="DW281" i="4"/>
  <c r="DV281" i="4"/>
  <c r="DU281" i="4"/>
  <c r="DT281" i="4"/>
  <c r="DS281" i="4"/>
  <c r="DR281" i="4"/>
  <c r="DQ281" i="4"/>
  <c r="DP281" i="4"/>
  <c r="DO281" i="4"/>
  <c r="DN281" i="4"/>
  <c r="DM281" i="4"/>
  <c r="DL281" i="4"/>
  <c r="DW280" i="4"/>
  <c r="DV280" i="4"/>
  <c r="DU280" i="4"/>
  <c r="DT280" i="4"/>
  <c r="DS280" i="4"/>
  <c r="DR280" i="4"/>
  <c r="DQ280" i="4"/>
  <c r="DP280" i="4"/>
  <c r="DO280" i="4"/>
  <c r="DN280" i="4"/>
  <c r="DM280" i="4"/>
  <c r="DL280" i="4"/>
  <c r="DW279" i="4"/>
  <c r="DV279" i="4"/>
  <c r="DU279" i="4"/>
  <c r="DT279" i="4"/>
  <c r="DS279" i="4"/>
  <c r="DR279" i="4"/>
  <c r="DQ279" i="4"/>
  <c r="DP279" i="4"/>
  <c r="DO279" i="4"/>
  <c r="DN279" i="4"/>
  <c r="DM279" i="4"/>
  <c r="DL279" i="4"/>
  <c r="DW278" i="4"/>
  <c r="DV278" i="4"/>
  <c r="DU278" i="4"/>
  <c r="DT278" i="4"/>
  <c r="DS278" i="4"/>
  <c r="DR278" i="4"/>
  <c r="DQ278" i="4"/>
  <c r="DP278" i="4"/>
  <c r="DO278" i="4"/>
  <c r="DN278" i="4"/>
  <c r="DM278" i="4"/>
  <c r="DL278" i="4"/>
  <c r="DW277" i="4"/>
  <c r="DV277" i="4"/>
  <c r="DU277" i="4"/>
  <c r="DT277" i="4"/>
  <c r="DS277" i="4"/>
  <c r="DR277" i="4"/>
  <c r="DQ277" i="4"/>
  <c r="DP277" i="4"/>
  <c r="DO277" i="4"/>
  <c r="DN277" i="4"/>
  <c r="DM277" i="4"/>
  <c r="DL277" i="4"/>
  <c r="DW276" i="4"/>
  <c r="DV276" i="4"/>
  <c r="DU276" i="4"/>
  <c r="DT276" i="4"/>
  <c r="DS276" i="4"/>
  <c r="DR276" i="4"/>
  <c r="DQ276" i="4"/>
  <c r="DP276" i="4"/>
  <c r="DO276" i="4"/>
  <c r="DN276" i="4"/>
  <c r="DM276" i="4"/>
  <c r="DL276" i="4"/>
  <c r="DW275" i="4"/>
  <c r="DV275" i="4"/>
  <c r="DU275" i="4"/>
  <c r="DT275" i="4"/>
  <c r="DS275" i="4"/>
  <c r="DR275" i="4"/>
  <c r="DQ275" i="4"/>
  <c r="DP275" i="4"/>
  <c r="DO275" i="4"/>
  <c r="DN275" i="4"/>
  <c r="DM275" i="4"/>
  <c r="DL275" i="4"/>
  <c r="DW274" i="4"/>
  <c r="DV274" i="4"/>
  <c r="DU274" i="4"/>
  <c r="DT274" i="4"/>
  <c r="DS274" i="4"/>
  <c r="DR274" i="4"/>
  <c r="DQ274" i="4"/>
  <c r="DP274" i="4"/>
  <c r="DO274" i="4"/>
  <c r="DN274" i="4"/>
  <c r="DM274" i="4"/>
  <c r="DL274" i="4"/>
  <c r="DW273" i="4"/>
  <c r="DV273" i="4"/>
  <c r="DU273" i="4"/>
  <c r="DT273" i="4"/>
  <c r="DS273" i="4"/>
  <c r="DR273" i="4"/>
  <c r="DQ273" i="4"/>
  <c r="DP273" i="4"/>
  <c r="DO273" i="4"/>
  <c r="DN273" i="4"/>
  <c r="DM273" i="4"/>
  <c r="DL273" i="4"/>
  <c r="DW272" i="4"/>
  <c r="DV272" i="4"/>
  <c r="DU272" i="4"/>
  <c r="DT272" i="4"/>
  <c r="DS272" i="4"/>
  <c r="DR272" i="4"/>
  <c r="DQ272" i="4"/>
  <c r="DP272" i="4"/>
  <c r="DO272" i="4"/>
  <c r="DN272" i="4"/>
  <c r="DM272" i="4"/>
  <c r="DL272" i="4"/>
  <c r="DW271" i="4"/>
  <c r="DV271" i="4"/>
  <c r="DU271" i="4"/>
  <c r="DT271" i="4"/>
  <c r="DS271" i="4"/>
  <c r="DR271" i="4"/>
  <c r="DQ271" i="4"/>
  <c r="DP271" i="4"/>
  <c r="DO271" i="4"/>
  <c r="DN271" i="4"/>
  <c r="DM271" i="4"/>
  <c r="DL271" i="4"/>
  <c r="DW270" i="4"/>
  <c r="DV270" i="4"/>
  <c r="DU270" i="4"/>
  <c r="DT270" i="4"/>
  <c r="DS270" i="4"/>
  <c r="DR270" i="4"/>
  <c r="DQ270" i="4"/>
  <c r="DP270" i="4"/>
  <c r="DO270" i="4"/>
  <c r="DN270" i="4"/>
  <c r="DM270" i="4"/>
  <c r="DL270" i="4"/>
  <c r="DW269" i="4"/>
  <c r="DV269" i="4"/>
  <c r="DU269" i="4"/>
  <c r="DT269" i="4"/>
  <c r="DS269" i="4"/>
  <c r="DR269" i="4"/>
  <c r="DQ269" i="4"/>
  <c r="DP269" i="4"/>
  <c r="DO269" i="4"/>
  <c r="DN269" i="4"/>
  <c r="DM269" i="4"/>
  <c r="DL269" i="4"/>
  <c r="DW268" i="4"/>
  <c r="DV268" i="4"/>
  <c r="DU268" i="4"/>
  <c r="DT268" i="4"/>
  <c r="DS268" i="4"/>
  <c r="DR268" i="4"/>
  <c r="DQ268" i="4"/>
  <c r="DP268" i="4"/>
  <c r="DO268" i="4"/>
  <c r="DN268" i="4"/>
  <c r="DM268" i="4"/>
  <c r="DL268" i="4"/>
  <c r="DW267" i="4"/>
  <c r="DV267" i="4"/>
  <c r="DU267" i="4"/>
  <c r="DT267" i="4"/>
  <c r="DS267" i="4"/>
  <c r="DR267" i="4"/>
  <c r="DQ267" i="4"/>
  <c r="DP267" i="4"/>
  <c r="DO267" i="4"/>
  <c r="DN267" i="4"/>
  <c r="DM267" i="4"/>
  <c r="DL267" i="4"/>
  <c r="DW266" i="4"/>
  <c r="DV266" i="4"/>
  <c r="DU266" i="4"/>
  <c r="DT266" i="4"/>
  <c r="DS266" i="4"/>
  <c r="DR266" i="4"/>
  <c r="DQ266" i="4"/>
  <c r="DP266" i="4"/>
  <c r="DO266" i="4"/>
  <c r="DN266" i="4"/>
  <c r="DM266" i="4"/>
  <c r="DL266" i="4"/>
  <c r="DW265" i="4"/>
  <c r="DV265" i="4"/>
  <c r="DU265" i="4"/>
  <c r="DT265" i="4"/>
  <c r="DS265" i="4"/>
  <c r="DR265" i="4"/>
  <c r="DQ265" i="4"/>
  <c r="DP265" i="4"/>
  <c r="DO265" i="4"/>
  <c r="DN265" i="4"/>
  <c r="DM265" i="4"/>
  <c r="DL265" i="4"/>
  <c r="DW264" i="4"/>
  <c r="DV264" i="4"/>
  <c r="DU264" i="4"/>
  <c r="DT264" i="4"/>
  <c r="DS264" i="4"/>
  <c r="DR264" i="4"/>
  <c r="DQ264" i="4"/>
  <c r="DP264" i="4"/>
  <c r="DO264" i="4"/>
  <c r="DN264" i="4"/>
  <c r="DM264" i="4"/>
  <c r="DL264" i="4"/>
  <c r="DW263" i="4"/>
  <c r="DV263" i="4"/>
  <c r="DU263" i="4"/>
  <c r="DT263" i="4"/>
  <c r="DS263" i="4"/>
  <c r="DR263" i="4"/>
  <c r="DQ263" i="4"/>
  <c r="DP263" i="4"/>
  <c r="DO263" i="4"/>
  <c r="DN263" i="4"/>
  <c r="DM263" i="4"/>
  <c r="DL263" i="4"/>
  <c r="DW262" i="4"/>
  <c r="DV262" i="4"/>
  <c r="DU262" i="4"/>
  <c r="DT262" i="4"/>
  <c r="DS262" i="4"/>
  <c r="DR262" i="4"/>
  <c r="DQ262" i="4"/>
  <c r="DP262" i="4"/>
  <c r="DO262" i="4"/>
  <c r="DN262" i="4"/>
  <c r="DM262" i="4"/>
  <c r="DL262" i="4"/>
  <c r="DW261" i="4"/>
  <c r="DV261" i="4"/>
  <c r="DU261" i="4"/>
  <c r="DT261" i="4"/>
  <c r="DS261" i="4"/>
  <c r="DR261" i="4"/>
  <c r="DQ261" i="4"/>
  <c r="DP261" i="4"/>
  <c r="DO261" i="4"/>
  <c r="DN261" i="4"/>
  <c r="DM261" i="4"/>
  <c r="DL261" i="4"/>
  <c r="DW260" i="4"/>
  <c r="DV260" i="4"/>
  <c r="DU260" i="4"/>
  <c r="DT260" i="4"/>
  <c r="DS260" i="4"/>
  <c r="DR260" i="4"/>
  <c r="DQ260" i="4"/>
  <c r="DP260" i="4"/>
  <c r="DO260" i="4"/>
  <c r="DN260" i="4"/>
  <c r="DM260" i="4"/>
  <c r="DL260" i="4"/>
  <c r="DW259" i="4"/>
  <c r="DV259" i="4"/>
  <c r="DU259" i="4"/>
  <c r="DT259" i="4"/>
  <c r="DS259" i="4"/>
  <c r="DR259" i="4"/>
  <c r="DQ259" i="4"/>
  <c r="DP259" i="4"/>
  <c r="DO259" i="4"/>
  <c r="DN259" i="4"/>
  <c r="DM259" i="4"/>
  <c r="DL259" i="4"/>
  <c r="DW258" i="4"/>
  <c r="DV258" i="4"/>
  <c r="DU258" i="4"/>
  <c r="DT258" i="4"/>
  <c r="DS258" i="4"/>
  <c r="DR258" i="4"/>
  <c r="DQ258" i="4"/>
  <c r="DP258" i="4"/>
  <c r="DO258" i="4"/>
  <c r="DN258" i="4"/>
  <c r="DM258" i="4"/>
  <c r="DL258" i="4"/>
  <c r="DW257" i="4"/>
  <c r="DV257" i="4"/>
  <c r="DU257" i="4"/>
  <c r="DT257" i="4"/>
  <c r="DS257" i="4"/>
  <c r="DR257" i="4"/>
  <c r="DQ257" i="4"/>
  <c r="DP257" i="4"/>
  <c r="DO257" i="4"/>
  <c r="DN257" i="4"/>
  <c r="DM257" i="4"/>
  <c r="DL257" i="4"/>
  <c r="DW256" i="4"/>
  <c r="DV256" i="4"/>
  <c r="DU256" i="4"/>
  <c r="DT256" i="4"/>
  <c r="DS256" i="4"/>
  <c r="DR256" i="4"/>
  <c r="DQ256" i="4"/>
  <c r="DP256" i="4"/>
  <c r="DO256" i="4"/>
  <c r="DN256" i="4"/>
  <c r="DM256" i="4"/>
  <c r="DL256" i="4"/>
  <c r="DW255" i="4"/>
  <c r="DV255" i="4"/>
  <c r="DU255" i="4"/>
  <c r="DT255" i="4"/>
  <c r="DS255" i="4"/>
  <c r="DR255" i="4"/>
  <c r="DQ255" i="4"/>
  <c r="DP255" i="4"/>
  <c r="DO255" i="4"/>
  <c r="DN255" i="4"/>
  <c r="DM255" i="4"/>
  <c r="DL255" i="4"/>
  <c r="DW254" i="4"/>
  <c r="DV254" i="4"/>
  <c r="DU254" i="4"/>
  <c r="DT254" i="4"/>
  <c r="DS254" i="4"/>
  <c r="DR254" i="4"/>
  <c r="DQ254" i="4"/>
  <c r="DP254" i="4"/>
  <c r="DO254" i="4"/>
  <c r="DN254" i="4"/>
  <c r="DM254" i="4"/>
  <c r="DL254" i="4"/>
  <c r="DW253" i="4"/>
  <c r="DV253" i="4"/>
  <c r="DU253" i="4"/>
  <c r="DT253" i="4"/>
  <c r="DS253" i="4"/>
  <c r="DR253" i="4"/>
  <c r="DQ253" i="4"/>
  <c r="DP253" i="4"/>
  <c r="DO253" i="4"/>
  <c r="DN253" i="4"/>
  <c r="DM253" i="4"/>
  <c r="DL253" i="4"/>
  <c r="DW252" i="4"/>
  <c r="DV252" i="4"/>
  <c r="DU252" i="4"/>
  <c r="DT252" i="4"/>
  <c r="DS252" i="4"/>
  <c r="DR252" i="4"/>
  <c r="DQ252" i="4"/>
  <c r="DP252" i="4"/>
  <c r="DO252" i="4"/>
  <c r="DN252" i="4"/>
  <c r="DM252" i="4"/>
  <c r="DL252" i="4"/>
  <c r="DW251" i="4"/>
  <c r="DV251" i="4"/>
  <c r="DU251" i="4"/>
  <c r="DT251" i="4"/>
  <c r="DS251" i="4"/>
  <c r="DR251" i="4"/>
  <c r="DQ251" i="4"/>
  <c r="DP251" i="4"/>
  <c r="DO251" i="4"/>
  <c r="DN251" i="4"/>
  <c r="DM251" i="4"/>
  <c r="DL251" i="4"/>
  <c r="DW250" i="4"/>
  <c r="DV250" i="4"/>
  <c r="DU250" i="4"/>
  <c r="DT250" i="4"/>
  <c r="DS250" i="4"/>
  <c r="DR250" i="4"/>
  <c r="DQ250" i="4"/>
  <c r="DP250" i="4"/>
  <c r="DO250" i="4"/>
  <c r="DN250" i="4"/>
  <c r="DM250" i="4"/>
  <c r="DL250" i="4"/>
  <c r="DW249" i="4"/>
  <c r="DV249" i="4"/>
  <c r="DU249" i="4"/>
  <c r="DT249" i="4"/>
  <c r="DS249" i="4"/>
  <c r="DR249" i="4"/>
  <c r="DQ249" i="4"/>
  <c r="DP249" i="4"/>
  <c r="DO249" i="4"/>
  <c r="DN249" i="4"/>
  <c r="DM249" i="4"/>
  <c r="DL249" i="4"/>
  <c r="DW248" i="4"/>
  <c r="DV248" i="4"/>
  <c r="DU248" i="4"/>
  <c r="DT248" i="4"/>
  <c r="DS248" i="4"/>
  <c r="DR248" i="4"/>
  <c r="DQ248" i="4"/>
  <c r="DP248" i="4"/>
  <c r="DO248" i="4"/>
  <c r="DN248" i="4"/>
  <c r="DM248" i="4"/>
  <c r="DL248" i="4"/>
  <c r="DW247" i="4"/>
  <c r="DV247" i="4"/>
  <c r="DU247" i="4"/>
  <c r="DT247" i="4"/>
  <c r="DS247" i="4"/>
  <c r="DR247" i="4"/>
  <c r="DQ247" i="4"/>
  <c r="DP247" i="4"/>
  <c r="DO247" i="4"/>
  <c r="DN247" i="4"/>
  <c r="DM247" i="4"/>
  <c r="DL247" i="4"/>
  <c r="DW246" i="4"/>
  <c r="DV246" i="4"/>
  <c r="DU246" i="4"/>
  <c r="DT246" i="4"/>
  <c r="DS246" i="4"/>
  <c r="DR246" i="4"/>
  <c r="DQ246" i="4"/>
  <c r="DP246" i="4"/>
  <c r="DO246" i="4"/>
  <c r="DN246" i="4"/>
  <c r="DM246" i="4"/>
  <c r="DL246" i="4"/>
  <c r="DW245" i="4"/>
  <c r="DV245" i="4"/>
  <c r="DU245" i="4"/>
  <c r="DT245" i="4"/>
  <c r="DS245" i="4"/>
  <c r="DR245" i="4"/>
  <c r="DQ245" i="4"/>
  <c r="DP245" i="4"/>
  <c r="DO245" i="4"/>
  <c r="DN245" i="4"/>
  <c r="DM245" i="4"/>
  <c r="DL245" i="4"/>
  <c r="DW244" i="4"/>
  <c r="DV244" i="4"/>
  <c r="DU244" i="4"/>
  <c r="DT244" i="4"/>
  <c r="DS244" i="4"/>
  <c r="DR244" i="4"/>
  <c r="DQ244" i="4"/>
  <c r="DP244" i="4"/>
  <c r="DO244" i="4"/>
  <c r="DN244" i="4"/>
  <c r="DM244" i="4"/>
  <c r="DL244" i="4"/>
  <c r="DW243" i="4"/>
  <c r="DV243" i="4"/>
  <c r="DU243" i="4"/>
  <c r="DT243" i="4"/>
  <c r="DS243" i="4"/>
  <c r="DR243" i="4"/>
  <c r="DQ243" i="4"/>
  <c r="DP243" i="4"/>
  <c r="DO243" i="4"/>
  <c r="DN243" i="4"/>
  <c r="DM243" i="4"/>
  <c r="DL243" i="4"/>
  <c r="DW242" i="4"/>
  <c r="DV242" i="4"/>
  <c r="DU242" i="4"/>
  <c r="DT242" i="4"/>
  <c r="DS242" i="4"/>
  <c r="DR242" i="4"/>
  <c r="DQ242" i="4"/>
  <c r="DP242" i="4"/>
  <c r="DO242" i="4"/>
  <c r="DN242" i="4"/>
  <c r="DM242" i="4"/>
  <c r="DL242" i="4"/>
  <c r="DW241" i="4"/>
  <c r="DV241" i="4"/>
  <c r="DU241" i="4"/>
  <c r="DT241" i="4"/>
  <c r="DS241" i="4"/>
  <c r="DR241" i="4"/>
  <c r="DQ241" i="4"/>
  <c r="DP241" i="4"/>
  <c r="DO241" i="4"/>
  <c r="DN241" i="4"/>
  <c r="DM241" i="4"/>
  <c r="DL241" i="4"/>
  <c r="DW240" i="4"/>
  <c r="DV240" i="4"/>
  <c r="DU240" i="4"/>
  <c r="DT240" i="4"/>
  <c r="DS240" i="4"/>
  <c r="DR240" i="4"/>
  <c r="DQ240" i="4"/>
  <c r="DP240" i="4"/>
  <c r="DO240" i="4"/>
  <c r="DN240" i="4"/>
  <c r="DM240" i="4"/>
  <c r="DL240" i="4"/>
  <c r="DW239" i="4"/>
  <c r="DV239" i="4"/>
  <c r="DU239" i="4"/>
  <c r="DT239" i="4"/>
  <c r="DS239" i="4"/>
  <c r="DR239" i="4"/>
  <c r="DQ239" i="4"/>
  <c r="DP239" i="4"/>
  <c r="DO239" i="4"/>
  <c r="DN239" i="4"/>
  <c r="DM239" i="4"/>
  <c r="DL239" i="4"/>
  <c r="DW238" i="4"/>
  <c r="DV238" i="4"/>
  <c r="DU238" i="4"/>
  <c r="DT238" i="4"/>
  <c r="DS238" i="4"/>
  <c r="DR238" i="4"/>
  <c r="DQ238" i="4"/>
  <c r="DP238" i="4"/>
  <c r="DO238" i="4"/>
  <c r="DN238" i="4"/>
  <c r="DM238" i="4"/>
  <c r="DL238" i="4"/>
  <c r="DW237" i="4"/>
  <c r="DV237" i="4"/>
  <c r="DU237" i="4"/>
  <c r="DT237" i="4"/>
  <c r="DS237" i="4"/>
  <c r="DR237" i="4"/>
  <c r="DQ237" i="4"/>
  <c r="DP237" i="4"/>
  <c r="DO237" i="4"/>
  <c r="DN237" i="4"/>
  <c r="DM237" i="4"/>
  <c r="DL237" i="4"/>
  <c r="DW236" i="4"/>
  <c r="DV236" i="4"/>
  <c r="DU236" i="4"/>
  <c r="DT236" i="4"/>
  <c r="DS236" i="4"/>
  <c r="DR236" i="4"/>
  <c r="DQ236" i="4"/>
  <c r="DP236" i="4"/>
  <c r="DO236" i="4"/>
  <c r="DN236" i="4"/>
  <c r="DM236" i="4"/>
  <c r="DL236" i="4"/>
  <c r="DW235" i="4"/>
  <c r="DV235" i="4"/>
  <c r="DU235" i="4"/>
  <c r="DT235" i="4"/>
  <c r="DS235" i="4"/>
  <c r="DR235" i="4"/>
  <c r="DQ235" i="4"/>
  <c r="DP235" i="4"/>
  <c r="DO235" i="4"/>
  <c r="DN235" i="4"/>
  <c r="DM235" i="4"/>
  <c r="DL235" i="4"/>
  <c r="DW234" i="4"/>
  <c r="DV234" i="4"/>
  <c r="DU234" i="4"/>
  <c r="DT234" i="4"/>
  <c r="DS234" i="4"/>
  <c r="DR234" i="4"/>
  <c r="DQ234" i="4"/>
  <c r="DP234" i="4"/>
  <c r="DO234" i="4"/>
  <c r="DN234" i="4"/>
  <c r="DM234" i="4"/>
  <c r="DL234" i="4"/>
  <c r="DW233" i="4"/>
  <c r="DV233" i="4"/>
  <c r="DU233" i="4"/>
  <c r="DT233" i="4"/>
  <c r="DS233" i="4"/>
  <c r="DR233" i="4"/>
  <c r="DQ233" i="4"/>
  <c r="DP233" i="4"/>
  <c r="DO233" i="4"/>
  <c r="DN233" i="4"/>
  <c r="DM233" i="4"/>
  <c r="DL233" i="4"/>
  <c r="DW232" i="4"/>
  <c r="DV232" i="4"/>
  <c r="DU232" i="4"/>
  <c r="DT232" i="4"/>
  <c r="DS232" i="4"/>
  <c r="DR232" i="4"/>
  <c r="DQ232" i="4"/>
  <c r="DP232" i="4"/>
  <c r="DO232" i="4"/>
  <c r="DN232" i="4"/>
  <c r="DM232" i="4"/>
  <c r="DL232" i="4"/>
  <c r="DW231" i="4"/>
  <c r="DV231" i="4"/>
  <c r="DU231" i="4"/>
  <c r="DT231" i="4"/>
  <c r="DS231" i="4"/>
  <c r="DR231" i="4"/>
  <c r="DQ231" i="4"/>
  <c r="DP231" i="4"/>
  <c r="DO231" i="4"/>
  <c r="DN231" i="4"/>
  <c r="DM231" i="4"/>
  <c r="DL231" i="4"/>
  <c r="DW230" i="4"/>
  <c r="DV230" i="4"/>
  <c r="DU230" i="4"/>
  <c r="DT230" i="4"/>
  <c r="DS230" i="4"/>
  <c r="DR230" i="4"/>
  <c r="DQ230" i="4"/>
  <c r="DP230" i="4"/>
  <c r="DO230" i="4"/>
  <c r="DN230" i="4"/>
  <c r="DM230" i="4"/>
  <c r="DL230" i="4"/>
  <c r="DW229" i="4"/>
  <c r="DV229" i="4"/>
  <c r="DU229" i="4"/>
  <c r="DT229" i="4"/>
  <c r="DS229" i="4"/>
  <c r="DR229" i="4"/>
  <c r="DQ229" i="4"/>
  <c r="DP229" i="4"/>
  <c r="DO229" i="4"/>
  <c r="DN229" i="4"/>
  <c r="DM229" i="4"/>
  <c r="DL229" i="4"/>
  <c r="DW228" i="4"/>
  <c r="DV228" i="4"/>
  <c r="DU228" i="4"/>
  <c r="DT228" i="4"/>
  <c r="DS228" i="4"/>
  <c r="DR228" i="4"/>
  <c r="DQ228" i="4"/>
  <c r="DP228" i="4"/>
  <c r="DO228" i="4"/>
  <c r="DN228" i="4"/>
  <c r="DM228" i="4"/>
  <c r="DL228" i="4"/>
  <c r="DW227" i="4"/>
  <c r="DV227" i="4"/>
  <c r="DU227" i="4"/>
  <c r="DT227" i="4"/>
  <c r="DS227" i="4"/>
  <c r="DR227" i="4"/>
  <c r="DQ227" i="4"/>
  <c r="DP227" i="4"/>
  <c r="DO227" i="4"/>
  <c r="DN227" i="4"/>
  <c r="DM227" i="4"/>
  <c r="DL227" i="4"/>
  <c r="DW226" i="4"/>
  <c r="DV226" i="4"/>
  <c r="DU226" i="4"/>
  <c r="DT226" i="4"/>
  <c r="DS226" i="4"/>
  <c r="DR226" i="4"/>
  <c r="DQ226" i="4"/>
  <c r="DP226" i="4"/>
  <c r="DO226" i="4"/>
  <c r="DN226" i="4"/>
  <c r="DM226" i="4"/>
  <c r="DL226" i="4"/>
  <c r="DW225" i="4"/>
  <c r="DV225" i="4"/>
  <c r="DU225" i="4"/>
  <c r="DT225" i="4"/>
  <c r="DS225" i="4"/>
  <c r="DR225" i="4"/>
  <c r="DQ225" i="4"/>
  <c r="DP225" i="4"/>
  <c r="DO225" i="4"/>
  <c r="DN225" i="4"/>
  <c r="DM225" i="4"/>
  <c r="DL225" i="4"/>
  <c r="DW224" i="4"/>
  <c r="DV224" i="4"/>
  <c r="DU224" i="4"/>
  <c r="DT224" i="4"/>
  <c r="DS224" i="4"/>
  <c r="DR224" i="4"/>
  <c r="DQ224" i="4"/>
  <c r="DP224" i="4"/>
  <c r="DO224" i="4"/>
  <c r="DN224" i="4"/>
  <c r="DM224" i="4"/>
  <c r="DL224" i="4"/>
  <c r="DW223" i="4"/>
  <c r="DV223" i="4"/>
  <c r="DU223" i="4"/>
  <c r="DT223" i="4"/>
  <c r="DS223" i="4"/>
  <c r="DR223" i="4"/>
  <c r="DQ223" i="4"/>
  <c r="DP223" i="4"/>
  <c r="DO223" i="4"/>
  <c r="DN223" i="4"/>
  <c r="DM223" i="4"/>
  <c r="DL223" i="4"/>
  <c r="DW222" i="4"/>
  <c r="DV222" i="4"/>
  <c r="DU222" i="4"/>
  <c r="DT222" i="4"/>
  <c r="DS222" i="4"/>
  <c r="DR222" i="4"/>
  <c r="DQ222" i="4"/>
  <c r="DP222" i="4"/>
  <c r="DO222" i="4"/>
  <c r="DN222" i="4"/>
  <c r="DM222" i="4"/>
  <c r="DL222" i="4"/>
  <c r="DW221" i="4"/>
  <c r="DV221" i="4"/>
  <c r="DU221" i="4"/>
  <c r="DT221" i="4"/>
  <c r="DS221" i="4"/>
  <c r="DR221" i="4"/>
  <c r="DQ221" i="4"/>
  <c r="DP221" i="4"/>
  <c r="DO221" i="4"/>
  <c r="DN221" i="4"/>
  <c r="DM221" i="4"/>
  <c r="DL221" i="4"/>
  <c r="DW220" i="4"/>
  <c r="DV220" i="4"/>
  <c r="DU220" i="4"/>
  <c r="DT220" i="4"/>
  <c r="DS220" i="4"/>
  <c r="DR220" i="4"/>
  <c r="DQ220" i="4"/>
  <c r="DP220" i="4"/>
  <c r="DO220" i="4"/>
  <c r="DN220" i="4"/>
  <c r="DM220" i="4"/>
  <c r="DL220" i="4"/>
  <c r="DW219" i="4"/>
  <c r="DV219" i="4"/>
  <c r="DU219" i="4"/>
  <c r="DT219" i="4"/>
  <c r="DS219" i="4"/>
  <c r="DR219" i="4"/>
  <c r="DQ219" i="4"/>
  <c r="DP219" i="4"/>
  <c r="DO219" i="4"/>
  <c r="DN219" i="4"/>
  <c r="DM219" i="4"/>
  <c r="DL219" i="4"/>
  <c r="DW218" i="4"/>
  <c r="DV218" i="4"/>
  <c r="DU218" i="4"/>
  <c r="DT218" i="4"/>
  <c r="DS218" i="4"/>
  <c r="DR218" i="4"/>
  <c r="DQ218" i="4"/>
  <c r="DP218" i="4"/>
  <c r="DO218" i="4"/>
  <c r="DN218" i="4"/>
  <c r="DM218" i="4"/>
  <c r="DL218" i="4"/>
  <c r="DW217" i="4"/>
  <c r="DV217" i="4"/>
  <c r="DU217" i="4"/>
  <c r="DT217" i="4"/>
  <c r="DS217" i="4"/>
  <c r="DR217" i="4"/>
  <c r="DQ217" i="4"/>
  <c r="DP217" i="4"/>
  <c r="DO217" i="4"/>
  <c r="DN217" i="4"/>
  <c r="DM217" i="4"/>
  <c r="DL217" i="4"/>
  <c r="DW216" i="4"/>
  <c r="DV216" i="4"/>
  <c r="DU216" i="4"/>
  <c r="DT216" i="4"/>
  <c r="DS216" i="4"/>
  <c r="DR216" i="4"/>
  <c r="DQ216" i="4"/>
  <c r="DP216" i="4"/>
  <c r="DO216" i="4"/>
  <c r="DN216" i="4"/>
  <c r="DM216" i="4"/>
  <c r="DL216" i="4"/>
  <c r="DW215" i="4"/>
  <c r="DV215" i="4"/>
  <c r="DU215" i="4"/>
  <c r="DT215" i="4"/>
  <c r="DS215" i="4"/>
  <c r="DR215" i="4"/>
  <c r="DQ215" i="4"/>
  <c r="DP215" i="4"/>
  <c r="DO215" i="4"/>
  <c r="DN215" i="4"/>
  <c r="DM215" i="4"/>
  <c r="DL215" i="4"/>
  <c r="DW214" i="4"/>
  <c r="DV214" i="4"/>
  <c r="DU214" i="4"/>
  <c r="DT214" i="4"/>
  <c r="DS214" i="4"/>
  <c r="DR214" i="4"/>
  <c r="DQ214" i="4"/>
  <c r="DP214" i="4"/>
  <c r="DO214" i="4"/>
  <c r="DN214" i="4"/>
  <c r="DM214" i="4"/>
  <c r="DL214" i="4"/>
  <c r="DW213" i="4"/>
  <c r="DV213" i="4"/>
  <c r="DU213" i="4"/>
  <c r="DT213" i="4"/>
  <c r="DS213" i="4"/>
  <c r="DR213" i="4"/>
  <c r="DQ213" i="4"/>
  <c r="DP213" i="4"/>
  <c r="DO213" i="4"/>
  <c r="DN213" i="4"/>
  <c r="DM213" i="4"/>
  <c r="DL213" i="4"/>
  <c r="DW212" i="4"/>
  <c r="DV212" i="4"/>
  <c r="DU212" i="4"/>
  <c r="DT212" i="4"/>
  <c r="DS212" i="4"/>
  <c r="DR212" i="4"/>
  <c r="DQ212" i="4"/>
  <c r="DP212" i="4"/>
  <c r="DO212" i="4"/>
  <c r="DN212" i="4"/>
  <c r="DM212" i="4"/>
  <c r="DL212" i="4"/>
  <c r="DW211" i="4"/>
  <c r="DV211" i="4"/>
  <c r="DU211" i="4"/>
  <c r="DT211" i="4"/>
  <c r="DS211" i="4"/>
  <c r="DR211" i="4"/>
  <c r="DQ211" i="4"/>
  <c r="DP211" i="4"/>
  <c r="DO211" i="4"/>
  <c r="DN211" i="4"/>
  <c r="DM211" i="4"/>
  <c r="DL211" i="4"/>
  <c r="DW210" i="4"/>
  <c r="DV210" i="4"/>
  <c r="DU210" i="4"/>
  <c r="DT210" i="4"/>
  <c r="DS210" i="4"/>
  <c r="DR210" i="4"/>
  <c r="DQ210" i="4"/>
  <c r="DP210" i="4"/>
  <c r="DO210" i="4"/>
  <c r="DN210" i="4"/>
  <c r="DM210" i="4"/>
  <c r="DL210" i="4"/>
  <c r="DW209" i="4"/>
  <c r="DV209" i="4"/>
  <c r="DU209" i="4"/>
  <c r="DT209" i="4"/>
  <c r="DS209" i="4"/>
  <c r="DR209" i="4"/>
  <c r="DQ209" i="4"/>
  <c r="DP209" i="4"/>
  <c r="DO209" i="4"/>
  <c r="DN209" i="4"/>
  <c r="DM209" i="4"/>
  <c r="DL209" i="4"/>
  <c r="DW208" i="4"/>
  <c r="DV208" i="4"/>
  <c r="DU208" i="4"/>
  <c r="DT208" i="4"/>
  <c r="DS208" i="4"/>
  <c r="DR208" i="4"/>
  <c r="DQ208" i="4"/>
  <c r="DP208" i="4"/>
  <c r="DO208" i="4"/>
  <c r="DN208" i="4"/>
  <c r="DM208" i="4"/>
  <c r="DL208" i="4"/>
  <c r="DW207" i="4"/>
  <c r="DV207" i="4"/>
  <c r="DU207" i="4"/>
  <c r="DT207" i="4"/>
  <c r="DS207" i="4"/>
  <c r="DR207" i="4"/>
  <c r="DQ207" i="4"/>
  <c r="DP207" i="4"/>
  <c r="DO207" i="4"/>
  <c r="DN207" i="4"/>
  <c r="DM207" i="4"/>
  <c r="DL207" i="4"/>
  <c r="DW206" i="4"/>
  <c r="DV206" i="4"/>
  <c r="DU206" i="4"/>
  <c r="DT206" i="4"/>
  <c r="DS206" i="4"/>
  <c r="DR206" i="4"/>
  <c r="DQ206" i="4"/>
  <c r="DP206" i="4"/>
  <c r="DO206" i="4"/>
  <c r="DN206" i="4"/>
  <c r="DM206" i="4"/>
  <c r="DL206" i="4"/>
  <c r="DW205" i="4"/>
  <c r="DV205" i="4"/>
  <c r="DU205" i="4"/>
  <c r="DT205" i="4"/>
  <c r="DS205" i="4"/>
  <c r="DR205" i="4"/>
  <c r="DQ205" i="4"/>
  <c r="DP205" i="4"/>
  <c r="DO205" i="4"/>
  <c r="DN205" i="4"/>
  <c r="DM205" i="4"/>
  <c r="DL205" i="4"/>
  <c r="DW204" i="4"/>
  <c r="DV204" i="4"/>
  <c r="DU204" i="4"/>
  <c r="DT204" i="4"/>
  <c r="DS204" i="4"/>
  <c r="DR204" i="4"/>
  <c r="DQ204" i="4"/>
  <c r="DP204" i="4"/>
  <c r="DO204" i="4"/>
  <c r="DN204" i="4"/>
  <c r="DM204" i="4"/>
  <c r="DL204" i="4"/>
  <c r="DW203" i="4"/>
  <c r="DV203" i="4"/>
  <c r="DU203" i="4"/>
  <c r="DT203" i="4"/>
  <c r="DS203" i="4"/>
  <c r="DR203" i="4"/>
  <c r="DQ203" i="4"/>
  <c r="DP203" i="4"/>
  <c r="DO203" i="4"/>
  <c r="DN203" i="4"/>
  <c r="DM203" i="4"/>
  <c r="DL203" i="4"/>
  <c r="DW202" i="4"/>
  <c r="DV202" i="4"/>
  <c r="DU202" i="4"/>
  <c r="DT202" i="4"/>
  <c r="DS202" i="4"/>
  <c r="DR202" i="4"/>
  <c r="DQ202" i="4"/>
  <c r="DP202" i="4"/>
  <c r="DO202" i="4"/>
  <c r="DN202" i="4"/>
  <c r="DM202" i="4"/>
  <c r="DL202" i="4"/>
  <c r="DW201" i="4"/>
  <c r="DV201" i="4"/>
  <c r="DU201" i="4"/>
  <c r="DT201" i="4"/>
  <c r="DS201" i="4"/>
  <c r="DR201" i="4"/>
  <c r="DQ201" i="4"/>
  <c r="DP201" i="4"/>
  <c r="DO201" i="4"/>
  <c r="DN201" i="4"/>
  <c r="DM201" i="4"/>
  <c r="DL201" i="4"/>
  <c r="DW200" i="4"/>
  <c r="DV200" i="4"/>
  <c r="DU200" i="4"/>
  <c r="DT200" i="4"/>
  <c r="DS200" i="4"/>
  <c r="DR200" i="4"/>
  <c r="DQ200" i="4"/>
  <c r="DP200" i="4"/>
  <c r="DO200" i="4"/>
  <c r="DN200" i="4"/>
  <c r="DM200" i="4"/>
  <c r="DL200" i="4"/>
  <c r="DW199" i="4"/>
  <c r="DV199" i="4"/>
  <c r="DU199" i="4"/>
  <c r="DT199" i="4"/>
  <c r="DS199" i="4"/>
  <c r="DR199" i="4"/>
  <c r="DQ199" i="4"/>
  <c r="DP199" i="4"/>
  <c r="DO199" i="4"/>
  <c r="DN199" i="4"/>
  <c r="DM199" i="4"/>
  <c r="DL199" i="4"/>
  <c r="DW198" i="4"/>
  <c r="DV198" i="4"/>
  <c r="DU198" i="4"/>
  <c r="DT198" i="4"/>
  <c r="DS198" i="4"/>
  <c r="DR198" i="4"/>
  <c r="DQ198" i="4"/>
  <c r="DP198" i="4"/>
  <c r="DO198" i="4"/>
  <c r="DN198" i="4"/>
  <c r="DM198" i="4"/>
  <c r="DL198" i="4"/>
  <c r="DW197" i="4"/>
  <c r="DV197" i="4"/>
  <c r="DU197" i="4"/>
  <c r="DT197" i="4"/>
  <c r="DS197" i="4"/>
  <c r="DR197" i="4"/>
  <c r="DQ197" i="4"/>
  <c r="DP197" i="4"/>
  <c r="DO197" i="4"/>
  <c r="DN197" i="4"/>
  <c r="DM197" i="4"/>
  <c r="DL197" i="4"/>
  <c r="DW196" i="4"/>
  <c r="DV196" i="4"/>
  <c r="DU196" i="4"/>
  <c r="DT196" i="4"/>
  <c r="DS196" i="4"/>
  <c r="DR196" i="4"/>
  <c r="DQ196" i="4"/>
  <c r="DP196" i="4"/>
  <c r="DO196" i="4"/>
  <c r="DN196" i="4"/>
  <c r="DM196" i="4"/>
  <c r="DL196" i="4"/>
  <c r="DW195" i="4"/>
  <c r="DV195" i="4"/>
  <c r="DU195" i="4"/>
  <c r="DT195" i="4"/>
  <c r="DS195" i="4"/>
  <c r="DR195" i="4"/>
  <c r="DQ195" i="4"/>
  <c r="DP195" i="4"/>
  <c r="DO195" i="4"/>
  <c r="DN195" i="4"/>
  <c r="DM195" i="4"/>
  <c r="DL195" i="4"/>
  <c r="DW194" i="4"/>
  <c r="DV194" i="4"/>
  <c r="DU194" i="4"/>
  <c r="DT194" i="4"/>
  <c r="DS194" i="4"/>
  <c r="DR194" i="4"/>
  <c r="DQ194" i="4"/>
  <c r="DP194" i="4"/>
  <c r="DO194" i="4"/>
  <c r="DN194" i="4"/>
  <c r="DM194" i="4"/>
  <c r="DL194" i="4"/>
  <c r="DW193" i="4"/>
  <c r="DV193" i="4"/>
  <c r="DU193" i="4"/>
  <c r="DT193" i="4"/>
  <c r="DS193" i="4"/>
  <c r="DR193" i="4"/>
  <c r="DQ193" i="4"/>
  <c r="DP193" i="4"/>
  <c r="DO193" i="4"/>
  <c r="DN193" i="4"/>
  <c r="DM193" i="4"/>
  <c r="DL193" i="4"/>
  <c r="DW192" i="4"/>
  <c r="DV192" i="4"/>
  <c r="DU192" i="4"/>
  <c r="DT192" i="4"/>
  <c r="DS192" i="4"/>
  <c r="DR192" i="4"/>
  <c r="DQ192" i="4"/>
  <c r="DP192" i="4"/>
  <c r="DO192" i="4"/>
  <c r="DN192" i="4"/>
  <c r="DM192" i="4"/>
  <c r="DL192" i="4"/>
  <c r="DW191" i="4"/>
  <c r="DV191" i="4"/>
  <c r="DU191" i="4"/>
  <c r="DT191" i="4"/>
  <c r="DS191" i="4"/>
  <c r="DR191" i="4"/>
  <c r="DQ191" i="4"/>
  <c r="DP191" i="4"/>
  <c r="DO191" i="4"/>
  <c r="DN191" i="4"/>
  <c r="DM191" i="4"/>
  <c r="DL191" i="4"/>
  <c r="DW190" i="4"/>
  <c r="DV190" i="4"/>
  <c r="DU190" i="4"/>
  <c r="DT190" i="4"/>
  <c r="DS190" i="4"/>
  <c r="DR190" i="4"/>
  <c r="DQ190" i="4"/>
  <c r="DP190" i="4"/>
  <c r="DO190" i="4"/>
  <c r="DN190" i="4"/>
  <c r="DM190" i="4"/>
  <c r="DL190" i="4"/>
  <c r="DW189" i="4"/>
  <c r="DV189" i="4"/>
  <c r="DU189" i="4"/>
  <c r="DT189" i="4"/>
  <c r="DS189" i="4"/>
  <c r="DR189" i="4"/>
  <c r="DQ189" i="4"/>
  <c r="DP189" i="4"/>
  <c r="DO189" i="4"/>
  <c r="DN189" i="4"/>
  <c r="DM189" i="4"/>
  <c r="DL189" i="4"/>
  <c r="DW188" i="4"/>
  <c r="DV188" i="4"/>
  <c r="DU188" i="4"/>
  <c r="DT188" i="4"/>
  <c r="DS188" i="4"/>
  <c r="DR188" i="4"/>
  <c r="DQ188" i="4"/>
  <c r="DP188" i="4"/>
  <c r="DO188" i="4"/>
  <c r="DN188" i="4"/>
  <c r="DM188" i="4"/>
  <c r="DL188" i="4"/>
  <c r="DW187" i="4"/>
  <c r="DV187" i="4"/>
  <c r="DU187" i="4"/>
  <c r="DT187" i="4"/>
  <c r="DS187" i="4"/>
  <c r="DR187" i="4"/>
  <c r="DQ187" i="4"/>
  <c r="DP187" i="4"/>
  <c r="DO187" i="4"/>
  <c r="DN187" i="4"/>
  <c r="DM187" i="4"/>
  <c r="DL187" i="4"/>
  <c r="DW186" i="4"/>
  <c r="DV186" i="4"/>
  <c r="DU186" i="4"/>
  <c r="DT186" i="4"/>
  <c r="DS186" i="4"/>
  <c r="DR186" i="4"/>
  <c r="DQ186" i="4"/>
  <c r="DP186" i="4"/>
  <c r="DO186" i="4"/>
  <c r="DN186" i="4"/>
  <c r="DM186" i="4"/>
  <c r="DL186" i="4"/>
  <c r="DW185" i="4"/>
  <c r="DV185" i="4"/>
  <c r="DU185" i="4"/>
  <c r="DT185" i="4"/>
  <c r="DS185" i="4"/>
  <c r="DR185" i="4"/>
  <c r="DQ185" i="4"/>
  <c r="DP185" i="4"/>
  <c r="DO185" i="4"/>
  <c r="DN185" i="4"/>
  <c r="DM185" i="4"/>
  <c r="DL185" i="4"/>
  <c r="DW184" i="4"/>
  <c r="DV184" i="4"/>
  <c r="DU184" i="4"/>
  <c r="DT184" i="4"/>
  <c r="DS184" i="4"/>
  <c r="DR184" i="4"/>
  <c r="DQ184" i="4"/>
  <c r="DP184" i="4"/>
  <c r="DO184" i="4"/>
  <c r="DN184" i="4"/>
  <c r="DM184" i="4"/>
  <c r="DL184" i="4"/>
  <c r="DW183" i="4"/>
  <c r="DV183" i="4"/>
  <c r="DU183" i="4"/>
  <c r="DT183" i="4"/>
  <c r="DS183" i="4"/>
  <c r="DR183" i="4"/>
  <c r="DQ183" i="4"/>
  <c r="DP183" i="4"/>
  <c r="DO183" i="4"/>
  <c r="DN183" i="4"/>
  <c r="DM183" i="4"/>
  <c r="DL183" i="4"/>
  <c r="DW182" i="4"/>
  <c r="DV182" i="4"/>
  <c r="DU182" i="4"/>
  <c r="DT182" i="4"/>
  <c r="DS182" i="4"/>
  <c r="DR182" i="4"/>
  <c r="DQ182" i="4"/>
  <c r="DP182" i="4"/>
  <c r="DO182" i="4"/>
  <c r="DN182" i="4"/>
  <c r="DM182" i="4"/>
  <c r="DL182" i="4"/>
  <c r="DW181" i="4"/>
  <c r="DV181" i="4"/>
  <c r="DU181" i="4"/>
  <c r="DT181" i="4"/>
  <c r="DS181" i="4"/>
  <c r="DR181" i="4"/>
  <c r="DQ181" i="4"/>
  <c r="DP181" i="4"/>
  <c r="DO181" i="4"/>
  <c r="DN181" i="4"/>
  <c r="DM181" i="4"/>
  <c r="DL181" i="4"/>
  <c r="DW180" i="4"/>
  <c r="DV180" i="4"/>
  <c r="DU180" i="4"/>
  <c r="DT180" i="4"/>
  <c r="DS180" i="4"/>
  <c r="DR180" i="4"/>
  <c r="DQ180" i="4"/>
  <c r="DP180" i="4"/>
  <c r="DO180" i="4"/>
  <c r="DN180" i="4"/>
  <c r="DM180" i="4"/>
  <c r="DL180" i="4"/>
  <c r="DW179" i="4"/>
  <c r="DV179" i="4"/>
  <c r="DU179" i="4"/>
  <c r="DT179" i="4"/>
  <c r="DS179" i="4"/>
  <c r="DR179" i="4"/>
  <c r="DQ179" i="4"/>
  <c r="DP179" i="4"/>
  <c r="DO179" i="4"/>
  <c r="DN179" i="4"/>
  <c r="DM179" i="4"/>
  <c r="DL179" i="4"/>
  <c r="DW178" i="4"/>
  <c r="DV178" i="4"/>
  <c r="DU178" i="4"/>
  <c r="DT178" i="4"/>
  <c r="DS178" i="4"/>
  <c r="DR178" i="4"/>
  <c r="DQ178" i="4"/>
  <c r="DP178" i="4"/>
  <c r="DO178" i="4"/>
  <c r="DN178" i="4"/>
  <c r="DM178" i="4"/>
  <c r="DL178" i="4"/>
  <c r="DW177" i="4"/>
  <c r="DV177" i="4"/>
  <c r="DU177" i="4"/>
  <c r="DT177" i="4"/>
  <c r="DS177" i="4"/>
  <c r="DR177" i="4"/>
  <c r="DQ177" i="4"/>
  <c r="DP177" i="4"/>
  <c r="DO177" i="4"/>
  <c r="DN177" i="4"/>
  <c r="DM177" i="4"/>
  <c r="DL177" i="4"/>
  <c r="DW176" i="4"/>
  <c r="DV176" i="4"/>
  <c r="DU176" i="4"/>
  <c r="DT176" i="4"/>
  <c r="DS176" i="4"/>
  <c r="DR176" i="4"/>
  <c r="DQ176" i="4"/>
  <c r="DP176" i="4"/>
  <c r="DO176" i="4"/>
  <c r="DN176" i="4"/>
  <c r="DM176" i="4"/>
  <c r="DL176" i="4"/>
  <c r="DW175" i="4"/>
  <c r="DV175" i="4"/>
  <c r="DU175" i="4"/>
  <c r="DT175" i="4"/>
  <c r="DS175" i="4"/>
  <c r="DR175" i="4"/>
  <c r="DQ175" i="4"/>
  <c r="DP175" i="4"/>
  <c r="DO175" i="4"/>
  <c r="DN175" i="4"/>
  <c r="DM175" i="4"/>
  <c r="DL175" i="4"/>
  <c r="DW174" i="4"/>
  <c r="DV174" i="4"/>
  <c r="DU174" i="4"/>
  <c r="DT174" i="4"/>
  <c r="DS174" i="4"/>
  <c r="DR174" i="4"/>
  <c r="DQ174" i="4"/>
  <c r="DP174" i="4"/>
  <c r="DO174" i="4"/>
  <c r="DN174" i="4"/>
  <c r="DM174" i="4"/>
  <c r="DL174" i="4"/>
  <c r="DW173" i="4"/>
  <c r="DV173" i="4"/>
  <c r="DU173" i="4"/>
  <c r="DT173" i="4"/>
  <c r="DS173" i="4"/>
  <c r="DR173" i="4"/>
  <c r="DQ173" i="4"/>
  <c r="DP173" i="4"/>
  <c r="DO173" i="4"/>
  <c r="DN173" i="4"/>
  <c r="DM173" i="4"/>
  <c r="DL173" i="4"/>
  <c r="DW172" i="4"/>
  <c r="DV172" i="4"/>
  <c r="DU172" i="4"/>
  <c r="DT172" i="4"/>
  <c r="DS172" i="4"/>
  <c r="DR172" i="4"/>
  <c r="DQ172" i="4"/>
  <c r="DP172" i="4"/>
  <c r="DO172" i="4"/>
  <c r="DN172" i="4"/>
  <c r="DM172" i="4"/>
  <c r="DL172" i="4"/>
  <c r="DW171" i="4"/>
  <c r="DV171" i="4"/>
  <c r="DU171" i="4"/>
  <c r="DT171" i="4"/>
  <c r="DS171" i="4"/>
  <c r="DR171" i="4"/>
  <c r="DQ171" i="4"/>
  <c r="DP171" i="4"/>
  <c r="DO171" i="4"/>
  <c r="DN171" i="4"/>
  <c r="DM171" i="4"/>
  <c r="DL171" i="4"/>
  <c r="DW170" i="4"/>
  <c r="DV170" i="4"/>
  <c r="DU170" i="4"/>
  <c r="DT170" i="4"/>
  <c r="DS170" i="4"/>
  <c r="DR170" i="4"/>
  <c r="DQ170" i="4"/>
  <c r="DP170" i="4"/>
  <c r="DO170" i="4"/>
  <c r="DN170" i="4"/>
  <c r="DM170" i="4"/>
  <c r="DL170" i="4"/>
  <c r="DW169" i="4"/>
  <c r="DV169" i="4"/>
  <c r="DU169" i="4"/>
  <c r="DT169" i="4"/>
  <c r="DS169" i="4"/>
  <c r="DR169" i="4"/>
  <c r="DQ169" i="4"/>
  <c r="DP169" i="4"/>
  <c r="DO169" i="4"/>
  <c r="DN169" i="4"/>
  <c r="DM169" i="4"/>
  <c r="DL169" i="4"/>
  <c r="DW168" i="4"/>
  <c r="DV168" i="4"/>
  <c r="DU168" i="4"/>
  <c r="DT168" i="4"/>
  <c r="DS168" i="4"/>
  <c r="DR168" i="4"/>
  <c r="DQ168" i="4"/>
  <c r="DP168" i="4"/>
  <c r="DO168" i="4"/>
  <c r="DN168" i="4"/>
  <c r="DM168" i="4"/>
  <c r="DL168" i="4"/>
  <c r="DW167" i="4"/>
  <c r="DV167" i="4"/>
  <c r="DU167" i="4"/>
  <c r="DT167" i="4"/>
  <c r="DS167" i="4"/>
  <c r="DR167" i="4"/>
  <c r="DQ167" i="4"/>
  <c r="DP167" i="4"/>
  <c r="DO167" i="4"/>
  <c r="DN167" i="4"/>
  <c r="DM167" i="4"/>
  <c r="DL167" i="4"/>
  <c r="DW166" i="4"/>
  <c r="DV166" i="4"/>
  <c r="DU166" i="4"/>
  <c r="DT166" i="4"/>
  <c r="DS166" i="4"/>
  <c r="DR166" i="4"/>
  <c r="DQ166" i="4"/>
  <c r="DP166" i="4"/>
  <c r="DO166" i="4"/>
  <c r="DN166" i="4"/>
  <c r="DM166" i="4"/>
  <c r="DL166" i="4"/>
  <c r="DW165" i="4"/>
  <c r="DV165" i="4"/>
  <c r="DU165" i="4"/>
  <c r="DT165" i="4"/>
  <c r="DS165" i="4"/>
  <c r="DR165" i="4"/>
  <c r="DQ165" i="4"/>
  <c r="DP165" i="4"/>
  <c r="DO165" i="4"/>
  <c r="DN165" i="4"/>
  <c r="DM165" i="4"/>
  <c r="DL165" i="4"/>
  <c r="DW164" i="4"/>
  <c r="DV164" i="4"/>
  <c r="DU164" i="4"/>
  <c r="DT164" i="4"/>
  <c r="DS164" i="4"/>
  <c r="DR164" i="4"/>
  <c r="DQ164" i="4"/>
  <c r="DP164" i="4"/>
  <c r="DO164" i="4"/>
  <c r="DN164" i="4"/>
  <c r="DM164" i="4"/>
  <c r="DL164" i="4"/>
  <c r="DW163" i="4"/>
  <c r="DV163" i="4"/>
  <c r="DU163" i="4"/>
  <c r="DT163" i="4"/>
  <c r="DS163" i="4"/>
  <c r="DR163" i="4"/>
  <c r="DQ163" i="4"/>
  <c r="DP163" i="4"/>
  <c r="DO163" i="4"/>
  <c r="DN163" i="4"/>
  <c r="DM163" i="4"/>
  <c r="DL163" i="4"/>
  <c r="DW162" i="4"/>
  <c r="DV162" i="4"/>
  <c r="DU162" i="4"/>
  <c r="DT162" i="4"/>
  <c r="DS162" i="4"/>
  <c r="DR162" i="4"/>
  <c r="DQ162" i="4"/>
  <c r="DP162" i="4"/>
  <c r="DO162" i="4"/>
  <c r="DN162" i="4"/>
  <c r="DM162" i="4"/>
  <c r="DL162" i="4"/>
  <c r="DW161" i="4"/>
  <c r="DV161" i="4"/>
  <c r="DU161" i="4"/>
  <c r="DT161" i="4"/>
  <c r="DS161" i="4"/>
  <c r="DR161" i="4"/>
  <c r="DQ161" i="4"/>
  <c r="DP161" i="4"/>
  <c r="DO161" i="4"/>
  <c r="DN161" i="4"/>
  <c r="DM161" i="4"/>
  <c r="DL161" i="4"/>
  <c r="DW160" i="4"/>
  <c r="DV160" i="4"/>
  <c r="DU160" i="4"/>
  <c r="DT160" i="4"/>
  <c r="DS160" i="4"/>
  <c r="DR160" i="4"/>
  <c r="DQ160" i="4"/>
  <c r="DP160" i="4"/>
  <c r="DO160" i="4"/>
  <c r="DN160" i="4"/>
  <c r="DM160" i="4"/>
  <c r="DL160" i="4"/>
  <c r="DW159" i="4"/>
  <c r="DV159" i="4"/>
  <c r="DU159" i="4"/>
  <c r="DT159" i="4"/>
  <c r="DS159" i="4"/>
  <c r="DR159" i="4"/>
  <c r="DQ159" i="4"/>
  <c r="DP159" i="4"/>
  <c r="DO159" i="4"/>
  <c r="DN159" i="4"/>
  <c r="DM159" i="4"/>
  <c r="DL159" i="4"/>
  <c r="DW158" i="4"/>
  <c r="DV158" i="4"/>
  <c r="DU158" i="4"/>
  <c r="DT158" i="4"/>
  <c r="DS158" i="4"/>
  <c r="DR158" i="4"/>
  <c r="DQ158" i="4"/>
  <c r="DP158" i="4"/>
  <c r="DO158" i="4"/>
  <c r="DN158" i="4"/>
  <c r="DM158" i="4"/>
  <c r="DL158" i="4"/>
  <c r="DW157" i="4"/>
  <c r="DV157" i="4"/>
  <c r="DU157" i="4"/>
  <c r="DT157" i="4"/>
  <c r="DS157" i="4"/>
  <c r="DR157" i="4"/>
  <c r="DQ157" i="4"/>
  <c r="DP157" i="4"/>
  <c r="DO157" i="4"/>
  <c r="DN157" i="4"/>
  <c r="DM157" i="4"/>
  <c r="DL157" i="4"/>
  <c r="DW156" i="4"/>
  <c r="DV156" i="4"/>
  <c r="DU156" i="4"/>
  <c r="DT156" i="4"/>
  <c r="DS156" i="4"/>
  <c r="DR156" i="4"/>
  <c r="DQ156" i="4"/>
  <c r="DP156" i="4"/>
  <c r="DO156" i="4"/>
  <c r="DN156" i="4"/>
  <c r="DM156" i="4"/>
  <c r="DL156" i="4"/>
  <c r="DW155" i="4"/>
  <c r="DV155" i="4"/>
  <c r="DU155" i="4"/>
  <c r="DT155" i="4"/>
  <c r="DS155" i="4"/>
  <c r="DR155" i="4"/>
  <c r="DQ155" i="4"/>
  <c r="DP155" i="4"/>
  <c r="DO155" i="4"/>
  <c r="DN155" i="4"/>
  <c r="DM155" i="4"/>
  <c r="DL155" i="4"/>
  <c r="DW154" i="4"/>
  <c r="DV154" i="4"/>
  <c r="DU154" i="4"/>
  <c r="DT154" i="4"/>
  <c r="DS154" i="4"/>
  <c r="DR154" i="4"/>
  <c r="DQ154" i="4"/>
  <c r="DP154" i="4"/>
  <c r="DO154" i="4"/>
  <c r="DN154" i="4"/>
  <c r="DM154" i="4"/>
  <c r="DL154" i="4"/>
  <c r="DW153" i="4"/>
  <c r="DV153" i="4"/>
  <c r="DU153" i="4"/>
  <c r="DT153" i="4"/>
  <c r="DS153" i="4"/>
  <c r="DR153" i="4"/>
  <c r="DQ153" i="4"/>
  <c r="DP153" i="4"/>
  <c r="DO153" i="4"/>
  <c r="DN153" i="4"/>
  <c r="DM153" i="4"/>
  <c r="DL153" i="4"/>
  <c r="DW152" i="4"/>
  <c r="DV152" i="4"/>
  <c r="DU152" i="4"/>
  <c r="DT152" i="4"/>
  <c r="DS152" i="4"/>
  <c r="DR152" i="4"/>
  <c r="DQ152" i="4"/>
  <c r="DP152" i="4"/>
  <c r="DO152" i="4"/>
  <c r="DN152" i="4"/>
  <c r="DM152" i="4"/>
  <c r="DL152" i="4"/>
  <c r="DW151" i="4"/>
  <c r="DV151" i="4"/>
  <c r="DU151" i="4"/>
  <c r="DT151" i="4"/>
  <c r="DS151" i="4"/>
  <c r="DR151" i="4"/>
  <c r="DQ151" i="4"/>
  <c r="DP151" i="4"/>
  <c r="DO151" i="4"/>
  <c r="DN151" i="4"/>
  <c r="DM151" i="4"/>
  <c r="DL151" i="4"/>
  <c r="DW150" i="4"/>
  <c r="DV150" i="4"/>
  <c r="DU150" i="4"/>
  <c r="DT150" i="4"/>
  <c r="DS150" i="4"/>
  <c r="DR150" i="4"/>
  <c r="DQ150" i="4"/>
  <c r="DP150" i="4"/>
  <c r="DO150" i="4"/>
  <c r="DN150" i="4"/>
  <c r="DM150" i="4"/>
  <c r="DL150" i="4"/>
  <c r="DW149" i="4"/>
  <c r="DV149" i="4"/>
  <c r="DU149" i="4"/>
  <c r="DT149" i="4"/>
  <c r="DS149" i="4"/>
  <c r="DR149" i="4"/>
  <c r="DQ149" i="4"/>
  <c r="DP149" i="4"/>
  <c r="DO149" i="4"/>
  <c r="DN149" i="4"/>
  <c r="DM149" i="4"/>
  <c r="DL149" i="4"/>
  <c r="DW148" i="4"/>
  <c r="DV148" i="4"/>
  <c r="DU148" i="4"/>
  <c r="DT148" i="4"/>
  <c r="DS148" i="4"/>
  <c r="DR148" i="4"/>
  <c r="DQ148" i="4"/>
  <c r="DP148" i="4"/>
  <c r="DO148" i="4"/>
  <c r="DN148" i="4"/>
  <c r="DM148" i="4"/>
  <c r="DL148" i="4"/>
  <c r="DW147" i="4"/>
  <c r="DV147" i="4"/>
  <c r="DU147" i="4"/>
  <c r="DT147" i="4"/>
  <c r="DS147" i="4"/>
  <c r="DR147" i="4"/>
  <c r="DQ147" i="4"/>
  <c r="DP147" i="4"/>
  <c r="DO147" i="4"/>
  <c r="DN147" i="4"/>
  <c r="DM147" i="4"/>
  <c r="DL147" i="4"/>
  <c r="DW146" i="4"/>
  <c r="DV146" i="4"/>
  <c r="DU146" i="4"/>
  <c r="DT146" i="4"/>
  <c r="DS146" i="4"/>
  <c r="DR146" i="4"/>
  <c r="DQ146" i="4"/>
  <c r="DP146" i="4"/>
  <c r="DO146" i="4"/>
  <c r="DN146" i="4"/>
  <c r="DM146" i="4"/>
  <c r="DL146" i="4"/>
  <c r="DW145" i="4"/>
  <c r="DV145" i="4"/>
  <c r="DU145" i="4"/>
  <c r="DT145" i="4"/>
  <c r="DS145" i="4"/>
  <c r="DR145" i="4"/>
  <c r="DQ145" i="4"/>
  <c r="DP145" i="4"/>
  <c r="DO145" i="4"/>
  <c r="DN145" i="4"/>
  <c r="DM145" i="4"/>
  <c r="DL145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W143" i="4"/>
  <c r="DV143" i="4"/>
  <c r="DU143" i="4"/>
  <c r="DT143" i="4"/>
  <c r="DS143" i="4"/>
  <c r="DR143" i="4"/>
  <c r="DQ143" i="4"/>
  <c r="DP143" i="4"/>
  <c r="DO143" i="4"/>
  <c r="DN143" i="4"/>
  <c r="DM143" i="4"/>
  <c r="DL143" i="4"/>
  <c r="DW142" i="4"/>
  <c r="DV142" i="4"/>
  <c r="DU142" i="4"/>
  <c r="DT142" i="4"/>
  <c r="DS142" i="4"/>
  <c r="DR142" i="4"/>
  <c r="DQ142" i="4"/>
  <c r="DP142" i="4"/>
  <c r="DO142" i="4"/>
  <c r="DN142" i="4"/>
  <c r="DM142" i="4"/>
  <c r="DL142" i="4"/>
  <c r="DW141" i="4"/>
  <c r="DV141" i="4"/>
  <c r="DU141" i="4"/>
  <c r="DT141" i="4"/>
  <c r="DS141" i="4"/>
  <c r="DR141" i="4"/>
  <c r="DQ141" i="4"/>
  <c r="DP141" i="4"/>
  <c r="DO141" i="4"/>
  <c r="DN141" i="4"/>
  <c r="DM141" i="4"/>
  <c r="DL141" i="4"/>
  <c r="DW140" i="4"/>
  <c r="DV140" i="4"/>
  <c r="DU140" i="4"/>
  <c r="DT140" i="4"/>
  <c r="DS140" i="4"/>
  <c r="DR140" i="4"/>
  <c r="DQ140" i="4"/>
  <c r="DP140" i="4"/>
  <c r="DO140" i="4"/>
  <c r="DN140" i="4"/>
  <c r="DM140" i="4"/>
  <c r="DL140" i="4"/>
  <c r="DW139" i="4"/>
  <c r="DV139" i="4"/>
  <c r="DU139" i="4"/>
  <c r="DT139" i="4"/>
  <c r="DS139" i="4"/>
  <c r="DR139" i="4"/>
  <c r="DQ139" i="4"/>
  <c r="DP139" i="4"/>
  <c r="DO139" i="4"/>
  <c r="DN139" i="4"/>
  <c r="DM139" i="4"/>
  <c r="DL139" i="4"/>
  <c r="DW138" i="4"/>
  <c r="DV138" i="4"/>
  <c r="DU138" i="4"/>
  <c r="DT138" i="4"/>
  <c r="DS138" i="4"/>
  <c r="DR138" i="4"/>
  <c r="DQ138" i="4"/>
  <c r="DP138" i="4"/>
  <c r="DO138" i="4"/>
  <c r="DN138" i="4"/>
  <c r="DM138" i="4"/>
  <c r="DL138" i="4"/>
  <c r="DW137" i="4"/>
  <c r="DV137" i="4"/>
  <c r="DU137" i="4"/>
  <c r="DT137" i="4"/>
  <c r="DS137" i="4"/>
  <c r="DR137" i="4"/>
  <c r="DQ137" i="4"/>
  <c r="DP137" i="4"/>
  <c r="DO137" i="4"/>
  <c r="DN137" i="4"/>
  <c r="DM137" i="4"/>
  <c r="DL137" i="4"/>
  <c r="DW136" i="4"/>
  <c r="DV136" i="4"/>
  <c r="DU136" i="4"/>
  <c r="DT136" i="4"/>
  <c r="DS136" i="4"/>
  <c r="DR136" i="4"/>
  <c r="DQ136" i="4"/>
  <c r="DP136" i="4"/>
  <c r="DO136" i="4"/>
  <c r="DN136" i="4"/>
  <c r="DM136" i="4"/>
  <c r="DL136" i="4"/>
  <c r="DW135" i="4"/>
  <c r="DV135" i="4"/>
  <c r="DU135" i="4"/>
  <c r="DT135" i="4"/>
  <c r="DS135" i="4"/>
  <c r="DR135" i="4"/>
  <c r="DQ135" i="4"/>
  <c r="DP135" i="4"/>
  <c r="DO135" i="4"/>
  <c r="DN135" i="4"/>
  <c r="DM135" i="4"/>
  <c r="DL135" i="4"/>
  <c r="DW134" i="4"/>
  <c r="DV134" i="4"/>
  <c r="DU134" i="4"/>
  <c r="DT134" i="4"/>
  <c r="DS134" i="4"/>
  <c r="DR134" i="4"/>
  <c r="DQ134" i="4"/>
  <c r="DP134" i="4"/>
  <c r="DO134" i="4"/>
  <c r="DN134" i="4"/>
  <c r="DM134" i="4"/>
  <c r="DL134" i="4"/>
  <c r="DW133" i="4"/>
  <c r="DV133" i="4"/>
  <c r="DU133" i="4"/>
  <c r="DT133" i="4"/>
  <c r="DS133" i="4"/>
  <c r="DR133" i="4"/>
  <c r="DQ133" i="4"/>
  <c r="DP133" i="4"/>
  <c r="DO133" i="4"/>
  <c r="DN133" i="4"/>
  <c r="DM133" i="4"/>
  <c r="DL133" i="4"/>
  <c r="DW132" i="4"/>
  <c r="DV132" i="4"/>
  <c r="DU132" i="4"/>
  <c r="DT132" i="4"/>
  <c r="DS132" i="4"/>
  <c r="DR132" i="4"/>
  <c r="DQ132" i="4"/>
  <c r="DP132" i="4"/>
  <c r="DO132" i="4"/>
  <c r="DN132" i="4"/>
  <c r="DM132" i="4"/>
  <c r="DL132" i="4"/>
  <c r="DW131" i="4"/>
  <c r="DV131" i="4"/>
  <c r="DU131" i="4"/>
  <c r="DT131" i="4"/>
  <c r="DS131" i="4"/>
  <c r="DR131" i="4"/>
  <c r="DQ131" i="4"/>
  <c r="DP131" i="4"/>
  <c r="DO131" i="4"/>
  <c r="DN131" i="4"/>
  <c r="DM131" i="4"/>
  <c r="DL131" i="4"/>
  <c r="DW130" i="4"/>
  <c r="DV130" i="4"/>
  <c r="DU130" i="4"/>
  <c r="DT130" i="4"/>
  <c r="DS130" i="4"/>
  <c r="DR130" i="4"/>
  <c r="DQ130" i="4"/>
  <c r="DP130" i="4"/>
  <c r="DO130" i="4"/>
  <c r="DN130" i="4"/>
  <c r="DM130" i="4"/>
  <c r="DL130" i="4"/>
  <c r="DW129" i="4"/>
  <c r="DV129" i="4"/>
  <c r="DU129" i="4"/>
  <c r="DT129" i="4"/>
  <c r="DS129" i="4"/>
  <c r="DR129" i="4"/>
  <c r="DQ129" i="4"/>
  <c r="DP129" i="4"/>
  <c r="DO129" i="4"/>
  <c r="DN129" i="4"/>
  <c r="DM129" i="4"/>
  <c r="DL129" i="4"/>
  <c r="DW128" i="4"/>
  <c r="DV128" i="4"/>
  <c r="DU128" i="4"/>
  <c r="DT128" i="4"/>
  <c r="DS128" i="4"/>
  <c r="DR128" i="4"/>
  <c r="DQ128" i="4"/>
  <c r="DP128" i="4"/>
  <c r="DO128" i="4"/>
  <c r="DN128" i="4"/>
  <c r="DM128" i="4"/>
  <c r="DL128" i="4"/>
  <c r="DW127" i="4"/>
  <c r="DV127" i="4"/>
  <c r="DU127" i="4"/>
  <c r="DT127" i="4"/>
  <c r="DS127" i="4"/>
  <c r="DR127" i="4"/>
  <c r="DQ127" i="4"/>
  <c r="DP127" i="4"/>
  <c r="DO127" i="4"/>
  <c r="DN127" i="4"/>
  <c r="DM127" i="4"/>
  <c r="DL127" i="4"/>
  <c r="DW126" i="4"/>
  <c r="DV126" i="4"/>
  <c r="DU126" i="4"/>
  <c r="DT126" i="4"/>
  <c r="DS126" i="4"/>
  <c r="DR126" i="4"/>
  <c r="DQ126" i="4"/>
  <c r="DP126" i="4"/>
  <c r="DO126" i="4"/>
  <c r="DN126" i="4"/>
  <c r="DM126" i="4"/>
  <c r="DL126" i="4"/>
  <c r="DW125" i="4"/>
  <c r="DV125" i="4"/>
  <c r="DU125" i="4"/>
  <c r="DT125" i="4"/>
  <c r="DS125" i="4"/>
  <c r="DR125" i="4"/>
  <c r="DQ125" i="4"/>
  <c r="DP125" i="4"/>
  <c r="DO125" i="4"/>
  <c r="DN125" i="4"/>
  <c r="DM125" i="4"/>
  <c r="DL125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W121" i="4"/>
  <c r="DV121" i="4"/>
  <c r="DU121" i="4"/>
  <c r="DT121" i="4"/>
  <c r="DS121" i="4"/>
  <c r="DR121" i="4"/>
  <c r="DQ121" i="4"/>
  <c r="DP121" i="4"/>
  <c r="DO121" i="4"/>
  <c r="DN121" i="4"/>
  <c r="DM121" i="4"/>
  <c r="DL121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W111" i="4"/>
  <c r="DV111" i="4"/>
  <c r="DU111" i="4"/>
  <c r="DT111" i="4"/>
  <c r="DS111" i="4"/>
  <c r="DR111" i="4"/>
  <c r="DQ111" i="4"/>
  <c r="DP111" i="4"/>
  <c r="DO111" i="4"/>
  <c r="DN111" i="4"/>
  <c r="DM111" i="4"/>
  <c r="DL111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W108" i="4"/>
  <c r="DV108" i="4"/>
  <c r="DU108" i="4"/>
  <c r="DT108" i="4"/>
  <c r="DS108" i="4"/>
  <c r="DR108" i="4"/>
  <c r="DQ108" i="4"/>
  <c r="DP108" i="4"/>
  <c r="DO108" i="4"/>
  <c r="DN108" i="4"/>
  <c r="DM108" i="4"/>
  <c r="DL108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W105" i="4"/>
  <c r="DV105" i="4"/>
  <c r="DU105" i="4"/>
  <c r="DT105" i="4"/>
  <c r="DS105" i="4"/>
  <c r="DR105" i="4"/>
  <c r="DQ105" i="4"/>
  <c r="DP105" i="4"/>
  <c r="DO105" i="4"/>
  <c r="DN105" i="4"/>
  <c r="DM105" i="4"/>
  <c r="DL105" i="4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W97" i="4"/>
  <c r="DV97" i="4"/>
  <c r="DU97" i="4"/>
  <c r="DT97" i="4"/>
  <c r="DS97" i="4"/>
  <c r="DR97" i="4"/>
  <c r="DQ97" i="4"/>
  <c r="DP97" i="4"/>
  <c r="DO97" i="4"/>
  <c r="DN97" i="4"/>
  <c r="DM97" i="4"/>
  <c r="DL97" i="4"/>
  <c r="DW96" i="4"/>
  <c r="DV96" i="4"/>
  <c r="DU96" i="4"/>
  <c r="DT96" i="4"/>
  <c r="DS96" i="4"/>
  <c r="DR96" i="4"/>
  <c r="DQ96" i="4"/>
  <c r="DP96" i="4"/>
  <c r="DO96" i="4"/>
  <c r="DN96" i="4"/>
  <c r="DM96" i="4"/>
  <c r="DL96" i="4"/>
  <c r="DW95" i="4"/>
  <c r="DV95" i="4"/>
  <c r="DU95" i="4"/>
  <c r="DT95" i="4"/>
  <c r="DS95" i="4"/>
  <c r="DR95" i="4"/>
  <c r="DQ95" i="4"/>
  <c r="DP95" i="4"/>
  <c r="DO95" i="4"/>
  <c r="DN95" i="4"/>
  <c r="DM95" i="4"/>
  <c r="DL95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W92" i="4"/>
  <c r="DV92" i="4"/>
  <c r="DU92" i="4"/>
  <c r="DT92" i="4"/>
  <c r="DS92" i="4"/>
  <c r="DR92" i="4"/>
  <c r="DQ92" i="4"/>
  <c r="DP92" i="4"/>
  <c r="DO92" i="4"/>
  <c r="DN92" i="4"/>
  <c r="DM92" i="4"/>
  <c r="DL92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W86" i="4"/>
  <c r="DV86" i="4"/>
  <c r="DU86" i="4"/>
  <c r="DT86" i="4"/>
  <c r="DS86" i="4"/>
  <c r="DR86" i="4"/>
  <c r="DQ86" i="4"/>
  <c r="DP86" i="4"/>
  <c r="DO86" i="4"/>
  <c r="DN86" i="4"/>
  <c r="DM86" i="4"/>
  <c r="DL86" i="4"/>
  <c r="DW85" i="4"/>
  <c r="DV85" i="4"/>
  <c r="DU85" i="4"/>
  <c r="DT85" i="4"/>
  <c r="DS85" i="4"/>
  <c r="DR85" i="4"/>
  <c r="DQ85" i="4"/>
  <c r="DP85" i="4"/>
  <c r="DO85" i="4"/>
  <c r="DN85" i="4"/>
  <c r="DM85" i="4"/>
  <c r="DL85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W83" i="4"/>
  <c r="DV83" i="4"/>
  <c r="DU83" i="4"/>
  <c r="DT83" i="4"/>
  <c r="DS83" i="4"/>
  <c r="DR83" i="4"/>
  <c r="DQ83" i="4"/>
  <c r="DP83" i="4"/>
  <c r="DO83" i="4"/>
  <c r="DN83" i="4"/>
  <c r="DM83" i="4"/>
  <c r="DL83" i="4"/>
  <c r="DW82" i="4"/>
  <c r="DV82" i="4"/>
  <c r="DU82" i="4"/>
  <c r="DT82" i="4"/>
  <c r="DS82" i="4"/>
  <c r="DR82" i="4"/>
  <c r="DQ82" i="4"/>
  <c r="DP82" i="4"/>
  <c r="DO82" i="4"/>
  <c r="DN82" i="4"/>
  <c r="DM82" i="4"/>
  <c r="DL82" i="4"/>
  <c r="DW81" i="4"/>
  <c r="DV81" i="4"/>
  <c r="DU81" i="4"/>
  <c r="DT81" i="4"/>
  <c r="DS81" i="4"/>
  <c r="DR81" i="4"/>
  <c r="DQ81" i="4"/>
  <c r="DP81" i="4"/>
  <c r="DO81" i="4"/>
  <c r="DN81" i="4"/>
  <c r="DM81" i="4"/>
  <c r="DL81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W79" i="4"/>
  <c r="DV79" i="4"/>
  <c r="DU79" i="4"/>
  <c r="DT79" i="4"/>
  <c r="DS79" i="4"/>
  <c r="DR79" i="4"/>
  <c r="DQ79" i="4"/>
  <c r="DP79" i="4"/>
  <c r="DO79" i="4"/>
  <c r="DN79" i="4"/>
  <c r="DM79" i="4"/>
  <c r="DL79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W77" i="4"/>
  <c r="DV77" i="4"/>
  <c r="DU77" i="4"/>
  <c r="DT77" i="4"/>
  <c r="DS77" i="4"/>
  <c r="DR77" i="4"/>
  <c r="DQ77" i="4"/>
  <c r="DP77" i="4"/>
  <c r="DO77" i="4"/>
  <c r="DN77" i="4"/>
  <c r="DM77" i="4"/>
  <c r="DL77" i="4"/>
  <c r="DW76" i="4"/>
  <c r="DV76" i="4"/>
  <c r="DU76" i="4"/>
  <c r="DT76" i="4"/>
  <c r="DS76" i="4"/>
  <c r="DR76" i="4"/>
  <c r="DQ76" i="4"/>
  <c r="DP76" i="4"/>
  <c r="DO76" i="4"/>
  <c r="DN76" i="4"/>
  <c r="DM76" i="4"/>
  <c r="DL76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W73" i="4"/>
  <c r="DV73" i="4"/>
  <c r="DU73" i="4"/>
  <c r="DT73" i="4"/>
  <c r="DS73" i="4"/>
  <c r="DR73" i="4"/>
  <c r="DQ73" i="4"/>
  <c r="DP73" i="4"/>
  <c r="DO73" i="4"/>
  <c r="DN73" i="4"/>
  <c r="DM73" i="4"/>
  <c r="DL73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W69" i="4"/>
  <c r="DV69" i="4"/>
  <c r="DU69" i="4"/>
  <c r="DT69" i="4"/>
  <c r="DS69" i="4"/>
  <c r="DR69" i="4"/>
  <c r="DQ69" i="4"/>
  <c r="DP69" i="4"/>
  <c r="DO69" i="4"/>
  <c r="DN69" i="4"/>
  <c r="DM69" i="4"/>
  <c r="DL69" i="4"/>
  <c r="DW68" i="4"/>
  <c r="DV68" i="4"/>
  <c r="DU68" i="4"/>
  <c r="DT68" i="4"/>
  <c r="DS68" i="4"/>
  <c r="DR68" i="4"/>
  <c r="DQ68" i="4"/>
  <c r="DP68" i="4"/>
  <c r="DO68" i="4"/>
  <c r="DN68" i="4"/>
  <c r="DM68" i="4"/>
  <c r="DL68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W35" i="4"/>
  <c r="DV35" i="4"/>
  <c r="DU35" i="4"/>
  <c r="DT35" i="4"/>
  <c r="DS35" i="4"/>
  <c r="DR35" i="4"/>
  <c r="DQ35" i="4"/>
  <c r="DP35" i="4"/>
  <c r="DO35" i="4"/>
  <c r="DN35" i="4"/>
  <c r="DM35" i="4"/>
  <c r="DL35" i="4"/>
  <c r="DW34" i="4"/>
  <c r="DV34" i="4"/>
  <c r="DU34" i="4"/>
  <c r="DT34" i="4"/>
  <c r="DS34" i="4"/>
  <c r="DR34" i="4"/>
  <c r="DQ34" i="4"/>
  <c r="DP34" i="4"/>
  <c r="DO34" i="4"/>
  <c r="DN34" i="4"/>
  <c r="DM34" i="4"/>
  <c r="DL34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BI11" i="4"/>
  <c r="BI2" i="4"/>
  <c r="BH2" i="4"/>
  <c r="BG2" i="4"/>
  <c r="BF2" i="4"/>
  <c r="BE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U2" i="4"/>
  <c r="T2" i="4"/>
  <c r="S2" i="4"/>
  <c r="R2" i="4"/>
  <c r="Q2" i="4"/>
  <c r="BI1" i="4"/>
  <c r="BH1" i="4"/>
  <c r="BG1" i="4"/>
  <c r="BF1" i="4"/>
  <c r="BE1" i="4"/>
  <c r="BD1" i="4"/>
  <c r="BD2" i="4" s="1"/>
  <c r="BC1" i="4"/>
  <c r="BC2" i="4" s="1"/>
  <c r="BB1" i="4"/>
  <c r="BB2" i="4" s="1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N2" i="4" s="1"/>
  <c r="AM1" i="4"/>
  <c r="AM2" i="4" s="1"/>
  <c r="AL1" i="4"/>
  <c r="AL2" i="4" s="1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X2" i="4" s="1"/>
  <c r="W1" i="4"/>
  <c r="W2" i="4" s="1"/>
  <c r="V1" i="4"/>
  <c r="V2" i="4" s="1"/>
  <c r="U1" i="4"/>
  <c r="T1" i="4"/>
  <c r="S1" i="4"/>
  <c r="R1" i="4"/>
  <c r="Q1" i="4"/>
  <c r="BN3" i="19" l="1"/>
  <c r="BM3" i="19"/>
  <c r="BL3" i="19"/>
  <c r="BK3" i="19"/>
  <c r="BJ3" i="19"/>
  <c r="BI3" i="19"/>
  <c r="BH3" i="19"/>
  <c r="BG3" i="19"/>
  <c r="BF3" i="19"/>
  <c r="BE3" i="19"/>
  <c r="BD3" i="19"/>
  <c r="BC3" i="19"/>
  <c r="BB3" i="19"/>
  <c r="BN2" i="19"/>
  <c r="BM2" i="19"/>
  <c r="BL2" i="19"/>
  <c r="BK2" i="19"/>
  <c r="BJ2" i="19"/>
  <c r="BI2" i="19"/>
  <c r="BH2" i="19"/>
  <c r="BG2" i="19"/>
  <c r="BF2" i="19"/>
  <c r="BE2" i="19"/>
  <c r="BD2" i="19"/>
  <c r="BC2" i="19"/>
  <c r="BB2" i="19"/>
  <c r="BB62" i="19" l="1"/>
  <c r="BB63" i="19"/>
  <c r="BA56" i="19"/>
  <c r="AZ56" i="19"/>
  <c r="AY56" i="19"/>
  <c r="AX56" i="19"/>
  <c r="AW56" i="19"/>
  <c r="AV56" i="19"/>
  <c r="AU56" i="19"/>
  <c r="BN56" i="19" s="1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BK56" i="19" s="1"/>
  <c r="AG56" i="19"/>
  <c r="AF56" i="19"/>
  <c r="AE56" i="19"/>
  <c r="AD56" i="19"/>
  <c r="BJ56" i="19" s="1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A53" i="19"/>
  <c r="BA54" i="19" s="1"/>
  <c r="AZ53" i="19"/>
  <c r="AZ54" i="19" s="1"/>
  <c r="AY53" i="19"/>
  <c r="AY54" i="19" s="1"/>
  <c r="AX53" i="19"/>
  <c r="AX54" i="19" s="1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BK53" i="19" s="1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BH53" i="19" s="1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BL51" i="19" s="1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BI51" i="19" s="1"/>
  <c r="X51" i="19"/>
  <c r="W51" i="19"/>
  <c r="V51" i="19"/>
  <c r="U51" i="19"/>
  <c r="BH51" i="19" s="1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BE51" i="19" s="1"/>
  <c r="G51" i="19"/>
  <c r="F51" i="19"/>
  <c r="E51" i="19"/>
  <c r="D51" i="19"/>
  <c r="BD51" i="19" s="1"/>
  <c r="C51" i="19"/>
  <c r="BA50" i="19"/>
  <c r="AZ50" i="19"/>
  <c r="AY50" i="19"/>
  <c r="AX50" i="19"/>
  <c r="AW50" i="19"/>
  <c r="AV50" i="19"/>
  <c r="AU50" i="19"/>
  <c r="AT50" i="19"/>
  <c r="AS50" i="19"/>
  <c r="AR50" i="19"/>
  <c r="AQ50" i="19"/>
  <c r="BM50" i="19" s="1"/>
  <c r="AP50" i="19"/>
  <c r="AO50" i="19"/>
  <c r="AN50" i="19"/>
  <c r="AM50" i="19"/>
  <c r="BL50" i="19" s="1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BI50" i="19" s="1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BF50" i="19" s="1"/>
  <c r="K50" i="19"/>
  <c r="J50" i="19"/>
  <c r="I50" i="19"/>
  <c r="H50" i="19"/>
  <c r="BE50" i="19" s="1"/>
  <c r="G50" i="19"/>
  <c r="F50" i="19"/>
  <c r="E50" i="19"/>
  <c r="D50" i="19"/>
  <c r="C50" i="19"/>
  <c r="B56" i="19"/>
  <c r="BC56" i="19" s="1"/>
  <c r="B53" i="19"/>
  <c r="B51" i="19"/>
  <c r="B50" i="19"/>
  <c r="BC50" i="19" s="1"/>
  <c r="Q54" i="19" l="1"/>
  <c r="BG53" i="19"/>
  <c r="BD53" i="19"/>
  <c r="BG56" i="19"/>
  <c r="BL53" i="19"/>
  <c r="BD56" i="19"/>
  <c r="BJ50" i="19"/>
  <c r="BM51" i="19"/>
  <c r="BE53" i="19"/>
  <c r="BH56" i="19"/>
  <c r="BN50" i="19"/>
  <c r="BF51" i="19"/>
  <c r="BC51" i="19"/>
  <c r="BC63" i="19" s="1"/>
  <c r="BL56" i="19"/>
  <c r="BI53" i="19"/>
  <c r="BC53" i="19"/>
  <c r="BG50" i="19"/>
  <c r="BJ51" i="19"/>
  <c r="BM53" i="19"/>
  <c r="BE56" i="19"/>
  <c r="BK50" i="19"/>
  <c r="BF53" i="19"/>
  <c r="BI56" i="19"/>
  <c r="BD50" i="19"/>
  <c r="BJ53" i="19"/>
  <c r="BM56" i="19"/>
  <c r="BN51" i="19"/>
  <c r="BG51" i="19"/>
  <c r="BG63" i="19" s="1"/>
  <c r="BH50" i="19"/>
  <c r="BK51" i="19"/>
  <c r="BN53" i="19"/>
  <c r="BF56" i="19"/>
  <c r="BN63" i="19"/>
  <c r="BL63" i="19"/>
  <c r="BJ63" i="19"/>
  <c r="BH63" i="19"/>
  <c r="BK63" i="19"/>
  <c r="AR54" i="19"/>
  <c r="AV54" i="19"/>
  <c r="BD63" i="19"/>
  <c r="R54" i="19"/>
  <c r="AE54" i="19"/>
  <c r="E54" i="19"/>
  <c r="BE63" i="19"/>
  <c r="V54" i="19"/>
  <c r="BI63" i="19"/>
  <c r="M54" i="19"/>
  <c r="AI54" i="19"/>
  <c r="AN54" i="19"/>
  <c r="BM63" i="19"/>
  <c r="I54" i="19"/>
  <c r="BF63" i="19"/>
  <c r="Z54" i="19"/>
  <c r="AS54" i="19"/>
  <c r="AF54" i="19"/>
  <c r="AW54" i="19"/>
  <c r="AA54" i="19"/>
  <c r="S54" i="19"/>
  <c r="AJ54" i="19"/>
  <c r="F54" i="19"/>
  <c r="W54" i="19"/>
  <c r="AO54" i="19"/>
  <c r="J54" i="19"/>
  <c r="AB54" i="19"/>
  <c r="C54" i="19"/>
  <c r="K54" i="19"/>
  <c r="AG54" i="19"/>
  <c r="T54" i="19"/>
  <c r="AK54" i="19"/>
  <c r="O54" i="19"/>
  <c r="G54" i="19"/>
  <c r="AT54" i="19"/>
  <c r="X54" i="19"/>
  <c r="AP54" i="19"/>
  <c r="AB52" i="19"/>
  <c r="D54" i="19"/>
  <c r="AQ54" i="19"/>
  <c r="BM54" i="19" s="1"/>
  <c r="L54" i="19"/>
  <c r="BF54" i="19" s="1"/>
  <c r="U54" i="19"/>
  <c r="BH54" i="19" s="1"/>
  <c r="AH54" i="19"/>
  <c r="BK54" i="19" s="1"/>
  <c r="AC54" i="19"/>
  <c r="AU54" i="19"/>
  <c r="BN54" i="19" s="1"/>
  <c r="P54" i="19"/>
  <c r="L52" i="19"/>
  <c r="AL54" i="19"/>
  <c r="H54" i="19"/>
  <c r="Y54" i="19"/>
  <c r="AZ52" i="19"/>
  <c r="AZ55" i="19" s="1"/>
  <c r="M52" i="19"/>
  <c r="AS52" i="19"/>
  <c r="N52" i="19"/>
  <c r="AD52" i="19"/>
  <c r="AT52" i="19"/>
  <c r="AC52" i="19"/>
  <c r="B52" i="19"/>
  <c r="BC52" i="19" s="1"/>
  <c r="R52" i="19"/>
  <c r="AH52" i="19"/>
  <c r="AX52" i="19"/>
  <c r="AX55" i="19" s="1"/>
  <c r="K52" i="19"/>
  <c r="AA52" i="19"/>
  <c r="AQ52" i="19"/>
  <c r="N54" i="19"/>
  <c r="C52" i="19"/>
  <c r="S52" i="19"/>
  <c r="T52" i="19"/>
  <c r="D52" i="19"/>
  <c r="AJ52" i="19"/>
  <c r="O52" i="19"/>
  <c r="AU52" i="19"/>
  <c r="AE52" i="19"/>
  <c r="AY52" i="19"/>
  <c r="AY55" i="19" s="1"/>
  <c r="AM54" i="19"/>
  <c r="BL54" i="19" s="1"/>
  <c r="AI52" i="19"/>
  <c r="AR52" i="19"/>
  <c r="X52" i="19"/>
  <c r="E52" i="19"/>
  <c r="BA52" i="19"/>
  <c r="BA55" i="19" s="1"/>
  <c r="H52" i="19"/>
  <c r="AN52" i="19"/>
  <c r="U52" i="19"/>
  <c r="AK52" i="19"/>
  <c r="I52" i="19"/>
  <c r="Y52" i="19"/>
  <c r="AO52" i="19"/>
  <c r="F52" i="19"/>
  <c r="V52" i="19"/>
  <c r="AL52" i="19"/>
  <c r="J52" i="19"/>
  <c r="Z52" i="19"/>
  <c r="AP52" i="19"/>
  <c r="G52" i="19"/>
  <c r="W52" i="19"/>
  <c r="AM52" i="19"/>
  <c r="AD54" i="19"/>
  <c r="BJ54" i="19" s="1"/>
  <c r="P52" i="19"/>
  <c r="AV52" i="19"/>
  <c r="AF52" i="19"/>
  <c r="Q52" i="19"/>
  <c r="AG52" i="19"/>
  <c r="AW52" i="19"/>
  <c r="M60" i="19"/>
  <c r="BA63" i="19"/>
  <c r="AZ63" i="19"/>
  <c r="AY63" i="19"/>
  <c r="AX63" i="19"/>
  <c r="AW63" i="19"/>
  <c r="AV63" i="19"/>
  <c r="AU63" i="19"/>
  <c r="AT63" i="19"/>
  <c r="AS63" i="19"/>
  <c r="AR63" i="19"/>
  <c r="AQ63" i="19"/>
  <c r="AP63" i="19"/>
  <c r="AO63" i="19"/>
  <c r="AN63" i="19"/>
  <c r="AM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D63" i="19"/>
  <c r="C63" i="19"/>
  <c r="AX62" i="19"/>
  <c r="AH62" i="19"/>
  <c r="R62" i="19"/>
  <c r="B63" i="19"/>
  <c r="C59" i="19"/>
  <c r="C60" i="19" s="1"/>
  <c r="D59" i="19"/>
  <c r="D60" i="19" s="1"/>
  <c r="E59" i="19"/>
  <c r="E60" i="19" s="1"/>
  <c r="F59" i="19"/>
  <c r="G59" i="19"/>
  <c r="G60" i="19" s="1"/>
  <c r="H59" i="19"/>
  <c r="I59" i="19"/>
  <c r="I60" i="19" s="1"/>
  <c r="J59" i="19"/>
  <c r="J60" i="19" s="1"/>
  <c r="K59" i="19"/>
  <c r="K60" i="19" s="1"/>
  <c r="L59" i="19"/>
  <c r="L60" i="19" s="1"/>
  <c r="M59" i="19"/>
  <c r="N59" i="19"/>
  <c r="N60" i="19" s="1"/>
  <c r="O59" i="19"/>
  <c r="O60" i="19" s="1"/>
  <c r="P59" i="19"/>
  <c r="Q59" i="19"/>
  <c r="R59" i="19"/>
  <c r="S59" i="19"/>
  <c r="S60" i="19" s="1"/>
  <c r="T59" i="19"/>
  <c r="T60" i="19" s="1"/>
  <c r="U59" i="19"/>
  <c r="U60" i="19" s="1"/>
  <c r="V59" i="19"/>
  <c r="W59" i="19"/>
  <c r="W60" i="19" s="1"/>
  <c r="X59" i="19"/>
  <c r="Y59" i="19"/>
  <c r="Y60" i="19" s="1"/>
  <c r="Z59" i="19"/>
  <c r="Z60" i="19" s="1"/>
  <c r="AA59" i="19"/>
  <c r="AA60" i="19" s="1"/>
  <c r="AB59" i="19"/>
  <c r="AB60" i="19" s="1"/>
  <c r="AC59" i="19"/>
  <c r="AC60" i="19" s="1"/>
  <c r="AD59" i="19"/>
  <c r="AD60" i="19" s="1"/>
  <c r="AE59" i="19"/>
  <c r="AE60" i="19" s="1"/>
  <c r="AF59" i="19"/>
  <c r="AG59" i="19"/>
  <c r="AH59" i="19"/>
  <c r="AI59" i="19"/>
  <c r="AI60" i="19" s="1"/>
  <c r="AJ59" i="19"/>
  <c r="AJ60" i="19" s="1"/>
  <c r="AK59" i="19"/>
  <c r="AK60" i="19" s="1"/>
  <c r="AL59" i="19"/>
  <c r="AM59" i="19"/>
  <c r="AM60" i="19" s="1"/>
  <c r="AN59" i="19"/>
  <c r="AO59" i="19"/>
  <c r="AO60" i="19" s="1"/>
  <c r="AP59" i="19"/>
  <c r="AP60" i="19" s="1"/>
  <c r="AQ59" i="19"/>
  <c r="AQ60" i="19" s="1"/>
  <c r="AR59" i="19"/>
  <c r="AR60" i="19" s="1"/>
  <c r="AS59" i="19"/>
  <c r="AS60" i="19" s="1"/>
  <c r="AT59" i="19"/>
  <c r="AT60" i="19" s="1"/>
  <c r="AU59" i="19"/>
  <c r="AU60" i="19" s="1"/>
  <c r="AV59" i="19"/>
  <c r="AW59" i="19"/>
  <c r="AX59" i="19"/>
  <c r="AY59" i="19"/>
  <c r="AY60" i="19" s="1"/>
  <c r="AZ59" i="19"/>
  <c r="AZ60" i="19" s="1"/>
  <c r="BA59" i="19"/>
  <c r="BA60" i="19" s="1"/>
  <c r="B59" i="19"/>
  <c r="B60" i="19" s="1"/>
  <c r="A3" i="19"/>
  <c r="A2" i="19"/>
  <c r="B1" i="19"/>
  <c r="C1" i="19" s="1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K52" i="19" l="1"/>
  <c r="BJ52" i="19"/>
  <c r="BD54" i="19"/>
  <c r="BI52" i="19"/>
  <c r="BH52" i="19"/>
  <c r="BD52" i="19"/>
  <c r="BI54" i="19"/>
  <c r="BG52" i="19"/>
  <c r="BE52" i="19"/>
  <c r="BE54" i="19"/>
  <c r="BG54" i="19"/>
  <c r="BN52" i="19"/>
  <c r="BF52" i="19"/>
  <c r="BL52" i="19"/>
  <c r="BM52" i="19"/>
  <c r="R55" i="19"/>
  <c r="AE55" i="19"/>
  <c r="M55" i="19"/>
  <c r="AN55" i="19"/>
  <c r="AV55" i="19"/>
  <c r="F55" i="19"/>
  <c r="F57" i="19" s="1"/>
  <c r="AW55" i="19"/>
  <c r="AS55" i="19"/>
  <c r="AS57" i="19" s="1"/>
  <c r="AF55" i="19"/>
  <c r="AO55" i="19"/>
  <c r="S55" i="19"/>
  <c r="S57" i="19" s="1"/>
  <c r="W55" i="19"/>
  <c r="W57" i="19" s="1"/>
  <c r="AA55" i="19"/>
  <c r="J55" i="19"/>
  <c r="AJ55" i="19"/>
  <c r="AJ57" i="19" s="1"/>
  <c r="AK55" i="19"/>
  <c r="AK57" i="19" s="1"/>
  <c r="T55" i="19"/>
  <c r="C55" i="19"/>
  <c r="G55" i="19"/>
  <c r="G57" i="19" s="1"/>
  <c r="AP55" i="19"/>
  <c r="X55" i="19"/>
  <c r="K55" i="19"/>
  <c r="AB55" i="19"/>
  <c r="AT55" i="19"/>
  <c r="AT57" i="19" s="1"/>
  <c r="O55" i="19"/>
  <c r="O57" i="19" s="1"/>
  <c r="L55" i="19"/>
  <c r="U55" i="19"/>
  <c r="P55" i="19"/>
  <c r="H55" i="19"/>
  <c r="AH55" i="19"/>
  <c r="Y55" i="19"/>
  <c r="AQ55" i="19"/>
  <c r="BM55" i="19" s="1"/>
  <c r="AU55" i="19"/>
  <c r="BN55" i="19" s="1"/>
  <c r="D55" i="19"/>
  <c r="AC55" i="19"/>
  <c r="AL55" i="19"/>
  <c r="AL57" i="19" s="1"/>
  <c r="N55" i="19"/>
  <c r="BL62" i="19"/>
  <c r="BJ62" i="19"/>
  <c r="BG62" i="19"/>
  <c r="BK62" i="19"/>
  <c r="BH62" i="19"/>
  <c r="BN62" i="19"/>
  <c r="BF62" i="19"/>
  <c r="BI62" i="19"/>
  <c r="BD62" i="19"/>
  <c r="BM62" i="19"/>
  <c r="BC62" i="19"/>
  <c r="AG55" i="19"/>
  <c r="BE62" i="19"/>
  <c r="AM55" i="19"/>
  <c r="BL55" i="19" s="1"/>
  <c r="E55" i="19"/>
  <c r="AD55" i="19"/>
  <c r="Z55" i="19"/>
  <c r="Q55" i="19"/>
  <c r="I55" i="19"/>
  <c r="AR55" i="19"/>
  <c r="AI55" i="19"/>
  <c r="V55" i="19"/>
  <c r="I62" i="19"/>
  <c r="Y62" i="19"/>
  <c r="AO62" i="19"/>
  <c r="J62" i="19"/>
  <c r="Z62" i="19"/>
  <c r="AP62" i="19"/>
  <c r="K62" i="19"/>
  <c r="AQ62" i="19"/>
  <c r="L62" i="19"/>
  <c r="AX60" i="19"/>
  <c r="AH60" i="19"/>
  <c r="R60" i="19"/>
  <c r="B62" i="19"/>
  <c r="AV60" i="19"/>
  <c r="AF60" i="19"/>
  <c r="P60" i="19"/>
  <c r="Q62" i="19"/>
  <c r="AG62" i="19"/>
  <c r="C62" i="19"/>
  <c r="S62" i="19"/>
  <c r="AI62" i="19"/>
  <c r="AY62" i="19"/>
  <c r="D62" i="19"/>
  <c r="T62" i="19"/>
  <c r="AJ62" i="19"/>
  <c r="AZ57" i="19"/>
  <c r="AW62" i="19"/>
  <c r="F62" i="19"/>
  <c r="V62" i="19"/>
  <c r="AL62" i="19"/>
  <c r="AW60" i="19"/>
  <c r="AG60" i="19"/>
  <c r="Q60" i="19"/>
  <c r="P62" i="19"/>
  <c r="AF62" i="19"/>
  <c r="AV62" i="19"/>
  <c r="AX57" i="19"/>
  <c r="E62" i="19"/>
  <c r="U62" i="19"/>
  <c r="AK62" i="19"/>
  <c r="BA62" i="19"/>
  <c r="H62" i="19"/>
  <c r="X62" i="19"/>
  <c r="AN62" i="19"/>
  <c r="AU62" i="19"/>
  <c r="AE62" i="19"/>
  <c r="O62" i="19"/>
  <c r="AT62" i="19"/>
  <c r="AD62" i="19"/>
  <c r="N62" i="19"/>
  <c r="AS62" i="19"/>
  <c r="AC62" i="19"/>
  <c r="M62" i="19"/>
  <c r="AR62" i="19"/>
  <c r="AB62" i="19"/>
  <c r="AA62" i="19"/>
  <c r="AM62" i="19"/>
  <c r="W62" i="19"/>
  <c r="G62" i="19"/>
  <c r="AL63" i="19"/>
  <c r="V63" i="19"/>
  <c r="F63" i="19"/>
  <c r="AK63" i="19"/>
  <c r="E63" i="19"/>
  <c r="AY57" i="19"/>
  <c r="AZ62" i="19"/>
  <c r="F60" i="19"/>
  <c r="AL60" i="19"/>
  <c r="BA57" i="19"/>
  <c r="V60" i="19"/>
  <c r="AN60" i="19"/>
  <c r="X60" i="19"/>
  <c r="H60" i="19"/>
  <c r="B54" i="19"/>
  <c r="BC54" i="19" s="1"/>
  <c r="H57" i="19" l="1"/>
  <c r="BE55" i="19"/>
  <c r="U57" i="19"/>
  <c r="BH55" i="19"/>
  <c r="BH57" i="19" s="1"/>
  <c r="L57" i="19"/>
  <c r="BF55" i="19"/>
  <c r="BF57" i="19" s="1"/>
  <c r="Y57" i="19"/>
  <c r="BI55" i="19"/>
  <c r="BK55" i="19"/>
  <c r="BG55" i="19"/>
  <c r="AD57" i="19"/>
  <c r="BJ55" i="19"/>
  <c r="D57" i="19"/>
  <c r="BD55" i="19"/>
  <c r="BN57" i="19"/>
  <c r="BL57" i="19"/>
  <c r="BM57" i="19"/>
  <c r="BK57" i="19"/>
  <c r="BE57" i="19"/>
  <c r="BI57" i="19"/>
  <c r="BD57" i="19"/>
  <c r="AN57" i="19"/>
  <c r="BJ57" i="19"/>
  <c r="M57" i="19"/>
  <c r="AE57" i="19"/>
  <c r="BG57" i="19"/>
  <c r="AW57" i="19"/>
  <c r="N57" i="19"/>
  <c r="J57" i="19"/>
  <c r="AO57" i="19"/>
  <c r="AA57" i="19"/>
  <c r="AB57" i="19"/>
  <c r="K57" i="19"/>
  <c r="AP57" i="19"/>
  <c r="X57" i="19"/>
  <c r="T57" i="19"/>
  <c r="C57" i="19"/>
  <c r="AQ57" i="19"/>
  <c r="AC57" i="19"/>
  <c r="E57" i="19"/>
  <c r="V57" i="19"/>
  <c r="Z57" i="19"/>
  <c r="AM57" i="19"/>
  <c r="B55" i="19"/>
  <c r="BC55" i="19" s="1"/>
  <c r="I57" i="19"/>
  <c r="AR57" i="19"/>
  <c r="AI57" i="19"/>
  <c r="AF57" i="19"/>
  <c r="R57" i="19"/>
  <c r="AV57" i="19"/>
  <c r="AH57" i="19"/>
  <c r="AU57" i="19"/>
  <c r="AG57" i="19"/>
  <c r="Q57" i="19"/>
  <c r="P57" i="19"/>
  <c r="BL437" i="4"/>
  <c r="BM437" i="4"/>
  <c r="BN437" i="4"/>
  <c r="BO437" i="4"/>
  <c r="BP437" i="4"/>
  <c r="BQ437" i="4"/>
  <c r="BR437" i="4"/>
  <c r="BS437" i="4"/>
  <c r="BT437" i="4"/>
  <c r="BU437" i="4"/>
  <c r="BV437" i="4"/>
  <c r="BW437" i="4"/>
  <c r="BX437" i="4"/>
  <c r="BY437" i="4"/>
  <c r="BZ437" i="4"/>
  <c r="CA437" i="4"/>
  <c r="CB437" i="4"/>
  <c r="CC437" i="4"/>
  <c r="CD437" i="4"/>
  <c r="CE437" i="4"/>
  <c r="CF437" i="4"/>
  <c r="CG437" i="4"/>
  <c r="CH437" i="4"/>
  <c r="CI437" i="4"/>
  <c r="CJ437" i="4"/>
  <c r="CK437" i="4"/>
  <c r="CL437" i="4"/>
  <c r="CM437" i="4"/>
  <c r="CN437" i="4"/>
  <c r="CO437" i="4"/>
  <c r="CP437" i="4"/>
  <c r="CQ437" i="4"/>
  <c r="CR437" i="4"/>
  <c r="CS437" i="4"/>
  <c r="CT437" i="4"/>
  <c r="CU437" i="4"/>
  <c r="CV437" i="4"/>
  <c r="CW437" i="4"/>
  <c r="CX437" i="4"/>
  <c r="CY437" i="4"/>
  <c r="CZ437" i="4"/>
  <c r="DA437" i="4"/>
  <c r="DB437" i="4"/>
  <c r="DC437" i="4"/>
  <c r="DD437" i="4"/>
  <c r="DE437" i="4"/>
  <c r="DF437" i="4"/>
  <c r="DG437" i="4"/>
  <c r="DH437" i="4"/>
  <c r="DI437" i="4"/>
  <c r="DJ437" i="4"/>
  <c r="DJ432" i="4"/>
  <c r="DI432" i="4"/>
  <c r="DH432" i="4"/>
  <c r="DG432" i="4"/>
  <c r="DF432" i="4"/>
  <c r="DE432" i="4"/>
  <c r="DD432" i="4"/>
  <c r="DC432" i="4"/>
  <c r="DB432" i="4"/>
  <c r="DA432" i="4"/>
  <c r="CZ432" i="4"/>
  <c r="CY432" i="4"/>
  <c r="CX432" i="4"/>
  <c r="CW432" i="4"/>
  <c r="CV432" i="4"/>
  <c r="CU432" i="4"/>
  <c r="CT432" i="4"/>
  <c r="CS432" i="4"/>
  <c r="CR432" i="4"/>
  <c r="CQ432" i="4"/>
  <c r="CP432" i="4"/>
  <c r="CO432" i="4"/>
  <c r="CN432" i="4"/>
  <c r="CM432" i="4"/>
  <c r="CL432" i="4"/>
  <c r="CK432" i="4"/>
  <c r="CJ432" i="4"/>
  <c r="CI432" i="4"/>
  <c r="CH432" i="4"/>
  <c r="CG432" i="4"/>
  <c r="CF432" i="4"/>
  <c r="CE432" i="4"/>
  <c r="CD432" i="4"/>
  <c r="CC432" i="4"/>
  <c r="CB432" i="4"/>
  <c r="CA432" i="4"/>
  <c r="BZ432" i="4"/>
  <c r="BY432" i="4"/>
  <c r="BX432" i="4"/>
  <c r="BW432" i="4"/>
  <c r="BV432" i="4"/>
  <c r="BU432" i="4"/>
  <c r="BT432" i="4"/>
  <c r="BS432" i="4"/>
  <c r="BR432" i="4"/>
  <c r="BQ432" i="4"/>
  <c r="BP432" i="4"/>
  <c r="BO432" i="4"/>
  <c r="BN432" i="4"/>
  <c r="BM432" i="4"/>
  <c r="BL432" i="4"/>
  <c r="BK432" i="4"/>
  <c r="BJ432" i="4"/>
  <c r="DJ422" i="4"/>
  <c r="DI422" i="4"/>
  <c r="DH422" i="4"/>
  <c r="DG422" i="4"/>
  <c r="DF422" i="4"/>
  <c r="DE422" i="4"/>
  <c r="DD422" i="4"/>
  <c r="DC422" i="4"/>
  <c r="DB422" i="4"/>
  <c r="DA422" i="4"/>
  <c r="CZ422" i="4"/>
  <c r="CY422" i="4"/>
  <c r="CX422" i="4"/>
  <c r="CW422" i="4"/>
  <c r="CV422" i="4"/>
  <c r="CU422" i="4"/>
  <c r="CT422" i="4"/>
  <c r="CS422" i="4"/>
  <c r="CR422" i="4"/>
  <c r="CQ422" i="4"/>
  <c r="CP422" i="4"/>
  <c r="CO422" i="4"/>
  <c r="CN422" i="4"/>
  <c r="CM422" i="4"/>
  <c r="CL422" i="4"/>
  <c r="CK422" i="4"/>
  <c r="CJ422" i="4"/>
  <c r="CI422" i="4"/>
  <c r="CH422" i="4"/>
  <c r="CG422" i="4"/>
  <c r="CF422" i="4"/>
  <c r="CE422" i="4"/>
  <c r="CD422" i="4"/>
  <c r="CC422" i="4"/>
  <c r="CB422" i="4"/>
  <c r="CA422" i="4"/>
  <c r="BZ422" i="4"/>
  <c r="BY422" i="4"/>
  <c r="BX422" i="4"/>
  <c r="BW422" i="4"/>
  <c r="BV422" i="4"/>
  <c r="BU422" i="4"/>
  <c r="BT422" i="4"/>
  <c r="BS422" i="4"/>
  <c r="BR422" i="4"/>
  <c r="BQ422" i="4"/>
  <c r="BP422" i="4"/>
  <c r="BO422" i="4"/>
  <c r="BN422" i="4"/>
  <c r="BM422" i="4"/>
  <c r="BL422" i="4"/>
  <c r="BK422" i="4"/>
  <c r="BJ422" i="4"/>
  <c r="DJ412" i="4"/>
  <c r="DI412" i="4"/>
  <c r="DH412" i="4"/>
  <c r="DG412" i="4"/>
  <c r="DF412" i="4"/>
  <c r="DE412" i="4"/>
  <c r="DD412" i="4"/>
  <c r="DC412" i="4"/>
  <c r="DB412" i="4"/>
  <c r="DA412" i="4"/>
  <c r="CZ412" i="4"/>
  <c r="CY412" i="4"/>
  <c r="CX412" i="4"/>
  <c r="CW412" i="4"/>
  <c r="CV412" i="4"/>
  <c r="CU412" i="4"/>
  <c r="CT412" i="4"/>
  <c r="CS412" i="4"/>
  <c r="CR412" i="4"/>
  <c r="CQ412" i="4"/>
  <c r="CP412" i="4"/>
  <c r="CO412" i="4"/>
  <c r="CN412" i="4"/>
  <c r="CM412" i="4"/>
  <c r="CL412" i="4"/>
  <c r="CK412" i="4"/>
  <c r="CJ412" i="4"/>
  <c r="CI412" i="4"/>
  <c r="CH412" i="4"/>
  <c r="CG412" i="4"/>
  <c r="CF412" i="4"/>
  <c r="CE412" i="4"/>
  <c r="CD412" i="4"/>
  <c r="CC412" i="4"/>
  <c r="CB412" i="4"/>
  <c r="CA412" i="4"/>
  <c r="BZ412" i="4"/>
  <c r="BY412" i="4"/>
  <c r="BX412" i="4"/>
  <c r="BW412" i="4"/>
  <c r="BV412" i="4"/>
  <c r="BU412" i="4"/>
  <c r="BT412" i="4"/>
  <c r="BS412" i="4"/>
  <c r="BR412" i="4"/>
  <c r="BQ412" i="4"/>
  <c r="BP412" i="4"/>
  <c r="BO412" i="4"/>
  <c r="BN412" i="4"/>
  <c r="BM412" i="4"/>
  <c r="BL412" i="4"/>
  <c r="BK412" i="4"/>
  <c r="BJ412" i="4"/>
  <c r="BJ392" i="4"/>
  <c r="BK392" i="4"/>
  <c r="BL392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Y392" i="4"/>
  <c r="BZ392" i="4"/>
  <c r="CA392" i="4"/>
  <c r="CB392" i="4"/>
  <c r="CC392" i="4"/>
  <c r="CD392" i="4"/>
  <c r="CE392" i="4"/>
  <c r="CF392" i="4"/>
  <c r="CG392" i="4"/>
  <c r="CH392" i="4"/>
  <c r="CI392" i="4"/>
  <c r="CJ392" i="4"/>
  <c r="CK392" i="4"/>
  <c r="CL392" i="4"/>
  <c r="CM392" i="4"/>
  <c r="CN392" i="4"/>
  <c r="CO392" i="4"/>
  <c r="CP392" i="4"/>
  <c r="CQ392" i="4"/>
  <c r="CR392" i="4"/>
  <c r="CS392" i="4"/>
  <c r="CT392" i="4"/>
  <c r="CU392" i="4"/>
  <c r="CV392" i="4"/>
  <c r="CW392" i="4"/>
  <c r="CX392" i="4"/>
  <c r="CY392" i="4"/>
  <c r="CZ392" i="4"/>
  <c r="DA392" i="4"/>
  <c r="DB392" i="4"/>
  <c r="DC392" i="4"/>
  <c r="DD392" i="4"/>
  <c r="DE392" i="4"/>
  <c r="DF392" i="4"/>
  <c r="DG392" i="4"/>
  <c r="DH392" i="4"/>
  <c r="DI392" i="4"/>
  <c r="DJ392" i="4"/>
  <c r="BJ402" i="4"/>
  <c r="BK402" i="4"/>
  <c r="BL402" i="4"/>
  <c r="BM402" i="4"/>
  <c r="BN402" i="4"/>
  <c r="BO402" i="4"/>
  <c r="BP402" i="4"/>
  <c r="BQ402" i="4"/>
  <c r="BR402" i="4"/>
  <c r="BS402" i="4"/>
  <c r="BT402" i="4"/>
  <c r="BU402" i="4"/>
  <c r="BV402" i="4"/>
  <c r="BW402" i="4"/>
  <c r="BX402" i="4"/>
  <c r="BY402" i="4"/>
  <c r="BZ402" i="4"/>
  <c r="CA402" i="4"/>
  <c r="CB402" i="4"/>
  <c r="CC402" i="4"/>
  <c r="CD402" i="4"/>
  <c r="CE402" i="4"/>
  <c r="CF402" i="4"/>
  <c r="CG402" i="4"/>
  <c r="CH402" i="4"/>
  <c r="CI402" i="4"/>
  <c r="CJ402" i="4"/>
  <c r="CK402" i="4"/>
  <c r="CL402" i="4"/>
  <c r="CM402" i="4"/>
  <c r="CN402" i="4"/>
  <c r="CO402" i="4"/>
  <c r="CP402" i="4"/>
  <c r="CQ402" i="4"/>
  <c r="CR402" i="4"/>
  <c r="CS402" i="4"/>
  <c r="CT402" i="4"/>
  <c r="CU402" i="4"/>
  <c r="CV402" i="4"/>
  <c r="CW402" i="4"/>
  <c r="CX402" i="4"/>
  <c r="CY402" i="4"/>
  <c r="CZ402" i="4"/>
  <c r="DA402" i="4"/>
  <c r="DB402" i="4"/>
  <c r="DC402" i="4"/>
  <c r="DD402" i="4"/>
  <c r="DE402" i="4"/>
  <c r="DF402" i="4"/>
  <c r="DG402" i="4"/>
  <c r="DH402" i="4"/>
  <c r="DI402" i="4"/>
  <c r="DJ402" i="4"/>
  <c r="BK437" i="4"/>
  <c r="BJ437" i="4"/>
  <c r="BC57" i="19" l="1"/>
  <c r="B57" i="19"/>
  <c r="BK11" i="4"/>
  <c r="B3" i="19" s="1"/>
  <c r="BL11" i="4"/>
  <c r="C3" i="19" s="1"/>
  <c r="BM11" i="4"/>
  <c r="D3" i="19" s="1"/>
  <c r="BN11" i="4"/>
  <c r="E3" i="19" s="1"/>
  <c r="BO11" i="4"/>
  <c r="F3" i="19" s="1"/>
  <c r="BP11" i="4"/>
  <c r="G3" i="19" s="1"/>
  <c r="BQ11" i="4"/>
  <c r="H3" i="19" s="1"/>
  <c r="BR11" i="4"/>
  <c r="I3" i="19" s="1"/>
  <c r="BS11" i="4"/>
  <c r="J3" i="19" s="1"/>
  <c r="BT11" i="4"/>
  <c r="K3" i="19" s="1"/>
  <c r="BU11" i="4"/>
  <c r="L3" i="19" s="1"/>
  <c r="BV11" i="4"/>
  <c r="M3" i="19" s="1"/>
  <c r="BW11" i="4"/>
  <c r="N3" i="19" s="1"/>
  <c r="BX11" i="4"/>
  <c r="O3" i="19" s="1"/>
  <c r="BY11" i="4"/>
  <c r="P3" i="19" s="1"/>
  <c r="BZ11" i="4"/>
  <c r="Q3" i="19" s="1"/>
  <c r="CA11" i="4"/>
  <c r="R3" i="19" s="1"/>
  <c r="CB11" i="4"/>
  <c r="S3" i="19" s="1"/>
  <c r="CC11" i="4"/>
  <c r="T3" i="19" s="1"/>
  <c r="CD11" i="4"/>
  <c r="U3" i="19" s="1"/>
  <c r="CE11" i="4"/>
  <c r="V3" i="19" s="1"/>
  <c r="CF11" i="4"/>
  <c r="W3" i="19" s="1"/>
  <c r="CG11" i="4"/>
  <c r="X3" i="19" s="1"/>
  <c r="CH11" i="4"/>
  <c r="Y3" i="19" s="1"/>
  <c r="CI11" i="4"/>
  <c r="Z3" i="19" s="1"/>
  <c r="CJ11" i="4"/>
  <c r="AA3" i="19" s="1"/>
  <c r="CK11" i="4"/>
  <c r="AB3" i="19" s="1"/>
  <c r="CL11" i="4"/>
  <c r="AC3" i="19" s="1"/>
  <c r="CM11" i="4"/>
  <c r="AD3" i="19" s="1"/>
  <c r="CN11" i="4"/>
  <c r="AE3" i="19" s="1"/>
  <c r="CO11" i="4"/>
  <c r="AF3" i="19" s="1"/>
  <c r="CP11" i="4"/>
  <c r="AG3" i="19" s="1"/>
  <c r="CQ11" i="4"/>
  <c r="AH3" i="19" s="1"/>
  <c r="CR11" i="4"/>
  <c r="AI3" i="19" s="1"/>
  <c r="CS11" i="4"/>
  <c r="AJ3" i="19" s="1"/>
  <c r="CT11" i="4"/>
  <c r="AK3" i="19" s="1"/>
  <c r="CU11" i="4"/>
  <c r="AL3" i="19" s="1"/>
  <c r="CV11" i="4"/>
  <c r="AM3" i="19" s="1"/>
  <c r="CW11" i="4"/>
  <c r="AN3" i="19" s="1"/>
  <c r="CX11" i="4"/>
  <c r="AO3" i="19" s="1"/>
  <c r="CY11" i="4"/>
  <c r="AP3" i="19" s="1"/>
  <c r="CZ11" i="4"/>
  <c r="AQ3" i="19" s="1"/>
  <c r="DA11" i="4"/>
  <c r="AR3" i="19" s="1"/>
  <c r="DB11" i="4"/>
  <c r="AS3" i="19" s="1"/>
  <c r="DC11" i="4"/>
  <c r="AT3" i="19" s="1"/>
  <c r="DD11" i="4"/>
  <c r="AU3" i="19" s="1"/>
  <c r="DE11" i="4"/>
  <c r="AV3" i="19" s="1"/>
  <c r="DF11" i="4"/>
  <c r="AW3" i="19" s="1"/>
  <c r="DG11" i="4"/>
  <c r="AX3" i="19" s="1"/>
  <c r="DH11" i="4"/>
  <c r="AY3" i="19" s="1"/>
  <c r="DI11" i="4"/>
  <c r="AZ3" i="19" s="1"/>
  <c r="BJ322" i="4" l="1"/>
  <c r="BK322" i="4"/>
  <c r="BL322" i="4"/>
  <c r="BM322" i="4"/>
  <c r="BN322" i="4"/>
  <c r="BO322" i="4"/>
  <c r="BP322" i="4"/>
  <c r="BQ322" i="4"/>
  <c r="BR322" i="4"/>
  <c r="BS322" i="4"/>
  <c r="BT322" i="4"/>
  <c r="BU322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CU322" i="4"/>
  <c r="CV322" i="4"/>
  <c r="CW322" i="4"/>
  <c r="CX322" i="4"/>
  <c r="CY322" i="4"/>
  <c r="CZ322" i="4"/>
  <c r="DA322" i="4"/>
  <c r="DB322" i="4"/>
  <c r="DC322" i="4"/>
  <c r="DD322" i="4"/>
  <c r="DE322" i="4"/>
  <c r="DF322" i="4"/>
  <c r="DG322" i="4"/>
  <c r="DH322" i="4"/>
  <c r="DI322" i="4"/>
  <c r="DJ322" i="4"/>
  <c r="BJ332" i="4"/>
  <c r="BK332" i="4"/>
  <c r="BL332" i="4"/>
  <c r="BM332" i="4"/>
  <c r="BN332" i="4"/>
  <c r="BO332" i="4"/>
  <c r="BP332" i="4"/>
  <c r="BQ332" i="4"/>
  <c r="BR332" i="4"/>
  <c r="BS332" i="4"/>
  <c r="BT332" i="4"/>
  <c r="BU332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CU332" i="4"/>
  <c r="CV332" i="4"/>
  <c r="CW332" i="4"/>
  <c r="CX332" i="4"/>
  <c r="CY332" i="4"/>
  <c r="CZ332" i="4"/>
  <c r="DA332" i="4"/>
  <c r="DB332" i="4"/>
  <c r="DC332" i="4"/>
  <c r="DD332" i="4"/>
  <c r="DE332" i="4"/>
  <c r="DF332" i="4"/>
  <c r="DG332" i="4"/>
  <c r="DH332" i="4"/>
  <c r="DI332" i="4"/>
  <c r="DJ332" i="4"/>
  <c r="BJ342" i="4"/>
  <c r="BK342" i="4"/>
  <c r="BL342" i="4"/>
  <c r="BM342" i="4"/>
  <c r="BN342" i="4"/>
  <c r="BO342" i="4"/>
  <c r="BP342" i="4"/>
  <c r="BQ342" i="4"/>
  <c r="BR342" i="4"/>
  <c r="BS342" i="4"/>
  <c r="BT342" i="4"/>
  <c r="BU342" i="4"/>
  <c r="BV342" i="4"/>
  <c r="BW342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CU342" i="4"/>
  <c r="CV342" i="4"/>
  <c r="CW342" i="4"/>
  <c r="CX342" i="4"/>
  <c r="CY342" i="4"/>
  <c r="CZ342" i="4"/>
  <c r="DA342" i="4"/>
  <c r="DB342" i="4"/>
  <c r="DC342" i="4"/>
  <c r="DD342" i="4"/>
  <c r="DE342" i="4"/>
  <c r="DF342" i="4"/>
  <c r="DG342" i="4"/>
  <c r="DH342" i="4"/>
  <c r="DI342" i="4"/>
  <c r="DJ342" i="4"/>
  <c r="BJ352" i="4"/>
  <c r="BK352" i="4"/>
  <c r="BL352" i="4"/>
  <c r="BM352" i="4"/>
  <c r="BN352" i="4"/>
  <c r="BO352" i="4"/>
  <c r="BP352" i="4"/>
  <c r="BQ352" i="4"/>
  <c r="BR352" i="4"/>
  <c r="BS352" i="4"/>
  <c r="BT352" i="4"/>
  <c r="BU352" i="4"/>
  <c r="BV352" i="4"/>
  <c r="BW352" i="4"/>
  <c r="BX352" i="4"/>
  <c r="BY352" i="4"/>
  <c r="BZ352" i="4"/>
  <c r="CA352" i="4"/>
  <c r="CB352" i="4"/>
  <c r="CC352" i="4"/>
  <c r="CD352" i="4"/>
  <c r="CE352" i="4"/>
  <c r="CF352" i="4"/>
  <c r="CG352" i="4"/>
  <c r="CH352" i="4"/>
  <c r="CI352" i="4"/>
  <c r="CJ352" i="4"/>
  <c r="CK352" i="4"/>
  <c r="CL352" i="4"/>
  <c r="CM352" i="4"/>
  <c r="CN352" i="4"/>
  <c r="CO352" i="4"/>
  <c r="CP352" i="4"/>
  <c r="CQ352" i="4"/>
  <c r="CR352" i="4"/>
  <c r="CS352" i="4"/>
  <c r="CT352" i="4"/>
  <c r="CU352" i="4"/>
  <c r="CV352" i="4"/>
  <c r="CW352" i="4"/>
  <c r="CX352" i="4"/>
  <c r="CY352" i="4"/>
  <c r="CZ352" i="4"/>
  <c r="DA352" i="4"/>
  <c r="DB352" i="4"/>
  <c r="DC352" i="4"/>
  <c r="DD352" i="4"/>
  <c r="DE352" i="4"/>
  <c r="DF352" i="4"/>
  <c r="DG352" i="4"/>
  <c r="DH352" i="4"/>
  <c r="DI352" i="4"/>
  <c r="DJ352" i="4"/>
  <c r="BJ362" i="4"/>
  <c r="BK362" i="4"/>
  <c r="BL362" i="4"/>
  <c r="BM362" i="4"/>
  <c r="BN362" i="4"/>
  <c r="BO362" i="4"/>
  <c r="BP362" i="4"/>
  <c r="BQ362" i="4"/>
  <c r="BR362" i="4"/>
  <c r="BS362" i="4"/>
  <c r="BT362" i="4"/>
  <c r="BU362" i="4"/>
  <c r="BV362" i="4"/>
  <c r="BW362" i="4"/>
  <c r="BX362" i="4"/>
  <c r="BY362" i="4"/>
  <c r="BZ362" i="4"/>
  <c r="CA362" i="4"/>
  <c r="CB362" i="4"/>
  <c r="CC362" i="4"/>
  <c r="CD362" i="4"/>
  <c r="CE362" i="4"/>
  <c r="CF362" i="4"/>
  <c r="CG362" i="4"/>
  <c r="CH362" i="4"/>
  <c r="CI362" i="4"/>
  <c r="CJ362" i="4"/>
  <c r="CK362" i="4"/>
  <c r="CL362" i="4"/>
  <c r="CM362" i="4"/>
  <c r="CN362" i="4"/>
  <c r="CO362" i="4"/>
  <c r="CP362" i="4"/>
  <c r="CQ362" i="4"/>
  <c r="CR362" i="4"/>
  <c r="CS362" i="4"/>
  <c r="CT362" i="4"/>
  <c r="CU362" i="4"/>
  <c r="CV362" i="4"/>
  <c r="CW362" i="4"/>
  <c r="CX362" i="4"/>
  <c r="CY362" i="4"/>
  <c r="CZ362" i="4"/>
  <c r="DA362" i="4"/>
  <c r="DB362" i="4"/>
  <c r="DC362" i="4"/>
  <c r="DD362" i="4"/>
  <c r="DE362" i="4"/>
  <c r="DF362" i="4"/>
  <c r="DG362" i="4"/>
  <c r="DH362" i="4"/>
  <c r="DI362" i="4"/>
  <c r="DJ362" i="4"/>
  <c r="BJ372" i="4"/>
  <c r="BK372" i="4"/>
  <c r="BL372" i="4"/>
  <c r="BM372" i="4"/>
  <c r="BN372" i="4"/>
  <c r="BO372" i="4"/>
  <c r="BP372" i="4"/>
  <c r="BQ372" i="4"/>
  <c r="BR372" i="4"/>
  <c r="BS372" i="4"/>
  <c r="BT372" i="4"/>
  <c r="BU372" i="4"/>
  <c r="BV372" i="4"/>
  <c r="BW372" i="4"/>
  <c r="BX372" i="4"/>
  <c r="BY372" i="4"/>
  <c r="BZ372" i="4"/>
  <c r="CA372" i="4"/>
  <c r="CB372" i="4"/>
  <c r="CC372" i="4"/>
  <c r="CD372" i="4"/>
  <c r="CE372" i="4"/>
  <c r="CF372" i="4"/>
  <c r="CG372" i="4"/>
  <c r="CH372" i="4"/>
  <c r="CI372" i="4"/>
  <c r="CJ372" i="4"/>
  <c r="CK372" i="4"/>
  <c r="CL372" i="4"/>
  <c r="CM372" i="4"/>
  <c r="CN372" i="4"/>
  <c r="CO372" i="4"/>
  <c r="CP372" i="4"/>
  <c r="CQ372" i="4"/>
  <c r="CR372" i="4"/>
  <c r="CS372" i="4"/>
  <c r="CT372" i="4"/>
  <c r="CU372" i="4"/>
  <c r="CV372" i="4"/>
  <c r="CW372" i="4"/>
  <c r="CX372" i="4"/>
  <c r="CY372" i="4"/>
  <c r="CZ372" i="4"/>
  <c r="DA372" i="4"/>
  <c r="DB372" i="4"/>
  <c r="DC372" i="4"/>
  <c r="DD372" i="4"/>
  <c r="DE372" i="4"/>
  <c r="DF372" i="4"/>
  <c r="DG372" i="4"/>
  <c r="DH372" i="4"/>
  <c r="DI372" i="4"/>
  <c r="DJ372" i="4"/>
  <c r="BJ382" i="4"/>
  <c r="BK382" i="4"/>
  <c r="BL382" i="4"/>
  <c r="BM382" i="4"/>
  <c r="BN382" i="4"/>
  <c r="BO382" i="4"/>
  <c r="BP382" i="4"/>
  <c r="BQ382" i="4"/>
  <c r="BR382" i="4"/>
  <c r="BS382" i="4"/>
  <c r="BT382" i="4"/>
  <c r="BU382" i="4"/>
  <c r="BV382" i="4"/>
  <c r="BW382" i="4"/>
  <c r="BX382" i="4"/>
  <c r="BY382" i="4"/>
  <c r="BZ382" i="4"/>
  <c r="CA382" i="4"/>
  <c r="CB382" i="4"/>
  <c r="CC382" i="4"/>
  <c r="CD382" i="4"/>
  <c r="CE382" i="4"/>
  <c r="CF382" i="4"/>
  <c r="CG382" i="4"/>
  <c r="CH382" i="4"/>
  <c r="CI382" i="4"/>
  <c r="CJ382" i="4"/>
  <c r="CK382" i="4"/>
  <c r="CL382" i="4"/>
  <c r="CM382" i="4"/>
  <c r="CN382" i="4"/>
  <c r="CO382" i="4"/>
  <c r="CP382" i="4"/>
  <c r="CQ382" i="4"/>
  <c r="CR382" i="4"/>
  <c r="CS382" i="4"/>
  <c r="CT382" i="4"/>
  <c r="CU382" i="4"/>
  <c r="CV382" i="4"/>
  <c r="CW382" i="4"/>
  <c r="CX382" i="4"/>
  <c r="CY382" i="4"/>
  <c r="CZ382" i="4"/>
  <c r="DA382" i="4"/>
  <c r="DB382" i="4"/>
  <c r="DC382" i="4"/>
  <c r="DD382" i="4"/>
  <c r="DE382" i="4"/>
  <c r="DF382" i="4"/>
  <c r="DG382" i="4"/>
  <c r="DH382" i="4"/>
  <c r="DI382" i="4"/>
  <c r="DJ382" i="4"/>
  <c r="C329" i="4" l="1"/>
  <c r="B329" i="4" l="1"/>
  <c r="D329" i="4" l="1"/>
  <c r="E329" i="4"/>
  <c r="BK10" i="4"/>
  <c r="B2" i="19" s="1"/>
  <c r="BL10" i="4"/>
  <c r="C2" i="19" s="1"/>
  <c r="BM10" i="4"/>
  <c r="D2" i="19" s="1"/>
  <c r="BN10" i="4"/>
  <c r="E2" i="19" s="1"/>
  <c r="BO10" i="4"/>
  <c r="F2" i="19" s="1"/>
  <c r="BP10" i="4"/>
  <c r="G2" i="19" s="1"/>
  <c r="BQ10" i="4"/>
  <c r="H2" i="19" s="1"/>
  <c r="BR10" i="4"/>
  <c r="I2" i="19" s="1"/>
  <c r="BS10" i="4"/>
  <c r="J2" i="19" s="1"/>
  <c r="BT10" i="4"/>
  <c r="K2" i="19" s="1"/>
  <c r="BU10" i="4"/>
  <c r="L2" i="19" s="1"/>
  <c r="BV10" i="4"/>
  <c r="M2" i="19" s="1"/>
  <c r="BW10" i="4"/>
  <c r="N2" i="19" s="1"/>
  <c r="BX10" i="4"/>
  <c r="O2" i="19" s="1"/>
  <c r="BY10" i="4"/>
  <c r="P2" i="19" s="1"/>
  <c r="BZ10" i="4"/>
  <c r="Q2" i="19" s="1"/>
  <c r="CA10" i="4"/>
  <c r="R2" i="19" s="1"/>
  <c r="CB10" i="4"/>
  <c r="S2" i="19" s="1"/>
  <c r="CC10" i="4"/>
  <c r="T2" i="19" s="1"/>
  <c r="CD10" i="4"/>
  <c r="U2" i="19" s="1"/>
  <c r="CE10" i="4"/>
  <c r="V2" i="19" s="1"/>
  <c r="CF10" i="4"/>
  <c r="W2" i="19" s="1"/>
  <c r="CG10" i="4"/>
  <c r="X2" i="19" s="1"/>
  <c r="CH10" i="4"/>
  <c r="Y2" i="19" s="1"/>
  <c r="CI10" i="4"/>
  <c r="Z2" i="19" s="1"/>
  <c r="CJ10" i="4"/>
  <c r="AA2" i="19" s="1"/>
  <c r="CK10" i="4"/>
  <c r="AB2" i="19" s="1"/>
  <c r="CL10" i="4"/>
  <c r="AC2" i="19" s="1"/>
  <c r="CM10" i="4"/>
  <c r="AD2" i="19" s="1"/>
  <c r="CN10" i="4"/>
  <c r="AE2" i="19" s="1"/>
  <c r="CO10" i="4"/>
  <c r="AF2" i="19" s="1"/>
  <c r="CP10" i="4"/>
  <c r="AG2" i="19" s="1"/>
  <c r="CQ10" i="4"/>
  <c r="AH2" i="19" s="1"/>
  <c r="CR10" i="4"/>
  <c r="AI2" i="19" s="1"/>
  <c r="CS10" i="4"/>
  <c r="AJ2" i="19" s="1"/>
  <c r="CT10" i="4"/>
  <c r="AK2" i="19" s="1"/>
  <c r="CU10" i="4"/>
  <c r="AL2" i="19" s="1"/>
  <c r="CV10" i="4"/>
  <c r="AM2" i="19" s="1"/>
  <c r="CW10" i="4"/>
  <c r="AN2" i="19" s="1"/>
  <c r="CX10" i="4"/>
  <c r="AO2" i="19" s="1"/>
  <c r="CY10" i="4"/>
  <c r="AP2" i="19" s="1"/>
  <c r="CZ10" i="4"/>
  <c r="AQ2" i="19" s="1"/>
  <c r="DA10" i="4"/>
  <c r="AR2" i="19" s="1"/>
  <c r="DB10" i="4"/>
  <c r="AS2" i="19" s="1"/>
  <c r="DC10" i="4"/>
  <c r="AT2" i="19" s="1"/>
  <c r="DD10" i="4"/>
  <c r="AU2" i="19" s="1"/>
  <c r="DE10" i="4"/>
  <c r="AV2" i="19" s="1"/>
  <c r="DF10" i="4"/>
  <c r="AW2" i="19" s="1"/>
  <c r="DG10" i="4"/>
  <c r="AX2" i="19" s="1"/>
  <c r="DH10" i="4"/>
  <c r="AY2" i="19" s="1"/>
  <c r="DI10" i="4"/>
  <c r="AZ2" i="19" s="1"/>
  <c r="DJ312" i="4" l="1"/>
  <c r="DI312" i="4"/>
  <c r="DH312" i="4"/>
  <c r="DG312" i="4"/>
  <c r="DF312" i="4"/>
  <c r="DE312" i="4"/>
  <c r="DD312" i="4"/>
  <c r="DC312" i="4"/>
  <c r="DB312" i="4"/>
  <c r="DA312" i="4"/>
  <c r="CZ312" i="4"/>
  <c r="CY312" i="4"/>
  <c r="CX312" i="4"/>
  <c r="CW312" i="4"/>
  <c r="CV312" i="4"/>
  <c r="CU312" i="4"/>
  <c r="CT312" i="4"/>
  <c r="CS312" i="4"/>
  <c r="CR312" i="4"/>
  <c r="CQ312" i="4"/>
  <c r="CP312" i="4"/>
  <c r="CO312" i="4"/>
  <c r="CN312" i="4"/>
  <c r="CM312" i="4"/>
  <c r="CL312" i="4"/>
  <c r="CK312" i="4"/>
  <c r="CJ312" i="4"/>
  <c r="CI312" i="4"/>
  <c r="CH312" i="4"/>
  <c r="CG312" i="4"/>
  <c r="CF312" i="4"/>
  <c r="CE312" i="4"/>
  <c r="CD312" i="4"/>
  <c r="CC312" i="4"/>
  <c r="CB312" i="4"/>
  <c r="CA312" i="4"/>
  <c r="BZ312" i="4"/>
  <c r="BY312" i="4"/>
  <c r="BX312" i="4"/>
  <c r="BW312" i="4"/>
  <c r="BV312" i="4"/>
  <c r="BU312" i="4"/>
  <c r="BT312" i="4"/>
  <c r="BS312" i="4"/>
  <c r="BR312" i="4"/>
  <c r="BQ312" i="4"/>
  <c r="BP312" i="4"/>
  <c r="BO312" i="4"/>
  <c r="BN312" i="4"/>
  <c r="BM312" i="4"/>
  <c r="BL312" i="4"/>
  <c r="BK312" i="4"/>
  <c r="DJ302" i="4"/>
  <c r="DI302" i="4"/>
  <c r="DH302" i="4"/>
  <c r="DG302" i="4"/>
  <c r="DF302" i="4"/>
  <c r="DE302" i="4"/>
  <c r="DD302" i="4"/>
  <c r="DC302" i="4"/>
  <c r="DB302" i="4"/>
  <c r="DA302" i="4"/>
  <c r="CZ302" i="4"/>
  <c r="CY302" i="4"/>
  <c r="CX302" i="4"/>
  <c r="CW302" i="4"/>
  <c r="CV302" i="4"/>
  <c r="CU302" i="4"/>
  <c r="CT302" i="4"/>
  <c r="CS302" i="4"/>
  <c r="CR302" i="4"/>
  <c r="CQ302" i="4"/>
  <c r="CP302" i="4"/>
  <c r="CO302" i="4"/>
  <c r="CN302" i="4"/>
  <c r="CM302" i="4"/>
  <c r="CL302" i="4"/>
  <c r="CK302" i="4"/>
  <c r="CJ302" i="4"/>
  <c r="CI302" i="4"/>
  <c r="CH302" i="4"/>
  <c r="CG302" i="4"/>
  <c r="CF302" i="4"/>
  <c r="CE302" i="4"/>
  <c r="CD302" i="4"/>
  <c r="CC302" i="4"/>
  <c r="CB302" i="4"/>
  <c r="CA302" i="4"/>
  <c r="BZ302" i="4"/>
  <c r="BY302" i="4"/>
  <c r="BX302" i="4"/>
  <c r="BW302" i="4"/>
  <c r="BV302" i="4"/>
  <c r="BU302" i="4"/>
  <c r="BT302" i="4"/>
  <c r="BS302" i="4"/>
  <c r="BR302" i="4"/>
  <c r="BQ302" i="4"/>
  <c r="BP302" i="4"/>
  <c r="BO302" i="4"/>
  <c r="BN302" i="4"/>
  <c r="BM302" i="4"/>
  <c r="BL302" i="4"/>
  <c r="BK302" i="4"/>
  <c r="DJ292" i="4"/>
  <c r="DI292" i="4"/>
  <c r="DH292" i="4"/>
  <c r="DG292" i="4"/>
  <c r="DF292" i="4"/>
  <c r="DE292" i="4"/>
  <c r="DD292" i="4"/>
  <c r="DC292" i="4"/>
  <c r="DB292" i="4"/>
  <c r="DA292" i="4"/>
  <c r="CZ292" i="4"/>
  <c r="CY292" i="4"/>
  <c r="CX292" i="4"/>
  <c r="CW292" i="4"/>
  <c r="CV292" i="4"/>
  <c r="CU292" i="4"/>
  <c r="CT292" i="4"/>
  <c r="CS292" i="4"/>
  <c r="CR292" i="4"/>
  <c r="CQ292" i="4"/>
  <c r="CP292" i="4"/>
  <c r="CO292" i="4"/>
  <c r="CN292" i="4"/>
  <c r="CM292" i="4"/>
  <c r="CL292" i="4"/>
  <c r="CK292" i="4"/>
  <c r="CJ292" i="4"/>
  <c r="CI292" i="4"/>
  <c r="CH292" i="4"/>
  <c r="CG292" i="4"/>
  <c r="CF292" i="4"/>
  <c r="CE292" i="4"/>
  <c r="CD292" i="4"/>
  <c r="CC292" i="4"/>
  <c r="CB292" i="4"/>
  <c r="CA292" i="4"/>
  <c r="BZ292" i="4"/>
  <c r="BY292" i="4"/>
  <c r="BX292" i="4"/>
  <c r="BW292" i="4"/>
  <c r="BV292" i="4"/>
  <c r="BU292" i="4"/>
  <c r="BT292" i="4"/>
  <c r="BS292" i="4"/>
  <c r="BR292" i="4"/>
  <c r="BQ292" i="4"/>
  <c r="BP292" i="4"/>
  <c r="BO292" i="4"/>
  <c r="BN292" i="4"/>
  <c r="BM292" i="4"/>
  <c r="BL292" i="4"/>
  <c r="BK292" i="4"/>
  <c r="DJ282" i="4"/>
  <c r="DI282" i="4"/>
  <c r="DH282" i="4"/>
  <c r="DG282" i="4"/>
  <c r="DF282" i="4"/>
  <c r="DE282" i="4"/>
  <c r="DD282" i="4"/>
  <c r="DC282" i="4"/>
  <c r="DB282" i="4"/>
  <c r="DA282" i="4"/>
  <c r="CZ282" i="4"/>
  <c r="CY282" i="4"/>
  <c r="CX282" i="4"/>
  <c r="CW282" i="4"/>
  <c r="CV282" i="4"/>
  <c r="CU282" i="4"/>
  <c r="CT282" i="4"/>
  <c r="CS282" i="4"/>
  <c r="CR282" i="4"/>
  <c r="CQ282" i="4"/>
  <c r="CP282" i="4"/>
  <c r="CO282" i="4"/>
  <c r="CN282" i="4"/>
  <c r="CM282" i="4"/>
  <c r="CL282" i="4"/>
  <c r="CK282" i="4"/>
  <c r="CJ282" i="4"/>
  <c r="CI282" i="4"/>
  <c r="CH282" i="4"/>
  <c r="CG282" i="4"/>
  <c r="CF282" i="4"/>
  <c r="CE282" i="4"/>
  <c r="CD282" i="4"/>
  <c r="CC282" i="4"/>
  <c r="CB282" i="4"/>
  <c r="CA282" i="4"/>
  <c r="BZ282" i="4"/>
  <c r="BY282" i="4"/>
  <c r="BX282" i="4"/>
  <c r="BW282" i="4"/>
  <c r="BV282" i="4"/>
  <c r="BU282" i="4"/>
  <c r="BT282" i="4"/>
  <c r="BS282" i="4"/>
  <c r="BR282" i="4"/>
  <c r="BQ282" i="4"/>
  <c r="BP282" i="4"/>
  <c r="BO282" i="4"/>
  <c r="BN282" i="4"/>
  <c r="BM282" i="4"/>
  <c r="BL282" i="4"/>
  <c r="BK282" i="4"/>
  <c r="DJ272" i="4"/>
  <c r="DI272" i="4"/>
  <c r="DH272" i="4"/>
  <c r="DG272" i="4"/>
  <c r="DF272" i="4"/>
  <c r="DE272" i="4"/>
  <c r="DD272" i="4"/>
  <c r="DC272" i="4"/>
  <c r="DB272" i="4"/>
  <c r="DA272" i="4"/>
  <c r="CZ272" i="4"/>
  <c r="CY272" i="4"/>
  <c r="CX272" i="4"/>
  <c r="CW272" i="4"/>
  <c r="CV272" i="4"/>
  <c r="CU272" i="4"/>
  <c r="CT272" i="4"/>
  <c r="CS272" i="4"/>
  <c r="CR272" i="4"/>
  <c r="CQ272" i="4"/>
  <c r="CP272" i="4"/>
  <c r="CO272" i="4"/>
  <c r="CN272" i="4"/>
  <c r="CM272" i="4"/>
  <c r="CL272" i="4"/>
  <c r="CK272" i="4"/>
  <c r="CJ272" i="4"/>
  <c r="CI272" i="4"/>
  <c r="CH272" i="4"/>
  <c r="CG272" i="4"/>
  <c r="CF272" i="4"/>
  <c r="CE272" i="4"/>
  <c r="CD272" i="4"/>
  <c r="CC272" i="4"/>
  <c r="CB272" i="4"/>
  <c r="CA272" i="4"/>
  <c r="BZ272" i="4"/>
  <c r="BY272" i="4"/>
  <c r="BX272" i="4"/>
  <c r="BW272" i="4"/>
  <c r="BV272" i="4"/>
  <c r="BU272" i="4"/>
  <c r="BT272" i="4"/>
  <c r="BS272" i="4"/>
  <c r="BR272" i="4"/>
  <c r="BQ272" i="4"/>
  <c r="BP272" i="4"/>
  <c r="BO272" i="4"/>
  <c r="BN272" i="4"/>
  <c r="BM272" i="4"/>
  <c r="BL272" i="4"/>
  <c r="BK272" i="4"/>
  <c r="DJ262" i="4"/>
  <c r="DI262" i="4"/>
  <c r="DH262" i="4"/>
  <c r="DG262" i="4"/>
  <c r="DF262" i="4"/>
  <c r="DE262" i="4"/>
  <c r="DD262" i="4"/>
  <c r="DC262" i="4"/>
  <c r="DB262" i="4"/>
  <c r="DA262" i="4"/>
  <c r="CZ262" i="4"/>
  <c r="CY262" i="4"/>
  <c r="CX262" i="4"/>
  <c r="CW262" i="4"/>
  <c r="CV262" i="4"/>
  <c r="CU262" i="4"/>
  <c r="CT262" i="4"/>
  <c r="CS262" i="4"/>
  <c r="CR262" i="4"/>
  <c r="CQ262" i="4"/>
  <c r="CP262" i="4"/>
  <c r="CO262" i="4"/>
  <c r="CN262" i="4"/>
  <c r="CM262" i="4"/>
  <c r="CL262" i="4"/>
  <c r="CK262" i="4"/>
  <c r="CJ262" i="4"/>
  <c r="CI262" i="4"/>
  <c r="CH262" i="4"/>
  <c r="CG262" i="4"/>
  <c r="CF262" i="4"/>
  <c r="CE262" i="4"/>
  <c r="CD262" i="4"/>
  <c r="CC262" i="4"/>
  <c r="CB262" i="4"/>
  <c r="CA262" i="4"/>
  <c r="BZ262" i="4"/>
  <c r="BY262" i="4"/>
  <c r="BX262" i="4"/>
  <c r="BW262" i="4"/>
  <c r="BV262" i="4"/>
  <c r="BU262" i="4"/>
  <c r="BT262" i="4"/>
  <c r="BS262" i="4"/>
  <c r="BR262" i="4"/>
  <c r="BQ262" i="4"/>
  <c r="BP262" i="4"/>
  <c r="BO262" i="4"/>
  <c r="BN262" i="4"/>
  <c r="BM262" i="4"/>
  <c r="BL262" i="4"/>
  <c r="BK262" i="4"/>
  <c r="DJ252" i="4"/>
  <c r="DI252" i="4"/>
  <c r="DH252" i="4"/>
  <c r="DG252" i="4"/>
  <c r="DF252" i="4"/>
  <c r="DE252" i="4"/>
  <c r="DD252" i="4"/>
  <c r="DC252" i="4"/>
  <c r="DB252" i="4"/>
  <c r="DA252" i="4"/>
  <c r="CZ252" i="4"/>
  <c r="CY252" i="4"/>
  <c r="CX252" i="4"/>
  <c r="CW252" i="4"/>
  <c r="CV252" i="4"/>
  <c r="CU252" i="4"/>
  <c r="CT252" i="4"/>
  <c r="CS252" i="4"/>
  <c r="CR252" i="4"/>
  <c r="CQ252" i="4"/>
  <c r="CP252" i="4"/>
  <c r="CO252" i="4"/>
  <c r="CN252" i="4"/>
  <c r="CM252" i="4"/>
  <c r="CL252" i="4"/>
  <c r="CK252" i="4"/>
  <c r="CJ252" i="4"/>
  <c r="CI252" i="4"/>
  <c r="CH252" i="4"/>
  <c r="CG252" i="4"/>
  <c r="CF252" i="4"/>
  <c r="CE252" i="4"/>
  <c r="CD252" i="4"/>
  <c r="CC252" i="4"/>
  <c r="CB252" i="4"/>
  <c r="CA252" i="4"/>
  <c r="BZ252" i="4"/>
  <c r="BY252" i="4"/>
  <c r="BX252" i="4"/>
  <c r="BW252" i="4"/>
  <c r="BV252" i="4"/>
  <c r="BU252" i="4"/>
  <c r="BT252" i="4"/>
  <c r="BS252" i="4"/>
  <c r="BR252" i="4"/>
  <c r="BQ252" i="4"/>
  <c r="BP252" i="4"/>
  <c r="BO252" i="4"/>
  <c r="BN252" i="4"/>
  <c r="BM252" i="4"/>
  <c r="BL252" i="4"/>
  <c r="BK252" i="4"/>
  <c r="DJ242" i="4"/>
  <c r="DI242" i="4"/>
  <c r="DH242" i="4"/>
  <c r="DG242" i="4"/>
  <c r="DF242" i="4"/>
  <c r="DE242" i="4"/>
  <c r="DD242" i="4"/>
  <c r="DC242" i="4"/>
  <c r="DB242" i="4"/>
  <c r="DA242" i="4"/>
  <c r="CZ242" i="4"/>
  <c r="CY242" i="4"/>
  <c r="CX242" i="4"/>
  <c r="CW242" i="4"/>
  <c r="CV242" i="4"/>
  <c r="CU242" i="4"/>
  <c r="CT242" i="4"/>
  <c r="CS242" i="4"/>
  <c r="CR242" i="4"/>
  <c r="CQ242" i="4"/>
  <c r="CP242" i="4"/>
  <c r="CO242" i="4"/>
  <c r="CN242" i="4"/>
  <c r="CM242" i="4"/>
  <c r="CL242" i="4"/>
  <c r="CK242" i="4"/>
  <c r="CJ242" i="4"/>
  <c r="CI242" i="4"/>
  <c r="CH242" i="4"/>
  <c r="CG242" i="4"/>
  <c r="CF242" i="4"/>
  <c r="CE242" i="4"/>
  <c r="CD242" i="4"/>
  <c r="CC242" i="4"/>
  <c r="CB242" i="4"/>
  <c r="CA242" i="4"/>
  <c r="BZ242" i="4"/>
  <c r="BY242" i="4"/>
  <c r="BX242" i="4"/>
  <c r="BW242" i="4"/>
  <c r="BV242" i="4"/>
  <c r="BU242" i="4"/>
  <c r="BT242" i="4"/>
  <c r="BS242" i="4"/>
  <c r="BR242" i="4"/>
  <c r="BQ242" i="4"/>
  <c r="BP242" i="4"/>
  <c r="BO242" i="4"/>
  <c r="BN242" i="4"/>
  <c r="BM242" i="4"/>
  <c r="BL242" i="4"/>
  <c r="BK242" i="4"/>
  <c r="DJ232" i="4"/>
  <c r="DI232" i="4"/>
  <c r="DH232" i="4"/>
  <c r="DG232" i="4"/>
  <c r="DF232" i="4"/>
  <c r="DE232" i="4"/>
  <c r="DD232" i="4"/>
  <c r="DC232" i="4"/>
  <c r="DB232" i="4"/>
  <c r="DA232" i="4"/>
  <c r="CZ232" i="4"/>
  <c r="CY232" i="4"/>
  <c r="CX232" i="4"/>
  <c r="CW232" i="4"/>
  <c r="CV232" i="4"/>
  <c r="CU232" i="4"/>
  <c r="CT232" i="4"/>
  <c r="CS232" i="4"/>
  <c r="CR232" i="4"/>
  <c r="CQ232" i="4"/>
  <c r="CP232" i="4"/>
  <c r="CO232" i="4"/>
  <c r="CN232" i="4"/>
  <c r="CM232" i="4"/>
  <c r="CL232" i="4"/>
  <c r="CK232" i="4"/>
  <c r="CJ232" i="4"/>
  <c r="CI232" i="4"/>
  <c r="CH232" i="4"/>
  <c r="CG232" i="4"/>
  <c r="CF232" i="4"/>
  <c r="CE232" i="4"/>
  <c r="CD232" i="4"/>
  <c r="CC232" i="4"/>
  <c r="CB232" i="4"/>
  <c r="CA232" i="4"/>
  <c r="BZ232" i="4"/>
  <c r="BY232" i="4"/>
  <c r="BX232" i="4"/>
  <c r="BW232" i="4"/>
  <c r="BV232" i="4"/>
  <c r="BU232" i="4"/>
  <c r="BT232" i="4"/>
  <c r="BS232" i="4"/>
  <c r="BR232" i="4"/>
  <c r="BQ232" i="4"/>
  <c r="BP232" i="4"/>
  <c r="BO232" i="4"/>
  <c r="BN232" i="4"/>
  <c r="BM232" i="4"/>
  <c r="BL232" i="4"/>
  <c r="BK232" i="4"/>
  <c r="DJ222" i="4"/>
  <c r="DI222" i="4"/>
  <c r="DH222" i="4"/>
  <c r="DG222" i="4"/>
  <c r="DF222" i="4"/>
  <c r="DE222" i="4"/>
  <c r="DD222" i="4"/>
  <c r="DC222" i="4"/>
  <c r="DB222" i="4"/>
  <c r="DA222" i="4"/>
  <c r="CZ222" i="4"/>
  <c r="CY222" i="4"/>
  <c r="CX222" i="4"/>
  <c r="CW222" i="4"/>
  <c r="CV222" i="4"/>
  <c r="CU222" i="4"/>
  <c r="CT222" i="4"/>
  <c r="CS222" i="4"/>
  <c r="CR222" i="4"/>
  <c r="CQ222" i="4"/>
  <c r="CP222" i="4"/>
  <c r="CO222" i="4"/>
  <c r="CN222" i="4"/>
  <c r="CM222" i="4"/>
  <c r="CL222" i="4"/>
  <c r="CK222" i="4"/>
  <c r="CJ222" i="4"/>
  <c r="CI222" i="4"/>
  <c r="CH222" i="4"/>
  <c r="CG222" i="4"/>
  <c r="CF222" i="4"/>
  <c r="CE222" i="4"/>
  <c r="CD222" i="4"/>
  <c r="CC222" i="4"/>
  <c r="CB222" i="4"/>
  <c r="CA222" i="4"/>
  <c r="BZ222" i="4"/>
  <c r="BY222" i="4"/>
  <c r="BX222" i="4"/>
  <c r="BW222" i="4"/>
  <c r="BV222" i="4"/>
  <c r="BU222" i="4"/>
  <c r="BT222" i="4"/>
  <c r="BS222" i="4"/>
  <c r="BR222" i="4"/>
  <c r="BQ222" i="4"/>
  <c r="BP222" i="4"/>
  <c r="BO222" i="4"/>
  <c r="BN222" i="4"/>
  <c r="BM222" i="4"/>
  <c r="BL222" i="4"/>
  <c r="BK222" i="4"/>
  <c r="DJ212" i="4"/>
  <c r="DI212" i="4"/>
  <c r="DH212" i="4"/>
  <c r="DG212" i="4"/>
  <c r="DF212" i="4"/>
  <c r="DE212" i="4"/>
  <c r="DD212" i="4"/>
  <c r="DC212" i="4"/>
  <c r="DB212" i="4"/>
  <c r="DA212" i="4"/>
  <c r="CZ212" i="4"/>
  <c r="CY212" i="4"/>
  <c r="CX212" i="4"/>
  <c r="CW212" i="4"/>
  <c r="CV212" i="4"/>
  <c r="CU212" i="4"/>
  <c r="CT212" i="4"/>
  <c r="CS212" i="4"/>
  <c r="CR212" i="4"/>
  <c r="CQ212" i="4"/>
  <c r="CP212" i="4"/>
  <c r="CO212" i="4"/>
  <c r="CN212" i="4"/>
  <c r="CM212" i="4"/>
  <c r="CL212" i="4"/>
  <c r="CK212" i="4"/>
  <c r="CJ212" i="4"/>
  <c r="CI212" i="4"/>
  <c r="CH212" i="4"/>
  <c r="CG212" i="4"/>
  <c r="CF212" i="4"/>
  <c r="CE212" i="4"/>
  <c r="CD212" i="4"/>
  <c r="CC212" i="4"/>
  <c r="CB212" i="4"/>
  <c r="CA212" i="4"/>
  <c r="BZ212" i="4"/>
  <c r="BY212" i="4"/>
  <c r="BX212" i="4"/>
  <c r="BW212" i="4"/>
  <c r="BV212" i="4"/>
  <c r="BU212" i="4"/>
  <c r="BT212" i="4"/>
  <c r="BS212" i="4"/>
  <c r="BR212" i="4"/>
  <c r="BQ212" i="4"/>
  <c r="BP212" i="4"/>
  <c r="BO212" i="4"/>
  <c r="BN212" i="4"/>
  <c r="BM212" i="4"/>
  <c r="BL212" i="4"/>
  <c r="BK212" i="4"/>
  <c r="DJ202" i="4"/>
  <c r="DI202" i="4"/>
  <c r="DH202" i="4"/>
  <c r="DG202" i="4"/>
  <c r="DF202" i="4"/>
  <c r="DE202" i="4"/>
  <c r="DD202" i="4"/>
  <c r="DC202" i="4"/>
  <c r="DB202" i="4"/>
  <c r="DA202" i="4"/>
  <c r="CZ202" i="4"/>
  <c r="CY202" i="4"/>
  <c r="CX202" i="4"/>
  <c r="CW202" i="4"/>
  <c r="CV202" i="4"/>
  <c r="CU202" i="4"/>
  <c r="CT202" i="4"/>
  <c r="CS202" i="4"/>
  <c r="CR202" i="4"/>
  <c r="CQ202" i="4"/>
  <c r="CP202" i="4"/>
  <c r="CO202" i="4"/>
  <c r="CN202" i="4"/>
  <c r="CM202" i="4"/>
  <c r="CL202" i="4"/>
  <c r="CK202" i="4"/>
  <c r="CJ202" i="4"/>
  <c r="CI202" i="4"/>
  <c r="CH202" i="4"/>
  <c r="CG202" i="4"/>
  <c r="CF202" i="4"/>
  <c r="CE202" i="4"/>
  <c r="CD202" i="4"/>
  <c r="CC202" i="4"/>
  <c r="CB202" i="4"/>
  <c r="CA202" i="4"/>
  <c r="BZ202" i="4"/>
  <c r="BY202" i="4"/>
  <c r="BX202" i="4"/>
  <c r="BW202" i="4"/>
  <c r="BV202" i="4"/>
  <c r="BU202" i="4"/>
  <c r="BT202" i="4"/>
  <c r="BS202" i="4"/>
  <c r="BR202" i="4"/>
  <c r="BQ202" i="4"/>
  <c r="BP202" i="4"/>
  <c r="BO202" i="4"/>
  <c r="BN202" i="4"/>
  <c r="BM202" i="4"/>
  <c r="BL202" i="4"/>
  <c r="BK202" i="4"/>
  <c r="DJ192" i="4"/>
  <c r="DI192" i="4"/>
  <c r="DH192" i="4"/>
  <c r="DG192" i="4"/>
  <c r="DF192" i="4"/>
  <c r="DE192" i="4"/>
  <c r="DD192" i="4"/>
  <c r="DC192" i="4"/>
  <c r="DB192" i="4"/>
  <c r="DA192" i="4"/>
  <c r="CZ192" i="4"/>
  <c r="CY192" i="4"/>
  <c r="CX192" i="4"/>
  <c r="CW192" i="4"/>
  <c r="CV192" i="4"/>
  <c r="CU192" i="4"/>
  <c r="CT192" i="4"/>
  <c r="CS192" i="4"/>
  <c r="CR192" i="4"/>
  <c r="CQ192" i="4"/>
  <c r="CP192" i="4"/>
  <c r="CO192" i="4"/>
  <c r="CN192" i="4"/>
  <c r="CM192" i="4"/>
  <c r="CL192" i="4"/>
  <c r="CK192" i="4"/>
  <c r="CJ192" i="4"/>
  <c r="CI192" i="4"/>
  <c r="CH192" i="4"/>
  <c r="CG192" i="4"/>
  <c r="CF192" i="4"/>
  <c r="CE192" i="4"/>
  <c r="CD192" i="4"/>
  <c r="CC192" i="4"/>
  <c r="CB192" i="4"/>
  <c r="CA192" i="4"/>
  <c r="BZ192" i="4"/>
  <c r="BY192" i="4"/>
  <c r="BX192" i="4"/>
  <c r="BW192" i="4"/>
  <c r="BV192" i="4"/>
  <c r="BU192" i="4"/>
  <c r="BT192" i="4"/>
  <c r="BS192" i="4"/>
  <c r="BR192" i="4"/>
  <c r="BQ192" i="4"/>
  <c r="BP192" i="4"/>
  <c r="BO192" i="4"/>
  <c r="BN192" i="4"/>
  <c r="BM192" i="4"/>
  <c r="BL192" i="4"/>
  <c r="BK192" i="4"/>
  <c r="DJ182" i="4"/>
  <c r="DI182" i="4"/>
  <c r="DH182" i="4"/>
  <c r="DG182" i="4"/>
  <c r="DF182" i="4"/>
  <c r="DE182" i="4"/>
  <c r="DD182" i="4"/>
  <c r="DC182" i="4"/>
  <c r="DB182" i="4"/>
  <c r="DA182" i="4"/>
  <c r="CZ182" i="4"/>
  <c r="CY182" i="4"/>
  <c r="CX182" i="4"/>
  <c r="CW182" i="4"/>
  <c r="CV182" i="4"/>
  <c r="CU182" i="4"/>
  <c r="CT182" i="4"/>
  <c r="CS182" i="4"/>
  <c r="CR182" i="4"/>
  <c r="CQ182" i="4"/>
  <c r="CP182" i="4"/>
  <c r="CO182" i="4"/>
  <c r="CN182" i="4"/>
  <c r="CM182" i="4"/>
  <c r="CL182" i="4"/>
  <c r="CK182" i="4"/>
  <c r="CJ182" i="4"/>
  <c r="CI182" i="4"/>
  <c r="CH182" i="4"/>
  <c r="CG182" i="4"/>
  <c r="CF182" i="4"/>
  <c r="CE182" i="4"/>
  <c r="CD182" i="4"/>
  <c r="CC182" i="4"/>
  <c r="CB182" i="4"/>
  <c r="CA182" i="4"/>
  <c r="BZ182" i="4"/>
  <c r="BY182" i="4"/>
  <c r="BX182" i="4"/>
  <c r="BW182" i="4"/>
  <c r="BV182" i="4"/>
  <c r="BU182" i="4"/>
  <c r="BT182" i="4"/>
  <c r="BS182" i="4"/>
  <c r="BR182" i="4"/>
  <c r="BQ182" i="4"/>
  <c r="BP182" i="4"/>
  <c r="BO182" i="4"/>
  <c r="BN182" i="4"/>
  <c r="BM182" i="4"/>
  <c r="BL182" i="4"/>
  <c r="BK182" i="4"/>
  <c r="DJ172" i="4"/>
  <c r="DI172" i="4"/>
  <c r="DH172" i="4"/>
  <c r="DG172" i="4"/>
  <c r="DF172" i="4"/>
  <c r="DE172" i="4"/>
  <c r="DD172" i="4"/>
  <c r="DC172" i="4"/>
  <c r="DB172" i="4"/>
  <c r="DA172" i="4"/>
  <c r="CZ172" i="4"/>
  <c r="CY172" i="4"/>
  <c r="CX172" i="4"/>
  <c r="CW172" i="4"/>
  <c r="CV172" i="4"/>
  <c r="CU172" i="4"/>
  <c r="CT172" i="4"/>
  <c r="CS172" i="4"/>
  <c r="CR172" i="4"/>
  <c r="CQ172" i="4"/>
  <c r="CP172" i="4"/>
  <c r="CO172" i="4"/>
  <c r="CN172" i="4"/>
  <c r="CM172" i="4"/>
  <c r="CL172" i="4"/>
  <c r="CK172" i="4"/>
  <c r="CJ172" i="4"/>
  <c r="CI172" i="4"/>
  <c r="CH172" i="4"/>
  <c r="CG172" i="4"/>
  <c r="CF172" i="4"/>
  <c r="CE172" i="4"/>
  <c r="CD172" i="4"/>
  <c r="CC172" i="4"/>
  <c r="CB172" i="4"/>
  <c r="CA172" i="4"/>
  <c r="BZ172" i="4"/>
  <c r="BY172" i="4"/>
  <c r="BX172" i="4"/>
  <c r="BW172" i="4"/>
  <c r="BV172" i="4"/>
  <c r="BU172" i="4"/>
  <c r="BT172" i="4"/>
  <c r="BS172" i="4"/>
  <c r="BR172" i="4"/>
  <c r="BQ172" i="4"/>
  <c r="BP172" i="4"/>
  <c r="BO172" i="4"/>
  <c r="BN172" i="4"/>
  <c r="BM172" i="4"/>
  <c r="BL172" i="4"/>
  <c r="BK172" i="4"/>
  <c r="DJ162" i="4"/>
  <c r="DI162" i="4"/>
  <c r="DH162" i="4"/>
  <c r="DG162" i="4"/>
  <c r="DF162" i="4"/>
  <c r="DE162" i="4"/>
  <c r="DD162" i="4"/>
  <c r="DC162" i="4"/>
  <c r="DB162" i="4"/>
  <c r="DA162" i="4"/>
  <c r="CZ162" i="4"/>
  <c r="CY162" i="4"/>
  <c r="CX162" i="4"/>
  <c r="CW162" i="4"/>
  <c r="CV162" i="4"/>
  <c r="CU162" i="4"/>
  <c r="CT162" i="4"/>
  <c r="CS162" i="4"/>
  <c r="CR162" i="4"/>
  <c r="CQ162" i="4"/>
  <c r="CP162" i="4"/>
  <c r="CO162" i="4"/>
  <c r="CN162" i="4"/>
  <c r="CM162" i="4"/>
  <c r="CL162" i="4"/>
  <c r="CK162" i="4"/>
  <c r="CJ162" i="4"/>
  <c r="CI162" i="4"/>
  <c r="CH162" i="4"/>
  <c r="CG162" i="4"/>
  <c r="CF162" i="4"/>
  <c r="CE162" i="4"/>
  <c r="CD162" i="4"/>
  <c r="CC162" i="4"/>
  <c r="CB162" i="4"/>
  <c r="CA162" i="4"/>
  <c r="BZ162" i="4"/>
  <c r="BY162" i="4"/>
  <c r="BX162" i="4"/>
  <c r="BW162" i="4"/>
  <c r="BV162" i="4"/>
  <c r="BU162" i="4"/>
  <c r="BT162" i="4"/>
  <c r="BS162" i="4"/>
  <c r="BR162" i="4"/>
  <c r="BQ162" i="4"/>
  <c r="BP162" i="4"/>
  <c r="BO162" i="4"/>
  <c r="BN162" i="4"/>
  <c r="BM162" i="4"/>
  <c r="BL162" i="4"/>
  <c r="BK162" i="4"/>
  <c r="DJ152" i="4"/>
  <c r="DI152" i="4"/>
  <c r="DH152" i="4"/>
  <c r="DG152" i="4"/>
  <c r="DF152" i="4"/>
  <c r="DE152" i="4"/>
  <c r="DD152" i="4"/>
  <c r="DC152" i="4"/>
  <c r="DB152" i="4"/>
  <c r="DA152" i="4"/>
  <c r="CZ152" i="4"/>
  <c r="CY152" i="4"/>
  <c r="CX152" i="4"/>
  <c r="CW152" i="4"/>
  <c r="CV152" i="4"/>
  <c r="CU152" i="4"/>
  <c r="CT152" i="4"/>
  <c r="CS152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DJ142" i="4"/>
  <c r="DI142" i="4"/>
  <c r="DH142" i="4"/>
  <c r="DG142" i="4"/>
  <c r="DF142" i="4"/>
  <c r="DE142" i="4"/>
  <c r="DD142" i="4"/>
  <c r="DC142" i="4"/>
  <c r="DB142" i="4"/>
  <c r="DA142" i="4"/>
  <c r="CZ142" i="4"/>
  <c r="CY142" i="4"/>
  <c r="CX142" i="4"/>
  <c r="CW142" i="4"/>
  <c r="CV142" i="4"/>
  <c r="CU142" i="4"/>
  <c r="CT142" i="4"/>
  <c r="CS142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DJ132" i="4"/>
  <c r="DI132" i="4"/>
  <c r="DH132" i="4"/>
  <c r="DG132" i="4"/>
  <c r="DF132" i="4"/>
  <c r="DE132" i="4"/>
  <c r="DD132" i="4"/>
  <c r="DC132" i="4"/>
  <c r="DB132" i="4"/>
  <c r="DA132" i="4"/>
  <c r="CZ132" i="4"/>
  <c r="CY132" i="4"/>
  <c r="CX132" i="4"/>
  <c r="CW132" i="4"/>
  <c r="CV132" i="4"/>
  <c r="CU132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CW92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CW82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J10" i="4"/>
  <c r="BA2" i="19" s="1"/>
  <c r="DJ11" i="4"/>
  <c r="BA3" i="19" s="1"/>
  <c r="BL12" i="4"/>
  <c r="BK12" i="4"/>
  <c r="CX438" i="4" l="1"/>
  <c r="CZ438" i="4"/>
  <c r="CJ438" i="4"/>
  <c r="BT438" i="4"/>
  <c r="BL438" i="4"/>
  <c r="BP438" i="4"/>
  <c r="CH438" i="4"/>
  <c r="CF438" i="4"/>
  <c r="DH438" i="4"/>
  <c r="DH439" i="4" s="1"/>
  <c r="CB438" i="4"/>
  <c r="CP438" i="4"/>
  <c r="CY438" i="4"/>
  <c r="CI438" i="4"/>
  <c r="BS438" i="4"/>
  <c r="BR438" i="4"/>
  <c r="CU438" i="4"/>
  <c r="CE438" i="4"/>
  <c r="BO438" i="4"/>
  <c r="CV438" i="4"/>
  <c r="CT438" i="4"/>
  <c r="BN438" i="4"/>
  <c r="DJ438" i="4"/>
  <c r="DJ439" i="4" s="1"/>
  <c r="CD438" i="4"/>
  <c r="DI438" i="4"/>
  <c r="DI439" i="4" s="1"/>
  <c r="CS438" i="4"/>
  <c r="CC438" i="4"/>
  <c r="BM438" i="4"/>
  <c r="CR438" i="4"/>
  <c r="DG438" i="4"/>
  <c r="DG439" i="4" s="1"/>
  <c r="CQ438" i="4"/>
  <c r="CA438" i="4"/>
  <c r="CG438" i="4"/>
  <c r="BQ438" i="4"/>
  <c r="DF438" i="4"/>
  <c r="BY438" i="4"/>
  <c r="BX438" i="4"/>
  <c r="CO438" i="4"/>
  <c r="DD438" i="4"/>
  <c r="DC438" i="4"/>
  <c r="CM438" i="4"/>
  <c r="BW438" i="4"/>
  <c r="BK438" i="4"/>
  <c r="CW438" i="4"/>
  <c r="BZ438" i="4"/>
  <c r="DE438" i="4"/>
  <c r="DB438" i="4"/>
  <c r="CL438" i="4"/>
  <c r="BV438" i="4"/>
  <c r="CN438" i="4"/>
  <c r="DA438" i="4"/>
  <c r="CK438" i="4"/>
  <c r="BU438" i="4"/>
  <c r="BJ312" i="4"/>
  <c r="BJ302" i="4"/>
  <c r="BJ292" i="4"/>
  <c r="BJ282" i="4"/>
  <c r="BJ272" i="4"/>
  <c r="BJ262" i="4"/>
  <c r="BJ252" i="4"/>
  <c r="BJ242" i="4"/>
  <c r="BJ232" i="4"/>
  <c r="BJ222" i="4"/>
  <c r="BJ212" i="4"/>
  <c r="BJ202" i="4"/>
  <c r="BJ192" i="4"/>
  <c r="BJ182" i="4"/>
  <c r="BJ172" i="4"/>
  <c r="BJ162" i="4"/>
  <c r="BJ152" i="4"/>
  <c r="BJ142" i="4"/>
  <c r="BJ132" i="4"/>
  <c r="BJ122" i="4"/>
  <c r="BJ112" i="4"/>
  <c r="BJ102" i="4"/>
  <c r="BJ92" i="4"/>
  <c r="BJ82" i="4"/>
  <c r="BJ72" i="4"/>
  <c r="BJ62" i="4"/>
  <c r="BJ52" i="4"/>
  <c r="BJ42" i="4"/>
  <c r="BJ32" i="4"/>
  <c r="BJ22" i="4"/>
  <c r="BJ12" i="4"/>
  <c r="BJ11" i="4"/>
  <c r="BJ10" i="4"/>
  <c r="CN439" i="4" l="1"/>
  <c r="CA439" i="4"/>
  <c r="CW439" i="4"/>
  <c r="BO439" i="4"/>
  <c r="BS439" i="4"/>
  <c r="CX439" i="4"/>
  <c r="CB439" i="4"/>
  <c r="BW439" i="4"/>
  <c r="CS439" i="4"/>
  <c r="CF439" i="4"/>
  <c r="DB439" i="4"/>
  <c r="DF439" i="4"/>
  <c r="CO439" i="4"/>
  <c r="CJ439" i="4"/>
  <c r="CK439" i="4"/>
  <c r="CY439" i="4"/>
  <c r="CP439" i="4"/>
  <c r="CC439" i="4"/>
  <c r="DC439" i="4"/>
  <c r="BP439" i="4"/>
  <c r="BL439" i="4"/>
  <c r="BX439" i="4"/>
  <c r="CT439" i="4"/>
  <c r="BT439" i="4"/>
  <c r="CG439" i="4"/>
  <c r="BY439" i="4"/>
  <c r="BQ439" i="4"/>
  <c r="CU439" i="4"/>
  <c r="DD439" i="4"/>
  <c r="CL439" i="4"/>
  <c r="CQ439" i="4"/>
  <c r="BU439" i="4"/>
  <c r="BM439" i="4"/>
  <c r="CH439" i="4"/>
  <c r="CD439" i="4"/>
  <c r="CZ439" i="4"/>
  <c r="DE439" i="4"/>
  <c r="BZ439" i="4"/>
  <c r="CE439" i="4"/>
  <c r="BN439" i="4"/>
  <c r="DA439" i="4"/>
  <c r="BR439" i="4"/>
  <c r="CR439" i="4"/>
  <c r="CV439" i="4"/>
  <c r="BV439" i="4"/>
  <c r="BK439" i="4"/>
  <c r="CI439" i="4"/>
  <c r="CM439" i="4"/>
  <c r="BJ8" i="4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CA8" i="4" s="1"/>
  <c r="CB8" i="4" s="1"/>
  <c r="CC8" i="4" s="1"/>
  <c r="CD8" i="4" s="1"/>
  <c r="CE8" i="4" s="1"/>
  <c r="CF8" i="4" s="1"/>
  <c r="CG8" i="4" s="1"/>
  <c r="CH8" i="4" s="1"/>
  <c r="CI8" i="4" s="1"/>
  <c r="CJ8" i="4" s="1"/>
  <c r="CK8" i="4" s="1"/>
  <c r="CL8" i="4" s="1"/>
  <c r="CM8" i="4" s="1"/>
  <c r="CN8" i="4" s="1"/>
  <c r="CO8" i="4" s="1"/>
  <c r="CP8" i="4" s="1"/>
  <c r="CQ8" i="4" s="1"/>
  <c r="CR8" i="4" s="1"/>
  <c r="CS8" i="4" s="1"/>
  <c r="CT8" i="4" s="1"/>
  <c r="CU8" i="4" s="1"/>
  <c r="CV8" i="4" s="1"/>
  <c r="CW8" i="4" s="1"/>
  <c r="CX8" i="4" s="1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DQ8" i="4" s="1"/>
  <c r="DR8" i="4" s="1"/>
  <c r="DS8" i="4" s="1"/>
  <c r="DT8" i="4" s="1"/>
  <c r="DU8" i="4" s="1"/>
  <c r="DV8" i="4" s="1"/>
  <c r="DW8" i="4" s="1"/>
  <c r="C317" i="4" l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B317" i="4"/>
  <c r="C307" i="4"/>
  <c r="C308" i="4" s="1"/>
  <c r="C309" i="4" s="1"/>
  <c r="C310" i="4" s="1"/>
  <c r="C311" i="4" s="1"/>
  <c r="C312" i="4" s="1"/>
  <c r="C313" i="4" s="1"/>
  <c r="C314" i="4" s="1"/>
  <c r="C315" i="4" s="1"/>
  <c r="C316" i="4" s="1"/>
  <c r="B307" i="4"/>
  <c r="C297" i="4"/>
  <c r="C298" i="4" s="1"/>
  <c r="C299" i="4" s="1"/>
  <c r="C300" i="4" s="1"/>
  <c r="C301" i="4" s="1"/>
  <c r="C302" i="4" s="1"/>
  <c r="C303" i="4" s="1"/>
  <c r="C304" i="4" s="1"/>
  <c r="C305" i="4" s="1"/>
  <c r="C306" i="4" s="1"/>
  <c r="B297" i="4"/>
  <c r="C287" i="4"/>
  <c r="C288" i="4" s="1"/>
  <c r="C289" i="4" s="1"/>
  <c r="C290" i="4" s="1"/>
  <c r="C291" i="4" s="1"/>
  <c r="C292" i="4" s="1"/>
  <c r="C293" i="4" s="1"/>
  <c r="C294" i="4" s="1"/>
  <c r="C295" i="4" s="1"/>
  <c r="C296" i="4" s="1"/>
  <c r="B287" i="4"/>
  <c r="C277" i="4"/>
  <c r="C278" i="4" s="1"/>
  <c r="C279" i="4" s="1"/>
  <c r="C280" i="4" s="1"/>
  <c r="C281" i="4" s="1"/>
  <c r="C282" i="4" s="1"/>
  <c r="C283" i="4" s="1"/>
  <c r="C284" i="4" s="1"/>
  <c r="C285" i="4" s="1"/>
  <c r="C286" i="4" s="1"/>
  <c r="B277" i="4"/>
  <c r="C267" i="4"/>
  <c r="C268" i="4" s="1"/>
  <c r="C269" i="4" s="1"/>
  <c r="C270" i="4" s="1"/>
  <c r="C271" i="4" s="1"/>
  <c r="C272" i="4" s="1"/>
  <c r="C273" i="4" s="1"/>
  <c r="C274" i="4" s="1"/>
  <c r="C275" i="4" s="1"/>
  <c r="C276" i="4" s="1"/>
  <c r="B267" i="4"/>
  <c r="C257" i="4"/>
  <c r="C258" i="4" s="1"/>
  <c r="C259" i="4" s="1"/>
  <c r="C260" i="4" s="1"/>
  <c r="C261" i="4" s="1"/>
  <c r="C262" i="4" s="1"/>
  <c r="C263" i="4" s="1"/>
  <c r="C264" i="4" s="1"/>
  <c r="C265" i="4" s="1"/>
  <c r="C266" i="4" s="1"/>
  <c r="B257" i="4"/>
  <c r="C247" i="4"/>
  <c r="C248" i="4" s="1"/>
  <c r="C249" i="4" s="1"/>
  <c r="C250" i="4" s="1"/>
  <c r="C251" i="4" s="1"/>
  <c r="C252" i="4" s="1"/>
  <c r="C253" i="4" s="1"/>
  <c r="C254" i="4" s="1"/>
  <c r="C255" i="4" s="1"/>
  <c r="C256" i="4" s="1"/>
  <c r="B247" i="4"/>
  <c r="C237" i="4"/>
  <c r="C238" i="4" s="1"/>
  <c r="C239" i="4" s="1"/>
  <c r="C240" i="4" s="1"/>
  <c r="C241" i="4" s="1"/>
  <c r="C242" i="4" s="1"/>
  <c r="C243" i="4" s="1"/>
  <c r="C244" i="4" s="1"/>
  <c r="C245" i="4" s="1"/>
  <c r="C246" i="4" s="1"/>
  <c r="B237" i="4"/>
  <c r="C227" i="4"/>
  <c r="C228" i="4" s="1"/>
  <c r="C229" i="4" s="1"/>
  <c r="C230" i="4" s="1"/>
  <c r="C231" i="4" s="1"/>
  <c r="C232" i="4" s="1"/>
  <c r="C233" i="4" s="1"/>
  <c r="C234" i="4" s="1"/>
  <c r="C235" i="4" s="1"/>
  <c r="C236" i="4" s="1"/>
  <c r="B227" i="4"/>
  <c r="C217" i="4"/>
  <c r="C218" i="4" s="1"/>
  <c r="C219" i="4" s="1"/>
  <c r="C220" i="4" s="1"/>
  <c r="C221" i="4" s="1"/>
  <c r="C222" i="4" s="1"/>
  <c r="C223" i="4" s="1"/>
  <c r="C224" i="4" s="1"/>
  <c r="C225" i="4" s="1"/>
  <c r="C226" i="4" s="1"/>
  <c r="B217" i="4"/>
  <c r="C207" i="4"/>
  <c r="C208" i="4" s="1"/>
  <c r="C209" i="4" s="1"/>
  <c r="C210" i="4" s="1"/>
  <c r="C211" i="4" s="1"/>
  <c r="C212" i="4" s="1"/>
  <c r="C213" i="4" s="1"/>
  <c r="C214" i="4" s="1"/>
  <c r="C215" i="4" s="1"/>
  <c r="C216" i="4" s="1"/>
  <c r="B207" i="4"/>
  <c r="C197" i="4"/>
  <c r="C198" i="4" s="1"/>
  <c r="C199" i="4" s="1"/>
  <c r="C200" i="4" s="1"/>
  <c r="C201" i="4" s="1"/>
  <c r="C202" i="4" s="1"/>
  <c r="C203" i="4" s="1"/>
  <c r="C204" i="4" s="1"/>
  <c r="C205" i="4" s="1"/>
  <c r="C206" i="4" s="1"/>
  <c r="B197" i="4"/>
  <c r="C187" i="4"/>
  <c r="C188" i="4" s="1"/>
  <c r="C189" i="4" s="1"/>
  <c r="C190" i="4" s="1"/>
  <c r="C191" i="4" s="1"/>
  <c r="C192" i="4" s="1"/>
  <c r="C193" i="4" s="1"/>
  <c r="C194" i="4" s="1"/>
  <c r="C195" i="4" s="1"/>
  <c r="C196" i="4" s="1"/>
  <c r="B187" i="4"/>
  <c r="C177" i="4"/>
  <c r="C178" i="4" s="1"/>
  <c r="C179" i="4" s="1"/>
  <c r="C180" i="4" s="1"/>
  <c r="C181" i="4" s="1"/>
  <c r="C182" i="4" s="1"/>
  <c r="C183" i="4" s="1"/>
  <c r="C184" i="4" s="1"/>
  <c r="C185" i="4" s="1"/>
  <c r="C186" i="4" s="1"/>
  <c r="B177" i="4"/>
  <c r="C167" i="4"/>
  <c r="C168" i="4" s="1"/>
  <c r="C169" i="4" s="1"/>
  <c r="C170" i="4" s="1"/>
  <c r="C171" i="4" s="1"/>
  <c r="C172" i="4" s="1"/>
  <c r="C173" i="4" s="1"/>
  <c r="C174" i="4" s="1"/>
  <c r="C175" i="4" s="1"/>
  <c r="C176" i="4" s="1"/>
  <c r="B167" i="4"/>
  <c r="C157" i="4"/>
  <c r="C158" i="4" s="1"/>
  <c r="C159" i="4" s="1"/>
  <c r="C160" i="4" s="1"/>
  <c r="C161" i="4" s="1"/>
  <c r="C162" i="4" s="1"/>
  <c r="C163" i="4" s="1"/>
  <c r="C164" i="4" s="1"/>
  <c r="C165" i="4" s="1"/>
  <c r="C166" i="4" s="1"/>
  <c r="B157" i="4"/>
  <c r="C147" i="4"/>
  <c r="C148" i="4" s="1"/>
  <c r="C149" i="4" s="1"/>
  <c r="C150" i="4" s="1"/>
  <c r="C151" i="4" s="1"/>
  <c r="C152" i="4" s="1"/>
  <c r="C153" i="4" s="1"/>
  <c r="C154" i="4" s="1"/>
  <c r="C155" i="4" s="1"/>
  <c r="C156" i="4" s="1"/>
  <c r="B147" i="4"/>
  <c r="C137" i="4"/>
  <c r="C138" i="4" s="1"/>
  <c r="C139" i="4" s="1"/>
  <c r="C140" i="4" s="1"/>
  <c r="C141" i="4" s="1"/>
  <c r="C142" i="4" s="1"/>
  <c r="C143" i="4" s="1"/>
  <c r="C144" i="4" s="1"/>
  <c r="C145" i="4" s="1"/>
  <c r="C146" i="4" s="1"/>
  <c r="B137" i="4"/>
  <c r="C127" i="4"/>
  <c r="C128" i="4" s="1"/>
  <c r="C129" i="4" s="1"/>
  <c r="C130" i="4" s="1"/>
  <c r="C131" i="4" s="1"/>
  <c r="C132" i="4" s="1"/>
  <c r="C133" i="4" s="1"/>
  <c r="C134" i="4" s="1"/>
  <c r="C135" i="4" s="1"/>
  <c r="C136" i="4" s="1"/>
  <c r="B127" i="4"/>
  <c r="C117" i="4"/>
  <c r="C118" i="4" s="1"/>
  <c r="C119" i="4" s="1"/>
  <c r="C120" i="4" s="1"/>
  <c r="C121" i="4" s="1"/>
  <c r="C122" i="4" s="1"/>
  <c r="C123" i="4" s="1"/>
  <c r="C124" i="4" s="1"/>
  <c r="C125" i="4" s="1"/>
  <c r="C126" i="4" s="1"/>
  <c r="B117" i="4"/>
  <c r="C107" i="4"/>
  <c r="C108" i="4" s="1"/>
  <c r="C109" i="4" s="1"/>
  <c r="C110" i="4" s="1"/>
  <c r="C111" i="4" s="1"/>
  <c r="C112" i="4" s="1"/>
  <c r="C113" i="4" s="1"/>
  <c r="C114" i="4" s="1"/>
  <c r="C115" i="4" s="1"/>
  <c r="C116" i="4" s="1"/>
  <c r="B107" i="4"/>
  <c r="C97" i="4"/>
  <c r="C98" i="4" s="1"/>
  <c r="C99" i="4" s="1"/>
  <c r="C100" i="4" s="1"/>
  <c r="C101" i="4" s="1"/>
  <c r="C102" i="4" s="1"/>
  <c r="C103" i="4" s="1"/>
  <c r="C104" i="4" s="1"/>
  <c r="C105" i="4" s="1"/>
  <c r="C106" i="4" s="1"/>
  <c r="B97" i="4"/>
  <c r="C87" i="4"/>
  <c r="C88" i="4" s="1"/>
  <c r="C89" i="4" s="1"/>
  <c r="C90" i="4" s="1"/>
  <c r="C91" i="4" s="1"/>
  <c r="C92" i="4" s="1"/>
  <c r="C93" i="4" s="1"/>
  <c r="C94" i="4" s="1"/>
  <c r="C95" i="4" s="1"/>
  <c r="C96" i="4" s="1"/>
  <c r="B87" i="4"/>
  <c r="C77" i="4"/>
  <c r="C78" i="4" s="1"/>
  <c r="C79" i="4" s="1"/>
  <c r="C80" i="4" s="1"/>
  <c r="C81" i="4" s="1"/>
  <c r="C82" i="4" s="1"/>
  <c r="C83" i="4" s="1"/>
  <c r="C84" i="4" s="1"/>
  <c r="C85" i="4" s="1"/>
  <c r="C86" i="4" s="1"/>
  <c r="B77" i="4"/>
  <c r="C67" i="4"/>
  <c r="C68" i="4" s="1"/>
  <c r="C69" i="4" s="1"/>
  <c r="C70" i="4" s="1"/>
  <c r="C71" i="4" s="1"/>
  <c r="C72" i="4" s="1"/>
  <c r="C73" i="4" s="1"/>
  <c r="C74" i="4" s="1"/>
  <c r="C75" i="4" s="1"/>
  <c r="C76" i="4" s="1"/>
  <c r="B67" i="4"/>
  <c r="C57" i="4"/>
  <c r="C58" i="4" s="1"/>
  <c r="C59" i="4" s="1"/>
  <c r="C60" i="4" s="1"/>
  <c r="C61" i="4" s="1"/>
  <c r="C62" i="4" s="1"/>
  <c r="C63" i="4" s="1"/>
  <c r="C64" i="4" s="1"/>
  <c r="C65" i="4" s="1"/>
  <c r="C66" i="4" s="1"/>
  <c r="B57" i="4"/>
  <c r="C56" i="4"/>
  <c r="B56" i="4"/>
  <c r="A56" i="4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C37" i="4"/>
  <c r="C38" i="4" s="1"/>
  <c r="C39" i="4" s="1"/>
  <c r="C40" i="4" s="1"/>
  <c r="C41" i="4" s="1"/>
  <c r="C42" i="4" s="1"/>
  <c r="C43" i="4" s="1"/>
  <c r="C44" i="4" s="1"/>
  <c r="C45" i="4" s="1"/>
  <c r="B37" i="4"/>
  <c r="C27" i="4"/>
  <c r="C28" i="4" s="1"/>
  <c r="C29" i="4" s="1"/>
  <c r="C30" i="4" s="1"/>
  <c r="C31" i="4" s="1"/>
  <c r="C32" i="4" s="1"/>
  <c r="C33" i="4" s="1"/>
  <c r="C34" i="4" s="1"/>
  <c r="C35" i="4" s="1"/>
  <c r="C36" i="4" s="1"/>
  <c r="B27" i="4"/>
  <c r="C17" i="4"/>
  <c r="C18" i="4" s="1"/>
  <c r="C19" i="4" s="1"/>
  <c r="C20" i="4" s="1"/>
  <c r="C21" i="4" s="1"/>
  <c r="C22" i="4" s="1"/>
  <c r="C23" i="4" s="1"/>
  <c r="C24" i="4" s="1"/>
  <c r="C25" i="4" s="1"/>
  <c r="C26" i="4" s="1"/>
  <c r="B17" i="4"/>
  <c r="C7" i="4"/>
  <c r="C8" i="4" s="1"/>
  <c r="C9" i="4" s="1"/>
  <c r="C10" i="4" s="1"/>
  <c r="C11" i="4" s="1"/>
  <c r="C12" i="4" s="1"/>
  <c r="C13" i="4" s="1"/>
  <c r="C14" i="4" s="1"/>
  <c r="C15" i="4" s="1"/>
  <c r="C16" i="4" s="1"/>
  <c r="B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E107" i="4" l="1"/>
  <c r="D107" i="4"/>
  <c r="B188" i="4"/>
  <c r="E187" i="4"/>
  <c r="D187" i="4"/>
  <c r="E267" i="4"/>
  <c r="D267" i="4"/>
  <c r="B68" i="4"/>
  <c r="E67" i="4"/>
  <c r="D67" i="4"/>
  <c r="E257" i="4"/>
  <c r="D257" i="4"/>
  <c r="E117" i="4"/>
  <c r="D117" i="4"/>
  <c r="E197" i="4"/>
  <c r="D197" i="4"/>
  <c r="E277" i="4"/>
  <c r="D277" i="4"/>
  <c r="B228" i="4"/>
  <c r="E227" i="4"/>
  <c r="D227" i="4"/>
  <c r="B308" i="4"/>
  <c r="B309" i="4" s="1"/>
  <c r="E307" i="4"/>
  <c r="D307" i="4"/>
  <c r="E167" i="4"/>
  <c r="D167" i="4"/>
  <c r="E17" i="4"/>
  <c r="D17" i="4"/>
  <c r="E177" i="4"/>
  <c r="D177" i="4"/>
  <c r="E27" i="4"/>
  <c r="D27" i="4"/>
  <c r="B148" i="4"/>
  <c r="E147" i="4"/>
  <c r="D147" i="4"/>
  <c r="E157" i="4"/>
  <c r="D157" i="4"/>
  <c r="E317" i="4"/>
  <c r="D317" i="4"/>
  <c r="D87" i="4"/>
  <c r="E87" i="4"/>
  <c r="D56" i="4"/>
  <c r="E56" i="4"/>
  <c r="D127" i="4"/>
  <c r="E127" i="4"/>
  <c r="D207" i="4"/>
  <c r="E207" i="4"/>
  <c r="E287" i="4"/>
  <c r="D287" i="4"/>
  <c r="B78" i="4"/>
  <c r="E77" i="4"/>
  <c r="D77" i="4"/>
  <c r="E237" i="4"/>
  <c r="D237" i="4"/>
  <c r="E7" i="4"/>
  <c r="D7" i="4"/>
  <c r="D247" i="4"/>
  <c r="E247" i="4"/>
  <c r="E97" i="4"/>
  <c r="D97" i="4"/>
  <c r="D37" i="4"/>
  <c r="E37" i="4"/>
  <c r="E57" i="4"/>
  <c r="D57" i="4"/>
  <c r="E137" i="4"/>
  <c r="D137" i="4"/>
  <c r="E217" i="4"/>
  <c r="D217" i="4"/>
  <c r="B298" i="4"/>
  <c r="B299" i="4" s="1"/>
  <c r="E297" i="4"/>
  <c r="D297" i="4"/>
  <c r="B98" i="4"/>
  <c r="B8" i="4"/>
  <c r="B9" i="4" s="1"/>
  <c r="B118" i="4"/>
  <c r="B18" i="4"/>
  <c r="B58" i="4"/>
  <c r="B128" i="4"/>
  <c r="B108" i="4"/>
  <c r="B318" i="4"/>
  <c r="B218" i="4"/>
  <c r="B288" i="4"/>
  <c r="B238" i="4"/>
  <c r="B38" i="4"/>
  <c r="B168" i="4"/>
  <c r="B28" i="4"/>
  <c r="B88" i="4"/>
  <c r="B178" i="4"/>
  <c r="B198" i="4"/>
  <c r="B138" i="4"/>
  <c r="B158" i="4"/>
  <c r="B268" i="4"/>
  <c r="B229" i="4"/>
  <c r="B278" i="4"/>
  <c r="B208" i="4"/>
  <c r="B248" i="4"/>
  <c r="B258" i="4"/>
  <c r="E309" i="4" l="1"/>
  <c r="D309" i="4"/>
  <c r="E138" i="4"/>
  <c r="D138" i="4"/>
  <c r="E298" i="4"/>
  <c r="D298" i="4"/>
  <c r="E308" i="4"/>
  <c r="D308" i="4"/>
  <c r="E68" i="4"/>
  <c r="D68" i="4"/>
  <c r="E178" i="4"/>
  <c r="D178" i="4"/>
  <c r="B79" i="4"/>
  <c r="E78" i="4"/>
  <c r="D78" i="4"/>
  <c r="E28" i="4"/>
  <c r="D28" i="4"/>
  <c r="B109" i="4"/>
  <c r="B110" i="4" s="1"/>
  <c r="E108" i="4"/>
  <c r="D108" i="4"/>
  <c r="E228" i="4"/>
  <c r="D228" i="4"/>
  <c r="B149" i="4"/>
  <c r="E148" i="4"/>
  <c r="D148" i="4"/>
  <c r="D38" i="4"/>
  <c r="E38" i="4"/>
  <c r="B59" i="4"/>
  <c r="B60" i="4" s="1"/>
  <c r="E58" i="4"/>
  <c r="D58" i="4"/>
  <c r="E248" i="4"/>
  <c r="D248" i="4"/>
  <c r="B69" i="4"/>
  <c r="E18" i="4"/>
  <c r="D18" i="4"/>
  <c r="B189" i="4"/>
  <c r="E188" i="4"/>
  <c r="D188" i="4"/>
  <c r="D88" i="4"/>
  <c r="E88" i="4"/>
  <c r="E168" i="4"/>
  <c r="D168" i="4"/>
  <c r="E208" i="4"/>
  <c r="D208" i="4"/>
  <c r="B119" i="4"/>
  <c r="B120" i="4" s="1"/>
  <c r="D118" i="4"/>
  <c r="E118" i="4"/>
  <c r="E158" i="4"/>
  <c r="D158" i="4"/>
  <c r="E198" i="4"/>
  <c r="D198" i="4"/>
  <c r="E9" i="4"/>
  <c r="D9" i="4"/>
  <c r="E278" i="4"/>
  <c r="D278" i="4"/>
  <c r="D238" i="4"/>
  <c r="E238" i="4"/>
  <c r="E8" i="4"/>
  <c r="D8" i="4"/>
  <c r="E258" i="4"/>
  <c r="D258" i="4"/>
  <c r="D128" i="4"/>
  <c r="E128" i="4"/>
  <c r="E299" i="4"/>
  <c r="D299" i="4"/>
  <c r="E98" i="4"/>
  <c r="D98" i="4"/>
  <c r="E229" i="4"/>
  <c r="D229" i="4"/>
  <c r="E288" i="4"/>
  <c r="D288" i="4"/>
  <c r="B219" i="4"/>
  <c r="B220" i="4" s="1"/>
  <c r="E218" i="4"/>
  <c r="D218" i="4"/>
  <c r="E268" i="4"/>
  <c r="D268" i="4"/>
  <c r="B319" i="4"/>
  <c r="D318" i="4"/>
  <c r="E318" i="4"/>
  <c r="B99" i="4"/>
  <c r="B100" i="4" s="1"/>
  <c r="B19" i="4"/>
  <c r="B129" i="4"/>
  <c r="B300" i="4"/>
  <c r="B239" i="4"/>
  <c r="B289" i="4"/>
  <c r="B310" i="4"/>
  <c r="B209" i="4"/>
  <c r="B39" i="4"/>
  <c r="B70" i="4"/>
  <c r="B269" i="4"/>
  <c r="B89" i="4"/>
  <c r="B249" i="4"/>
  <c r="B279" i="4"/>
  <c r="B29" i="4"/>
  <c r="B169" i="4"/>
  <c r="B230" i="4"/>
  <c r="B199" i="4"/>
  <c r="B159" i="4"/>
  <c r="B139" i="4"/>
  <c r="B259" i="4"/>
  <c r="B10" i="4"/>
  <c r="B179" i="4"/>
  <c r="E220" i="4" l="1"/>
  <c r="D220" i="4"/>
  <c r="E60" i="4"/>
  <c r="D60" i="4"/>
  <c r="E149" i="4"/>
  <c r="D149" i="4"/>
  <c r="B150" i="4"/>
  <c r="E39" i="4"/>
  <c r="D39" i="4"/>
  <c r="E259" i="4"/>
  <c r="D259" i="4"/>
  <c r="E110" i="4"/>
  <c r="D110" i="4"/>
  <c r="D319" i="4"/>
  <c r="E319" i="4"/>
  <c r="E189" i="4"/>
  <c r="D189" i="4"/>
  <c r="B190" i="4"/>
  <c r="E209" i="4"/>
  <c r="D209" i="4"/>
  <c r="E19" i="4"/>
  <c r="D19" i="4"/>
  <c r="E69" i="4"/>
  <c r="D69" i="4"/>
  <c r="D239" i="4"/>
  <c r="E239" i="4"/>
  <c r="D119" i="4"/>
  <c r="E119" i="4"/>
  <c r="E109" i="4"/>
  <c r="D109" i="4"/>
  <c r="D70" i="4"/>
  <c r="E70" i="4"/>
  <c r="E219" i="4"/>
  <c r="D219" i="4"/>
  <c r="D159" i="4"/>
  <c r="E159" i="4"/>
  <c r="E99" i="4"/>
  <c r="D99" i="4"/>
  <c r="E139" i="4"/>
  <c r="D139" i="4"/>
  <c r="E289" i="4"/>
  <c r="D289" i="4"/>
  <c r="B320" i="4"/>
  <c r="B321" i="4" s="1"/>
  <c r="E59" i="4"/>
  <c r="D59" i="4"/>
  <c r="D310" i="4"/>
  <c r="E310" i="4"/>
  <c r="D199" i="4"/>
  <c r="E199" i="4"/>
  <c r="E169" i="4"/>
  <c r="D169" i="4"/>
  <c r="E300" i="4"/>
  <c r="D300" i="4"/>
  <c r="D29" i="4"/>
  <c r="E29" i="4"/>
  <c r="E179" i="4"/>
  <c r="D179" i="4"/>
  <c r="D279" i="4"/>
  <c r="E279" i="4"/>
  <c r="E129" i="4"/>
  <c r="D129" i="4"/>
  <c r="E89" i="4"/>
  <c r="D89" i="4"/>
  <c r="E100" i="4"/>
  <c r="D100" i="4"/>
  <c r="B80" i="4"/>
  <c r="D79" i="4"/>
  <c r="E79" i="4"/>
  <c r="E269" i="4"/>
  <c r="D269" i="4"/>
  <c r="E10" i="4"/>
  <c r="D10" i="4"/>
  <c r="D230" i="4"/>
  <c r="E230" i="4"/>
  <c r="E249" i="4"/>
  <c r="D249" i="4"/>
  <c r="B121" i="4"/>
  <c r="D120" i="4"/>
  <c r="E120" i="4"/>
  <c r="B20" i="4"/>
  <c r="B301" i="4"/>
  <c r="B130" i="4"/>
  <c r="B311" i="4"/>
  <c r="B240" i="4"/>
  <c r="B290" i="4"/>
  <c r="B61" i="4"/>
  <c r="B231" i="4"/>
  <c r="B71" i="4"/>
  <c r="B111" i="4"/>
  <c r="B210" i="4"/>
  <c r="B170" i="4"/>
  <c r="B280" i="4"/>
  <c r="B270" i="4"/>
  <c r="B11" i="4"/>
  <c r="B180" i="4"/>
  <c r="B140" i="4"/>
  <c r="B200" i="4"/>
  <c r="B260" i="4"/>
  <c r="B221" i="4"/>
  <c r="B40" i="4"/>
  <c r="B160" i="4"/>
  <c r="B250" i="4"/>
  <c r="B90" i="4"/>
  <c r="B30" i="4"/>
  <c r="B101" i="4"/>
  <c r="E111" i="4" l="1"/>
  <c r="D111" i="4"/>
  <c r="E121" i="4"/>
  <c r="D121" i="4"/>
  <c r="E321" i="4"/>
  <c r="D321" i="4"/>
  <c r="E61" i="4"/>
  <c r="D61" i="4"/>
  <c r="E140" i="4"/>
  <c r="D140" i="4"/>
  <c r="E150" i="4"/>
  <c r="D150" i="4"/>
  <c r="B151" i="4"/>
  <c r="E160" i="4"/>
  <c r="D160" i="4"/>
  <c r="D71" i="4"/>
  <c r="E71" i="4"/>
  <c r="E200" i="4"/>
  <c r="D200" i="4"/>
  <c r="D311" i="4"/>
  <c r="E311" i="4"/>
  <c r="D190" i="4"/>
  <c r="E190" i="4"/>
  <c r="B191" i="4"/>
  <c r="E40" i="4"/>
  <c r="D40" i="4"/>
  <c r="E221" i="4"/>
  <c r="D221" i="4"/>
  <c r="B122" i="4"/>
  <c r="B123" i="4" s="1"/>
  <c r="E240" i="4"/>
  <c r="D240" i="4"/>
  <c r="E11" i="4"/>
  <c r="D11" i="4"/>
  <c r="E180" i="4"/>
  <c r="D180" i="4"/>
  <c r="E290" i="4"/>
  <c r="D290" i="4"/>
  <c r="E130" i="4"/>
  <c r="D130" i="4"/>
  <c r="E270" i="4"/>
  <c r="D270" i="4"/>
  <c r="D30" i="4"/>
  <c r="E30" i="4"/>
  <c r="E280" i="4"/>
  <c r="D280" i="4"/>
  <c r="B81" i="4"/>
  <c r="D80" i="4"/>
  <c r="E80" i="4"/>
  <c r="E260" i="4"/>
  <c r="D260" i="4"/>
  <c r="D231" i="4"/>
  <c r="E231" i="4"/>
  <c r="E170" i="4"/>
  <c r="D170" i="4"/>
  <c r="B302" i="4"/>
  <c r="B303" i="4" s="1"/>
  <c r="E301" i="4"/>
  <c r="D301" i="4"/>
  <c r="E210" i="4"/>
  <c r="D210" i="4"/>
  <c r="E101" i="4"/>
  <c r="D101" i="4"/>
  <c r="E90" i="4"/>
  <c r="D90" i="4"/>
  <c r="E250" i="4"/>
  <c r="D250" i="4"/>
  <c r="D20" i="4"/>
  <c r="E20" i="4"/>
  <c r="E320" i="4"/>
  <c r="D320" i="4"/>
  <c r="B21" i="4"/>
  <c r="B22" i="4" s="1"/>
  <c r="B131" i="4"/>
  <c r="B241" i="4"/>
  <c r="B291" i="4"/>
  <c r="B312" i="4"/>
  <c r="B31" i="4"/>
  <c r="B171" i="4"/>
  <c r="B211" i="4"/>
  <c r="B72" i="4"/>
  <c r="B232" i="4"/>
  <c r="B322" i="4"/>
  <c r="B141" i="4"/>
  <c r="B91" i="4"/>
  <c r="B12" i="4"/>
  <c r="B251" i="4"/>
  <c r="B41" i="4"/>
  <c r="B201" i="4"/>
  <c r="B181" i="4"/>
  <c r="B281" i="4"/>
  <c r="B112" i="4"/>
  <c r="B161" i="4"/>
  <c r="B222" i="4"/>
  <c r="B261" i="4"/>
  <c r="B271" i="4"/>
  <c r="B102" i="4"/>
  <c r="B62" i="4"/>
  <c r="E123" i="4" l="1"/>
  <c r="D123" i="4"/>
  <c r="D151" i="4"/>
  <c r="E151" i="4"/>
  <c r="B152" i="4"/>
  <c r="E171" i="4"/>
  <c r="D171" i="4"/>
  <c r="E41" i="4"/>
  <c r="D41" i="4"/>
  <c r="E251" i="4"/>
  <c r="D251" i="4"/>
  <c r="E31" i="4"/>
  <c r="D31" i="4"/>
  <c r="D12" i="4"/>
  <c r="E12" i="4"/>
  <c r="E291" i="4"/>
  <c r="D291" i="4"/>
  <c r="D191" i="4"/>
  <c r="E191" i="4"/>
  <c r="B192" i="4"/>
  <c r="E91" i="4"/>
  <c r="D91" i="4"/>
  <c r="B82" i="4"/>
  <c r="E81" i="4"/>
  <c r="D81" i="4"/>
  <c r="E181" i="4"/>
  <c r="D181" i="4"/>
  <c r="E122" i="4"/>
  <c r="D122" i="4"/>
  <c r="E201" i="4"/>
  <c r="D201" i="4"/>
  <c r="E312" i="4"/>
  <c r="D312" i="4"/>
  <c r="E281" i="4"/>
  <c r="D281" i="4"/>
  <c r="E141" i="4"/>
  <c r="D141" i="4"/>
  <c r="E322" i="4"/>
  <c r="D322" i="4"/>
  <c r="E232" i="4"/>
  <c r="D232" i="4"/>
  <c r="E72" i="4"/>
  <c r="D72" i="4"/>
  <c r="E241" i="4"/>
  <c r="D241" i="4"/>
  <c r="E271" i="4"/>
  <c r="D271" i="4"/>
  <c r="D222" i="4"/>
  <c r="E222" i="4"/>
  <c r="D22" i="4"/>
  <c r="E22" i="4"/>
  <c r="E62" i="4"/>
  <c r="D62" i="4"/>
  <c r="E102" i="4"/>
  <c r="D102" i="4"/>
  <c r="E131" i="4"/>
  <c r="D131" i="4"/>
  <c r="E261" i="4"/>
  <c r="D261" i="4"/>
  <c r="E21" i="4"/>
  <c r="D21" i="4"/>
  <c r="E161" i="4"/>
  <c r="D161" i="4"/>
  <c r="E211" i="4"/>
  <c r="D211" i="4"/>
  <c r="D112" i="4"/>
  <c r="E112" i="4"/>
  <c r="E303" i="4"/>
  <c r="D303" i="4"/>
  <c r="E302" i="4"/>
  <c r="D302" i="4"/>
  <c r="B132" i="4"/>
  <c r="B313" i="4"/>
  <c r="B292" i="4"/>
  <c r="B242" i="4"/>
  <c r="B103" i="4"/>
  <c r="B262" i="4"/>
  <c r="B162" i="4"/>
  <c r="B202" i="4"/>
  <c r="B13" i="4"/>
  <c r="B233" i="4"/>
  <c r="B272" i="4"/>
  <c r="B252" i="4"/>
  <c r="B73" i="4"/>
  <c r="B172" i="4"/>
  <c r="B304" i="4"/>
  <c r="B182" i="4"/>
  <c r="B223" i="4"/>
  <c r="B113" i="4"/>
  <c r="B42" i="4"/>
  <c r="B92" i="4"/>
  <c r="B142" i="4"/>
  <c r="B212" i="4"/>
  <c r="B23" i="4"/>
  <c r="B124" i="4"/>
  <c r="B63" i="4"/>
  <c r="B323" i="4"/>
  <c r="B282" i="4"/>
  <c r="B32" i="4"/>
  <c r="E233" i="4" l="1"/>
  <c r="D233" i="4"/>
  <c r="E124" i="4"/>
  <c r="D124" i="4"/>
  <c r="E92" i="4"/>
  <c r="D92" i="4"/>
  <c r="E113" i="4"/>
  <c r="D113" i="4"/>
  <c r="E242" i="4"/>
  <c r="D242" i="4"/>
  <c r="E223" i="4"/>
  <c r="D223" i="4"/>
  <c r="E292" i="4"/>
  <c r="D292" i="4"/>
  <c r="E182" i="4"/>
  <c r="D182" i="4"/>
  <c r="B83" i="4"/>
  <c r="E82" i="4"/>
  <c r="D82" i="4"/>
  <c r="E202" i="4"/>
  <c r="D202" i="4"/>
  <c r="E162" i="4"/>
  <c r="D162" i="4"/>
  <c r="E132" i="4"/>
  <c r="D132" i="4"/>
  <c r="E42" i="4"/>
  <c r="D42" i="4"/>
  <c r="D103" i="4"/>
  <c r="E103" i="4"/>
  <c r="E313" i="4"/>
  <c r="D313" i="4"/>
  <c r="E304" i="4"/>
  <c r="D304" i="4"/>
  <c r="D152" i="4"/>
  <c r="E152" i="4"/>
  <c r="B153" i="4"/>
  <c r="E23" i="4"/>
  <c r="D23" i="4"/>
  <c r="E172" i="4"/>
  <c r="D172" i="4"/>
  <c r="E192" i="4"/>
  <c r="D192" i="4"/>
  <c r="B193" i="4"/>
  <c r="E212" i="4"/>
  <c r="D212" i="4"/>
  <c r="D142" i="4"/>
  <c r="E142" i="4"/>
  <c r="D262" i="4"/>
  <c r="E262" i="4"/>
  <c r="E73" i="4"/>
  <c r="D73" i="4"/>
  <c r="E323" i="4"/>
  <c r="D323" i="4"/>
  <c r="E252" i="4"/>
  <c r="D252" i="4"/>
  <c r="D13" i="4"/>
  <c r="E13" i="4"/>
  <c r="E32" i="4"/>
  <c r="D32" i="4"/>
  <c r="E282" i="4"/>
  <c r="D282" i="4"/>
  <c r="D63" i="4"/>
  <c r="E63" i="4"/>
  <c r="E272" i="4"/>
  <c r="D272" i="4"/>
  <c r="B133" i="4"/>
  <c r="B243" i="4"/>
  <c r="B293" i="4"/>
  <c r="B314" i="4"/>
  <c r="B213" i="4"/>
  <c r="B183" i="4"/>
  <c r="B203" i="4"/>
  <c r="B104" i="4"/>
  <c r="B224" i="4"/>
  <c r="B305" i="4"/>
  <c r="B253" i="4"/>
  <c r="B33" i="4"/>
  <c r="B93" i="4"/>
  <c r="B173" i="4"/>
  <c r="B163" i="4"/>
  <c r="B64" i="4"/>
  <c r="B43" i="4"/>
  <c r="B114" i="4"/>
  <c r="B283" i="4"/>
  <c r="B125" i="4"/>
  <c r="B74" i="4"/>
  <c r="B273" i="4"/>
  <c r="B14" i="4"/>
  <c r="B263" i="4"/>
  <c r="B324" i="4"/>
  <c r="B24" i="4"/>
  <c r="B143" i="4"/>
  <c r="B234" i="4"/>
  <c r="E324" i="4" l="1"/>
  <c r="D324" i="4"/>
  <c r="E305" i="4"/>
  <c r="D305" i="4"/>
  <c r="E224" i="4"/>
  <c r="D224" i="4"/>
  <c r="E273" i="4"/>
  <c r="D273" i="4"/>
  <c r="E253" i="4"/>
  <c r="D253" i="4"/>
  <c r="D14" i="4"/>
  <c r="E14" i="4"/>
  <c r="E203" i="4"/>
  <c r="D203" i="4"/>
  <c r="E74" i="4"/>
  <c r="D74" i="4"/>
  <c r="E153" i="4"/>
  <c r="D153" i="4"/>
  <c r="B154" i="4"/>
  <c r="E33" i="4"/>
  <c r="D33" i="4"/>
  <c r="D104" i="4"/>
  <c r="E104" i="4"/>
  <c r="D183" i="4"/>
  <c r="E183" i="4"/>
  <c r="E125" i="4"/>
  <c r="D125" i="4"/>
  <c r="E213" i="4"/>
  <c r="D213" i="4"/>
  <c r="E234" i="4"/>
  <c r="D234" i="4"/>
  <c r="E173" i="4"/>
  <c r="D173" i="4"/>
  <c r="E243" i="4"/>
  <c r="D243" i="4"/>
  <c r="E193" i="4"/>
  <c r="D193" i="4"/>
  <c r="B194" i="4"/>
  <c r="E83" i="4"/>
  <c r="D83" i="4"/>
  <c r="B84" i="4"/>
  <c r="D263" i="4"/>
  <c r="E263" i="4"/>
  <c r="D64" i="4"/>
  <c r="E64" i="4"/>
  <c r="E163" i="4"/>
  <c r="D163" i="4"/>
  <c r="D143" i="4"/>
  <c r="E143" i="4"/>
  <c r="E93" i="4"/>
  <c r="D93" i="4"/>
  <c r="E283" i="4"/>
  <c r="D283" i="4"/>
  <c r="E114" i="4"/>
  <c r="D114" i="4"/>
  <c r="E43" i="4"/>
  <c r="D43" i="4"/>
  <c r="E314" i="4"/>
  <c r="D314" i="4"/>
  <c r="E293" i="4"/>
  <c r="D293" i="4"/>
  <c r="E24" i="4"/>
  <c r="D24" i="4"/>
  <c r="E133" i="4"/>
  <c r="D133" i="4"/>
  <c r="B134" i="4"/>
  <c r="B294" i="4"/>
  <c r="B244" i="4"/>
  <c r="B315" i="4"/>
  <c r="B34" i="4"/>
  <c r="B105" i="4"/>
  <c r="B25" i="4"/>
  <c r="B264" i="4"/>
  <c r="B75" i="4"/>
  <c r="B126" i="4"/>
  <c r="B115" i="4"/>
  <c r="B164" i="4"/>
  <c r="B204" i="4"/>
  <c r="B214" i="4"/>
  <c r="B325" i="4"/>
  <c r="B284" i="4"/>
  <c r="B235" i="4"/>
  <c r="B274" i="4"/>
  <c r="B44" i="4"/>
  <c r="B94" i="4"/>
  <c r="B306" i="4"/>
  <c r="B184" i="4"/>
  <c r="B144" i="4"/>
  <c r="B15" i="4"/>
  <c r="B65" i="4"/>
  <c r="B174" i="4"/>
  <c r="B225" i="4"/>
  <c r="B254" i="4"/>
  <c r="D254" i="4" l="1"/>
  <c r="E254" i="4"/>
  <c r="E294" i="4"/>
  <c r="D294" i="4"/>
  <c r="E204" i="4"/>
  <c r="D204" i="4"/>
  <c r="E194" i="4"/>
  <c r="D194" i="4"/>
  <c r="B195" i="4"/>
  <c r="E174" i="4"/>
  <c r="D174" i="4"/>
  <c r="E325" i="4"/>
  <c r="D325" i="4"/>
  <c r="E134" i="4"/>
  <c r="D134" i="4"/>
  <c r="E65" i="4"/>
  <c r="D65" i="4"/>
  <c r="B85" i="4"/>
  <c r="E84" i="4"/>
  <c r="D84" i="4"/>
  <c r="E75" i="4"/>
  <c r="D75" i="4"/>
  <c r="E25" i="4"/>
  <c r="D25" i="4"/>
  <c r="E15" i="4"/>
  <c r="D15" i="4"/>
  <c r="D126" i="4"/>
  <c r="E126" i="4"/>
  <c r="E306" i="4"/>
  <c r="D306" i="4"/>
  <c r="E34" i="4"/>
  <c r="D34" i="4"/>
  <c r="E284" i="4"/>
  <c r="D284" i="4"/>
  <c r="E164" i="4"/>
  <c r="D164" i="4"/>
  <c r="E115" i="4"/>
  <c r="D115" i="4"/>
  <c r="D144" i="4"/>
  <c r="E144" i="4"/>
  <c r="E105" i="4"/>
  <c r="D105" i="4"/>
  <c r="D94" i="4"/>
  <c r="E94" i="4"/>
  <c r="E44" i="4"/>
  <c r="D44" i="4"/>
  <c r="E154" i="4"/>
  <c r="D154" i="4"/>
  <c r="B155" i="4"/>
  <c r="E225" i="4"/>
  <c r="D225" i="4"/>
  <c r="D214" i="4"/>
  <c r="E214" i="4"/>
  <c r="E184" i="4"/>
  <c r="D184" i="4"/>
  <c r="E264" i="4"/>
  <c r="D264" i="4"/>
  <c r="E274" i="4"/>
  <c r="D274" i="4"/>
  <c r="E315" i="4"/>
  <c r="D315" i="4"/>
  <c r="E235" i="4"/>
  <c r="D235" i="4"/>
  <c r="E244" i="4"/>
  <c r="D244" i="4"/>
  <c r="B135" i="4"/>
  <c r="B245" i="4"/>
  <c r="B316" i="4"/>
  <c r="B295" i="4"/>
  <c r="B95" i="4"/>
  <c r="B255" i="4"/>
  <c r="B175" i="4"/>
  <c r="B16" i="4"/>
  <c r="B116" i="4"/>
  <c r="B106" i="4"/>
  <c r="B35" i="4"/>
  <c r="B265" i="4"/>
  <c r="B226" i="4"/>
  <c r="B185" i="4"/>
  <c r="B275" i="4"/>
  <c r="B285" i="4"/>
  <c r="B326" i="4"/>
  <c r="B327" i="4" s="1"/>
  <c r="B66" i="4"/>
  <c r="B45" i="4"/>
  <c r="B236" i="4"/>
  <c r="B215" i="4"/>
  <c r="B165" i="4"/>
  <c r="B26" i="4"/>
  <c r="B205" i="4"/>
  <c r="B76" i="4"/>
  <c r="B145" i="4"/>
  <c r="D327" i="4" l="1"/>
  <c r="E327" i="4"/>
  <c r="B328" i="4"/>
  <c r="E275" i="4"/>
  <c r="D275" i="4"/>
  <c r="D135" i="4"/>
  <c r="E135" i="4"/>
  <c r="E185" i="4"/>
  <c r="D185" i="4"/>
  <c r="E245" i="4"/>
  <c r="D245" i="4"/>
  <c r="E226" i="4"/>
  <c r="D226" i="4"/>
  <c r="E265" i="4"/>
  <c r="D265" i="4"/>
  <c r="E145" i="4"/>
  <c r="D145" i="4"/>
  <c r="E26" i="4"/>
  <c r="D26" i="4"/>
  <c r="E195" i="4"/>
  <c r="D195" i="4"/>
  <c r="B196" i="4"/>
  <c r="E35" i="4"/>
  <c r="D35" i="4"/>
  <c r="E16" i="4"/>
  <c r="D16" i="4"/>
  <c r="E165" i="4"/>
  <c r="D165" i="4"/>
  <c r="D215" i="4"/>
  <c r="E215" i="4"/>
  <c r="D175" i="4"/>
  <c r="E175" i="4"/>
  <c r="E236" i="4"/>
  <c r="D236" i="4"/>
  <c r="E255" i="4"/>
  <c r="D255" i="4"/>
  <c r="D45" i="4"/>
  <c r="E45" i="4"/>
  <c r="D95" i="4"/>
  <c r="E95" i="4"/>
  <c r="E85" i="4"/>
  <c r="D85" i="4"/>
  <c r="B86" i="4"/>
  <c r="E76" i="4"/>
  <c r="D76" i="4"/>
  <c r="E205" i="4"/>
  <c r="D205" i="4"/>
  <c r="E66" i="4"/>
  <c r="D66" i="4"/>
  <c r="E316" i="4"/>
  <c r="D316" i="4"/>
  <c r="E155" i="4"/>
  <c r="D155" i="4"/>
  <c r="B156" i="4"/>
  <c r="E106" i="4"/>
  <c r="D106" i="4"/>
  <c r="E116" i="4"/>
  <c r="D116" i="4"/>
  <c r="E295" i="4"/>
  <c r="D295" i="4"/>
  <c r="E326" i="4"/>
  <c r="D326" i="4"/>
  <c r="E285" i="4"/>
  <c r="D285" i="4"/>
  <c r="B136" i="4"/>
  <c r="B296" i="4"/>
  <c r="B246" i="4"/>
  <c r="B256" i="4"/>
  <c r="B276" i="4"/>
  <c r="B206" i="4"/>
  <c r="B216" i="4"/>
  <c r="B176" i="4"/>
  <c r="B36" i="4"/>
  <c r="B266" i="4"/>
  <c r="B146" i="4"/>
  <c r="B286" i="4"/>
  <c r="B166" i="4"/>
  <c r="B186" i="4"/>
  <c r="B96" i="4"/>
  <c r="E328" i="4" l="1"/>
  <c r="D328" i="4"/>
  <c r="E216" i="4"/>
  <c r="D216" i="4"/>
  <c r="E156" i="4"/>
  <c r="D156" i="4"/>
  <c r="E206" i="4"/>
  <c r="D206" i="4"/>
  <c r="E296" i="4"/>
  <c r="D296" i="4"/>
  <c r="E276" i="4"/>
  <c r="D276" i="4"/>
  <c r="E86" i="4"/>
  <c r="D86" i="4"/>
  <c r="E136" i="4"/>
  <c r="D136" i="4"/>
  <c r="E186" i="4"/>
  <c r="D186" i="4"/>
  <c r="E246" i="4"/>
  <c r="D246" i="4"/>
  <c r="D166" i="4"/>
  <c r="E166" i="4"/>
  <c r="E286" i="4"/>
  <c r="D286" i="4"/>
  <c r="E196" i="4"/>
  <c r="D196" i="4"/>
  <c r="E256" i="4"/>
  <c r="D256" i="4"/>
  <c r="D96" i="4"/>
  <c r="E96" i="4"/>
  <c r="E146" i="4"/>
  <c r="D146" i="4"/>
  <c r="E266" i="4"/>
  <c r="D266" i="4"/>
  <c r="E36" i="4"/>
  <c r="D36" i="4"/>
  <c r="E176" i="4"/>
  <c r="D176" i="4"/>
  <c r="AJ208" i="5"/>
  <c r="G49" i="8"/>
  <c r="AJ158" i="5"/>
  <c r="AJ108" i="5"/>
  <c r="AJ58" i="5"/>
  <c r="AJ8" i="5"/>
  <c r="G39" i="8" l="1"/>
  <c r="E3" i="5"/>
  <c r="G29" i="8" l="1"/>
  <c r="G19" i="8"/>
  <c r="E2" i="8"/>
  <c r="F2" i="8" l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G9" i="8"/>
  <c r="F3" i="5" l="1"/>
  <c r="G3" i="5" l="1"/>
  <c r="H3" i="5" l="1"/>
  <c r="I3" i="5" l="1"/>
  <c r="J3" i="5" l="1"/>
  <c r="J217" i="5" l="1"/>
  <c r="J218" i="5" s="1"/>
  <c r="J216" i="5"/>
  <c r="J167" i="5"/>
  <c r="J168" i="5" s="1"/>
  <c r="J166" i="5"/>
  <c r="J117" i="5"/>
  <c r="J118" i="5" s="1"/>
  <c r="J116" i="5"/>
  <c r="J66" i="5"/>
  <c r="J67" i="5"/>
  <c r="J68" i="5" s="1"/>
  <c r="J18" i="5"/>
  <c r="J16" i="5"/>
  <c r="K3" i="5"/>
  <c r="K217" i="5" l="1"/>
  <c r="K218" i="5" s="1"/>
  <c r="K216" i="5"/>
  <c r="K166" i="5"/>
  <c r="K117" i="5"/>
  <c r="K118" i="5" s="1"/>
  <c r="K116" i="5"/>
  <c r="K167" i="5"/>
  <c r="K168" i="5" s="1"/>
  <c r="K66" i="5"/>
  <c r="K67" i="5"/>
  <c r="K68" i="5" s="1"/>
  <c r="K18" i="5"/>
  <c r="K16" i="5"/>
  <c r="L3" i="5"/>
  <c r="L167" i="5" l="1"/>
  <c r="L168" i="5" s="1"/>
  <c r="L217" i="5"/>
  <c r="L218" i="5" s="1"/>
  <c r="L216" i="5"/>
  <c r="L116" i="5"/>
  <c r="L166" i="5"/>
  <c r="L117" i="5"/>
  <c r="L118" i="5" s="1"/>
  <c r="L67" i="5"/>
  <c r="L68" i="5" s="1"/>
  <c r="L66" i="5"/>
  <c r="L18" i="5"/>
  <c r="L16" i="5"/>
  <c r="M3" i="5"/>
  <c r="M217" i="5" l="1"/>
  <c r="M218" i="5" s="1"/>
  <c r="M216" i="5"/>
  <c r="M167" i="5"/>
  <c r="M168" i="5" s="1"/>
  <c r="M166" i="5"/>
  <c r="M116" i="5"/>
  <c r="M117" i="5"/>
  <c r="M118" i="5" s="1"/>
  <c r="M67" i="5"/>
  <c r="M68" i="5" s="1"/>
  <c r="M66" i="5"/>
  <c r="M16" i="5"/>
  <c r="M18" i="5"/>
  <c r="N3" i="5"/>
  <c r="N216" i="5" l="1"/>
  <c r="N217" i="5"/>
  <c r="N218" i="5" s="1"/>
  <c r="N167" i="5"/>
  <c r="N168" i="5" s="1"/>
  <c r="N166" i="5"/>
  <c r="N117" i="5"/>
  <c r="N118" i="5" s="1"/>
  <c r="N116" i="5"/>
  <c r="N66" i="5"/>
  <c r="N67" i="5"/>
  <c r="N68" i="5" s="1"/>
  <c r="N18" i="5"/>
  <c r="N16" i="5"/>
  <c r="O3" i="5"/>
  <c r="O217" i="5" l="1"/>
  <c r="O218" i="5" s="1"/>
  <c r="O216" i="5"/>
  <c r="O166" i="5"/>
  <c r="O117" i="5"/>
  <c r="O118" i="5" s="1"/>
  <c r="O116" i="5"/>
  <c r="O167" i="5"/>
  <c r="O168" i="5" s="1"/>
  <c r="O66" i="5"/>
  <c r="O67" i="5"/>
  <c r="O68" i="5" s="1"/>
  <c r="O18" i="5"/>
  <c r="O16" i="5"/>
  <c r="P3" i="5"/>
  <c r="P217" i="5" l="1"/>
  <c r="P218" i="5" s="1"/>
  <c r="P216" i="5"/>
  <c r="P116" i="5"/>
  <c r="P167" i="5"/>
  <c r="P168" i="5" s="1"/>
  <c r="P166" i="5"/>
  <c r="P117" i="5"/>
  <c r="P118" i="5" s="1"/>
  <c r="P66" i="5"/>
  <c r="P67" i="5"/>
  <c r="P68" i="5" s="1"/>
  <c r="P16" i="5"/>
  <c r="P18" i="5"/>
  <c r="Q3" i="5"/>
  <c r="Q217" i="5" l="1"/>
  <c r="Q218" i="5" s="1"/>
  <c r="Q216" i="5"/>
  <c r="Q167" i="5"/>
  <c r="Q168" i="5" s="1"/>
  <c r="Q166" i="5"/>
  <c r="Q117" i="5"/>
  <c r="Q118" i="5" s="1"/>
  <c r="Q116" i="5"/>
  <c r="Q67" i="5"/>
  <c r="Q68" i="5" s="1"/>
  <c r="Q66" i="5"/>
  <c r="Q18" i="5"/>
  <c r="Q16" i="5"/>
  <c r="R3" i="5"/>
  <c r="R217" i="5" l="1"/>
  <c r="R218" i="5" s="1"/>
  <c r="R216" i="5"/>
  <c r="R167" i="5"/>
  <c r="R168" i="5" s="1"/>
  <c r="R166" i="5"/>
  <c r="R117" i="5"/>
  <c r="R118" i="5" s="1"/>
  <c r="R116" i="5"/>
  <c r="R66" i="5"/>
  <c r="R67" i="5"/>
  <c r="R68" i="5" s="1"/>
  <c r="R18" i="5"/>
  <c r="R16" i="5"/>
  <c r="S3" i="5"/>
  <c r="S217" i="5" l="1"/>
  <c r="S218" i="5" s="1"/>
  <c r="S216" i="5"/>
  <c r="S166" i="5"/>
  <c r="S117" i="5"/>
  <c r="S118" i="5" s="1"/>
  <c r="S116" i="5"/>
  <c r="S167" i="5"/>
  <c r="S168" i="5" s="1"/>
  <c r="S66" i="5"/>
  <c r="S67" i="5"/>
  <c r="S68" i="5" s="1"/>
  <c r="S18" i="5"/>
  <c r="S16" i="5"/>
  <c r="T3" i="5"/>
  <c r="T217" i="5" l="1"/>
  <c r="T218" i="5" s="1"/>
  <c r="T216" i="5"/>
  <c r="T116" i="5"/>
  <c r="T167" i="5"/>
  <c r="T168" i="5" s="1"/>
  <c r="T166" i="5"/>
  <c r="T117" i="5"/>
  <c r="T118" i="5" s="1"/>
  <c r="T67" i="5"/>
  <c r="T68" i="5" s="1"/>
  <c r="T66" i="5"/>
  <c r="T18" i="5"/>
  <c r="T16" i="5"/>
  <c r="U3" i="5"/>
  <c r="U217" i="5" l="1"/>
  <c r="U218" i="5" s="1"/>
  <c r="U216" i="5"/>
  <c r="U167" i="5"/>
  <c r="U168" i="5" s="1"/>
  <c r="U166" i="5"/>
  <c r="U117" i="5"/>
  <c r="U118" i="5" s="1"/>
  <c r="U116" i="5"/>
  <c r="U67" i="5"/>
  <c r="U68" i="5" s="1"/>
  <c r="U66" i="5"/>
  <c r="U16" i="5"/>
  <c r="U18" i="5"/>
  <c r="V3" i="5"/>
  <c r="V216" i="5" l="1"/>
  <c r="V217" i="5"/>
  <c r="V218" i="5" s="1"/>
  <c r="V167" i="5"/>
  <c r="V168" i="5" s="1"/>
  <c r="V166" i="5"/>
  <c r="V117" i="5"/>
  <c r="V118" i="5" s="1"/>
  <c r="V116" i="5"/>
  <c r="V66" i="5"/>
  <c r="V67" i="5"/>
  <c r="V68" i="5" s="1"/>
  <c r="V18" i="5"/>
  <c r="V16" i="5"/>
  <c r="W3" i="5"/>
  <c r="W216" i="5" l="1"/>
  <c r="W217" i="5"/>
  <c r="W218" i="5" s="1"/>
  <c r="W166" i="5"/>
  <c r="W117" i="5"/>
  <c r="W118" i="5" s="1"/>
  <c r="W116" i="5"/>
  <c r="W167" i="5"/>
  <c r="W168" i="5" s="1"/>
  <c r="W66" i="5"/>
  <c r="W67" i="5"/>
  <c r="W68" i="5" s="1"/>
  <c r="W18" i="5"/>
  <c r="W16" i="5"/>
  <c r="X3" i="5"/>
  <c r="X217" i="5" l="1"/>
  <c r="X218" i="5" s="1"/>
  <c r="X216" i="5"/>
  <c r="X116" i="5"/>
  <c r="X167" i="5"/>
  <c r="X168" i="5" s="1"/>
  <c r="X117" i="5"/>
  <c r="X118" i="5" s="1"/>
  <c r="X166" i="5"/>
  <c r="X67" i="5"/>
  <c r="X68" i="5" s="1"/>
  <c r="X66" i="5"/>
  <c r="X16" i="5"/>
  <c r="X18" i="5"/>
  <c r="Y3" i="5"/>
  <c r="Y217" i="5" l="1"/>
  <c r="Y218" i="5" s="1"/>
  <c r="Y216" i="5"/>
  <c r="Y167" i="5"/>
  <c r="Y168" i="5" s="1"/>
  <c r="Y166" i="5"/>
  <c r="Y117" i="5"/>
  <c r="Y118" i="5" s="1"/>
  <c r="Y116" i="5"/>
  <c r="Y67" i="5"/>
  <c r="Y68" i="5" s="1"/>
  <c r="Y66" i="5"/>
  <c r="Y16" i="5"/>
  <c r="Y18" i="5"/>
  <c r="Z3" i="5"/>
  <c r="Z217" i="5" l="1"/>
  <c r="Z218" i="5" s="1"/>
  <c r="Z216" i="5"/>
  <c r="Z167" i="5"/>
  <c r="Z168" i="5" s="1"/>
  <c r="Z166" i="5"/>
  <c r="Z117" i="5"/>
  <c r="Z118" i="5" s="1"/>
  <c r="Z116" i="5"/>
  <c r="Z66" i="5"/>
  <c r="Z67" i="5"/>
  <c r="Z68" i="5" s="1"/>
  <c r="Z18" i="5"/>
  <c r="Z16" i="5"/>
  <c r="AA3" i="5"/>
  <c r="AA217" i="5" l="1"/>
  <c r="AA218" i="5" s="1"/>
  <c r="AA216" i="5"/>
  <c r="AA166" i="5"/>
  <c r="AA117" i="5"/>
  <c r="AA118" i="5" s="1"/>
  <c r="AA116" i="5"/>
  <c r="AA167" i="5"/>
  <c r="AA168" i="5" s="1"/>
  <c r="AA66" i="5"/>
  <c r="AA67" i="5"/>
  <c r="AA68" i="5" s="1"/>
  <c r="AA18" i="5"/>
  <c r="AA16" i="5"/>
  <c r="AB3" i="5"/>
  <c r="AB217" i="5" l="1"/>
  <c r="AB218" i="5" s="1"/>
  <c r="AB216" i="5"/>
  <c r="AB116" i="5"/>
  <c r="AB167" i="5"/>
  <c r="AB168" i="5" s="1"/>
  <c r="AB166" i="5"/>
  <c r="AB117" i="5"/>
  <c r="AB118" i="5" s="1"/>
  <c r="AB66" i="5"/>
  <c r="AB67" i="5"/>
  <c r="AB68" i="5" s="1"/>
  <c r="AB18" i="5"/>
  <c r="AB16" i="5"/>
  <c r="AC3" i="5"/>
  <c r="AC217" i="5" l="1"/>
  <c r="AC218" i="5" s="1"/>
  <c r="AC216" i="5"/>
  <c r="AC167" i="5"/>
  <c r="AC168" i="5" s="1"/>
  <c r="AC166" i="5"/>
  <c r="AC116" i="5"/>
  <c r="AC117" i="5"/>
  <c r="AC118" i="5" s="1"/>
  <c r="AC67" i="5"/>
  <c r="AC68" i="5" s="1"/>
  <c r="AC66" i="5"/>
  <c r="AC18" i="5"/>
  <c r="AC16" i="5"/>
  <c r="AD3" i="5"/>
  <c r="AD216" i="5" l="1"/>
  <c r="AD217" i="5"/>
  <c r="AD218" i="5" s="1"/>
  <c r="AD167" i="5"/>
  <c r="AD168" i="5" s="1"/>
  <c r="AD166" i="5"/>
  <c r="AD117" i="5"/>
  <c r="AD118" i="5" s="1"/>
  <c r="AD116" i="5"/>
  <c r="AD66" i="5"/>
  <c r="AD67" i="5"/>
  <c r="AD68" i="5" s="1"/>
  <c r="AD18" i="5"/>
  <c r="AD16" i="5"/>
  <c r="AE3" i="5"/>
  <c r="AE217" i="5" l="1"/>
  <c r="AE218" i="5" s="1"/>
  <c r="AE216" i="5"/>
  <c r="AE166" i="5"/>
  <c r="AE117" i="5"/>
  <c r="AE118" i="5" s="1"/>
  <c r="AE116" i="5"/>
  <c r="AE167" i="5"/>
  <c r="AE168" i="5" s="1"/>
  <c r="AE67" i="5"/>
  <c r="AE68" i="5" s="1"/>
  <c r="AE66" i="5"/>
  <c r="AE18" i="5"/>
  <c r="AE16" i="5"/>
  <c r="AF3" i="5"/>
  <c r="AF217" i="5" l="1"/>
  <c r="AF218" i="5" s="1"/>
  <c r="AF216" i="5"/>
  <c r="AF116" i="5"/>
  <c r="AF167" i="5"/>
  <c r="AF168" i="5" s="1"/>
  <c r="AF166" i="5"/>
  <c r="AF117" i="5"/>
  <c r="AF118" i="5" s="1"/>
  <c r="AF67" i="5"/>
  <c r="AF68" i="5" s="1"/>
  <c r="AF66" i="5"/>
  <c r="AF16" i="5"/>
  <c r="AF18" i="5"/>
  <c r="AG3" i="5"/>
  <c r="AG217" i="5" l="1"/>
  <c r="AG218" i="5" s="1"/>
  <c r="AG216" i="5"/>
  <c r="AG167" i="5"/>
  <c r="AG168" i="5" s="1"/>
  <c r="AG166" i="5"/>
  <c r="AG117" i="5"/>
  <c r="AG118" i="5" s="1"/>
  <c r="AG116" i="5"/>
  <c r="AG67" i="5"/>
  <c r="AG68" i="5" s="1"/>
  <c r="AG66" i="5"/>
  <c r="AG16" i="5"/>
  <c r="AG18" i="5"/>
  <c r="AH3" i="5"/>
  <c r="AH217" i="5" l="1"/>
  <c r="AH218" i="5" s="1"/>
  <c r="AH216" i="5"/>
  <c r="AH167" i="5"/>
  <c r="AH168" i="5" s="1"/>
  <c r="AH166" i="5"/>
  <c r="AH117" i="5"/>
  <c r="AH118" i="5" s="1"/>
  <c r="AH116" i="5"/>
  <c r="AH66" i="5"/>
  <c r="AH67" i="5"/>
  <c r="AH68" i="5" s="1"/>
  <c r="AH18" i="5"/>
  <c r="AH16" i="5"/>
  <c r="M10" i="8" l="1"/>
  <c r="F6" i="5" l="1"/>
  <c r="Y25" i="8"/>
  <c r="H45" i="8"/>
  <c r="E56" i="5"/>
  <c r="E74" i="5" s="1"/>
  <c r="N156" i="5"/>
  <c r="AG156" i="5"/>
  <c r="G15" i="8"/>
  <c r="Z16" i="8"/>
  <c r="S106" i="5"/>
  <c r="G5" i="8"/>
  <c r="H35" i="8"/>
  <c r="U5" i="8"/>
  <c r="AD46" i="8"/>
  <c r="J106" i="5"/>
  <c r="S206" i="5"/>
  <c r="AE46" i="8"/>
  <c r="M5" i="8"/>
  <c r="AF15" i="8"/>
  <c r="Z46" i="8"/>
  <c r="Q26" i="8"/>
  <c r="F36" i="8"/>
  <c r="O46" i="8"/>
  <c r="AC5" i="8"/>
  <c r="S46" i="8"/>
  <c r="X26" i="8"/>
  <c r="F16" i="8"/>
  <c r="T156" i="5"/>
  <c r="L36" i="8"/>
  <c r="K40" i="8" s="1"/>
  <c r="AF106" i="5"/>
  <c r="AA45" i="8"/>
  <c r="N106" i="5"/>
  <c r="X25" i="8"/>
  <c r="U36" i="8"/>
  <c r="AG15" i="8"/>
  <c r="Z56" i="5"/>
  <c r="J26" i="8"/>
  <c r="S45" i="8"/>
  <c r="Y6" i="5"/>
  <c r="M46" i="8"/>
  <c r="L50" i="8" s="1"/>
  <c r="AC25" i="8"/>
  <c r="E26" i="8"/>
  <c r="I15" i="8"/>
  <c r="H46" i="8"/>
  <c r="S15" i="8"/>
  <c r="N25" i="8"/>
  <c r="AG46" i="8"/>
  <c r="J36" i="8"/>
  <c r="AD25" i="8"/>
  <c r="AA25" i="8"/>
  <c r="Y106" i="5"/>
  <c r="P25" i="8"/>
  <c r="O206" i="5"/>
  <c r="X15" i="8"/>
  <c r="J56" i="5"/>
  <c r="AB26" i="8"/>
  <c r="J35" i="8"/>
  <c r="S16" i="8"/>
  <c r="AB25" i="8"/>
  <c r="T46" i="8"/>
  <c r="Y26" i="8"/>
  <c r="AD106" i="5"/>
  <c r="L16" i="8"/>
  <c r="K20" i="8" s="1"/>
  <c r="S156" i="5"/>
  <c r="AC156" i="5"/>
  <c r="AF156" i="5"/>
  <c r="U25" i="8"/>
  <c r="X156" i="5"/>
  <c r="AC26" i="8"/>
  <c r="AF35" i="8"/>
  <c r="P106" i="5"/>
  <c r="R26" i="8"/>
  <c r="Z6" i="5"/>
  <c r="Q36" i="8"/>
  <c r="K25" i="8"/>
  <c r="J29" i="8" s="1"/>
  <c r="X45" i="8"/>
  <c r="R25" i="8"/>
  <c r="N16" i="8"/>
  <c r="J156" i="5"/>
  <c r="O56" i="5"/>
  <c r="AH6" i="5"/>
  <c r="V156" i="5"/>
  <c r="J25" i="8"/>
  <c r="T45" i="8"/>
  <c r="P6" i="5"/>
  <c r="F45" i="8"/>
  <c r="AG5" i="8"/>
  <c r="Y56" i="5"/>
  <c r="AH46" i="8"/>
  <c r="G46" i="8"/>
  <c r="AF25" i="8"/>
  <c r="F26" i="8"/>
  <c r="N15" i="8"/>
  <c r="J206" i="5"/>
  <c r="AC46" i="8"/>
  <c r="K15" i="8"/>
  <c r="J19" i="8" s="1"/>
  <c r="R36" i="8"/>
  <c r="K156" i="5"/>
  <c r="W26" i="8"/>
  <c r="G25" i="8"/>
  <c r="L45" i="8"/>
  <c r="K49" i="8" s="1"/>
  <c r="M49" i="8" s="1"/>
  <c r="AB156" i="5"/>
  <c r="T25" i="8"/>
  <c r="AC106" i="5"/>
  <c r="X36" i="8"/>
  <c r="P15" i="8"/>
  <c r="AE6" i="5"/>
  <c r="H5" i="8"/>
  <c r="S5" i="8"/>
  <c r="AD56" i="5"/>
  <c r="U26" i="8"/>
  <c r="AH206" i="5"/>
  <c r="G106" i="5"/>
  <c r="G45" i="8"/>
  <c r="V206" i="5"/>
  <c r="L46" i="8"/>
  <c r="K50" i="8" s="1"/>
  <c r="M15" i="8"/>
  <c r="L19" i="8" s="1"/>
  <c r="W36" i="8"/>
  <c r="X16" i="8"/>
  <c r="AA5" i="8"/>
  <c r="O15" i="8"/>
  <c r="S35" i="8"/>
  <c r="Z25" i="8"/>
  <c r="Y16" i="8"/>
  <c r="Z106" i="5"/>
  <c r="Q15" i="8"/>
  <c r="AF45" i="8"/>
  <c r="X206" i="5"/>
  <c r="R16" i="8"/>
  <c r="P206" i="5"/>
  <c r="V56" i="5"/>
  <c r="G26" i="8"/>
  <c r="AC35" i="8"/>
  <c r="I5" i="8"/>
  <c r="AA106" i="5"/>
  <c r="W45" i="8"/>
  <c r="G6" i="5"/>
  <c r="AG206" i="5"/>
  <c r="N6" i="5"/>
  <c r="AB206" i="5"/>
  <c r="AH156" i="5"/>
  <c r="E45" i="8"/>
  <c r="AH36" i="8"/>
  <c r="AG6" i="5"/>
  <c r="T35" i="8"/>
  <c r="W5" i="8"/>
  <c r="J45" i="8"/>
  <c r="E107" i="5"/>
  <c r="E125" i="5" s="1"/>
  <c r="N5" i="8"/>
  <c r="H206" i="5"/>
  <c r="G36" i="8"/>
  <c r="AE26" i="8"/>
  <c r="U56" i="5"/>
  <c r="AA35" i="8"/>
  <c r="K56" i="5"/>
  <c r="AD5" i="8"/>
  <c r="I35" i="8"/>
  <c r="J46" i="8"/>
  <c r="S25" i="8"/>
  <c r="N26" i="8"/>
  <c r="T5" i="8"/>
  <c r="AG25" i="8"/>
  <c r="Z206" i="5"/>
  <c r="L56" i="5"/>
  <c r="AH35" i="8"/>
  <c r="J16" i="8"/>
  <c r="G56" i="5"/>
  <c r="AB36" i="8"/>
  <c r="K16" i="8"/>
  <c r="J20" i="8" s="1"/>
  <c r="W106" i="5"/>
  <c r="W206" i="5"/>
  <c r="AB5" i="8"/>
  <c r="G206" i="5"/>
  <c r="K6" i="5"/>
  <c r="V5" i="8"/>
  <c r="U35" i="8"/>
  <c r="AE45" i="8"/>
  <c r="O36" i="8"/>
  <c r="O16" i="8"/>
  <c r="J15" i="8"/>
  <c r="K46" i="8"/>
  <c r="J50" i="8" s="1"/>
  <c r="J5" i="8"/>
  <c r="O5" i="8"/>
  <c r="AD26" i="8"/>
  <c r="F5" i="8"/>
  <c r="M25" i="8"/>
  <c r="L29" i="8" s="1"/>
  <c r="O106" i="5"/>
  <c r="F25" i="8"/>
  <c r="M35" i="8"/>
  <c r="L39" i="8" s="1"/>
  <c r="W6" i="5"/>
  <c r="M106" i="5"/>
  <c r="Y15" i="8"/>
  <c r="AD45" i="8"/>
  <c r="Q6" i="5"/>
  <c r="Q106" i="5"/>
  <c r="E15" i="8"/>
  <c r="H16" i="8"/>
  <c r="AA6" i="5"/>
  <c r="Y45" i="8"/>
  <c r="W46" i="8"/>
  <c r="X35" i="8"/>
  <c r="M16" i="8"/>
  <c r="L20" i="8" s="1"/>
  <c r="AH25" i="8"/>
  <c r="AA206" i="5"/>
  <c r="R6" i="5"/>
  <c r="AE36" i="8"/>
  <c r="AF26" i="8"/>
  <c r="Z45" i="8"/>
  <c r="F56" i="5"/>
  <c r="K5" i="8"/>
  <c r="J9" i="8" s="1"/>
  <c r="P46" i="8"/>
  <c r="H106" i="5"/>
  <c r="AD6" i="5"/>
  <c r="O156" i="5"/>
  <c r="AB15" i="8"/>
  <c r="P36" i="8"/>
  <c r="M156" i="5"/>
  <c r="E35" i="8"/>
  <c r="I46" i="8"/>
  <c r="AA16" i="8"/>
  <c r="L5" i="8"/>
  <c r="I16" i="8"/>
  <c r="Q56" i="5"/>
  <c r="AF6" i="5"/>
  <c r="N45" i="8"/>
  <c r="AE16" i="8"/>
  <c r="L35" i="8"/>
  <c r="K39" i="8" s="1"/>
  <c r="M39" i="8" s="1"/>
  <c r="O26" i="8"/>
  <c r="T15" i="8"/>
  <c r="AC16" i="8"/>
  <c r="AE206" i="5"/>
  <c r="O25" i="8"/>
  <c r="AD156" i="5"/>
  <c r="L25" i="8"/>
  <c r="K29" i="8" s="1"/>
  <c r="M29" i="8" s="1"/>
  <c r="P45" i="8"/>
  <c r="L106" i="5"/>
  <c r="U15" i="8"/>
  <c r="O35" i="8"/>
  <c r="E207" i="5"/>
  <c r="E225" i="5" s="1"/>
  <c r="Y206" i="5"/>
  <c r="W56" i="5"/>
  <c r="Q45" i="8"/>
  <c r="AB56" i="5"/>
  <c r="V106" i="5"/>
  <c r="N56" i="5"/>
  <c r="AH45" i="8"/>
  <c r="U156" i="5"/>
  <c r="O6" i="5"/>
  <c r="AH106" i="5"/>
  <c r="Q5" i="8"/>
  <c r="AE15" i="8"/>
  <c r="E5" i="8"/>
  <c r="E6" i="8" s="1"/>
  <c r="AF56" i="5"/>
  <c r="W35" i="8"/>
  <c r="I45" i="8"/>
  <c r="H15" i="8"/>
  <c r="AG56" i="5"/>
  <c r="I106" i="5"/>
  <c r="R45" i="8"/>
  <c r="L26" i="8"/>
  <c r="K30" i="8" s="1"/>
  <c r="AE25" i="8"/>
  <c r="T206" i="5"/>
  <c r="AF5" i="8"/>
  <c r="AA36" i="8"/>
  <c r="AD15" i="8"/>
  <c r="Q25" i="8"/>
  <c r="P5" i="8"/>
  <c r="H6" i="5"/>
  <c r="H24" i="5" s="1"/>
  <c r="Y35" i="8"/>
  <c r="G156" i="5"/>
  <c r="R5" i="8"/>
  <c r="W16" i="8"/>
  <c r="I36" i="8"/>
  <c r="H56" i="5"/>
  <c r="V36" i="8"/>
  <c r="AG26" i="8"/>
  <c r="Q35" i="8"/>
  <c r="AA56" i="5"/>
  <c r="X106" i="5"/>
  <c r="M6" i="5"/>
  <c r="Y5" i="8"/>
  <c r="AA156" i="5"/>
  <c r="AC206" i="5"/>
  <c r="M56" i="5"/>
  <c r="O45" i="8"/>
  <c r="AC36" i="8"/>
  <c r="AB35" i="8"/>
  <c r="E7" i="5"/>
  <c r="E25" i="5" s="1"/>
  <c r="U6" i="5"/>
  <c r="W15" i="8"/>
  <c r="AB46" i="8"/>
  <c r="V15" i="8"/>
  <c r="V35" i="8"/>
  <c r="AA26" i="8"/>
  <c r="E6" i="5"/>
  <c r="E24" i="5" s="1"/>
  <c r="X5" i="8"/>
  <c r="P26" i="8"/>
  <c r="AF36" i="8"/>
  <c r="P35" i="8"/>
  <c r="AG36" i="8"/>
  <c r="G16" i="8"/>
  <c r="Q156" i="5"/>
  <c r="AH26" i="8"/>
  <c r="E156" i="5"/>
  <c r="E174" i="5" s="1"/>
  <c r="F106" i="5"/>
  <c r="Z36" i="8"/>
  <c r="F156" i="5"/>
  <c r="W25" i="8"/>
  <c r="K35" i="8"/>
  <c r="J39" i="8" s="1"/>
  <c r="F206" i="5"/>
  <c r="AC56" i="5"/>
  <c r="W156" i="5"/>
  <c r="Q206" i="5"/>
  <c r="I56" i="5"/>
  <c r="K26" i="8"/>
  <c r="J30" i="8" s="1"/>
  <c r="AC15" i="8"/>
  <c r="AE35" i="8"/>
  <c r="F35" i="8"/>
  <c r="E206" i="5"/>
  <c r="E224" i="5" s="1"/>
  <c r="AC6" i="5"/>
  <c r="Z5" i="8"/>
  <c r="U16" i="8"/>
  <c r="F15" i="8"/>
  <c r="V45" i="8"/>
  <c r="K106" i="5"/>
  <c r="I25" i="8"/>
  <c r="M26" i="8"/>
  <c r="L30" i="8" s="1"/>
  <c r="K206" i="5"/>
  <c r="K224" i="5" s="1"/>
  <c r="AC45" i="8"/>
  <c r="P156" i="5"/>
  <c r="E157" i="5"/>
  <c r="E175" i="5" s="1"/>
  <c r="T106" i="5"/>
  <c r="U106" i="5"/>
  <c r="R156" i="5"/>
  <c r="U45" i="8"/>
  <c r="Y156" i="5"/>
  <c r="S56" i="5"/>
  <c r="H156" i="5"/>
  <c r="V6" i="5"/>
  <c r="M45" i="8"/>
  <c r="L49" i="8" s="1"/>
  <c r="X46" i="8"/>
  <c r="Q16" i="8"/>
  <c r="E106" i="5"/>
  <c r="E124" i="5" s="1"/>
  <c r="K45" i="8"/>
  <c r="J49" i="8" s="1"/>
  <c r="N206" i="5"/>
  <c r="X6" i="5"/>
  <c r="N35" i="8"/>
  <c r="AE156" i="5"/>
  <c r="Z15" i="8"/>
  <c r="I206" i="5"/>
  <c r="AG106" i="5"/>
  <c r="L156" i="5"/>
  <c r="R106" i="5"/>
  <c r="T36" i="8"/>
  <c r="S6" i="5"/>
  <c r="AG45" i="8"/>
  <c r="Z156" i="5"/>
  <c r="AA46" i="8"/>
  <c r="Y46" i="8"/>
  <c r="J6" i="5"/>
  <c r="AB106" i="5"/>
  <c r="AH5" i="8"/>
  <c r="AE106" i="5"/>
  <c r="L206" i="5"/>
  <c r="AF46" i="8"/>
  <c r="AE56" i="5"/>
  <c r="P56" i="5"/>
  <c r="Y36" i="8"/>
  <c r="I156" i="5"/>
  <c r="Z26" i="8"/>
  <c r="L6" i="5"/>
  <c r="K36" i="8"/>
  <c r="J40" i="8" s="1"/>
  <c r="V26" i="8"/>
  <c r="AB16" i="8"/>
  <c r="P16" i="8"/>
  <c r="M206" i="5"/>
  <c r="E16" i="8"/>
  <c r="F46" i="8"/>
  <c r="E36" i="8"/>
  <c r="H36" i="8"/>
  <c r="AE5" i="8"/>
  <c r="N46" i="8"/>
  <c r="S26" i="8"/>
  <c r="E25" i="8"/>
  <c r="U46" i="8"/>
  <c r="AF16" i="8"/>
  <c r="G35" i="8"/>
  <c r="I26" i="8"/>
  <c r="I6" i="5"/>
  <c r="T16" i="8"/>
  <c r="V46" i="8"/>
  <c r="AF206" i="5"/>
  <c r="AB6" i="5"/>
  <c r="AH56" i="5"/>
  <c r="AD16" i="8"/>
  <c r="AG35" i="8"/>
  <c r="R56" i="5"/>
  <c r="AD206" i="5"/>
  <c r="AG16" i="8"/>
  <c r="T56" i="5"/>
  <c r="V16" i="8"/>
  <c r="T26" i="8"/>
  <c r="X56" i="5"/>
  <c r="L15" i="8"/>
  <c r="K19" i="8" s="1"/>
  <c r="M19" i="8" s="1"/>
  <c r="N36" i="8"/>
  <c r="R206" i="5"/>
  <c r="R35" i="8"/>
  <c r="S36" i="8"/>
  <c r="AD35" i="8"/>
  <c r="R46" i="8"/>
  <c r="AB45" i="8"/>
  <c r="AA15" i="8"/>
  <c r="Q46" i="8"/>
  <c r="M36" i="8"/>
  <c r="L40" i="8" s="1"/>
  <c r="E46" i="8"/>
  <c r="AH16" i="8"/>
  <c r="AD36" i="8"/>
  <c r="U206" i="5"/>
  <c r="H25" i="8"/>
  <c r="H26" i="8"/>
  <c r="E57" i="5"/>
  <c r="E75" i="5" s="1"/>
  <c r="V25" i="8"/>
  <c r="T6" i="5"/>
  <c r="R15" i="8"/>
  <c r="AH15" i="8"/>
  <c r="Z35" i="8"/>
  <c r="R60" i="5" l="1"/>
  <c r="R74" i="5"/>
  <c r="R71" i="5" s="1"/>
  <c r="R69" i="5"/>
  <c r="AB19" i="5"/>
  <c r="AB24" i="5"/>
  <c r="AB21" i="5" s="1"/>
  <c r="AB10" i="5"/>
  <c r="I24" i="5"/>
  <c r="I174" i="5"/>
  <c r="AB110" i="5"/>
  <c r="AB119" i="5"/>
  <c r="AB124" i="5"/>
  <c r="AB121" i="5" s="1"/>
  <c r="Z174" i="5"/>
  <c r="Z171" i="5" s="1"/>
  <c r="Z169" i="5"/>
  <c r="Z160" i="5"/>
  <c r="R110" i="5"/>
  <c r="R124" i="5"/>
  <c r="R121" i="5" s="1"/>
  <c r="R119" i="5"/>
  <c r="N224" i="5"/>
  <c r="N221" i="5" s="1"/>
  <c r="N219" i="5"/>
  <c r="N210" i="5"/>
  <c r="S74" i="5"/>
  <c r="S71" i="5" s="1"/>
  <c r="S60" i="5"/>
  <c r="S69" i="5"/>
  <c r="U110" i="5"/>
  <c r="U124" i="5"/>
  <c r="U121" i="5" s="1"/>
  <c r="U119" i="5"/>
  <c r="K124" i="5"/>
  <c r="Q219" i="5"/>
  <c r="Q210" i="5"/>
  <c r="Q224" i="5"/>
  <c r="Q221" i="5" s="1"/>
  <c r="F107" i="5"/>
  <c r="F125" i="5" s="1"/>
  <c r="F124" i="5"/>
  <c r="U24" i="5"/>
  <c r="U21" i="5" s="1"/>
  <c r="U19" i="5"/>
  <c r="U10" i="5"/>
  <c r="AG74" i="5"/>
  <c r="AG71" i="5" s="1"/>
  <c r="AG69" i="5"/>
  <c r="AG60" i="5"/>
  <c r="AF69" i="5"/>
  <c r="AF60" i="5"/>
  <c r="AF74" i="5"/>
  <c r="AF71" i="5" s="1"/>
  <c r="AH119" i="5"/>
  <c r="AH124" i="5"/>
  <c r="AH121" i="5" s="1"/>
  <c r="AH110" i="5"/>
  <c r="N60" i="5"/>
  <c r="N74" i="5"/>
  <c r="N71" i="5" s="1"/>
  <c r="N69" i="5"/>
  <c r="W69" i="5"/>
  <c r="W74" i="5"/>
  <c r="W71" i="5" s="1"/>
  <c r="W60" i="5"/>
  <c r="AD174" i="5"/>
  <c r="AD171" i="5" s="1"/>
  <c r="AD169" i="5"/>
  <c r="AD160" i="5"/>
  <c r="K9" i="8"/>
  <c r="M9" i="8" s="1"/>
  <c r="AJ156" i="5"/>
  <c r="AK158" i="5" s="1"/>
  <c r="M169" i="5"/>
  <c r="M174" i="5"/>
  <c r="M171" i="5" s="1"/>
  <c r="M160" i="5"/>
  <c r="AD24" i="5"/>
  <c r="AD21" i="5" s="1"/>
  <c r="AD19" i="5"/>
  <c r="AD10" i="5"/>
  <c r="F57" i="5"/>
  <c r="F75" i="5" s="1"/>
  <c r="F74" i="5"/>
  <c r="R24" i="5"/>
  <c r="R21" i="5" s="1"/>
  <c r="R19" i="5"/>
  <c r="R10" i="5"/>
  <c r="F6" i="8"/>
  <c r="G6" i="8" s="1"/>
  <c r="H6" i="8" s="1"/>
  <c r="I6" i="8" s="1"/>
  <c r="J6" i="8" s="1"/>
  <c r="K6" i="8" s="1"/>
  <c r="J10" i="8" s="1"/>
  <c r="G224" i="5"/>
  <c r="U60" i="5"/>
  <c r="U69" i="5"/>
  <c r="U74" i="5"/>
  <c r="U71" i="5" s="1"/>
  <c r="AH174" i="5"/>
  <c r="AH171" i="5" s="1"/>
  <c r="AH169" i="5"/>
  <c r="AH160" i="5"/>
  <c r="G24" i="5"/>
  <c r="Z110" i="5"/>
  <c r="Z124" i="5"/>
  <c r="Z121" i="5" s="1"/>
  <c r="Z119" i="5"/>
  <c r="G124" i="5"/>
  <c r="P24" i="5"/>
  <c r="P21" i="5" s="1"/>
  <c r="P19" i="5"/>
  <c r="P10" i="5"/>
  <c r="AH10" i="5"/>
  <c r="AH24" i="5"/>
  <c r="AH21" i="5" s="1"/>
  <c r="AH19" i="5"/>
  <c r="Z24" i="5"/>
  <c r="Z21" i="5" s="1"/>
  <c r="Z10" i="5"/>
  <c r="Z19" i="5"/>
  <c r="AC174" i="5"/>
  <c r="AC171" i="5" s="1"/>
  <c r="AC160" i="5"/>
  <c r="AC169" i="5"/>
  <c r="O210" i="5"/>
  <c r="O219" i="5"/>
  <c r="O224" i="5"/>
  <c r="O221" i="5" s="1"/>
  <c r="N39" i="8"/>
  <c r="M40" i="8"/>
  <c r="T69" i="5"/>
  <c r="T60" i="5"/>
  <c r="T74" i="5"/>
  <c r="T71" i="5" s="1"/>
  <c r="AF210" i="5"/>
  <c r="AF219" i="5"/>
  <c r="AF224" i="5"/>
  <c r="AF221" i="5" s="1"/>
  <c r="M210" i="5"/>
  <c r="M219" i="5"/>
  <c r="M224" i="5"/>
  <c r="M221" i="5" s="1"/>
  <c r="AJ206" i="5"/>
  <c r="AK208" i="5" s="1"/>
  <c r="L210" i="5"/>
  <c r="L211" i="5" s="1"/>
  <c r="L219" i="5"/>
  <c r="L224" i="5"/>
  <c r="L221" i="5" s="1"/>
  <c r="J24" i="5"/>
  <c r="L169" i="5"/>
  <c r="L174" i="5"/>
  <c r="L171" i="5" s="1"/>
  <c r="L160" i="5"/>
  <c r="L161" i="5" s="1"/>
  <c r="AE174" i="5"/>
  <c r="AE171" i="5" s="1"/>
  <c r="AE169" i="5"/>
  <c r="AE160" i="5"/>
  <c r="Y160" i="5"/>
  <c r="Y169" i="5"/>
  <c r="Y174" i="5"/>
  <c r="Y171" i="5" s="1"/>
  <c r="T110" i="5"/>
  <c r="T119" i="5"/>
  <c r="T124" i="5"/>
  <c r="T121" i="5" s="1"/>
  <c r="AC10" i="5"/>
  <c r="AC24" i="5"/>
  <c r="AC21" i="5" s="1"/>
  <c r="AC19" i="5"/>
  <c r="W174" i="5"/>
  <c r="W171" i="5" s="1"/>
  <c r="W160" i="5"/>
  <c r="W169" i="5"/>
  <c r="M60" i="5"/>
  <c r="M74" i="5"/>
  <c r="M71" i="5" s="1"/>
  <c r="AJ56" i="5"/>
  <c r="AK58" i="5" s="1"/>
  <c r="M69" i="5"/>
  <c r="M24" i="5"/>
  <c r="M21" i="5" s="1"/>
  <c r="M19" i="5"/>
  <c r="M10" i="5"/>
  <c r="AJ6" i="5"/>
  <c r="AK8" i="5" s="1"/>
  <c r="M30" i="8"/>
  <c r="N29" i="8"/>
  <c r="O19" i="5"/>
  <c r="O10" i="5"/>
  <c r="O24" i="5"/>
  <c r="O21" i="5" s="1"/>
  <c r="V110" i="5"/>
  <c r="V119" i="5"/>
  <c r="V124" i="5"/>
  <c r="V121" i="5" s="1"/>
  <c r="Y210" i="5"/>
  <c r="Y219" i="5"/>
  <c r="Y224" i="5"/>
  <c r="Y221" i="5" s="1"/>
  <c r="L124" i="5"/>
  <c r="L121" i="5" s="1"/>
  <c r="L119" i="5"/>
  <c r="L110" i="5"/>
  <c r="L111" i="5" s="1"/>
  <c r="AF19" i="5"/>
  <c r="AF10" i="5"/>
  <c r="AF24" i="5"/>
  <c r="AF21" i="5" s="1"/>
  <c r="H124" i="5"/>
  <c r="AA224" i="5"/>
  <c r="AA221" i="5" s="1"/>
  <c r="AA210" i="5"/>
  <c r="AA219" i="5"/>
  <c r="L69" i="5"/>
  <c r="L60" i="5"/>
  <c r="L61" i="5" s="1"/>
  <c r="L74" i="5"/>
  <c r="L71" i="5" s="1"/>
  <c r="AG19" i="5"/>
  <c r="AG10" i="5"/>
  <c r="AG24" i="5"/>
  <c r="AG21" i="5" s="1"/>
  <c r="AB210" i="5"/>
  <c r="AB224" i="5"/>
  <c r="AB221" i="5" s="1"/>
  <c r="AB219" i="5"/>
  <c r="X224" i="5"/>
  <c r="X221" i="5" s="1"/>
  <c r="X219" i="5"/>
  <c r="X210" i="5"/>
  <c r="M50" i="8"/>
  <c r="N49" i="8"/>
  <c r="AH224" i="5"/>
  <c r="AH221" i="5" s="1"/>
  <c r="AH219" i="5"/>
  <c r="AH210" i="5"/>
  <c r="AC110" i="5"/>
  <c r="AC124" i="5"/>
  <c r="AC121" i="5" s="1"/>
  <c r="AC119" i="5"/>
  <c r="Y60" i="5"/>
  <c r="Y74" i="5"/>
  <c r="Y71" i="5" s="1"/>
  <c r="Y69" i="5"/>
  <c r="O74" i="5"/>
  <c r="O71" i="5" s="1"/>
  <c r="O69" i="5"/>
  <c r="O60" i="5"/>
  <c r="X169" i="5"/>
  <c r="X174" i="5"/>
  <c r="X171" i="5" s="1"/>
  <c r="X160" i="5"/>
  <c r="S174" i="5"/>
  <c r="S171" i="5" s="1"/>
  <c r="S160" i="5"/>
  <c r="S169" i="5"/>
  <c r="Z69" i="5"/>
  <c r="Z60" i="5"/>
  <c r="Z74" i="5"/>
  <c r="Z71" i="5" s="1"/>
  <c r="N110" i="5"/>
  <c r="N119" i="5"/>
  <c r="N124" i="5"/>
  <c r="N121" i="5" s="1"/>
  <c r="T174" i="5"/>
  <c r="T171" i="5" s="1"/>
  <c r="T169" i="5"/>
  <c r="T160" i="5"/>
  <c r="S224" i="5"/>
  <c r="S221" i="5" s="1"/>
  <c r="S210" i="5"/>
  <c r="S219" i="5"/>
  <c r="T10" i="5"/>
  <c r="T19" i="5"/>
  <c r="T24" i="5"/>
  <c r="T21" i="5" s="1"/>
  <c r="X74" i="5"/>
  <c r="X71" i="5" s="1"/>
  <c r="X60" i="5"/>
  <c r="X69" i="5"/>
  <c r="L24" i="5"/>
  <c r="L21" i="5" s="1"/>
  <c r="L10" i="5"/>
  <c r="L11" i="5" s="1"/>
  <c r="L19" i="5"/>
  <c r="P74" i="5"/>
  <c r="P71" i="5" s="1"/>
  <c r="P60" i="5"/>
  <c r="P69" i="5"/>
  <c r="AE119" i="5"/>
  <c r="AE110" i="5"/>
  <c r="AE124" i="5"/>
  <c r="AE121" i="5" s="1"/>
  <c r="S10" i="5"/>
  <c r="S19" i="5"/>
  <c r="S24" i="5"/>
  <c r="S21" i="5" s="1"/>
  <c r="AG119" i="5"/>
  <c r="AG110" i="5"/>
  <c r="AG124" i="5"/>
  <c r="AG121" i="5" s="1"/>
  <c r="V10" i="5"/>
  <c r="V19" i="5"/>
  <c r="V24" i="5"/>
  <c r="V21" i="5" s="1"/>
  <c r="AC69" i="5"/>
  <c r="AC74" i="5"/>
  <c r="AC71" i="5" s="1"/>
  <c r="AC60" i="5"/>
  <c r="F174" i="5"/>
  <c r="F157" i="5"/>
  <c r="F175" i="5" s="1"/>
  <c r="AC219" i="5"/>
  <c r="AC210" i="5"/>
  <c r="AC224" i="5"/>
  <c r="AC221" i="5" s="1"/>
  <c r="X110" i="5"/>
  <c r="X119" i="5"/>
  <c r="X124" i="5"/>
  <c r="X121" i="5" s="1"/>
  <c r="U169" i="5"/>
  <c r="U174" i="5"/>
  <c r="U171" i="5" s="1"/>
  <c r="U160" i="5"/>
  <c r="AB60" i="5"/>
  <c r="AB74" i="5"/>
  <c r="AB71" i="5" s="1"/>
  <c r="AB69" i="5"/>
  <c r="AE210" i="5"/>
  <c r="AE224" i="5"/>
  <c r="AE221" i="5" s="1"/>
  <c r="AE219" i="5"/>
  <c r="Q60" i="5"/>
  <c r="Q69" i="5"/>
  <c r="Q74" i="5"/>
  <c r="Q71" i="5" s="1"/>
  <c r="Q124" i="5"/>
  <c r="Q121" i="5" s="1"/>
  <c r="Q110" i="5"/>
  <c r="Q119" i="5"/>
  <c r="M119" i="5"/>
  <c r="M124" i="5"/>
  <c r="M121" i="5" s="1"/>
  <c r="M110" i="5"/>
  <c r="M111" i="5" s="1"/>
  <c r="AJ106" i="5"/>
  <c r="AK108" i="5" s="1"/>
  <c r="O110" i="5"/>
  <c r="O119" i="5"/>
  <c r="O124" i="5"/>
  <c r="O121" i="5" s="1"/>
  <c r="W210" i="5"/>
  <c r="W224" i="5"/>
  <c r="W221" i="5" s="1"/>
  <c r="W219" i="5"/>
  <c r="G74" i="5"/>
  <c r="Z224" i="5"/>
  <c r="Z221" i="5" s="1"/>
  <c r="Z219" i="5"/>
  <c r="Z210" i="5"/>
  <c r="K74" i="5"/>
  <c r="N19" i="5"/>
  <c r="N24" i="5"/>
  <c r="N21" i="5" s="1"/>
  <c r="N10" i="5"/>
  <c r="AA124" i="5"/>
  <c r="AA121" i="5" s="1"/>
  <c r="AA119" i="5"/>
  <c r="AA110" i="5"/>
  <c r="V60" i="5"/>
  <c r="V74" i="5"/>
  <c r="V71" i="5" s="1"/>
  <c r="V69" i="5"/>
  <c r="V210" i="5"/>
  <c r="V224" i="5"/>
  <c r="V221" i="5" s="1"/>
  <c r="V219" i="5"/>
  <c r="AE10" i="5"/>
  <c r="AE24" i="5"/>
  <c r="AE21" i="5" s="1"/>
  <c r="AE19" i="5"/>
  <c r="J174" i="5"/>
  <c r="P119" i="5"/>
  <c r="P124" i="5"/>
  <c r="P121" i="5" s="1"/>
  <c r="P110" i="5"/>
  <c r="M20" i="8"/>
  <c r="N19" i="8"/>
  <c r="J74" i="5"/>
  <c r="Y110" i="5"/>
  <c r="Y119" i="5"/>
  <c r="Y124" i="5"/>
  <c r="Y121" i="5" s="1"/>
  <c r="Y24" i="5"/>
  <c r="Y21" i="5" s="1"/>
  <c r="Y19" i="5"/>
  <c r="Y10" i="5"/>
  <c r="J124" i="5"/>
  <c r="AG169" i="5"/>
  <c r="AG160" i="5"/>
  <c r="AG174" i="5"/>
  <c r="AG171" i="5" s="1"/>
  <c r="U219" i="5"/>
  <c r="U224" i="5"/>
  <c r="U221" i="5" s="1"/>
  <c r="U210" i="5"/>
  <c r="R210" i="5"/>
  <c r="R224" i="5"/>
  <c r="R221" i="5" s="1"/>
  <c r="R219" i="5"/>
  <c r="AD224" i="5"/>
  <c r="AD221" i="5" s="1"/>
  <c r="AD219" i="5"/>
  <c r="AD210" i="5"/>
  <c r="AH74" i="5"/>
  <c r="AH71" i="5" s="1"/>
  <c r="AH69" i="5"/>
  <c r="AH60" i="5"/>
  <c r="AE69" i="5"/>
  <c r="AE60" i="5"/>
  <c r="AE74" i="5"/>
  <c r="AE71" i="5" s="1"/>
  <c r="I224" i="5"/>
  <c r="X10" i="5"/>
  <c r="X24" i="5"/>
  <c r="X21" i="5" s="1"/>
  <c r="X19" i="5"/>
  <c r="H174" i="5"/>
  <c r="R174" i="5"/>
  <c r="R171" i="5" s="1"/>
  <c r="R169" i="5"/>
  <c r="R160" i="5"/>
  <c r="P160" i="5"/>
  <c r="P169" i="5"/>
  <c r="P174" i="5"/>
  <c r="P171" i="5" s="1"/>
  <c r="I74" i="5"/>
  <c r="F224" i="5"/>
  <c r="F207" i="5"/>
  <c r="F225" i="5" s="1"/>
  <c r="Q174" i="5"/>
  <c r="Q171" i="5" s="1"/>
  <c r="Q169" i="5"/>
  <c r="Q160" i="5"/>
  <c r="AA169" i="5"/>
  <c r="AA160" i="5"/>
  <c r="AA174" i="5"/>
  <c r="AA171" i="5" s="1"/>
  <c r="AA60" i="5"/>
  <c r="AA74" i="5"/>
  <c r="AA71" i="5" s="1"/>
  <c r="AA69" i="5"/>
  <c r="H74" i="5"/>
  <c r="G174" i="5"/>
  <c r="T219" i="5"/>
  <c r="T210" i="5"/>
  <c r="T224" i="5"/>
  <c r="T221" i="5" s="1"/>
  <c r="I124" i="5"/>
  <c r="O174" i="5"/>
  <c r="O171" i="5" s="1"/>
  <c r="O169" i="5"/>
  <c r="O160" i="5"/>
  <c r="AA10" i="5"/>
  <c r="AA19" i="5"/>
  <c r="AA24" i="5"/>
  <c r="AA21" i="5" s="1"/>
  <c r="Q10" i="5"/>
  <c r="Q24" i="5"/>
  <c r="Q21" i="5" s="1"/>
  <c r="Q19" i="5"/>
  <c r="W19" i="5"/>
  <c r="W24" i="5"/>
  <c r="W21" i="5" s="1"/>
  <c r="W10" i="5"/>
  <c r="K24" i="5"/>
  <c r="W119" i="5"/>
  <c r="W124" i="5"/>
  <c r="W121" i="5" s="1"/>
  <c r="W110" i="5"/>
  <c r="H224" i="5"/>
  <c r="AG224" i="5"/>
  <c r="AG221" i="5" s="1"/>
  <c r="AG219" i="5"/>
  <c r="AG210" i="5"/>
  <c r="P224" i="5"/>
  <c r="P221" i="5" s="1"/>
  <c r="P219" i="5"/>
  <c r="P210" i="5"/>
  <c r="AD74" i="5"/>
  <c r="AD71" i="5" s="1"/>
  <c r="AD60" i="5"/>
  <c r="AD69" i="5"/>
  <c r="AB174" i="5"/>
  <c r="AB171" i="5" s="1"/>
  <c r="AB169" i="5"/>
  <c r="AB160" i="5"/>
  <c r="K174" i="5"/>
  <c r="J224" i="5"/>
  <c r="V169" i="5"/>
  <c r="V160" i="5"/>
  <c r="V174" i="5"/>
  <c r="V171" i="5" s="1"/>
  <c r="AF160" i="5"/>
  <c r="AF174" i="5"/>
  <c r="AF171" i="5" s="1"/>
  <c r="AF169" i="5"/>
  <c r="AD119" i="5"/>
  <c r="AD110" i="5"/>
  <c r="AD124" i="5"/>
  <c r="AD121" i="5" s="1"/>
  <c r="AF110" i="5"/>
  <c r="AF124" i="5"/>
  <c r="AF121" i="5" s="1"/>
  <c r="AF119" i="5"/>
  <c r="L9" i="8"/>
  <c r="S119" i="5"/>
  <c r="S124" i="5"/>
  <c r="S121" i="5" s="1"/>
  <c r="S110" i="5"/>
  <c r="N174" i="5"/>
  <c r="N171" i="5" s="1"/>
  <c r="N169" i="5"/>
  <c r="N160" i="5"/>
  <c r="F24" i="5"/>
  <c r="F7" i="5"/>
  <c r="F25" i="5" s="1"/>
  <c r="G57" i="5" l="1"/>
  <c r="G107" i="5"/>
  <c r="G125" i="5" s="1"/>
  <c r="M11" i="5"/>
  <c r="N11" i="5" s="1"/>
  <c r="G157" i="5"/>
  <c r="L13" i="5"/>
  <c r="L12" i="5"/>
  <c r="M211" i="5"/>
  <c r="G207" i="5"/>
  <c r="N111" i="5"/>
  <c r="O111" i="5" s="1"/>
  <c r="P111" i="5" s="1"/>
  <c r="M61" i="5"/>
  <c r="N61" i="5" s="1"/>
  <c r="O61" i="5" s="1"/>
  <c r="G7" i="5"/>
  <c r="M112" i="5"/>
  <c r="M113" i="5"/>
  <c r="L62" i="5"/>
  <c r="L63" i="5"/>
  <c r="M161" i="5"/>
  <c r="N161" i="5" s="1"/>
  <c r="L6" i="8"/>
  <c r="L112" i="5"/>
  <c r="L113" i="5"/>
  <c r="L162" i="5"/>
  <c r="L163" i="5"/>
  <c r="L212" i="5"/>
  <c r="L213" i="5"/>
  <c r="M12" i="5" l="1"/>
  <c r="G75" i="5"/>
  <c r="H57" i="5"/>
  <c r="H107" i="5"/>
  <c r="H125" i="5" s="1"/>
  <c r="N12" i="5"/>
  <c r="O11" i="5"/>
  <c r="P11" i="5" s="1"/>
  <c r="Q11" i="5" s="1"/>
  <c r="Q13" i="5" s="1"/>
  <c r="N13" i="5"/>
  <c r="M13" i="5"/>
  <c r="P61" i="5"/>
  <c r="O63" i="5"/>
  <c r="O62" i="5"/>
  <c r="N163" i="5"/>
  <c r="N162" i="5"/>
  <c r="O161" i="5"/>
  <c r="G225" i="5"/>
  <c r="H207" i="5"/>
  <c r="N9" i="8"/>
  <c r="M6" i="8"/>
  <c r="H7" i="5"/>
  <c r="G25" i="5"/>
  <c r="N112" i="5"/>
  <c r="N113" i="5"/>
  <c r="M212" i="5"/>
  <c r="M213" i="5"/>
  <c r="G175" i="5"/>
  <c r="H157" i="5"/>
  <c r="O113" i="5"/>
  <c r="O112" i="5"/>
  <c r="M163" i="5"/>
  <c r="M162" i="5"/>
  <c r="N63" i="5"/>
  <c r="N62" i="5"/>
  <c r="P113" i="5"/>
  <c r="P112" i="5"/>
  <c r="N211" i="5"/>
  <c r="M62" i="5"/>
  <c r="M63" i="5"/>
  <c r="Q111" i="5"/>
  <c r="O13" i="5" l="1"/>
  <c r="I107" i="5"/>
  <c r="P13" i="5"/>
  <c r="O12" i="5"/>
  <c r="Q12" i="5"/>
  <c r="P12" i="5"/>
  <c r="H75" i="5"/>
  <c r="I57" i="5"/>
  <c r="R11" i="5"/>
  <c r="R13" i="5" s="1"/>
  <c r="L10" i="8"/>
  <c r="N6" i="8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I125" i="5"/>
  <c r="J107" i="5"/>
  <c r="H175" i="5"/>
  <c r="I157" i="5"/>
  <c r="H225" i="5"/>
  <c r="I207" i="5"/>
  <c r="O162" i="5"/>
  <c r="O163" i="5"/>
  <c r="P161" i="5"/>
  <c r="Q112" i="5"/>
  <c r="Q113" i="5"/>
  <c r="R111" i="5"/>
  <c r="N213" i="5"/>
  <c r="N212" i="5"/>
  <c r="O211" i="5"/>
  <c r="H25" i="5"/>
  <c r="I7" i="5"/>
  <c r="P63" i="5"/>
  <c r="P62" i="5"/>
  <c r="Q61" i="5"/>
  <c r="R12" i="5" l="1"/>
  <c r="S11" i="5"/>
  <c r="S13" i="5" s="1"/>
  <c r="I75" i="5"/>
  <c r="J57" i="5"/>
  <c r="O212" i="5"/>
  <c r="O213" i="5"/>
  <c r="P211" i="5"/>
  <c r="P163" i="5"/>
  <c r="P162" i="5"/>
  <c r="Q161" i="5"/>
  <c r="I25" i="5"/>
  <c r="J7" i="5"/>
  <c r="Q62" i="5"/>
  <c r="Q63" i="5"/>
  <c r="R61" i="5"/>
  <c r="R113" i="5"/>
  <c r="R112" i="5"/>
  <c r="S111" i="5"/>
  <c r="I175" i="5"/>
  <c r="J157" i="5"/>
  <c r="I225" i="5"/>
  <c r="J207" i="5"/>
  <c r="J125" i="5"/>
  <c r="K107" i="5"/>
  <c r="T11" i="5" l="1"/>
  <c r="S12" i="5"/>
  <c r="J75" i="5"/>
  <c r="K57" i="5"/>
  <c r="J25" i="5"/>
  <c r="K7" i="5"/>
  <c r="J175" i="5"/>
  <c r="K157" i="5"/>
  <c r="K207" i="5"/>
  <c r="J225" i="5"/>
  <c r="R63" i="5"/>
  <c r="R62" i="5"/>
  <c r="S61" i="5"/>
  <c r="P212" i="5"/>
  <c r="P213" i="5"/>
  <c r="Q211" i="5"/>
  <c r="S112" i="5"/>
  <c r="S113" i="5"/>
  <c r="T111" i="5"/>
  <c r="Q162" i="5"/>
  <c r="Q163" i="5"/>
  <c r="R161" i="5"/>
  <c r="K125" i="5"/>
  <c r="L107" i="5"/>
  <c r="T12" i="5"/>
  <c r="T13" i="5"/>
  <c r="U11" i="5"/>
  <c r="L57" i="5" l="1"/>
  <c r="K75" i="5"/>
  <c r="K175" i="5"/>
  <c r="L157" i="5"/>
  <c r="R163" i="5"/>
  <c r="R162" i="5"/>
  <c r="S161" i="5"/>
  <c r="Q212" i="5"/>
  <c r="Q213" i="5"/>
  <c r="R211" i="5"/>
  <c r="L125" i="5"/>
  <c r="L122" i="5" s="1"/>
  <c r="M107" i="5"/>
  <c r="L7" i="5"/>
  <c r="K25" i="5"/>
  <c r="U13" i="5"/>
  <c r="U12" i="5"/>
  <c r="V11" i="5"/>
  <c r="T112" i="5"/>
  <c r="T113" i="5"/>
  <c r="U111" i="5"/>
  <c r="S62" i="5"/>
  <c r="S63" i="5"/>
  <c r="T61" i="5"/>
  <c r="K225" i="5"/>
  <c r="L207" i="5"/>
  <c r="L75" i="5" l="1"/>
  <c r="L72" i="5" s="1"/>
  <c r="M57" i="5"/>
  <c r="R213" i="5"/>
  <c r="R212" i="5"/>
  <c r="S211" i="5"/>
  <c r="T62" i="5"/>
  <c r="T63" i="5"/>
  <c r="U61" i="5"/>
  <c r="U112" i="5"/>
  <c r="U113" i="5"/>
  <c r="V111" i="5"/>
  <c r="M125" i="5"/>
  <c r="M122" i="5" s="1"/>
  <c r="N107" i="5"/>
  <c r="L175" i="5"/>
  <c r="L172" i="5" s="1"/>
  <c r="M157" i="5"/>
  <c r="L225" i="5"/>
  <c r="L222" i="5" s="1"/>
  <c r="M207" i="5"/>
  <c r="V13" i="5"/>
  <c r="V12" i="5"/>
  <c r="W11" i="5"/>
  <c r="L25" i="5"/>
  <c r="L22" i="5" s="1"/>
  <c r="M7" i="5"/>
  <c r="S162" i="5"/>
  <c r="S163" i="5"/>
  <c r="T161" i="5"/>
  <c r="M75" i="5" l="1"/>
  <c r="M72" i="5" s="1"/>
  <c r="N57" i="5"/>
  <c r="M175" i="5"/>
  <c r="M172" i="5" s="1"/>
  <c r="N157" i="5"/>
  <c r="S212" i="5"/>
  <c r="S213" i="5"/>
  <c r="T211" i="5"/>
  <c r="W12" i="5"/>
  <c r="W13" i="5"/>
  <c r="X11" i="5"/>
  <c r="M25" i="5"/>
  <c r="M22" i="5" s="1"/>
  <c r="N7" i="5"/>
  <c r="U63" i="5"/>
  <c r="U62" i="5"/>
  <c r="V61" i="5"/>
  <c r="T163" i="5"/>
  <c r="T162" i="5"/>
  <c r="U161" i="5"/>
  <c r="M225" i="5"/>
  <c r="M222" i="5" s="1"/>
  <c r="N207" i="5"/>
  <c r="N125" i="5"/>
  <c r="N122" i="5" s="1"/>
  <c r="O107" i="5"/>
  <c r="V112" i="5"/>
  <c r="V113" i="5"/>
  <c r="W111" i="5"/>
  <c r="O57" i="5" l="1"/>
  <c r="N75" i="5"/>
  <c r="N72" i="5" s="1"/>
  <c r="N25" i="5"/>
  <c r="N22" i="5" s="1"/>
  <c r="O7" i="5"/>
  <c r="T213" i="5"/>
  <c r="T212" i="5"/>
  <c r="U211" i="5"/>
  <c r="N225" i="5"/>
  <c r="N222" i="5" s="1"/>
  <c r="O207" i="5"/>
  <c r="V63" i="5"/>
  <c r="V62" i="5"/>
  <c r="W61" i="5"/>
  <c r="O125" i="5"/>
  <c r="O122" i="5" s="1"/>
  <c r="P107" i="5"/>
  <c r="U163" i="5"/>
  <c r="U162" i="5"/>
  <c r="V161" i="5"/>
  <c r="X12" i="5"/>
  <c r="X13" i="5"/>
  <c r="Y11" i="5"/>
  <c r="N175" i="5"/>
  <c r="N172" i="5" s="1"/>
  <c r="O157" i="5"/>
  <c r="W113" i="5"/>
  <c r="W112" i="5"/>
  <c r="X111" i="5"/>
  <c r="O75" i="5" l="1"/>
  <c r="O72" i="5" s="1"/>
  <c r="P57" i="5"/>
  <c r="Y13" i="5"/>
  <c r="Y12" i="5"/>
  <c r="Z11" i="5"/>
  <c r="W63" i="5"/>
  <c r="W62" i="5"/>
  <c r="X61" i="5"/>
  <c r="U213" i="5"/>
  <c r="U212" i="5"/>
  <c r="V211" i="5"/>
  <c r="O175" i="5"/>
  <c r="O172" i="5" s="1"/>
  <c r="P157" i="5"/>
  <c r="P125" i="5"/>
  <c r="P122" i="5" s="1"/>
  <c r="Q107" i="5"/>
  <c r="O25" i="5"/>
  <c r="O22" i="5" s="1"/>
  <c r="P7" i="5"/>
  <c r="X113" i="5"/>
  <c r="X112" i="5"/>
  <c r="Y111" i="5"/>
  <c r="V162" i="5"/>
  <c r="V163" i="5"/>
  <c r="W161" i="5"/>
  <c r="O225" i="5"/>
  <c r="O222" i="5" s="1"/>
  <c r="P207" i="5"/>
  <c r="P75" i="5" l="1"/>
  <c r="P72" i="5" s="1"/>
  <c r="Q57" i="5"/>
  <c r="Y112" i="5"/>
  <c r="Y113" i="5"/>
  <c r="Z111" i="5"/>
  <c r="V212" i="5"/>
  <c r="V213" i="5"/>
  <c r="W211" i="5"/>
  <c r="Z13" i="5"/>
  <c r="Z12" i="5"/>
  <c r="AA11" i="5"/>
  <c r="W162" i="5"/>
  <c r="W163" i="5"/>
  <c r="X161" i="5"/>
  <c r="Q125" i="5"/>
  <c r="Q122" i="5" s="1"/>
  <c r="R107" i="5"/>
  <c r="X62" i="5"/>
  <c r="X63" i="5"/>
  <c r="Y61" i="5"/>
  <c r="P225" i="5"/>
  <c r="P222" i="5" s="1"/>
  <c r="Q207" i="5"/>
  <c r="P25" i="5"/>
  <c r="P22" i="5" s="1"/>
  <c r="Q7" i="5"/>
  <c r="P175" i="5"/>
  <c r="P172" i="5" s="1"/>
  <c r="Q157" i="5"/>
  <c r="Q75" i="5" l="1"/>
  <c r="Q72" i="5" s="1"/>
  <c r="R57" i="5"/>
  <c r="R125" i="5"/>
  <c r="R122" i="5" s="1"/>
  <c r="S107" i="5"/>
  <c r="W212" i="5"/>
  <c r="W213" i="5"/>
  <c r="X211" i="5"/>
  <c r="Z113" i="5"/>
  <c r="Z112" i="5"/>
  <c r="AA111" i="5"/>
  <c r="Q25" i="5"/>
  <c r="Q22" i="5" s="1"/>
  <c r="R7" i="5"/>
  <c r="Y63" i="5"/>
  <c r="Y62" i="5"/>
  <c r="Z61" i="5"/>
  <c r="AA12" i="5"/>
  <c r="AA13" i="5"/>
  <c r="AB11" i="5"/>
  <c r="X162" i="5"/>
  <c r="X163" i="5"/>
  <c r="Y161" i="5"/>
  <c r="Q175" i="5"/>
  <c r="Q172" i="5" s="1"/>
  <c r="R157" i="5"/>
  <c r="Q225" i="5"/>
  <c r="Q222" i="5" s="1"/>
  <c r="R207" i="5"/>
  <c r="R75" i="5" l="1"/>
  <c r="R72" i="5" s="1"/>
  <c r="S57" i="5"/>
  <c r="Y163" i="5"/>
  <c r="Y162" i="5"/>
  <c r="Z161" i="5"/>
  <c r="AB13" i="5"/>
  <c r="AB12" i="5"/>
  <c r="AC11" i="5"/>
  <c r="AA113" i="5"/>
  <c r="AA112" i="5"/>
  <c r="AB111" i="5"/>
  <c r="R225" i="5"/>
  <c r="R222" i="5" s="1"/>
  <c r="S207" i="5"/>
  <c r="R25" i="5"/>
  <c r="R22" i="5" s="1"/>
  <c r="S7" i="5"/>
  <c r="S125" i="5"/>
  <c r="S122" i="5" s="1"/>
  <c r="T107" i="5"/>
  <c r="R175" i="5"/>
  <c r="R172" i="5" s="1"/>
  <c r="S157" i="5"/>
  <c r="Z63" i="5"/>
  <c r="Z62" i="5"/>
  <c r="AA61" i="5"/>
  <c r="X212" i="5"/>
  <c r="X213" i="5"/>
  <c r="Y211" i="5"/>
  <c r="S75" i="5" l="1"/>
  <c r="S72" i="5" s="1"/>
  <c r="T57" i="5"/>
  <c r="S175" i="5"/>
  <c r="S172" i="5" s="1"/>
  <c r="T157" i="5"/>
  <c r="Z162" i="5"/>
  <c r="Z163" i="5"/>
  <c r="AA161" i="5"/>
  <c r="S225" i="5"/>
  <c r="S222" i="5" s="1"/>
  <c r="T207" i="5"/>
  <c r="AA62" i="5"/>
  <c r="AA63" i="5"/>
  <c r="AB61" i="5"/>
  <c r="AC12" i="5"/>
  <c r="AC13" i="5"/>
  <c r="AD11" i="5"/>
  <c r="T125" i="5"/>
  <c r="T122" i="5" s="1"/>
  <c r="U107" i="5"/>
  <c r="Y213" i="5"/>
  <c r="Y212" i="5"/>
  <c r="Z211" i="5"/>
  <c r="S25" i="5"/>
  <c r="S22" i="5" s="1"/>
  <c r="T7" i="5"/>
  <c r="AB113" i="5"/>
  <c r="AB112" i="5"/>
  <c r="AC111" i="5"/>
  <c r="T75" i="5" l="1"/>
  <c r="T72" i="5" s="1"/>
  <c r="U57" i="5"/>
  <c r="AC113" i="5"/>
  <c r="AC112" i="5"/>
  <c r="AD111" i="5"/>
  <c r="AD12" i="5"/>
  <c r="AD13" i="5"/>
  <c r="AE11" i="5"/>
  <c r="AA163" i="5"/>
  <c r="AA162" i="5"/>
  <c r="AB161" i="5"/>
  <c r="U125" i="5"/>
  <c r="U122" i="5" s="1"/>
  <c r="V107" i="5"/>
  <c r="T225" i="5"/>
  <c r="T222" i="5" s="1"/>
  <c r="U207" i="5"/>
  <c r="T25" i="5"/>
  <c r="T22" i="5" s="1"/>
  <c r="U7" i="5"/>
  <c r="Z213" i="5"/>
  <c r="Z212" i="5"/>
  <c r="AA211" i="5"/>
  <c r="AB63" i="5"/>
  <c r="AB62" i="5"/>
  <c r="AC61" i="5"/>
  <c r="T175" i="5"/>
  <c r="T172" i="5" s="1"/>
  <c r="U157" i="5"/>
  <c r="U75" i="5" l="1"/>
  <c r="U72" i="5" s="1"/>
  <c r="V57" i="5"/>
  <c r="AC62" i="5"/>
  <c r="AC63" i="5"/>
  <c r="AD61" i="5"/>
  <c r="AD113" i="5"/>
  <c r="AD112" i="5"/>
  <c r="AE111" i="5"/>
  <c r="AA212" i="5"/>
  <c r="AA213" i="5"/>
  <c r="AB211" i="5"/>
  <c r="AE12" i="5"/>
  <c r="AE13" i="5"/>
  <c r="AF11" i="5"/>
  <c r="U225" i="5"/>
  <c r="U222" i="5" s="1"/>
  <c r="V207" i="5"/>
  <c r="U175" i="5"/>
  <c r="U172" i="5" s="1"/>
  <c r="V157" i="5"/>
  <c r="U25" i="5"/>
  <c r="U22" i="5" s="1"/>
  <c r="V7" i="5"/>
  <c r="V125" i="5"/>
  <c r="V122" i="5" s="1"/>
  <c r="W107" i="5"/>
  <c r="AB162" i="5"/>
  <c r="AB163" i="5"/>
  <c r="AC161" i="5"/>
  <c r="W57" i="5" l="1"/>
  <c r="V75" i="5"/>
  <c r="V72" i="5" s="1"/>
  <c r="V225" i="5"/>
  <c r="V222" i="5" s="1"/>
  <c r="W207" i="5"/>
  <c r="AB213" i="5"/>
  <c r="AB212" i="5"/>
  <c r="AC211" i="5"/>
  <c r="AD63" i="5"/>
  <c r="AD62" i="5"/>
  <c r="AE61" i="5"/>
  <c r="V25" i="5"/>
  <c r="V22" i="5" s="1"/>
  <c r="W7" i="5"/>
  <c r="W125" i="5"/>
  <c r="W122" i="5" s="1"/>
  <c r="X107" i="5"/>
  <c r="V175" i="5"/>
  <c r="V172" i="5" s="1"/>
  <c r="W157" i="5"/>
  <c r="AF12" i="5"/>
  <c r="AF13" i="5"/>
  <c r="AG11" i="5"/>
  <c r="AE113" i="5"/>
  <c r="AE112" i="5"/>
  <c r="AF111" i="5"/>
  <c r="AC163" i="5"/>
  <c r="AC162" i="5"/>
  <c r="AD161" i="5"/>
  <c r="W75" i="5" l="1"/>
  <c r="W72" i="5" s="1"/>
  <c r="X57" i="5"/>
  <c r="AF112" i="5"/>
  <c r="AF113" i="5"/>
  <c r="AG111" i="5"/>
  <c r="X125" i="5"/>
  <c r="X122" i="5" s="1"/>
  <c r="Y107" i="5"/>
  <c r="AE63" i="5"/>
  <c r="AE62" i="5"/>
  <c r="AF61" i="5"/>
  <c r="AD163" i="5"/>
  <c r="AD162" i="5"/>
  <c r="AE161" i="5"/>
  <c r="W25" i="5"/>
  <c r="W22" i="5" s="1"/>
  <c r="X7" i="5"/>
  <c r="W225" i="5"/>
  <c r="W222" i="5" s="1"/>
  <c r="X207" i="5"/>
  <c r="W175" i="5"/>
  <c r="W172" i="5" s="1"/>
  <c r="X157" i="5"/>
  <c r="AG13" i="5"/>
  <c r="AG12" i="5"/>
  <c r="AH11" i="5"/>
  <c r="AC213" i="5"/>
  <c r="AC212" i="5"/>
  <c r="AD211" i="5"/>
  <c r="Y57" i="5" l="1"/>
  <c r="X75" i="5"/>
  <c r="X72" i="5" s="1"/>
  <c r="AE163" i="5"/>
  <c r="AE162" i="5"/>
  <c r="AF161" i="5"/>
  <c r="AG112" i="5"/>
  <c r="AG113" i="5"/>
  <c r="AH111" i="5"/>
  <c r="AF62" i="5"/>
  <c r="AF63" i="5"/>
  <c r="AG61" i="5"/>
  <c r="X225" i="5"/>
  <c r="X222" i="5" s="1"/>
  <c r="Y207" i="5"/>
  <c r="AH12" i="5"/>
  <c r="AH13" i="5"/>
  <c r="AD213" i="5"/>
  <c r="AD212" i="5"/>
  <c r="AE211" i="5"/>
  <c r="X175" i="5"/>
  <c r="X172" i="5" s="1"/>
  <c r="Y157" i="5"/>
  <c r="X25" i="5"/>
  <c r="X22" i="5" s="1"/>
  <c r="Y7" i="5"/>
  <c r="Y125" i="5"/>
  <c r="Y122" i="5" s="1"/>
  <c r="Z107" i="5"/>
  <c r="Z57" i="5" l="1"/>
  <c r="Y75" i="5"/>
  <c r="Y72" i="5" s="1"/>
  <c r="Z125" i="5"/>
  <c r="Z122" i="5" s="1"/>
  <c r="AA107" i="5"/>
  <c r="Y175" i="5"/>
  <c r="Y172" i="5" s="1"/>
  <c r="Z157" i="5"/>
  <c r="AF163" i="5"/>
  <c r="AF162" i="5"/>
  <c r="AG161" i="5"/>
  <c r="AE212" i="5"/>
  <c r="AE213" i="5"/>
  <c r="AF211" i="5"/>
  <c r="AH112" i="5"/>
  <c r="AH113" i="5"/>
  <c r="AG63" i="5"/>
  <c r="AG62" i="5"/>
  <c r="AH61" i="5"/>
  <c r="Y25" i="5"/>
  <c r="Y22" i="5" s="1"/>
  <c r="Z7" i="5"/>
  <c r="Y225" i="5"/>
  <c r="Y222" i="5" s="1"/>
  <c r="Z207" i="5"/>
  <c r="Z75" i="5" l="1"/>
  <c r="Z72" i="5" s="1"/>
  <c r="AA57" i="5"/>
  <c r="Z175" i="5"/>
  <c r="Z172" i="5" s="1"/>
  <c r="AA157" i="5"/>
  <c r="AA125" i="5"/>
  <c r="AA122" i="5" s="1"/>
  <c r="AB107" i="5"/>
  <c r="AF212" i="5"/>
  <c r="AF213" i="5"/>
  <c r="AG211" i="5"/>
  <c r="Z25" i="5"/>
  <c r="Z22" i="5" s="1"/>
  <c r="AA7" i="5"/>
  <c r="Z225" i="5"/>
  <c r="Z222" i="5" s="1"/>
  <c r="AA207" i="5"/>
  <c r="AH63" i="5"/>
  <c r="AH62" i="5"/>
  <c r="AG163" i="5"/>
  <c r="AG162" i="5"/>
  <c r="AH161" i="5"/>
  <c r="AA75" i="5" l="1"/>
  <c r="AA72" i="5" s="1"/>
  <c r="AB57" i="5"/>
  <c r="AA25" i="5"/>
  <c r="AA22" i="5" s="1"/>
  <c r="AB7" i="5"/>
  <c r="AH162" i="5"/>
  <c r="AH163" i="5"/>
  <c r="AB125" i="5"/>
  <c r="AB122" i="5" s="1"/>
  <c r="AC107" i="5"/>
  <c r="AA175" i="5"/>
  <c r="AA172" i="5" s="1"/>
  <c r="AB157" i="5"/>
  <c r="AA225" i="5"/>
  <c r="AA222" i="5" s="1"/>
  <c r="AB207" i="5"/>
  <c r="AG213" i="5"/>
  <c r="AG212" i="5"/>
  <c r="AH211" i="5"/>
  <c r="AB75" i="5" l="1"/>
  <c r="AB72" i="5" s="1"/>
  <c r="AC57" i="5"/>
  <c r="AB225" i="5"/>
  <c r="AB222" i="5" s="1"/>
  <c r="AC207" i="5"/>
  <c r="AB175" i="5"/>
  <c r="AB172" i="5" s="1"/>
  <c r="AC157" i="5"/>
  <c r="AC125" i="5"/>
  <c r="AC122" i="5" s="1"/>
  <c r="AD107" i="5"/>
  <c r="AB25" i="5"/>
  <c r="AB22" i="5" s="1"/>
  <c r="AC7" i="5"/>
  <c r="AH212" i="5"/>
  <c r="AH213" i="5"/>
  <c r="AC75" i="5" l="1"/>
  <c r="AC72" i="5" s="1"/>
  <c r="AD57" i="5"/>
  <c r="AC225" i="5"/>
  <c r="AC222" i="5" s="1"/>
  <c r="AD207" i="5"/>
  <c r="AD125" i="5"/>
  <c r="AD122" i="5" s="1"/>
  <c r="AE107" i="5"/>
  <c r="AC25" i="5"/>
  <c r="AC22" i="5" s="1"/>
  <c r="AD7" i="5"/>
  <c r="AC175" i="5"/>
  <c r="AC172" i="5" s="1"/>
  <c r="AD157" i="5"/>
  <c r="AD75" i="5" l="1"/>
  <c r="AD72" i="5" s="1"/>
  <c r="AE57" i="5"/>
  <c r="AD25" i="5"/>
  <c r="AD22" i="5" s="1"/>
  <c r="AE7" i="5"/>
  <c r="AD175" i="5"/>
  <c r="AD172" i="5" s="1"/>
  <c r="AE157" i="5"/>
  <c r="AE125" i="5"/>
  <c r="AE122" i="5" s="1"/>
  <c r="AF107" i="5"/>
  <c r="AD225" i="5"/>
  <c r="AD222" i="5" s="1"/>
  <c r="AE207" i="5"/>
  <c r="AE75" i="5" l="1"/>
  <c r="AE72" i="5" s="1"/>
  <c r="AF57" i="5"/>
  <c r="AE225" i="5"/>
  <c r="AE222" i="5" s="1"/>
  <c r="AF207" i="5"/>
  <c r="AE25" i="5"/>
  <c r="AE22" i="5" s="1"/>
  <c r="AF7" i="5"/>
  <c r="AE175" i="5"/>
  <c r="AE172" i="5" s="1"/>
  <c r="AF157" i="5"/>
  <c r="AF125" i="5"/>
  <c r="AF122" i="5" s="1"/>
  <c r="AG107" i="5"/>
  <c r="AF75" i="5" l="1"/>
  <c r="AF72" i="5" s="1"/>
  <c r="AG57" i="5"/>
  <c r="AF25" i="5"/>
  <c r="AF22" i="5" s="1"/>
  <c r="AG7" i="5"/>
  <c r="AG125" i="5"/>
  <c r="AG122" i="5" s="1"/>
  <c r="AH107" i="5"/>
  <c r="AH125" i="5" s="1"/>
  <c r="AH122" i="5" s="1"/>
  <c r="AF175" i="5"/>
  <c r="AF172" i="5" s="1"/>
  <c r="AG157" i="5"/>
  <c r="AF225" i="5"/>
  <c r="AF222" i="5" s="1"/>
  <c r="AG207" i="5"/>
  <c r="AG75" i="5" l="1"/>
  <c r="AG72" i="5" s="1"/>
  <c r="AH57" i="5"/>
  <c r="AH75" i="5" s="1"/>
  <c r="AH72" i="5" s="1"/>
  <c r="AG225" i="5"/>
  <c r="AG222" i="5" s="1"/>
  <c r="AH207" i="5"/>
  <c r="AH225" i="5" s="1"/>
  <c r="AH222" i="5" s="1"/>
  <c r="AG175" i="5"/>
  <c r="AG172" i="5" s="1"/>
  <c r="AH157" i="5"/>
  <c r="AH175" i="5" s="1"/>
  <c r="AH172" i="5" s="1"/>
  <c r="AG25" i="5"/>
  <c r="AG22" i="5" s="1"/>
  <c r="AH7" i="5"/>
  <c r="AH25" i="5" s="1"/>
  <c r="AH22" i="5" s="1"/>
</calcChain>
</file>

<file path=xl/comments1.xml><?xml version="1.0" encoding="utf-8"?>
<comments xmlns="http://schemas.openxmlformats.org/spreadsheetml/2006/main">
  <authors>
    <author>Haden Phifer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Haden Phifer:</t>
        </r>
        <r>
          <rPr>
            <sz val="9"/>
            <color indexed="81"/>
            <rFont val="Tahoma"/>
            <family val="2"/>
          </rPr>
          <t xml:space="preserve">
Columns in yellow are needed for Total tabs and Final SR tab.
Green columns can be adjusted as need</t>
        </r>
      </text>
    </comment>
  </commentList>
</comments>
</file>

<file path=xl/sharedStrings.xml><?xml version="1.0" encoding="utf-8"?>
<sst xmlns="http://schemas.openxmlformats.org/spreadsheetml/2006/main" count="16592" uniqueCount="525">
  <si>
    <t xml:space="preserve">               </t>
  </si>
  <si>
    <t xml:space="preserve">SHIP           </t>
  </si>
  <si>
    <t xml:space="preserve">FAB            </t>
  </si>
  <si>
    <t xml:space="preserve">RAW            </t>
  </si>
  <si>
    <t/>
  </si>
  <si>
    <t xml:space="preserve">ETD Date                                     </t>
  </si>
  <si>
    <t>Family Totals</t>
  </si>
  <si>
    <t xml:space="preserve">Net Family Totals                            </t>
  </si>
  <si>
    <t xml:space="preserve">Cum Family Totals                            </t>
  </si>
  <si>
    <t>THIS WEEK</t>
  </si>
  <si>
    <t>NET</t>
  </si>
  <si>
    <t>CUM</t>
  </si>
  <si>
    <t>LAST SR</t>
  </si>
  <si>
    <t>TOTAL NO OF PALLETS</t>
  </si>
  <si>
    <t>NO OF CONTAINERS</t>
  </si>
  <si>
    <t xml:space="preserve">ETD                               </t>
  </si>
  <si>
    <t>NORMAL</t>
  </si>
  <si>
    <t>EXTENDED</t>
  </si>
  <si>
    <t>MAXIMUM</t>
  </si>
  <si>
    <t xml:space="preserve">CUM Family Totals                            </t>
  </si>
  <si>
    <t>HIGHLANDER HYBRID 422D</t>
  </si>
  <si>
    <t xml:space="preserve">Net Totals w/o Level Load                            </t>
  </si>
  <si>
    <t xml:space="preserve">Cum Totals w/o Level Load                            </t>
  </si>
  <si>
    <t>(SAP vs Level Load)</t>
  </si>
  <si>
    <t>CUM Diff</t>
  </si>
  <si>
    <t>Extra DOH</t>
  </si>
  <si>
    <t>Estimated Cost</t>
  </si>
  <si>
    <t>Working days</t>
  </si>
  <si>
    <t>Planned Capacity</t>
  </si>
  <si>
    <t>Difference Capacity - SR</t>
  </si>
  <si>
    <t>Net Difference</t>
  </si>
  <si>
    <t>Cum Difference</t>
  </si>
  <si>
    <t>SR Waterfall</t>
  </si>
  <si>
    <t>Net Totals</t>
  </si>
  <si>
    <t>Cum Totals</t>
  </si>
  <si>
    <t xml:space="preserve">Part Number </t>
  </si>
  <si>
    <t>SAP ID</t>
  </si>
  <si>
    <t xml:space="preserve">AFF </t>
  </si>
  <si>
    <t xml:space="preserve">Carline </t>
  </si>
  <si>
    <t xml:space="preserve">MY </t>
  </si>
  <si>
    <t>Market</t>
  </si>
  <si>
    <t xml:space="preserve">Last ETD or First ETD </t>
  </si>
  <si>
    <t xml:space="preserve">BO or SOP </t>
  </si>
  <si>
    <t xml:space="preserve">Service Overbuy </t>
  </si>
  <si>
    <t>Qty Service</t>
  </si>
  <si>
    <t xml:space="preserve">PSA Number </t>
  </si>
  <si>
    <t>C/O</t>
  </si>
  <si>
    <t>Super Product Group (1090)</t>
  </si>
  <si>
    <t>SNP</t>
  </si>
  <si>
    <t>Vendor Code</t>
  </si>
  <si>
    <t>Yazaki North America, Inc.</t>
  </si>
  <si>
    <t>Supplier Shipping Release</t>
  </si>
  <si>
    <t xml:space="preserve">Ordering Plant                               </t>
  </si>
  <si>
    <t xml:space="preserve">Ordering Plant Name                          </t>
  </si>
  <si>
    <t xml:space="preserve">Memphis                                      </t>
  </si>
  <si>
    <t xml:space="preserve">Product Group  </t>
  </si>
  <si>
    <t xml:space="preserve">NONE           </t>
  </si>
  <si>
    <t xml:space="preserve">Vendor                                       </t>
  </si>
  <si>
    <t xml:space="preserve">Vendor Name                                  </t>
  </si>
  <si>
    <t xml:space="preserve">Date Created   </t>
  </si>
  <si>
    <t xml:space="preserve">                                             </t>
  </si>
  <si>
    <t>PSA#</t>
  </si>
  <si>
    <t>Release#</t>
  </si>
  <si>
    <t>BEAMS ID</t>
  </si>
  <si>
    <t>Release Date</t>
  </si>
  <si>
    <t>Std. Pack</t>
  </si>
  <si>
    <t>YNA Part#</t>
  </si>
  <si>
    <t>YNA Part Description</t>
  </si>
  <si>
    <t>Model Year</t>
  </si>
  <si>
    <t>Eng. Revision</t>
  </si>
  <si>
    <t>Customer Part#</t>
  </si>
  <si>
    <t>PIA Part#</t>
  </si>
  <si>
    <t>High Fab</t>
  </si>
  <si>
    <t>ETD Date</t>
  </si>
  <si>
    <t>High Raw</t>
  </si>
  <si>
    <t>Car line</t>
  </si>
  <si>
    <t>Net</t>
  </si>
  <si>
    <t>Family</t>
  </si>
  <si>
    <t>Cum</t>
  </si>
  <si>
    <t>Cum Received</t>
  </si>
  <si>
    <t xml:space="preserve">Last Goods Receipt Invoice                   </t>
  </si>
  <si>
    <t>Comments</t>
  </si>
  <si>
    <t>F0013545305</t>
  </si>
  <si>
    <t>JAI</t>
  </si>
  <si>
    <t>220D- GAS</t>
  </si>
  <si>
    <t>F0013545306</t>
  </si>
  <si>
    <t>F0013545405</t>
  </si>
  <si>
    <t>F0013545406</t>
  </si>
  <si>
    <t>F0013545505</t>
  </si>
  <si>
    <t>F0013545506</t>
  </si>
  <si>
    <t>F0013545605</t>
  </si>
  <si>
    <t>F0013545606</t>
  </si>
  <si>
    <t>F0013545705</t>
  </si>
  <si>
    <t>F0013545706</t>
  </si>
  <si>
    <t>F0013545805</t>
  </si>
  <si>
    <t>F0013545806</t>
  </si>
  <si>
    <t>F0013545905</t>
  </si>
  <si>
    <t>F0013545906</t>
  </si>
  <si>
    <t>F0013546005</t>
  </si>
  <si>
    <t>F0013546006</t>
  </si>
  <si>
    <t>F0013546105</t>
  </si>
  <si>
    <t>F0013546106</t>
  </si>
  <si>
    <t>F0013546205</t>
  </si>
  <si>
    <t>220D-HV</t>
  </si>
  <si>
    <t>F0013546206</t>
  </si>
  <si>
    <t>F0013546304</t>
  </si>
  <si>
    <t>200D-HV</t>
  </si>
  <si>
    <t>F0013546305</t>
  </si>
  <si>
    <t>F0013546405</t>
  </si>
  <si>
    <t>F0013546406</t>
  </si>
  <si>
    <t>F0013546504</t>
  </si>
  <si>
    <t>F0013546505</t>
  </si>
  <si>
    <t>F0013546605</t>
  </si>
  <si>
    <t>F0013546606</t>
  </si>
  <si>
    <t>F0013546704</t>
  </si>
  <si>
    <t>F0013546705</t>
  </si>
  <si>
    <t>F0013546706</t>
  </si>
  <si>
    <t>F0013546805</t>
  </si>
  <si>
    <t>F0013546806</t>
  </si>
  <si>
    <t>F0013546905</t>
  </si>
  <si>
    <t>F0013546906</t>
  </si>
  <si>
    <t>F0013547005</t>
  </si>
  <si>
    <t>F0013547006</t>
  </si>
  <si>
    <t>F0013547105</t>
  </si>
  <si>
    <t>F0013547106</t>
  </si>
  <si>
    <t>F0013547205</t>
  </si>
  <si>
    <t>F0013547206</t>
  </si>
  <si>
    <t>F0013547304</t>
  </si>
  <si>
    <t>F0013547305</t>
  </si>
  <si>
    <t>F0013547405</t>
  </si>
  <si>
    <t>F0013547406</t>
  </si>
  <si>
    <t>F0013547505</t>
  </si>
  <si>
    <t>F0013547506</t>
  </si>
  <si>
    <t>F0013547605</t>
  </si>
  <si>
    <t>F0013547606</t>
  </si>
  <si>
    <t>F0013547804</t>
  </si>
  <si>
    <t>200D-GAS</t>
  </si>
  <si>
    <t>F0013547805</t>
  </si>
  <si>
    <t>F0013547904</t>
  </si>
  <si>
    <t>F0013547905</t>
  </si>
  <si>
    <t>F0013548004</t>
  </si>
  <si>
    <t>F0013548005</t>
  </si>
  <si>
    <t>F0013548006</t>
  </si>
  <si>
    <t>F0013548104</t>
  </si>
  <si>
    <t>F0013548105</t>
  </si>
  <si>
    <t xml:space="preserve">PT JATIM AUTOCOMP INDONESIA                  </t>
  </si>
  <si>
    <t>82115-0E500</t>
  </si>
  <si>
    <t>ETA Date</t>
  </si>
  <si>
    <t>82115-0E510</t>
  </si>
  <si>
    <t>82115-0E520</t>
  </si>
  <si>
    <t>82115-0E530</t>
  </si>
  <si>
    <t>82115-0E540</t>
  </si>
  <si>
    <t>82115-0E550</t>
  </si>
  <si>
    <t>82115-0E560</t>
  </si>
  <si>
    <t>82115-0EA20</t>
  </si>
  <si>
    <t>82115-0EA30</t>
  </si>
  <si>
    <t>82115-0EG40</t>
  </si>
  <si>
    <t>82115-0EA10</t>
  </si>
  <si>
    <t>GRAND HIGHLANDER HYBRID 200D</t>
  </si>
  <si>
    <t>82115-0E600</t>
  </si>
  <si>
    <t>82115-0E480</t>
  </si>
  <si>
    <t>82115-0EA60</t>
  </si>
  <si>
    <t>82115-0E470</t>
  </si>
  <si>
    <t>82115-0E580</t>
  </si>
  <si>
    <t>82115-0E620</t>
  </si>
  <si>
    <t>82115-0EA70</t>
  </si>
  <si>
    <t>82115-0E590</t>
  </si>
  <si>
    <t>82115-0EA50</t>
  </si>
  <si>
    <t>82115-0E490</t>
  </si>
  <si>
    <t>82115-0EA40</t>
  </si>
  <si>
    <t>82115-0E610</t>
  </si>
  <si>
    <t>82115-0E570</t>
  </si>
  <si>
    <t>82115-0EA00</t>
  </si>
  <si>
    <t>82115-0E440</t>
  </si>
  <si>
    <t>82115-0E460</t>
  </si>
  <si>
    <t>GRAND HIGHLANDER 200D</t>
  </si>
  <si>
    <t>82115-0E450</t>
  </si>
  <si>
    <t>F0013545307</t>
  </si>
  <si>
    <t>F0013545407</t>
  </si>
  <si>
    <t>F0013545507</t>
  </si>
  <si>
    <t>F0013545607</t>
  </si>
  <si>
    <t>F0013545707</t>
  </si>
  <si>
    <t>F0013545807</t>
  </si>
  <si>
    <t>F0013545907</t>
  </si>
  <si>
    <t>F0013546007</t>
  </si>
  <si>
    <t>F0013546107</t>
  </si>
  <si>
    <t>F0013546207</t>
  </si>
  <si>
    <t>F0013546306</t>
  </si>
  <si>
    <t>F0013546407</t>
  </si>
  <si>
    <t>F0013546506</t>
  </si>
  <si>
    <t>F0013546607</t>
  </si>
  <si>
    <t>F0013546807</t>
  </si>
  <si>
    <t>F0013546907</t>
  </si>
  <si>
    <t>F0013547007</t>
  </si>
  <si>
    <t>F0013547107</t>
  </si>
  <si>
    <t>F0013547207</t>
  </si>
  <si>
    <t>F0013547306</t>
  </si>
  <si>
    <t>F0013547407</t>
  </si>
  <si>
    <t>F0013547507</t>
  </si>
  <si>
    <t>F0013547607</t>
  </si>
  <si>
    <t>F0013547806</t>
  </si>
  <si>
    <t>F0013547906</t>
  </si>
  <si>
    <t>F0013548106</t>
  </si>
  <si>
    <t>Total</t>
  </si>
  <si>
    <t>Net Family Totals</t>
  </si>
  <si>
    <t>Cum Family Totals</t>
  </si>
  <si>
    <t>JAI Meeting Notes from 01/05</t>
  </si>
  <si>
    <t>Release Notes from 01/05</t>
  </si>
  <si>
    <t>JAI Meeting Notes from 01/08</t>
  </si>
  <si>
    <t>Release Notes from 01/10</t>
  </si>
  <si>
    <t>Release Notes from 01/15</t>
  </si>
  <si>
    <t>Release Notes from 01/22</t>
  </si>
  <si>
    <t>Release Notes from 01/29</t>
  </si>
  <si>
    <t>Release Notes from 02/05</t>
  </si>
  <si>
    <t>Release Notes from 02/12</t>
  </si>
  <si>
    <t>Release Notes from 02/19</t>
  </si>
  <si>
    <t>Release Notes from 02/26</t>
  </si>
  <si>
    <t>Release Notes from 03/04</t>
  </si>
  <si>
    <t>.</t>
  </si>
  <si>
    <t>Release Notes from 03/11</t>
  </si>
  <si>
    <t>Release Notes from 03/18</t>
  </si>
  <si>
    <t>82115-0E501</t>
  </si>
  <si>
    <t>F0014826800</t>
  </si>
  <si>
    <t>564D-GAS</t>
  </si>
  <si>
    <t>L/O</t>
  </si>
  <si>
    <t>82115-0E511</t>
  </si>
  <si>
    <t>F0014827300</t>
  </si>
  <si>
    <t>82115-0E521</t>
  </si>
  <si>
    <t>F0014826700</t>
  </si>
  <si>
    <t>82115-0E531</t>
  </si>
  <si>
    <t>F0014827200</t>
  </si>
  <si>
    <t>82115-0E541</t>
  </si>
  <si>
    <t>F0014826600</t>
  </si>
  <si>
    <t>82115-0E551</t>
  </si>
  <si>
    <t>F0014827000</t>
  </si>
  <si>
    <t>82115-0E561</t>
  </si>
  <si>
    <t>F0014826500</t>
  </si>
  <si>
    <t>82115-0EA21</t>
  </si>
  <si>
    <t>F0014826900</t>
  </si>
  <si>
    <t>82115-0EA31</t>
  </si>
  <si>
    <t>F0014827100</t>
  </si>
  <si>
    <t>82115-0E310</t>
  </si>
  <si>
    <t>F0014825700</t>
  </si>
  <si>
    <t>82115-0EZ30</t>
  </si>
  <si>
    <t>F0014825900</t>
  </si>
  <si>
    <t>82115-0EZ40</t>
  </si>
  <si>
    <t>F0014826100</t>
  </si>
  <si>
    <t>82115-0EZ50</t>
  </si>
  <si>
    <t>F0014826400</t>
  </si>
  <si>
    <t>82115-0EZ60</t>
  </si>
  <si>
    <t>F0014826000</t>
  </si>
  <si>
    <t>82115-0EZ70</t>
  </si>
  <si>
    <t>F0014826300</t>
  </si>
  <si>
    <t>82115-0EZ80</t>
  </si>
  <si>
    <t>F0014825800</t>
  </si>
  <si>
    <t>82115-0EZ90</t>
  </si>
  <si>
    <t>F0014826200</t>
  </si>
  <si>
    <t>LEXUS TX 564D</t>
  </si>
  <si>
    <t>COMPARE TOTAL SR</t>
  </si>
  <si>
    <t>200D.564D TOTAL</t>
  </si>
  <si>
    <t>Row Labels</t>
  </si>
  <si>
    <t>(blank)</t>
  </si>
  <si>
    <t>Grand Total</t>
  </si>
  <si>
    <t>F0014825701</t>
  </si>
  <si>
    <t>82115-0E310_A0 564D-2025 82115</t>
  </si>
  <si>
    <t xml:space="preserve">A0             </t>
  </si>
  <si>
    <t>F0014825801</t>
  </si>
  <si>
    <t>82115-0EZ80_A0 564D-2025 82115</t>
  </si>
  <si>
    <t>F0014825901</t>
  </si>
  <si>
    <t>82115-0EZ30_A0 564D-2025 82115</t>
  </si>
  <si>
    <t>F0014826001</t>
  </si>
  <si>
    <t>82115-0EZ60_A0 564D-2025 82115</t>
  </si>
  <si>
    <t>F0014826101</t>
  </si>
  <si>
    <t>82115-0EZ40_A0 564D-2025 82115</t>
  </si>
  <si>
    <t>F0014826201</t>
  </si>
  <si>
    <t>82115-0EZ90_A0 564D-2025 82115</t>
  </si>
  <si>
    <t>F0014826301</t>
  </si>
  <si>
    <t>82115-0EZ70_A0 564D-2025 82115</t>
  </si>
  <si>
    <t>F0014826401</t>
  </si>
  <si>
    <t>82115-0EZ50_A0 564D-2025 82115</t>
  </si>
  <si>
    <t>F0014826501</t>
  </si>
  <si>
    <t>82115-0E561_A0 564D-2025 82115</t>
  </si>
  <si>
    <t>F0014826601</t>
  </si>
  <si>
    <t>82115-0E541_A0 564D-2025 82115</t>
  </si>
  <si>
    <t>F0014826701</t>
  </si>
  <si>
    <t>82115-0E521_A0 564D-2025 82115</t>
  </si>
  <si>
    <t>F0014826801</t>
  </si>
  <si>
    <t>82115-0E501_A0 564D-2025 82115</t>
  </si>
  <si>
    <t>F0014826901</t>
  </si>
  <si>
    <t>82115-0EA21_A0 564D-2025 82115</t>
  </si>
  <si>
    <t>F0014827001</t>
  </si>
  <si>
    <t>82115-0E551_A0 564D-2025 82115</t>
  </si>
  <si>
    <t>F0014827101</t>
  </si>
  <si>
    <t>82115-0EA31_A0 564D-2025 82115</t>
  </si>
  <si>
    <t>F0014827201</t>
  </si>
  <si>
    <t>82115-0E531_A0 564D-2025 82115</t>
  </si>
  <si>
    <t>F0014827301</t>
  </si>
  <si>
    <t>82115-0E511_A0 564D-2025 82115</t>
  </si>
  <si>
    <t>F0013546307</t>
  </si>
  <si>
    <t>82115-0EA10_H0 200D Hybrid-2023 82115</t>
  </si>
  <si>
    <t>F0013547307</t>
  </si>
  <si>
    <t>82115-0E490_H0 200D Hybrid-2023 82115</t>
  </si>
  <si>
    <t>F0013547807</t>
  </si>
  <si>
    <t>82115-0EA00_H0 200D-2023 82115</t>
  </si>
  <si>
    <t>F0013547907</t>
  </si>
  <si>
    <t>82115-0E440_H0 200D-2023 82115</t>
  </si>
  <si>
    <t>F0013548007</t>
  </si>
  <si>
    <t>82115-0E460_H0 200D-2023 82115</t>
  </si>
  <si>
    <t>F0013548107</t>
  </si>
  <si>
    <t>82115-0E450_H0 200D-2023 82115</t>
  </si>
  <si>
    <t>JAOJ40122B</t>
  </si>
  <si>
    <t>Boxes</t>
  </si>
  <si>
    <t>40FT</t>
  </si>
  <si>
    <t>JAOJ40141B</t>
  </si>
  <si>
    <t>JAOJ40140B</t>
  </si>
  <si>
    <t>FEB</t>
  </si>
  <si>
    <t>JAOJ40161B</t>
  </si>
  <si>
    <t>MAR</t>
  </si>
  <si>
    <t>APR</t>
  </si>
  <si>
    <t>F0013546508</t>
  </si>
  <si>
    <t>MAY</t>
  </si>
  <si>
    <t>F0013546309</t>
  </si>
  <si>
    <t>82115-0EA10_J1 491D HV-2025 82115</t>
  </si>
  <si>
    <t xml:space="preserve">J1             </t>
  </si>
  <si>
    <t>F0013546509</t>
  </si>
  <si>
    <t>F0013547309</t>
  </si>
  <si>
    <t>82115-0E490_J1 491D HV-2025 82115</t>
  </si>
  <si>
    <t>F0013547809</t>
  </si>
  <si>
    <t>82115-0EA00_K0 200D-2023 82115</t>
  </si>
  <si>
    <t xml:space="preserve">K0             </t>
  </si>
  <si>
    <t>82115-0EA00.</t>
  </si>
  <si>
    <t>F0013547909</t>
  </si>
  <si>
    <t>82115-0E440_K0 200D-2023 82115</t>
  </si>
  <si>
    <t>82115-0E440.</t>
  </si>
  <si>
    <t>F0013548009</t>
  </si>
  <si>
    <t>82115-0E460_K0 200D-2023 82115</t>
  </si>
  <si>
    <t>82115-0E460.</t>
  </si>
  <si>
    <t>F0013548109</t>
  </si>
  <si>
    <t>82115-0E450_K0 200D-2023 82115</t>
  </si>
  <si>
    <t>82115-0E450.</t>
  </si>
  <si>
    <t>F0014825803</t>
  </si>
  <si>
    <t>82115-0EZ80_B1 564D-2025 82115</t>
  </si>
  <si>
    <t xml:space="preserve">B1             </t>
  </si>
  <si>
    <t>82115-0EZ80 B</t>
  </si>
  <si>
    <t>F0014825903</t>
  </si>
  <si>
    <t>82115-0EZ30_B1 564D-2025 82115</t>
  </si>
  <si>
    <t>82115-0EZ30 B</t>
  </si>
  <si>
    <t>F0014826003</t>
  </si>
  <si>
    <t>82115-0EZ60_B1 564D-2025 82115</t>
  </si>
  <si>
    <t>82115-0EZ60 B</t>
  </si>
  <si>
    <t>F0014826103</t>
  </si>
  <si>
    <t>82115-0EZ40_B1 564D-2025 82115</t>
  </si>
  <si>
    <t>82115-0EZ40 B</t>
  </si>
  <si>
    <t>F0014826203</t>
  </si>
  <si>
    <t>82115-0EZ90_B1 564D-2025 82115</t>
  </si>
  <si>
    <t>82115-0EZ90 B</t>
  </si>
  <si>
    <t>F0014826303</t>
  </si>
  <si>
    <t>82115-0EZ70_B1 564D-2025 82115</t>
  </si>
  <si>
    <t>82115-0EZ70 B</t>
  </si>
  <si>
    <t>F0014826403</t>
  </si>
  <si>
    <t>82115-0EZ50_B1 564D-2025 82115</t>
  </si>
  <si>
    <t>82115-0EZ50 B</t>
  </si>
  <si>
    <t>F0014826503</t>
  </si>
  <si>
    <t>82115-0E561_B1 564D-2025 82115</t>
  </si>
  <si>
    <t>82115-0E561 B</t>
  </si>
  <si>
    <t>F0014826603</t>
  </si>
  <si>
    <t>82115-0E541_B1 564D-2025 82115</t>
  </si>
  <si>
    <t>82115-0E541 B</t>
  </si>
  <si>
    <t>F0014826703</t>
  </si>
  <si>
    <t>82115-0E521_B1 564D-2025 82115</t>
  </si>
  <si>
    <t>82115-0E521 B</t>
  </si>
  <si>
    <t>F0014826803</t>
  </si>
  <si>
    <t>82115-0E501_B1 564D-2025 82115</t>
  </si>
  <si>
    <t>82115-0E501 B</t>
  </si>
  <si>
    <t>F0014826903</t>
  </si>
  <si>
    <t>82115-0EA21_B1 564D-2025 82115</t>
  </si>
  <si>
    <t>82115-0EA21 B</t>
  </si>
  <si>
    <t>F0014827003</t>
  </si>
  <si>
    <t>82115-0E551_B1 564D-2025 82115</t>
  </si>
  <si>
    <t>82115-0E551 B</t>
  </si>
  <si>
    <t>F0014827103</t>
  </si>
  <si>
    <t>82115-0EA31_B1 564D-2025 82115</t>
  </si>
  <si>
    <t>82115-0EA31 B</t>
  </si>
  <si>
    <t>F0014827203</t>
  </si>
  <si>
    <t>82115-0E531_B1 564D-2025 82115</t>
  </si>
  <si>
    <t>82115-0E531 B</t>
  </si>
  <si>
    <t>F0014827303</t>
  </si>
  <si>
    <t>82115-0E511_B1 564D-2025 82115</t>
  </si>
  <si>
    <t>82115-0E511 B</t>
  </si>
  <si>
    <t>JUN</t>
  </si>
  <si>
    <t>491D-HV</t>
  </si>
  <si>
    <t>JUL</t>
  </si>
  <si>
    <t>AUG</t>
  </si>
  <si>
    <t>SEP</t>
  </si>
  <si>
    <t>OCT</t>
  </si>
  <si>
    <t>NOV</t>
  </si>
  <si>
    <t>DEC</t>
  </si>
  <si>
    <t>JAN</t>
  </si>
  <si>
    <t>Sum of 2-Mar</t>
  </si>
  <si>
    <t>Sum of 9-Mar</t>
  </si>
  <si>
    <t>Sum of 16-Mar</t>
  </si>
  <si>
    <t>Sum of 23-Mar</t>
  </si>
  <si>
    <t>Sum of 30-Mar</t>
  </si>
  <si>
    <t>Sum of 6-Apr</t>
  </si>
  <si>
    <t>Sum of 13-Apr</t>
  </si>
  <si>
    <t>Sum of 20-Apr</t>
  </si>
  <si>
    <t>Sum of 27-Apr</t>
  </si>
  <si>
    <t>Sum of 4-May</t>
  </si>
  <si>
    <t>Sum of 11-May</t>
  </si>
  <si>
    <t>Sum of 18-May</t>
  </si>
  <si>
    <t>Sum of 25-May</t>
  </si>
  <si>
    <t>Sum of 1-Jun</t>
  </si>
  <si>
    <t>Sum of 8-Jun</t>
  </si>
  <si>
    <t>B</t>
  </si>
  <si>
    <t>C</t>
  </si>
  <si>
    <t>A</t>
  </si>
  <si>
    <t>Sum of 15-Jun</t>
  </si>
  <si>
    <t>F0013546510</t>
  </si>
  <si>
    <t>82115-0E480 K</t>
  </si>
  <si>
    <t>Sum of 22-Jun</t>
  </si>
  <si>
    <t>Sum of 29-Jun</t>
  </si>
  <si>
    <t>GAS 200D</t>
  </si>
  <si>
    <t>HEV 200D</t>
  </si>
  <si>
    <t>TOTAL</t>
  </si>
  <si>
    <t>GAS 564D</t>
  </si>
  <si>
    <t>TOTAL SR</t>
  </si>
  <si>
    <t>COMPARE SR</t>
  </si>
  <si>
    <t xml:space="preserve">TOTAL GAS </t>
  </si>
  <si>
    <t>TOTAL HEV</t>
  </si>
  <si>
    <t>Sum of 6-Jul</t>
  </si>
  <si>
    <t>Sum of 13-Jul</t>
  </si>
  <si>
    <t>JAOJ50106B</t>
  </si>
  <si>
    <t>Sum of 20-Jul</t>
  </si>
  <si>
    <t>Sum of 27-Jul</t>
  </si>
  <si>
    <t>Sum of 3-Aug</t>
  </si>
  <si>
    <t>Sum of 10-Aug</t>
  </si>
  <si>
    <t>Sum of 17-Aug</t>
  </si>
  <si>
    <t>Sum of 24-Aug</t>
  </si>
  <si>
    <t>Sum of 31-Aug</t>
  </si>
  <si>
    <t>Sum of 7-Sep</t>
  </si>
  <si>
    <t>Sum of 14-Sep</t>
  </si>
  <si>
    <t>Sum of 21-Sep</t>
  </si>
  <si>
    <t>Sum of 28-Sep</t>
  </si>
  <si>
    <t>Sum of 5-Oct</t>
  </si>
  <si>
    <t>Sum of 12-Oct</t>
  </si>
  <si>
    <t>Sum of 19-Oct</t>
  </si>
  <si>
    <t>Sum of 26-Oct</t>
  </si>
  <si>
    <t>82115-0E480_K0 491D-2025 82115</t>
  </si>
  <si>
    <t>Sum of 2-Nov</t>
  </si>
  <si>
    <t>Sum of 9-Nov</t>
  </si>
  <si>
    <t>SIJ1605003663</t>
  </si>
  <si>
    <t>Sum of 16-Nov</t>
  </si>
  <si>
    <t>F0013546310</t>
  </si>
  <si>
    <t>82115-0EA10_K0 491D-2025 82115</t>
  </si>
  <si>
    <t>F0013547310</t>
  </si>
  <si>
    <t>82115-0E490_K0 491D-2025 82115</t>
  </si>
  <si>
    <t>F0013547812</t>
  </si>
  <si>
    <t>82115-0EA00_M0 777D-2027 82115</t>
  </si>
  <si>
    <t xml:space="preserve">M0             </t>
  </si>
  <si>
    <t>F0013547912</t>
  </si>
  <si>
    <t>82115-0E440_M0 777D-2027 82115</t>
  </si>
  <si>
    <t>F0013548012</t>
  </si>
  <si>
    <t>82115-0E460_M0 777D-2027 82115</t>
  </si>
  <si>
    <t>F0013548112</t>
  </si>
  <si>
    <t>82115-0E450_M0 777D-2027 82115</t>
  </si>
  <si>
    <t>F0014825702</t>
  </si>
  <si>
    <t>82115-0E310_B0 564D-2025 82115</t>
  </si>
  <si>
    <t xml:space="preserve">B0             </t>
  </si>
  <si>
    <t>82115-0EA10 K</t>
  </si>
  <si>
    <t>82115-0E490 K</t>
  </si>
  <si>
    <t>82115-0E310 B</t>
  </si>
  <si>
    <t>Sum of 23-Nov</t>
  </si>
  <si>
    <t>Sum of 30-Nov</t>
  </si>
  <si>
    <t>Sum of 7-Dec</t>
  </si>
  <si>
    <t>Sum of 14-Dec</t>
  </si>
  <si>
    <t>Sum of 21-Dec</t>
  </si>
  <si>
    <t>Sum of 28-Dec</t>
  </si>
  <si>
    <t>Sum of 4-Jan</t>
  </si>
  <si>
    <t>Sum of 11-Jan</t>
  </si>
  <si>
    <t>82115-0EA00 L</t>
  </si>
  <si>
    <t>82115-0E440 L</t>
  </si>
  <si>
    <t>82115-0E460 L</t>
  </si>
  <si>
    <t>82115-0E450 L</t>
  </si>
  <si>
    <t>F0013547811</t>
  </si>
  <si>
    <t>82115-0EA00_L0 491D-2025 82115</t>
  </si>
  <si>
    <t xml:space="preserve">L0             </t>
  </si>
  <si>
    <t>GRAND HIGHLANDER 491D</t>
  </si>
  <si>
    <t>82115-0EA00 M</t>
  </si>
  <si>
    <t>F0013547911</t>
  </si>
  <si>
    <t>82115-0E440_L0 491D-2025 82115</t>
  </si>
  <si>
    <t>82115-0E440 M</t>
  </si>
  <si>
    <t>F0013548011</t>
  </si>
  <si>
    <t>82115-0E460_L0 491D-2025 82115</t>
  </si>
  <si>
    <t>82115-0E460 M</t>
  </si>
  <si>
    <t>F0013548111</t>
  </si>
  <si>
    <t>82115-0E450_L0 491D-2025 82115</t>
  </si>
  <si>
    <t>82115-0E450 M</t>
  </si>
  <si>
    <t>Sum of 12-Jan</t>
  </si>
  <si>
    <t>82115-0EA10 J</t>
  </si>
  <si>
    <t>82115-0E490 J</t>
  </si>
  <si>
    <t>Sum of 19-Jan</t>
  </si>
  <si>
    <t>Sum of 26-Jan</t>
  </si>
  <si>
    <t>JAOJ50240B</t>
  </si>
  <si>
    <t>Sum of 2-Feb</t>
  </si>
  <si>
    <t>JAOJ50234B</t>
  </si>
  <si>
    <t>SNPs: 100</t>
  </si>
  <si>
    <t>Sum of 9-Feb</t>
  </si>
  <si>
    <t>JAOJ60001B</t>
  </si>
  <si>
    <t>SNPs: 95</t>
  </si>
  <si>
    <t>GRAND HIGHLANDER HYBRID 491D</t>
  </si>
  <si>
    <t>SNPs: 1</t>
  </si>
  <si>
    <t>SNPs: -76</t>
  </si>
  <si>
    <t>SNPs: -180</t>
  </si>
  <si>
    <t>GRAND HIGHLANDER 495D</t>
  </si>
  <si>
    <t>SNPs: -32</t>
  </si>
  <si>
    <t>SNPs: 59</t>
  </si>
  <si>
    <t>SNPs: -198</t>
  </si>
  <si>
    <t>GRAND HIGHLANDER 777D</t>
  </si>
  <si>
    <t>SNPs: 130</t>
  </si>
  <si>
    <t>SNPs: -18</t>
  </si>
  <si>
    <t>SNPs: 41</t>
  </si>
  <si>
    <t>SNPs: -10</t>
  </si>
  <si>
    <t>SNPs: 4</t>
  </si>
  <si>
    <t>SNPs: 2</t>
  </si>
  <si>
    <t>Sum of 16-Feb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</si>
</sst>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m/d/yy"/>
    <numFmt numFmtId="165" formatCode="mm/d/yy"/>
    <numFmt numFmtId="166" formatCode="mm/dd/yy;@"/>
    <numFmt numFmtId="167" formatCode="_(&quot;$&quot;* #,##0_);_(&quot;$&quot;* \(#,##0\);_(&quot;$&quot;* &quot;-&quot;??_);_(@_)"/>
    <numFmt numFmtId="168" formatCode="[$-409]d\-mmm;@"/>
    <numFmt numFmtId="169" formatCode="0.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indexed="55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43"/>
      <name val="Calibri"/>
      <family val="2"/>
      <scheme val="minor"/>
    </font>
    <font>
      <b/>
      <sz val="11"/>
      <color indexed="4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color theme="1" tint="0.49998474074526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5"/>
      <color theme="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1"/>
      <color indexed="18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/>
    <xf numFmtId="0" fontId="1" fillId="0" borderId="0"/>
    <xf numFmtId="44" fontId="1" fillId="0" borderId="0" applyFont="0" applyFill="0" applyBorder="0" applyAlignment="0" applyProtection="0"/>
    <xf numFmtId="0" fontId="43" fillId="0" borderId="0"/>
    <xf numFmtId="0" fontId="24" fillId="0" borderId="0"/>
  </cellStyleXfs>
  <cellXfs count="250">
    <xf numFmtId="0" fontId="0" fillId="0" borderId="0" xfId="0"/>
    <xf numFmtId="0" fontId="16" fillId="0" borderId="0" xfId="0" applyFont="1"/>
    <xf numFmtId="0" fontId="18" fillId="33" borderId="10" xfId="0" applyFont="1" applyFill="1" applyBorder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16" fillId="36" borderId="15" xfId="0" applyFont="1" applyFill="1" applyBorder="1"/>
    <xf numFmtId="0" fontId="0" fillId="36" borderId="11" xfId="0" applyFill="1" applyBorder="1"/>
    <xf numFmtId="0" fontId="0" fillId="36" borderId="12" xfId="0" applyFill="1" applyBorder="1"/>
    <xf numFmtId="0" fontId="0" fillId="36" borderId="13" xfId="0" applyFill="1" applyBorder="1"/>
    <xf numFmtId="0" fontId="19" fillId="36" borderId="15" xfId="0" applyFont="1" applyFill="1" applyBorder="1"/>
    <xf numFmtId="0" fontId="19" fillId="36" borderId="16" xfId="0" applyFont="1" applyFill="1" applyBorder="1"/>
    <xf numFmtId="0" fontId="16" fillId="37" borderId="15" xfId="0" applyFont="1" applyFill="1" applyBorder="1"/>
    <xf numFmtId="0" fontId="16" fillId="37" borderId="16" xfId="0" applyFont="1" applyFill="1" applyBorder="1"/>
    <xf numFmtId="165" fontId="0" fillId="34" borderId="11" xfId="0" applyNumberFormat="1" applyFill="1" applyBorder="1"/>
    <xf numFmtId="165" fontId="0" fillId="34" borderId="12" xfId="0" applyNumberFormat="1" applyFill="1" applyBorder="1"/>
    <xf numFmtId="165" fontId="0" fillId="34" borderId="13" xfId="0" applyNumberFormat="1" applyFill="1" applyBorder="1"/>
    <xf numFmtId="165" fontId="0" fillId="34" borderId="10" xfId="0" applyNumberFormat="1" applyFill="1" applyBorder="1"/>
    <xf numFmtId="165" fontId="0" fillId="34" borderId="14" xfId="0" applyNumberFormat="1" applyFill="1" applyBorder="1"/>
    <xf numFmtId="0" fontId="22" fillId="33" borderId="12" xfId="0" applyFont="1" applyFill="1" applyBorder="1" applyAlignment="1">
      <alignment horizontal="left"/>
    </xf>
    <xf numFmtId="0" fontId="23" fillId="33" borderId="12" xfId="0" applyFont="1" applyFill="1" applyBorder="1"/>
    <xf numFmtId="0" fontId="22" fillId="33" borderId="12" xfId="0" applyFont="1" applyFill="1" applyBorder="1"/>
    <xf numFmtId="0" fontId="22" fillId="0" borderId="0" xfId="0" applyFont="1"/>
    <xf numFmtId="0" fontId="1" fillId="38" borderId="0" xfId="0" applyFont="1" applyFill="1"/>
    <xf numFmtId="0" fontId="1" fillId="0" borderId="0" xfId="0" applyFont="1"/>
    <xf numFmtId="0" fontId="24" fillId="0" borderId="0" xfId="42"/>
    <xf numFmtId="0" fontId="25" fillId="39" borderId="11" xfId="42" applyFont="1" applyFill="1" applyBorder="1"/>
    <xf numFmtId="0" fontId="25" fillId="39" borderId="13" xfId="42" applyFont="1" applyFill="1" applyBorder="1"/>
    <xf numFmtId="166" fontId="24" fillId="39" borderId="12" xfId="42" applyNumberFormat="1" applyFill="1" applyBorder="1"/>
    <xf numFmtId="166" fontId="24" fillId="40" borderId="12" xfId="42" applyNumberFormat="1" applyFill="1" applyBorder="1"/>
    <xf numFmtId="166" fontId="24" fillId="39" borderId="0" xfId="42" applyNumberFormat="1" applyFill="1"/>
    <xf numFmtId="166" fontId="24" fillId="40" borderId="0" xfId="42" applyNumberFormat="1" applyFill="1"/>
    <xf numFmtId="0" fontId="27" fillId="0" borderId="17" xfId="43" applyFont="1" applyBorder="1" applyAlignment="1" applyProtection="1">
      <alignment horizontal="center" vertical="center"/>
      <protection locked="0"/>
    </xf>
    <xf numFmtId="0" fontId="27" fillId="0" borderId="18" xfId="43" applyFont="1" applyBorder="1" applyAlignment="1" applyProtection="1">
      <alignment horizontal="center" vertical="center"/>
      <protection locked="0"/>
    </xf>
    <xf numFmtId="0" fontId="25" fillId="33" borderId="10" xfId="42" applyFont="1" applyFill="1" applyBorder="1"/>
    <xf numFmtId="0" fontId="25" fillId="33" borderId="14" xfId="42" applyFont="1" applyFill="1" applyBorder="1" applyAlignment="1">
      <alignment horizontal="center"/>
    </xf>
    <xf numFmtId="1" fontId="25" fillId="41" borderId="19" xfId="43" applyNumberFormat="1" applyFont="1" applyFill="1" applyBorder="1" applyAlignment="1" applyProtection="1">
      <alignment horizontal="center" vertical="center"/>
      <protection locked="0"/>
    </xf>
    <xf numFmtId="1" fontId="25" fillId="40" borderId="20" xfId="43" applyNumberFormat="1" applyFont="1" applyFill="1" applyBorder="1" applyAlignment="1" applyProtection="1">
      <alignment horizontal="center" vertical="center"/>
      <protection locked="0"/>
    </xf>
    <xf numFmtId="1" fontId="25" fillId="42" borderId="21" xfId="43" applyNumberFormat="1" applyFont="1" applyFill="1" applyBorder="1" applyAlignment="1">
      <alignment horizontal="center" vertical="center"/>
    </xf>
    <xf numFmtId="0" fontId="25" fillId="33" borderId="0" xfId="42" applyFont="1" applyFill="1"/>
    <xf numFmtId="0" fontId="24" fillId="37" borderId="13" xfId="42" applyFill="1" applyBorder="1"/>
    <xf numFmtId="0" fontId="25" fillId="43" borderId="22" xfId="42" applyFont="1" applyFill="1" applyBorder="1" applyAlignment="1">
      <alignment horizontal="center"/>
    </xf>
    <xf numFmtId="0" fontId="25" fillId="43" borderId="23" xfId="42" applyFont="1" applyFill="1" applyBorder="1" applyAlignment="1">
      <alignment horizontal="center"/>
    </xf>
    <xf numFmtId="0" fontId="25" fillId="43" borderId="24" xfId="42" applyFont="1" applyFill="1" applyBorder="1"/>
    <xf numFmtId="0" fontId="24" fillId="43" borderId="23" xfId="42" applyFill="1" applyBorder="1"/>
    <xf numFmtId="0" fontId="25" fillId="43" borderId="25" xfId="42" applyFont="1" applyFill="1" applyBorder="1"/>
    <xf numFmtId="1" fontId="26" fillId="0" borderId="0" xfId="43" applyNumberFormat="1" applyFont="1" applyAlignment="1" applyProtection="1">
      <alignment horizontal="center" vertical="center"/>
      <protection locked="0"/>
    </xf>
    <xf numFmtId="1" fontId="26" fillId="0" borderId="0" xfId="43" applyNumberFormat="1" applyFont="1" applyAlignment="1">
      <alignment horizontal="center" vertical="center"/>
    </xf>
    <xf numFmtId="0" fontId="28" fillId="0" borderId="0" xfId="42" applyFont="1"/>
    <xf numFmtId="0" fontId="25" fillId="43" borderId="0" xfId="42" applyFont="1" applyFill="1" applyAlignment="1">
      <alignment horizontal="center"/>
    </xf>
    <xf numFmtId="0" fontId="25" fillId="43" borderId="0" xfId="42" applyFont="1" applyFill="1"/>
    <xf numFmtId="0" fontId="24" fillId="43" borderId="0" xfId="42" applyFill="1"/>
    <xf numFmtId="0" fontId="29" fillId="43" borderId="0" xfId="42" applyFont="1" applyFill="1"/>
    <xf numFmtId="0" fontId="30" fillId="43" borderId="0" xfId="42" applyFont="1" applyFill="1"/>
    <xf numFmtId="2" fontId="29" fillId="43" borderId="0" xfId="42" applyNumberFormat="1" applyFont="1" applyFill="1"/>
    <xf numFmtId="0" fontId="24" fillId="44" borderId="0" xfId="42" applyFill="1"/>
    <xf numFmtId="1" fontId="31" fillId="0" borderId="0" xfId="42" applyNumberFormat="1" applyFont="1"/>
    <xf numFmtId="166" fontId="24" fillId="0" borderId="0" xfId="42" applyNumberFormat="1"/>
    <xf numFmtId="1" fontId="33" fillId="0" borderId="0" xfId="42" applyNumberFormat="1" applyFont="1"/>
    <xf numFmtId="0" fontId="0" fillId="38" borderId="0" xfId="0" applyFill="1"/>
    <xf numFmtId="0" fontId="34" fillId="38" borderId="0" xfId="42" applyFont="1" applyFill="1"/>
    <xf numFmtId="0" fontId="0" fillId="33" borderId="0" xfId="0" applyFill="1" applyAlignment="1">
      <alignment horizontal="left"/>
    </xf>
    <xf numFmtId="0" fontId="16" fillId="33" borderId="0" xfId="0" applyFont="1" applyFill="1"/>
    <xf numFmtId="0" fontId="0" fillId="33" borderId="0" xfId="0" applyFill="1"/>
    <xf numFmtId="165" fontId="0" fillId="34" borderId="0" xfId="0" applyNumberFormat="1" applyFill="1"/>
    <xf numFmtId="0" fontId="20" fillId="34" borderId="0" xfId="0" applyFont="1" applyFill="1"/>
    <xf numFmtId="0" fontId="35" fillId="41" borderId="0" xfId="42" applyFont="1" applyFill="1" applyAlignment="1">
      <alignment horizontal="center"/>
    </xf>
    <xf numFmtId="0" fontId="0" fillId="0" borderId="0" xfId="0" applyAlignment="1">
      <alignment horizontal="center"/>
    </xf>
    <xf numFmtId="0" fontId="35" fillId="41" borderId="0" xfId="42" applyFont="1" applyFill="1" applyAlignment="1">
      <alignment horizontal="center" wrapText="1"/>
    </xf>
    <xf numFmtId="1" fontId="25" fillId="0" borderId="0" xfId="43" applyNumberFormat="1" applyFont="1" applyAlignment="1" applyProtection="1">
      <alignment horizontal="center" vertical="center"/>
      <protection locked="0"/>
    </xf>
    <xf numFmtId="0" fontId="25" fillId="0" borderId="0" xfId="42" applyFont="1"/>
    <xf numFmtId="0" fontId="29" fillId="0" borderId="0" xfId="42" applyFont="1"/>
    <xf numFmtId="2" fontId="29" fillId="0" borderId="0" xfId="42" applyNumberFormat="1" applyFont="1"/>
    <xf numFmtId="0" fontId="25" fillId="44" borderId="0" xfId="42" applyFont="1" applyFill="1"/>
    <xf numFmtId="0" fontId="25" fillId="44" borderId="0" xfId="42" applyFont="1" applyFill="1" applyAlignment="1">
      <alignment horizontal="right"/>
    </xf>
    <xf numFmtId="166" fontId="25" fillId="44" borderId="0" xfId="42" applyNumberFormat="1" applyFont="1" applyFill="1"/>
    <xf numFmtId="166" fontId="24" fillId="44" borderId="0" xfId="42" applyNumberFormat="1" applyFill="1"/>
    <xf numFmtId="0" fontId="25" fillId="44" borderId="0" xfId="42" applyFont="1" applyFill="1" applyAlignment="1">
      <alignment horizontal="center"/>
    </xf>
    <xf numFmtId="0" fontId="24" fillId="0" borderId="26" xfId="42" applyBorder="1"/>
    <xf numFmtId="0" fontId="24" fillId="0" borderId="27" xfId="42" applyBorder="1"/>
    <xf numFmtId="0" fontId="24" fillId="44" borderId="0" xfId="42" applyFill="1" applyAlignment="1">
      <alignment horizontal="right"/>
    </xf>
    <xf numFmtId="0" fontId="24" fillId="45" borderId="0" xfId="42" applyFill="1" applyAlignment="1">
      <alignment horizontal="right"/>
    </xf>
    <xf numFmtId="1" fontId="0" fillId="0" borderId="0" xfId="0" applyNumberFormat="1" applyAlignment="1">
      <alignment horizontal="center"/>
    </xf>
    <xf numFmtId="167" fontId="29" fillId="43" borderId="0" xfId="44" applyNumberFormat="1" applyFont="1" applyFill="1"/>
    <xf numFmtId="0" fontId="36" fillId="33" borderId="11" xfId="0" applyFont="1" applyFill="1" applyBorder="1"/>
    <xf numFmtId="14" fontId="24" fillId="0" borderId="0" xfId="42" applyNumberFormat="1"/>
    <xf numFmtId="1" fontId="24" fillId="0" borderId="0" xfId="43" applyNumberFormat="1" applyFont="1" applyAlignment="1" applyProtection="1">
      <alignment horizontal="center" vertical="center"/>
      <protection locked="0"/>
    </xf>
    <xf numFmtId="0" fontId="25" fillId="0" borderId="0" xfId="42" applyFont="1" applyAlignment="1">
      <alignment horizontal="center"/>
    </xf>
    <xf numFmtId="0" fontId="25" fillId="0" borderId="0" xfId="42" applyFont="1" applyAlignment="1">
      <alignment horizontal="right"/>
    </xf>
    <xf numFmtId="0" fontId="24" fillId="0" borderId="0" xfId="42" applyAlignment="1">
      <alignment horizontal="right"/>
    </xf>
    <xf numFmtId="0" fontId="39" fillId="0" borderId="0" xfId="42" applyFont="1" applyAlignment="1">
      <alignment horizontal="center"/>
    </xf>
    <xf numFmtId="0" fontId="37" fillId="0" borderId="0" xfId="42" applyFont="1"/>
    <xf numFmtId="1" fontId="37" fillId="0" borderId="0" xfId="42" applyNumberFormat="1" applyFont="1"/>
    <xf numFmtId="14" fontId="40" fillId="46" borderId="0" xfId="42" applyNumberFormat="1" applyFont="1" applyFill="1" applyAlignment="1">
      <alignment horizontal="center"/>
    </xf>
    <xf numFmtId="0" fontId="40" fillId="46" borderId="0" xfId="42" applyFont="1" applyFill="1" applyAlignment="1">
      <alignment horizontal="center"/>
    </xf>
    <xf numFmtId="0" fontId="38" fillId="46" borderId="0" xfId="42" applyFont="1" applyFill="1" applyAlignment="1">
      <alignment horizontal="center"/>
    </xf>
    <xf numFmtId="0" fontId="39" fillId="48" borderId="0" xfId="42" applyFont="1" applyFill="1" applyAlignment="1">
      <alignment horizontal="center"/>
    </xf>
    <xf numFmtId="0" fontId="37" fillId="0" borderId="0" xfId="42" applyFont="1" applyAlignment="1">
      <alignment horizontal="center"/>
    </xf>
    <xf numFmtId="0" fontId="39" fillId="0" borderId="0" xfId="42" applyFont="1" applyAlignment="1">
      <alignment horizontal="left"/>
    </xf>
    <xf numFmtId="0" fontId="39" fillId="0" borderId="0" xfId="42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35" fillId="40" borderId="0" xfId="42" applyFont="1" applyFill="1" applyAlignment="1">
      <alignment horizontal="center"/>
    </xf>
    <xf numFmtId="0" fontId="24" fillId="46" borderId="0" xfId="42" applyFill="1" applyAlignment="1">
      <alignment horizontal="left"/>
    </xf>
    <xf numFmtId="0" fontId="25" fillId="46" borderId="0" xfId="42" applyFont="1" applyFill="1" applyAlignment="1">
      <alignment horizontal="center"/>
    </xf>
    <xf numFmtId="0" fontId="30" fillId="46" borderId="14" xfId="42" applyFont="1" applyFill="1" applyBorder="1" applyAlignment="1">
      <alignment horizontal="center"/>
    </xf>
    <xf numFmtId="0" fontId="43" fillId="0" borderId="0" xfId="45"/>
    <xf numFmtId="0" fontId="44" fillId="0" borderId="0" xfId="45" applyFont="1"/>
    <xf numFmtId="0" fontId="24" fillId="0" borderId="35" xfId="42" applyBorder="1"/>
    <xf numFmtId="0" fontId="24" fillId="0" borderId="36" xfId="42" applyBorder="1"/>
    <xf numFmtId="0" fontId="24" fillId="0" borderId="40" xfId="42" applyBorder="1"/>
    <xf numFmtId="0" fontId="24" fillId="0" borderId="41" xfId="42" applyBorder="1"/>
    <xf numFmtId="0" fontId="24" fillId="0" borderId="38" xfId="42" applyBorder="1"/>
    <xf numFmtId="0" fontId="24" fillId="0" borderId="0" xfId="45" applyFont="1"/>
    <xf numFmtId="0" fontId="25" fillId="0" borderId="0" xfId="45" applyFont="1" applyAlignment="1">
      <alignment horizontal="center" wrapText="1"/>
    </xf>
    <xf numFmtId="0" fontId="25" fillId="0" borderId="0" xfId="45" applyFont="1"/>
    <xf numFmtId="0" fontId="43" fillId="0" borderId="0" xfId="45" applyAlignment="1">
      <alignment horizontal="left"/>
    </xf>
    <xf numFmtId="0" fontId="44" fillId="0" borderId="0" xfId="45" applyFont="1" applyAlignment="1">
      <alignment horizontal="left"/>
    </xf>
    <xf numFmtId="0" fontId="43" fillId="49" borderId="34" xfId="45" applyFill="1" applyBorder="1"/>
    <xf numFmtId="0" fontId="26" fillId="49" borderId="34" xfId="45" applyFont="1" applyFill="1" applyBorder="1"/>
    <xf numFmtId="0" fontId="25" fillId="49" borderId="34" xfId="45" applyFont="1" applyFill="1" applyBorder="1"/>
    <xf numFmtId="0" fontId="44" fillId="49" borderId="32" xfId="45" applyFont="1" applyFill="1" applyBorder="1"/>
    <xf numFmtId="0" fontId="43" fillId="34" borderId="31" xfId="45" applyFill="1" applyBorder="1"/>
    <xf numFmtId="0" fontId="43" fillId="37" borderId="30" xfId="45" applyFill="1" applyBorder="1"/>
    <xf numFmtId="0" fontId="25" fillId="37" borderId="28" xfId="45" applyFont="1" applyFill="1" applyBorder="1"/>
    <xf numFmtId="0" fontId="43" fillId="33" borderId="30" xfId="45" applyFill="1" applyBorder="1" applyAlignment="1">
      <alignment horizontal="left"/>
    </xf>
    <xf numFmtId="0" fontId="44" fillId="33" borderId="28" xfId="45" applyFont="1" applyFill="1" applyBorder="1" applyAlignment="1">
      <alignment horizontal="left"/>
    </xf>
    <xf numFmtId="0" fontId="45" fillId="34" borderId="31" xfId="45" applyFont="1" applyFill="1" applyBorder="1"/>
    <xf numFmtId="0" fontId="43" fillId="37" borderId="33" xfId="45" applyFill="1" applyBorder="1"/>
    <xf numFmtId="0" fontId="25" fillId="37" borderId="32" xfId="45" applyFont="1" applyFill="1" applyBorder="1"/>
    <xf numFmtId="0" fontId="25" fillId="33" borderId="13" xfId="45" applyFont="1" applyFill="1" applyBorder="1" applyAlignment="1">
      <alignment horizontal="center"/>
    </xf>
    <xf numFmtId="0" fontId="46" fillId="33" borderId="11" xfId="45" applyFont="1" applyFill="1" applyBorder="1"/>
    <xf numFmtId="166" fontId="24" fillId="39" borderId="12" xfId="45" applyNumberFormat="1" applyFont="1" applyFill="1" applyBorder="1"/>
    <xf numFmtId="165" fontId="43" fillId="34" borderId="10" xfId="45" applyNumberFormat="1" applyFill="1" applyBorder="1"/>
    <xf numFmtId="165" fontId="43" fillId="34" borderId="11" xfId="45" applyNumberFormat="1" applyFill="1" applyBorder="1"/>
    <xf numFmtId="0" fontId="0" fillId="0" borderId="14" xfId="0" applyBorder="1"/>
    <xf numFmtId="2" fontId="24" fillId="0" borderId="31" xfId="42" applyNumberFormat="1" applyBorder="1"/>
    <xf numFmtId="0" fontId="25" fillId="0" borderId="31" xfId="42" applyFont="1" applyBorder="1"/>
    <xf numFmtId="0" fontId="25" fillId="39" borderId="28" xfId="42" applyFont="1" applyFill="1" applyBorder="1"/>
    <xf numFmtId="0" fontId="25" fillId="39" borderId="30" xfId="42" applyFont="1" applyFill="1" applyBorder="1"/>
    <xf numFmtId="0" fontId="24" fillId="35" borderId="32" xfId="42" applyFill="1" applyBorder="1"/>
    <xf numFmtId="0" fontId="24" fillId="35" borderId="34" xfId="42" applyFill="1" applyBorder="1"/>
    <xf numFmtId="0" fontId="26" fillId="35" borderId="34" xfId="42" applyFont="1" applyFill="1" applyBorder="1"/>
    <xf numFmtId="0" fontId="25" fillId="37" borderId="32" xfId="42" applyFont="1" applyFill="1" applyBorder="1"/>
    <xf numFmtId="0" fontId="24" fillId="37" borderId="33" xfId="42" applyFill="1" applyBorder="1"/>
    <xf numFmtId="0" fontId="20" fillId="34" borderId="10" xfId="0" applyFont="1" applyFill="1" applyBorder="1"/>
    <xf numFmtId="0" fontId="20" fillId="34" borderId="14" xfId="0" applyFont="1" applyFill="1" applyBorder="1"/>
    <xf numFmtId="0" fontId="0" fillId="33" borderId="13" xfId="0" applyFill="1" applyBorder="1" applyAlignment="1">
      <alignment horizontal="left"/>
    </xf>
    <xf numFmtId="0" fontId="39" fillId="47" borderId="44" xfId="42" applyFont="1" applyFill="1" applyBorder="1" applyAlignment="1">
      <alignment horizontal="center"/>
    </xf>
    <xf numFmtId="0" fontId="24" fillId="40" borderId="0" xfId="42" applyFill="1"/>
    <xf numFmtId="0" fontId="16" fillId="33" borderId="11" xfId="0" applyFont="1" applyFill="1" applyBorder="1"/>
    <xf numFmtId="0" fontId="0" fillId="33" borderId="14" xfId="0" applyFill="1" applyBorder="1" applyAlignment="1">
      <alignment horizontal="left"/>
    </xf>
    <xf numFmtId="0" fontId="16" fillId="40" borderId="0" xfId="0" applyFont="1" applyFill="1"/>
    <xf numFmtId="0" fontId="0" fillId="40" borderId="0" xfId="0" applyFill="1"/>
    <xf numFmtId="0" fontId="0" fillId="34" borderId="45" xfId="0" applyFill="1" applyBorder="1"/>
    <xf numFmtId="0" fontId="0" fillId="34" borderId="46" xfId="0" applyFill="1" applyBorder="1"/>
    <xf numFmtId="0" fontId="0" fillId="34" borderId="47" xfId="0" applyFill="1" applyBorder="1"/>
    <xf numFmtId="0" fontId="16" fillId="34" borderId="48" xfId="0" applyFont="1" applyFill="1" applyBorder="1"/>
    <xf numFmtId="0" fontId="0" fillId="36" borderId="45" xfId="0" applyFill="1" applyBorder="1"/>
    <xf numFmtId="0" fontId="0" fillId="36" borderId="46" xfId="0" applyFill="1" applyBorder="1"/>
    <xf numFmtId="0" fontId="0" fillId="36" borderId="47" xfId="0" applyFill="1" applyBorder="1"/>
    <xf numFmtId="0" fontId="16" fillId="34" borderId="49" xfId="0" applyFont="1" applyFill="1" applyBorder="1"/>
    <xf numFmtId="0" fontId="0" fillId="33" borderId="50" xfId="0" applyFill="1" applyBorder="1" applyAlignment="1">
      <alignment horizontal="left"/>
    </xf>
    <xf numFmtId="0" fontId="0" fillId="33" borderId="51" xfId="0" applyFill="1" applyBorder="1"/>
    <xf numFmtId="0" fontId="0" fillId="35" borderId="52" xfId="0" applyFill="1" applyBorder="1" applyAlignment="1">
      <alignment horizontal="left"/>
    </xf>
    <xf numFmtId="0" fontId="16" fillId="35" borderId="52" xfId="0" applyFont="1" applyFill="1" applyBorder="1"/>
    <xf numFmtId="0" fontId="0" fillId="35" borderId="52" xfId="0" applyFill="1" applyBorder="1"/>
    <xf numFmtId="9" fontId="47" fillId="36" borderId="46" xfId="0" applyNumberFormat="1" applyFont="1" applyFill="1" applyBorder="1"/>
    <xf numFmtId="0" fontId="24" fillId="51" borderId="0" xfId="42" applyFill="1"/>
    <xf numFmtId="0" fontId="0" fillId="53" borderId="0" xfId="0" applyFill="1"/>
    <xf numFmtId="0" fontId="24" fillId="50" borderId="0" xfId="0" applyFont="1" applyFill="1"/>
    <xf numFmtId="0" fontId="0" fillId="50" borderId="0" xfId="0" applyFill="1"/>
    <xf numFmtId="0" fontId="24" fillId="47" borderId="0" xfId="42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49" fillId="41" borderId="53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47" borderId="52" xfId="0" applyFont="1" applyFill="1" applyBorder="1" applyAlignment="1">
      <alignment horizontal="center" vertical="center"/>
    </xf>
    <xf numFmtId="0" fontId="49" fillId="52" borderId="46" xfId="0" applyFont="1" applyFill="1" applyBorder="1" applyAlignment="1">
      <alignment horizontal="center" vertical="center"/>
    </xf>
    <xf numFmtId="0" fontId="49" fillId="0" borderId="0" xfId="42" applyFont="1" applyAlignment="1">
      <alignment horizontal="center" vertical="center"/>
    </xf>
    <xf numFmtId="0" fontId="21" fillId="36" borderId="52" xfId="0" applyFont="1" applyFill="1" applyBorder="1"/>
    <xf numFmtId="0" fontId="21" fillId="36" borderId="51" xfId="0" applyFont="1" applyFill="1" applyBorder="1"/>
    <xf numFmtId="0" fontId="0" fillId="33" borderId="48" xfId="0" applyFill="1" applyBorder="1" applyAlignment="1">
      <alignment horizontal="left"/>
    </xf>
    <xf numFmtId="0" fontId="0" fillId="33" borderId="50" xfId="0" applyFill="1" applyBorder="1"/>
    <xf numFmtId="0" fontId="0" fillId="33" borderId="52" xfId="0" applyFill="1" applyBorder="1"/>
    <xf numFmtId="0" fontId="16" fillId="34" borderId="50" xfId="0" applyFont="1" applyFill="1" applyBorder="1"/>
    <xf numFmtId="0" fontId="0" fillId="34" borderId="51" xfId="0" applyFill="1" applyBorder="1"/>
    <xf numFmtId="14" fontId="0" fillId="33" borderId="51" xfId="0" applyNumberFormat="1" applyFill="1" applyBorder="1"/>
    <xf numFmtId="164" fontId="0" fillId="33" borderId="50" xfId="0" applyNumberFormat="1" applyFill="1" applyBorder="1"/>
    <xf numFmtId="0" fontId="16" fillId="35" borderId="50" xfId="0" applyFont="1" applyFill="1" applyBorder="1"/>
    <xf numFmtId="0" fontId="0" fillId="35" borderId="51" xfId="0" applyFill="1" applyBorder="1"/>
    <xf numFmtId="14" fontId="16" fillId="34" borderId="48" xfId="0" applyNumberFormat="1" applyFont="1" applyFill="1" applyBorder="1"/>
    <xf numFmtId="0" fontId="0" fillId="34" borderId="48" xfId="0" applyFill="1" applyBorder="1" applyAlignment="1">
      <alignment horizontal="left"/>
    </xf>
    <xf numFmtId="164" fontId="0" fillId="33" borderId="48" xfId="0" applyNumberFormat="1" applyFill="1" applyBorder="1"/>
    <xf numFmtId="0" fontId="0" fillId="33" borderId="48" xfId="0" applyFill="1" applyBorder="1"/>
    <xf numFmtId="0" fontId="21" fillId="36" borderId="45" xfId="0" applyFont="1" applyFill="1" applyBorder="1"/>
    <xf numFmtId="0" fontId="21" fillId="36" borderId="46" xfId="0" applyFont="1" applyFill="1" applyBorder="1"/>
    <xf numFmtId="0" fontId="19" fillId="36" borderId="49" xfId="0" applyFont="1" applyFill="1" applyBorder="1"/>
    <xf numFmtId="0" fontId="16" fillId="37" borderId="49" xfId="0" applyFont="1" applyFill="1" applyBorder="1"/>
    <xf numFmtId="0" fontId="0" fillId="33" borderId="48" xfId="0" applyFill="1" applyBorder="1" applyAlignment="1">
      <alignment horizontal="left" shrinkToFit="1"/>
    </xf>
    <xf numFmtId="0" fontId="0" fillId="33" borderId="49" xfId="0" applyFill="1" applyBorder="1" applyAlignment="1">
      <alignment horizontal="left"/>
    </xf>
    <xf numFmtId="0" fontId="0" fillId="33" borderId="48" xfId="0" applyFill="1" applyBorder="1" applyAlignment="1">
      <alignment shrinkToFit="1"/>
    </xf>
    <xf numFmtId="0" fontId="16" fillId="33" borderId="52" xfId="0" applyFont="1" applyFill="1" applyBorder="1"/>
    <xf numFmtId="0" fontId="48" fillId="33" borderId="52" xfId="0" applyFont="1" applyFill="1" applyBorder="1"/>
    <xf numFmtId="0" fontId="16" fillId="37" borderId="50" xfId="0" applyFont="1" applyFill="1" applyBorder="1"/>
    <xf numFmtId="0" fontId="0" fillId="37" borderId="51" xfId="0" applyFill="1" applyBorder="1"/>
    <xf numFmtId="0" fontId="20" fillId="34" borderId="48" xfId="0" applyFont="1" applyFill="1" applyBorder="1"/>
    <xf numFmtId="0" fontId="0" fillId="34" borderId="48" xfId="0" applyFill="1" applyBorder="1"/>
    <xf numFmtId="0" fontId="49" fillId="45" borderId="53" xfId="0" applyFont="1" applyFill="1" applyBorder="1" applyAlignment="1">
      <alignment horizontal="center" vertical="center"/>
    </xf>
    <xf numFmtId="168" fontId="24" fillId="43" borderId="0" xfId="42" applyNumberFormat="1" applyFill="1"/>
    <xf numFmtId="0" fontId="25" fillId="53" borderId="54" xfId="46" applyFont="1" applyFill="1" applyBorder="1" applyAlignment="1">
      <alignment horizontal="center"/>
    </xf>
    <xf numFmtId="169" fontId="25" fillId="53" borderId="55" xfId="46" applyNumberFormat="1" applyFont="1" applyFill="1" applyBorder="1" applyAlignment="1">
      <alignment horizontal="center"/>
    </xf>
    <xf numFmtId="165" fontId="25" fillId="53" borderId="56" xfId="46" applyNumberFormat="1" applyFont="1" applyFill="1" applyBorder="1" applyAlignment="1">
      <alignment horizontal="center"/>
    </xf>
    <xf numFmtId="168" fontId="24" fillId="41" borderId="0" xfId="42" applyNumberFormat="1" applyFill="1"/>
    <xf numFmtId="2" fontId="25" fillId="53" borderId="57" xfId="46" applyNumberFormat="1" applyFont="1" applyFill="1" applyBorder="1" applyAlignment="1">
      <alignment horizontal="center"/>
    </xf>
    <xf numFmtId="0" fontId="24" fillId="38" borderId="0" xfId="42" applyFill="1" applyAlignment="1">
      <alignment horizontal="left"/>
    </xf>
    <xf numFmtId="168" fontId="24" fillId="40" borderId="0" xfId="42" applyNumberFormat="1" applyFill="1"/>
    <xf numFmtId="168" fontId="24" fillId="45" borderId="0" xfId="42" applyNumberFormat="1" applyFill="1"/>
    <xf numFmtId="0" fontId="0" fillId="45" borderId="0" xfId="0" applyFill="1" applyAlignment="1">
      <alignment horizontal="left"/>
    </xf>
    <xf numFmtId="0" fontId="0" fillId="47" borderId="0" xfId="0" applyFill="1" applyAlignment="1">
      <alignment horizontal="left"/>
    </xf>
    <xf numFmtId="0" fontId="0" fillId="41" borderId="0" xfId="0" applyFill="1" applyAlignment="1">
      <alignment horizontal="left"/>
    </xf>
    <xf numFmtId="168" fontId="24" fillId="54" borderId="0" xfId="42" applyNumberFormat="1" applyFill="1"/>
    <xf numFmtId="168" fontId="24" fillId="55" borderId="0" xfId="42" applyNumberFormat="1" applyFill="1"/>
    <xf numFmtId="168" fontId="24" fillId="47" borderId="0" xfId="42" applyNumberFormat="1" applyFill="1"/>
    <xf numFmtId="168" fontId="24" fillId="56" borderId="0" xfId="42" applyNumberFormat="1" applyFill="1"/>
    <xf numFmtId="0" fontId="0" fillId="41" borderId="0" xfId="0" applyFill="1"/>
    <xf numFmtId="0" fontId="50" fillId="57" borderId="0" xfId="0" applyFont="1" applyFill="1" applyAlignment="1">
      <alignment horizontal="left"/>
    </xf>
    <xf numFmtId="0" fontId="50" fillId="57" borderId="0" xfId="0" applyNumberFormat="1" applyFont="1" applyFill="1"/>
    <xf numFmtId="0" fontId="50" fillId="57" borderId="0" xfId="0" applyFont="1" applyFill="1"/>
    <xf numFmtId="168" fontId="24" fillId="58" borderId="0" xfId="42" applyNumberFormat="1" applyFill="1"/>
    <xf numFmtId="0" fontId="43" fillId="0" borderId="42" xfId="45" applyBorder="1" applyAlignment="1">
      <alignment horizontal="center" vertical="center" wrapText="1"/>
    </xf>
    <xf numFmtId="0" fontId="43" fillId="0" borderId="43" xfId="45" applyBorder="1" applyAlignment="1">
      <alignment horizontal="center" vertical="center" wrapText="1"/>
    </xf>
    <xf numFmtId="0" fontId="43" fillId="0" borderId="37" xfId="45" applyBorder="1" applyAlignment="1">
      <alignment horizontal="center" vertical="center" wrapText="1"/>
    </xf>
    <xf numFmtId="0" fontId="29" fillId="0" borderId="42" xfId="42" applyFont="1" applyBorder="1" applyAlignment="1">
      <alignment horizontal="center" vertical="center" wrapText="1"/>
    </xf>
    <xf numFmtId="0" fontId="29" fillId="0" borderId="37" xfId="42" applyFont="1" applyBorder="1" applyAlignment="1">
      <alignment horizontal="center" vertical="center" wrapText="1"/>
    </xf>
    <xf numFmtId="0" fontId="32" fillId="0" borderId="41" xfId="45" applyFont="1" applyBorder="1" applyAlignment="1">
      <alignment horizontal="center" vertical="center" wrapText="1"/>
    </xf>
    <xf numFmtId="0" fontId="32" fillId="0" borderId="26" xfId="45" applyFont="1" applyBorder="1" applyAlignment="1">
      <alignment horizontal="center" vertical="center" wrapText="1"/>
    </xf>
    <xf numFmtId="0" fontId="32" fillId="0" borderId="40" xfId="45" applyFont="1" applyBorder="1" applyAlignment="1">
      <alignment horizontal="center" vertical="center" wrapText="1"/>
    </xf>
    <xf numFmtId="0" fontId="32" fillId="0" borderId="39" xfId="45" applyFont="1" applyBorder="1" applyAlignment="1">
      <alignment horizontal="center" vertical="center" wrapText="1"/>
    </xf>
    <xf numFmtId="0" fontId="32" fillId="0" borderId="0" xfId="45" applyFont="1" applyAlignment="1">
      <alignment horizontal="center" vertical="center" wrapText="1"/>
    </xf>
    <xf numFmtId="0" fontId="32" fillId="0" borderId="38" xfId="45" applyFont="1" applyBorder="1" applyAlignment="1">
      <alignment horizontal="center" vertical="center" wrapText="1"/>
    </xf>
    <xf numFmtId="0" fontId="32" fillId="0" borderId="36" xfId="45" applyFont="1" applyBorder="1" applyAlignment="1">
      <alignment horizontal="center" vertical="center" wrapText="1"/>
    </xf>
    <xf numFmtId="0" fontId="32" fillId="0" borderId="27" xfId="45" applyFont="1" applyBorder="1" applyAlignment="1">
      <alignment horizontal="center" vertical="center" wrapText="1"/>
    </xf>
    <xf numFmtId="0" fontId="32" fillId="0" borderId="35" xfId="45" applyFont="1" applyBorder="1" applyAlignment="1">
      <alignment horizontal="center" vertical="center" wrapText="1"/>
    </xf>
    <xf numFmtId="0" fontId="25" fillId="39" borderId="0" xfId="45" applyFont="1" applyFill="1" applyAlignment="1"/>
    <xf numFmtId="0" fontId="25" fillId="39" borderId="14" xfId="45" applyFont="1" applyFill="1" applyBorder="1" applyAlignment="1"/>
    <xf numFmtId="0" fontId="25" fillId="39" borderId="29" xfId="45" applyFont="1" applyFill="1" applyBorder="1" applyAlignment="1"/>
    <xf numFmtId="0" fontId="25" fillId="39" borderId="30" xfId="45" applyFont="1" applyFill="1" applyBorder="1" applyAlignment="1"/>
    <xf numFmtId="0" fontId="25" fillId="0" borderId="32" xfId="42" applyFont="1" applyBorder="1" applyAlignment="1">
      <alignment horizontal="center"/>
    </xf>
    <xf numFmtId="0" fontId="25" fillId="0" borderId="34" xfId="42" applyFont="1" applyBorder="1" applyAlignment="1">
      <alignment horizontal="center"/>
    </xf>
    <xf numFmtId="0" fontId="25" fillId="0" borderId="33" xfId="42" applyFont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4 4" xfId="46"/>
    <cellStyle name="Normal 2" xfId="42"/>
    <cellStyle name="Normal 3" xfId="45"/>
    <cellStyle name="Normal 46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ont>
        <sz val="16"/>
      </font>
    </dxf>
    <dxf>
      <font>
        <sz val="16"/>
      </font>
    </dxf>
    <dxf>
      <fill>
        <patternFill patternType="solid">
          <bgColor rgb="FFCCFFCC"/>
        </patternFill>
      </fill>
    </dxf>
    <dxf>
      <fill>
        <patternFill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CCFFCC"/>
      <color rgb="FFFFFF99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20</xdr:col>
      <xdr:colOff>395226</xdr:colOff>
      <xdr:row>21</xdr:row>
      <xdr:rowOff>24959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6E402-5F50-4918-84AA-81732515A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3190476" cy="3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6350</xdr:rowOff>
    </xdr:from>
    <xdr:to>
      <xdr:col>26</xdr:col>
      <xdr:colOff>550219</xdr:colOff>
      <xdr:row>36</xdr:row>
      <xdr:rowOff>107609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7194D-60DA-470C-80C5-7E822F79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425950"/>
          <a:ext cx="16984019" cy="2311059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546100</xdr:colOff>
      <xdr:row>39</xdr:row>
      <xdr:rowOff>182495</xdr:rowOff>
    </xdr:from>
    <xdr:to>
      <xdr:col>17</xdr:col>
      <xdr:colOff>223940</xdr:colOff>
      <xdr:row>50</xdr:row>
      <xdr:rowOff>79121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5F0D24-2B60-4775-9CE1-A6AB4C29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100" y="7364345"/>
          <a:ext cx="11253890" cy="1922276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53</xdr:row>
      <xdr:rowOff>50800</xdr:rowOff>
    </xdr:from>
    <xdr:to>
      <xdr:col>14</xdr:col>
      <xdr:colOff>608386</xdr:colOff>
      <xdr:row>61</xdr:row>
      <xdr:rowOff>63314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B08E1D-6555-4A1E-BF9D-B295D961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350" y="9810750"/>
          <a:ext cx="9714286" cy="1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64</xdr:row>
      <xdr:rowOff>180842</xdr:rowOff>
    </xdr:from>
    <xdr:to>
      <xdr:col>15</xdr:col>
      <xdr:colOff>162134</xdr:colOff>
      <xdr:row>71</xdr:row>
      <xdr:rowOff>25399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588128-DAAD-47ED-A069-6165C3EE1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11966442"/>
          <a:ext cx="9896684" cy="11336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107950</xdr:rowOff>
    </xdr:from>
    <xdr:to>
      <xdr:col>27</xdr:col>
      <xdr:colOff>147074</xdr:colOff>
      <xdr:row>86</xdr:row>
      <xdr:rowOff>126929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CFC2F3-482C-476D-A35C-E38F3481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392400"/>
          <a:ext cx="17209524" cy="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75</xdr:row>
      <xdr:rowOff>3199</xdr:rowOff>
    </xdr:from>
    <xdr:to>
      <xdr:col>19</xdr:col>
      <xdr:colOff>64419</xdr:colOff>
      <xdr:row>83</xdr:row>
      <xdr:rowOff>82263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F13377-BE0D-4B04-AEF1-04403B082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250" y="13814449"/>
          <a:ext cx="12256419" cy="155226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90</xdr:row>
      <xdr:rowOff>31271</xdr:rowOff>
    </xdr:from>
    <xdr:to>
      <xdr:col>13</xdr:col>
      <xdr:colOff>236578</xdr:colOff>
      <xdr:row>96</xdr:row>
      <xdr:rowOff>104567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69B4B3-31E0-4104-9C83-C49834E5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16604771"/>
          <a:ext cx="8745578" cy="117819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99</xdr:row>
      <xdr:rowOff>87077</xdr:rowOff>
    </xdr:from>
    <xdr:to>
      <xdr:col>11</xdr:col>
      <xdr:colOff>506507</xdr:colOff>
      <xdr:row>106</xdr:row>
      <xdr:rowOff>6119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5E1778-9380-4040-BE3F-F770C08D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950" y="18317927"/>
          <a:ext cx="7809007" cy="12080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110</xdr:row>
      <xdr:rowOff>5848</xdr:rowOff>
    </xdr:from>
    <xdr:to>
      <xdr:col>10</xdr:col>
      <xdr:colOff>444500</xdr:colOff>
      <xdr:row>114</xdr:row>
      <xdr:rowOff>126999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854F92-A279-4F4A-987E-75ECEA2A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20262348"/>
          <a:ext cx="7124700" cy="857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67583</xdr:rowOff>
    </xdr:from>
    <xdr:to>
      <xdr:col>10</xdr:col>
      <xdr:colOff>565150</xdr:colOff>
      <xdr:row>121</xdr:row>
      <xdr:rowOff>149023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3A95B7-F096-4F11-A555-3428840DB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1613133"/>
          <a:ext cx="7264400" cy="81804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124</xdr:row>
      <xdr:rowOff>16207</xdr:rowOff>
    </xdr:from>
    <xdr:to>
      <xdr:col>12</xdr:col>
      <xdr:colOff>581966</xdr:colOff>
      <xdr:row>130</xdr:row>
      <xdr:rowOff>69545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DE2FC0-7FAC-40C9-A26B-F739702C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22850807"/>
          <a:ext cx="8487716" cy="1158238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133</xdr:row>
      <xdr:rowOff>61124</xdr:rowOff>
    </xdr:from>
    <xdr:to>
      <xdr:col>13</xdr:col>
      <xdr:colOff>29840</xdr:colOff>
      <xdr:row>139</xdr:row>
      <xdr:rowOff>25164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C16F33-A6E2-466E-BAD2-2D2EB770E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8000" y="24553074"/>
          <a:ext cx="8659490" cy="1068940"/>
        </a:xfrm>
        <a:prstGeom prst="rect">
          <a:avLst/>
        </a:prstGeom>
      </xdr:spPr>
    </xdr:pic>
    <xdr:clientData/>
  </xdr:twoCellAnchor>
  <xdr:twoCellAnchor editAs="oneCell">
    <xdr:from>
      <xdr:col>0</xdr:col>
      <xdr:colOff>590092</xdr:colOff>
      <xdr:row>141</xdr:row>
      <xdr:rowOff>38100</xdr:rowOff>
    </xdr:from>
    <xdr:to>
      <xdr:col>13</xdr:col>
      <xdr:colOff>0</xdr:colOff>
      <xdr:row>146</xdr:row>
      <xdr:rowOff>152179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34C7D0-12B5-4E46-90CC-CA1E707B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0092" y="25824180"/>
          <a:ext cx="8515808" cy="102847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149</xdr:row>
      <xdr:rowOff>75856</xdr:rowOff>
    </xdr:from>
    <xdr:to>
      <xdr:col>12</xdr:col>
      <xdr:colOff>495300</xdr:colOff>
      <xdr:row>157</xdr:row>
      <xdr:rowOff>114299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7327B7D-6DAD-409F-8756-575FF8B0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0080" y="27324976"/>
          <a:ext cx="8351520" cy="1501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701301</xdr:colOff>
      <xdr:row>7</xdr:row>
      <xdr:rowOff>253067</xdr:rowOff>
    </xdr:from>
    <xdr:to>
      <xdr:col>5</xdr:col>
      <xdr:colOff>97584</xdr:colOff>
      <xdr:row>12</xdr:row>
      <xdr:rowOff>98520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3ED2873-7404-4A78-A3E1-DAC961930337}"/>
            </a:ext>
          </a:extLst>
        </xdr:cNvPr>
        <xdr:cNvSpPr/>
      </xdr:nvSpPr>
      <xdr:spPr>
        <a:xfrm>
          <a:off x="701301" y="1411942"/>
          <a:ext cx="3293596" cy="7820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Needs to be udpdated</a:t>
          </a:r>
          <a:r>
            <a:rPr lang="en-US" sz="1100" baseline="0"/>
            <a:t> with last weeks total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1481668</xdr:colOff>
      <xdr:row>18</xdr:row>
      <xdr:rowOff>101515</xdr:rowOff>
    </xdr:from>
    <xdr:to>
      <xdr:col>18</xdr:col>
      <xdr:colOff>753535</xdr:colOff>
      <xdr:row>27</xdr:row>
      <xdr:rowOff>140758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E50B6-59BA-46F8-9CF4-DD0B9F60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4668" y="3742182"/>
          <a:ext cx="5398558" cy="1750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14313\AppData\Local\Microsoft\Windows\INetCache\Content.Outlook\DFKIY881\EMI%20SR%2011.20.2023%20177D%20MY%2023.5-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\PPC%20Department\TOYOTA%20909W%20(%20200D,%20220D)\SR\SOP\2026\2.%20FEB\1.%20JAI%20491D%20564D%20Template%20FINAL%20WK%201-19-2025%20DATA%20PIVO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Workarea\PRODUCTION%20CONTROL\Affiliates%20Capacity%20Database\Capacity%20Confirmation\2023\EMI\Nov%202023\Returned%20YNAN-EMI%20Capacity%20Confirmation%20Form%20SR%2011-09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7D"/>
      <sheetName val="Sheet1"/>
      <sheetName val="177D TOTALs"/>
      <sheetName val="Prod. Line Totals"/>
      <sheetName val="Timing Table"/>
      <sheetName val="Chart"/>
    </sheetNames>
    <sheetDataSet>
      <sheetData sheetId="0"/>
      <sheetData sheetId="1" refreshError="1"/>
      <sheetData sheetId="2" refreshError="1"/>
      <sheetData sheetId="3"/>
      <sheetData sheetId="4"/>
      <sheetData sheetId="5">
        <row r="66">
          <cell r="A66" t="str">
            <v>24010-P42M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SUMMARY"/>
      <sheetName val="Final SR"/>
      <sheetName val="Sheet1"/>
      <sheetName val="JAI TOTALs"/>
      <sheetName val="TOTALss"/>
      <sheetName val="Timing Table"/>
      <sheetName val="GRAPH"/>
      <sheetName val="1"/>
    </sheetNames>
    <sheetDataSet>
      <sheetData sheetId="0"/>
      <sheetData sheetId="1">
        <row r="5">
          <cell r="A5" t="str">
            <v>82115-0E310</v>
          </cell>
        </row>
      </sheetData>
      <sheetData sheetId="2">
        <row r="10">
          <cell r="BJ10" t="str">
            <v>ETD Date</v>
          </cell>
        </row>
        <row r="11">
          <cell r="BJ11" t="str">
            <v>ETA Date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I"/>
    </sheetNames>
    <sheetDataSet>
      <sheetData sheetId="0" refreshError="1">
        <row r="5">
          <cell r="D5" t="str">
            <v>ETD Port</v>
          </cell>
          <cell r="E5">
            <v>45255</v>
          </cell>
          <cell r="F5">
            <v>45262</v>
          </cell>
          <cell r="G5">
            <v>45269</v>
          </cell>
          <cell r="H5">
            <v>45276</v>
          </cell>
          <cell r="I5">
            <v>45283</v>
          </cell>
          <cell r="J5">
            <v>45290</v>
          </cell>
          <cell r="K5">
            <v>45297</v>
          </cell>
          <cell r="L5">
            <v>45304</v>
          </cell>
          <cell r="M5">
            <v>45311</v>
          </cell>
          <cell r="N5">
            <v>45318</v>
          </cell>
          <cell r="O5">
            <v>45325</v>
          </cell>
          <cell r="P5">
            <v>45332</v>
          </cell>
          <cell r="Q5">
            <v>45339</v>
          </cell>
          <cell r="R5">
            <v>45346</v>
          </cell>
          <cell r="S5">
            <v>45353</v>
          </cell>
          <cell r="T5">
            <v>45360</v>
          </cell>
          <cell r="U5">
            <v>45367</v>
          </cell>
          <cell r="V5">
            <v>45374</v>
          </cell>
          <cell r="W5">
            <v>45381</v>
          </cell>
          <cell r="X5">
            <v>45388</v>
          </cell>
          <cell r="Y5">
            <v>45395</v>
          </cell>
          <cell r="Z5">
            <v>45402</v>
          </cell>
          <cell r="AA5">
            <v>45409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D7" t="str">
            <v>Order NET</v>
          </cell>
          <cell r="E7">
            <v>3312</v>
          </cell>
          <cell r="F7">
            <v>3360</v>
          </cell>
          <cell r="G7">
            <v>3504</v>
          </cell>
          <cell r="H7">
            <v>3504</v>
          </cell>
          <cell r="I7">
            <v>3504</v>
          </cell>
          <cell r="J7">
            <v>2640</v>
          </cell>
          <cell r="K7">
            <v>0</v>
          </cell>
          <cell r="L7">
            <v>3216</v>
          </cell>
          <cell r="M7">
            <v>2976</v>
          </cell>
          <cell r="N7">
            <v>2928</v>
          </cell>
          <cell r="O7">
            <v>2688</v>
          </cell>
          <cell r="P7">
            <v>2688</v>
          </cell>
          <cell r="Q7">
            <v>2688</v>
          </cell>
          <cell r="R7">
            <v>2640</v>
          </cell>
          <cell r="S7">
            <v>2496</v>
          </cell>
          <cell r="T7">
            <v>2448</v>
          </cell>
          <cell r="U7">
            <v>2256</v>
          </cell>
          <cell r="V7">
            <v>2256</v>
          </cell>
          <cell r="W7">
            <v>2256</v>
          </cell>
          <cell r="X7">
            <v>2256</v>
          </cell>
          <cell r="Y7">
            <v>2256</v>
          </cell>
          <cell r="Z7">
            <v>2256</v>
          </cell>
          <cell r="AA7">
            <v>2256</v>
          </cell>
        </row>
        <row r="8">
          <cell r="D8" t="str">
            <v xml:space="preserve"> Order CUM</v>
          </cell>
          <cell r="E8">
            <v>325272</v>
          </cell>
          <cell r="F8">
            <v>328632</v>
          </cell>
          <cell r="G8">
            <v>332136</v>
          </cell>
          <cell r="H8">
            <v>335640</v>
          </cell>
          <cell r="I8">
            <v>339144</v>
          </cell>
          <cell r="J8">
            <v>341784</v>
          </cell>
          <cell r="K8">
            <v>341784</v>
          </cell>
          <cell r="L8">
            <v>345000</v>
          </cell>
          <cell r="M8">
            <v>347976</v>
          </cell>
          <cell r="N8">
            <v>350904</v>
          </cell>
          <cell r="O8">
            <v>353592</v>
          </cell>
          <cell r="P8">
            <v>356280</v>
          </cell>
          <cell r="Q8">
            <v>358968</v>
          </cell>
          <cell r="R8">
            <v>361608</v>
          </cell>
          <cell r="S8">
            <v>364104</v>
          </cell>
          <cell r="T8">
            <v>366552</v>
          </cell>
          <cell r="U8">
            <v>368808</v>
          </cell>
          <cell r="V8">
            <v>371064</v>
          </cell>
          <cell r="W8">
            <v>373320</v>
          </cell>
          <cell r="X8">
            <v>375576</v>
          </cell>
          <cell r="Y8">
            <v>377832</v>
          </cell>
          <cell r="Z8">
            <v>380088</v>
          </cell>
          <cell r="AA8">
            <v>382344</v>
          </cell>
        </row>
        <row r="9">
          <cell r="D9" t="str">
            <v>SHIP NET</v>
          </cell>
          <cell r="E9">
            <v>3312</v>
          </cell>
          <cell r="F9">
            <v>3360</v>
          </cell>
          <cell r="G9">
            <v>3504</v>
          </cell>
          <cell r="H9">
            <v>3504</v>
          </cell>
          <cell r="I9">
            <v>3504</v>
          </cell>
          <cell r="J9">
            <v>2640</v>
          </cell>
          <cell r="K9">
            <v>0</v>
          </cell>
          <cell r="L9">
            <v>3216</v>
          </cell>
          <cell r="M9">
            <v>2976</v>
          </cell>
          <cell r="N9">
            <v>2928</v>
          </cell>
          <cell r="O9">
            <v>2688</v>
          </cell>
          <cell r="P9">
            <v>2688</v>
          </cell>
          <cell r="Q9">
            <v>2688</v>
          </cell>
          <cell r="R9">
            <v>2640</v>
          </cell>
          <cell r="S9">
            <v>2496</v>
          </cell>
          <cell r="T9">
            <v>2448</v>
          </cell>
          <cell r="U9">
            <v>2256</v>
          </cell>
          <cell r="V9">
            <v>2256</v>
          </cell>
          <cell r="W9">
            <v>2256</v>
          </cell>
          <cell r="X9">
            <v>2256</v>
          </cell>
          <cell r="Y9">
            <v>2256</v>
          </cell>
          <cell r="Z9">
            <v>2256</v>
          </cell>
          <cell r="AA9">
            <v>2256</v>
          </cell>
        </row>
        <row r="10">
          <cell r="D10" t="str">
            <v xml:space="preserve"> SHIP CUM</v>
          </cell>
          <cell r="E10">
            <v>325272</v>
          </cell>
          <cell r="F10">
            <v>328632</v>
          </cell>
          <cell r="G10">
            <v>332136</v>
          </cell>
          <cell r="H10">
            <v>335640</v>
          </cell>
          <cell r="I10">
            <v>339144</v>
          </cell>
          <cell r="J10">
            <v>341784</v>
          </cell>
          <cell r="K10">
            <v>341784</v>
          </cell>
          <cell r="L10">
            <v>345000</v>
          </cell>
          <cell r="M10">
            <v>347976</v>
          </cell>
          <cell r="N10">
            <v>350904</v>
          </cell>
          <cell r="O10">
            <v>353592</v>
          </cell>
          <cell r="P10">
            <v>356280</v>
          </cell>
          <cell r="Q10">
            <v>358968</v>
          </cell>
          <cell r="R10">
            <v>361608</v>
          </cell>
          <cell r="S10">
            <v>364104</v>
          </cell>
          <cell r="T10">
            <v>366552</v>
          </cell>
          <cell r="U10">
            <v>368808</v>
          </cell>
          <cell r="V10">
            <v>371064</v>
          </cell>
          <cell r="W10">
            <v>373320</v>
          </cell>
          <cell r="X10">
            <v>375576</v>
          </cell>
          <cell r="Y10">
            <v>377832</v>
          </cell>
          <cell r="Z10">
            <v>380088</v>
          </cell>
          <cell r="AA10">
            <v>382344</v>
          </cell>
        </row>
        <row r="11">
          <cell r="D11" t="str">
            <v>Balance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D12" t="str">
            <v>Qty/Hour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D13" t="str">
            <v>Reg Hrs/ Day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D14" t="str">
            <v>OT Hrs/Day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D15" t="str">
            <v>Total Hrs/Day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D16" t="str">
            <v>Daily Target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D17" t="str">
            <v>Days/Week</v>
          </cell>
          <cell r="E17">
            <v>5</v>
          </cell>
          <cell r="F17">
            <v>5</v>
          </cell>
          <cell r="G17">
            <v>4</v>
          </cell>
          <cell r="H17">
            <v>6</v>
          </cell>
          <cell r="I17">
            <v>5</v>
          </cell>
          <cell r="J17">
            <v>4</v>
          </cell>
          <cell r="K17">
            <v>0</v>
          </cell>
          <cell r="L17">
            <v>4</v>
          </cell>
          <cell r="M17">
            <v>5</v>
          </cell>
          <cell r="N17">
            <v>6</v>
          </cell>
          <cell r="O17">
            <v>5</v>
          </cell>
          <cell r="P17">
            <v>6</v>
          </cell>
          <cell r="Q17">
            <v>5</v>
          </cell>
          <cell r="R17">
            <v>6</v>
          </cell>
          <cell r="S17">
            <v>5</v>
          </cell>
          <cell r="T17">
            <v>6</v>
          </cell>
          <cell r="U17">
            <v>5</v>
          </cell>
          <cell r="V17">
            <v>6</v>
          </cell>
          <cell r="W17">
            <v>5</v>
          </cell>
          <cell r="X17">
            <v>2</v>
          </cell>
          <cell r="Y17">
            <v>4</v>
          </cell>
          <cell r="Z17">
            <v>4</v>
          </cell>
          <cell r="AA17">
            <v>5</v>
          </cell>
        </row>
        <row r="18">
          <cell r="D18" t="str">
            <v>Prodn Qty</v>
          </cell>
          <cell r="E18">
            <v>3780</v>
          </cell>
          <cell r="F18">
            <v>3780</v>
          </cell>
          <cell r="G18">
            <v>2640</v>
          </cell>
          <cell r="H18">
            <v>4600</v>
          </cell>
          <cell r="I18">
            <v>3780</v>
          </cell>
          <cell r="J18">
            <v>2640</v>
          </cell>
          <cell r="K18">
            <v>0</v>
          </cell>
          <cell r="L18">
            <v>2640</v>
          </cell>
          <cell r="M18">
            <v>3300</v>
          </cell>
          <cell r="N18">
            <v>3300</v>
          </cell>
          <cell r="O18">
            <v>2475</v>
          </cell>
          <cell r="P18">
            <v>2970</v>
          </cell>
          <cell r="Q18">
            <v>2475</v>
          </cell>
          <cell r="R18">
            <v>2970</v>
          </cell>
          <cell r="S18">
            <v>2475</v>
          </cell>
          <cell r="T18">
            <v>2475</v>
          </cell>
          <cell r="U18">
            <v>2310</v>
          </cell>
          <cell r="V18">
            <v>2805</v>
          </cell>
          <cell r="W18">
            <v>2475</v>
          </cell>
          <cell r="X18">
            <v>990</v>
          </cell>
          <cell r="Y18">
            <v>1980</v>
          </cell>
          <cell r="Z18">
            <v>1980</v>
          </cell>
          <cell r="AA18">
            <v>2475</v>
          </cell>
        </row>
        <row r="19">
          <cell r="D19">
            <v>-457</v>
          </cell>
          <cell r="E19">
            <v>11</v>
          </cell>
          <cell r="F19">
            <v>431</v>
          </cell>
          <cell r="G19">
            <v>-433</v>
          </cell>
          <cell r="H19">
            <v>663</v>
          </cell>
          <cell r="I19">
            <v>939</v>
          </cell>
          <cell r="J19">
            <v>939</v>
          </cell>
          <cell r="K19">
            <v>939</v>
          </cell>
          <cell r="L19">
            <v>363</v>
          </cell>
          <cell r="M19">
            <v>687</v>
          </cell>
          <cell r="N19">
            <v>1059</v>
          </cell>
          <cell r="O19">
            <v>846</v>
          </cell>
          <cell r="P19">
            <v>1128</v>
          </cell>
          <cell r="Q19">
            <v>915</v>
          </cell>
          <cell r="R19">
            <v>1245</v>
          </cell>
          <cell r="S19">
            <v>1224</v>
          </cell>
          <cell r="T19">
            <v>1251</v>
          </cell>
          <cell r="U19">
            <v>1305</v>
          </cell>
          <cell r="V19">
            <v>1854</v>
          </cell>
          <cell r="W19">
            <v>2073</v>
          </cell>
          <cell r="X19">
            <v>807</v>
          </cell>
          <cell r="Y19">
            <v>531</v>
          </cell>
          <cell r="Z19">
            <v>255</v>
          </cell>
          <cell r="AA19">
            <v>474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yta A. R." refreshedDate="46090.362899305554" createdVersion="6" refreshedVersion="6" minRefreshableVersion="3" recordCount="425">
  <cacheSource type="worksheet">
    <worksheetSource ref="BJ11:DJ436" sheet="Final SR"/>
  </cacheSource>
  <cacheFields count="53">
    <cacheField name="ETA Date" numFmtId="0">
      <sharedItems containsBlank="1" count="46">
        <s v="82115-0EA10 J"/>
        <m/>
        <s v="82115-0EA10 K"/>
        <s v="82115-0E480 K"/>
        <s v="82115-0E490 J"/>
        <s v="82115-0E490 K"/>
        <s v="82115-0EA00."/>
        <s v="82115-0EA00 L"/>
        <s v="82115-0EA00 M"/>
        <s v="82115-0E440."/>
        <s v="82115-0E440 L"/>
        <s v="82115-0E440 M"/>
        <s v="82115-0E460."/>
        <s v="82115-0E460 L"/>
        <s v="82115-0E460 M"/>
        <s v="82115-0E450."/>
        <s v="82115-0E450 L"/>
        <s v="82115-0E450 M"/>
        <s v="82115-0E310"/>
        <s v="82115-0E310 B"/>
        <s v="82115-0EZ80"/>
        <s v="82115-0EZ80 B"/>
        <s v="82115-0EZ30"/>
        <s v="82115-0EZ30 B"/>
        <s v="82115-0EZ60 B"/>
        <s v="82115-0EZ40 B"/>
        <s v="82115-0EZ90 B"/>
        <s v="82115-0EZ70"/>
        <s v="82115-0EZ70 B"/>
        <s v="82115-0EZ50 B"/>
        <s v="82115-0E561 B"/>
        <s v="82115-0E541"/>
        <s v="82115-0E541 B"/>
        <s v="82115-0E521 B"/>
        <s v="82115-0E501"/>
        <s v="82115-0E501 B"/>
        <s v="82115-0EA21"/>
        <s v="82115-0EA21 B"/>
        <s v="82115-0E551"/>
        <s v="82115-0E551 B"/>
        <s v="82115-0EA31"/>
        <s v="82115-0EA31 B"/>
        <s v="82115-0E531 B"/>
        <s v="82115-0E511 B"/>
        <s v="82115-0E490" u="1"/>
        <s v="82115-0EA10" u="1"/>
      </sharedItems>
    </cacheField>
    <cacheField name="2-Mar" numFmtId="0">
      <sharedItems containsString="0" containsBlank="1" containsNumber="1" containsInteger="1" minValue="0" maxValue="1444"/>
    </cacheField>
    <cacheField name="9-Mar" numFmtId="0">
      <sharedItems containsString="0" containsBlank="1" containsNumber="1" containsInteger="1" minValue="0" maxValue="784"/>
    </cacheField>
    <cacheField name="16-Mar" numFmtId="0">
      <sharedItems containsString="0" containsBlank="1" containsNumber="1" containsInteger="1" minValue="0" maxValue="748"/>
    </cacheField>
    <cacheField name="23-Mar" numFmtId="0">
      <sharedItems containsString="0" containsBlank="1" containsNumber="1" containsInteger="1" minValue="0" maxValue="1000"/>
    </cacheField>
    <cacheField name="30-Mar" numFmtId="0">
      <sharedItems containsString="0" containsBlank="1" containsNumber="1" containsInteger="1" minValue="0" maxValue="1172"/>
    </cacheField>
    <cacheField name="6-Apr" numFmtId="0">
      <sharedItems containsString="0" containsBlank="1" containsNumber="1" containsInteger="1" minValue="0" maxValue="700"/>
    </cacheField>
    <cacheField name="13-Apr" numFmtId="0">
      <sharedItems containsString="0" containsBlank="1" containsNumber="1" containsInteger="1" minValue="0" maxValue="1100"/>
    </cacheField>
    <cacheField name="20-Apr" numFmtId="0">
      <sharedItems containsString="0" containsBlank="1" containsNumber="1" containsInteger="1" minValue="0" maxValue="1500"/>
    </cacheField>
    <cacheField name="27-Apr" numFmtId="0">
      <sharedItems containsString="0" containsBlank="1" containsNumber="1" containsInteger="1" minValue="0" maxValue="0"/>
    </cacheField>
    <cacheField name="4-May" numFmtId="0">
      <sharedItems containsString="0" containsBlank="1" containsNumber="1" containsInteger="1" minValue="0" maxValue="596"/>
    </cacheField>
    <cacheField name="11-May" numFmtId="0">
      <sharedItems containsString="0" containsBlank="1" containsNumber="1" containsInteger="1" minValue="0" maxValue="800"/>
    </cacheField>
    <cacheField name="18-May" numFmtId="0">
      <sharedItems containsString="0" containsBlank="1" containsNumber="1" containsInteger="1" minValue="0" maxValue="680"/>
    </cacheField>
    <cacheField name="25-May" numFmtId="0">
      <sharedItems containsString="0" containsBlank="1" containsNumber="1" containsInteger="1" minValue="0" maxValue="460"/>
    </cacheField>
    <cacheField name="1-Jun" numFmtId="0">
      <sharedItems containsString="0" containsBlank="1" containsNumber="1" containsInteger="1" minValue="0" maxValue="580"/>
    </cacheField>
    <cacheField name="8-Jun" numFmtId="0">
      <sharedItems containsString="0" containsBlank="1" containsNumber="1" containsInteger="1" minValue="0" maxValue="372"/>
    </cacheField>
    <cacheField name="15-Jun" numFmtId="0">
      <sharedItems containsString="0" containsBlank="1" containsNumber="1" containsInteger="1" minValue="0" maxValue="368"/>
    </cacheField>
    <cacheField name="22-Jun" numFmtId="0">
      <sharedItems containsString="0" containsBlank="1" containsNumber="1" containsInteger="1" minValue="0" maxValue="692"/>
    </cacheField>
    <cacheField name="29-Jun" numFmtId="0">
      <sharedItems containsString="0" containsBlank="1" containsNumber="1" containsInteger="1" minValue="0" maxValue="728"/>
    </cacheField>
    <cacheField name="6-Jul" numFmtId="0">
      <sharedItems containsString="0" containsBlank="1" containsNumber="1" containsInteger="1" minValue="0" maxValue="728"/>
    </cacheField>
    <cacheField name="13-Jul" numFmtId="0">
      <sharedItems containsString="0" containsBlank="1" containsNumber="1" containsInteger="1" minValue="0" maxValue="732"/>
    </cacheField>
    <cacheField name="20-Jul" numFmtId="0">
      <sharedItems containsString="0" containsBlank="1" containsNumber="1" containsInteger="1" minValue="0" maxValue="476"/>
    </cacheField>
    <cacheField name="27-Jul" numFmtId="0">
      <sharedItems containsString="0" containsBlank="1" containsNumber="1" containsInteger="1" minValue="0" maxValue="480"/>
    </cacheField>
    <cacheField name="3-Aug" numFmtId="0">
      <sharedItems containsString="0" containsBlank="1" containsNumber="1" containsInteger="1" minValue="0" maxValue="700"/>
    </cacheField>
    <cacheField name="10-Aug" numFmtId="0">
      <sharedItems containsString="0" containsBlank="1" containsNumber="1" containsInteger="1" minValue="0" maxValue="704"/>
    </cacheField>
    <cacheField name="17-Aug" numFmtId="0">
      <sharedItems containsString="0" containsBlank="1" containsNumber="1" containsInteger="1" minValue="0" maxValue="700"/>
    </cacheField>
    <cacheField name="24-Aug" numFmtId="0">
      <sharedItems containsString="0" containsBlank="1" containsNumber="1" containsInteger="1" minValue="0" maxValue="692"/>
    </cacheField>
    <cacheField name="31-Aug" numFmtId="0">
      <sharedItems containsString="0" containsBlank="1" containsNumber="1" containsInteger="1" minValue="0" maxValue="744"/>
    </cacheField>
    <cacheField name="7-Sep" numFmtId="0">
      <sharedItems containsString="0" containsBlank="1" containsNumber="1" containsInteger="1" minValue="0" maxValue="744"/>
    </cacheField>
    <cacheField name="14-Sep" numFmtId="0">
      <sharedItems containsString="0" containsBlank="1" containsNumber="1" containsInteger="1" minValue="0" maxValue="744"/>
    </cacheField>
    <cacheField name="21-Sep" numFmtId="0">
      <sharedItems containsString="0" containsBlank="1" containsNumber="1" containsInteger="1" minValue="0" maxValue="912"/>
    </cacheField>
    <cacheField name="28-Sep" numFmtId="0">
      <sharedItems containsString="0" containsBlank="1" containsNumber="1" containsInteger="1" minValue="0" maxValue="800"/>
    </cacheField>
    <cacheField name="5-Oct" numFmtId="0">
      <sharedItems containsString="0" containsBlank="1" containsNumber="1" containsInteger="1" minValue="0" maxValue="800"/>
    </cacheField>
    <cacheField name="12-Oct" numFmtId="0">
      <sharedItems containsString="0" containsBlank="1" containsNumber="1" containsInteger="1" minValue="0" maxValue="800"/>
    </cacheField>
    <cacheField name="19-Oct" numFmtId="0">
      <sharedItems containsString="0" containsBlank="1" containsNumber="1" containsInteger="1" minValue="0" maxValue="800"/>
    </cacheField>
    <cacheField name="26-Oct" numFmtId="0">
      <sharedItems containsString="0" containsBlank="1" containsNumber="1" containsInteger="1" minValue="0" maxValue="800"/>
    </cacheField>
    <cacheField name="2-Nov" numFmtId="0">
      <sharedItems containsString="0" containsBlank="1" containsNumber="1" containsInteger="1" minValue="0" maxValue="800"/>
    </cacheField>
    <cacheField name="9-Nov" numFmtId="0">
      <sharedItems containsString="0" containsBlank="1" containsNumber="1" containsInteger="1" minValue="0" maxValue="800"/>
    </cacheField>
    <cacheField name="16-Nov" numFmtId="0">
      <sharedItems containsString="0" containsBlank="1" containsNumber="1" containsInteger="1" minValue="0" maxValue="800"/>
    </cacheField>
    <cacheField name="23-Nov" numFmtId="0">
      <sharedItems containsString="0" containsBlank="1" containsNumber="1" containsInteger="1" minValue="0" maxValue="800"/>
    </cacheField>
    <cacheField name="30-Nov" numFmtId="0">
      <sharedItems containsString="0" containsBlank="1" containsNumber="1" containsInteger="1" minValue="0" maxValue="800"/>
    </cacheField>
    <cacheField name="7-Dec" numFmtId="0">
      <sharedItems containsString="0" containsBlank="1" containsNumber="1" containsInteger="1" minValue="0" maxValue="800"/>
    </cacheField>
    <cacheField name="14-Dec" numFmtId="0">
      <sharedItems containsString="0" containsBlank="1" containsNumber="1" containsInteger="1" minValue="0" maxValue="800"/>
    </cacheField>
    <cacheField name="21-Dec" numFmtId="0">
      <sharedItems containsString="0" containsBlank="1" containsNumber="1" containsInteger="1" minValue="0" maxValue="800"/>
    </cacheField>
    <cacheField name="28-Dec" numFmtId="0">
      <sharedItems containsString="0" containsBlank="1" containsNumber="1" containsInteger="1" minValue="0" maxValue="800"/>
    </cacheField>
    <cacheField name="4-Jan" numFmtId="0">
      <sharedItems containsString="0" containsBlank="1" containsNumber="1" containsInteger="1" minValue="0" maxValue="800"/>
    </cacheField>
    <cacheField name="11-Jan" numFmtId="0">
      <sharedItems containsString="0" containsBlank="1" containsNumber="1" containsInteger="1" minValue="0" maxValue="800"/>
    </cacheField>
    <cacheField name="12-Jan" numFmtId="0">
      <sharedItems containsString="0" containsBlank="1" containsNumber="1" containsInteger="1" minValue="0" maxValue="800"/>
    </cacheField>
    <cacheField name="19-Jan" numFmtId="0">
      <sharedItems containsString="0" containsBlank="1" containsNumber="1" containsInteger="1" minValue="0" maxValue="800"/>
    </cacheField>
    <cacheField name="26-Jan" numFmtId="0">
      <sharedItems containsString="0" containsBlank="1" containsNumber="1" containsInteger="1" minValue="0" maxValue="800"/>
    </cacheField>
    <cacheField name="2-Feb" numFmtId="0">
      <sharedItems containsString="0" containsBlank="1" containsNumber="1" containsInteger="1" minValue="0" maxValue="800"/>
    </cacheField>
    <cacheField name="9-Feb" numFmtId="0">
      <sharedItems containsString="0" containsBlank="1" containsNumber="1" containsInteger="1" minValue="0" maxValue="800"/>
    </cacheField>
    <cacheField name="16-Feb" numFmtId="0">
      <sharedItems containsString="0" containsBlank="1" containsNumber="1" containsInteger="1" minValue="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5">
  <r>
    <x v="0"/>
    <n v="1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456"/>
    <n v="680"/>
    <n v="320"/>
    <n v="592"/>
    <n v="1172"/>
    <n v="640"/>
    <n v="400"/>
    <n v="780"/>
    <n v="0"/>
    <n v="496"/>
    <n v="228"/>
    <n v="512"/>
    <n v="284"/>
    <n v="480"/>
    <n v="304"/>
    <n v="304"/>
    <n v="432"/>
    <n v="564"/>
    <n v="564"/>
    <n v="568"/>
    <n v="476"/>
    <n v="480"/>
    <n v="392"/>
    <n v="544"/>
    <n v="324"/>
    <n v="556"/>
    <n v="528"/>
    <n v="532"/>
    <n v="732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788"/>
    <n v="348"/>
    <n v="348"/>
    <n v="348"/>
    <n v="348"/>
    <n v="348"/>
    <n v="520"/>
    <n v="524"/>
    <n v="0"/>
    <n v="596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n v="136"/>
    <n v="84"/>
    <n v="168"/>
    <n v="228"/>
    <n v="0"/>
    <n v="56"/>
    <n v="304"/>
    <n v="0"/>
    <n v="0"/>
    <n v="52"/>
    <n v="84"/>
    <n v="88"/>
    <n v="84"/>
    <n v="76"/>
    <n v="60"/>
    <n v="60"/>
    <n v="80"/>
    <n v="104"/>
    <n v="100"/>
    <n v="104"/>
    <n v="84"/>
    <n v="112"/>
    <n v="68"/>
    <n v="100"/>
    <n v="40"/>
    <n v="104"/>
    <n v="96"/>
    <n v="96"/>
    <n v="156"/>
    <n v="112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n v="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272"/>
    <n v="408"/>
    <n v="292"/>
    <n v="180"/>
    <n v="240"/>
    <n v="464"/>
    <n v="76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0"/>
    <n v="0"/>
    <n v="0"/>
    <n v="0"/>
    <n v="0"/>
    <n v="0"/>
    <n v="0"/>
    <n v="412"/>
    <n v="0"/>
    <n v="464"/>
    <n v="460"/>
    <n v="432"/>
    <n v="332"/>
    <n v="240"/>
    <n v="180"/>
    <n v="180"/>
    <n v="240"/>
    <n v="328"/>
    <n v="332"/>
    <n v="328"/>
    <n v="280"/>
    <n v="276"/>
    <n v="228"/>
    <n v="320"/>
    <n v="196"/>
    <n v="264"/>
    <n v="380"/>
    <n v="380"/>
    <n v="536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1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260"/>
    <n v="364"/>
    <n v="380"/>
    <n v="600"/>
    <n v="936"/>
    <n v="476"/>
    <n v="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0"/>
    <n v="0"/>
    <n v="0"/>
    <n v="0"/>
    <n v="0"/>
    <n v="0"/>
    <n v="192"/>
    <n v="428"/>
    <n v="0"/>
    <n v="416"/>
    <n v="412"/>
    <n v="364"/>
    <n v="360"/>
    <n v="224"/>
    <n v="168"/>
    <n v="168"/>
    <n v="220"/>
    <n v="308"/>
    <n v="304"/>
    <n v="308"/>
    <n v="260"/>
    <n v="260"/>
    <n v="212"/>
    <n v="296"/>
    <n v="176"/>
    <n v="252"/>
    <n v="352"/>
    <n v="35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04"/>
    <n v="408"/>
    <n v="504"/>
    <n v="0"/>
    <n v="264"/>
    <n v="380"/>
    <n v="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0"/>
    <n v="0"/>
    <n v="0"/>
    <n v="0"/>
    <n v="0"/>
    <n v="0"/>
    <n v="12"/>
    <n v="532"/>
    <n v="0"/>
    <n v="480"/>
    <n v="500"/>
    <n v="392"/>
    <n v="328"/>
    <n v="240"/>
    <n v="180"/>
    <n v="180"/>
    <n v="236"/>
    <n v="328"/>
    <n v="328"/>
    <n v="328"/>
    <n v="280"/>
    <n v="276"/>
    <n v="232"/>
    <n v="312"/>
    <n v="196"/>
    <n v="264"/>
    <n v="384"/>
    <n v="372"/>
    <n v="536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n v="276"/>
    <n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n v="196"/>
    <n v="240"/>
    <n v="64"/>
    <n v="448"/>
    <n v="196"/>
    <n v="216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n v="0"/>
    <n v="0"/>
    <n v="0"/>
    <n v="0"/>
    <n v="0"/>
    <n v="0"/>
    <n v="100"/>
    <n v="264"/>
    <n v="0"/>
    <n v="364"/>
    <n v="188"/>
    <n v="188"/>
    <n v="176"/>
    <n v="108"/>
    <n v="84"/>
    <n v="80"/>
    <n v="108"/>
    <n v="152"/>
    <n v="148"/>
    <n v="148"/>
    <n v="120"/>
    <n v="160"/>
    <n v="104"/>
    <n v="144"/>
    <n v="60"/>
    <n v="120"/>
    <n v="172"/>
    <n v="172"/>
    <n v="276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n v="1012"/>
    <n v="292"/>
    <n v="244"/>
    <n v="348"/>
    <n v="152"/>
    <n v="312"/>
    <n v="444"/>
    <n v="404"/>
    <n v="0"/>
    <n v="140"/>
    <n v="228"/>
    <n v="228"/>
    <n v="228"/>
    <n v="180"/>
    <n v="152"/>
    <n v="148"/>
    <n v="196"/>
    <n v="268"/>
    <n v="264"/>
    <n v="264"/>
    <n v="216"/>
    <n v="216"/>
    <n v="252"/>
    <n v="256"/>
    <n v="152"/>
    <n v="252"/>
    <n v="260"/>
    <n v="260"/>
    <n v="3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n v="132"/>
    <n v="32"/>
    <n v="28"/>
    <n v="44"/>
    <n v="84"/>
    <n v="76"/>
    <n v="56"/>
    <n v="72"/>
    <n v="0"/>
    <n v="16"/>
    <n v="32"/>
    <n v="36"/>
    <n v="32"/>
    <n v="28"/>
    <n v="8"/>
    <n v="36"/>
    <n v="28"/>
    <n v="40"/>
    <n v="40"/>
    <n v="40"/>
    <n v="28"/>
    <n v="40"/>
    <n v="44"/>
    <n v="32"/>
    <n v="20"/>
    <n v="32"/>
    <n v="40"/>
    <n v="44"/>
    <n v="60"/>
    <n v="36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n v="1380"/>
    <n v="784"/>
    <n v="748"/>
    <n v="1000"/>
    <n v="1036"/>
    <n v="700"/>
    <n v="1100"/>
    <n v="1500"/>
    <n v="0"/>
    <n v="176"/>
    <n v="800"/>
    <n v="680"/>
    <n v="460"/>
    <n v="580"/>
    <n v="372"/>
    <n v="368"/>
    <n v="692"/>
    <n v="728"/>
    <n v="728"/>
    <n v="732"/>
    <n v="444"/>
    <n v="444"/>
    <n v="700"/>
    <n v="704"/>
    <n v="700"/>
    <n v="692"/>
    <n v="744"/>
    <n v="744"/>
    <n v="744"/>
    <n v="912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3"/>
    <n v="72"/>
    <n v="80"/>
    <n v="16"/>
    <n v="28"/>
    <n v="20"/>
    <n v="64"/>
    <n v="52"/>
    <n v="60"/>
    <n v="0"/>
    <n v="0"/>
    <n v="20"/>
    <n v="28"/>
    <n v="28"/>
    <n v="20"/>
    <n v="8"/>
    <n v="32"/>
    <n v="20"/>
    <n v="32"/>
    <n v="32"/>
    <n v="32"/>
    <n v="28"/>
    <n v="32"/>
    <n v="32"/>
    <n v="32"/>
    <n v="8"/>
    <n v="32"/>
    <n v="32"/>
    <n v="36"/>
    <n v="44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A49" firstHeaderRow="0" firstDataRow="1" firstDataCol="1"/>
  <pivotFields count="53">
    <pivotField axis="axisRow" showAll="0">
      <items count="47">
        <item x="18"/>
        <item x="19"/>
        <item x="10"/>
        <item x="11"/>
        <item x="9"/>
        <item x="16"/>
        <item x="17"/>
        <item x="15"/>
        <item x="13"/>
        <item x="14"/>
        <item x="12"/>
        <item x="3"/>
        <item m="1" x="44"/>
        <item x="5"/>
        <item x="34"/>
        <item x="35"/>
        <item x="43"/>
        <item x="33"/>
        <item x="42"/>
        <item x="31"/>
        <item x="32"/>
        <item x="38"/>
        <item x="39"/>
        <item x="30"/>
        <item x="7"/>
        <item x="8"/>
        <item x="6"/>
        <item m="1" x="45"/>
        <item x="2"/>
        <item x="36"/>
        <item x="37"/>
        <item x="40"/>
        <item x="41"/>
        <item x="22"/>
        <item x="23"/>
        <item x="25"/>
        <item x="29"/>
        <item x="24"/>
        <item x="27"/>
        <item x="28"/>
        <item x="20"/>
        <item x="21"/>
        <item x="26"/>
        <item x="1"/>
        <item x="0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5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</colItems>
  <dataFields count="52">
    <dataField name="Sum of 2-Mar" fld="1" baseField="0" baseItem="0"/>
    <dataField name="Sum of 9-Mar" fld="2" baseField="0" baseItem="0"/>
    <dataField name="Sum of 16-Mar" fld="3" baseField="0" baseItem="0"/>
    <dataField name="Sum of 23-Mar" fld="4" baseField="0" baseItem="0"/>
    <dataField name="Sum of 30-Mar" fld="5" baseField="0" baseItem="0"/>
    <dataField name="Sum of 6-Apr" fld="6" baseField="0" baseItem="0"/>
    <dataField name="Sum of 13-Apr" fld="7" baseField="0" baseItem="0"/>
    <dataField name="Sum of 20-Apr" fld="8" baseField="0" baseItem="0"/>
    <dataField name="Sum of 27-Apr" fld="9" baseField="0" baseItem="0"/>
    <dataField name="Sum of 4-May" fld="10" baseField="0" baseItem="0"/>
    <dataField name="Sum of 11-May" fld="11" baseField="0" baseItem="0"/>
    <dataField name="Sum of 18-May" fld="12" baseField="0" baseItem="0"/>
    <dataField name="Sum of 25-May" fld="13" baseField="0" baseItem="0"/>
    <dataField name="Sum of 1-Jun" fld="14" baseField="0" baseItem="0"/>
    <dataField name="Sum of 8-Jun" fld="15" baseField="0" baseItem="0"/>
    <dataField name="Sum of 15-Jun" fld="16" baseField="0" baseItem="0"/>
    <dataField name="Sum of 22-Jun" fld="17" baseField="0" baseItem="0"/>
    <dataField name="Sum of 29-Jun" fld="18" baseField="0" baseItem="0"/>
    <dataField name="Sum of 6-Jul" fld="19" baseField="0" baseItem="0"/>
    <dataField name="Sum of 13-Jul" fld="20" baseField="0" baseItem="0"/>
    <dataField name="Sum of 20-Jul" fld="21" baseField="0" baseItem="0"/>
    <dataField name="Sum of 27-Jul" fld="22" baseField="0" baseItem="0"/>
    <dataField name="Sum of 3-Aug" fld="23" baseField="0" baseItem="0"/>
    <dataField name="Sum of 10-Aug" fld="24" baseField="0" baseItem="0"/>
    <dataField name="Sum of 17-Aug" fld="25" baseField="0" baseItem="0"/>
    <dataField name="Sum of 24-Aug" fld="26" baseField="0" baseItem="0"/>
    <dataField name="Sum of 31-Aug" fld="27" baseField="0" baseItem="0"/>
    <dataField name="Sum of 7-Sep" fld="28" baseField="0" baseItem="0"/>
    <dataField name="Sum of 14-Sep" fld="29" baseField="0" baseItem="0"/>
    <dataField name="Sum of 21-Sep" fld="30" baseField="0" baseItem="0"/>
    <dataField name="Sum of 28-Sep" fld="31" baseField="0" baseItem="0"/>
    <dataField name="Sum of 5-Oct" fld="32" baseField="0" baseItem="0"/>
    <dataField name="Sum of 12-Oct" fld="33" baseField="0" baseItem="0"/>
    <dataField name="Sum of 19-Oct" fld="34" baseField="0" baseItem="0"/>
    <dataField name="Sum of 26-Oct" fld="35" baseField="0" baseItem="0"/>
    <dataField name="Sum of 2-Nov" fld="36" baseField="0" baseItem="0"/>
    <dataField name="Sum of 9-Nov" fld="37" baseField="0" baseItem="0"/>
    <dataField name="Sum of 16-Nov" fld="38" baseField="0" baseItem="0"/>
    <dataField name="Sum of 23-Nov" fld="39" baseField="0" baseItem="0"/>
    <dataField name="Sum of 30-Nov" fld="40" baseField="0" baseItem="0"/>
    <dataField name="Sum of 7-Dec" fld="41" baseField="0" baseItem="0"/>
    <dataField name="Sum of 14-Dec" fld="42" baseField="0" baseItem="0"/>
    <dataField name="Sum of 21-Dec" fld="43" baseField="0" baseItem="0"/>
    <dataField name="Sum of 28-Dec" fld="44" baseField="0" baseItem="0"/>
    <dataField name="Sum of 4-Jan" fld="45" baseField="0" baseItem="0"/>
    <dataField name="Sum of 11-Jan" fld="46" baseField="0" baseItem="0"/>
    <dataField name="Sum of 12-Jan" fld="47" baseField="0" baseItem="0"/>
    <dataField name="Sum of 19-Jan" fld="48" baseField="0" baseItem="2"/>
    <dataField name="Sum of 26-Jan" fld="49" baseField="0" baseItem="8"/>
    <dataField name="Sum of 2-Feb" fld="50" baseField="0" baseItem="5"/>
    <dataField name="Sum of 9-Feb" fld="51" baseField="0" baseItem="5"/>
    <dataField name="Sum of 16-Feb" fld="52" baseField="0" baseItem="5"/>
  </dataFields>
  <formats count="18">
    <format dxfId="250">
      <pivotArea grandRow="1" outline="0" collapsedLevelsAreSubtotals="1" fieldPosition="0"/>
    </format>
    <format dxfId="249">
      <pivotArea dataOnly="0" labelOnly="1" grandRow="1" outline="0" fieldPosition="0"/>
    </format>
    <format dxfId="248">
      <pivotArea grandRow="1" outline="0" collapsedLevelsAreSubtotals="1" fieldPosition="0"/>
    </format>
    <format dxfId="247">
      <pivotArea dataOnly="0" labelOnly="1" grandRow="1" outline="0" fieldPosition="0"/>
    </format>
    <format dxfId="246">
      <pivotArea grandRow="1" outline="0" collapsedLevelsAreSubtotals="1" fieldPosition="0"/>
    </format>
    <format dxfId="245">
      <pivotArea dataOnly="0" labelOnly="1" grandRow="1" outline="0" fieldPosition="0"/>
    </format>
    <format dxfId="244">
      <pivotArea grandRow="1" outline="0" collapsedLevelsAreSubtotals="1" fieldPosition="0"/>
    </format>
    <format dxfId="243">
      <pivotArea dataOnly="0" labelOnly="1" grandRow="1" outline="0" fieldPosition="0"/>
    </format>
    <format dxfId="242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241">
      <pivotArea dataOnly="0" labelOnly="1" fieldPosition="0">
        <references count="1">
          <reference field="0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40">
      <pivotArea dataOnly="0" labelOnly="1" fieldPosition="0">
        <references count="1">
          <reference field="0" count="3">
            <x v="11"/>
            <x v="12"/>
            <x v="13"/>
          </reference>
        </references>
      </pivotArea>
    </format>
    <format dxfId="239">
      <pivotArea dataOnly="0" labelOnly="1" fieldPosition="0">
        <references count="1">
          <reference field="0" count="10"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38">
      <pivotArea dataOnly="0" labelOnly="1" fieldPosition="0">
        <references count="1">
          <reference field="0" count="5">
            <x v="24"/>
            <x v="25"/>
            <x v="26"/>
            <x v="27"/>
            <x v="28"/>
          </reference>
        </references>
      </pivotArea>
    </format>
    <format dxfId="237">
      <pivotArea dataOnly="0" labelOnly="1" fieldPosition="0">
        <references count="1">
          <reference field="0" count="14"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236">
      <pivotArea dataOnly="0" labelOnly="1" fieldPosition="0">
        <references count="1">
          <reference field="0" count="3">
            <x v="24"/>
            <x v="25"/>
            <x v="26"/>
          </reference>
        </references>
      </pivotArea>
    </format>
    <format dxfId="235">
      <pivotArea dataOnly="0" labelOnly="1" fieldPosition="0">
        <references count="1">
          <reference field="0" count="2">
            <x v="44"/>
            <x v="45"/>
          </reference>
        </references>
      </pivotArea>
    </format>
    <format dxfId="234">
      <pivotArea grandRow="1" outline="0" collapsedLevelsAreSubtotals="1" fieldPosition="0"/>
    </format>
    <format dxfId="2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9"/>
  <sheetViews>
    <sheetView workbookViewId="0">
      <selection activeCell="C160" sqref="C160"/>
    </sheetView>
  </sheetViews>
  <sheetFormatPr defaultRowHeight="15" x14ac:dyDescent="0.25"/>
  <cols>
    <col min="2" max="2" width="26.140625" bestFit="1" customWidth="1"/>
  </cols>
  <sheetData>
    <row r="2" spans="2:2" x14ac:dyDescent="0.25">
      <c r="B2" s="150" t="s">
        <v>206</v>
      </c>
    </row>
    <row r="24" spans="2:2" x14ac:dyDescent="0.25">
      <c r="B24" s="151" t="s">
        <v>207</v>
      </c>
    </row>
    <row r="40" spans="2:2" x14ac:dyDescent="0.25">
      <c r="B40" s="150" t="s">
        <v>208</v>
      </c>
    </row>
    <row r="53" spans="2:2" x14ac:dyDescent="0.25">
      <c r="B53" s="150" t="s">
        <v>209</v>
      </c>
    </row>
    <row r="64" spans="2:2" x14ac:dyDescent="0.25">
      <c r="B64" s="150" t="s">
        <v>210</v>
      </c>
    </row>
    <row r="74" spans="2:2" x14ac:dyDescent="0.25">
      <c r="B74" s="150" t="s">
        <v>211</v>
      </c>
    </row>
    <row r="90" spans="2:2" x14ac:dyDescent="0.25">
      <c r="B90" s="150" t="s">
        <v>212</v>
      </c>
    </row>
    <row r="99" spans="2:2" x14ac:dyDescent="0.25">
      <c r="B99" s="150" t="s">
        <v>213</v>
      </c>
    </row>
    <row r="109" spans="2:2" x14ac:dyDescent="0.25">
      <c r="B109" s="150" t="s">
        <v>214</v>
      </c>
    </row>
    <row r="117" spans="2:2" x14ac:dyDescent="0.25">
      <c r="B117" s="150" t="s">
        <v>215</v>
      </c>
    </row>
    <row r="124" spans="2:2" x14ac:dyDescent="0.25">
      <c r="B124" s="150" t="s">
        <v>216</v>
      </c>
    </row>
    <row r="133" spans="2:2" x14ac:dyDescent="0.25">
      <c r="B133" s="150" t="s">
        <v>217</v>
      </c>
    </row>
    <row r="141" spans="2:2" x14ac:dyDescent="0.25">
      <c r="B141" s="150" t="s">
        <v>219</v>
      </c>
    </row>
    <row r="142" spans="2:2" x14ac:dyDescent="0.25">
      <c r="B142" t="s">
        <v>218</v>
      </c>
    </row>
    <row r="149" spans="2:2" x14ac:dyDescent="0.25">
      <c r="B149" s="150" t="s">
        <v>220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3"/>
  <sheetViews>
    <sheetView tabSelected="1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L31" sqref="L31"/>
    </sheetView>
  </sheetViews>
  <sheetFormatPr defaultRowHeight="15" x14ac:dyDescent="0.25"/>
  <cols>
    <col min="1" max="1" width="15.7109375" customWidth="1"/>
    <col min="2" max="3" width="12.85546875" customWidth="1"/>
    <col min="4" max="6" width="14" customWidth="1"/>
    <col min="7" max="7" width="12.42578125" customWidth="1"/>
    <col min="8" max="10" width="13.5703125" customWidth="1"/>
    <col min="11" max="11" width="13.28515625" customWidth="1"/>
    <col min="12" max="14" width="14.28515625" customWidth="1"/>
    <col min="15" max="16" width="12.28515625" customWidth="1"/>
    <col min="17" max="19" width="13.42578125" customWidth="1"/>
    <col min="20" max="20" width="11.7109375" customWidth="1"/>
    <col min="21" max="24" width="12.7109375" customWidth="1"/>
    <col min="25" max="28" width="13.85546875" bestFit="1" customWidth="1"/>
    <col min="29" max="29" width="12.5703125" customWidth="1"/>
    <col min="30" max="32" width="13.7109375" customWidth="1"/>
    <col min="33" max="33" width="12.28515625" customWidth="1"/>
    <col min="34" max="36" width="13.42578125" customWidth="1"/>
    <col min="37" max="38" width="12.85546875" customWidth="1"/>
    <col min="39" max="41" width="14" customWidth="1"/>
    <col min="42" max="42" width="12.5703125" customWidth="1"/>
    <col min="43" max="45" width="13.7109375" customWidth="1"/>
    <col min="46" max="46" width="12.140625" customWidth="1"/>
    <col min="47" max="50" width="13.28515625" customWidth="1"/>
    <col min="51" max="52" width="12.5703125" customWidth="1"/>
    <col min="53" max="53" width="13.7109375" customWidth="1"/>
  </cols>
  <sheetData>
    <row r="1" spans="1:66" x14ac:dyDescent="0.25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 s="224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</row>
    <row r="2" spans="1:66" x14ac:dyDescent="0.25">
      <c r="A2" s="24" t="str">
        <f>+'[2]Final SR'!BJ10</f>
        <v>ETD Date</v>
      </c>
      <c r="B2" s="208">
        <f>+'Final SR'!BK10</f>
        <v>46041</v>
      </c>
      <c r="C2" s="208">
        <f>+'Final SR'!BL10</f>
        <v>46048</v>
      </c>
      <c r="D2" s="212">
        <f>+'Final SR'!BM10</f>
        <v>46055</v>
      </c>
      <c r="E2" s="212">
        <f>+'Final SR'!BN10</f>
        <v>46062</v>
      </c>
      <c r="F2" s="212">
        <f>+'Final SR'!BO10</f>
        <v>46069</v>
      </c>
      <c r="G2" s="212">
        <f>+'Final SR'!BP10</f>
        <v>46076</v>
      </c>
      <c r="H2" s="216">
        <f>+'Final SR'!BQ10</f>
        <v>46083</v>
      </c>
      <c r="I2" s="216">
        <f>+'Final SR'!BR10</f>
        <v>46090</v>
      </c>
      <c r="J2" s="216">
        <f>+'Final SR'!BS10</f>
        <v>46097</v>
      </c>
      <c r="K2" s="216">
        <f>+'Final SR'!BT10</f>
        <v>46104</v>
      </c>
      <c r="L2" s="220">
        <f>+'Final SR'!BU10</f>
        <v>46111</v>
      </c>
      <c r="M2" s="220">
        <f>+'Final SR'!BV10</f>
        <v>46118</v>
      </c>
      <c r="N2" s="220">
        <f>+'Final SR'!BW10</f>
        <v>46125</v>
      </c>
      <c r="O2" s="220">
        <f>+'Final SR'!BX10</f>
        <v>46132</v>
      </c>
      <c r="P2" s="220">
        <f>+'Final SR'!BY10</f>
        <v>46139</v>
      </c>
      <c r="Q2" s="212">
        <f>+'Final SR'!BZ10</f>
        <v>46146</v>
      </c>
      <c r="R2" s="212">
        <f>+'Final SR'!CA10</f>
        <v>46153</v>
      </c>
      <c r="S2" s="212">
        <f>+'Final SR'!CB10</f>
        <v>46160</v>
      </c>
      <c r="T2" s="212">
        <f>+'Final SR'!CC10</f>
        <v>46167</v>
      </c>
      <c r="U2" s="215">
        <f>+'Final SR'!CD10</f>
        <v>46174</v>
      </c>
      <c r="V2" s="215">
        <f>+'Final SR'!CE10</f>
        <v>46181</v>
      </c>
      <c r="W2" s="215">
        <f>+'Final SR'!CF10</f>
        <v>46188</v>
      </c>
      <c r="X2" s="215">
        <f>+'Final SR'!CG10</f>
        <v>46195</v>
      </c>
      <c r="Y2" s="222">
        <f>+'Final SR'!CH10</f>
        <v>46202</v>
      </c>
      <c r="Z2" s="222">
        <f>+'Final SR'!CI10</f>
        <v>46209</v>
      </c>
      <c r="AA2" s="222">
        <f>+'Final SR'!CJ10</f>
        <v>46216</v>
      </c>
      <c r="AB2" s="222">
        <f>+'Final SR'!CK10</f>
        <v>46223</v>
      </c>
      <c r="AC2" s="222">
        <f>+'Final SR'!CL10</f>
        <v>46230</v>
      </c>
      <c r="AD2" s="221">
        <f>+'Final SR'!CM10</f>
        <v>46237</v>
      </c>
      <c r="AE2" s="221">
        <f>+'Final SR'!CN10</f>
        <v>46244</v>
      </c>
      <c r="AF2" s="221">
        <f>+'Final SR'!CO10</f>
        <v>46251</v>
      </c>
      <c r="AG2" s="221">
        <f>+'Final SR'!CP10</f>
        <v>46258</v>
      </c>
      <c r="AH2" s="223">
        <f>+'Final SR'!CQ10</f>
        <v>46265</v>
      </c>
      <c r="AI2" s="223">
        <f>+'Final SR'!CR10</f>
        <v>46272</v>
      </c>
      <c r="AJ2" s="223">
        <f>+'Final SR'!CS10</f>
        <v>46279</v>
      </c>
      <c r="AK2" s="223">
        <f>+'Final SR'!CT10</f>
        <v>46286</v>
      </c>
      <c r="AL2" s="223">
        <f>+'Final SR'!CU10</f>
        <v>46293</v>
      </c>
      <c r="AM2" s="208">
        <f>+'Final SR'!CV10</f>
        <v>46300</v>
      </c>
      <c r="AN2" s="208">
        <f>+'Final SR'!CW10</f>
        <v>46307</v>
      </c>
      <c r="AO2" s="208">
        <f>+'Final SR'!CX10</f>
        <v>46314</v>
      </c>
      <c r="AP2" s="208">
        <f>+'Final SR'!CY10</f>
        <v>46321</v>
      </c>
      <c r="AQ2" s="212">
        <f>+'Final SR'!CZ10</f>
        <v>46328</v>
      </c>
      <c r="AR2" s="212">
        <f>+'Final SR'!DA10</f>
        <v>46335</v>
      </c>
      <c r="AS2" s="212">
        <f>+'Final SR'!DB10</f>
        <v>46342</v>
      </c>
      <c r="AT2" s="212">
        <f>+'Final SR'!DC10</f>
        <v>46349</v>
      </c>
      <c r="AU2" s="216">
        <f>+'Final SR'!DD10</f>
        <v>46356</v>
      </c>
      <c r="AV2" s="216">
        <f>+'Final SR'!DE10</f>
        <v>46363</v>
      </c>
      <c r="AW2" s="216">
        <f>+'Final SR'!DF10</f>
        <v>46370</v>
      </c>
      <c r="AX2" s="216">
        <f>+'Final SR'!DG10</f>
        <v>46377</v>
      </c>
      <c r="AY2" s="216">
        <f>+'Final SR'!DH10</f>
        <v>46384</v>
      </c>
      <c r="AZ2" s="228">
        <f>+'Final SR'!DI10</f>
        <v>46391</v>
      </c>
      <c r="BA2" s="228">
        <f>+'Final SR'!DJ10</f>
        <v>46398</v>
      </c>
      <c r="BB2">
        <f>+'Final SR'!DK10</f>
        <v>0</v>
      </c>
      <c r="BC2" s="170">
        <f>+'Final SR'!DL10</f>
        <v>0</v>
      </c>
      <c r="BD2" s="171">
        <f>+'Final SR'!DM10</f>
        <v>0</v>
      </c>
      <c r="BE2" s="171">
        <f>+'Final SR'!DN10</f>
        <v>0</v>
      </c>
      <c r="BF2" s="171">
        <f>+'Final SR'!DO10</f>
        <v>0</v>
      </c>
      <c r="BG2" s="171">
        <f>+'Final SR'!DP10</f>
        <v>0</v>
      </c>
      <c r="BH2" s="171">
        <f>+'Final SR'!DQ10</f>
        <v>0</v>
      </c>
      <c r="BI2" s="171">
        <f>+'Final SR'!DR10</f>
        <v>0</v>
      </c>
      <c r="BJ2" s="171">
        <f>+'Final SR'!DS10</f>
        <v>0</v>
      </c>
      <c r="BK2" s="171">
        <f>+'Final SR'!DT10</f>
        <v>0</v>
      </c>
      <c r="BL2" s="171">
        <f>+'Final SR'!DU10</f>
        <v>0</v>
      </c>
      <c r="BM2" s="171">
        <f>+'Final SR'!DV10</f>
        <v>0</v>
      </c>
      <c r="BN2" s="171">
        <f>+'Final SR'!DW10</f>
        <v>0</v>
      </c>
    </row>
    <row r="3" spans="1:66" x14ac:dyDescent="0.25">
      <c r="A3" s="24" t="str">
        <f>+'[2]Final SR'!BJ11</f>
        <v>ETA Date</v>
      </c>
      <c r="B3" s="208">
        <f>+'Final SR'!BK11</f>
        <v>46083</v>
      </c>
      <c r="C3" s="208">
        <f>+'Final SR'!BL11</f>
        <v>46090</v>
      </c>
      <c r="D3" s="212">
        <f>+'Final SR'!BM11</f>
        <v>46097</v>
      </c>
      <c r="E3" s="212">
        <f>+'Final SR'!BN11</f>
        <v>46104</v>
      </c>
      <c r="F3" s="212">
        <f>+'Final SR'!BO11</f>
        <v>46111</v>
      </c>
      <c r="G3" s="212">
        <f>+'Final SR'!BP11</f>
        <v>46118</v>
      </c>
      <c r="H3" s="216">
        <f>+'Final SR'!BQ11</f>
        <v>46125</v>
      </c>
      <c r="I3" s="216">
        <f>+'Final SR'!BR11</f>
        <v>46132</v>
      </c>
      <c r="J3" s="216">
        <f>+'Final SR'!BS11</f>
        <v>46139</v>
      </c>
      <c r="K3" s="216">
        <f>+'Final SR'!BT11</f>
        <v>46146</v>
      </c>
      <c r="L3" s="220">
        <f>+'Final SR'!BU11</f>
        <v>46153</v>
      </c>
      <c r="M3" s="220">
        <f>+'Final SR'!BV11</f>
        <v>46160</v>
      </c>
      <c r="N3" s="220">
        <f>+'Final SR'!BW11</f>
        <v>46167</v>
      </c>
      <c r="O3" s="220">
        <f>+'Final SR'!BX11</f>
        <v>46174</v>
      </c>
      <c r="P3" s="220">
        <f>+'Final SR'!BY11</f>
        <v>46181</v>
      </c>
      <c r="Q3" s="212">
        <f>+'Final SR'!BZ11</f>
        <v>46188</v>
      </c>
      <c r="R3" s="212">
        <f>+'Final SR'!CA11</f>
        <v>46195</v>
      </c>
      <c r="S3" s="212">
        <f>+'Final SR'!CB11</f>
        <v>46202</v>
      </c>
      <c r="T3" s="212">
        <f>+'Final SR'!CC11</f>
        <v>46209</v>
      </c>
      <c r="U3" s="215">
        <f>+'Final SR'!CD11</f>
        <v>46216</v>
      </c>
      <c r="V3" s="215">
        <f>+'Final SR'!CE11</f>
        <v>46223</v>
      </c>
      <c r="W3" s="215">
        <f>+'Final SR'!CF11</f>
        <v>46230</v>
      </c>
      <c r="X3" s="215">
        <f>+'Final SR'!CG11</f>
        <v>46237</v>
      </c>
      <c r="Y3" s="222">
        <f>+'Final SR'!CH11</f>
        <v>46244</v>
      </c>
      <c r="Z3" s="222">
        <f>+'Final SR'!CI11</f>
        <v>46251</v>
      </c>
      <c r="AA3" s="222">
        <f>+'Final SR'!CJ11</f>
        <v>46258</v>
      </c>
      <c r="AB3" s="222">
        <f>+'Final SR'!CK11</f>
        <v>46265</v>
      </c>
      <c r="AC3" s="222">
        <f>+'Final SR'!CL11</f>
        <v>46272</v>
      </c>
      <c r="AD3" s="221">
        <f>+'Final SR'!CM11</f>
        <v>46279</v>
      </c>
      <c r="AE3" s="221">
        <f>+'Final SR'!CN11</f>
        <v>46286</v>
      </c>
      <c r="AF3" s="221">
        <f>+'Final SR'!CO11</f>
        <v>46293</v>
      </c>
      <c r="AG3" s="221">
        <f>+'Final SR'!CP11</f>
        <v>46300</v>
      </c>
      <c r="AH3" s="223">
        <f>+'Final SR'!CQ11</f>
        <v>46307</v>
      </c>
      <c r="AI3" s="223">
        <f>+'Final SR'!CR11</f>
        <v>46314</v>
      </c>
      <c r="AJ3" s="223">
        <f>+'Final SR'!CS11</f>
        <v>46321</v>
      </c>
      <c r="AK3" s="223">
        <f>+'Final SR'!CT11</f>
        <v>46328</v>
      </c>
      <c r="AL3" s="223">
        <f>+'Final SR'!CU11</f>
        <v>46335</v>
      </c>
      <c r="AM3" s="208">
        <f>+'Final SR'!CV11</f>
        <v>46342</v>
      </c>
      <c r="AN3" s="208">
        <f>+'Final SR'!CW11</f>
        <v>46349</v>
      </c>
      <c r="AO3" s="208">
        <f>+'Final SR'!CX11</f>
        <v>46356</v>
      </c>
      <c r="AP3" s="208">
        <f>+'Final SR'!CY11</f>
        <v>46363</v>
      </c>
      <c r="AQ3" s="212">
        <f>+'Final SR'!CZ11</f>
        <v>46370</v>
      </c>
      <c r="AR3" s="212">
        <f>+'Final SR'!DA11</f>
        <v>46377</v>
      </c>
      <c r="AS3" s="212">
        <f>+'Final SR'!DB11</f>
        <v>46384</v>
      </c>
      <c r="AT3" s="212">
        <f>+'Final SR'!DC11</f>
        <v>46391</v>
      </c>
      <c r="AU3" s="216">
        <f>+'Final SR'!DD11</f>
        <v>46398</v>
      </c>
      <c r="AV3" s="216">
        <f>+'Final SR'!DE11</f>
        <v>46399</v>
      </c>
      <c r="AW3" s="216">
        <f>+'Final SR'!DF11</f>
        <v>46406</v>
      </c>
      <c r="AX3" s="216">
        <f>+'Final SR'!DG11</f>
        <v>46413</v>
      </c>
      <c r="AY3" s="216">
        <f>+'Final SR'!DH11</f>
        <v>46420</v>
      </c>
      <c r="AZ3" s="228">
        <f>+'Final SR'!DI11</f>
        <v>46427</v>
      </c>
      <c r="BA3" s="228">
        <f>+'Final SR'!DJ11</f>
        <v>46434</v>
      </c>
      <c r="BB3">
        <f>+'Final SR'!DK11</f>
        <v>0</v>
      </c>
      <c r="BC3" s="170" t="str">
        <f>+'Final SR'!DL11</f>
        <v>JAN</v>
      </c>
      <c r="BD3" s="170" t="str">
        <f>+'Final SR'!DM11</f>
        <v>FEB</v>
      </c>
      <c r="BE3" s="170" t="str">
        <f>+'Final SR'!DN11</f>
        <v>MAR</v>
      </c>
      <c r="BF3" s="170" t="str">
        <f>+'Final SR'!DO11</f>
        <v>APR</v>
      </c>
      <c r="BG3" s="170" t="str">
        <f>+'Final SR'!DP11</f>
        <v>MAY</v>
      </c>
      <c r="BH3" s="170" t="str">
        <f>+'Final SR'!DQ11</f>
        <v>JUN</v>
      </c>
      <c r="BI3" s="170" t="str">
        <f>+'Final SR'!DR11</f>
        <v>JUL</v>
      </c>
      <c r="BJ3" s="170" t="str">
        <f>+'Final SR'!DS11</f>
        <v>AUG</v>
      </c>
      <c r="BK3" s="170" t="str">
        <f>+'Final SR'!DT11</f>
        <v>SEP</v>
      </c>
      <c r="BL3" s="170" t="str">
        <f>+'Final SR'!DU11</f>
        <v>OCT</v>
      </c>
      <c r="BM3" s="170" t="str">
        <f>+'Final SR'!DV11</f>
        <v>NOV</v>
      </c>
      <c r="BN3" s="170" t="str">
        <f>+'Final SR'!DW11</f>
        <v>DEC</v>
      </c>
    </row>
    <row r="4" spans="1:66" hidden="1" x14ac:dyDescent="0.25">
      <c r="A4" s="172" t="s">
        <v>260</v>
      </c>
      <c r="B4" t="s">
        <v>398</v>
      </c>
      <c r="C4" t="s">
        <v>399</v>
      </c>
      <c r="D4" t="s">
        <v>400</v>
      </c>
      <c r="E4" t="s">
        <v>401</v>
      </c>
      <c r="F4" t="s">
        <v>402</v>
      </c>
      <c r="G4" t="s">
        <v>403</v>
      </c>
      <c r="H4" t="s">
        <v>404</v>
      </c>
      <c r="I4" t="s">
        <v>405</v>
      </c>
      <c r="J4" t="s">
        <v>406</v>
      </c>
      <c r="K4" t="s">
        <v>407</v>
      </c>
      <c r="L4" t="s">
        <v>408</v>
      </c>
      <c r="M4" t="s">
        <v>409</v>
      </c>
      <c r="N4" t="s">
        <v>410</v>
      </c>
      <c r="O4" t="s">
        <v>411</v>
      </c>
      <c r="P4" t="s">
        <v>412</v>
      </c>
      <c r="Q4" t="s">
        <v>416</v>
      </c>
      <c r="R4" t="s">
        <v>419</v>
      </c>
      <c r="S4" t="s">
        <v>420</v>
      </c>
      <c r="T4" t="s">
        <v>429</v>
      </c>
      <c r="U4" t="s">
        <v>430</v>
      </c>
      <c r="V4" t="s">
        <v>432</v>
      </c>
      <c r="W4" t="s">
        <v>433</v>
      </c>
      <c r="X4" t="s">
        <v>434</v>
      </c>
      <c r="Y4" t="s">
        <v>435</v>
      </c>
      <c r="Z4" t="s">
        <v>436</v>
      </c>
      <c r="AA4" t="s">
        <v>437</v>
      </c>
      <c r="AB4" t="s">
        <v>438</v>
      </c>
      <c r="AC4" t="s">
        <v>439</v>
      </c>
      <c r="AD4" t="s">
        <v>440</v>
      </c>
      <c r="AE4" t="s">
        <v>441</v>
      </c>
      <c r="AF4" t="s">
        <v>442</v>
      </c>
      <c r="AG4" t="s">
        <v>443</v>
      </c>
      <c r="AH4" t="s">
        <v>444</v>
      </c>
      <c r="AI4" t="s">
        <v>445</v>
      </c>
      <c r="AJ4" t="s">
        <v>446</v>
      </c>
      <c r="AK4" t="s">
        <v>448</v>
      </c>
      <c r="AL4" t="s">
        <v>449</v>
      </c>
      <c r="AM4" t="s">
        <v>451</v>
      </c>
      <c r="AN4" t="s">
        <v>471</v>
      </c>
      <c r="AO4" t="s">
        <v>472</v>
      </c>
      <c r="AP4" t="s">
        <v>473</v>
      </c>
      <c r="AQ4" t="s">
        <v>474</v>
      </c>
      <c r="AR4" t="s">
        <v>475</v>
      </c>
      <c r="AS4" t="s">
        <v>476</v>
      </c>
      <c r="AT4" t="s">
        <v>477</v>
      </c>
      <c r="AU4" t="s">
        <v>478</v>
      </c>
      <c r="AV4" t="s">
        <v>497</v>
      </c>
      <c r="AW4" t="s">
        <v>500</v>
      </c>
      <c r="AX4" t="s">
        <v>501</v>
      </c>
      <c r="AY4" t="s">
        <v>503</v>
      </c>
      <c r="AZ4" t="s">
        <v>506</v>
      </c>
      <c r="BA4" t="s">
        <v>524</v>
      </c>
    </row>
    <row r="5" spans="1:66" x14ac:dyDescent="0.25">
      <c r="A5" s="217" t="s">
        <v>241</v>
      </c>
      <c r="B5" s="173">
        <v>0</v>
      </c>
      <c r="C5" s="173">
        <v>0</v>
      </c>
      <c r="D5" s="173">
        <v>0</v>
      </c>
      <c r="E5" s="173">
        <v>0</v>
      </c>
      <c r="F5" s="173">
        <v>0</v>
      </c>
      <c r="G5" s="173">
        <v>0</v>
      </c>
      <c r="H5" s="173">
        <v>0</v>
      </c>
      <c r="I5" s="173">
        <v>0</v>
      </c>
      <c r="J5" s="173">
        <v>0</v>
      </c>
      <c r="K5" s="173">
        <v>0</v>
      </c>
      <c r="L5" s="173">
        <v>0</v>
      </c>
      <c r="M5" s="173">
        <v>0</v>
      </c>
      <c r="N5" s="173">
        <v>0</v>
      </c>
      <c r="O5" s="173">
        <v>0</v>
      </c>
      <c r="P5" s="173">
        <v>0</v>
      </c>
      <c r="Q5" s="173">
        <v>0</v>
      </c>
      <c r="R5" s="173">
        <v>0</v>
      </c>
      <c r="S5" s="173">
        <v>0</v>
      </c>
      <c r="T5" s="173">
        <v>0</v>
      </c>
      <c r="U5" s="173">
        <v>0</v>
      </c>
      <c r="V5" s="173">
        <v>0</v>
      </c>
      <c r="W5" s="173">
        <v>0</v>
      </c>
      <c r="X5" s="173">
        <v>0</v>
      </c>
      <c r="Y5" s="173">
        <v>0</v>
      </c>
      <c r="Z5" s="173">
        <v>0</v>
      </c>
      <c r="AA5" s="173">
        <v>0</v>
      </c>
      <c r="AB5" s="173">
        <v>0</v>
      </c>
      <c r="AC5" s="173">
        <v>0</v>
      </c>
      <c r="AD5" s="173">
        <v>0</v>
      </c>
      <c r="AE5" s="173">
        <v>0</v>
      </c>
      <c r="AF5" s="173">
        <v>0</v>
      </c>
      <c r="AG5" s="173">
        <v>0</v>
      </c>
      <c r="AH5" s="173">
        <v>0</v>
      </c>
      <c r="AI5" s="173">
        <v>0</v>
      </c>
      <c r="AJ5" s="173">
        <v>0</v>
      </c>
      <c r="AK5" s="173">
        <v>0</v>
      </c>
      <c r="AL5" s="173">
        <v>0</v>
      </c>
      <c r="AM5" s="173">
        <v>0</v>
      </c>
      <c r="AN5" s="173">
        <v>0</v>
      </c>
      <c r="AO5" s="173">
        <v>0</v>
      </c>
      <c r="AP5" s="173">
        <v>0</v>
      </c>
      <c r="AQ5" s="173">
        <v>0</v>
      </c>
      <c r="AR5" s="173">
        <v>0</v>
      </c>
      <c r="AS5" s="173">
        <v>0</v>
      </c>
      <c r="AT5" s="173">
        <v>0</v>
      </c>
      <c r="AU5" s="173">
        <v>0</v>
      </c>
      <c r="AV5" s="173">
        <v>0</v>
      </c>
      <c r="AW5" s="173">
        <v>0</v>
      </c>
      <c r="AX5" s="173">
        <v>0</v>
      </c>
      <c r="AY5" s="173">
        <v>0</v>
      </c>
      <c r="AZ5" s="173">
        <v>0</v>
      </c>
      <c r="BA5" s="173">
        <v>0</v>
      </c>
      <c r="BC5">
        <f>SUM(B5:C5)</f>
        <v>0</v>
      </c>
      <c r="BD5">
        <f>SUM(D5:G5)</f>
        <v>0</v>
      </c>
      <c r="BE5">
        <f>SUM(H5:K5)</f>
        <v>0</v>
      </c>
      <c r="BF5">
        <f>SUM(L5:P5)</f>
        <v>0</v>
      </c>
      <c r="BG5">
        <f>SUM(Q5:T5)</f>
        <v>0</v>
      </c>
      <c r="BH5">
        <f>SUM(U5:X5)</f>
        <v>0</v>
      </c>
      <c r="BI5">
        <f>SUM(Y5:AC5)</f>
        <v>0</v>
      </c>
      <c r="BJ5">
        <f>SUM(AD5:AG5)</f>
        <v>0</v>
      </c>
      <c r="BK5">
        <f>SUM(AH5:AL5)</f>
        <v>0</v>
      </c>
      <c r="BL5">
        <f>SUM(AM5:AP5)</f>
        <v>0</v>
      </c>
      <c r="BM5">
        <f>SUM(AQ5:AT5)</f>
        <v>0</v>
      </c>
      <c r="BN5">
        <f>SUM(AU5:AY5)</f>
        <v>0</v>
      </c>
    </row>
    <row r="6" spans="1:66" x14ac:dyDescent="0.25">
      <c r="A6" s="217" t="s">
        <v>470</v>
      </c>
      <c r="B6" s="173">
        <v>0</v>
      </c>
      <c r="C6" s="173">
        <v>0</v>
      </c>
      <c r="D6" s="173">
        <v>0</v>
      </c>
      <c r="E6" s="173">
        <v>0</v>
      </c>
      <c r="F6" s="173">
        <v>0</v>
      </c>
      <c r="G6" s="173">
        <v>0</v>
      </c>
      <c r="H6" s="173">
        <v>0</v>
      </c>
      <c r="I6" s="173">
        <v>0</v>
      </c>
      <c r="J6" s="173">
        <v>0</v>
      </c>
      <c r="K6" s="173">
        <v>0</v>
      </c>
      <c r="L6" s="173">
        <v>0</v>
      </c>
      <c r="M6" s="173">
        <v>0</v>
      </c>
      <c r="N6" s="173">
        <v>0</v>
      </c>
      <c r="O6" s="173">
        <v>0</v>
      </c>
      <c r="P6" s="173">
        <v>0</v>
      </c>
      <c r="Q6" s="173">
        <v>0</v>
      </c>
      <c r="R6" s="173">
        <v>0</v>
      </c>
      <c r="S6" s="173">
        <v>0</v>
      </c>
      <c r="T6" s="173">
        <v>0</v>
      </c>
      <c r="U6" s="173">
        <v>0</v>
      </c>
      <c r="V6" s="173">
        <v>0</v>
      </c>
      <c r="W6" s="173">
        <v>0</v>
      </c>
      <c r="X6" s="173">
        <v>0</v>
      </c>
      <c r="Y6" s="173">
        <v>0</v>
      </c>
      <c r="Z6" s="173">
        <v>0</v>
      </c>
      <c r="AA6" s="173">
        <v>0</v>
      </c>
      <c r="AB6" s="173">
        <v>0</v>
      </c>
      <c r="AC6" s="173">
        <v>0</v>
      </c>
      <c r="AD6" s="173">
        <v>0</v>
      </c>
      <c r="AE6" s="173">
        <v>0</v>
      </c>
      <c r="AF6" s="173">
        <v>0</v>
      </c>
      <c r="AG6" s="173">
        <v>0</v>
      </c>
      <c r="AH6" s="173">
        <v>0</v>
      </c>
      <c r="AI6" s="173">
        <v>0</v>
      </c>
      <c r="AJ6" s="173">
        <v>0</v>
      </c>
      <c r="AK6" s="173">
        <v>0</v>
      </c>
      <c r="AL6" s="173">
        <v>0</v>
      </c>
      <c r="AM6" s="173">
        <v>0</v>
      </c>
      <c r="AN6" s="173">
        <v>0</v>
      </c>
      <c r="AO6" s="173">
        <v>0</v>
      </c>
      <c r="AP6" s="173">
        <v>0</v>
      </c>
      <c r="AQ6" s="173">
        <v>0</v>
      </c>
      <c r="AR6" s="173">
        <v>0</v>
      </c>
      <c r="AS6" s="173">
        <v>0</v>
      </c>
      <c r="AT6" s="173">
        <v>0</v>
      </c>
      <c r="AU6" s="173">
        <v>0</v>
      </c>
      <c r="AV6" s="173">
        <v>0</v>
      </c>
      <c r="AW6" s="173">
        <v>0</v>
      </c>
      <c r="AX6" s="173">
        <v>0</v>
      </c>
      <c r="AY6" s="173">
        <v>0</v>
      </c>
      <c r="AZ6" s="173">
        <v>0</v>
      </c>
      <c r="BA6" s="173">
        <v>0</v>
      </c>
      <c r="BC6">
        <f t="shared" ref="BC6:BC56" si="1">SUM(B6:C6)</f>
        <v>0</v>
      </c>
      <c r="BD6">
        <f t="shared" ref="BD6:BD56" si="2">SUM(D6:G6)</f>
        <v>0</v>
      </c>
      <c r="BE6">
        <f t="shared" ref="BE6:BE56" si="3">SUM(H6:K6)</f>
        <v>0</v>
      </c>
      <c r="BF6">
        <f t="shared" ref="BF6:BF56" si="4">SUM(L6:P6)</f>
        <v>0</v>
      </c>
      <c r="BG6">
        <f t="shared" ref="BG6:BG56" si="5">SUM(Q6:T6)</f>
        <v>0</v>
      </c>
      <c r="BH6">
        <f t="shared" ref="BH6:BH56" si="6">SUM(U6:X6)</f>
        <v>0</v>
      </c>
      <c r="BI6">
        <f t="shared" ref="BI6:BI56" si="7">SUM(Y6:AC6)</f>
        <v>0</v>
      </c>
      <c r="BJ6">
        <f t="shared" ref="BJ6:BJ56" si="8">SUM(AD6:AG6)</f>
        <v>0</v>
      </c>
      <c r="BK6">
        <f t="shared" ref="BK6:BK56" si="9">SUM(AH6:AL6)</f>
        <v>0</v>
      </c>
      <c r="BL6">
        <f t="shared" ref="BL6:BL56" si="10">SUM(AM6:AP6)</f>
        <v>0</v>
      </c>
      <c r="BM6">
        <f t="shared" ref="BM6:BM56" si="11">SUM(AQ6:AT6)</f>
        <v>0</v>
      </c>
      <c r="BN6">
        <f t="shared" ref="BN6:BN56" si="12">SUM(AU6:AY6)</f>
        <v>0</v>
      </c>
    </row>
    <row r="7" spans="1:66" x14ac:dyDescent="0.25">
      <c r="A7" s="219" t="s">
        <v>480</v>
      </c>
      <c r="B7" s="173">
        <v>260</v>
      </c>
      <c r="C7" s="173">
        <v>364</v>
      </c>
      <c r="D7" s="173">
        <v>380</v>
      </c>
      <c r="E7" s="173">
        <v>600</v>
      </c>
      <c r="F7" s="173">
        <v>936</v>
      </c>
      <c r="G7" s="173">
        <v>476</v>
      </c>
      <c r="H7" s="173">
        <v>128</v>
      </c>
      <c r="I7" s="173">
        <v>0</v>
      </c>
      <c r="J7" s="173">
        <v>0</v>
      </c>
      <c r="K7" s="173">
        <v>0</v>
      </c>
      <c r="L7" s="173">
        <v>0</v>
      </c>
      <c r="M7" s="173">
        <v>0</v>
      </c>
      <c r="N7" s="173">
        <v>0</v>
      </c>
      <c r="O7" s="173">
        <v>0</v>
      </c>
      <c r="P7" s="173">
        <v>0</v>
      </c>
      <c r="Q7" s="173">
        <v>0</v>
      </c>
      <c r="R7" s="173">
        <v>0</v>
      </c>
      <c r="S7" s="173">
        <v>0</v>
      </c>
      <c r="T7" s="173">
        <v>0</v>
      </c>
      <c r="U7" s="173">
        <v>0</v>
      </c>
      <c r="V7" s="173">
        <v>0</v>
      </c>
      <c r="W7" s="173">
        <v>0</v>
      </c>
      <c r="X7" s="173">
        <v>0</v>
      </c>
      <c r="Y7" s="173">
        <v>0</v>
      </c>
      <c r="Z7" s="173">
        <v>0</v>
      </c>
      <c r="AA7" s="173">
        <v>0</v>
      </c>
      <c r="AB7" s="173">
        <v>0</v>
      </c>
      <c r="AC7" s="173">
        <v>0</v>
      </c>
      <c r="AD7" s="173">
        <v>0</v>
      </c>
      <c r="AE7" s="173">
        <v>0</v>
      </c>
      <c r="AF7" s="173">
        <v>0</v>
      </c>
      <c r="AG7" s="173">
        <v>0</v>
      </c>
      <c r="AH7" s="173">
        <v>0</v>
      </c>
      <c r="AI7" s="173">
        <v>0</v>
      </c>
      <c r="AJ7" s="173">
        <v>0</v>
      </c>
      <c r="AK7" s="173">
        <v>0</v>
      </c>
      <c r="AL7" s="173">
        <v>0</v>
      </c>
      <c r="AM7" s="173">
        <v>0</v>
      </c>
      <c r="AN7" s="173">
        <v>0</v>
      </c>
      <c r="AO7" s="173">
        <v>0</v>
      </c>
      <c r="AP7" s="173">
        <v>0</v>
      </c>
      <c r="AQ7" s="173">
        <v>0</v>
      </c>
      <c r="AR7" s="173">
        <v>0</v>
      </c>
      <c r="AS7" s="173">
        <v>0</v>
      </c>
      <c r="AT7" s="173">
        <v>0</v>
      </c>
      <c r="AU7" s="173">
        <v>0</v>
      </c>
      <c r="AV7" s="173">
        <v>0</v>
      </c>
      <c r="AW7" s="173">
        <v>0</v>
      </c>
      <c r="AX7" s="173">
        <v>0</v>
      </c>
      <c r="AY7" s="173">
        <v>0</v>
      </c>
      <c r="AZ7" s="173">
        <v>0</v>
      </c>
      <c r="BA7" s="173">
        <v>0</v>
      </c>
      <c r="BC7">
        <f t="shared" si="1"/>
        <v>624</v>
      </c>
      <c r="BD7">
        <f t="shared" si="2"/>
        <v>2392</v>
      </c>
      <c r="BE7">
        <f t="shared" si="3"/>
        <v>128</v>
      </c>
      <c r="BF7">
        <f t="shared" si="4"/>
        <v>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>
        <f t="shared" si="9"/>
        <v>0</v>
      </c>
      <c r="BL7">
        <f t="shared" si="10"/>
        <v>0</v>
      </c>
      <c r="BM7">
        <f t="shared" si="11"/>
        <v>0</v>
      </c>
      <c r="BN7">
        <f t="shared" si="12"/>
        <v>0</v>
      </c>
    </row>
    <row r="8" spans="1:66" x14ac:dyDescent="0.25">
      <c r="A8" s="219" t="s">
        <v>490</v>
      </c>
      <c r="B8" s="173">
        <v>0</v>
      </c>
      <c r="C8" s="173">
        <v>0</v>
      </c>
      <c r="D8" s="173">
        <v>0</v>
      </c>
      <c r="E8" s="173">
        <v>0</v>
      </c>
      <c r="F8" s="173">
        <v>0</v>
      </c>
      <c r="G8" s="173">
        <v>0</v>
      </c>
      <c r="H8" s="173">
        <v>192</v>
      </c>
      <c r="I8" s="173">
        <v>428</v>
      </c>
      <c r="J8" s="173">
        <v>0</v>
      </c>
      <c r="K8" s="173">
        <v>416</v>
      </c>
      <c r="L8" s="173">
        <v>412</v>
      </c>
      <c r="M8" s="173">
        <v>364</v>
      </c>
      <c r="N8" s="173">
        <v>360</v>
      </c>
      <c r="O8" s="173">
        <v>224</v>
      </c>
      <c r="P8" s="173">
        <v>168</v>
      </c>
      <c r="Q8" s="173">
        <v>168</v>
      </c>
      <c r="R8" s="173">
        <v>220</v>
      </c>
      <c r="S8" s="173">
        <v>308</v>
      </c>
      <c r="T8" s="173">
        <v>304</v>
      </c>
      <c r="U8" s="173">
        <v>308</v>
      </c>
      <c r="V8" s="173">
        <v>260</v>
      </c>
      <c r="W8" s="173">
        <v>260</v>
      </c>
      <c r="X8" s="173">
        <v>212</v>
      </c>
      <c r="Y8" s="173">
        <v>296</v>
      </c>
      <c r="Z8" s="173">
        <v>176</v>
      </c>
      <c r="AA8" s="173">
        <v>252</v>
      </c>
      <c r="AB8" s="173">
        <v>352</v>
      </c>
      <c r="AC8" s="173">
        <v>352</v>
      </c>
      <c r="AD8" s="173">
        <v>492</v>
      </c>
      <c r="AE8" s="173">
        <v>492</v>
      </c>
      <c r="AF8" s="173">
        <v>492</v>
      </c>
      <c r="AG8" s="173">
        <v>492</v>
      </c>
      <c r="AH8" s="173">
        <v>492</v>
      </c>
      <c r="AI8" s="173">
        <v>492</v>
      </c>
      <c r="AJ8" s="173">
        <v>492</v>
      </c>
      <c r="AK8" s="173">
        <v>492</v>
      </c>
      <c r="AL8" s="173">
        <v>492</v>
      </c>
      <c r="AM8" s="173">
        <v>492</v>
      </c>
      <c r="AN8" s="173">
        <v>492</v>
      </c>
      <c r="AO8" s="173">
        <v>492</v>
      </c>
      <c r="AP8" s="173">
        <v>492</v>
      </c>
      <c r="AQ8" s="173">
        <v>492</v>
      </c>
      <c r="AR8" s="173">
        <v>492</v>
      </c>
      <c r="AS8" s="173">
        <v>492</v>
      </c>
      <c r="AT8" s="173">
        <v>492</v>
      </c>
      <c r="AU8" s="173">
        <v>492</v>
      </c>
      <c r="AV8" s="173">
        <v>492</v>
      </c>
      <c r="AW8" s="173">
        <v>492</v>
      </c>
      <c r="AX8" s="173">
        <v>492</v>
      </c>
      <c r="AY8" s="173">
        <v>492</v>
      </c>
      <c r="AZ8" s="173">
        <v>492</v>
      </c>
      <c r="BA8" s="173">
        <v>492</v>
      </c>
      <c r="BC8">
        <f t="shared" si="1"/>
        <v>0</v>
      </c>
      <c r="BD8">
        <f t="shared" si="2"/>
        <v>0</v>
      </c>
      <c r="BE8">
        <f t="shared" si="3"/>
        <v>1036</v>
      </c>
      <c r="BF8">
        <f t="shared" si="4"/>
        <v>1528</v>
      </c>
      <c r="BG8">
        <f t="shared" si="5"/>
        <v>1000</v>
      </c>
      <c r="BH8">
        <f t="shared" si="6"/>
        <v>1040</v>
      </c>
      <c r="BI8">
        <f t="shared" si="7"/>
        <v>1428</v>
      </c>
      <c r="BJ8">
        <f t="shared" si="8"/>
        <v>1968</v>
      </c>
      <c r="BK8">
        <f t="shared" si="9"/>
        <v>2460</v>
      </c>
      <c r="BL8">
        <f t="shared" si="10"/>
        <v>1968</v>
      </c>
      <c r="BM8">
        <f t="shared" si="11"/>
        <v>1968</v>
      </c>
      <c r="BN8">
        <f t="shared" si="12"/>
        <v>2460</v>
      </c>
    </row>
    <row r="9" spans="1:66" x14ac:dyDescent="0.25">
      <c r="A9" s="219" t="s">
        <v>333</v>
      </c>
      <c r="B9" s="173">
        <v>1224</v>
      </c>
      <c r="C9" s="173">
        <v>0</v>
      </c>
      <c r="D9" s="173">
        <v>0</v>
      </c>
      <c r="E9" s="173">
        <v>0</v>
      </c>
      <c r="F9" s="173">
        <v>0</v>
      </c>
      <c r="G9" s="173">
        <v>0</v>
      </c>
      <c r="H9" s="173">
        <v>0</v>
      </c>
      <c r="I9" s="173">
        <v>0</v>
      </c>
      <c r="J9" s="173">
        <v>0</v>
      </c>
      <c r="K9" s="173">
        <v>0</v>
      </c>
      <c r="L9" s="173">
        <v>0</v>
      </c>
      <c r="M9" s="173">
        <v>0</v>
      </c>
      <c r="N9" s="173">
        <v>0</v>
      </c>
      <c r="O9" s="173">
        <v>0</v>
      </c>
      <c r="P9" s="173">
        <v>0</v>
      </c>
      <c r="Q9" s="173">
        <v>0</v>
      </c>
      <c r="R9" s="173">
        <v>0</v>
      </c>
      <c r="S9" s="173">
        <v>0</v>
      </c>
      <c r="T9" s="173">
        <v>0</v>
      </c>
      <c r="U9" s="173">
        <v>0</v>
      </c>
      <c r="V9" s="173">
        <v>0</v>
      </c>
      <c r="W9" s="173">
        <v>0</v>
      </c>
      <c r="X9" s="173">
        <v>0</v>
      </c>
      <c r="Y9" s="173">
        <v>0</v>
      </c>
      <c r="Z9" s="173">
        <v>0</v>
      </c>
      <c r="AA9" s="173">
        <v>0</v>
      </c>
      <c r="AB9" s="173">
        <v>0</v>
      </c>
      <c r="AC9" s="173">
        <v>0</v>
      </c>
      <c r="AD9" s="173">
        <v>0</v>
      </c>
      <c r="AE9" s="173">
        <v>0</v>
      </c>
      <c r="AF9" s="173">
        <v>0</v>
      </c>
      <c r="AG9" s="173">
        <v>0</v>
      </c>
      <c r="AH9" s="173">
        <v>0</v>
      </c>
      <c r="AI9" s="173">
        <v>0</v>
      </c>
      <c r="AJ9" s="173">
        <v>0</v>
      </c>
      <c r="AK9" s="173">
        <v>0</v>
      </c>
      <c r="AL9" s="173">
        <v>0</v>
      </c>
      <c r="AM9" s="173">
        <v>0</v>
      </c>
      <c r="AN9" s="173">
        <v>0</v>
      </c>
      <c r="AO9" s="173">
        <v>0</v>
      </c>
      <c r="AP9" s="173">
        <v>0</v>
      </c>
      <c r="AQ9" s="173">
        <v>0</v>
      </c>
      <c r="AR9" s="173">
        <v>0</v>
      </c>
      <c r="AS9" s="173">
        <v>0</v>
      </c>
      <c r="AT9" s="173">
        <v>0</v>
      </c>
      <c r="AU9" s="173">
        <v>0</v>
      </c>
      <c r="AV9" s="173">
        <v>0</v>
      </c>
      <c r="AW9" s="173">
        <v>0</v>
      </c>
      <c r="AX9" s="173">
        <v>0</v>
      </c>
      <c r="AY9" s="173">
        <v>0</v>
      </c>
      <c r="AZ9" s="173">
        <v>0</v>
      </c>
      <c r="BA9" s="173">
        <v>0</v>
      </c>
      <c r="BC9">
        <f t="shared" si="1"/>
        <v>1224</v>
      </c>
      <c r="BD9">
        <f t="shared" si="2"/>
        <v>0</v>
      </c>
      <c r="BE9">
        <f t="shared" si="3"/>
        <v>0</v>
      </c>
      <c r="BF9">
        <f t="shared" si="4"/>
        <v>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>
        <f t="shared" si="9"/>
        <v>0</v>
      </c>
      <c r="BL9">
        <f t="shared" si="10"/>
        <v>0</v>
      </c>
      <c r="BM9">
        <f t="shared" si="11"/>
        <v>0</v>
      </c>
      <c r="BN9">
        <f t="shared" si="12"/>
        <v>0</v>
      </c>
    </row>
    <row r="10" spans="1:66" x14ac:dyDescent="0.25">
      <c r="A10" s="219" t="s">
        <v>482</v>
      </c>
      <c r="B10" s="173">
        <v>196</v>
      </c>
      <c r="C10" s="173">
        <v>240</v>
      </c>
      <c r="D10" s="173">
        <v>64</v>
      </c>
      <c r="E10" s="173">
        <v>448</v>
      </c>
      <c r="F10" s="173">
        <v>196</v>
      </c>
      <c r="G10" s="173">
        <v>216</v>
      </c>
      <c r="H10" s="173">
        <v>72</v>
      </c>
      <c r="I10" s="173">
        <v>0</v>
      </c>
      <c r="J10" s="173">
        <v>0</v>
      </c>
      <c r="K10" s="173">
        <v>0</v>
      </c>
      <c r="L10" s="173">
        <v>0</v>
      </c>
      <c r="M10" s="173">
        <v>0</v>
      </c>
      <c r="N10" s="173">
        <v>0</v>
      </c>
      <c r="O10" s="173">
        <v>0</v>
      </c>
      <c r="P10" s="173">
        <v>0</v>
      </c>
      <c r="Q10" s="173">
        <v>0</v>
      </c>
      <c r="R10" s="173">
        <v>0</v>
      </c>
      <c r="S10" s="173">
        <v>0</v>
      </c>
      <c r="T10" s="173">
        <v>0</v>
      </c>
      <c r="U10" s="173">
        <v>0</v>
      </c>
      <c r="V10" s="173">
        <v>0</v>
      </c>
      <c r="W10" s="173">
        <v>0</v>
      </c>
      <c r="X10" s="173">
        <v>0</v>
      </c>
      <c r="Y10" s="173">
        <v>0</v>
      </c>
      <c r="Z10" s="173">
        <v>0</v>
      </c>
      <c r="AA10" s="173">
        <v>0</v>
      </c>
      <c r="AB10" s="173">
        <v>0</v>
      </c>
      <c r="AC10" s="173">
        <v>0</v>
      </c>
      <c r="AD10" s="173">
        <v>0</v>
      </c>
      <c r="AE10" s="173">
        <v>0</v>
      </c>
      <c r="AF10" s="173">
        <v>0</v>
      </c>
      <c r="AG10" s="173">
        <v>0</v>
      </c>
      <c r="AH10" s="173">
        <v>0</v>
      </c>
      <c r="AI10" s="173">
        <v>0</v>
      </c>
      <c r="AJ10" s="173">
        <v>0</v>
      </c>
      <c r="AK10" s="173">
        <v>0</v>
      </c>
      <c r="AL10" s="173">
        <v>0</v>
      </c>
      <c r="AM10" s="173">
        <v>0</v>
      </c>
      <c r="AN10" s="173">
        <v>0</v>
      </c>
      <c r="AO10" s="173">
        <v>0</v>
      </c>
      <c r="AP10" s="173">
        <v>0</v>
      </c>
      <c r="AQ10" s="173">
        <v>0</v>
      </c>
      <c r="AR10" s="173">
        <v>0</v>
      </c>
      <c r="AS10" s="173">
        <v>0</v>
      </c>
      <c r="AT10" s="173">
        <v>0</v>
      </c>
      <c r="AU10" s="173">
        <v>0</v>
      </c>
      <c r="AV10" s="173">
        <v>0</v>
      </c>
      <c r="AW10" s="173">
        <v>0</v>
      </c>
      <c r="AX10" s="173">
        <v>0</v>
      </c>
      <c r="AY10" s="173">
        <v>0</v>
      </c>
      <c r="AZ10" s="173">
        <v>0</v>
      </c>
      <c r="BA10" s="173">
        <v>0</v>
      </c>
      <c r="BC10">
        <f t="shared" si="1"/>
        <v>436</v>
      </c>
      <c r="BD10">
        <f t="shared" si="2"/>
        <v>924</v>
      </c>
      <c r="BE10">
        <f t="shared" si="3"/>
        <v>72</v>
      </c>
      <c r="BF10">
        <f t="shared" si="4"/>
        <v>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>
        <f t="shared" si="9"/>
        <v>0</v>
      </c>
      <c r="BL10">
        <f t="shared" si="10"/>
        <v>0</v>
      </c>
      <c r="BM10">
        <f t="shared" si="11"/>
        <v>0</v>
      </c>
      <c r="BN10">
        <f t="shared" si="12"/>
        <v>0</v>
      </c>
    </row>
    <row r="11" spans="1:66" x14ac:dyDescent="0.25">
      <c r="A11" s="219" t="s">
        <v>496</v>
      </c>
      <c r="B11" s="173">
        <v>0</v>
      </c>
      <c r="C11" s="173">
        <v>0</v>
      </c>
      <c r="D11" s="173">
        <v>0</v>
      </c>
      <c r="E11" s="173">
        <v>0</v>
      </c>
      <c r="F11" s="173">
        <v>0</v>
      </c>
      <c r="G11" s="173">
        <v>0</v>
      </c>
      <c r="H11" s="173">
        <v>100</v>
      </c>
      <c r="I11" s="173">
        <v>264</v>
      </c>
      <c r="J11" s="173">
        <v>0</v>
      </c>
      <c r="K11" s="173">
        <v>364</v>
      </c>
      <c r="L11" s="173">
        <v>188</v>
      </c>
      <c r="M11" s="173">
        <v>188</v>
      </c>
      <c r="N11" s="173">
        <v>176</v>
      </c>
      <c r="O11" s="173">
        <v>108</v>
      </c>
      <c r="P11" s="173">
        <v>84</v>
      </c>
      <c r="Q11" s="173">
        <v>80</v>
      </c>
      <c r="R11" s="173">
        <v>108</v>
      </c>
      <c r="S11" s="173">
        <v>152</v>
      </c>
      <c r="T11" s="173">
        <v>148</v>
      </c>
      <c r="U11" s="173">
        <v>148</v>
      </c>
      <c r="V11" s="173">
        <v>120</v>
      </c>
      <c r="W11" s="173">
        <v>160</v>
      </c>
      <c r="X11" s="173">
        <v>104</v>
      </c>
      <c r="Y11" s="173">
        <v>144</v>
      </c>
      <c r="Z11" s="173">
        <v>60</v>
      </c>
      <c r="AA11" s="173">
        <v>120</v>
      </c>
      <c r="AB11" s="173">
        <v>172</v>
      </c>
      <c r="AC11" s="173">
        <v>172</v>
      </c>
      <c r="AD11" s="173">
        <v>276</v>
      </c>
      <c r="AE11" s="173">
        <v>204</v>
      </c>
      <c r="AF11" s="173">
        <v>204</v>
      </c>
      <c r="AG11" s="173">
        <v>204</v>
      </c>
      <c r="AH11" s="173">
        <v>204</v>
      </c>
      <c r="AI11" s="173">
        <v>204</v>
      </c>
      <c r="AJ11" s="173">
        <v>204</v>
      </c>
      <c r="AK11" s="173">
        <v>204</v>
      </c>
      <c r="AL11" s="173">
        <v>204</v>
      </c>
      <c r="AM11" s="173">
        <v>204</v>
      </c>
      <c r="AN11" s="173">
        <v>204</v>
      </c>
      <c r="AO11" s="173">
        <v>204</v>
      </c>
      <c r="AP11" s="173">
        <v>204</v>
      </c>
      <c r="AQ11" s="173">
        <v>204</v>
      </c>
      <c r="AR11" s="173">
        <v>204</v>
      </c>
      <c r="AS11" s="173">
        <v>204</v>
      </c>
      <c r="AT11" s="173">
        <v>204</v>
      </c>
      <c r="AU11" s="173">
        <v>204</v>
      </c>
      <c r="AV11" s="173">
        <v>204</v>
      </c>
      <c r="AW11" s="173">
        <v>204</v>
      </c>
      <c r="AX11" s="173">
        <v>204</v>
      </c>
      <c r="AY11" s="173">
        <v>204</v>
      </c>
      <c r="AZ11" s="173">
        <v>204</v>
      </c>
      <c r="BA11" s="173">
        <v>204</v>
      </c>
      <c r="BC11">
        <f t="shared" si="1"/>
        <v>0</v>
      </c>
      <c r="BD11">
        <f t="shared" si="2"/>
        <v>0</v>
      </c>
      <c r="BE11">
        <f t="shared" si="3"/>
        <v>728</v>
      </c>
      <c r="BF11">
        <f t="shared" si="4"/>
        <v>744</v>
      </c>
      <c r="BG11">
        <f t="shared" si="5"/>
        <v>488</v>
      </c>
      <c r="BH11">
        <f t="shared" si="6"/>
        <v>532</v>
      </c>
      <c r="BI11">
        <f t="shared" si="7"/>
        <v>668</v>
      </c>
      <c r="BJ11">
        <f t="shared" si="8"/>
        <v>888</v>
      </c>
      <c r="BK11">
        <f t="shared" si="9"/>
        <v>1020</v>
      </c>
      <c r="BL11">
        <f t="shared" si="10"/>
        <v>816</v>
      </c>
      <c r="BM11">
        <f t="shared" si="11"/>
        <v>816</v>
      </c>
      <c r="BN11">
        <f t="shared" si="12"/>
        <v>1020</v>
      </c>
    </row>
    <row r="12" spans="1:66" x14ac:dyDescent="0.25">
      <c r="A12" s="219" t="s">
        <v>339</v>
      </c>
      <c r="B12" s="173">
        <v>276</v>
      </c>
      <c r="C12" s="173">
        <v>176</v>
      </c>
      <c r="D12" s="173">
        <v>0</v>
      </c>
      <c r="E12" s="173">
        <v>0</v>
      </c>
      <c r="F12" s="173">
        <v>0</v>
      </c>
      <c r="G12" s="173">
        <v>0</v>
      </c>
      <c r="H12" s="173">
        <v>0</v>
      </c>
      <c r="I12" s="173">
        <v>0</v>
      </c>
      <c r="J12" s="173">
        <v>0</v>
      </c>
      <c r="K12" s="173">
        <v>0</v>
      </c>
      <c r="L12" s="173">
        <v>0</v>
      </c>
      <c r="M12" s="173">
        <v>0</v>
      </c>
      <c r="N12" s="173">
        <v>0</v>
      </c>
      <c r="O12" s="173">
        <v>0</v>
      </c>
      <c r="P12" s="173">
        <v>0</v>
      </c>
      <c r="Q12" s="173">
        <v>0</v>
      </c>
      <c r="R12" s="173">
        <v>0</v>
      </c>
      <c r="S12" s="173">
        <v>0</v>
      </c>
      <c r="T12" s="173">
        <v>0</v>
      </c>
      <c r="U12" s="173">
        <v>0</v>
      </c>
      <c r="V12" s="173">
        <v>0</v>
      </c>
      <c r="W12" s="173">
        <v>0</v>
      </c>
      <c r="X12" s="173">
        <v>0</v>
      </c>
      <c r="Y12" s="173">
        <v>0</v>
      </c>
      <c r="Z12" s="173">
        <v>0</v>
      </c>
      <c r="AA12" s="173">
        <v>0</v>
      </c>
      <c r="AB12" s="173">
        <v>0</v>
      </c>
      <c r="AC12" s="173">
        <v>0</v>
      </c>
      <c r="AD12" s="173">
        <v>0</v>
      </c>
      <c r="AE12" s="173">
        <v>0</v>
      </c>
      <c r="AF12" s="173">
        <v>0</v>
      </c>
      <c r="AG12" s="173">
        <v>0</v>
      </c>
      <c r="AH12" s="173">
        <v>0</v>
      </c>
      <c r="AI12" s="173">
        <v>0</v>
      </c>
      <c r="AJ12" s="173">
        <v>0</v>
      </c>
      <c r="AK12" s="173">
        <v>0</v>
      </c>
      <c r="AL12" s="173">
        <v>0</v>
      </c>
      <c r="AM12" s="173">
        <v>0</v>
      </c>
      <c r="AN12" s="173">
        <v>0</v>
      </c>
      <c r="AO12" s="173">
        <v>0</v>
      </c>
      <c r="AP12" s="173">
        <v>0</v>
      </c>
      <c r="AQ12" s="173">
        <v>0</v>
      </c>
      <c r="AR12" s="173">
        <v>0</v>
      </c>
      <c r="AS12" s="173">
        <v>0</v>
      </c>
      <c r="AT12" s="173">
        <v>0</v>
      </c>
      <c r="AU12" s="173">
        <v>0</v>
      </c>
      <c r="AV12" s="173">
        <v>0</v>
      </c>
      <c r="AW12" s="173">
        <v>0</v>
      </c>
      <c r="AX12" s="173">
        <v>0</v>
      </c>
      <c r="AY12" s="173">
        <v>0</v>
      </c>
      <c r="AZ12" s="173">
        <v>0</v>
      </c>
      <c r="BA12" s="173">
        <v>0</v>
      </c>
      <c r="BC12">
        <f t="shared" si="1"/>
        <v>452</v>
      </c>
      <c r="BD12">
        <f t="shared" si="2"/>
        <v>0</v>
      </c>
      <c r="BE12">
        <f t="shared" si="3"/>
        <v>0</v>
      </c>
      <c r="BF12">
        <f t="shared" si="4"/>
        <v>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>
        <f t="shared" si="9"/>
        <v>0</v>
      </c>
      <c r="BL12">
        <f t="shared" si="10"/>
        <v>0</v>
      </c>
      <c r="BM12">
        <f t="shared" si="11"/>
        <v>0</v>
      </c>
      <c r="BN12">
        <f t="shared" si="12"/>
        <v>0</v>
      </c>
    </row>
    <row r="13" spans="1:66" x14ac:dyDescent="0.25">
      <c r="A13" s="219" t="s">
        <v>481</v>
      </c>
      <c r="B13" s="173">
        <v>204</v>
      </c>
      <c r="C13" s="173">
        <v>408</v>
      </c>
      <c r="D13" s="173">
        <v>504</v>
      </c>
      <c r="E13" s="173">
        <v>0</v>
      </c>
      <c r="F13" s="173">
        <v>264</v>
      </c>
      <c r="G13" s="173">
        <v>380</v>
      </c>
      <c r="H13" s="173">
        <v>792</v>
      </c>
      <c r="I13" s="173">
        <v>0</v>
      </c>
      <c r="J13" s="173">
        <v>0</v>
      </c>
      <c r="K13" s="173">
        <v>0</v>
      </c>
      <c r="L13" s="173">
        <v>0</v>
      </c>
      <c r="M13" s="173">
        <v>0</v>
      </c>
      <c r="N13" s="173">
        <v>0</v>
      </c>
      <c r="O13" s="173">
        <v>0</v>
      </c>
      <c r="P13" s="173">
        <v>0</v>
      </c>
      <c r="Q13" s="173">
        <v>0</v>
      </c>
      <c r="R13" s="173">
        <v>0</v>
      </c>
      <c r="S13" s="173">
        <v>0</v>
      </c>
      <c r="T13" s="173">
        <v>0</v>
      </c>
      <c r="U13" s="173">
        <v>0</v>
      </c>
      <c r="V13" s="173">
        <v>0</v>
      </c>
      <c r="W13" s="173">
        <v>0</v>
      </c>
      <c r="X13" s="173">
        <v>0</v>
      </c>
      <c r="Y13" s="173">
        <v>0</v>
      </c>
      <c r="Z13" s="173">
        <v>0</v>
      </c>
      <c r="AA13" s="173">
        <v>0</v>
      </c>
      <c r="AB13" s="173">
        <v>0</v>
      </c>
      <c r="AC13" s="173">
        <v>0</v>
      </c>
      <c r="AD13" s="173">
        <v>0</v>
      </c>
      <c r="AE13" s="173">
        <v>0</v>
      </c>
      <c r="AF13" s="173">
        <v>0</v>
      </c>
      <c r="AG13" s="173">
        <v>0</v>
      </c>
      <c r="AH13" s="173">
        <v>0</v>
      </c>
      <c r="AI13" s="173">
        <v>0</v>
      </c>
      <c r="AJ13" s="173">
        <v>0</v>
      </c>
      <c r="AK13" s="173">
        <v>0</v>
      </c>
      <c r="AL13" s="173">
        <v>0</v>
      </c>
      <c r="AM13" s="173">
        <v>0</v>
      </c>
      <c r="AN13" s="173">
        <v>0</v>
      </c>
      <c r="AO13" s="173">
        <v>0</v>
      </c>
      <c r="AP13" s="173">
        <v>0</v>
      </c>
      <c r="AQ13" s="173">
        <v>0</v>
      </c>
      <c r="AR13" s="173">
        <v>0</v>
      </c>
      <c r="AS13" s="173">
        <v>0</v>
      </c>
      <c r="AT13" s="173">
        <v>0</v>
      </c>
      <c r="AU13" s="173">
        <v>0</v>
      </c>
      <c r="AV13" s="173">
        <v>0</v>
      </c>
      <c r="AW13" s="173">
        <v>0</v>
      </c>
      <c r="AX13" s="173">
        <v>0</v>
      </c>
      <c r="AY13" s="173">
        <v>0</v>
      </c>
      <c r="AZ13" s="173">
        <v>0</v>
      </c>
      <c r="BA13" s="173">
        <v>0</v>
      </c>
      <c r="BC13">
        <f t="shared" si="1"/>
        <v>612</v>
      </c>
      <c r="BD13">
        <f t="shared" si="2"/>
        <v>1148</v>
      </c>
      <c r="BE13">
        <f t="shared" si="3"/>
        <v>792</v>
      </c>
      <c r="BF13">
        <f t="shared" si="4"/>
        <v>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>
        <f t="shared" si="9"/>
        <v>0</v>
      </c>
      <c r="BL13">
        <f t="shared" si="10"/>
        <v>0</v>
      </c>
      <c r="BM13">
        <f t="shared" si="11"/>
        <v>0</v>
      </c>
      <c r="BN13">
        <f t="shared" si="12"/>
        <v>0</v>
      </c>
    </row>
    <row r="14" spans="1:66" x14ac:dyDescent="0.25">
      <c r="A14" s="219" t="s">
        <v>493</v>
      </c>
      <c r="B14" s="173">
        <v>0</v>
      </c>
      <c r="C14" s="173">
        <v>0</v>
      </c>
      <c r="D14" s="173">
        <v>0</v>
      </c>
      <c r="E14" s="173">
        <v>0</v>
      </c>
      <c r="F14" s="173">
        <v>0</v>
      </c>
      <c r="G14" s="173">
        <v>0</v>
      </c>
      <c r="H14" s="173">
        <v>12</v>
      </c>
      <c r="I14" s="173">
        <v>532</v>
      </c>
      <c r="J14" s="173">
        <v>0</v>
      </c>
      <c r="K14" s="173">
        <v>480</v>
      </c>
      <c r="L14" s="173">
        <v>500</v>
      </c>
      <c r="M14" s="173">
        <v>392</v>
      </c>
      <c r="N14" s="173">
        <v>328</v>
      </c>
      <c r="O14" s="173">
        <v>240</v>
      </c>
      <c r="P14" s="173">
        <v>180</v>
      </c>
      <c r="Q14" s="173">
        <v>180</v>
      </c>
      <c r="R14" s="173">
        <v>236</v>
      </c>
      <c r="S14" s="173">
        <v>328</v>
      </c>
      <c r="T14" s="173">
        <v>328</v>
      </c>
      <c r="U14" s="173">
        <v>328</v>
      </c>
      <c r="V14" s="173">
        <v>280</v>
      </c>
      <c r="W14" s="173">
        <v>276</v>
      </c>
      <c r="X14" s="173">
        <v>232</v>
      </c>
      <c r="Y14" s="173">
        <v>312</v>
      </c>
      <c r="Z14" s="173">
        <v>196</v>
      </c>
      <c r="AA14" s="173">
        <v>264</v>
      </c>
      <c r="AB14" s="173">
        <v>384</v>
      </c>
      <c r="AC14" s="173">
        <v>372</v>
      </c>
      <c r="AD14" s="173">
        <v>536</v>
      </c>
      <c r="AE14" s="173">
        <v>524</v>
      </c>
      <c r="AF14" s="173">
        <v>524</v>
      </c>
      <c r="AG14" s="173">
        <v>524</v>
      </c>
      <c r="AH14" s="173">
        <v>524</v>
      </c>
      <c r="AI14" s="173">
        <v>524</v>
      </c>
      <c r="AJ14" s="173">
        <v>524</v>
      </c>
      <c r="AK14" s="173">
        <v>524</v>
      </c>
      <c r="AL14" s="173">
        <v>524</v>
      </c>
      <c r="AM14" s="173">
        <v>524</v>
      </c>
      <c r="AN14" s="173">
        <v>524</v>
      </c>
      <c r="AO14" s="173">
        <v>524</v>
      </c>
      <c r="AP14" s="173">
        <v>524</v>
      </c>
      <c r="AQ14" s="173">
        <v>524</v>
      </c>
      <c r="AR14" s="173">
        <v>524</v>
      </c>
      <c r="AS14" s="173">
        <v>524</v>
      </c>
      <c r="AT14" s="173">
        <v>524</v>
      </c>
      <c r="AU14" s="173">
        <v>524</v>
      </c>
      <c r="AV14" s="173">
        <v>524</v>
      </c>
      <c r="AW14" s="173">
        <v>524</v>
      </c>
      <c r="AX14" s="173">
        <v>524</v>
      </c>
      <c r="AY14" s="173">
        <v>524</v>
      </c>
      <c r="AZ14" s="173">
        <v>524</v>
      </c>
      <c r="BA14" s="173">
        <v>524</v>
      </c>
      <c r="BC14">
        <f t="shared" si="1"/>
        <v>0</v>
      </c>
      <c r="BD14">
        <f t="shared" si="2"/>
        <v>0</v>
      </c>
      <c r="BE14">
        <f t="shared" si="3"/>
        <v>1024</v>
      </c>
      <c r="BF14">
        <f t="shared" si="4"/>
        <v>1640</v>
      </c>
      <c r="BG14">
        <f t="shared" si="5"/>
        <v>1072</v>
      </c>
      <c r="BH14">
        <f t="shared" si="6"/>
        <v>1116</v>
      </c>
      <c r="BI14">
        <f t="shared" si="7"/>
        <v>1528</v>
      </c>
      <c r="BJ14">
        <f t="shared" si="8"/>
        <v>2108</v>
      </c>
      <c r="BK14">
        <f t="shared" si="9"/>
        <v>2620</v>
      </c>
      <c r="BL14">
        <f t="shared" si="10"/>
        <v>2096</v>
      </c>
      <c r="BM14">
        <f t="shared" si="11"/>
        <v>2096</v>
      </c>
      <c r="BN14">
        <f t="shared" si="12"/>
        <v>2620</v>
      </c>
    </row>
    <row r="15" spans="1:66" x14ac:dyDescent="0.25">
      <c r="A15" s="219" t="s">
        <v>336</v>
      </c>
      <c r="B15" s="173">
        <v>896</v>
      </c>
      <c r="C15" s="173">
        <v>0</v>
      </c>
      <c r="D15" s="173">
        <v>0</v>
      </c>
      <c r="E15" s="173">
        <v>0</v>
      </c>
      <c r="F15" s="173">
        <v>0</v>
      </c>
      <c r="G15" s="173">
        <v>0</v>
      </c>
      <c r="H15" s="173">
        <v>0</v>
      </c>
      <c r="I15" s="173">
        <v>0</v>
      </c>
      <c r="J15" s="173">
        <v>0</v>
      </c>
      <c r="K15" s="173">
        <v>0</v>
      </c>
      <c r="L15" s="173">
        <v>0</v>
      </c>
      <c r="M15" s="173">
        <v>0</v>
      </c>
      <c r="N15" s="173">
        <v>0</v>
      </c>
      <c r="O15" s="173">
        <v>0</v>
      </c>
      <c r="P15" s="173">
        <v>0</v>
      </c>
      <c r="Q15" s="173">
        <v>0</v>
      </c>
      <c r="R15" s="173">
        <v>0</v>
      </c>
      <c r="S15" s="173">
        <v>0</v>
      </c>
      <c r="T15" s="173">
        <v>0</v>
      </c>
      <c r="U15" s="173">
        <v>0</v>
      </c>
      <c r="V15" s="173">
        <v>0</v>
      </c>
      <c r="W15" s="173">
        <v>0</v>
      </c>
      <c r="X15" s="173">
        <v>0</v>
      </c>
      <c r="Y15" s="173">
        <v>0</v>
      </c>
      <c r="Z15" s="173">
        <v>0</v>
      </c>
      <c r="AA15" s="173">
        <v>0</v>
      </c>
      <c r="AB15" s="173">
        <v>0</v>
      </c>
      <c r="AC15" s="173">
        <v>0</v>
      </c>
      <c r="AD15" s="173">
        <v>0</v>
      </c>
      <c r="AE15" s="173">
        <v>0</v>
      </c>
      <c r="AF15" s="173">
        <v>0</v>
      </c>
      <c r="AG15" s="173">
        <v>0</v>
      </c>
      <c r="AH15" s="173">
        <v>0</v>
      </c>
      <c r="AI15" s="173">
        <v>0</v>
      </c>
      <c r="AJ15" s="173">
        <v>0</v>
      </c>
      <c r="AK15" s="173">
        <v>0</v>
      </c>
      <c r="AL15" s="173">
        <v>0</v>
      </c>
      <c r="AM15" s="173">
        <v>0</v>
      </c>
      <c r="AN15" s="173">
        <v>0</v>
      </c>
      <c r="AO15" s="173">
        <v>0</v>
      </c>
      <c r="AP15" s="173">
        <v>0</v>
      </c>
      <c r="AQ15" s="173">
        <v>0</v>
      </c>
      <c r="AR15" s="173">
        <v>0</v>
      </c>
      <c r="AS15" s="173">
        <v>0</v>
      </c>
      <c r="AT15" s="173">
        <v>0</v>
      </c>
      <c r="AU15" s="173">
        <v>0</v>
      </c>
      <c r="AV15" s="173">
        <v>0</v>
      </c>
      <c r="AW15" s="173">
        <v>0</v>
      </c>
      <c r="AX15" s="173">
        <v>0</v>
      </c>
      <c r="AY15" s="173">
        <v>0</v>
      </c>
      <c r="AZ15" s="173">
        <v>0</v>
      </c>
      <c r="BA15" s="173">
        <v>0</v>
      </c>
      <c r="BC15">
        <f t="shared" si="1"/>
        <v>896</v>
      </c>
      <c r="BD15">
        <f t="shared" si="2"/>
        <v>0</v>
      </c>
      <c r="BE15">
        <f t="shared" si="3"/>
        <v>0</v>
      </c>
      <c r="BF15">
        <f t="shared" si="4"/>
        <v>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>
        <f t="shared" si="9"/>
        <v>0</v>
      </c>
      <c r="BL15">
        <f t="shared" si="10"/>
        <v>0</v>
      </c>
      <c r="BM15">
        <f t="shared" si="11"/>
        <v>0</v>
      </c>
      <c r="BN15">
        <f t="shared" si="12"/>
        <v>0</v>
      </c>
    </row>
    <row r="16" spans="1:66" x14ac:dyDescent="0.25">
      <c r="A16" s="218" t="s">
        <v>418</v>
      </c>
      <c r="B16" s="173">
        <v>788</v>
      </c>
      <c r="C16" s="173">
        <v>348</v>
      </c>
      <c r="D16" s="173">
        <v>348</v>
      </c>
      <c r="E16" s="173">
        <v>348</v>
      </c>
      <c r="F16" s="173">
        <v>348</v>
      </c>
      <c r="G16" s="173">
        <v>348</v>
      </c>
      <c r="H16" s="173">
        <v>520</v>
      </c>
      <c r="I16" s="173">
        <v>524</v>
      </c>
      <c r="J16" s="173">
        <v>0</v>
      </c>
      <c r="K16" s="173">
        <v>596</v>
      </c>
      <c r="L16" s="173">
        <v>248</v>
      </c>
      <c r="M16" s="173">
        <v>248</v>
      </c>
      <c r="N16" s="173">
        <v>248</v>
      </c>
      <c r="O16" s="173">
        <v>248</v>
      </c>
      <c r="P16" s="173">
        <v>248</v>
      </c>
      <c r="Q16" s="173">
        <v>248</v>
      </c>
      <c r="R16" s="173">
        <v>248</v>
      </c>
      <c r="S16" s="173">
        <v>248</v>
      </c>
      <c r="T16" s="173">
        <v>248</v>
      </c>
      <c r="U16" s="173">
        <v>248</v>
      </c>
      <c r="V16" s="173">
        <v>248</v>
      </c>
      <c r="W16" s="173">
        <v>248</v>
      </c>
      <c r="X16" s="173">
        <v>248</v>
      </c>
      <c r="Y16" s="173">
        <v>248</v>
      </c>
      <c r="Z16" s="173">
        <v>248</v>
      </c>
      <c r="AA16" s="173">
        <v>248</v>
      </c>
      <c r="AB16" s="173">
        <v>248</v>
      </c>
      <c r="AC16" s="173">
        <v>248</v>
      </c>
      <c r="AD16" s="173">
        <v>248</v>
      </c>
      <c r="AE16" s="173">
        <v>248</v>
      </c>
      <c r="AF16" s="173">
        <v>248</v>
      </c>
      <c r="AG16" s="173">
        <v>248</v>
      </c>
      <c r="AH16" s="173">
        <v>248</v>
      </c>
      <c r="AI16" s="173">
        <v>248</v>
      </c>
      <c r="AJ16" s="173">
        <v>248</v>
      </c>
      <c r="AK16" s="173">
        <v>248</v>
      </c>
      <c r="AL16" s="173">
        <v>248</v>
      </c>
      <c r="AM16" s="173">
        <v>248</v>
      </c>
      <c r="AN16" s="173">
        <v>248</v>
      </c>
      <c r="AO16" s="173">
        <v>248</v>
      </c>
      <c r="AP16" s="173">
        <v>248</v>
      </c>
      <c r="AQ16" s="173">
        <v>248</v>
      </c>
      <c r="AR16" s="173">
        <v>248</v>
      </c>
      <c r="AS16" s="173">
        <v>248</v>
      </c>
      <c r="AT16" s="173">
        <v>248</v>
      </c>
      <c r="AU16" s="173">
        <v>248</v>
      </c>
      <c r="AV16" s="173">
        <v>248</v>
      </c>
      <c r="AW16" s="173">
        <v>248</v>
      </c>
      <c r="AX16" s="173">
        <v>248</v>
      </c>
      <c r="AY16" s="173">
        <v>248</v>
      </c>
      <c r="AZ16" s="173">
        <v>248</v>
      </c>
      <c r="BA16" s="173">
        <v>248</v>
      </c>
      <c r="BC16">
        <f t="shared" si="1"/>
        <v>1136</v>
      </c>
      <c r="BD16">
        <f t="shared" si="2"/>
        <v>1392</v>
      </c>
      <c r="BE16">
        <f t="shared" si="3"/>
        <v>1640</v>
      </c>
      <c r="BF16">
        <f t="shared" si="4"/>
        <v>1240</v>
      </c>
      <c r="BG16">
        <f t="shared" si="5"/>
        <v>992</v>
      </c>
      <c r="BH16">
        <f t="shared" si="6"/>
        <v>992</v>
      </c>
      <c r="BI16">
        <f t="shared" si="7"/>
        <v>1240</v>
      </c>
      <c r="BJ16">
        <f t="shared" si="8"/>
        <v>992</v>
      </c>
      <c r="BK16">
        <f t="shared" si="9"/>
        <v>1240</v>
      </c>
      <c r="BL16">
        <f t="shared" si="10"/>
        <v>992</v>
      </c>
      <c r="BM16">
        <f t="shared" si="11"/>
        <v>992</v>
      </c>
      <c r="BN16">
        <f t="shared" si="12"/>
        <v>1240</v>
      </c>
    </row>
    <row r="17" spans="1:66" x14ac:dyDescent="0.25">
      <c r="A17" s="218" t="s">
        <v>469</v>
      </c>
      <c r="B17" s="173">
        <v>136</v>
      </c>
      <c r="C17" s="173">
        <v>84</v>
      </c>
      <c r="D17" s="173">
        <v>168</v>
      </c>
      <c r="E17" s="173">
        <v>228</v>
      </c>
      <c r="F17" s="173">
        <v>0</v>
      </c>
      <c r="G17" s="173">
        <v>56</v>
      </c>
      <c r="H17" s="173">
        <v>304</v>
      </c>
      <c r="I17" s="173">
        <v>0</v>
      </c>
      <c r="J17" s="173">
        <v>0</v>
      </c>
      <c r="K17" s="173">
        <v>52</v>
      </c>
      <c r="L17" s="173">
        <v>84</v>
      </c>
      <c r="M17" s="173">
        <v>88</v>
      </c>
      <c r="N17" s="173">
        <v>84</v>
      </c>
      <c r="O17" s="173">
        <v>76</v>
      </c>
      <c r="P17" s="173">
        <v>60</v>
      </c>
      <c r="Q17" s="173">
        <v>60</v>
      </c>
      <c r="R17" s="173">
        <v>80</v>
      </c>
      <c r="S17" s="173">
        <v>104</v>
      </c>
      <c r="T17" s="173">
        <v>100</v>
      </c>
      <c r="U17" s="173">
        <v>104</v>
      </c>
      <c r="V17" s="173">
        <v>84</v>
      </c>
      <c r="W17" s="173">
        <v>112</v>
      </c>
      <c r="X17" s="173">
        <v>68</v>
      </c>
      <c r="Y17" s="173">
        <v>100</v>
      </c>
      <c r="Z17" s="173">
        <v>40</v>
      </c>
      <c r="AA17" s="173">
        <v>104</v>
      </c>
      <c r="AB17" s="173">
        <v>96</v>
      </c>
      <c r="AC17" s="173">
        <v>96</v>
      </c>
      <c r="AD17" s="173">
        <v>156</v>
      </c>
      <c r="AE17" s="173">
        <v>112</v>
      </c>
      <c r="AF17" s="173">
        <v>120</v>
      </c>
      <c r="AG17" s="173">
        <v>120</v>
      </c>
      <c r="AH17" s="173">
        <v>120</v>
      </c>
      <c r="AI17" s="173">
        <v>120</v>
      </c>
      <c r="AJ17" s="173">
        <v>120</v>
      </c>
      <c r="AK17" s="173">
        <v>120</v>
      </c>
      <c r="AL17" s="173">
        <v>120</v>
      </c>
      <c r="AM17" s="173">
        <v>120</v>
      </c>
      <c r="AN17" s="173">
        <v>120</v>
      </c>
      <c r="AO17" s="173">
        <v>120</v>
      </c>
      <c r="AP17" s="173">
        <v>120</v>
      </c>
      <c r="AQ17" s="173">
        <v>120</v>
      </c>
      <c r="AR17" s="173">
        <v>120</v>
      </c>
      <c r="AS17" s="173">
        <v>120</v>
      </c>
      <c r="AT17" s="173">
        <v>120</v>
      </c>
      <c r="AU17" s="173">
        <v>120</v>
      </c>
      <c r="AV17" s="173">
        <v>120</v>
      </c>
      <c r="AW17" s="173">
        <v>120</v>
      </c>
      <c r="AX17" s="173">
        <v>120</v>
      </c>
      <c r="AY17" s="173">
        <v>120</v>
      </c>
      <c r="AZ17" s="173">
        <v>120</v>
      </c>
      <c r="BA17" s="173">
        <v>120</v>
      </c>
      <c r="BC17">
        <f t="shared" si="1"/>
        <v>220</v>
      </c>
      <c r="BD17">
        <f t="shared" si="2"/>
        <v>452</v>
      </c>
      <c r="BE17">
        <f t="shared" si="3"/>
        <v>356</v>
      </c>
      <c r="BF17">
        <f t="shared" si="4"/>
        <v>392</v>
      </c>
      <c r="BG17">
        <f t="shared" si="5"/>
        <v>344</v>
      </c>
      <c r="BH17">
        <f t="shared" si="6"/>
        <v>368</v>
      </c>
      <c r="BI17">
        <f t="shared" si="7"/>
        <v>436</v>
      </c>
      <c r="BJ17">
        <f t="shared" si="8"/>
        <v>508</v>
      </c>
      <c r="BK17">
        <f t="shared" si="9"/>
        <v>600</v>
      </c>
      <c r="BL17">
        <f t="shared" si="10"/>
        <v>480</v>
      </c>
      <c r="BM17">
        <f t="shared" si="11"/>
        <v>480</v>
      </c>
      <c r="BN17">
        <f t="shared" si="12"/>
        <v>600</v>
      </c>
    </row>
    <row r="18" spans="1:66" x14ac:dyDescent="0.25">
      <c r="A18" s="217" t="s">
        <v>221</v>
      </c>
      <c r="B18" s="173">
        <v>0</v>
      </c>
      <c r="C18" s="173">
        <v>0</v>
      </c>
      <c r="D18" s="173">
        <v>0</v>
      </c>
      <c r="E18" s="173">
        <v>0</v>
      </c>
      <c r="F18" s="173">
        <v>0</v>
      </c>
      <c r="G18" s="173">
        <v>0</v>
      </c>
      <c r="H18" s="173">
        <v>0</v>
      </c>
      <c r="I18" s="173">
        <v>0</v>
      </c>
      <c r="J18" s="173">
        <v>0</v>
      </c>
      <c r="K18" s="173">
        <v>0</v>
      </c>
      <c r="L18" s="173">
        <v>0</v>
      </c>
      <c r="M18" s="173">
        <v>0</v>
      </c>
      <c r="N18" s="173">
        <v>0</v>
      </c>
      <c r="O18" s="173">
        <v>0</v>
      </c>
      <c r="P18" s="173">
        <v>0</v>
      </c>
      <c r="Q18" s="173">
        <v>0</v>
      </c>
      <c r="R18" s="173">
        <v>0</v>
      </c>
      <c r="S18" s="173">
        <v>0</v>
      </c>
      <c r="T18" s="173">
        <v>0</v>
      </c>
      <c r="U18" s="173">
        <v>0</v>
      </c>
      <c r="V18" s="173">
        <v>0</v>
      </c>
      <c r="W18" s="173">
        <v>0</v>
      </c>
      <c r="X18" s="173">
        <v>0</v>
      </c>
      <c r="Y18" s="173">
        <v>0</v>
      </c>
      <c r="Z18" s="173">
        <v>0</v>
      </c>
      <c r="AA18" s="173">
        <v>0</v>
      </c>
      <c r="AB18" s="173">
        <v>0</v>
      </c>
      <c r="AC18" s="173">
        <v>0</v>
      </c>
      <c r="AD18" s="173">
        <v>0</v>
      </c>
      <c r="AE18" s="173">
        <v>0</v>
      </c>
      <c r="AF18" s="173">
        <v>0</v>
      </c>
      <c r="AG18" s="173">
        <v>0</v>
      </c>
      <c r="AH18" s="173">
        <v>0</v>
      </c>
      <c r="AI18" s="173">
        <v>0</v>
      </c>
      <c r="AJ18" s="173">
        <v>0</v>
      </c>
      <c r="AK18" s="173">
        <v>0</v>
      </c>
      <c r="AL18" s="173">
        <v>0</v>
      </c>
      <c r="AM18" s="173">
        <v>0</v>
      </c>
      <c r="AN18" s="173">
        <v>0</v>
      </c>
      <c r="AO18" s="173">
        <v>0</v>
      </c>
      <c r="AP18" s="173">
        <v>0</v>
      </c>
      <c r="AQ18" s="173">
        <v>0</v>
      </c>
      <c r="AR18" s="173">
        <v>0</v>
      </c>
      <c r="AS18" s="173">
        <v>0</v>
      </c>
      <c r="AT18" s="173">
        <v>0</v>
      </c>
      <c r="AU18" s="173">
        <v>0</v>
      </c>
      <c r="AV18" s="173">
        <v>0</v>
      </c>
      <c r="AW18" s="173">
        <v>0</v>
      </c>
      <c r="AX18" s="173">
        <v>0</v>
      </c>
      <c r="AY18" s="173">
        <v>0</v>
      </c>
      <c r="AZ18" s="173">
        <v>0</v>
      </c>
      <c r="BA18" s="173">
        <v>0</v>
      </c>
      <c r="BC18">
        <f t="shared" si="1"/>
        <v>0</v>
      </c>
      <c r="BD18">
        <f t="shared" si="2"/>
        <v>0</v>
      </c>
      <c r="BE18">
        <f t="shared" si="3"/>
        <v>0</v>
      </c>
      <c r="BF18">
        <f t="shared" si="4"/>
        <v>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>
        <f t="shared" si="9"/>
        <v>0</v>
      </c>
      <c r="BL18">
        <f t="shared" si="10"/>
        <v>0</v>
      </c>
      <c r="BM18">
        <f t="shared" si="11"/>
        <v>0</v>
      </c>
      <c r="BN18">
        <f t="shared" si="12"/>
        <v>0</v>
      </c>
    </row>
    <row r="19" spans="1:66" x14ac:dyDescent="0.25">
      <c r="A19" s="217" t="s">
        <v>373</v>
      </c>
      <c r="B19" s="173">
        <v>0</v>
      </c>
      <c r="C19" s="173">
        <v>0</v>
      </c>
      <c r="D19" s="173">
        <v>0</v>
      </c>
      <c r="E19" s="173">
        <v>0</v>
      </c>
      <c r="F19" s="173">
        <v>0</v>
      </c>
      <c r="G19" s="173">
        <v>0</v>
      </c>
      <c r="H19" s="173">
        <v>0</v>
      </c>
      <c r="I19" s="173">
        <v>0</v>
      </c>
      <c r="J19" s="173">
        <v>0</v>
      </c>
      <c r="K19" s="173">
        <v>0</v>
      </c>
      <c r="L19" s="173">
        <v>0</v>
      </c>
      <c r="M19" s="173">
        <v>0</v>
      </c>
      <c r="N19" s="173">
        <v>0</v>
      </c>
      <c r="O19" s="173">
        <v>0</v>
      </c>
      <c r="P19" s="173">
        <v>0</v>
      </c>
      <c r="Q19" s="173">
        <v>0</v>
      </c>
      <c r="R19" s="173">
        <v>0</v>
      </c>
      <c r="S19" s="173">
        <v>0</v>
      </c>
      <c r="T19" s="173">
        <v>0</v>
      </c>
      <c r="U19" s="173">
        <v>0</v>
      </c>
      <c r="V19" s="173">
        <v>0</v>
      </c>
      <c r="W19" s="173">
        <v>0</v>
      </c>
      <c r="X19" s="173">
        <v>0</v>
      </c>
      <c r="Y19" s="173">
        <v>0</v>
      </c>
      <c r="Z19" s="173">
        <v>0</v>
      </c>
      <c r="AA19" s="173">
        <v>0</v>
      </c>
      <c r="AB19" s="173">
        <v>0</v>
      </c>
      <c r="AC19" s="173">
        <v>0</v>
      </c>
      <c r="AD19" s="173">
        <v>0</v>
      </c>
      <c r="AE19" s="173">
        <v>0</v>
      </c>
      <c r="AF19" s="173">
        <v>0</v>
      </c>
      <c r="AG19" s="173">
        <v>0</v>
      </c>
      <c r="AH19" s="173">
        <v>0</v>
      </c>
      <c r="AI19" s="173">
        <v>0</v>
      </c>
      <c r="AJ19" s="173">
        <v>0</v>
      </c>
      <c r="AK19" s="173">
        <v>0</v>
      </c>
      <c r="AL19" s="173">
        <v>0</v>
      </c>
      <c r="AM19" s="173">
        <v>0</v>
      </c>
      <c r="AN19" s="173">
        <v>0</v>
      </c>
      <c r="AO19" s="173">
        <v>0</v>
      </c>
      <c r="AP19" s="173">
        <v>0</v>
      </c>
      <c r="AQ19" s="173">
        <v>0</v>
      </c>
      <c r="AR19" s="173">
        <v>0</v>
      </c>
      <c r="AS19" s="173">
        <v>0</v>
      </c>
      <c r="AT19" s="173">
        <v>0</v>
      </c>
      <c r="AU19" s="173">
        <v>0</v>
      </c>
      <c r="AV19" s="173">
        <v>0</v>
      </c>
      <c r="AW19" s="173">
        <v>0</v>
      </c>
      <c r="AX19" s="173">
        <v>0</v>
      </c>
      <c r="AY19" s="173">
        <v>0</v>
      </c>
      <c r="AZ19" s="173">
        <v>0</v>
      </c>
      <c r="BA19" s="173">
        <v>0</v>
      </c>
      <c r="BC19">
        <f t="shared" si="1"/>
        <v>0</v>
      </c>
      <c r="BD19">
        <f t="shared" si="2"/>
        <v>0</v>
      </c>
      <c r="BE19">
        <f t="shared" si="3"/>
        <v>0</v>
      </c>
      <c r="BF19">
        <f t="shared" si="4"/>
        <v>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>
        <f t="shared" si="9"/>
        <v>0</v>
      </c>
      <c r="BL19">
        <f t="shared" si="10"/>
        <v>0</v>
      </c>
      <c r="BM19">
        <f t="shared" si="11"/>
        <v>0</v>
      </c>
      <c r="BN19">
        <f t="shared" si="12"/>
        <v>0</v>
      </c>
    </row>
    <row r="20" spans="1:66" x14ac:dyDescent="0.25">
      <c r="A20" s="217" t="s">
        <v>388</v>
      </c>
      <c r="B20" s="173">
        <v>72</v>
      </c>
      <c r="C20" s="173">
        <v>80</v>
      </c>
      <c r="D20" s="173">
        <v>16</v>
      </c>
      <c r="E20" s="173">
        <v>28</v>
      </c>
      <c r="F20" s="173">
        <v>20</v>
      </c>
      <c r="G20" s="173">
        <v>64</v>
      </c>
      <c r="H20" s="173">
        <v>52</v>
      </c>
      <c r="I20" s="173">
        <v>60</v>
      </c>
      <c r="J20" s="173">
        <v>0</v>
      </c>
      <c r="K20" s="173">
        <v>0</v>
      </c>
      <c r="L20" s="173">
        <v>20</v>
      </c>
      <c r="M20" s="173">
        <v>28</v>
      </c>
      <c r="N20" s="173">
        <v>28</v>
      </c>
      <c r="O20" s="173">
        <v>20</v>
      </c>
      <c r="P20" s="173">
        <v>8</v>
      </c>
      <c r="Q20" s="173">
        <v>32</v>
      </c>
      <c r="R20" s="173">
        <v>20</v>
      </c>
      <c r="S20" s="173">
        <v>32</v>
      </c>
      <c r="T20" s="173">
        <v>32</v>
      </c>
      <c r="U20" s="173">
        <v>32</v>
      </c>
      <c r="V20" s="173">
        <v>28</v>
      </c>
      <c r="W20" s="173">
        <v>32</v>
      </c>
      <c r="X20" s="173">
        <v>32</v>
      </c>
      <c r="Y20" s="173">
        <v>32</v>
      </c>
      <c r="Z20" s="173">
        <v>8</v>
      </c>
      <c r="AA20" s="173">
        <v>32</v>
      </c>
      <c r="AB20" s="173">
        <v>32</v>
      </c>
      <c r="AC20" s="173">
        <v>36</v>
      </c>
      <c r="AD20" s="173">
        <v>44</v>
      </c>
      <c r="AE20" s="173">
        <v>32</v>
      </c>
      <c r="AF20" s="173">
        <v>32</v>
      </c>
      <c r="AG20" s="173">
        <v>32</v>
      </c>
      <c r="AH20" s="173">
        <v>32</v>
      </c>
      <c r="AI20" s="173">
        <v>32</v>
      </c>
      <c r="AJ20" s="173">
        <v>32</v>
      </c>
      <c r="AK20" s="173">
        <v>32</v>
      </c>
      <c r="AL20" s="173">
        <v>32</v>
      </c>
      <c r="AM20" s="173">
        <v>32</v>
      </c>
      <c r="AN20" s="173">
        <v>32</v>
      </c>
      <c r="AO20" s="173">
        <v>32</v>
      </c>
      <c r="AP20" s="173">
        <v>32</v>
      </c>
      <c r="AQ20" s="173">
        <v>32</v>
      </c>
      <c r="AR20" s="173">
        <v>32</v>
      </c>
      <c r="AS20" s="173">
        <v>32</v>
      </c>
      <c r="AT20" s="173">
        <v>32</v>
      </c>
      <c r="AU20" s="173">
        <v>32</v>
      </c>
      <c r="AV20" s="173">
        <v>32</v>
      </c>
      <c r="AW20" s="173">
        <v>32</v>
      </c>
      <c r="AX20" s="173">
        <v>32</v>
      </c>
      <c r="AY20" s="173">
        <v>32</v>
      </c>
      <c r="AZ20" s="173">
        <v>32</v>
      </c>
      <c r="BA20" s="173">
        <v>32</v>
      </c>
      <c r="BC20">
        <f t="shared" si="1"/>
        <v>152</v>
      </c>
      <c r="BD20">
        <f t="shared" si="2"/>
        <v>128</v>
      </c>
      <c r="BE20">
        <f t="shared" si="3"/>
        <v>112</v>
      </c>
      <c r="BF20">
        <f t="shared" si="4"/>
        <v>104</v>
      </c>
      <c r="BG20">
        <f t="shared" si="5"/>
        <v>116</v>
      </c>
      <c r="BH20">
        <f t="shared" si="6"/>
        <v>124</v>
      </c>
      <c r="BI20">
        <f t="shared" si="7"/>
        <v>140</v>
      </c>
      <c r="BJ20">
        <f t="shared" si="8"/>
        <v>140</v>
      </c>
      <c r="BK20">
        <f t="shared" si="9"/>
        <v>160</v>
      </c>
      <c r="BL20">
        <f t="shared" si="10"/>
        <v>128</v>
      </c>
      <c r="BM20">
        <f t="shared" si="11"/>
        <v>128</v>
      </c>
      <c r="BN20">
        <f t="shared" si="12"/>
        <v>160</v>
      </c>
    </row>
    <row r="21" spans="1:66" x14ac:dyDescent="0.25">
      <c r="A21" s="217" t="s">
        <v>370</v>
      </c>
      <c r="B21" s="173">
        <v>132</v>
      </c>
      <c r="C21" s="173">
        <v>32</v>
      </c>
      <c r="D21" s="173">
        <v>28</v>
      </c>
      <c r="E21" s="173">
        <v>44</v>
      </c>
      <c r="F21" s="173">
        <v>84</v>
      </c>
      <c r="G21" s="173">
        <v>76</v>
      </c>
      <c r="H21" s="173">
        <v>56</v>
      </c>
      <c r="I21" s="173">
        <v>72</v>
      </c>
      <c r="J21" s="173">
        <v>0</v>
      </c>
      <c r="K21" s="173">
        <v>16</v>
      </c>
      <c r="L21" s="173">
        <v>32</v>
      </c>
      <c r="M21" s="173">
        <v>36</v>
      </c>
      <c r="N21" s="173">
        <v>32</v>
      </c>
      <c r="O21" s="173">
        <v>28</v>
      </c>
      <c r="P21" s="173">
        <v>8</v>
      </c>
      <c r="Q21" s="173">
        <v>36</v>
      </c>
      <c r="R21" s="173">
        <v>28</v>
      </c>
      <c r="S21" s="173">
        <v>40</v>
      </c>
      <c r="T21" s="173">
        <v>40</v>
      </c>
      <c r="U21" s="173">
        <v>40</v>
      </c>
      <c r="V21" s="173">
        <v>28</v>
      </c>
      <c r="W21" s="173">
        <v>40</v>
      </c>
      <c r="X21" s="173">
        <v>44</v>
      </c>
      <c r="Y21" s="173">
        <v>32</v>
      </c>
      <c r="Z21" s="173">
        <v>20</v>
      </c>
      <c r="AA21" s="173">
        <v>32</v>
      </c>
      <c r="AB21" s="173">
        <v>40</v>
      </c>
      <c r="AC21" s="173">
        <v>44</v>
      </c>
      <c r="AD21" s="173">
        <v>60</v>
      </c>
      <c r="AE21" s="173">
        <v>36</v>
      </c>
      <c r="AF21" s="173">
        <v>40</v>
      </c>
      <c r="AG21" s="173">
        <v>40</v>
      </c>
      <c r="AH21" s="173">
        <v>40</v>
      </c>
      <c r="AI21" s="173">
        <v>40</v>
      </c>
      <c r="AJ21" s="173">
        <v>40</v>
      </c>
      <c r="AK21" s="173">
        <v>40</v>
      </c>
      <c r="AL21" s="173">
        <v>40</v>
      </c>
      <c r="AM21" s="173">
        <v>40</v>
      </c>
      <c r="AN21" s="173">
        <v>40</v>
      </c>
      <c r="AO21" s="173">
        <v>40</v>
      </c>
      <c r="AP21" s="173">
        <v>40</v>
      </c>
      <c r="AQ21" s="173">
        <v>40</v>
      </c>
      <c r="AR21" s="173">
        <v>40</v>
      </c>
      <c r="AS21" s="173">
        <v>40</v>
      </c>
      <c r="AT21" s="173">
        <v>40</v>
      </c>
      <c r="AU21" s="173">
        <v>40</v>
      </c>
      <c r="AV21" s="173">
        <v>40</v>
      </c>
      <c r="AW21" s="173">
        <v>40</v>
      </c>
      <c r="AX21" s="173">
        <v>40</v>
      </c>
      <c r="AY21" s="173">
        <v>40</v>
      </c>
      <c r="AZ21" s="173">
        <v>40</v>
      </c>
      <c r="BA21" s="173">
        <v>40</v>
      </c>
      <c r="BC21">
        <f t="shared" si="1"/>
        <v>164</v>
      </c>
      <c r="BD21">
        <f t="shared" si="2"/>
        <v>232</v>
      </c>
      <c r="BE21">
        <f t="shared" si="3"/>
        <v>144</v>
      </c>
      <c r="BF21">
        <f t="shared" si="4"/>
        <v>136</v>
      </c>
      <c r="BG21">
        <f t="shared" si="5"/>
        <v>144</v>
      </c>
      <c r="BH21">
        <f t="shared" si="6"/>
        <v>152</v>
      </c>
      <c r="BI21">
        <f t="shared" si="7"/>
        <v>168</v>
      </c>
      <c r="BJ21">
        <f t="shared" si="8"/>
        <v>176</v>
      </c>
      <c r="BK21">
        <f t="shared" si="9"/>
        <v>200</v>
      </c>
      <c r="BL21">
        <f t="shared" si="10"/>
        <v>160</v>
      </c>
      <c r="BM21">
        <f t="shared" si="11"/>
        <v>160</v>
      </c>
      <c r="BN21">
        <f t="shared" si="12"/>
        <v>200</v>
      </c>
    </row>
    <row r="22" spans="1:66" x14ac:dyDescent="0.25">
      <c r="A22" s="217" t="s">
        <v>385</v>
      </c>
      <c r="B22" s="173">
        <v>1380</v>
      </c>
      <c r="C22" s="173">
        <v>784</v>
      </c>
      <c r="D22" s="173">
        <v>748</v>
      </c>
      <c r="E22" s="173">
        <v>1000</v>
      </c>
      <c r="F22" s="173">
        <v>1036</v>
      </c>
      <c r="G22" s="173">
        <v>700</v>
      </c>
      <c r="H22" s="173">
        <v>1100</v>
      </c>
      <c r="I22" s="173">
        <v>1500</v>
      </c>
      <c r="J22" s="173">
        <v>0</v>
      </c>
      <c r="K22" s="173">
        <v>176</v>
      </c>
      <c r="L22" s="173">
        <v>800</v>
      </c>
      <c r="M22" s="173">
        <v>680</v>
      </c>
      <c r="N22" s="173">
        <v>460</v>
      </c>
      <c r="O22" s="173">
        <v>580</v>
      </c>
      <c r="P22" s="173">
        <v>372</v>
      </c>
      <c r="Q22" s="173">
        <v>368</v>
      </c>
      <c r="R22" s="173">
        <v>692</v>
      </c>
      <c r="S22" s="173">
        <v>728</v>
      </c>
      <c r="T22" s="173">
        <v>728</v>
      </c>
      <c r="U22" s="173">
        <v>732</v>
      </c>
      <c r="V22" s="173">
        <v>444</v>
      </c>
      <c r="W22" s="173">
        <v>444</v>
      </c>
      <c r="X22" s="173">
        <v>700</v>
      </c>
      <c r="Y22" s="173">
        <v>704</v>
      </c>
      <c r="Z22" s="173">
        <v>700</v>
      </c>
      <c r="AA22" s="173">
        <v>692</v>
      </c>
      <c r="AB22" s="173">
        <v>744</v>
      </c>
      <c r="AC22" s="173">
        <v>744</v>
      </c>
      <c r="AD22" s="173">
        <v>744</v>
      </c>
      <c r="AE22" s="173">
        <v>912</v>
      </c>
      <c r="AF22" s="173">
        <v>800</v>
      </c>
      <c r="AG22" s="173">
        <v>800</v>
      </c>
      <c r="AH22" s="173">
        <v>800</v>
      </c>
      <c r="AI22" s="173">
        <v>800</v>
      </c>
      <c r="AJ22" s="173">
        <v>800</v>
      </c>
      <c r="AK22" s="173">
        <v>800</v>
      </c>
      <c r="AL22" s="173">
        <v>800</v>
      </c>
      <c r="AM22" s="173">
        <v>800</v>
      </c>
      <c r="AN22" s="173">
        <v>800</v>
      </c>
      <c r="AO22" s="173">
        <v>800</v>
      </c>
      <c r="AP22" s="173">
        <v>800</v>
      </c>
      <c r="AQ22" s="173">
        <v>800</v>
      </c>
      <c r="AR22" s="173">
        <v>800</v>
      </c>
      <c r="AS22" s="173">
        <v>800</v>
      </c>
      <c r="AT22" s="173">
        <v>800</v>
      </c>
      <c r="AU22" s="173">
        <v>800</v>
      </c>
      <c r="AV22" s="173">
        <v>800</v>
      </c>
      <c r="AW22" s="173">
        <v>800</v>
      </c>
      <c r="AX22" s="173">
        <v>800</v>
      </c>
      <c r="AY22" s="173">
        <v>800</v>
      </c>
      <c r="AZ22" s="173">
        <v>800</v>
      </c>
      <c r="BA22" s="173">
        <v>800</v>
      </c>
      <c r="BC22">
        <f t="shared" si="1"/>
        <v>2164</v>
      </c>
      <c r="BD22">
        <f t="shared" si="2"/>
        <v>3484</v>
      </c>
      <c r="BE22">
        <f t="shared" si="3"/>
        <v>2776</v>
      </c>
      <c r="BF22">
        <f t="shared" si="4"/>
        <v>2892</v>
      </c>
      <c r="BG22">
        <f t="shared" si="5"/>
        <v>2516</v>
      </c>
      <c r="BH22">
        <f t="shared" si="6"/>
        <v>2320</v>
      </c>
      <c r="BI22">
        <f t="shared" si="7"/>
        <v>3584</v>
      </c>
      <c r="BJ22">
        <f t="shared" si="8"/>
        <v>3256</v>
      </c>
      <c r="BK22">
        <f t="shared" si="9"/>
        <v>4000</v>
      </c>
      <c r="BL22">
        <f t="shared" si="10"/>
        <v>3200</v>
      </c>
      <c r="BM22">
        <f t="shared" si="11"/>
        <v>3200</v>
      </c>
      <c r="BN22">
        <f t="shared" si="12"/>
        <v>4000</v>
      </c>
    </row>
    <row r="23" spans="1:66" x14ac:dyDescent="0.25">
      <c r="A23" s="217" t="s">
        <v>231</v>
      </c>
      <c r="B23" s="173">
        <v>0</v>
      </c>
      <c r="C23" s="173">
        <v>0</v>
      </c>
      <c r="D23" s="173">
        <v>0</v>
      </c>
      <c r="E23" s="173">
        <v>0</v>
      </c>
      <c r="F23" s="173">
        <v>0</v>
      </c>
      <c r="G23" s="173">
        <v>0</v>
      </c>
      <c r="H23" s="173">
        <v>0</v>
      </c>
      <c r="I23" s="173">
        <v>0</v>
      </c>
      <c r="J23" s="173">
        <v>0</v>
      </c>
      <c r="K23" s="173">
        <v>0</v>
      </c>
      <c r="L23" s="173">
        <v>0</v>
      </c>
      <c r="M23" s="173">
        <v>0</v>
      </c>
      <c r="N23" s="173">
        <v>0</v>
      </c>
      <c r="O23" s="173">
        <v>0</v>
      </c>
      <c r="P23" s="173">
        <v>0</v>
      </c>
      <c r="Q23" s="173">
        <v>0</v>
      </c>
      <c r="R23" s="173">
        <v>0</v>
      </c>
      <c r="S23" s="173">
        <v>0</v>
      </c>
      <c r="T23" s="173">
        <v>0</v>
      </c>
      <c r="U23" s="173">
        <v>0</v>
      </c>
      <c r="V23" s="173">
        <v>0</v>
      </c>
      <c r="W23" s="173">
        <v>0</v>
      </c>
      <c r="X23" s="173">
        <v>0</v>
      </c>
      <c r="Y23" s="173">
        <v>0</v>
      </c>
      <c r="Z23" s="173">
        <v>0</v>
      </c>
      <c r="AA23" s="173">
        <v>0</v>
      </c>
      <c r="AB23" s="173">
        <v>0</v>
      </c>
      <c r="AC23" s="173">
        <v>0</v>
      </c>
      <c r="AD23" s="173">
        <v>0</v>
      </c>
      <c r="AE23" s="173">
        <v>0</v>
      </c>
      <c r="AF23" s="173">
        <v>0</v>
      </c>
      <c r="AG23" s="173">
        <v>0</v>
      </c>
      <c r="AH23" s="173">
        <v>0</v>
      </c>
      <c r="AI23" s="173">
        <v>0</v>
      </c>
      <c r="AJ23" s="173">
        <v>0</v>
      </c>
      <c r="AK23" s="173">
        <v>0</v>
      </c>
      <c r="AL23" s="173">
        <v>0</v>
      </c>
      <c r="AM23" s="173">
        <v>0</v>
      </c>
      <c r="AN23" s="173">
        <v>0</v>
      </c>
      <c r="AO23" s="173">
        <v>0</v>
      </c>
      <c r="AP23" s="173">
        <v>0</v>
      </c>
      <c r="AQ23" s="173">
        <v>0</v>
      </c>
      <c r="AR23" s="173">
        <v>0</v>
      </c>
      <c r="AS23" s="173">
        <v>0</v>
      </c>
      <c r="AT23" s="173">
        <v>0</v>
      </c>
      <c r="AU23" s="173">
        <v>0</v>
      </c>
      <c r="AV23" s="173">
        <v>0</v>
      </c>
      <c r="AW23" s="173">
        <v>0</v>
      </c>
      <c r="AX23" s="173">
        <v>0</v>
      </c>
      <c r="AY23" s="173">
        <v>0</v>
      </c>
      <c r="AZ23" s="173">
        <v>0</v>
      </c>
      <c r="BA23" s="173">
        <v>0</v>
      </c>
      <c r="BC23">
        <f t="shared" si="1"/>
        <v>0</v>
      </c>
      <c r="BD23">
        <f t="shared" si="2"/>
        <v>0</v>
      </c>
      <c r="BE23">
        <f t="shared" si="3"/>
        <v>0</v>
      </c>
      <c r="BF23">
        <f t="shared" si="4"/>
        <v>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>
        <f t="shared" si="9"/>
        <v>0</v>
      </c>
      <c r="BL23">
        <f t="shared" si="10"/>
        <v>0</v>
      </c>
      <c r="BM23">
        <f t="shared" si="11"/>
        <v>0</v>
      </c>
      <c r="BN23">
        <f t="shared" si="12"/>
        <v>0</v>
      </c>
    </row>
    <row r="24" spans="1:66" x14ac:dyDescent="0.25">
      <c r="A24" s="217" t="s">
        <v>367</v>
      </c>
      <c r="B24" s="173">
        <v>0</v>
      </c>
      <c r="C24" s="173">
        <v>0</v>
      </c>
      <c r="D24" s="173">
        <v>0</v>
      </c>
      <c r="E24" s="173">
        <v>0</v>
      </c>
      <c r="F24" s="173">
        <v>0</v>
      </c>
      <c r="G24" s="173">
        <v>0</v>
      </c>
      <c r="H24" s="173">
        <v>0</v>
      </c>
      <c r="I24" s="173">
        <v>0</v>
      </c>
      <c r="J24" s="173">
        <v>0</v>
      </c>
      <c r="K24" s="173">
        <v>0</v>
      </c>
      <c r="L24" s="173">
        <v>0</v>
      </c>
      <c r="M24" s="173">
        <v>0</v>
      </c>
      <c r="N24" s="173">
        <v>0</v>
      </c>
      <c r="O24" s="173">
        <v>0</v>
      </c>
      <c r="P24" s="173">
        <v>0</v>
      </c>
      <c r="Q24" s="173">
        <v>0</v>
      </c>
      <c r="R24" s="173">
        <v>0</v>
      </c>
      <c r="S24" s="173">
        <v>0</v>
      </c>
      <c r="T24" s="173">
        <v>0</v>
      </c>
      <c r="U24" s="173">
        <v>0</v>
      </c>
      <c r="V24" s="173">
        <v>0</v>
      </c>
      <c r="W24" s="173">
        <v>0</v>
      </c>
      <c r="X24" s="173">
        <v>0</v>
      </c>
      <c r="Y24" s="173">
        <v>0</v>
      </c>
      <c r="Z24" s="173">
        <v>0</v>
      </c>
      <c r="AA24" s="173">
        <v>0</v>
      </c>
      <c r="AB24" s="173">
        <v>0</v>
      </c>
      <c r="AC24" s="173">
        <v>0</v>
      </c>
      <c r="AD24" s="173">
        <v>0</v>
      </c>
      <c r="AE24" s="173">
        <v>0</v>
      </c>
      <c r="AF24" s="173">
        <v>0</v>
      </c>
      <c r="AG24" s="173">
        <v>0</v>
      </c>
      <c r="AH24" s="173">
        <v>0</v>
      </c>
      <c r="AI24" s="173">
        <v>0</v>
      </c>
      <c r="AJ24" s="173">
        <v>0</v>
      </c>
      <c r="AK24" s="173">
        <v>0</v>
      </c>
      <c r="AL24" s="173">
        <v>0</v>
      </c>
      <c r="AM24" s="173">
        <v>0</v>
      </c>
      <c r="AN24" s="173">
        <v>0</v>
      </c>
      <c r="AO24" s="173">
        <v>0</v>
      </c>
      <c r="AP24" s="173">
        <v>0</v>
      </c>
      <c r="AQ24" s="173">
        <v>0</v>
      </c>
      <c r="AR24" s="173">
        <v>0</v>
      </c>
      <c r="AS24" s="173">
        <v>0</v>
      </c>
      <c r="AT24" s="173">
        <v>0</v>
      </c>
      <c r="AU24" s="173">
        <v>0</v>
      </c>
      <c r="AV24" s="173">
        <v>0</v>
      </c>
      <c r="AW24" s="173">
        <v>0</v>
      </c>
      <c r="AX24" s="173">
        <v>0</v>
      </c>
      <c r="AY24" s="173">
        <v>0</v>
      </c>
      <c r="AZ24" s="173">
        <v>0</v>
      </c>
      <c r="BA24" s="173">
        <v>0</v>
      </c>
      <c r="BC24">
        <f t="shared" si="1"/>
        <v>0</v>
      </c>
      <c r="BD24">
        <f t="shared" si="2"/>
        <v>0</v>
      </c>
      <c r="BE24">
        <f t="shared" si="3"/>
        <v>0</v>
      </c>
      <c r="BF24">
        <f t="shared" si="4"/>
        <v>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>
        <f t="shared" si="9"/>
        <v>0</v>
      </c>
      <c r="BL24">
        <f t="shared" si="10"/>
        <v>0</v>
      </c>
      <c r="BM24">
        <f t="shared" si="11"/>
        <v>0</v>
      </c>
      <c r="BN24">
        <f t="shared" si="12"/>
        <v>0</v>
      </c>
    </row>
    <row r="25" spans="1:66" x14ac:dyDescent="0.25">
      <c r="A25" s="217" t="s">
        <v>233</v>
      </c>
      <c r="B25" s="173">
        <v>0</v>
      </c>
      <c r="C25" s="173">
        <v>0</v>
      </c>
      <c r="D25" s="173">
        <v>0</v>
      </c>
      <c r="E25" s="173">
        <v>0</v>
      </c>
      <c r="F25" s="173">
        <v>0</v>
      </c>
      <c r="G25" s="173">
        <v>0</v>
      </c>
      <c r="H25" s="173">
        <v>0</v>
      </c>
      <c r="I25" s="173">
        <v>0</v>
      </c>
      <c r="J25" s="173">
        <v>0</v>
      </c>
      <c r="K25" s="173">
        <v>0</v>
      </c>
      <c r="L25" s="173">
        <v>0</v>
      </c>
      <c r="M25" s="173">
        <v>0</v>
      </c>
      <c r="N25" s="173">
        <v>0</v>
      </c>
      <c r="O25" s="173">
        <v>0</v>
      </c>
      <c r="P25" s="173">
        <v>0</v>
      </c>
      <c r="Q25" s="173">
        <v>0</v>
      </c>
      <c r="R25" s="173">
        <v>0</v>
      </c>
      <c r="S25" s="173">
        <v>0</v>
      </c>
      <c r="T25" s="173">
        <v>0</v>
      </c>
      <c r="U25" s="173">
        <v>0</v>
      </c>
      <c r="V25" s="173">
        <v>0</v>
      </c>
      <c r="W25" s="173">
        <v>0</v>
      </c>
      <c r="X25" s="173">
        <v>0</v>
      </c>
      <c r="Y25" s="173">
        <v>0</v>
      </c>
      <c r="Z25" s="173">
        <v>0</v>
      </c>
      <c r="AA25" s="173">
        <v>0</v>
      </c>
      <c r="AB25" s="173">
        <v>0</v>
      </c>
      <c r="AC25" s="173">
        <v>0</v>
      </c>
      <c r="AD25" s="173">
        <v>0</v>
      </c>
      <c r="AE25" s="173">
        <v>0</v>
      </c>
      <c r="AF25" s="173">
        <v>0</v>
      </c>
      <c r="AG25" s="173">
        <v>0</v>
      </c>
      <c r="AH25" s="173">
        <v>0</v>
      </c>
      <c r="AI25" s="173">
        <v>0</v>
      </c>
      <c r="AJ25" s="173">
        <v>0</v>
      </c>
      <c r="AK25" s="173">
        <v>0</v>
      </c>
      <c r="AL25" s="173">
        <v>0</v>
      </c>
      <c r="AM25" s="173">
        <v>0</v>
      </c>
      <c r="AN25" s="173">
        <v>0</v>
      </c>
      <c r="AO25" s="173">
        <v>0</v>
      </c>
      <c r="AP25" s="173">
        <v>0</v>
      </c>
      <c r="AQ25" s="173">
        <v>0</v>
      </c>
      <c r="AR25" s="173">
        <v>0</v>
      </c>
      <c r="AS25" s="173">
        <v>0</v>
      </c>
      <c r="AT25" s="173">
        <v>0</v>
      </c>
      <c r="AU25" s="173">
        <v>0</v>
      </c>
      <c r="AV25" s="173">
        <v>0</v>
      </c>
      <c r="AW25" s="173">
        <v>0</v>
      </c>
      <c r="AX25" s="173">
        <v>0</v>
      </c>
      <c r="AY25" s="173">
        <v>0</v>
      </c>
      <c r="AZ25" s="173">
        <v>0</v>
      </c>
      <c r="BA25" s="173">
        <v>0</v>
      </c>
      <c r="BC25">
        <f t="shared" si="1"/>
        <v>0</v>
      </c>
      <c r="BD25">
        <f t="shared" si="2"/>
        <v>0</v>
      </c>
      <c r="BE25">
        <f t="shared" si="3"/>
        <v>0</v>
      </c>
      <c r="BF25">
        <f t="shared" si="4"/>
        <v>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>
        <f t="shared" si="9"/>
        <v>0</v>
      </c>
      <c r="BL25">
        <f t="shared" si="10"/>
        <v>0</v>
      </c>
      <c r="BM25">
        <f t="shared" si="11"/>
        <v>0</v>
      </c>
      <c r="BN25">
        <f t="shared" si="12"/>
        <v>0</v>
      </c>
    </row>
    <row r="26" spans="1:66" x14ac:dyDescent="0.25">
      <c r="A26" s="217" t="s">
        <v>379</v>
      </c>
      <c r="B26" s="173">
        <v>0</v>
      </c>
      <c r="C26" s="173">
        <v>0</v>
      </c>
      <c r="D26" s="173">
        <v>0</v>
      </c>
      <c r="E26" s="173">
        <v>0</v>
      </c>
      <c r="F26" s="173">
        <v>0</v>
      </c>
      <c r="G26" s="173">
        <v>0</v>
      </c>
      <c r="H26" s="173">
        <v>0</v>
      </c>
      <c r="I26" s="173">
        <v>0</v>
      </c>
      <c r="J26" s="173">
        <v>0</v>
      </c>
      <c r="K26" s="173">
        <v>0</v>
      </c>
      <c r="L26" s="173">
        <v>0</v>
      </c>
      <c r="M26" s="173">
        <v>0</v>
      </c>
      <c r="N26" s="173">
        <v>0</v>
      </c>
      <c r="O26" s="173">
        <v>0</v>
      </c>
      <c r="P26" s="173">
        <v>0</v>
      </c>
      <c r="Q26" s="173">
        <v>0</v>
      </c>
      <c r="R26" s="173">
        <v>0</v>
      </c>
      <c r="S26" s="173">
        <v>0</v>
      </c>
      <c r="T26" s="173">
        <v>0</v>
      </c>
      <c r="U26" s="173">
        <v>0</v>
      </c>
      <c r="V26" s="173">
        <v>0</v>
      </c>
      <c r="W26" s="173">
        <v>0</v>
      </c>
      <c r="X26" s="173">
        <v>0</v>
      </c>
      <c r="Y26" s="173">
        <v>0</v>
      </c>
      <c r="Z26" s="173">
        <v>0</v>
      </c>
      <c r="AA26" s="173">
        <v>0</v>
      </c>
      <c r="AB26" s="173">
        <v>0</v>
      </c>
      <c r="AC26" s="173">
        <v>0</v>
      </c>
      <c r="AD26" s="173">
        <v>0</v>
      </c>
      <c r="AE26" s="173">
        <v>0</v>
      </c>
      <c r="AF26" s="173">
        <v>0</v>
      </c>
      <c r="AG26" s="173">
        <v>0</v>
      </c>
      <c r="AH26" s="173">
        <v>0</v>
      </c>
      <c r="AI26" s="173">
        <v>0</v>
      </c>
      <c r="AJ26" s="173">
        <v>0</v>
      </c>
      <c r="AK26" s="173">
        <v>0</v>
      </c>
      <c r="AL26" s="173">
        <v>0</v>
      </c>
      <c r="AM26" s="173">
        <v>0</v>
      </c>
      <c r="AN26" s="173">
        <v>0</v>
      </c>
      <c r="AO26" s="173">
        <v>0</v>
      </c>
      <c r="AP26" s="173">
        <v>0</v>
      </c>
      <c r="AQ26" s="173">
        <v>0</v>
      </c>
      <c r="AR26" s="173">
        <v>0</v>
      </c>
      <c r="AS26" s="173">
        <v>0</v>
      </c>
      <c r="AT26" s="173">
        <v>0</v>
      </c>
      <c r="AU26" s="173">
        <v>0</v>
      </c>
      <c r="AV26" s="173">
        <v>0</v>
      </c>
      <c r="AW26" s="173">
        <v>0</v>
      </c>
      <c r="AX26" s="173">
        <v>0</v>
      </c>
      <c r="AY26" s="173">
        <v>0</v>
      </c>
      <c r="AZ26" s="173">
        <v>0</v>
      </c>
      <c r="BA26" s="173">
        <v>0</v>
      </c>
      <c r="BC26">
        <f t="shared" si="1"/>
        <v>0</v>
      </c>
      <c r="BD26">
        <f t="shared" si="2"/>
        <v>0</v>
      </c>
      <c r="BE26">
        <f t="shared" si="3"/>
        <v>0</v>
      </c>
      <c r="BF26">
        <f t="shared" si="4"/>
        <v>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>
        <f t="shared" si="9"/>
        <v>0</v>
      </c>
      <c r="BL26">
        <f t="shared" si="10"/>
        <v>0</v>
      </c>
      <c r="BM26">
        <f t="shared" si="11"/>
        <v>0</v>
      </c>
      <c r="BN26">
        <f t="shared" si="12"/>
        <v>0</v>
      </c>
    </row>
    <row r="27" spans="1:66" x14ac:dyDescent="0.25">
      <c r="A27" s="217" t="s">
        <v>364</v>
      </c>
      <c r="B27" s="173">
        <v>1012</v>
      </c>
      <c r="C27" s="173">
        <v>292</v>
      </c>
      <c r="D27" s="173">
        <v>244</v>
      </c>
      <c r="E27" s="173">
        <v>348</v>
      </c>
      <c r="F27" s="173">
        <v>152</v>
      </c>
      <c r="G27" s="173">
        <v>312</v>
      </c>
      <c r="H27" s="173">
        <v>444</v>
      </c>
      <c r="I27" s="173">
        <v>404</v>
      </c>
      <c r="J27" s="173">
        <v>0</v>
      </c>
      <c r="K27" s="173">
        <v>140</v>
      </c>
      <c r="L27" s="173">
        <v>228</v>
      </c>
      <c r="M27" s="173">
        <v>228</v>
      </c>
      <c r="N27" s="173">
        <v>228</v>
      </c>
      <c r="O27" s="173">
        <v>180</v>
      </c>
      <c r="P27" s="173">
        <v>152</v>
      </c>
      <c r="Q27" s="173">
        <v>148</v>
      </c>
      <c r="R27" s="173">
        <v>196</v>
      </c>
      <c r="S27" s="173">
        <v>268</v>
      </c>
      <c r="T27" s="173">
        <v>264</v>
      </c>
      <c r="U27" s="173">
        <v>264</v>
      </c>
      <c r="V27" s="173">
        <v>216</v>
      </c>
      <c r="W27" s="173">
        <v>216</v>
      </c>
      <c r="X27" s="173">
        <v>252</v>
      </c>
      <c r="Y27" s="173">
        <v>256</v>
      </c>
      <c r="Z27" s="173">
        <v>152</v>
      </c>
      <c r="AA27" s="173">
        <v>252</v>
      </c>
      <c r="AB27" s="173">
        <v>260</v>
      </c>
      <c r="AC27" s="173">
        <v>260</v>
      </c>
      <c r="AD27" s="173">
        <v>388</v>
      </c>
      <c r="AE27" s="173">
        <v>288</v>
      </c>
      <c r="AF27" s="173">
        <v>288</v>
      </c>
      <c r="AG27" s="173">
        <v>288</v>
      </c>
      <c r="AH27" s="173">
        <v>288</v>
      </c>
      <c r="AI27" s="173">
        <v>288</v>
      </c>
      <c r="AJ27" s="173">
        <v>288</v>
      </c>
      <c r="AK27" s="173">
        <v>288</v>
      </c>
      <c r="AL27" s="173">
        <v>288</v>
      </c>
      <c r="AM27" s="173">
        <v>288</v>
      </c>
      <c r="AN27" s="173">
        <v>288</v>
      </c>
      <c r="AO27" s="173">
        <v>288</v>
      </c>
      <c r="AP27" s="173">
        <v>288</v>
      </c>
      <c r="AQ27" s="173">
        <v>288</v>
      </c>
      <c r="AR27" s="173">
        <v>288</v>
      </c>
      <c r="AS27" s="173">
        <v>288</v>
      </c>
      <c r="AT27" s="173">
        <v>288</v>
      </c>
      <c r="AU27" s="173">
        <v>288</v>
      </c>
      <c r="AV27" s="173">
        <v>288</v>
      </c>
      <c r="AW27" s="173">
        <v>288</v>
      </c>
      <c r="AX27" s="173">
        <v>288</v>
      </c>
      <c r="AY27" s="173">
        <v>288</v>
      </c>
      <c r="AZ27" s="173">
        <v>288</v>
      </c>
      <c r="BA27" s="173">
        <v>288</v>
      </c>
      <c r="BC27">
        <f t="shared" si="1"/>
        <v>1304</v>
      </c>
      <c r="BD27">
        <f t="shared" si="2"/>
        <v>1056</v>
      </c>
      <c r="BE27">
        <f t="shared" si="3"/>
        <v>988</v>
      </c>
      <c r="BF27">
        <f t="shared" si="4"/>
        <v>1016</v>
      </c>
      <c r="BG27">
        <f t="shared" si="5"/>
        <v>876</v>
      </c>
      <c r="BH27">
        <f t="shared" si="6"/>
        <v>948</v>
      </c>
      <c r="BI27">
        <f t="shared" si="7"/>
        <v>1180</v>
      </c>
      <c r="BJ27">
        <f t="shared" si="8"/>
        <v>1252</v>
      </c>
      <c r="BK27">
        <f t="shared" si="9"/>
        <v>1440</v>
      </c>
      <c r="BL27">
        <f t="shared" si="10"/>
        <v>1152</v>
      </c>
      <c r="BM27">
        <f t="shared" si="11"/>
        <v>1152</v>
      </c>
      <c r="BN27">
        <f t="shared" si="12"/>
        <v>1440</v>
      </c>
    </row>
    <row r="28" spans="1:66" x14ac:dyDescent="0.25">
      <c r="A28" s="219" t="s">
        <v>479</v>
      </c>
      <c r="B28" s="173">
        <v>272</v>
      </c>
      <c r="C28" s="173">
        <v>408</v>
      </c>
      <c r="D28" s="173">
        <v>292</v>
      </c>
      <c r="E28" s="173">
        <v>180</v>
      </c>
      <c r="F28" s="173">
        <v>240</v>
      </c>
      <c r="G28" s="173">
        <v>464</v>
      </c>
      <c r="H28" s="173">
        <v>768</v>
      </c>
      <c r="I28" s="173">
        <v>48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3">
        <v>0</v>
      </c>
      <c r="P28" s="173">
        <v>0</v>
      </c>
      <c r="Q28" s="173">
        <v>0</v>
      </c>
      <c r="R28" s="173">
        <v>0</v>
      </c>
      <c r="S28" s="173">
        <v>0</v>
      </c>
      <c r="T28" s="173">
        <v>0</v>
      </c>
      <c r="U28" s="173">
        <v>0</v>
      </c>
      <c r="V28" s="173">
        <v>0</v>
      </c>
      <c r="W28" s="173">
        <v>0</v>
      </c>
      <c r="X28" s="173">
        <v>0</v>
      </c>
      <c r="Y28" s="173">
        <v>0</v>
      </c>
      <c r="Z28" s="173">
        <v>0</v>
      </c>
      <c r="AA28" s="173">
        <v>0</v>
      </c>
      <c r="AB28" s="173">
        <v>0</v>
      </c>
      <c r="AC28" s="173">
        <v>0</v>
      </c>
      <c r="AD28" s="173">
        <v>0</v>
      </c>
      <c r="AE28" s="173">
        <v>0</v>
      </c>
      <c r="AF28" s="173">
        <v>0</v>
      </c>
      <c r="AG28" s="173">
        <v>0</v>
      </c>
      <c r="AH28" s="173">
        <v>0</v>
      </c>
      <c r="AI28" s="173">
        <v>0</v>
      </c>
      <c r="AJ28" s="173">
        <v>0</v>
      </c>
      <c r="AK28" s="173">
        <v>0</v>
      </c>
      <c r="AL28" s="173">
        <v>0</v>
      </c>
      <c r="AM28" s="173">
        <v>0</v>
      </c>
      <c r="AN28" s="173">
        <v>0</v>
      </c>
      <c r="AO28" s="173">
        <v>0</v>
      </c>
      <c r="AP28" s="173">
        <v>0</v>
      </c>
      <c r="AQ28" s="173">
        <v>0</v>
      </c>
      <c r="AR28" s="173">
        <v>0</v>
      </c>
      <c r="AS28" s="173">
        <v>0</v>
      </c>
      <c r="AT28" s="173">
        <v>0</v>
      </c>
      <c r="AU28" s="173">
        <v>0</v>
      </c>
      <c r="AV28" s="173">
        <v>0</v>
      </c>
      <c r="AW28" s="173">
        <v>0</v>
      </c>
      <c r="AX28" s="173">
        <v>0</v>
      </c>
      <c r="AY28" s="173">
        <v>0</v>
      </c>
      <c r="AZ28" s="173">
        <v>0</v>
      </c>
      <c r="BA28" s="173">
        <v>0</v>
      </c>
      <c r="BC28">
        <f t="shared" si="1"/>
        <v>680</v>
      </c>
      <c r="BD28">
        <f t="shared" si="2"/>
        <v>1176</v>
      </c>
      <c r="BE28">
        <f t="shared" si="3"/>
        <v>816</v>
      </c>
      <c r="BF28">
        <f t="shared" si="4"/>
        <v>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>
        <f t="shared" si="9"/>
        <v>0</v>
      </c>
      <c r="BL28">
        <f t="shared" si="10"/>
        <v>0</v>
      </c>
      <c r="BM28">
        <f t="shared" si="11"/>
        <v>0</v>
      </c>
      <c r="BN28">
        <f t="shared" si="12"/>
        <v>0</v>
      </c>
    </row>
    <row r="29" spans="1:66" x14ac:dyDescent="0.25">
      <c r="A29" s="219" t="s">
        <v>487</v>
      </c>
      <c r="B29" s="173">
        <v>0</v>
      </c>
      <c r="C29" s="173">
        <v>0</v>
      </c>
      <c r="D29" s="173">
        <v>0</v>
      </c>
      <c r="E29" s="173">
        <v>0</v>
      </c>
      <c r="F29" s="173">
        <v>0</v>
      </c>
      <c r="G29" s="173">
        <v>0</v>
      </c>
      <c r="H29" s="173">
        <v>0</v>
      </c>
      <c r="I29" s="173">
        <v>412</v>
      </c>
      <c r="J29" s="173">
        <v>0</v>
      </c>
      <c r="K29" s="173">
        <v>464</v>
      </c>
      <c r="L29" s="173">
        <v>460</v>
      </c>
      <c r="M29" s="173">
        <v>432</v>
      </c>
      <c r="N29" s="173">
        <v>332</v>
      </c>
      <c r="O29" s="173">
        <v>240</v>
      </c>
      <c r="P29" s="173">
        <v>180</v>
      </c>
      <c r="Q29" s="173">
        <v>180</v>
      </c>
      <c r="R29" s="173">
        <v>240</v>
      </c>
      <c r="S29" s="173">
        <v>328</v>
      </c>
      <c r="T29" s="173">
        <v>332</v>
      </c>
      <c r="U29" s="173">
        <v>328</v>
      </c>
      <c r="V29" s="173">
        <v>280</v>
      </c>
      <c r="W29" s="173">
        <v>276</v>
      </c>
      <c r="X29" s="173">
        <v>228</v>
      </c>
      <c r="Y29" s="173">
        <v>320</v>
      </c>
      <c r="Z29" s="173">
        <v>196</v>
      </c>
      <c r="AA29" s="173">
        <v>264</v>
      </c>
      <c r="AB29" s="173">
        <v>380</v>
      </c>
      <c r="AC29" s="173">
        <v>380</v>
      </c>
      <c r="AD29" s="173">
        <v>536</v>
      </c>
      <c r="AE29" s="173">
        <v>524</v>
      </c>
      <c r="AF29" s="173">
        <v>524</v>
      </c>
      <c r="AG29" s="173">
        <v>524</v>
      </c>
      <c r="AH29" s="173">
        <v>524</v>
      </c>
      <c r="AI29" s="173">
        <v>524</v>
      </c>
      <c r="AJ29" s="173">
        <v>524</v>
      </c>
      <c r="AK29" s="173">
        <v>524</v>
      </c>
      <c r="AL29" s="173">
        <v>524</v>
      </c>
      <c r="AM29" s="173">
        <v>524</v>
      </c>
      <c r="AN29" s="173">
        <v>524</v>
      </c>
      <c r="AO29" s="173">
        <v>524</v>
      </c>
      <c r="AP29" s="173">
        <v>524</v>
      </c>
      <c r="AQ29" s="173">
        <v>524</v>
      </c>
      <c r="AR29" s="173">
        <v>524</v>
      </c>
      <c r="AS29" s="173">
        <v>524</v>
      </c>
      <c r="AT29" s="173">
        <v>524</v>
      </c>
      <c r="AU29" s="173">
        <v>524</v>
      </c>
      <c r="AV29" s="173">
        <v>524</v>
      </c>
      <c r="AW29" s="173">
        <v>524</v>
      </c>
      <c r="AX29" s="173">
        <v>524</v>
      </c>
      <c r="AY29" s="173">
        <v>524</v>
      </c>
      <c r="AZ29" s="173">
        <v>524</v>
      </c>
      <c r="BA29" s="173">
        <v>524</v>
      </c>
      <c r="BC29">
        <f t="shared" si="1"/>
        <v>0</v>
      </c>
      <c r="BD29">
        <f t="shared" si="2"/>
        <v>0</v>
      </c>
      <c r="BE29">
        <f t="shared" si="3"/>
        <v>876</v>
      </c>
      <c r="BF29">
        <f t="shared" si="4"/>
        <v>1644</v>
      </c>
      <c r="BG29">
        <f t="shared" si="5"/>
        <v>1080</v>
      </c>
      <c r="BH29">
        <f t="shared" si="6"/>
        <v>1112</v>
      </c>
      <c r="BI29">
        <f t="shared" si="7"/>
        <v>1540</v>
      </c>
      <c r="BJ29">
        <f t="shared" si="8"/>
        <v>2108</v>
      </c>
      <c r="BK29">
        <f t="shared" si="9"/>
        <v>2620</v>
      </c>
      <c r="BL29">
        <f t="shared" si="10"/>
        <v>2096</v>
      </c>
      <c r="BM29">
        <f t="shared" si="11"/>
        <v>2096</v>
      </c>
      <c r="BN29">
        <f t="shared" si="12"/>
        <v>2620</v>
      </c>
    </row>
    <row r="30" spans="1:66" x14ac:dyDescent="0.25">
      <c r="A30" s="219" t="s">
        <v>330</v>
      </c>
      <c r="B30" s="173">
        <v>512</v>
      </c>
      <c r="C30" s="173">
        <v>0</v>
      </c>
      <c r="D30" s="173">
        <v>0</v>
      </c>
      <c r="E30" s="173">
        <v>0</v>
      </c>
      <c r="F30" s="173">
        <v>0</v>
      </c>
      <c r="G30" s="173">
        <v>0</v>
      </c>
      <c r="H30" s="173">
        <v>0</v>
      </c>
      <c r="I30" s="173">
        <v>0</v>
      </c>
      <c r="J30" s="173">
        <v>0</v>
      </c>
      <c r="K30" s="173">
        <v>0</v>
      </c>
      <c r="L30" s="173">
        <v>0</v>
      </c>
      <c r="M30" s="173">
        <v>0</v>
      </c>
      <c r="N30" s="173">
        <v>0</v>
      </c>
      <c r="O30" s="173">
        <v>0</v>
      </c>
      <c r="P30" s="173">
        <v>0</v>
      </c>
      <c r="Q30" s="173">
        <v>0</v>
      </c>
      <c r="R30" s="173">
        <v>0</v>
      </c>
      <c r="S30" s="173">
        <v>0</v>
      </c>
      <c r="T30" s="173">
        <v>0</v>
      </c>
      <c r="U30" s="173">
        <v>0</v>
      </c>
      <c r="V30" s="173">
        <v>0</v>
      </c>
      <c r="W30" s="173">
        <v>0</v>
      </c>
      <c r="X30" s="173">
        <v>0</v>
      </c>
      <c r="Y30" s="173">
        <v>0</v>
      </c>
      <c r="Z30" s="173">
        <v>0</v>
      </c>
      <c r="AA30" s="173">
        <v>0</v>
      </c>
      <c r="AB30" s="173">
        <v>0</v>
      </c>
      <c r="AC30" s="173">
        <v>0</v>
      </c>
      <c r="AD30" s="173">
        <v>0</v>
      </c>
      <c r="AE30" s="173">
        <v>0</v>
      </c>
      <c r="AF30" s="173">
        <v>0</v>
      </c>
      <c r="AG30" s="173">
        <v>0</v>
      </c>
      <c r="AH30" s="173">
        <v>0</v>
      </c>
      <c r="AI30" s="173">
        <v>0</v>
      </c>
      <c r="AJ30" s="173">
        <v>0</v>
      </c>
      <c r="AK30" s="173">
        <v>0</v>
      </c>
      <c r="AL30" s="173">
        <v>0</v>
      </c>
      <c r="AM30" s="173">
        <v>0</v>
      </c>
      <c r="AN30" s="173">
        <v>0</v>
      </c>
      <c r="AO30" s="173">
        <v>0</v>
      </c>
      <c r="AP30" s="173">
        <v>0</v>
      </c>
      <c r="AQ30" s="173">
        <v>0</v>
      </c>
      <c r="AR30" s="173">
        <v>0</v>
      </c>
      <c r="AS30" s="173">
        <v>0</v>
      </c>
      <c r="AT30" s="173">
        <v>0</v>
      </c>
      <c r="AU30" s="173">
        <v>0</v>
      </c>
      <c r="AV30" s="173">
        <v>0</v>
      </c>
      <c r="AW30" s="173">
        <v>0</v>
      </c>
      <c r="AX30" s="173">
        <v>0</v>
      </c>
      <c r="AY30" s="173">
        <v>0</v>
      </c>
      <c r="AZ30" s="173">
        <v>0</v>
      </c>
      <c r="BA30" s="173">
        <v>0</v>
      </c>
      <c r="BC30">
        <f t="shared" si="1"/>
        <v>512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>
        <f t="shared" si="9"/>
        <v>0</v>
      </c>
      <c r="BL30">
        <f t="shared" si="10"/>
        <v>0</v>
      </c>
      <c r="BM30">
        <f t="shared" si="11"/>
        <v>0</v>
      </c>
      <c r="BN30">
        <f t="shared" si="12"/>
        <v>0</v>
      </c>
    </row>
    <row r="31" spans="1:66" x14ac:dyDescent="0.25">
      <c r="A31" s="218" t="s">
        <v>468</v>
      </c>
      <c r="B31" s="173">
        <v>456</v>
      </c>
      <c r="C31" s="173">
        <v>680</v>
      </c>
      <c r="D31" s="173">
        <v>320</v>
      </c>
      <c r="E31" s="173">
        <v>592</v>
      </c>
      <c r="F31" s="173">
        <v>1172</v>
      </c>
      <c r="G31" s="173">
        <v>640</v>
      </c>
      <c r="H31" s="173">
        <v>400</v>
      </c>
      <c r="I31" s="173">
        <v>780</v>
      </c>
      <c r="J31" s="173">
        <v>0</v>
      </c>
      <c r="K31" s="173">
        <v>496</v>
      </c>
      <c r="L31" s="173">
        <v>228</v>
      </c>
      <c r="M31" s="173">
        <v>512</v>
      </c>
      <c r="N31" s="173">
        <v>284</v>
      </c>
      <c r="O31" s="173">
        <v>480</v>
      </c>
      <c r="P31" s="173">
        <v>304</v>
      </c>
      <c r="Q31" s="173">
        <v>304</v>
      </c>
      <c r="R31" s="173">
        <v>432</v>
      </c>
      <c r="S31" s="173">
        <v>564</v>
      </c>
      <c r="T31" s="173">
        <v>564</v>
      </c>
      <c r="U31" s="173">
        <v>568</v>
      </c>
      <c r="V31" s="173">
        <v>476</v>
      </c>
      <c r="W31" s="173">
        <v>480</v>
      </c>
      <c r="X31" s="173">
        <v>392</v>
      </c>
      <c r="Y31" s="173">
        <v>544</v>
      </c>
      <c r="Z31" s="173">
        <v>324</v>
      </c>
      <c r="AA31" s="173">
        <v>556</v>
      </c>
      <c r="AB31" s="173">
        <v>528</v>
      </c>
      <c r="AC31" s="173">
        <v>532</v>
      </c>
      <c r="AD31" s="173">
        <v>732</v>
      </c>
      <c r="AE31" s="173">
        <v>736</v>
      </c>
      <c r="AF31" s="173">
        <v>736</v>
      </c>
      <c r="AG31" s="173">
        <v>736</v>
      </c>
      <c r="AH31" s="173">
        <v>736</v>
      </c>
      <c r="AI31" s="173">
        <v>736</v>
      </c>
      <c r="AJ31" s="173">
        <v>736</v>
      </c>
      <c r="AK31" s="173">
        <v>736</v>
      </c>
      <c r="AL31" s="173">
        <v>736</v>
      </c>
      <c r="AM31" s="173">
        <v>736</v>
      </c>
      <c r="AN31" s="173">
        <v>736</v>
      </c>
      <c r="AO31" s="173">
        <v>736</v>
      </c>
      <c r="AP31" s="173">
        <v>736</v>
      </c>
      <c r="AQ31" s="173">
        <v>736</v>
      </c>
      <c r="AR31" s="173">
        <v>736</v>
      </c>
      <c r="AS31" s="173">
        <v>736</v>
      </c>
      <c r="AT31" s="173">
        <v>736</v>
      </c>
      <c r="AU31" s="173">
        <v>736</v>
      </c>
      <c r="AV31" s="173">
        <v>736</v>
      </c>
      <c r="AW31" s="173">
        <v>736</v>
      </c>
      <c r="AX31" s="173">
        <v>736</v>
      </c>
      <c r="AY31" s="173">
        <v>736</v>
      </c>
      <c r="AZ31" s="173">
        <v>736</v>
      </c>
      <c r="BA31" s="173">
        <v>736</v>
      </c>
      <c r="BC31">
        <f t="shared" si="1"/>
        <v>1136</v>
      </c>
      <c r="BD31">
        <f t="shared" si="2"/>
        <v>2724</v>
      </c>
      <c r="BE31">
        <f t="shared" si="3"/>
        <v>1676</v>
      </c>
      <c r="BF31">
        <f t="shared" si="4"/>
        <v>1808</v>
      </c>
      <c r="BG31">
        <f t="shared" si="5"/>
        <v>1864</v>
      </c>
      <c r="BH31">
        <f t="shared" si="6"/>
        <v>1916</v>
      </c>
      <c r="BI31">
        <f t="shared" si="7"/>
        <v>2484</v>
      </c>
      <c r="BJ31">
        <f t="shared" si="8"/>
        <v>2940</v>
      </c>
      <c r="BK31">
        <f t="shared" si="9"/>
        <v>3680</v>
      </c>
      <c r="BL31">
        <f t="shared" si="10"/>
        <v>2944</v>
      </c>
      <c r="BM31">
        <f t="shared" si="11"/>
        <v>2944</v>
      </c>
      <c r="BN31">
        <f t="shared" si="12"/>
        <v>3680</v>
      </c>
    </row>
    <row r="32" spans="1:66" x14ac:dyDescent="0.25">
      <c r="A32" s="217" t="s">
        <v>237</v>
      </c>
      <c r="B32" s="173">
        <v>0</v>
      </c>
      <c r="C32" s="173">
        <v>0</v>
      </c>
      <c r="D32" s="173">
        <v>0</v>
      </c>
      <c r="E32" s="173">
        <v>0</v>
      </c>
      <c r="F32" s="173">
        <v>0</v>
      </c>
      <c r="G32" s="173">
        <v>0</v>
      </c>
      <c r="H32" s="173">
        <v>0</v>
      </c>
      <c r="I32" s="173">
        <v>0</v>
      </c>
      <c r="J32" s="173">
        <v>0</v>
      </c>
      <c r="K32" s="173">
        <v>0</v>
      </c>
      <c r="L32" s="173">
        <v>0</v>
      </c>
      <c r="M32" s="173">
        <v>0</v>
      </c>
      <c r="N32" s="173">
        <v>0</v>
      </c>
      <c r="O32" s="173">
        <v>0</v>
      </c>
      <c r="P32" s="173">
        <v>0</v>
      </c>
      <c r="Q32" s="173">
        <v>0</v>
      </c>
      <c r="R32" s="173">
        <v>0</v>
      </c>
      <c r="S32" s="173">
        <v>0</v>
      </c>
      <c r="T32" s="173">
        <v>0</v>
      </c>
      <c r="U32" s="173">
        <v>0</v>
      </c>
      <c r="V32" s="173">
        <v>0</v>
      </c>
      <c r="W32" s="173">
        <v>0</v>
      </c>
      <c r="X32" s="173">
        <v>0</v>
      </c>
      <c r="Y32" s="173">
        <v>0</v>
      </c>
      <c r="Z32" s="173">
        <v>0</v>
      </c>
      <c r="AA32" s="173">
        <v>0</v>
      </c>
      <c r="AB32" s="173">
        <v>0</v>
      </c>
      <c r="AC32" s="173">
        <v>0</v>
      </c>
      <c r="AD32" s="173">
        <v>0</v>
      </c>
      <c r="AE32" s="173">
        <v>0</v>
      </c>
      <c r="AF32" s="173">
        <v>0</v>
      </c>
      <c r="AG32" s="173">
        <v>0</v>
      </c>
      <c r="AH32" s="173">
        <v>0</v>
      </c>
      <c r="AI32" s="173">
        <v>0</v>
      </c>
      <c r="AJ32" s="173">
        <v>0</v>
      </c>
      <c r="AK32" s="173">
        <v>0</v>
      </c>
      <c r="AL32" s="173">
        <v>0</v>
      </c>
      <c r="AM32" s="173">
        <v>0</v>
      </c>
      <c r="AN32" s="173">
        <v>0</v>
      </c>
      <c r="AO32" s="173">
        <v>0</v>
      </c>
      <c r="AP32" s="173">
        <v>0</v>
      </c>
      <c r="AQ32" s="173">
        <v>0</v>
      </c>
      <c r="AR32" s="173">
        <v>0</v>
      </c>
      <c r="AS32" s="173">
        <v>0</v>
      </c>
      <c r="AT32" s="173">
        <v>0</v>
      </c>
      <c r="AU32" s="173">
        <v>0</v>
      </c>
      <c r="AV32" s="173">
        <v>0</v>
      </c>
      <c r="AW32" s="173">
        <v>0</v>
      </c>
      <c r="AX32" s="173">
        <v>0</v>
      </c>
      <c r="AY32" s="173">
        <v>0</v>
      </c>
      <c r="AZ32" s="173">
        <v>0</v>
      </c>
      <c r="BA32" s="173">
        <v>0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>
        <f t="shared" si="9"/>
        <v>0</v>
      </c>
      <c r="BL32">
        <f t="shared" si="10"/>
        <v>0</v>
      </c>
      <c r="BM32">
        <f t="shared" si="11"/>
        <v>0</v>
      </c>
      <c r="BN32">
        <f t="shared" si="12"/>
        <v>0</v>
      </c>
    </row>
    <row r="33" spans="1:66" x14ac:dyDescent="0.25">
      <c r="A33" s="217" t="s">
        <v>376</v>
      </c>
      <c r="B33" s="173">
        <v>0</v>
      </c>
      <c r="C33" s="173">
        <v>0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>
        <v>0</v>
      </c>
      <c r="K33" s="173">
        <v>0</v>
      </c>
      <c r="L33" s="173">
        <v>0</v>
      </c>
      <c r="M33" s="173">
        <v>0</v>
      </c>
      <c r="N33" s="173">
        <v>0</v>
      </c>
      <c r="O33" s="173">
        <v>0</v>
      </c>
      <c r="P33" s="173">
        <v>0</v>
      </c>
      <c r="Q33" s="173">
        <v>0</v>
      </c>
      <c r="R33" s="173">
        <v>0</v>
      </c>
      <c r="S33" s="173">
        <v>0</v>
      </c>
      <c r="T33" s="173">
        <v>0</v>
      </c>
      <c r="U33" s="173">
        <v>0</v>
      </c>
      <c r="V33" s="173">
        <v>0</v>
      </c>
      <c r="W33" s="173">
        <v>0</v>
      </c>
      <c r="X33" s="173">
        <v>0</v>
      </c>
      <c r="Y33" s="173">
        <v>0</v>
      </c>
      <c r="Z33" s="173">
        <v>0</v>
      </c>
      <c r="AA33" s="173">
        <v>0</v>
      </c>
      <c r="AB33" s="173">
        <v>0</v>
      </c>
      <c r="AC33" s="173">
        <v>0</v>
      </c>
      <c r="AD33" s="173">
        <v>0</v>
      </c>
      <c r="AE33" s="173">
        <v>0</v>
      </c>
      <c r="AF33" s="173">
        <v>0</v>
      </c>
      <c r="AG33" s="173">
        <v>0</v>
      </c>
      <c r="AH33" s="173">
        <v>0</v>
      </c>
      <c r="AI33" s="173">
        <v>0</v>
      </c>
      <c r="AJ33" s="173">
        <v>0</v>
      </c>
      <c r="AK33" s="173">
        <v>0</v>
      </c>
      <c r="AL33" s="173">
        <v>0</v>
      </c>
      <c r="AM33" s="173">
        <v>0</v>
      </c>
      <c r="AN33" s="173">
        <v>0</v>
      </c>
      <c r="AO33" s="173">
        <v>0</v>
      </c>
      <c r="AP33" s="173">
        <v>0</v>
      </c>
      <c r="AQ33" s="173">
        <v>0</v>
      </c>
      <c r="AR33" s="173">
        <v>0</v>
      </c>
      <c r="AS33" s="173">
        <v>0</v>
      </c>
      <c r="AT33" s="173">
        <v>0</v>
      </c>
      <c r="AU33" s="173">
        <v>0</v>
      </c>
      <c r="AV33" s="173">
        <v>0</v>
      </c>
      <c r="AW33" s="173">
        <v>0</v>
      </c>
      <c r="AX33" s="173">
        <v>0</v>
      </c>
      <c r="AY33" s="173">
        <v>0</v>
      </c>
      <c r="AZ33" s="173">
        <v>0</v>
      </c>
      <c r="BA33" s="173">
        <v>0</v>
      </c>
      <c r="BC33">
        <f t="shared" si="1"/>
        <v>0</v>
      </c>
      <c r="BD33">
        <f t="shared" si="2"/>
        <v>0</v>
      </c>
      <c r="BE33">
        <f t="shared" si="3"/>
        <v>0</v>
      </c>
      <c r="BF33">
        <f t="shared" si="4"/>
        <v>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>
        <f t="shared" si="9"/>
        <v>0</v>
      </c>
      <c r="BL33">
        <f t="shared" si="10"/>
        <v>0</v>
      </c>
      <c r="BM33">
        <f t="shared" si="11"/>
        <v>0</v>
      </c>
      <c r="BN33">
        <f t="shared" si="12"/>
        <v>0</v>
      </c>
    </row>
    <row r="34" spans="1:66" x14ac:dyDescent="0.25">
      <c r="A34" s="217" t="s">
        <v>239</v>
      </c>
      <c r="B34" s="173">
        <v>0</v>
      </c>
      <c r="C34" s="173">
        <v>0</v>
      </c>
      <c r="D34" s="173">
        <v>0</v>
      </c>
      <c r="E34" s="173">
        <v>0</v>
      </c>
      <c r="F34" s="173">
        <v>0</v>
      </c>
      <c r="G34" s="173">
        <v>0</v>
      </c>
      <c r="H34" s="173">
        <v>0</v>
      </c>
      <c r="I34" s="173">
        <v>0</v>
      </c>
      <c r="J34" s="173">
        <v>0</v>
      </c>
      <c r="K34" s="173">
        <v>0</v>
      </c>
      <c r="L34" s="173">
        <v>0</v>
      </c>
      <c r="M34" s="173">
        <v>0</v>
      </c>
      <c r="N34" s="173">
        <v>0</v>
      </c>
      <c r="O34" s="173">
        <v>0</v>
      </c>
      <c r="P34" s="173">
        <v>0</v>
      </c>
      <c r="Q34" s="173">
        <v>0</v>
      </c>
      <c r="R34" s="173">
        <v>0</v>
      </c>
      <c r="S34" s="173">
        <v>0</v>
      </c>
      <c r="T34" s="173">
        <v>0</v>
      </c>
      <c r="U34" s="173">
        <v>0</v>
      </c>
      <c r="V34" s="173">
        <v>0</v>
      </c>
      <c r="W34" s="173">
        <v>0</v>
      </c>
      <c r="X34" s="173">
        <v>0</v>
      </c>
      <c r="Y34" s="173">
        <v>0</v>
      </c>
      <c r="Z34" s="173">
        <v>0</v>
      </c>
      <c r="AA34" s="173">
        <v>0</v>
      </c>
      <c r="AB34" s="173">
        <v>0</v>
      </c>
      <c r="AC34" s="173">
        <v>0</v>
      </c>
      <c r="AD34" s="173">
        <v>0</v>
      </c>
      <c r="AE34" s="173">
        <v>0</v>
      </c>
      <c r="AF34" s="173">
        <v>0</v>
      </c>
      <c r="AG34" s="173">
        <v>0</v>
      </c>
      <c r="AH34" s="173">
        <v>0</v>
      </c>
      <c r="AI34" s="173">
        <v>0</v>
      </c>
      <c r="AJ34" s="173">
        <v>0</v>
      </c>
      <c r="AK34" s="173">
        <v>0</v>
      </c>
      <c r="AL34" s="173">
        <v>0</v>
      </c>
      <c r="AM34" s="173">
        <v>0</v>
      </c>
      <c r="AN34" s="173">
        <v>0</v>
      </c>
      <c r="AO34" s="173">
        <v>0</v>
      </c>
      <c r="AP34" s="173">
        <v>0</v>
      </c>
      <c r="AQ34" s="173">
        <v>0</v>
      </c>
      <c r="AR34" s="173">
        <v>0</v>
      </c>
      <c r="AS34" s="173">
        <v>0</v>
      </c>
      <c r="AT34" s="173">
        <v>0</v>
      </c>
      <c r="AU34" s="173">
        <v>0</v>
      </c>
      <c r="AV34" s="173">
        <v>0</v>
      </c>
      <c r="AW34" s="173">
        <v>0</v>
      </c>
      <c r="AX34" s="173">
        <v>0</v>
      </c>
      <c r="AY34" s="173">
        <v>0</v>
      </c>
      <c r="AZ34" s="173">
        <v>0</v>
      </c>
      <c r="BA34" s="173">
        <v>0</v>
      </c>
      <c r="BC34">
        <f t="shared" si="1"/>
        <v>0</v>
      </c>
      <c r="BD34">
        <f t="shared" si="2"/>
        <v>0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>
        <f t="shared" si="9"/>
        <v>0</v>
      </c>
      <c r="BL34">
        <f t="shared" si="10"/>
        <v>0</v>
      </c>
      <c r="BM34">
        <f t="shared" si="11"/>
        <v>0</v>
      </c>
      <c r="BN34">
        <f t="shared" si="12"/>
        <v>0</v>
      </c>
    </row>
    <row r="35" spans="1:66" x14ac:dyDescent="0.25">
      <c r="A35" s="217" t="s">
        <v>382</v>
      </c>
      <c r="B35" s="173">
        <v>0</v>
      </c>
      <c r="C35" s="173">
        <v>0</v>
      </c>
      <c r="D35" s="173">
        <v>0</v>
      </c>
      <c r="E35" s="173">
        <v>0</v>
      </c>
      <c r="F35" s="173">
        <v>0</v>
      </c>
      <c r="G35" s="173">
        <v>0</v>
      </c>
      <c r="H35" s="173">
        <v>0</v>
      </c>
      <c r="I35" s="173">
        <v>0</v>
      </c>
      <c r="J35" s="173">
        <v>0</v>
      </c>
      <c r="K35" s="173">
        <v>0</v>
      </c>
      <c r="L35" s="173">
        <v>0</v>
      </c>
      <c r="M35" s="173">
        <v>0</v>
      </c>
      <c r="N35" s="173">
        <v>0</v>
      </c>
      <c r="O35" s="173">
        <v>0</v>
      </c>
      <c r="P35" s="173">
        <v>0</v>
      </c>
      <c r="Q35" s="173">
        <v>0</v>
      </c>
      <c r="R35" s="173">
        <v>0</v>
      </c>
      <c r="S35" s="173">
        <v>0</v>
      </c>
      <c r="T35" s="173">
        <v>0</v>
      </c>
      <c r="U35" s="173">
        <v>0</v>
      </c>
      <c r="V35" s="173">
        <v>0</v>
      </c>
      <c r="W35" s="173">
        <v>0</v>
      </c>
      <c r="X35" s="173">
        <v>0</v>
      </c>
      <c r="Y35" s="173">
        <v>0</v>
      </c>
      <c r="Z35" s="173">
        <v>0</v>
      </c>
      <c r="AA35" s="173">
        <v>0</v>
      </c>
      <c r="AB35" s="173">
        <v>0</v>
      </c>
      <c r="AC35" s="173">
        <v>0</v>
      </c>
      <c r="AD35" s="173">
        <v>0</v>
      </c>
      <c r="AE35" s="173">
        <v>0</v>
      </c>
      <c r="AF35" s="173">
        <v>0</v>
      </c>
      <c r="AG35" s="173">
        <v>0</v>
      </c>
      <c r="AH35" s="173">
        <v>0</v>
      </c>
      <c r="AI35" s="173">
        <v>0</v>
      </c>
      <c r="AJ35" s="173">
        <v>0</v>
      </c>
      <c r="AK35" s="173">
        <v>0</v>
      </c>
      <c r="AL35" s="173">
        <v>0</v>
      </c>
      <c r="AM35" s="173">
        <v>0</v>
      </c>
      <c r="AN35" s="173">
        <v>0</v>
      </c>
      <c r="AO35" s="173">
        <v>0</v>
      </c>
      <c r="AP35" s="173">
        <v>0</v>
      </c>
      <c r="AQ35" s="173">
        <v>0</v>
      </c>
      <c r="AR35" s="173">
        <v>0</v>
      </c>
      <c r="AS35" s="173">
        <v>0</v>
      </c>
      <c r="AT35" s="173">
        <v>0</v>
      </c>
      <c r="AU35" s="173">
        <v>0</v>
      </c>
      <c r="AV35" s="173">
        <v>0</v>
      </c>
      <c r="AW35" s="173">
        <v>0</v>
      </c>
      <c r="AX35" s="173">
        <v>0</v>
      </c>
      <c r="AY35" s="173">
        <v>0</v>
      </c>
      <c r="AZ35" s="173">
        <v>0</v>
      </c>
      <c r="BA35" s="173">
        <v>0</v>
      </c>
      <c r="BC35">
        <f t="shared" si="1"/>
        <v>0</v>
      </c>
      <c r="BD35">
        <f t="shared" si="2"/>
        <v>0</v>
      </c>
      <c r="BE35">
        <f t="shared" si="3"/>
        <v>0</v>
      </c>
      <c r="BF35">
        <f t="shared" si="4"/>
        <v>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>
        <f t="shared" si="9"/>
        <v>0</v>
      </c>
      <c r="BL35">
        <f t="shared" si="10"/>
        <v>0</v>
      </c>
      <c r="BM35">
        <f t="shared" si="11"/>
        <v>0</v>
      </c>
      <c r="BN35">
        <f t="shared" si="12"/>
        <v>0</v>
      </c>
    </row>
    <row r="36" spans="1:66" x14ac:dyDescent="0.25">
      <c r="A36" s="217" t="s">
        <v>243</v>
      </c>
      <c r="B36" s="173">
        <v>0</v>
      </c>
      <c r="C36" s="173">
        <v>0</v>
      </c>
      <c r="D36" s="173">
        <v>0</v>
      </c>
      <c r="E36" s="173">
        <v>0</v>
      </c>
      <c r="F36" s="173">
        <v>0</v>
      </c>
      <c r="G36" s="173">
        <v>0</v>
      </c>
      <c r="H36" s="173">
        <v>0</v>
      </c>
      <c r="I36" s="173">
        <v>0</v>
      </c>
      <c r="J36" s="173">
        <v>0</v>
      </c>
      <c r="K36" s="173">
        <v>0</v>
      </c>
      <c r="L36" s="173">
        <v>0</v>
      </c>
      <c r="M36" s="173">
        <v>0</v>
      </c>
      <c r="N36" s="173">
        <v>0</v>
      </c>
      <c r="O36" s="173">
        <v>0</v>
      </c>
      <c r="P36" s="173">
        <v>0</v>
      </c>
      <c r="Q36" s="173">
        <v>0</v>
      </c>
      <c r="R36" s="173">
        <v>0</v>
      </c>
      <c r="S36" s="173">
        <v>0</v>
      </c>
      <c r="T36" s="173">
        <v>0</v>
      </c>
      <c r="U36" s="173">
        <v>0</v>
      </c>
      <c r="V36" s="173">
        <v>0</v>
      </c>
      <c r="W36" s="173">
        <v>0</v>
      </c>
      <c r="X36" s="173">
        <v>0</v>
      </c>
      <c r="Y36" s="173">
        <v>0</v>
      </c>
      <c r="Z36" s="173">
        <v>0</v>
      </c>
      <c r="AA36" s="173">
        <v>0</v>
      </c>
      <c r="AB36" s="173">
        <v>0</v>
      </c>
      <c r="AC36" s="173">
        <v>0</v>
      </c>
      <c r="AD36" s="173">
        <v>0</v>
      </c>
      <c r="AE36" s="173">
        <v>0</v>
      </c>
      <c r="AF36" s="173">
        <v>0</v>
      </c>
      <c r="AG36" s="173">
        <v>0</v>
      </c>
      <c r="AH36" s="173">
        <v>0</v>
      </c>
      <c r="AI36" s="173">
        <v>0</v>
      </c>
      <c r="AJ36" s="173">
        <v>0</v>
      </c>
      <c r="AK36" s="173">
        <v>0</v>
      </c>
      <c r="AL36" s="173">
        <v>0</v>
      </c>
      <c r="AM36" s="173">
        <v>0</v>
      </c>
      <c r="AN36" s="173">
        <v>0</v>
      </c>
      <c r="AO36" s="173">
        <v>0</v>
      </c>
      <c r="AP36" s="173">
        <v>0</v>
      </c>
      <c r="AQ36" s="173">
        <v>0</v>
      </c>
      <c r="AR36" s="173">
        <v>0</v>
      </c>
      <c r="AS36" s="173">
        <v>0</v>
      </c>
      <c r="AT36" s="173">
        <v>0</v>
      </c>
      <c r="AU36" s="173">
        <v>0</v>
      </c>
      <c r="AV36" s="173">
        <v>0</v>
      </c>
      <c r="AW36" s="173">
        <v>0</v>
      </c>
      <c r="AX36" s="173">
        <v>0</v>
      </c>
      <c r="AY36" s="173">
        <v>0</v>
      </c>
      <c r="AZ36" s="173">
        <v>0</v>
      </c>
      <c r="BA36" s="173">
        <v>0</v>
      </c>
      <c r="BC36">
        <f t="shared" si="1"/>
        <v>0</v>
      </c>
      <c r="BD36">
        <f t="shared" si="2"/>
        <v>0</v>
      </c>
      <c r="BE36">
        <f t="shared" si="3"/>
        <v>0</v>
      </c>
      <c r="BF36">
        <f t="shared" si="4"/>
        <v>0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>
        <f t="shared" si="9"/>
        <v>0</v>
      </c>
      <c r="BL36">
        <f t="shared" si="10"/>
        <v>0</v>
      </c>
      <c r="BM36">
        <f t="shared" si="11"/>
        <v>0</v>
      </c>
      <c r="BN36">
        <f t="shared" si="12"/>
        <v>0</v>
      </c>
    </row>
    <row r="37" spans="1:66" x14ac:dyDescent="0.25">
      <c r="A37" s="217" t="s">
        <v>346</v>
      </c>
      <c r="B37" s="173">
        <v>0</v>
      </c>
      <c r="C37" s="173">
        <v>0</v>
      </c>
      <c r="D37" s="173">
        <v>0</v>
      </c>
      <c r="E37" s="173">
        <v>0</v>
      </c>
      <c r="F37" s="173">
        <v>0</v>
      </c>
      <c r="G37" s="173">
        <v>0</v>
      </c>
      <c r="H37" s="173">
        <v>0</v>
      </c>
      <c r="I37" s="173">
        <v>0</v>
      </c>
      <c r="J37" s="173">
        <v>0</v>
      </c>
      <c r="K37" s="173">
        <v>0</v>
      </c>
      <c r="L37" s="173">
        <v>0</v>
      </c>
      <c r="M37" s="173">
        <v>0</v>
      </c>
      <c r="N37" s="173">
        <v>0</v>
      </c>
      <c r="O37" s="173">
        <v>0</v>
      </c>
      <c r="P37" s="173">
        <v>0</v>
      </c>
      <c r="Q37" s="173">
        <v>0</v>
      </c>
      <c r="R37" s="173">
        <v>0</v>
      </c>
      <c r="S37" s="173">
        <v>0</v>
      </c>
      <c r="T37" s="173">
        <v>0</v>
      </c>
      <c r="U37" s="173">
        <v>0</v>
      </c>
      <c r="V37" s="173">
        <v>0</v>
      </c>
      <c r="W37" s="173">
        <v>0</v>
      </c>
      <c r="X37" s="173">
        <v>0</v>
      </c>
      <c r="Y37" s="173">
        <v>0</v>
      </c>
      <c r="Z37" s="173">
        <v>0</v>
      </c>
      <c r="AA37" s="173">
        <v>0</v>
      </c>
      <c r="AB37" s="173">
        <v>0</v>
      </c>
      <c r="AC37" s="173">
        <v>0</v>
      </c>
      <c r="AD37" s="173">
        <v>0</v>
      </c>
      <c r="AE37" s="173">
        <v>0</v>
      </c>
      <c r="AF37" s="173">
        <v>0</v>
      </c>
      <c r="AG37" s="173">
        <v>0</v>
      </c>
      <c r="AH37" s="173">
        <v>0</v>
      </c>
      <c r="AI37" s="173">
        <v>0</v>
      </c>
      <c r="AJ37" s="173">
        <v>0</v>
      </c>
      <c r="AK37" s="173">
        <v>0</v>
      </c>
      <c r="AL37" s="173">
        <v>0</v>
      </c>
      <c r="AM37" s="173">
        <v>0</v>
      </c>
      <c r="AN37" s="173">
        <v>0</v>
      </c>
      <c r="AO37" s="173">
        <v>0</v>
      </c>
      <c r="AP37" s="173">
        <v>0</v>
      </c>
      <c r="AQ37" s="173">
        <v>0</v>
      </c>
      <c r="AR37" s="173">
        <v>0</v>
      </c>
      <c r="AS37" s="173">
        <v>0</v>
      </c>
      <c r="AT37" s="173">
        <v>0</v>
      </c>
      <c r="AU37" s="173">
        <v>0</v>
      </c>
      <c r="AV37" s="173">
        <v>0</v>
      </c>
      <c r="AW37" s="173">
        <v>0</v>
      </c>
      <c r="AX37" s="173">
        <v>0</v>
      </c>
      <c r="AY37" s="173">
        <v>0</v>
      </c>
      <c r="AZ37" s="173">
        <v>0</v>
      </c>
      <c r="BA37" s="173">
        <v>0</v>
      </c>
      <c r="BC37">
        <f t="shared" si="1"/>
        <v>0</v>
      </c>
      <c r="BD37">
        <f t="shared" si="2"/>
        <v>0</v>
      </c>
      <c r="BE37">
        <f t="shared" si="3"/>
        <v>0</v>
      </c>
      <c r="BF37">
        <f t="shared" si="4"/>
        <v>0</v>
      </c>
      <c r="BG37">
        <f t="shared" si="5"/>
        <v>0</v>
      </c>
      <c r="BH37">
        <f t="shared" si="6"/>
        <v>0</v>
      </c>
      <c r="BI37">
        <f t="shared" si="7"/>
        <v>0</v>
      </c>
      <c r="BJ37">
        <f t="shared" si="8"/>
        <v>0</v>
      </c>
      <c r="BK37">
        <f t="shared" si="9"/>
        <v>0</v>
      </c>
      <c r="BL37">
        <f t="shared" si="10"/>
        <v>0</v>
      </c>
      <c r="BM37">
        <f t="shared" si="11"/>
        <v>0</v>
      </c>
      <c r="BN37">
        <f t="shared" si="12"/>
        <v>0</v>
      </c>
    </row>
    <row r="38" spans="1:66" x14ac:dyDescent="0.25">
      <c r="A38" s="217" t="s">
        <v>352</v>
      </c>
      <c r="B38" s="173">
        <v>0</v>
      </c>
      <c r="C38" s="173">
        <v>0</v>
      </c>
      <c r="D38" s="173">
        <v>0</v>
      </c>
      <c r="E38" s="173">
        <v>0</v>
      </c>
      <c r="F38" s="173">
        <v>0</v>
      </c>
      <c r="G38" s="173">
        <v>0</v>
      </c>
      <c r="H38" s="173">
        <v>0</v>
      </c>
      <c r="I38" s="173">
        <v>0</v>
      </c>
      <c r="J38" s="173">
        <v>0</v>
      </c>
      <c r="K38" s="173">
        <v>0</v>
      </c>
      <c r="L38" s="173">
        <v>0</v>
      </c>
      <c r="M38" s="173">
        <v>0</v>
      </c>
      <c r="N38" s="173">
        <v>0</v>
      </c>
      <c r="O38" s="173">
        <v>0</v>
      </c>
      <c r="P38" s="173">
        <v>0</v>
      </c>
      <c r="Q38" s="173">
        <v>0</v>
      </c>
      <c r="R38" s="173">
        <v>0</v>
      </c>
      <c r="S38" s="173">
        <v>0</v>
      </c>
      <c r="T38" s="173">
        <v>0</v>
      </c>
      <c r="U38" s="173">
        <v>0</v>
      </c>
      <c r="V38" s="173">
        <v>0</v>
      </c>
      <c r="W38" s="173">
        <v>0</v>
      </c>
      <c r="X38" s="173">
        <v>0</v>
      </c>
      <c r="Y38" s="173">
        <v>0</v>
      </c>
      <c r="Z38" s="173">
        <v>0</v>
      </c>
      <c r="AA38" s="173">
        <v>0</v>
      </c>
      <c r="AB38" s="173">
        <v>0</v>
      </c>
      <c r="AC38" s="173">
        <v>0</v>
      </c>
      <c r="AD38" s="173">
        <v>0</v>
      </c>
      <c r="AE38" s="173">
        <v>0</v>
      </c>
      <c r="AF38" s="173">
        <v>0</v>
      </c>
      <c r="AG38" s="173">
        <v>0</v>
      </c>
      <c r="AH38" s="173">
        <v>0</v>
      </c>
      <c r="AI38" s="173">
        <v>0</v>
      </c>
      <c r="AJ38" s="173">
        <v>0</v>
      </c>
      <c r="AK38" s="173">
        <v>0</v>
      </c>
      <c r="AL38" s="173">
        <v>0</v>
      </c>
      <c r="AM38" s="173">
        <v>0</v>
      </c>
      <c r="AN38" s="173">
        <v>0</v>
      </c>
      <c r="AO38" s="173">
        <v>0</v>
      </c>
      <c r="AP38" s="173">
        <v>0</v>
      </c>
      <c r="AQ38" s="173">
        <v>0</v>
      </c>
      <c r="AR38" s="173">
        <v>0</v>
      </c>
      <c r="AS38" s="173">
        <v>0</v>
      </c>
      <c r="AT38" s="173">
        <v>0</v>
      </c>
      <c r="AU38" s="173">
        <v>0</v>
      </c>
      <c r="AV38" s="173">
        <v>0</v>
      </c>
      <c r="AW38" s="173">
        <v>0</v>
      </c>
      <c r="AX38" s="173">
        <v>0</v>
      </c>
      <c r="AY38" s="173">
        <v>0</v>
      </c>
      <c r="AZ38" s="173">
        <v>0</v>
      </c>
      <c r="BA38" s="173">
        <v>0</v>
      </c>
      <c r="BC38">
        <f t="shared" si="1"/>
        <v>0</v>
      </c>
      <c r="BD38">
        <f t="shared" si="2"/>
        <v>0</v>
      </c>
      <c r="BE38">
        <f t="shared" si="3"/>
        <v>0</v>
      </c>
      <c r="BF38">
        <f t="shared" si="4"/>
        <v>0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>
        <f t="shared" si="9"/>
        <v>0</v>
      </c>
      <c r="BL38">
        <f t="shared" si="10"/>
        <v>0</v>
      </c>
      <c r="BM38">
        <f t="shared" si="11"/>
        <v>0</v>
      </c>
      <c r="BN38">
        <f t="shared" si="12"/>
        <v>0</v>
      </c>
    </row>
    <row r="39" spans="1:66" x14ac:dyDescent="0.25">
      <c r="A39" s="217" t="s">
        <v>361</v>
      </c>
      <c r="B39" s="173">
        <v>0</v>
      </c>
      <c r="C39" s="173">
        <v>0</v>
      </c>
      <c r="D39" s="173">
        <v>0</v>
      </c>
      <c r="E39" s="173">
        <v>0</v>
      </c>
      <c r="F39" s="173">
        <v>0</v>
      </c>
      <c r="G39" s="173">
        <v>0</v>
      </c>
      <c r="H39" s="173">
        <v>0</v>
      </c>
      <c r="I39" s="173">
        <v>0</v>
      </c>
      <c r="J39" s="173">
        <v>0</v>
      </c>
      <c r="K39" s="173">
        <v>0</v>
      </c>
      <c r="L39" s="173">
        <v>0</v>
      </c>
      <c r="M39" s="173">
        <v>0</v>
      </c>
      <c r="N39" s="173">
        <v>0</v>
      </c>
      <c r="O39" s="173">
        <v>0</v>
      </c>
      <c r="P39" s="173">
        <v>0</v>
      </c>
      <c r="Q39" s="173">
        <v>0</v>
      </c>
      <c r="R39" s="173">
        <v>0</v>
      </c>
      <c r="S39" s="173">
        <v>0</v>
      </c>
      <c r="T39" s="173">
        <v>0</v>
      </c>
      <c r="U39" s="173">
        <v>0</v>
      </c>
      <c r="V39" s="173">
        <v>0</v>
      </c>
      <c r="W39" s="173">
        <v>0</v>
      </c>
      <c r="X39" s="173">
        <v>0</v>
      </c>
      <c r="Y39" s="173">
        <v>0</v>
      </c>
      <c r="Z39" s="173">
        <v>0</v>
      </c>
      <c r="AA39" s="173">
        <v>0</v>
      </c>
      <c r="AB39" s="173">
        <v>0</v>
      </c>
      <c r="AC39" s="173">
        <v>0</v>
      </c>
      <c r="AD39" s="173">
        <v>0</v>
      </c>
      <c r="AE39" s="173">
        <v>0</v>
      </c>
      <c r="AF39" s="173">
        <v>0</v>
      </c>
      <c r="AG39" s="173">
        <v>0</v>
      </c>
      <c r="AH39" s="173">
        <v>0</v>
      </c>
      <c r="AI39" s="173">
        <v>0</v>
      </c>
      <c r="AJ39" s="173">
        <v>0</v>
      </c>
      <c r="AK39" s="173">
        <v>0</v>
      </c>
      <c r="AL39" s="173">
        <v>0</v>
      </c>
      <c r="AM39" s="173">
        <v>0</v>
      </c>
      <c r="AN39" s="173">
        <v>0</v>
      </c>
      <c r="AO39" s="173">
        <v>0</v>
      </c>
      <c r="AP39" s="173">
        <v>0</v>
      </c>
      <c r="AQ39" s="173">
        <v>0</v>
      </c>
      <c r="AR39" s="173">
        <v>0</v>
      </c>
      <c r="AS39" s="173">
        <v>0</v>
      </c>
      <c r="AT39" s="173">
        <v>0</v>
      </c>
      <c r="AU39" s="173">
        <v>0</v>
      </c>
      <c r="AV39" s="173">
        <v>0</v>
      </c>
      <c r="AW39" s="173">
        <v>0</v>
      </c>
      <c r="AX39" s="173">
        <v>0</v>
      </c>
      <c r="AY39" s="173">
        <v>0</v>
      </c>
      <c r="AZ39" s="173">
        <v>0</v>
      </c>
      <c r="BA39" s="173">
        <v>0</v>
      </c>
      <c r="BC39">
        <f t="shared" si="1"/>
        <v>0</v>
      </c>
      <c r="BD39">
        <f t="shared" si="2"/>
        <v>0</v>
      </c>
      <c r="BE39">
        <f t="shared" si="3"/>
        <v>0</v>
      </c>
      <c r="BF39">
        <f t="shared" si="4"/>
        <v>0</v>
      </c>
      <c r="BG39">
        <f t="shared" si="5"/>
        <v>0</v>
      </c>
      <c r="BH39">
        <f t="shared" si="6"/>
        <v>0</v>
      </c>
      <c r="BI39">
        <f t="shared" si="7"/>
        <v>0</v>
      </c>
      <c r="BJ39">
        <f t="shared" si="8"/>
        <v>0</v>
      </c>
      <c r="BK39">
        <f t="shared" si="9"/>
        <v>0</v>
      </c>
      <c r="BL39">
        <f t="shared" si="10"/>
        <v>0</v>
      </c>
      <c r="BM39">
        <f t="shared" si="11"/>
        <v>0</v>
      </c>
      <c r="BN39">
        <f t="shared" si="12"/>
        <v>0</v>
      </c>
    </row>
    <row r="40" spans="1:66" x14ac:dyDescent="0.25">
      <c r="A40" s="217" t="s">
        <v>349</v>
      </c>
      <c r="B40" s="173">
        <v>0</v>
      </c>
      <c r="C40" s="173">
        <v>0</v>
      </c>
      <c r="D40" s="173">
        <v>0</v>
      </c>
      <c r="E40" s="173">
        <v>0</v>
      </c>
      <c r="F40" s="173">
        <v>0</v>
      </c>
      <c r="G40" s="173">
        <v>0</v>
      </c>
      <c r="H40" s="173">
        <v>0</v>
      </c>
      <c r="I40" s="173">
        <v>0</v>
      </c>
      <c r="J40" s="173">
        <v>0</v>
      </c>
      <c r="K40" s="173">
        <v>0</v>
      </c>
      <c r="L40" s="173">
        <v>0</v>
      </c>
      <c r="M40" s="173">
        <v>0</v>
      </c>
      <c r="N40" s="173">
        <v>0</v>
      </c>
      <c r="O40" s="173">
        <v>0</v>
      </c>
      <c r="P40" s="173">
        <v>0</v>
      </c>
      <c r="Q40" s="173">
        <v>0</v>
      </c>
      <c r="R40" s="173">
        <v>0</v>
      </c>
      <c r="S40" s="173">
        <v>0</v>
      </c>
      <c r="T40" s="173">
        <v>0</v>
      </c>
      <c r="U40" s="173">
        <v>0</v>
      </c>
      <c r="V40" s="173">
        <v>0</v>
      </c>
      <c r="W40" s="173">
        <v>0</v>
      </c>
      <c r="X40" s="173">
        <v>0</v>
      </c>
      <c r="Y40" s="173">
        <v>0</v>
      </c>
      <c r="Z40" s="173">
        <v>0</v>
      </c>
      <c r="AA40" s="173">
        <v>0</v>
      </c>
      <c r="AB40" s="173">
        <v>0</v>
      </c>
      <c r="AC40" s="173">
        <v>0</v>
      </c>
      <c r="AD40" s="173">
        <v>0</v>
      </c>
      <c r="AE40" s="173">
        <v>0</v>
      </c>
      <c r="AF40" s="173">
        <v>0</v>
      </c>
      <c r="AG40" s="173">
        <v>0</v>
      </c>
      <c r="AH40" s="173">
        <v>0</v>
      </c>
      <c r="AI40" s="173">
        <v>0</v>
      </c>
      <c r="AJ40" s="173">
        <v>0</v>
      </c>
      <c r="AK40" s="173">
        <v>0</v>
      </c>
      <c r="AL40" s="173">
        <v>0</v>
      </c>
      <c r="AM40" s="173">
        <v>0</v>
      </c>
      <c r="AN40" s="173">
        <v>0</v>
      </c>
      <c r="AO40" s="173">
        <v>0</v>
      </c>
      <c r="AP40" s="173">
        <v>0</v>
      </c>
      <c r="AQ40" s="173">
        <v>0</v>
      </c>
      <c r="AR40" s="173">
        <v>0</v>
      </c>
      <c r="AS40" s="173">
        <v>0</v>
      </c>
      <c r="AT40" s="173">
        <v>0</v>
      </c>
      <c r="AU40" s="173">
        <v>0</v>
      </c>
      <c r="AV40" s="173">
        <v>0</v>
      </c>
      <c r="AW40" s="173">
        <v>0</v>
      </c>
      <c r="AX40" s="173">
        <v>0</v>
      </c>
      <c r="AY40" s="173">
        <v>0</v>
      </c>
      <c r="AZ40" s="173">
        <v>0</v>
      </c>
      <c r="BA40" s="173">
        <v>0</v>
      </c>
      <c r="BC40">
        <f t="shared" si="1"/>
        <v>0</v>
      </c>
      <c r="BD40">
        <f t="shared" si="2"/>
        <v>0</v>
      </c>
      <c r="BE40">
        <f t="shared" si="3"/>
        <v>0</v>
      </c>
      <c r="BF40">
        <f t="shared" si="4"/>
        <v>0</v>
      </c>
      <c r="BG40">
        <f t="shared" si="5"/>
        <v>0</v>
      </c>
      <c r="BH40">
        <f t="shared" si="6"/>
        <v>0</v>
      </c>
      <c r="BI40">
        <f t="shared" si="7"/>
        <v>0</v>
      </c>
      <c r="BJ40">
        <f t="shared" si="8"/>
        <v>0</v>
      </c>
      <c r="BK40">
        <f t="shared" si="9"/>
        <v>0</v>
      </c>
      <c r="BL40">
        <f t="shared" si="10"/>
        <v>0</v>
      </c>
      <c r="BM40">
        <f t="shared" si="11"/>
        <v>0</v>
      </c>
      <c r="BN40">
        <f t="shared" si="12"/>
        <v>0</v>
      </c>
    </row>
    <row r="41" spans="1:66" x14ac:dyDescent="0.25">
      <c r="A41" s="217" t="s">
        <v>251</v>
      </c>
      <c r="B41" s="173">
        <v>0</v>
      </c>
      <c r="C41" s="173">
        <v>0</v>
      </c>
      <c r="D41" s="173">
        <v>0</v>
      </c>
      <c r="E41" s="173">
        <v>0</v>
      </c>
      <c r="F41" s="173">
        <v>0</v>
      </c>
      <c r="G41" s="173">
        <v>0</v>
      </c>
      <c r="H41" s="173">
        <v>0</v>
      </c>
      <c r="I41" s="173">
        <v>0</v>
      </c>
      <c r="J41" s="173">
        <v>0</v>
      </c>
      <c r="K41" s="173">
        <v>0</v>
      </c>
      <c r="L41" s="173">
        <v>0</v>
      </c>
      <c r="M41" s="173">
        <v>0</v>
      </c>
      <c r="N41" s="173">
        <v>0</v>
      </c>
      <c r="O41" s="173">
        <v>0</v>
      </c>
      <c r="P41" s="173">
        <v>0</v>
      </c>
      <c r="Q41" s="173">
        <v>0</v>
      </c>
      <c r="R41" s="173">
        <v>0</v>
      </c>
      <c r="S41" s="173">
        <v>0</v>
      </c>
      <c r="T41" s="173">
        <v>0</v>
      </c>
      <c r="U41" s="173">
        <v>0</v>
      </c>
      <c r="V41" s="173">
        <v>0</v>
      </c>
      <c r="W41" s="173">
        <v>0</v>
      </c>
      <c r="X41" s="173">
        <v>0</v>
      </c>
      <c r="Y41" s="173">
        <v>0</v>
      </c>
      <c r="Z41" s="173">
        <v>0</v>
      </c>
      <c r="AA41" s="173">
        <v>0</v>
      </c>
      <c r="AB41" s="173">
        <v>0</v>
      </c>
      <c r="AC41" s="173">
        <v>0</v>
      </c>
      <c r="AD41" s="173">
        <v>0</v>
      </c>
      <c r="AE41" s="173">
        <v>0</v>
      </c>
      <c r="AF41" s="173">
        <v>0</v>
      </c>
      <c r="AG41" s="173">
        <v>0</v>
      </c>
      <c r="AH41" s="173">
        <v>0</v>
      </c>
      <c r="AI41" s="173">
        <v>0</v>
      </c>
      <c r="AJ41" s="173">
        <v>0</v>
      </c>
      <c r="AK41" s="173">
        <v>0</v>
      </c>
      <c r="AL41" s="173">
        <v>0</v>
      </c>
      <c r="AM41" s="173">
        <v>0</v>
      </c>
      <c r="AN41" s="173">
        <v>0</v>
      </c>
      <c r="AO41" s="173">
        <v>0</v>
      </c>
      <c r="AP41" s="173">
        <v>0</v>
      </c>
      <c r="AQ41" s="173">
        <v>0</v>
      </c>
      <c r="AR41" s="173">
        <v>0</v>
      </c>
      <c r="AS41" s="173">
        <v>0</v>
      </c>
      <c r="AT41" s="173">
        <v>0</v>
      </c>
      <c r="AU41" s="173">
        <v>0</v>
      </c>
      <c r="AV41" s="173">
        <v>0</v>
      </c>
      <c r="AW41" s="173">
        <v>0</v>
      </c>
      <c r="AX41" s="173">
        <v>0</v>
      </c>
      <c r="AY41" s="173">
        <v>0</v>
      </c>
      <c r="AZ41" s="173">
        <v>0</v>
      </c>
      <c r="BA41" s="173">
        <v>0</v>
      </c>
      <c r="BC41">
        <f t="shared" si="1"/>
        <v>0</v>
      </c>
      <c r="BD41">
        <f t="shared" si="2"/>
        <v>0</v>
      </c>
      <c r="BE41">
        <f t="shared" si="3"/>
        <v>0</v>
      </c>
      <c r="BF41">
        <f t="shared" si="4"/>
        <v>0</v>
      </c>
      <c r="BG41">
        <f t="shared" si="5"/>
        <v>0</v>
      </c>
      <c r="BH41">
        <f t="shared" si="6"/>
        <v>0</v>
      </c>
      <c r="BI41">
        <f t="shared" si="7"/>
        <v>0</v>
      </c>
      <c r="BJ41">
        <f t="shared" si="8"/>
        <v>0</v>
      </c>
      <c r="BK41">
        <f t="shared" si="9"/>
        <v>0</v>
      </c>
      <c r="BL41">
        <f t="shared" si="10"/>
        <v>0</v>
      </c>
      <c r="BM41">
        <f t="shared" si="11"/>
        <v>0</v>
      </c>
      <c r="BN41">
        <f t="shared" si="12"/>
        <v>0</v>
      </c>
    </row>
    <row r="42" spans="1:66" x14ac:dyDescent="0.25">
      <c r="A42" s="217" t="s">
        <v>358</v>
      </c>
      <c r="B42" s="173">
        <v>0</v>
      </c>
      <c r="C42" s="173">
        <v>0</v>
      </c>
      <c r="D42" s="173">
        <v>0</v>
      </c>
      <c r="E42" s="173">
        <v>0</v>
      </c>
      <c r="F42" s="173">
        <v>0</v>
      </c>
      <c r="G42" s="173">
        <v>0</v>
      </c>
      <c r="H42" s="173">
        <v>0</v>
      </c>
      <c r="I42" s="173">
        <v>0</v>
      </c>
      <c r="J42" s="173">
        <v>0</v>
      </c>
      <c r="K42" s="173">
        <v>0</v>
      </c>
      <c r="L42" s="173">
        <v>0</v>
      </c>
      <c r="M42" s="173">
        <v>0</v>
      </c>
      <c r="N42" s="173">
        <v>0</v>
      </c>
      <c r="O42" s="173">
        <v>0</v>
      </c>
      <c r="P42" s="173">
        <v>0</v>
      </c>
      <c r="Q42" s="173">
        <v>0</v>
      </c>
      <c r="R42" s="173">
        <v>0</v>
      </c>
      <c r="S42" s="173">
        <v>0</v>
      </c>
      <c r="T42" s="173">
        <v>0</v>
      </c>
      <c r="U42" s="173">
        <v>0</v>
      </c>
      <c r="V42" s="173">
        <v>0</v>
      </c>
      <c r="W42" s="173">
        <v>0</v>
      </c>
      <c r="X42" s="173">
        <v>0</v>
      </c>
      <c r="Y42" s="173">
        <v>0</v>
      </c>
      <c r="Z42" s="173">
        <v>0</v>
      </c>
      <c r="AA42" s="173">
        <v>0</v>
      </c>
      <c r="AB42" s="173">
        <v>0</v>
      </c>
      <c r="AC42" s="173">
        <v>0</v>
      </c>
      <c r="AD42" s="173">
        <v>0</v>
      </c>
      <c r="AE42" s="173">
        <v>0</v>
      </c>
      <c r="AF42" s="173">
        <v>0</v>
      </c>
      <c r="AG42" s="173">
        <v>0</v>
      </c>
      <c r="AH42" s="173">
        <v>0</v>
      </c>
      <c r="AI42" s="173">
        <v>0</v>
      </c>
      <c r="AJ42" s="173">
        <v>0</v>
      </c>
      <c r="AK42" s="173">
        <v>0</v>
      </c>
      <c r="AL42" s="173">
        <v>0</v>
      </c>
      <c r="AM42" s="173">
        <v>0</v>
      </c>
      <c r="AN42" s="173">
        <v>0</v>
      </c>
      <c r="AO42" s="173">
        <v>0</v>
      </c>
      <c r="AP42" s="173">
        <v>0</v>
      </c>
      <c r="AQ42" s="173">
        <v>0</v>
      </c>
      <c r="AR42" s="173">
        <v>0</v>
      </c>
      <c r="AS42" s="173">
        <v>0</v>
      </c>
      <c r="AT42" s="173">
        <v>0</v>
      </c>
      <c r="AU42" s="173">
        <v>0</v>
      </c>
      <c r="AV42" s="173">
        <v>0</v>
      </c>
      <c r="AW42" s="173">
        <v>0</v>
      </c>
      <c r="AX42" s="173">
        <v>0</v>
      </c>
      <c r="AY42" s="173">
        <v>0</v>
      </c>
      <c r="AZ42" s="173">
        <v>0</v>
      </c>
      <c r="BA42" s="173">
        <v>0</v>
      </c>
      <c r="BC42">
        <f t="shared" si="1"/>
        <v>0</v>
      </c>
      <c r="BD42">
        <f t="shared" si="2"/>
        <v>0</v>
      </c>
      <c r="BE42">
        <f t="shared" si="3"/>
        <v>0</v>
      </c>
      <c r="BF42">
        <f t="shared" si="4"/>
        <v>0</v>
      </c>
      <c r="BG42">
        <f t="shared" si="5"/>
        <v>0</v>
      </c>
      <c r="BH42">
        <f t="shared" si="6"/>
        <v>0</v>
      </c>
      <c r="BI42">
        <f t="shared" si="7"/>
        <v>0</v>
      </c>
      <c r="BJ42">
        <f t="shared" si="8"/>
        <v>0</v>
      </c>
      <c r="BK42">
        <f t="shared" si="9"/>
        <v>0</v>
      </c>
      <c r="BL42">
        <f t="shared" si="10"/>
        <v>0</v>
      </c>
      <c r="BM42">
        <f t="shared" si="11"/>
        <v>0</v>
      </c>
      <c r="BN42">
        <f t="shared" si="12"/>
        <v>0</v>
      </c>
    </row>
    <row r="43" spans="1:66" x14ac:dyDescent="0.25">
      <c r="A43" s="217" t="s">
        <v>253</v>
      </c>
      <c r="B43" s="173">
        <v>0</v>
      </c>
      <c r="C43" s="173">
        <v>0</v>
      </c>
      <c r="D43" s="173">
        <v>0</v>
      </c>
      <c r="E43" s="173">
        <v>0</v>
      </c>
      <c r="F43" s="173">
        <v>0</v>
      </c>
      <c r="G43" s="173">
        <v>0</v>
      </c>
      <c r="H43" s="173">
        <v>0</v>
      </c>
      <c r="I43" s="173">
        <v>0</v>
      </c>
      <c r="J43" s="173">
        <v>0</v>
      </c>
      <c r="K43" s="173">
        <v>0</v>
      </c>
      <c r="L43" s="173">
        <v>0</v>
      </c>
      <c r="M43" s="173">
        <v>0</v>
      </c>
      <c r="N43" s="173">
        <v>0</v>
      </c>
      <c r="O43" s="173">
        <v>0</v>
      </c>
      <c r="P43" s="173">
        <v>0</v>
      </c>
      <c r="Q43" s="173">
        <v>0</v>
      </c>
      <c r="R43" s="173">
        <v>0</v>
      </c>
      <c r="S43" s="173">
        <v>0</v>
      </c>
      <c r="T43" s="173">
        <v>0</v>
      </c>
      <c r="U43" s="173">
        <v>0</v>
      </c>
      <c r="V43" s="173">
        <v>0</v>
      </c>
      <c r="W43" s="173">
        <v>0</v>
      </c>
      <c r="X43" s="173">
        <v>0</v>
      </c>
      <c r="Y43" s="173">
        <v>0</v>
      </c>
      <c r="Z43" s="173">
        <v>0</v>
      </c>
      <c r="AA43" s="173">
        <v>0</v>
      </c>
      <c r="AB43" s="173">
        <v>0</v>
      </c>
      <c r="AC43" s="173">
        <v>0</v>
      </c>
      <c r="AD43" s="173">
        <v>0</v>
      </c>
      <c r="AE43" s="173">
        <v>0</v>
      </c>
      <c r="AF43" s="173">
        <v>0</v>
      </c>
      <c r="AG43" s="173">
        <v>0</v>
      </c>
      <c r="AH43" s="173">
        <v>0</v>
      </c>
      <c r="AI43" s="173">
        <v>0</v>
      </c>
      <c r="AJ43" s="173">
        <v>0</v>
      </c>
      <c r="AK43" s="173">
        <v>0</v>
      </c>
      <c r="AL43" s="173">
        <v>0</v>
      </c>
      <c r="AM43" s="173">
        <v>0</v>
      </c>
      <c r="AN43" s="173">
        <v>0</v>
      </c>
      <c r="AO43" s="173">
        <v>0</v>
      </c>
      <c r="AP43" s="173">
        <v>0</v>
      </c>
      <c r="AQ43" s="173">
        <v>0</v>
      </c>
      <c r="AR43" s="173">
        <v>0</v>
      </c>
      <c r="AS43" s="173">
        <v>0</v>
      </c>
      <c r="AT43" s="173">
        <v>0</v>
      </c>
      <c r="AU43" s="173">
        <v>0</v>
      </c>
      <c r="AV43" s="173">
        <v>0</v>
      </c>
      <c r="AW43" s="173">
        <v>0</v>
      </c>
      <c r="AX43" s="173">
        <v>0</v>
      </c>
      <c r="AY43" s="173">
        <v>0</v>
      </c>
      <c r="AZ43" s="173">
        <v>0</v>
      </c>
      <c r="BA43" s="173">
        <v>0</v>
      </c>
      <c r="BC43">
        <f t="shared" si="1"/>
        <v>0</v>
      </c>
      <c r="BD43">
        <f t="shared" si="2"/>
        <v>0</v>
      </c>
      <c r="BE43">
        <f t="shared" si="3"/>
        <v>0</v>
      </c>
      <c r="BF43">
        <f t="shared" si="4"/>
        <v>0</v>
      </c>
      <c r="BG43">
        <f t="shared" si="5"/>
        <v>0</v>
      </c>
      <c r="BH43">
        <f t="shared" si="6"/>
        <v>0</v>
      </c>
      <c r="BI43">
        <f t="shared" si="7"/>
        <v>0</v>
      </c>
      <c r="BJ43">
        <f t="shared" si="8"/>
        <v>0</v>
      </c>
      <c r="BK43">
        <f t="shared" si="9"/>
        <v>0</v>
      </c>
      <c r="BL43">
        <f t="shared" si="10"/>
        <v>0</v>
      </c>
      <c r="BM43">
        <f t="shared" si="11"/>
        <v>0</v>
      </c>
      <c r="BN43">
        <f t="shared" si="12"/>
        <v>0</v>
      </c>
    </row>
    <row r="44" spans="1:66" x14ac:dyDescent="0.25">
      <c r="A44" s="217" t="s">
        <v>343</v>
      </c>
      <c r="B44" s="173">
        <v>0</v>
      </c>
      <c r="C44" s="173">
        <v>0</v>
      </c>
      <c r="D44" s="173">
        <v>0</v>
      </c>
      <c r="E44" s="173">
        <v>0</v>
      </c>
      <c r="F44" s="173">
        <v>0</v>
      </c>
      <c r="G44" s="173">
        <v>0</v>
      </c>
      <c r="H44" s="173">
        <v>0</v>
      </c>
      <c r="I44" s="173">
        <v>0</v>
      </c>
      <c r="J44" s="173">
        <v>0</v>
      </c>
      <c r="K44" s="173">
        <v>0</v>
      </c>
      <c r="L44" s="173">
        <v>0</v>
      </c>
      <c r="M44" s="173">
        <v>0</v>
      </c>
      <c r="N44" s="173">
        <v>0</v>
      </c>
      <c r="O44" s="173">
        <v>0</v>
      </c>
      <c r="P44" s="173">
        <v>0</v>
      </c>
      <c r="Q44" s="173">
        <v>0</v>
      </c>
      <c r="R44" s="173">
        <v>0</v>
      </c>
      <c r="S44" s="173">
        <v>0</v>
      </c>
      <c r="T44" s="173">
        <v>0</v>
      </c>
      <c r="U44" s="173">
        <v>0</v>
      </c>
      <c r="V44" s="173">
        <v>0</v>
      </c>
      <c r="W44" s="173">
        <v>0</v>
      </c>
      <c r="X44" s="173">
        <v>0</v>
      </c>
      <c r="Y44" s="173">
        <v>0</v>
      </c>
      <c r="Z44" s="173">
        <v>0</v>
      </c>
      <c r="AA44" s="173">
        <v>0</v>
      </c>
      <c r="AB44" s="173">
        <v>0</v>
      </c>
      <c r="AC44" s="173">
        <v>0</v>
      </c>
      <c r="AD44" s="173">
        <v>0</v>
      </c>
      <c r="AE44" s="173">
        <v>0</v>
      </c>
      <c r="AF44" s="173">
        <v>0</v>
      </c>
      <c r="AG44" s="173">
        <v>0</v>
      </c>
      <c r="AH44" s="173">
        <v>0</v>
      </c>
      <c r="AI44" s="173">
        <v>0</v>
      </c>
      <c r="AJ44" s="173">
        <v>0</v>
      </c>
      <c r="AK44" s="173">
        <v>0</v>
      </c>
      <c r="AL44" s="173">
        <v>0</v>
      </c>
      <c r="AM44" s="173">
        <v>0</v>
      </c>
      <c r="AN44" s="173">
        <v>0</v>
      </c>
      <c r="AO44" s="173">
        <v>0</v>
      </c>
      <c r="AP44" s="173">
        <v>0</v>
      </c>
      <c r="AQ44" s="173">
        <v>0</v>
      </c>
      <c r="AR44" s="173">
        <v>0</v>
      </c>
      <c r="AS44" s="173">
        <v>0</v>
      </c>
      <c r="AT44" s="173">
        <v>0</v>
      </c>
      <c r="AU44" s="173">
        <v>0</v>
      </c>
      <c r="AV44" s="173">
        <v>0</v>
      </c>
      <c r="AW44" s="173">
        <v>0</v>
      </c>
      <c r="AX44" s="173">
        <v>0</v>
      </c>
      <c r="AY44" s="173">
        <v>0</v>
      </c>
      <c r="AZ44" s="173">
        <v>0</v>
      </c>
      <c r="BA44" s="173">
        <v>0</v>
      </c>
      <c r="BC44">
        <f t="shared" si="1"/>
        <v>0</v>
      </c>
      <c r="BD44">
        <f t="shared" si="2"/>
        <v>0</v>
      </c>
      <c r="BE44">
        <f t="shared" si="3"/>
        <v>0</v>
      </c>
      <c r="BF44">
        <f t="shared" si="4"/>
        <v>0</v>
      </c>
      <c r="BG44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>
        <f t="shared" si="9"/>
        <v>0</v>
      </c>
      <c r="BL44">
        <f t="shared" si="10"/>
        <v>0</v>
      </c>
      <c r="BM44">
        <f t="shared" si="11"/>
        <v>0</v>
      </c>
      <c r="BN44">
        <f t="shared" si="12"/>
        <v>0</v>
      </c>
    </row>
    <row r="45" spans="1:66" x14ac:dyDescent="0.25">
      <c r="A45" s="217" t="s">
        <v>355</v>
      </c>
      <c r="B45" s="173">
        <v>216</v>
      </c>
      <c r="C45" s="173">
        <v>0</v>
      </c>
      <c r="D45" s="173">
        <v>0</v>
      </c>
      <c r="E45" s="173">
        <v>0</v>
      </c>
      <c r="F45" s="173">
        <v>0</v>
      </c>
      <c r="G45" s="173">
        <v>0</v>
      </c>
      <c r="H45" s="173">
        <v>0</v>
      </c>
      <c r="I45" s="173">
        <v>0</v>
      </c>
      <c r="J45" s="173">
        <v>0</v>
      </c>
      <c r="K45" s="173">
        <v>0</v>
      </c>
      <c r="L45" s="173">
        <v>0</v>
      </c>
      <c r="M45" s="173">
        <v>0</v>
      </c>
      <c r="N45" s="173">
        <v>0</v>
      </c>
      <c r="O45" s="173">
        <v>0</v>
      </c>
      <c r="P45" s="173">
        <v>0</v>
      </c>
      <c r="Q45" s="173">
        <v>0</v>
      </c>
      <c r="R45" s="173">
        <v>0</v>
      </c>
      <c r="S45" s="173">
        <v>0</v>
      </c>
      <c r="T45" s="173">
        <v>0</v>
      </c>
      <c r="U45" s="173">
        <v>0</v>
      </c>
      <c r="V45" s="173">
        <v>0</v>
      </c>
      <c r="W45" s="173">
        <v>0</v>
      </c>
      <c r="X45" s="173">
        <v>0</v>
      </c>
      <c r="Y45" s="173">
        <v>0</v>
      </c>
      <c r="Z45" s="173">
        <v>0</v>
      </c>
      <c r="AA45" s="173">
        <v>0</v>
      </c>
      <c r="AB45" s="173">
        <v>0</v>
      </c>
      <c r="AC45" s="173">
        <v>0</v>
      </c>
      <c r="AD45" s="173">
        <v>0</v>
      </c>
      <c r="AE45" s="173">
        <v>0</v>
      </c>
      <c r="AF45" s="173">
        <v>0</v>
      </c>
      <c r="AG45" s="173">
        <v>0</v>
      </c>
      <c r="AH45" s="173">
        <v>0</v>
      </c>
      <c r="AI45" s="173">
        <v>0</v>
      </c>
      <c r="AJ45" s="173">
        <v>0</v>
      </c>
      <c r="AK45" s="173">
        <v>0</v>
      </c>
      <c r="AL45" s="173">
        <v>0</v>
      </c>
      <c r="AM45" s="173">
        <v>0</v>
      </c>
      <c r="AN45" s="173">
        <v>0</v>
      </c>
      <c r="AO45" s="173">
        <v>0</v>
      </c>
      <c r="AP45" s="173">
        <v>0</v>
      </c>
      <c r="AQ45" s="173">
        <v>0</v>
      </c>
      <c r="AR45" s="173">
        <v>0</v>
      </c>
      <c r="AS45" s="173">
        <v>0</v>
      </c>
      <c r="AT45" s="173">
        <v>0</v>
      </c>
      <c r="AU45" s="173">
        <v>0</v>
      </c>
      <c r="AV45" s="173">
        <v>0</v>
      </c>
      <c r="AW45" s="173">
        <v>0</v>
      </c>
      <c r="AX45" s="173">
        <v>0</v>
      </c>
      <c r="AY45" s="173">
        <v>0</v>
      </c>
      <c r="AZ45" s="173">
        <v>0</v>
      </c>
      <c r="BA45" s="173">
        <v>0</v>
      </c>
      <c r="BC45">
        <f t="shared" si="1"/>
        <v>216</v>
      </c>
      <c r="BD45">
        <f t="shared" si="2"/>
        <v>0</v>
      </c>
      <c r="BE45">
        <f t="shared" si="3"/>
        <v>0</v>
      </c>
      <c r="BF45">
        <f t="shared" si="4"/>
        <v>0</v>
      </c>
      <c r="BG45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>
        <f t="shared" si="9"/>
        <v>0</v>
      </c>
      <c r="BL45">
        <f t="shared" si="10"/>
        <v>0</v>
      </c>
      <c r="BM45">
        <f t="shared" si="11"/>
        <v>0</v>
      </c>
      <c r="BN45">
        <f t="shared" si="12"/>
        <v>0</v>
      </c>
    </row>
    <row r="46" spans="1:66" hidden="1" x14ac:dyDescent="0.25">
      <c r="A46" s="4" t="s">
        <v>261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3"/>
      <c r="AZ46" s="173"/>
      <c r="BA46" s="173"/>
      <c r="BC46">
        <f t="shared" si="1"/>
        <v>0</v>
      </c>
      <c r="BD46">
        <f t="shared" si="2"/>
        <v>0</v>
      </c>
      <c r="BE46">
        <f t="shared" si="3"/>
        <v>0</v>
      </c>
      <c r="BF46">
        <f t="shared" si="4"/>
        <v>0</v>
      </c>
      <c r="BG46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>
        <f t="shared" si="9"/>
        <v>0</v>
      </c>
      <c r="BL46">
        <f t="shared" si="10"/>
        <v>0</v>
      </c>
      <c r="BM46">
        <f t="shared" si="11"/>
        <v>0</v>
      </c>
      <c r="BN46">
        <f t="shared" si="12"/>
        <v>0</v>
      </c>
    </row>
    <row r="47" spans="1:66" x14ac:dyDescent="0.25">
      <c r="A47" s="218" t="s">
        <v>498</v>
      </c>
      <c r="B47" s="173">
        <v>1444</v>
      </c>
      <c r="C47" s="173">
        <v>0</v>
      </c>
      <c r="D47" s="173">
        <v>0</v>
      </c>
      <c r="E47" s="173">
        <v>0</v>
      </c>
      <c r="F47" s="173">
        <v>0</v>
      </c>
      <c r="G47" s="173">
        <v>0</v>
      </c>
      <c r="H47" s="173">
        <v>0</v>
      </c>
      <c r="I47" s="173">
        <v>0</v>
      </c>
      <c r="J47" s="173">
        <v>0</v>
      </c>
      <c r="K47" s="173">
        <v>0</v>
      </c>
      <c r="L47" s="173">
        <v>0</v>
      </c>
      <c r="M47" s="173">
        <v>0</v>
      </c>
      <c r="N47" s="173">
        <v>0</v>
      </c>
      <c r="O47" s="173">
        <v>0</v>
      </c>
      <c r="P47" s="173">
        <v>0</v>
      </c>
      <c r="Q47" s="173">
        <v>0</v>
      </c>
      <c r="R47" s="173">
        <v>0</v>
      </c>
      <c r="S47" s="173">
        <v>0</v>
      </c>
      <c r="T47" s="173">
        <v>0</v>
      </c>
      <c r="U47" s="173">
        <v>0</v>
      </c>
      <c r="V47" s="173">
        <v>0</v>
      </c>
      <c r="W47" s="173">
        <v>0</v>
      </c>
      <c r="X47" s="173">
        <v>0</v>
      </c>
      <c r="Y47" s="173">
        <v>0</v>
      </c>
      <c r="Z47" s="173">
        <v>0</v>
      </c>
      <c r="AA47" s="173">
        <v>0</v>
      </c>
      <c r="AB47" s="173">
        <v>0</v>
      </c>
      <c r="AC47" s="173">
        <v>0</v>
      </c>
      <c r="AD47" s="173">
        <v>0</v>
      </c>
      <c r="AE47" s="173">
        <v>0</v>
      </c>
      <c r="AF47" s="173">
        <v>0</v>
      </c>
      <c r="AG47" s="173">
        <v>0</v>
      </c>
      <c r="AH47" s="173">
        <v>0</v>
      </c>
      <c r="AI47" s="173">
        <v>0</v>
      </c>
      <c r="AJ47" s="173">
        <v>0</v>
      </c>
      <c r="AK47" s="173">
        <v>0</v>
      </c>
      <c r="AL47" s="173">
        <v>0</v>
      </c>
      <c r="AM47" s="173">
        <v>0</v>
      </c>
      <c r="AN47" s="173">
        <v>0</v>
      </c>
      <c r="AO47" s="173">
        <v>0</v>
      </c>
      <c r="AP47" s="173">
        <v>0</v>
      </c>
      <c r="AQ47" s="173">
        <v>0</v>
      </c>
      <c r="AR47" s="173">
        <v>0</v>
      </c>
      <c r="AS47" s="173">
        <v>0</v>
      </c>
      <c r="AT47" s="173">
        <v>0</v>
      </c>
      <c r="AU47" s="173">
        <v>0</v>
      </c>
      <c r="AV47" s="173">
        <v>0</v>
      </c>
      <c r="AW47" s="173">
        <v>0</v>
      </c>
      <c r="AX47" s="173">
        <v>0</v>
      </c>
      <c r="AY47" s="173">
        <v>0</v>
      </c>
      <c r="AZ47" s="173">
        <v>0</v>
      </c>
      <c r="BA47" s="173">
        <v>0</v>
      </c>
      <c r="BC47">
        <f t="shared" si="1"/>
        <v>1444</v>
      </c>
      <c r="BD47">
        <f t="shared" si="2"/>
        <v>0</v>
      </c>
      <c r="BE47">
        <f t="shared" si="3"/>
        <v>0</v>
      </c>
      <c r="BF47">
        <f t="shared" si="4"/>
        <v>0</v>
      </c>
      <c r="BG47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>
        <f t="shared" si="9"/>
        <v>0</v>
      </c>
      <c r="BL47">
        <f t="shared" si="10"/>
        <v>0</v>
      </c>
      <c r="BM47">
        <f t="shared" si="11"/>
        <v>0</v>
      </c>
      <c r="BN47">
        <f t="shared" si="12"/>
        <v>0</v>
      </c>
    </row>
    <row r="48" spans="1:66" x14ac:dyDescent="0.25">
      <c r="A48" s="218" t="s">
        <v>499</v>
      </c>
      <c r="B48" s="173">
        <v>372</v>
      </c>
      <c r="C48" s="173">
        <v>0</v>
      </c>
      <c r="D48" s="173">
        <v>0</v>
      </c>
      <c r="E48" s="173">
        <v>0</v>
      </c>
      <c r="F48" s="173">
        <v>0</v>
      </c>
      <c r="G48" s="173">
        <v>0</v>
      </c>
      <c r="H48" s="173">
        <v>0</v>
      </c>
      <c r="I48" s="173">
        <v>0</v>
      </c>
      <c r="J48" s="173">
        <v>0</v>
      </c>
      <c r="K48" s="173">
        <v>0</v>
      </c>
      <c r="L48" s="173">
        <v>0</v>
      </c>
      <c r="M48" s="173">
        <v>0</v>
      </c>
      <c r="N48" s="173">
        <v>0</v>
      </c>
      <c r="O48" s="173">
        <v>0</v>
      </c>
      <c r="P48" s="173">
        <v>0</v>
      </c>
      <c r="Q48" s="173">
        <v>0</v>
      </c>
      <c r="R48" s="173">
        <v>0</v>
      </c>
      <c r="S48" s="173">
        <v>0</v>
      </c>
      <c r="T48" s="173">
        <v>0</v>
      </c>
      <c r="U48" s="173">
        <v>0</v>
      </c>
      <c r="V48" s="173">
        <v>0</v>
      </c>
      <c r="W48" s="173">
        <v>0</v>
      </c>
      <c r="X48" s="173">
        <v>0</v>
      </c>
      <c r="Y48" s="173">
        <v>0</v>
      </c>
      <c r="Z48" s="173">
        <v>0</v>
      </c>
      <c r="AA48" s="173">
        <v>0</v>
      </c>
      <c r="AB48" s="173">
        <v>0</v>
      </c>
      <c r="AC48" s="173">
        <v>0</v>
      </c>
      <c r="AD48" s="173">
        <v>0</v>
      </c>
      <c r="AE48" s="173">
        <v>0</v>
      </c>
      <c r="AF48" s="173">
        <v>0</v>
      </c>
      <c r="AG48" s="173">
        <v>0</v>
      </c>
      <c r="AH48" s="173">
        <v>0</v>
      </c>
      <c r="AI48" s="173">
        <v>0</v>
      </c>
      <c r="AJ48" s="173">
        <v>0</v>
      </c>
      <c r="AK48" s="173">
        <v>0</v>
      </c>
      <c r="AL48" s="173">
        <v>0</v>
      </c>
      <c r="AM48" s="173">
        <v>0</v>
      </c>
      <c r="AN48" s="173">
        <v>0</v>
      </c>
      <c r="AO48" s="173">
        <v>0</v>
      </c>
      <c r="AP48" s="173">
        <v>0</v>
      </c>
      <c r="AQ48" s="173">
        <v>0</v>
      </c>
      <c r="AR48" s="173">
        <v>0</v>
      </c>
      <c r="AS48" s="173">
        <v>0</v>
      </c>
      <c r="AT48" s="173">
        <v>0</v>
      </c>
      <c r="AU48" s="173">
        <v>0</v>
      </c>
      <c r="AV48" s="173">
        <v>0</v>
      </c>
      <c r="AW48" s="173">
        <v>0</v>
      </c>
      <c r="AX48" s="173">
        <v>0</v>
      </c>
      <c r="AY48" s="173">
        <v>0</v>
      </c>
      <c r="AZ48" s="173">
        <v>0</v>
      </c>
      <c r="BA48" s="173">
        <v>0</v>
      </c>
      <c r="BC48">
        <f t="shared" si="1"/>
        <v>372</v>
      </c>
      <c r="BD48">
        <f t="shared" si="2"/>
        <v>0</v>
      </c>
      <c r="BE48">
        <f t="shared" si="3"/>
        <v>0</v>
      </c>
      <c r="BF48">
        <f t="shared" si="4"/>
        <v>0</v>
      </c>
      <c r="BG48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>
        <f t="shared" si="9"/>
        <v>0</v>
      </c>
      <c r="BL48">
        <f t="shared" si="10"/>
        <v>0</v>
      </c>
      <c r="BM48">
        <f t="shared" si="11"/>
        <v>0</v>
      </c>
      <c r="BN48">
        <f t="shared" si="12"/>
        <v>0</v>
      </c>
    </row>
    <row r="49" spans="1:66" s="227" customFormat="1" ht="21.75" thickBot="1" x14ac:dyDescent="0.4">
      <c r="A49" s="225" t="s">
        <v>262</v>
      </c>
      <c r="B49" s="226">
        <v>9848</v>
      </c>
      <c r="C49" s="226">
        <v>3896</v>
      </c>
      <c r="D49" s="226">
        <v>3112</v>
      </c>
      <c r="E49" s="226">
        <v>3816</v>
      </c>
      <c r="F49" s="226">
        <v>4448</v>
      </c>
      <c r="G49" s="226">
        <v>3732</v>
      </c>
      <c r="H49" s="226">
        <v>4940</v>
      </c>
      <c r="I49" s="226">
        <v>5024</v>
      </c>
      <c r="J49" s="226">
        <v>0</v>
      </c>
      <c r="K49" s="226">
        <v>3200</v>
      </c>
      <c r="L49" s="226">
        <v>3200</v>
      </c>
      <c r="M49" s="226">
        <v>3196</v>
      </c>
      <c r="N49" s="226">
        <v>2560</v>
      </c>
      <c r="O49" s="226">
        <v>2424</v>
      </c>
      <c r="P49" s="226">
        <v>1764</v>
      </c>
      <c r="Q49" s="226">
        <v>1804</v>
      </c>
      <c r="R49" s="226">
        <v>2500</v>
      </c>
      <c r="S49" s="226">
        <v>3100</v>
      </c>
      <c r="T49" s="226">
        <v>3088</v>
      </c>
      <c r="U49" s="226">
        <v>3100</v>
      </c>
      <c r="V49" s="226">
        <v>2464</v>
      </c>
      <c r="W49" s="226">
        <v>2544</v>
      </c>
      <c r="X49" s="226">
        <v>2512</v>
      </c>
      <c r="Y49" s="226">
        <v>2988</v>
      </c>
      <c r="Z49" s="226">
        <v>2120</v>
      </c>
      <c r="AA49" s="226">
        <v>2816</v>
      </c>
      <c r="AB49" s="226">
        <v>3236</v>
      </c>
      <c r="AC49" s="226">
        <v>3236</v>
      </c>
      <c r="AD49" s="226">
        <v>4212</v>
      </c>
      <c r="AE49" s="226">
        <v>4108</v>
      </c>
      <c r="AF49" s="226">
        <v>4008</v>
      </c>
      <c r="AG49" s="226">
        <v>4008</v>
      </c>
      <c r="AH49" s="226">
        <v>4008</v>
      </c>
      <c r="AI49" s="226">
        <v>4008</v>
      </c>
      <c r="AJ49" s="226">
        <v>4008</v>
      </c>
      <c r="AK49" s="226">
        <v>4008</v>
      </c>
      <c r="AL49" s="226">
        <v>4008</v>
      </c>
      <c r="AM49" s="226">
        <v>4008</v>
      </c>
      <c r="AN49" s="226">
        <v>4008</v>
      </c>
      <c r="AO49" s="226">
        <v>4008</v>
      </c>
      <c r="AP49" s="226">
        <v>4008</v>
      </c>
      <c r="AQ49" s="226">
        <v>4008</v>
      </c>
      <c r="AR49" s="226">
        <v>4008</v>
      </c>
      <c r="AS49" s="226">
        <v>4008</v>
      </c>
      <c r="AT49" s="226">
        <v>4008</v>
      </c>
      <c r="AU49" s="226">
        <v>4008</v>
      </c>
      <c r="AV49" s="226">
        <v>4008</v>
      </c>
      <c r="AW49" s="226">
        <v>4008</v>
      </c>
      <c r="AX49" s="226">
        <v>4008</v>
      </c>
      <c r="AY49" s="226">
        <v>4008</v>
      </c>
      <c r="AZ49" s="226">
        <v>4008</v>
      </c>
      <c r="BA49" s="226">
        <v>4008</v>
      </c>
      <c r="BC49" s="227">
        <f t="shared" si="1"/>
        <v>13744</v>
      </c>
      <c r="BD49" s="227">
        <f t="shared" si="2"/>
        <v>15108</v>
      </c>
      <c r="BE49" s="227">
        <f t="shared" si="3"/>
        <v>13164</v>
      </c>
      <c r="BF49" s="227">
        <f t="shared" si="4"/>
        <v>13144</v>
      </c>
      <c r="BG49" s="227">
        <f t="shared" si="5"/>
        <v>10492</v>
      </c>
      <c r="BH49" s="227">
        <f t="shared" si="6"/>
        <v>10620</v>
      </c>
      <c r="BI49" s="227">
        <f t="shared" si="7"/>
        <v>14396</v>
      </c>
      <c r="BJ49" s="227">
        <f t="shared" si="8"/>
        <v>16336</v>
      </c>
      <c r="BK49" s="227">
        <f t="shared" si="9"/>
        <v>20040</v>
      </c>
      <c r="BL49" s="227">
        <f t="shared" si="10"/>
        <v>16032</v>
      </c>
      <c r="BM49" s="227">
        <f t="shared" si="11"/>
        <v>16032</v>
      </c>
      <c r="BN49" s="227">
        <f t="shared" si="12"/>
        <v>20040</v>
      </c>
    </row>
    <row r="50" spans="1:66" ht="15.75" x14ac:dyDescent="0.25">
      <c r="A50" s="174" t="s">
        <v>421</v>
      </c>
      <c r="B50" s="174">
        <f>SUM(B7:B15,B28:B30)</f>
        <v>3840</v>
      </c>
      <c r="C50" s="174">
        <f t="shared" ref="C50:BA50" si="13">SUM(C7:C15,C28:C30)</f>
        <v>1596</v>
      </c>
      <c r="D50" s="174">
        <f t="shared" si="13"/>
        <v>1240</v>
      </c>
      <c r="E50" s="174">
        <f t="shared" si="13"/>
        <v>1228</v>
      </c>
      <c r="F50" s="174">
        <f t="shared" si="13"/>
        <v>1636</v>
      </c>
      <c r="G50" s="174">
        <f t="shared" si="13"/>
        <v>1536</v>
      </c>
      <c r="H50" s="174">
        <f t="shared" si="13"/>
        <v>2064</v>
      </c>
      <c r="I50" s="174">
        <f t="shared" si="13"/>
        <v>1684</v>
      </c>
      <c r="J50" s="174">
        <f t="shared" si="13"/>
        <v>0</v>
      </c>
      <c r="K50" s="174">
        <f t="shared" si="13"/>
        <v>1724</v>
      </c>
      <c r="L50" s="174">
        <f t="shared" si="13"/>
        <v>1560</v>
      </c>
      <c r="M50" s="174">
        <f t="shared" si="13"/>
        <v>1376</v>
      </c>
      <c r="N50" s="174">
        <f t="shared" si="13"/>
        <v>1196</v>
      </c>
      <c r="O50" s="174">
        <f t="shared" si="13"/>
        <v>812</v>
      </c>
      <c r="P50" s="174">
        <f t="shared" si="13"/>
        <v>612</v>
      </c>
      <c r="Q50" s="174">
        <f t="shared" si="13"/>
        <v>608</v>
      </c>
      <c r="R50" s="174">
        <f t="shared" si="13"/>
        <v>804</v>
      </c>
      <c r="S50" s="174">
        <f t="shared" si="13"/>
        <v>1116</v>
      </c>
      <c r="T50" s="174">
        <f t="shared" si="13"/>
        <v>1112</v>
      </c>
      <c r="U50" s="174">
        <f t="shared" si="13"/>
        <v>1112</v>
      </c>
      <c r="V50" s="174">
        <f t="shared" si="13"/>
        <v>940</v>
      </c>
      <c r="W50" s="174">
        <f t="shared" si="13"/>
        <v>972</v>
      </c>
      <c r="X50" s="174">
        <f t="shared" si="13"/>
        <v>776</v>
      </c>
      <c r="Y50" s="174">
        <f t="shared" si="13"/>
        <v>1072</v>
      </c>
      <c r="Z50" s="174">
        <f t="shared" si="13"/>
        <v>628</v>
      </c>
      <c r="AA50" s="174">
        <f t="shared" si="13"/>
        <v>900</v>
      </c>
      <c r="AB50" s="174">
        <f t="shared" si="13"/>
        <v>1288</v>
      </c>
      <c r="AC50" s="174">
        <f t="shared" si="13"/>
        <v>1276</v>
      </c>
      <c r="AD50" s="174">
        <f t="shared" si="13"/>
        <v>1840</v>
      </c>
      <c r="AE50" s="174">
        <f t="shared" si="13"/>
        <v>1744</v>
      </c>
      <c r="AF50" s="174">
        <f t="shared" si="13"/>
        <v>1744</v>
      </c>
      <c r="AG50" s="174">
        <f t="shared" si="13"/>
        <v>1744</v>
      </c>
      <c r="AH50" s="174">
        <f t="shared" si="13"/>
        <v>1744</v>
      </c>
      <c r="AI50" s="174">
        <f t="shared" si="13"/>
        <v>1744</v>
      </c>
      <c r="AJ50" s="174">
        <f t="shared" si="13"/>
        <v>1744</v>
      </c>
      <c r="AK50" s="174">
        <f t="shared" si="13"/>
        <v>1744</v>
      </c>
      <c r="AL50" s="174">
        <f t="shared" si="13"/>
        <v>1744</v>
      </c>
      <c r="AM50" s="174">
        <f t="shared" si="13"/>
        <v>1744</v>
      </c>
      <c r="AN50" s="174">
        <f t="shared" si="13"/>
        <v>1744</v>
      </c>
      <c r="AO50" s="174">
        <f t="shared" si="13"/>
        <v>1744</v>
      </c>
      <c r="AP50" s="174">
        <f t="shared" si="13"/>
        <v>1744</v>
      </c>
      <c r="AQ50" s="174">
        <f t="shared" si="13"/>
        <v>1744</v>
      </c>
      <c r="AR50" s="174">
        <f t="shared" si="13"/>
        <v>1744</v>
      </c>
      <c r="AS50" s="174">
        <f t="shared" si="13"/>
        <v>1744</v>
      </c>
      <c r="AT50" s="174">
        <f t="shared" si="13"/>
        <v>1744</v>
      </c>
      <c r="AU50" s="174">
        <f t="shared" si="13"/>
        <v>1744</v>
      </c>
      <c r="AV50" s="174">
        <f t="shared" si="13"/>
        <v>1744</v>
      </c>
      <c r="AW50" s="174">
        <f t="shared" si="13"/>
        <v>1744</v>
      </c>
      <c r="AX50" s="174">
        <f t="shared" si="13"/>
        <v>1744</v>
      </c>
      <c r="AY50" s="174">
        <f t="shared" si="13"/>
        <v>1744</v>
      </c>
      <c r="AZ50" s="174">
        <f t="shared" si="13"/>
        <v>1744</v>
      </c>
      <c r="BA50" s="174">
        <f t="shared" si="13"/>
        <v>1744</v>
      </c>
      <c r="BC50" s="174">
        <f t="shared" si="1"/>
        <v>5436</v>
      </c>
      <c r="BD50" s="174">
        <f t="shared" si="2"/>
        <v>5640</v>
      </c>
      <c r="BE50" s="174">
        <f t="shared" si="3"/>
        <v>5472</v>
      </c>
      <c r="BF50" s="174">
        <f t="shared" si="4"/>
        <v>5556</v>
      </c>
      <c r="BG50" s="174">
        <f t="shared" si="5"/>
        <v>3640</v>
      </c>
      <c r="BH50" s="174">
        <f t="shared" si="6"/>
        <v>3800</v>
      </c>
      <c r="BI50" s="174">
        <f t="shared" si="7"/>
        <v>5164</v>
      </c>
      <c r="BJ50" s="174">
        <f t="shared" si="8"/>
        <v>7072</v>
      </c>
      <c r="BK50" s="174">
        <f t="shared" si="9"/>
        <v>8720</v>
      </c>
      <c r="BL50" s="174">
        <f t="shared" si="10"/>
        <v>6976</v>
      </c>
      <c r="BM50" s="174">
        <f t="shared" si="11"/>
        <v>6976</v>
      </c>
      <c r="BN50" s="174">
        <f t="shared" si="12"/>
        <v>8720</v>
      </c>
    </row>
    <row r="51" spans="1:66" ht="15.75" x14ac:dyDescent="0.25">
      <c r="A51" s="176" t="s">
        <v>422</v>
      </c>
      <c r="B51" s="176">
        <f>SUM(B16:B17,B31,B47:B48)</f>
        <v>3196</v>
      </c>
      <c r="C51" s="176">
        <f t="shared" ref="C51:BA51" si="14">SUM(C16:C17,C31,C47:C48)</f>
        <v>1112</v>
      </c>
      <c r="D51" s="176">
        <f t="shared" si="14"/>
        <v>836</v>
      </c>
      <c r="E51" s="176">
        <f t="shared" si="14"/>
        <v>1168</v>
      </c>
      <c r="F51" s="176">
        <f t="shared" si="14"/>
        <v>1520</v>
      </c>
      <c r="G51" s="176">
        <f t="shared" si="14"/>
        <v>1044</v>
      </c>
      <c r="H51" s="176">
        <f t="shared" si="14"/>
        <v>1224</v>
      </c>
      <c r="I51" s="176">
        <f t="shared" si="14"/>
        <v>1304</v>
      </c>
      <c r="J51" s="176">
        <f t="shared" si="14"/>
        <v>0</v>
      </c>
      <c r="K51" s="176">
        <f t="shared" si="14"/>
        <v>1144</v>
      </c>
      <c r="L51" s="176">
        <f t="shared" si="14"/>
        <v>560</v>
      </c>
      <c r="M51" s="176">
        <f t="shared" si="14"/>
        <v>848</v>
      </c>
      <c r="N51" s="176">
        <f t="shared" si="14"/>
        <v>616</v>
      </c>
      <c r="O51" s="176">
        <f t="shared" si="14"/>
        <v>804</v>
      </c>
      <c r="P51" s="176">
        <f t="shared" si="14"/>
        <v>612</v>
      </c>
      <c r="Q51" s="176">
        <f t="shared" si="14"/>
        <v>612</v>
      </c>
      <c r="R51" s="176">
        <f t="shared" si="14"/>
        <v>760</v>
      </c>
      <c r="S51" s="176">
        <f t="shared" si="14"/>
        <v>916</v>
      </c>
      <c r="T51" s="176">
        <f t="shared" si="14"/>
        <v>912</v>
      </c>
      <c r="U51" s="176">
        <f t="shared" si="14"/>
        <v>920</v>
      </c>
      <c r="V51" s="176">
        <f t="shared" si="14"/>
        <v>808</v>
      </c>
      <c r="W51" s="176">
        <f t="shared" si="14"/>
        <v>840</v>
      </c>
      <c r="X51" s="176">
        <f t="shared" si="14"/>
        <v>708</v>
      </c>
      <c r="Y51" s="176">
        <f t="shared" si="14"/>
        <v>892</v>
      </c>
      <c r="Z51" s="176">
        <f t="shared" si="14"/>
        <v>612</v>
      </c>
      <c r="AA51" s="176">
        <f t="shared" si="14"/>
        <v>908</v>
      </c>
      <c r="AB51" s="176">
        <f t="shared" si="14"/>
        <v>872</v>
      </c>
      <c r="AC51" s="176">
        <f t="shared" si="14"/>
        <v>876</v>
      </c>
      <c r="AD51" s="176">
        <f t="shared" si="14"/>
        <v>1136</v>
      </c>
      <c r="AE51" s="176">
        <f t="shared" si="14"/>
        <v>1096</v>
      </c>
      <c r="AF51" s="176">
        <f t="shared" si="14"/>
        <v>1104</v>
      </c>
      <c r="AG51" s="176">
        <f t="shared" si="14"/>
        <v>1104</v>
      </c>
      <c r="AH51" s="176">
        <f t="shared" si="14"/>
        <v>1104</v>
      </c>
      <c r="AI51" s="176">
        <f t="shared" si="14"/>
        <v>1104</v>
      </c>
      <c r="AJ51" s="176">
        <f t="shared" si="14"/>
        <v>1104</v>
      </c>
      <c r="AK51" s="176">
        <f t="shared" si="14"/>
        <v>1104</v>
      </c>
      <c r="AL51" s="176">
        <f t="shared" si="14"/>
        <v>1104</v>
      </c>
      <c r="AM51" s="176">
        <f t="shared" si="14"/>
        <v>1104</v>
      </c>
      <c r="AN51" s="176">
        <f t="shared" si="14"/>
        <v>1104</v>
      </c>
      <c r="AO51" s="176">
        <f t="shared" si="14"/>
        <v>1104</v>
      </c>
      <c r="AP51" s="176">
        <f t="shared" si="14"/>
        <v>1104</v>
      </c>
      <c r="AQ51" s="176">
        <f t="shared" si="14"/>
        <v>1104</v>
      </c>
      <c r="AR51" s="176">
        <f t="shared" si="14"/>
        <v>1104</v>
      </c>
      <c r="AS51" s="176">
        <f t="shared" si="14"/>
        <v>1104</v>
      </c>
      <c r="AT51" s="176">
        <f t="shared" si="14"/>
        <v>1104</v>
      </c>
      <c r="AU51" s="176">
        <f t="shared" si="14"/>
        <v>1104</v>
      </c>
      <c r="AV51" s="176">
        <f t="shared" si="14"/>
        <v>1104</v>
      </c>
      <c r="AW51" s="176">
        <f t="shared" si="14"/>
        <v>1104</v>
      </c>
      <c r="AX51" s="176">
        <f t="shared" si="14"/>
        <v>1104</v>
      </c>
      <c r="AY51" s="176">
        <f t="shared" si="14"/>
        <v>1104</v>
      </c>
      <c r="AZ51" s="176">
        <f t="shared" si="14"/>
        <v>1104</v>
      </c>
      <c r="BA51" s="176">
        <f t="shared" si="14"/>
        <v>1104</v>
      </c>
      <c r="BC51" s="176">
        <f t="shared" si="1"/>
        <v>4308</v>
      </c>
      <c r="BD51" s="176">
        <f t="shared" si="2"/>
        <v>4568</v>
      </c>
      <c r="BE51" s="176">
        <f t="shared" si="3"/>
        <v>3672</v>
      </c>
      <c r="BF51" s="176">
        <f t="shared" si="4"/>
        <v>3440</v>
      </c>
      <c r="BG51" s="176">
        <f t="shared" si="5"/>
        <v>3200</v>
      </c>
      <c r="BH51" s="176">
        <f t="shared" si="6"/>
        <v>3276</v>
      </c>
      <c r="BI51" s="176">
        <f t="shared" si="7"/>
        <v>4160</v>
      </c>
      <c r="BJ51" s="176">
        <f t="shared" si="8"/>
        <v>4440</v>
      </c>
      <c r="BK51" s="176">
        <f t="shared" si="9"/>
        <v>5520</v>
      </c>
      <c r="BL51" s="176">
        <f t="shared" si="10"/>
        <v>4416</v>
      </c>
      <c r="BM51" s="176">
        <f t="shared" si="11"/>
        <v>4416</v>
      </c>
      <c r="BN51" s="176">
        <f t="shared" si="12"/>
        <v>5520</v>
      </c>
    </row>
    <row r="52" spans="1:66" ht="16.5" thickBot="1" x14ac:dyDescent="0.3">
      <c r="A52" s="175" t="s">
        <v>423</v>
      </c>
      <c r="B52" s="175">
        <f>+B50+B51</f>
        <v>7036</v>
      </c>
      <c r="C52" s="175">
        <f t="shared" ref="C52:BA52" si="15">+C50+C51</f>
        <v>2708</v>
      </c>
      <c r="D52" s="175">
        <f t="shared" si="15"/>
        <v>2076</v>
      </c>
      <c r="E52" s="175">
        <f t="shared" si="15"/>
        <v>2396</v>
      </c>
      <c r="F52" s="175">
        <f t="shared" si="15"/>
        <v>3156</v>
      </c>
      <c r="G52" s="175">
        <f t="shared" si="15"/>
        <v>2580</v>
      </c>
      <c r="H52" s="175">
        <f t="shared" si="15"/>
        <v>3288</v>
      </c>
      <c r="I52" s="175">
        <f t="shared" si="15"/>
        <v>2988</v>
      </c>
      <c r="J52" s="175">
        <f t="shared" si="15"/>
        <v>0</v>
      </c>
      <c r="K52" s="175">
        <f t="shared" si="15"/>
        <v>2868</v>
      </c>
      <c r="L52" s="175">
        <f t="shared" si="15"/>
        <v>2120</v>
      </c>
      <c r="M52" s="175">
        <f t="shared" si="15"/>
        <v>2224</v>
      </c>
      <c r="N52" s="175">
        <f t="shared" si="15"/>
        <v>1812</v>
      </c>
      <c r="O52" s="175">
        <f t="shared" si="15"/>
        <v>1616</v>
      </c>
      <c r="P52" s="175">
        <f t="shared" si="15"/>
        <v>1224</v>
      </c>
      <c r="Q52" s="175">
        <f t="shared" si="15"/>
        <v>1220</v>
      </c>
      <c r="R52" s="175">
        <f t="shared" si="15"/>
        <v>1564</v>
      </c>
      <c r="S52" s="175">
        <f t="shared" si="15"/>
        <v>2032</v>
      </c>
      <c r="T52" s="175">
        <f t="shared" si="15"/>
        <v>2024</v>
      </c>
      <c r="U52" s="175">
        <f t="shared" si="15"/>
        <v>2032</v>
      </c>
      <c r="V52" s="175">
        <f t="shared" si="15"/>
        <v>1748</v>
      </c>
      <c r="W52" s="175">
        <f t="shared" si="15"/>
        <v>1812</v>
      </c>
      <c r="X52" s="175">
        <f t="shared" si="15"/>
        <v>1484</v>
      </c>
      <c r="Y52" s="175">
        <f t="shared" si="15"/>
        <v>1964</v>
      </c>
      <c r="Z52" s="175">
        <f t="shared" si="15"/>
        <v>1240</v>
      </c>
      <c r="AA52" s="175">
        <f t="shared" si="15"/>
        <v>1808</v>
      </c>
      <c r="AB52" s="175">
        <f t="shared" si="15"/>
        <v>2160</v>
      </c>
      <c r="AC52" s="175">
        <f t="shared" si="15"/>
        <v>2152</v>
      </c>
      <c r="AD52" s="175">
        <f t="shared" si="15"/>
        <v>2976</v>
      </c>
      <c r="AE52" s="175">
        <f t="shared" si="15"/>
        <v>2840</v>
      </c>
      <c r="AF52" s="175">
        <f t="shared" si="15"/>
        <v>2848</v>
      </c>
      <c r="AG52" s="175">
        <f t="shared" si="15"/>
        <v>2848</v>
      </c>
      <c r="AH52" s="175">
        <f t="shared" si="15"/>
        <v>2848</v>
      </c>
      <c r="AI52" s="175">
        <f t="shared" si="15"/>
        <v>2848</v>
      </c>
      <c r="AJ52" s="175">
        <f t="shared" si="15"/>
        <v>2848</v>
      </c>
      <c r="AK52" s="175">
        <f t="shared" si="15"/>
        <v>2848</v>
      </c>
      <c r="AL52" s="175">
        <f t="shared" si="15"/>
        <v>2848</v>
      </c>
      <c r="AM52" s="175">
        <f t="shared" si="15"/>
        <v>2848</v>
      </c>
      <c r="AN52" s="175">
        <f t="shared" si="15"/>
        <v>2848</v>
      </c>
      <c r="AO52" s="175">
        <f t="shared" si="15"/>
        <v>2848</v>
      </c>
      <c r="AP52" s="175">
        <f t="shared" si="15"/>
        <v>2848</v>
      </c>
      <c r="AQ52" s="175">
        <f t="shared" si="15"/>
        <v>2848</v>
      </c>
      <c r="AR52" s="175">
        <f t="shared" si="15"/>
        <v>2848</v>
      </c>
      <c r="AS52" s="175">
        <f t="shared" si="15"/>
        <v>2848</v>
      </c>
      <c r="AT52" s="175">
        <f t="shared" si="15"/>
        <v>2848</v>
      </c>
      <c r="AU52" s="175">
        <f t="shared" si="15"/>
        <v>2848</v>
      </c>
      <c r="AV52" s="175">
        <f t="shared" si="15"/>
        <v>2848</v>
      </c>
      <c r="AW52" s="175">
        <f t="shared" si="15"/>
        <v>2848</v>
      </c>
      <c r="AX52" s="175">
        <f t="shared" si="15"/>
        <v>2848</v>
      </c>
      <c r="AY52" s="175">
        <f t="shared" si="15"/>
        <v>2848</v>
      </c>
      <c r="AZ52" s="175">
        <f t="shared" si="15"/>
        <v>2848</v>
      </c>
      <c r="BA52" s="175">
        <f t="shared" si="15"/>
        <v>2848</v>
      </c>
      <c r="BC52" s="175">
        <f t="shared" si="1"/>
        <v>9744</v>
      </c>
      <c r="BD52" s="175">
        <f t="shared" si="2"/>
        <v>10208</v>
      </c>
      <c r="BE52" s="175">
        <f t="shared" si="3"/>
        <v>9144</v>
      </c>
      <c r="BF52" s="175">
        <f t="shared" si="4"/>
        <v>8996</v>
      </c>
      <c r="BG52" s="175">
        <f t="shared" si="5"/>
        <v>6840</v>
      </c>
      <c r="BH52" s="175">
        <f t="shared" si="6"/>
        <v>7076</v>
      </c>
      <c r="BI52" s="175">
        <f t="shared" si="7"/>
        <v>9324</v>
      </c>
      <c r="BJ52" s="175">
        <f t="shared" si="8"/>
        <v>11512</v>
      </c>
      <c r="BK52" s="175">
        <f t="shared" si="9"/>
        <v>14240</v>
      </c>
      <c r="BL52" s="175">
        <f t="shared" si="10"/>
        <v>11392</v>
      </c>
      <c r="BM52" s="175">
        <f t="shared" si="11"/>
        <v>11392</v>
      </c>
      <c r="BN52" s="175">
        <f t="shared" si="12"/>
        <v>14240</v>
      </c>
    </row>
    <row r="53" spans="1:66" ht="15.75" x14ac:dyDescent="0.25">
      <c r="A53" s="207" t="s">
        <v>424</v>
      </c>
      <c r="B53" s="207">
        <f>SUM(B5:B6,B18:B27,B32:B46)</f>
        <v>2812</v>
      </c>
      <c r="C53" s="207">
        <f t="shared" ref="C53:BA53" si="16">SUM(C5:C6,C18:C27,C32:C46)</f>
        <v>1188</v>
      </c>
      <c r="D53" s="207">
        <f t="shared" si="16"/>
        <v>1036</v>
      </c>
      <c r="E53" s="207">
        <f t="shared" si="16"/>
        <v>1420</v>
      </c>
      <c r="F53" s="207">
        <f t="shared" si="16"/>
        <v>1292</v>
      </c>
      <c r="G53" s="207">
        <f t="shared" si="16"/>
        <v>1152</v>
      </c>
      <c r="H53" s="207">
        <f t="shared" si="16"/>
        <v>1652</v>
      </c>
      <c r="I53" s="207">
        <f t="shared" si="16"/>
        <v>2036</v>
      </c>
      <c r="J53" s="207">
        <f t="shared" si="16"/>
        <v>0</v>
      </c>
      <c r="K53" s="207">
        <f t="shared" si="16"/>
        <v>332</v>
      </c>
      <c r="L53" s="207">
        <f t="shared" si="16"/>
        <v>1080</v>
      </c>
      <c r="M53" s="207">
        <f t="shared" si="16"/>
        <v>972</v>
      </c>
      <c r="N53" s="207">
        <f t="shared" si="16"/>
        <v>748</v>
      </c>
      <c r="O53" s="207">
        <f t="shared" si="16"/>
        <v>808</v>
      </c>
      <c r="P53" s="207">
        <f t="shared" si="16"/>
        <v>540</v>
      </c>
      <c r="Q53" s="207">
        <f t="shared" si="16"/>
        <v>584</v>
      </c>
      <c r="R53" s="207">
        <f t="shared" si="16"/>
        <v>936</v>
      </c>
      <c r="S53" s="207">
        <f t="shared" si="16"/>
        <v>1068</v>
      </c>
      <c r="T53" s="207">
        <f t="shared" si="16"/>
        <v>1064</v>
      </c>
      <c r="U53" s="207">
        <f t="shared" si="16"/>
        <v>1068</v>
      </c>
      <c r="V53" s="207">
        <f t="shared" si="16"/>
        <v>716</v>
      </c>
      <c r="W53" s="207">
        <f t="shared" si="16"/>
        <v>732</v>
      </c>
      <c r="X53" s="207">
        <f t="shared" si="16"/>
        <v>1028</v>
      </c>
      <c r="Y53" s="207">
        <f t="shared" si="16"/>
        <v>1024</v>
      </c>
      <c r="Z53" s="207">
        <f t="shared" si="16"/>
        <v>880</v>
      </c>
      <c r="AA53" s="207">
        <f t="shared" si="16"/>
        <v>1008</v>
      </c>
      <c r="AB53" s="207">
        <f t="shared" si="16"/>
        <v>1076</v>
      </c>
      <c r="AC53" s="207">
        <f t="shared" si="16"/>
        <v>1084</v>
      </c>
      <c r="AD53" s="207">
        <f t="shared" si="16"/>
        <v>1236</v>
      </c>
      <c r="AE53" s="207">
        <f t="shared" si="16"/>
        <v>1268</v>
      </c>
      <c r="AF53" s="207">
        <f t="shared" si="16"/>
        <v>1160</v>
      </c>
      <c r="AG53" s="207">
        <f t="shared" si="16"/>
        <v>1160</v>
      </c>
      <c r="AH53" s="207">
        <f t="shared" si="16"/>
        <v>1160</v>
      </c>
      <c r="AI53" s="207">
        <f t="shared" si="16"/>
        <v>1160</v>
      </c>
      <c r="AJ53" s="207">
        <f t="shared" si="16"/>
        <v>1160</v>
      </c>
      <c r="AK53" s="207">
        <f t="shared" si="16"/>
        <v>1160</v>
      </c>
      <c r="AL53" s="207">
        <f t="shared" si="16"/>
        <v>1160</v>
      </c>
      <c r="AM53" s="207">
        <f t="shared" si="16"/>
        <v>1160</v>
      </c>
      <c r="AN53" s="207">
        <f t="shared" si="16"/>
        <v>1160</v>
      </c>
      <c r="AO53" s="207">
        <f t="shared" si="16"/>
        <v>1160</v>
      </c>
      <c r="AP53" s="207">
        <f t="shared" si="16"/>
        <v>1160</v>
      </c>
      <c r="AQ53" s="207">
        <f t="shared" si="16"/>
        <v>1160</v>
      </c>
      <c r="AR53" s="207">
        <f t="shared" si="16"/>
        <v>1160</v>
      </c>
      <c r="AS53" s="207">
        <f t="shared" si="16"/>
        <v>1160</v>
      </c>
      <c r="AT53" s="207">
        <f t="shared" si="16"/>
        <v>1160</v>
      </c>
      <c r="AU53" s="207">
        <f t="shared" si="16"/>
        <v>1160</v>
      </c>
      <c r="AV53" s="207">
        <f t="shared" si="16"/>
        <v>1160</v>
      </c>
      <c r="AW53" s="207">
        <f t="shared" si="16"/>
        <v>1160</v>
      </c>
      <c r="AX53" s="207">
        <f t="shared" si="16"/>
        <v>1160</v>
      </c>
      <c r="AY53" s="207">
        <f t="shared" si="16"/>
        <v>1160</v>
      </c>
      <c r="AZ53" s="207">
        <f t="shared" si="16"/>
        <v>1160</v>
      </c>
      <c r="BA53" s="207">
        <f t="shared" si="16"/>
        <v>1160</v>
      </c>
      <c r="BC53" s="207">
        <f t="shared" si="1"/>
        <v>4000</v>
      </c>
      <c r="BD53" s="207">
        <f t="shared" si="2"/>
        <v>4900</v>
      </c>
      <c r="BE53" s="207">
        <f t="shared" si="3"/>
        <v>4020</v>
      </c>
      <c r="BF53" s="207">
        <f t="shared" si="4"/>
        <v>4148</v>
      </c>
      <c r="BG53" s="207">
        <f t="shared" si="5"/>
        <v>3652</v>
      </c>
      <c r="BH53" s="207">
        <f t="shared" si="6"/>
        <v>3544</v>
      </c>
      <c r="BI53" s="207">
        <f t="shared" si="7"/>
        <v>5072</v>
      </c>
      <c r="BJ53" s="207">
        <f t="shared" si="8"/>
        <v>4824</v>
      </c>
      <c r="BK53" s="207">
        <f t="shared" si="9"/>
        <v>5800</v>
      </c>
      <c r="BL53" s="207">
        <f t="shared" si="10"/>
        <v>4640</v>
      </c>
      <c r="BM53" s="207">
        <f t="shared" si="11"/>
        <v>4640</v>
      </c>
      <c r="BN53" s="207">
        <f t="shared" si="12"/>
        <v>5800</v>
      </c>
    </row>
    <row r="54" spans="1:66" ht="15.75" x14ac:dyDescent="0.25">
      <c r="A54" s="175" t="s">
        <v>423</v>
      </c>
      <c r="B54" s="175">
        <f t="shared" ref="B54" si="17">+B53</f>
        <v>2812</v>
      </c>
      <c r="C54" s="175">
        <f t="shared" ref="C54:BA54" si="18">+C53</f>
        <v>1188</v>
      </c>
      <c r="D54" s="175">
        <f t="shared" si="18"/>
        <v>1036</v>
      </c>
      <c r="E54" s="175">
        <f t="shared" si="18"/>
        <v>1420</v>
      </c>
      <c r="F54" s="175">
        <f t="shared" si="18"/>
        <v>1292</v>
      </c>
      <c r="G54" s="175">
        <f t="shared" si="18"/>
        <v>1152</v>
      </c>
      <c r="H54" s="175">
        <f t="shared" si="18"/>
        <v>1652</v>
      </c>
      <c r="I54" s="175">
        <f t="shared" si="18"/>
        <v>2036</v>
      </c>
      <c r="J54" s="175">
        <f t="shared" si="18"/>
        <v>0</v>
      </c>
      <c r="K54" s="175">
        <f t="shared" si="18"/>
        <v>332</v>
      </c>
      <c r="L54" s="175">
        <f t="shared" si="18"/>
        <v>1080</v>
      </c>
      <c r="M54" s="175">
        <f t="shared" si="18"/>
        <v>972</v>
      </c>
      <c r="N54" s="175">
        <f t="shared" si="18"/>
        <v>748</v>
      </c>
      <c r="O54" s="175">
        <f t="shared" si="18"/>
        <v>808</v>
      </c>
      <c r="P54" s="175">
        <f t="shared" si="18"/>
        <v>540</v>
      </c>
      <c r="Q54" s="175">
        <f t="shared" si="18"/>
        <v>584</v>
      </c>
      <c r="R54" s="175">
        <f t="shared" si="18"/>
        <v>936</v>
      </c>
      <c r="S54" s="175">
        <f t="shared" si="18"/>
        <v>1068</v>
      </c>
      <c r="T54" s="175">
        <f t="shared" si="18"/>
        <v>1064</v>
      </c>
      <c r="U54" s="175">
        <f t="shared" si="18"/>
        <v>1068</v>
      </c>
      <c r="V54" s="175">
        <f t="shared" si="18"/>
        <v>716</v>
      </c>
      <c r="W54" s="175">
        <f t="shared" si="18"/>
        <v>732</v>
      </c>
      <c r="X54" s="175">
        <f t="shared" si="18"/>
        <v>1028</v>
      </c>
      <c r="Y54" s="175">
        <f t="shared" si="18"/>
        <v>1024</v>
      </c>
      <c r="Z54" s="175">
        <f t="shared" si="18"/>
        <v>880</v>
      </c>
      <c r="AA54" s="175">
        <f t="shared" si="18"/>
        <v>1008</v>
      </c>
      <c r="AB54" s="175">
        <f t="shared" si="18"/>
        <v>1076</v>
      </c>
      <c r="AC54" s="175">
        <f t="shared" si="18"/>
        <v>1084</v>
      </c>
      <c r="AD54" s="175">
        <f t="shared" si="18"/>
        <v>1236</v>
      </c>
      <c r="AE54" s="175">
        <f t="shared" si="18"/>
        <v>1268</v>
      </c>
      <c r="AF54" s="175">
        <f t="shared" si="18"/>
        <v>1160</v>
      </c>
      <c r="AG54" s="175">
        <f t="shared" si="18"/>
        <v>1160</v>
      </c>
      <c r="AH54" s="175">
        <f t="shared" si="18"/>
        <v>1160</v>
      </c>
      <c r="AI54" s="175">
        <f t="shared" si="18"/>
        <v>1160</v>
      </c>
      <c r="AJ54" s="175">
        <f t="shared" si="18"/>
        <v>1160</v>
      </c>
      <c r="AK54" s="175">
        <f t="shared" si="18"/>
        <v>1160</v>
      </c>
      <c r="AL54" s="175">
        <f t="shared" si="18"/>
        <v>1160</v>
      </c>
      <c r="AM54" s="175">
        <f t="shared" si="18"/>
        <v>1160</v>
      </c>
      <c r="AN54" s="175">
        <f t="shared" si="18"/>
        <v>1160</v>
      </c>
      <c r="AO54" s="175">
        <f t="shared" si="18"/>
        <v>1160</v>
      </c>
      <c r="AP54" s="175">
        <f t="shared" si="18"/>
        <v>1160</v>
      </c>
      <c r="AQ54" s="175">
        <f t="shared" si="18"/>
        <v>1160</v>
      </c>
      <c r="AR54" s="175">
        <f t="shared" si="18"/>
        <v>1160</v>
      </c>
      <c r="AS54" s="175">
        <f t="shared" si="18"/>
        <v>1160</v>
      </c>
      <c r="AT54" s="175">
        <f t="shared" si="18"/>
        <v>1160</v>
      </c>
      <c r="AU54" s="175">
        <f t="shared" si="18"/>
        <v>1160</v>
      </c>
      <c r="AV54" s="175">
        <f t="shared" si="18"/>
        <v>1160</v>
      </c>
      <c r="AW54" s="175">
        <f t="shared" si="18"/>
        <v>1160</v>
      </c>
      <c r="AX54" s="175">
        <f t="shared" si="18"/>
        <v>1160</v>
      </c>
      <c r="AY54" s="175">
        <f t="shared" si="18"/>
        <v>1160</v>
      </c>
      <c r="AZ54" s="175">
        <f t="shared" si="18"/>
        <v>1160</v>
      </c>
      <c r="BA54" s="175">
        <f t="shared" si="18"/>
        <v>1160</v>
      </c>
      <c r="BC54" s="175">
        <f t="shared" si="1"/>
        <v>4000</v>
      </c>
      <c r="BD54" s="175">
        <f t="shared" si="2"/>
        <v>4900</v>
      </c>
      <c r="BE54" s="175">
        <f t="shared" si="3"/>
        <v>4020</v>
      </c>
      <c r="BF54" s="175">
        <f t="shared" si="4"/>
        <v>4148</v>
      </c>
      <c r="BG54" s="175">
        <f t="shared" si="5"/>
        <v>3652</v>
      </c>
      <c r="BH54" s="175">
        <f t="shared" si="6"/>
        <v>3544</v>
      </c>
      <c r="BI54" s="175">
        <f t="shared" si="7"/>
        <v>5072</v>
      </c>
      <c r="BJ54" s="175">
        <f t="shared" si="8"/>
        <v>4824</v>
      </c>
      <c r="BK54" s="175">
        <f t="shared" si="9"/>
        <v>5800</v>
      </c>
      <c r="BL54" s="175">
        <f t="shared" si="10"/>
        <v>4640</v>
      </c>
      <c r="BM54" s="175">
        <f t="shared" si="11"/>
        <v>4640</v>
      </c>
      <c r="BN54" s="175">
        <f t="shared" si="12"/>
        <v>5800</v>
      </c>
    </row>
    <row r="55" spans="1:66" ht="15.75" x14ac:dyDescent="0.25">
      <c r="A55" s="177" t="s">
        <v>425</v>
      </c>
      <c r="B55" s="177">
        <f>+B52+B54</f>
        <v>9848</v>
      </c>
      <c r="C55" s="177">
        <f t="shared" ref="C55:BA55" si="19">+C52+C54</f>
        <v>3896</v>
      </c>
      <c r="D55" s="177">
        <f t="shared" si="19"/>
        <v>3112</v>
      </c>
      <c r="E55" s="177">
        <f t="shared" si="19"/>
        <v>3816</v>
      </c>
      <c r="F55" s="177">
        <f t="shared" si="19"/>
        <v>4448</v>
      </c>
      <c r="G55" s="177">
        <f t="shared" si="19"/>
        <v>3732</v>
      </c>
      <c r="H55" s="177">
        <f t="shared" si="19"/>
        <v>4940</v>
      </c>
      <c r="I55" s="177">
        <f t="shared" si="19"/>
        <v>5024</v>
      </c>
      <c r="J55" s="177">
        <f t="shared" si="19"/>
        <v>0</v>
      </c>
      <c r="K55" s="177">
        <f t="shared" si="19"/>
        <v>3200</v>
      </c>
      <c r="L55" s="177">
        <f t="shared" si="19"/>
        <v>3200</v>
      </c>
      <c r="M55" s="177">
        <f t="shared" si="19"/>
        <v>3196</v>
      </c>
      <c r="N55" s="177">
        <f t="shared" si="19"/>
        <v>2560</v>
      </c>
      <c r="O55" s="177">
        <f t="shared" si="19"/>
        <v>2424</v>
      </c>
      <c r="P55" s="177">
        <f t="shared" si="19"/>
        <v>1764</v>
      </c>
      <c r="Q55" s="177">
        <f t="shared" si="19"/>
        <v>1804</v>
      </c>
      <c r="R55" s="177">
        <f t="shared" si="19"/>
        <v>2500</v>
      </c>
      <c r="S55" s="177">
        <f t="shared" si="19"/>
        <v>3100</v>
      </c>
      <c r="T55" s="177">
        <f t="shared" si="19"/>
        <v>3088</v>
      </c>
      <c r="U55" s="177">
        <f t="shared" si="19"/>
        <v>3100</v>
      </c>
      <c r="V55" s="177">
        <f t="shared" si="19"/>
        <v>2464</v>
      </c>
      <c r="W55" s="177">
        <f t="shared" si="19"/>
        <v>2544</v>
      </c>
      <c r="X55" s="177">
        <f t="shared" si="19"/>
        <v>2512</v>
      </c>
      <c r="Y55" s="177">
        <f t="shared" si="19"/>
        <v>2988</v>
      </c>
      <c r="Z55" s="177">
        <f t="shared" si="19"/>
        <v>2120</v>
      </c>
      <c r="AA55" s="177">
        <f t="shared" si="19"/>
        <v>2816</v>
      </c>
      <c r="AB55" s="177">
        <f t="shared" si="19"/>
        <v>3236</v>
      </c>
      <c r="AC55" s="177">
        <f t="shared" si="19"/>
        <v>3236</v>
      </c>
      <c r="AD55" s="177">
        <f t="shared" si="19"/>
        <v>4212</v>
      </c>
      <c r="AE55" s="177">
        <f t="shared" si="19"/>
        <v>4108</v>
      </c>
      <c r="AF55" s="177">
        <f t="shared" si="19"/>
        <v>4008</v>
      </c>
      <c r="AG55" s="177">
        <f t="shared" si="19"/>
        <v>4008</v>
      </c>
      <c r="AH55" s="177">
        <f t="shared" si="19"/>
        <v>4008</v>
      </c>
      <c r="AI55" s="177">
        <f t="shared" si="19"/>
        <v>4008</v>
      </c>
      <c r="AJ55" s="177">
        <f t="shared" si="19"/>
        <v>4008</v>
      </c>
      <c r="AK55" s="177">
        <f t="shared" si="19"/>
        <v>4008</v>
      </c>
      <c r="AL55" s="177">
        <f t="shared" si="19"/>
        <v>4008</v>
      </c>
      <c r="AM55" s="177">
        <f t="shared" si="19"/>
        <v>4008</v>
      </c>
      <c r="AN55" s="177">
        <f t="shared" si="19"/>
        <v>4008</v>
      </c>
      <c r="AO55" s="177">
        <f t="shared" si="19"/>
        <v>4008</v>
      </c>
      <c r="AP55" s="177">
        <f t="shared" si="19"/>
        <v>4008</v>
      </c>
      <c r="AQ55" s="177">
        <f t="shared" si="19"/>
        <v>4008</v>
      </c>
      <c r="AR55" s="177">
        <f t="shared" si="19"/>
        <v>4008</v>
      </c>
      <c r="AS55" s="177">
        <f t="shared" si="19"/>
        <v>4008</v>
      </c>
      <c r="AT55" s="177">
        <f t="shared" si="19"/>
        <v>4008</v>
      </c>
      <c r="AU55" s="177">
        <f t="shared" si="19"/>
        <v>4008</v>
      </c>
      <c r="AV55" s="177">
        <f t="shared" si="19"/>
        <v>4008</v>
      </c>
      <c r="AW55" s="177">
        <f t="shared" si="19"/>
        <v>4008</v>
      </c>
      <c r="AX55" s="177">
        <f t="shared" si="19"/>
        <v>4008</v>
      </c>
      <c r="AY55" s="177">
        <f t="shared" si="19"/>
        <v>4008</v>
      </c>
      <c r="AZ55" s="177">
        <f t="shared" si="19"/>
        <v>4008</v>
      </c>
      <c r="BA55" s="177">
        <f t="shared" si="19"/>
        <v>4008</v>
      </c>
      <c r="BC55" s="177">
        <f t="shared" si="1"/>
        <v>13744</v>
      </c>
      <c r="BD55" s="177">
        <f t="shared" si="2"/>
        <v>15108</v>
      </c>
      <c r="BE55" s="177">
        <f t="shared" si="3"/>
        <v>13164</v>
      </c>
      <c r="BF55" s="177">
        <f t="shared" si="4"/>
        <v>13144</v>
      </c>
      <c r="BG55" s="177">
        <f t="shared" si="5"/>
        <v>10492</v>
      </c>
      <c r="BH55" s="177">
        <f t="shared" si="6"/>
        <v>10620</v>
      </c>
      <c r="BI55" s="177">
        <f t="shared" si="7"/>
        <v>14396</v>
      </c>
      <c r="BJ55" s="177">
        <f t="shared" si="8"/>
        <v>16336</v>
      </c>
      <c r="BK55" s="177">
        <f t="shared" si="9"/>
        <v>20040</v>
      </c>
      <c r="BL55" s="177">
        <f t="shared" si="10"/>
        <v>16032</v>
      </c>
      <c r="BM55" s="177">
        <f t="shared" si="11"/>
        <v>16032</v>
      </c>
      <c r="BN55" s="177">
        <f t="shared" si="12"/>
        <v>20040</v>
      </c>
    </row>
    <row r="56" spans="1:66" ht="15.75" x14ac:dyDescent="0.25">
      <c r="A56" s="177" t="s">
        <v>425</v>
      </c>
      <c r="B56" s="177">
        <f>SUM(B5:B48)</f>
        <v>9848</v>
      </c>
      <c r="C56" s="177">
        <f t="shared" ref="C56:BA56" si="20">SUM(C5:C48)</f>
        <v>3896</v>
      </c>
      <c r="D56" s="177">
        <f t="shared" si="20"/>
        <v>3112</v>
      </c>
      <c r="E56" s="177">
        <f t="shared" si="20"/>
        <v>3816</v>
      </c>
      <c r="F56" s="177">
        <f t="shared" si="20"/>
        <v>4448</v>
      </c>
      <c r="G56" s="177">
        <f t="shared" si="20"/>
        <v>3732</v>
      </c>
      <c r="H56" s="177">
        <f t="shared" si="20"/>
        <v>4940</v>
      </c>
      <c r="I56" s="177">
        <f t="shared" si="20"/>
        <v>5024</v>
      </c>
      <c r="J56" s="177">
        <f t="shared" si="20"/>
        <v>0</v>
      </c>
      <c r="K56" s="177">
        <f t="shared" si="20"/>
        <v>3200</v>
      </c>
      <c r="L56" s="177">
        <f t="shared" si="20"/>
        <v>3200</v>
      </c>
      <c r="M56" s="177">
        <f t="shared" si="20"/>
        <v>3196</v>
      </c>
      <c r="N56" s="177">
        <f t="shared" si="20"/>
        <v>2560</v>
      </c>
      <c r="O56" s="177">
        <f t="shared" si="20"/>
        <v>2424</v>
      </c>
      <c r="P56" s="177">
        <f t="shared" si="20"/>
        <v>1764</v>
      </c>
      <c r="Q56" s="177">
        <f t="shared" si="20"/>
        <v>1804</v>
      </c>
      <c r="R56" s="177">
        <f t="shared" si="20"/>
        <v>2500</v>
      </c>
      <c r="S56" s="177">
        <f t="shared" si="20"/>
        <v>3100</v>
      </c>
      <c r="T56" s="177">
        <f t="shared" si="20"/>
        <v>3088</v>
      </c>
      <c r="U56" s="177">
        <f t="shared" si="20"/>
        <v>3100</v>
      </c>
      <c r="V56" s="177">
        <f t="shared" si="20"/>
        <v>2464</v>
      </c>
      <c r="W56" s="177">
        <f t="shared" si="20"/>
        <v>2544</v>
      </c>
      <c r="X56" s="177">
        <f t="shared" si="20"/>
        <v>2512</v>
      </c>
      <c r="Y56" s="177">
        <f t="shared" si="20"/>
        <v>2988</v>
      </c>
      <c r="Z56" s="177">
        <f t="shared" si="20"/>
        <v>2120</v>
      </c>
      <c r="AA56" s="177">
        <f t="shared" si="20"/>
        <v>2816</v>
      </c>
      <c r="AB56" s="177">
        <f t="shared" si="20"/>
        <v>3236</v>
      </c>
      <c r="AC56" s="177">
        <f t="shared" si="20"/>
        <v>3236</v>
      </c>
      <c r="AD56" s="177">
        <f t="shared" si="20"/>
        <v>4212</v>
      </c>
      <c r="AE56" s="177">
        <f t="shared" si="20"/>
        <v>4108</v>
      </c>
      <c r="AF56" s="177">
        <f t="shared" si="20"/>
        <v>4008</v>
      </c>
      <c r="AG56" s="177">
        <f t="shared" si="20"/>
        <v>4008</v>
      </c>
      <c r="AH56" s="177">
        <f t="shared" si="20"/>
        <v>4008</v>
      </c>
      <c r="AI56" s="177">
        <f t="shared" si="20"/>
        <v>4008</v>
      </c>
      <c r="AJ56" s="177">
        <f t="shared" si="20"/>
        <v>4008</v>
      </c>
      <c r="AK56" s="177">
        <f t="shared" si="20"/>
        <v>4008</v>
      </c>
      <c r="AL56" s="177">
        <f t="shared" si="20"/>
        <v>4008</v>
      </c>
      <c r="AM56" s="177">
        <f t="shared" si="20"/>
        <v>4008</v>
      </c>
      <c r="AN56" s="177">
        <f t="shared" si="20"/>
        <v>4008</v>
      </c>
      <c r="AO56" s="177">
        <f t="shared" si="20"/>
        <v>4008</v>
      </c>
      <c r="AP56" s="177">
        <f t="shared" si="20"/>
        <v>4008</v>
      </c>
      <c r="AQ56" s="177">
        <f t="shared" si="20"/>
        <v>4008</v>
      </c>
      <c r="AR56" s="177">
        <f t="shared" si="20"/>
        <v>4008</v>
      </c>
      <c r="AS56" s="177">
        <f t="shared" si="20"/>
        <v>4008</v>
      </c>
      <c r="AT56" s="177">
        <f t="shared" si="20"/>
        <v>4008</v>
      </c>
      <c r="AU56" s="177">
        <f t="shared" si="20"/>
        <v>4008</v>
      </c>
      <c r="AV56" s="177">
        <f t="shared" si="20"/>
        <v>4008</v>
      </c>
      <c r="AW56" s="177">
        <f t="shared" si="20"/>
        <v>4008</v>
      </c>
      <c r="AX56" s="177">
        <f t="shared" si="20"/>
        <v>4008</v>
      </c>
      <c r="AY56" s="177">
        <f t="shared" si="20"/>
        <v>4008</v>
      </c>
      <c r="AZ56" s="177">
        <f t="shared" si="20"/>
        <v>4008</v>
      </c>
      <c r="BA56" s="177">
        <f t="shared" si="20"/>
        <v>4008</v>
      </c>
      <c r="BC56" s="177">
        <f t="shared" si="1"/>
        <v>13744</v>
      </c>
      <c r="BD56" s="177">
        <f t="shared" si="2"/>
        <v>15108</v>
      </c>
      <c r="BE56" s="177">
        <f t="shared" si="3"/>
        <v>13164</v>
      </c>
      <c r="BF56" s="177">
        <f t="shared" si="4"/>
        <v>13144</v>
      </c>
      <c r="BG56" s="177">
        <f t="shared" si="5"/>
        <v>10492</v>
      </c>
      <c r="BH56" s="177">
        <f t="shared" si="6"/>
        <v>10620</v>
      </c>
      <c r="BI56" s="177">
        <f t="shared" si="7"/>
        <v>14396</v>
      </c>
      <c r="BJ56" s="177">
        <f t="shared" si="8"/>
        <v>16336</v>
      </c>
      <c r="BK56" s="177">
        <f t="shared" si="9"/>
        <v>20040</v>
      </c>
      <c r="BL56" s="177">
        <f t="shared" si="10"/>
        <v>16032</v>
      </c>
      <c r="BM56" s="177">
        <f t="shared" si="11"/>
        <v>16032</v>
      </c>
      <c r="BN56" s="177">
        <f t="shared" si="12"/>
        <v>20040</v>
      </c>
    </row>
    <row r="57" spans="1:66" ht="15.75" x14ac:dyDescent="0.25">
      <c r="A57" s="175" t="s">
        <v>426</v>
      </c>
      <c r="B57" s="178" t="str">
        <f>IF(B55=B56,"OK","N-OK")</f>
        <v>OK</v>
      </c>
      <c r="C57" s="178" t="str">
        <f t="shared" ref="C57:BN57" si="21">IF(C55=C56,"OK","N-OK")</f>
        <v>OK</v>
      </c>
      <c r="D57" s="178" t="str">
        <f t="shared" si="21"/>
        <v>OK</v>
      </c>
      <c r="E57" s="178" t="str">
        <f t="shared" si="21"/>
        <v>OK</v>
      </c>
      <c r="F57" s="178" t="str">
        <f t="shared" si="21"/>
        <v>OK</v>
      </c>
      <c r="G57" s="178" t="str">
        <f t="shared" si="21"/>
        <v>OK</v>
      </c>
      <c r="H57" s="178" t="str">
        <f t="shared" si="21"/>
        <v>OK</v>
      </c>
      <c r="I57" s="178" t="str">
        <f t="shared" si="21"/>
        <v>OK</v>
      </c>
      <c r="J57" s="178" t="str">
        <f t="shared" si="21"/>
        <v>OK</v>
      </c>
      <c r="K57" s="178" t="str">
        <f t="shared" si="21"/>
        <v>OK</v>
      </c>
      <c r="L57" s="178" t="str">
        <f t="shared" si="21"/>
        <v>OK</v>
      </c>
      <c r="M57" s="178" t="str">
        <f t="shared" si="21"/>
        <v>OK</v>
      </c>
      <c r="N57" s="178" t="str">
        <f t="shared" si="21"/>
        <v>OK</v>
      </c>
      <c r="O57" s="178" t="str">
        <f t="shared" si="21"/>
        <v>OK</v>
      </c>
      <c r="P57" s="178" t="str">
        <f t="shared" si="21"/>
        <v>OK</v>
      </c>
      <c r="Q57" s="178" t="str">
        <f t="shared" si="21"/>
        <v>OK</v>
      </c>
      <c r="R57" s="178" t="str">
        <f t="shared" si="21"/>
        <v>OK</v>
      </c>
      <c r="S57" s="178" t="str">
        <f t="shared" si="21"/>
        <v>OK</v>
      </c>
      <c r="T57" s="178" t="str">
        <f t="shared" si="21"/>
        <v>OK</v>
      </c>
      <c r="U57" s="178" t="str">
        <f t="shared" si="21"/>
        <v>OK</v>
      </c>
      <c r="V57" s="178" t="str">
        <f t="shared" si="21"/>
        <v>OK</v>
      </c>
      <c r="W57" s="178" t="str">
        <f t="shared" si="21"/>
        <v>OK</v>
      </c>
      <c r="X57" s="178" t="str">
        <f t="shared" si="21"/>
        <v>OK</v>
      </c>
      <c r="Y57" s="178" t="str">
        <f t="shared" si="21"/>
        <v>OK</v>
      </c>
      <c r="Z57" s="178" t="str">
        <f t="shared" si="21"/>
        <v>OK</v>
      </c>
      <c r="AA57" s="178" t="str">
        <f t="shared" si="21"/>
        <v>OK</v>
      </c>
      <c r="AB57" s="178" t="str">
        <f t="shared" si="21"/>
        <v>OK</v>
      </c>
      <c r="AC57" s="178" t="str">
        <f t="shared" si="21"/>
        <v>OK</v>
      </c>
      <c r="AD57" s="178" t="str">
        <f t="shared" si="21"/>
        <v>OK</v>
      </c>
      <c r="AE57" s="178" t="str">
        <f t="shared" si="21"/>
        <v>OK</v>
      </c>
      <c r="AF57" s="178" t="str">
        <f t="shared" si="21"/>
        <v>OK</v>
      </c>
      <c r="AG57" s="178" t="str">
        <f t="shared" si="21"/>
        <v>OK</v>
      </c>
      <c r="AH57" s="178" t="str">
        <f t="shared" si="21"/>
        <v>OK</v>
      </c>
      <c r="AI57" s="178" t="str">
        <f t="shared" si="21"/>
        <v>OK</v>
      </c>
      <c r="AJ57" s="178" t="str">
        <f t="shared" si="21"/>
        <v>OK</v>
      </c>
      <c r="AK57" s="178" t="str">
        <f t="shared" si="21"/>
        <v>OK</v>
      </c>
      <c r="AL57" s="178" t="str">
        <f t="shared" si="21"/>
        <v>OK</v>
      </c>
      <c r="AM57" s="178" t="str">
        <f t="shared" si="21"/>
        <v>OK</v>
      </c>
      <c r="AN57" s="178" t="str">
        <f t="shared" si="21"/>
        <v>OK</v>
      </c>
      <c r="AO57" s="178" t="str">
        <f t="shared" si="21"/>
        <v>OK</v>
      </c>
      <c r="AP57" s="178" t="str">
        <f t="shared" si="21"/>
        <v>OK</v>
      </c>
      <c r="AQ57" s="178" t="str">
        <f t="shared" si="21"/>
        <v>OK</v>
      </c>
      <c r="AR57" s="178" t="str">
        <f t="shared" si="21"/>
        <v>OK</v>
      </c>
      <c r="AS57" s="178" t="str">
        <f t="shared" si="21"/>
        <v>OK</v>
      </c>
      <c r="AT57" s="178" t="str">
        <f t="shared" si="21"/>
        <v>OK</v>
      </c>
      <c r="AU57" s="178" t="str">
        <f t="shared" si="21"/>
        <v>OK</v>
      </c>
      <c r="AV57" s="178" t="str">
        <f t="shared" si="21"/>
        <v>OK</v>
      </c>
      <c r="AW57" s="178" t="str">
        <f t="shared" si="21"/>
        <v>OK</v>
      </c>
      <c r="AX57" s="178" t="str">
        <f t="shared" si="21"/>
        <v>OK</v>
      </c>
      <c r="AY57" s="178" t="str">
        <f t="shared" si="21"/>
        <v>OK</v>
      </c>
      <c r="AZ57" s="178" t="str">
        <f t="shared" si="21"/>
        <v>OK</v>
      </c>
      <c r="BA57" s="178" t="str">
        <f t="shared" si="21"/>
        <v>OK</v>
      </c>
      <c r="BC57" s="178" t="str">
        <f t="shared" si="21"/>
        <v>OK</v>
      </c>
      <c r="BD57" s="178" t="str">
        <f t="shared" si="21"/>
        <v>OK</v>
      </c>
      <c r="BE57" s="178" t="str">
        <f t="shared" si="21"/>
        <v>OK</v>
      </c>
      <c r="BF57" s="178" t="str">
        <f t="shared" si="21"/>
        <v>OK</v>
      </c>
      <c r="BG57" s="178" t="str">
        <f t="shared" si="21"/>
        <v>OK</v>
      </c>
      <c r="BH57" s="178" t="str">
        <f t="shared" si="21"/>
        <v>OK</v>
      </c>
      <c r="BI57" s="178" t="str">
        <f t="shared" si="21"/>
        <v>OK</v>
      </c>
      <c r="BJ57" s="178" t="str">
        <f t="shared" si="21"/>
        <v>OK</v>
      </c>
      <c r="BK57" s="178" t="str">
        <f t="shared" si="21"/>
        <v>OK</v>
      </c>
      <c r="BL57" s="178" t="str">
        <f t="shared" si="21"/>
        <v>OK</v>
      </c>
      <c r="BM57" s="178" t="str">
        <f t="shared" si="21"/>
        <v>OK</v>
      </c>
      <c r="BN57" s="178" t="str">
        <f t="shared" si="21"/>
        <v>OK</v>
      </c>
    </row>
    <row r="59" spans="1:66" x14ac:dyDescent="0.25">
      <c r="B59">
        <f>+'Final SR'!J437</f>
        <v>9848</v>
      </c>
      <c r="C59">
        <f>+'Final SR'!K437</f>
        <v>3896</v>
      </c>
      <c r="D59">
        <f>+'Final SR'!L437</f>
        <v>3112</v>
      </c>
      <c r="E59">
        <f>+'Final SR'!M437</f>
        <v>3816</v>
      </c>
      <c r="F59">
        <f>+'Final SR'!N437</f>
        <v>4448</v>
      </c>
      <c r="G59">
        <f>+'Final SR'!O437</f>
        <v>3732</v>
      </c>
      <c r="H59">
        <f>+'Final SR'!P437</f>
        <v>4940</v>
      </c>
      <c r="I59">
        <f>+'Final SR'!Q437</f>
        <v>5024</v>
      </c>
      <c r="J59">
        <f>+'Final SR'!R437</f>
        <v>0</v>
      </c>
      <c r="K59">
        <f>+'Final SR'!S437</f>
        <v>3200</v>
      </c>
      <c r="L59">
        <f>+'Final SR'!T437</f>
        <v>3200</v>
      </c>
      <c r="M59">
        <f>+'Final SR'!U437</f>
        <v>3196</v>
      </c>
      <c r="N59">
        <f>+'Final SR'!V437</f>
        <v>2560</v>
      </c>
      <c r="O59">
        <f>+'Final SR'!W437</f>
        <v>2424</v>
      </c>
      <c r="P59">
        <f>+'Final SR'!X437</f>
        <v>1764</v>
      </c>
      <c r="Q59">
        <f>+'Final SR'!Y437</f>
        <v>1804</v>
      </c>
      <c r="R59">
        <f>+'Final SR'!Z437</f>
        <v>2500</v>
      </c>
      <c r="S59">
        <f>+'Final SR'!AA437</f>
        <v>3100</v>
      </c>
      <c r="T59">
        <f>+'Final SR'!AB437</f>
        <v>3088</v>
      </c>
      <c r="U59">
        <f>+'Final SR'!AC437</f>
        <v>3100</v>
      </c>
      <c r="V59">
        <f>+'Final SR'!AD437</f>
        <v>2464</v>
      </c>
      <c r="W59">
        <f>+'Final SR'!AE437</f>
        <v>2544</v>
      </c>
      <c r="X59">
        <f>+'Final SR'!AF437</f>
        <v>2512</v>
      </c>
      <c r="Y59">
        <f>+'Final SR'!AG437</f>
        <v>2988</v>
      </c>
      <c r="Z59">
        <f>+'Final SR'!AH437</f>
        <v>2120</v>
      </c>
      <c r="AA59">
        <f>+'Final SR'!AI437</f>
        <v>2816</v>
      </c>
      <c r="AB59">
        <f>+'Final SR'!AJ437</f>
        <v>3236</v>
      </c>
      <c r="AC59">
        <f>+'Final SR'!AK437</f>
        <v>3236</v>
      </c>
      <c r="AD59">
        <f>+'Final SR'!AL437</f>
        <v>4212</v>
      </c>
      <c r="AE59">
        <f>+'Final SR'!AM437</f>
        <v>4108</v>
      </c>
      <c r="AF59">
        <f>+'Final SR'!AN437</f>
        <v>4008</v>
      </c>
      <c r="AG59">
        <f>+'Final SR'!AO437</f>
        <v>4008</v>
      </c>
      <c r="AH59">
        <f>+'Final SR'!AP437</f>
        <v>4008</v>
      </c>
      <c r="AI59">
        <f>+'Final SR'!AQ437</f>
        <v>4008</v>
      </c>
      <c r="AJ59">
        <f>+'Final SR'!AR437</f>
        <v>4008</v>
      </c>
      <c r="AK59">
        <f>+'Final SR'!AS437</f>
        <v>4008</v>
      </c>
      <c r="AL59">
        <f>+'Final SR'!AT437</f>
        <v>4008</v>
      </c>
      <c r="AM59">
        <f>+'Final SR'!AU437</f>
        <v>4008</v>
      </c>
      <c r="AN59">
        <f>+'Final SR'!AV437</f>
        <v>4008</v>
      </c>
      <c r="AO59">
        <f>+'Final SR'!AW437</f>
        <v>4008</v>
      </c>
      <c r="AP59">
        <f>+'Final SR'!AX437</f>
        <v>4008</v>
      </c>
      <c r="AQ59">
        <f>+'Final SR'!AY437</f>
        <v>4008</v>
      </c>
      <c r="AR59">
        <f>+'Final SR'!AZ437</f>
        <v>4008</v>
      </c>
      <c r="AS59">
        <f>+'Final SR'!BA437</f>
        <v>4008</v>
      </c>
      <c r="AT59">
        <f>+'Final SR'!BB437</f>
        <v>4008</v>
      </c>
      <c r="AU59">
        <f>+'Final SR'!BC437</f>
        <v>4008</v>
      </c>
      <c r="AV59">
        <f>+'Final SR'!BD437</f>
        <v>4008</v>
      </c>
      <c r="AW59">
        <f>+'Final SR'!BE437</f>
        <v>4008</v>
      </c>
      <c r="AX59">
        <f>+'Final SR'!BF437</f>
        <v>4008</v>
      </c>
      <c r="AY59">
        <f>+'Final SR'!BG437</f>
        <v>4008</v>
      </c>
      <c r="AZ59">
        <f>+'Final SR'!BH437</f>
        <v>4008</v>
      </c>
      <c r="BA59">
        <f>+'Final SR'!BI437</f>
        <v>4008</v>
      </c>
    </row>
    <row r="60" spans="1:66" x14ac:dyDescent="0.25">
      <c r="B60" t="b">
        <f>B59=B56</f>
        <v>1</v>
      </c>
      <c r="C60" t="b">
        <f t="shared" ref="C60:BA60" si="22">C59=C56</f>
        <v>1</v>
      </c>
      <c r="D60" t="b">
        <f t="shared" si="22"/>
        <v>1</v>
      </c>
      <c r="E60" t="b">
        <f t="shared" si="22"/>
        <v>1</v>
      </c>
      <c r="F60" t="b">
        <f t="shared" si="22"/>
        <v>1</v>
      </c>
      <c r="G60" t="b">
        <f t="shared" si="22"/>
        <v>1</v>
      </c>
      <c r="H60" t="b">
        <f t="shared" si="22"/>
        <v>1</v>
      </c>
      <c r="I60" t="b">
        <f t="shared" si="22"/>
        <v>1</v>
      </c>
      <c r="J60" t="b">
        <f t="shared" si="22"/>
        <v>1</v>
      </c>
      <c r="K60" t="b">
        <f t="shared" si="22"/>
        <v>1</v>
      </c>
      <c r="L60" t="b">
        <f t="shared" si="22"/>
        <v>1</v>
      </c>
      <c r="M60" t="b">
        <f t="shared" si="22"/>
        <v>1</v>
      </c>
      <c r="N60" t="b">
        <f t="shared" si="22"/>
        <v>1</v>
      </c>
      <c r="O60" t="b">
        <f t="shared" si="22"/>
        <v>1</v>
      </c>
      <c r="P60" t="b">
        <f t="shared" si="22"/>
        <v>1</v>
      </c>
      <c r="Q60" t="b">
        <f t="shared" si="22"/>
        <v>1</v>
      </c>
      <c r="R60" t="b">
        <f t="shared" si="22"/>
        <v>1</v>
      </c>
      <c r="S60" t="b">
        <f t="shared" si="22"/>
        <v>1</v>
      </c>
      <c r="T60" t="b">
        <f t="shared" si="22"/>
        <v>1</v>
      </c>
      <c r="U60" t="b">
        <f t="shared" si="22"/>
        <v>1</v>
      </c>
      <c r="V60" t="b">
        <f t="shared" si="22"/>
        <v>1</v>
      </c>
      <c r="W60" t="b">
        <f t="shared" si="22"/>
        <v>1</v>
      </c>
      <c r="X60" t="b">
        <f t="shared" si="22"/>
        <v>1</v>
      </c>
      <c r="Y60" t="b">
        <f t="shared" si="22"/>
        <v>1</v>
      </c>
      <c r="Z60" t="b">
        <f t="shared" si="22"/>
        <v>1</v>
      </c>
      <c r="AA60" t="b">
        <f t="shared" si="22"/>
        <v>1</v>
      </c>
      <c r="AB60" t="b">
        <f t="shared" si="22"/>
        <v>1</v>
      </c>
      <c r="AC60" t="b">
        <f t="shared" si="22"/>
        <v>1</v>
      </c>
      <c r="AD60" t="b">
        <f t="shared" si="22"/>
        <v>1</v>
      </c>
      <c r="AE60" t="b">
        <f t="shared" si="22"/>
        <v>1</v>
      </c>
      <c r="AF60" t="b">
        <f t="shared" si="22"/>
        <v>1</v>
      </c>
      <c r="AG60" t="b">
        <f t="shared" si="22"/>
        <v>1</v>
      </c>
      <c r="AH60" t="b">
        <f t="shared" si="22"/>
        <v>1</v>
      </c>
      <c r="AI60" t="b">
        <f t="shared" si="22"/>
        <v>1</v>
      </c>
      <c r="AJ60" t="b">
        <f t="shared" si="22"/>
        <v>1</v>
      </c>
      <c r="AK60" t="b">
        <f t="shared" si="22"/>
        <v>1</v>
      </c>
      <c r="AL60" t="b">
        <f t="shared" si="22"/>
        <v>1</v>
      </c>
      <c r="AM60" t="b">
        <f t="shared" si="22"/>
        <v>1</v>
      </c>
      <c r="AN60" t="b">
        <f t="shared" si="22"/>
        <v>1</v>
      </c>
      <c r="AO60" t="b">
        <f t="shared" si="22"/>
        <v>1</v>
      </c>
      <c r="AP60" t="b">
        <f t="shared" si="22"/>
        <v>1</v>
      </c>
      <c r="AQ60" t="b">
        <f t="shared" si="22"/>
        <v>1</v>
      </c>
      <c r="AR60" t="b">
        <f t="shared" si="22"/>
        <v>1</v>
      </c>
      <c r="AS60" t="b">
        <f t="shared" si="22"/>
        <v>1</v>
      </c>
      <c r="AT60" t="b">
        <f t="shared" si="22"/>
        <v>1</v>
      </c>
      <c r="AU60" t="b">
        <f t="shared" si="22"/>
        <v>1</v>
      </c>
      <c r="AV60" t="b">
        <f t="shared" si="22"/>
        <v>1</v>
      </c>
      <c r="AW60" t="b">
        <f t="shared" si="22"/>
        <v>1</v>
      </c>
      <c r="AX60" t="b">
        <f t="shared" si="22"/>
        <v>1</v>
      </c>
      <c r="AY60" t="b">
        <f t="shared" si="22"/>
        <v>1</v>
      </c>
      <c r="AZ60" t="b">
        <f t="shared" si="22"/>
        <v>1</v>
      </c>
      <c r="BA60" t="b">
        <f t="shared" si="22"/>
        <v>1</v>
      </c>
    </row>
    <row r="62" spans="1:66" x14ac:dyDescent="0.25">
      <c r="A62" t="s">
        <v>427</v>
      </c>
      <c r="B62">
        <f>+B50+B53</f>
        <v>6652</v>
      </c>
      <c r="C62">
        <f t="shared" ref="C62:BA62" si="23">+C50+C53</f>
        <v>2784</v>
      </c>
      <c r="D62">
        <f t="shared" si="23"/>
        <v>2276</v>
      </c>
      <c r="E62">
        <f t="shared" si="23"/>
        <v>2648</v>
      </c>
      <c r="F62">
        <f t="shared" si="23"/>
        <v>2928</v>
      </c>
      <c r="G62">
        <f t="shared" si="23"/>
        <v>2688</v>
      </c>
      <c r="H62">
        <f t="shared" si="23"/>
        <v>3716</v>
      </c>
      <c r="I62">
        <f t="shared" si="23"/>
        <v>3720</v>
      </c>
      <c r="J62">
        <f t="shared" si="23"/>
        <v>0</v>
      </c>
      <c r="K62">
        <f t="shared" si="23"/>
        <v>2056</v>
      </c>
      <c r="L62">
        <f t="shared" si="23"/>
        <v>2640</v>
      </c>
      <c r="M62">
        <f t="shared" si="23"/>
        <v>2348</v>
      </c>
      <c r="N62">
        <f t="shared" si="23"/>
        <v>1944</v>
      </c>
      <c r="O62">
        <f t="shared" si="23"/>
        <v>1620</v>
      </c>
      <c r="P62">
        <f t="shared" si="23"/>
        <v>1152</v>
      </c>
      <c r="Q62">
        <f t="shared" si="23"/>
        <v>1192</v>
      </c>
      <c r="R62">
        <f t="shared" si="23"/>
        <v>1740</v>
      </c>
      <c r="S62">
        <f t="shared" si="23"/>
        <v>2184</v>
      </c>
      <c r="T62">
        <f t="shared" si="23"/>
        <v>2176</v>
      </c>
      <c r="U62">
        <f t="shared" si="23"/>
        <v>2180</v>
      </c>
      <c r="V62">
        <f t="shared" si="23"/>
        <v>1656</v>
      </c>
      <c r="W62">
        <f t="shared" si="23"/>
        <v>1704</v>
      </c>
      <c r="X62">
        <f t="shared" si="23"/>
        <v>1804</v>
      </c>
      <c r="Y62">
        <f t="shared" si="23"/>
        <v>2096</v>
      </c>
      <c r="Z62">
        <f t="shared" si="23"/>
        <v>1508</v>
      </c>
      <c r="AA62">
        <f t="shared" si="23"/>
        <v>1908</v>
      </c>
      <c r="AB62">
        <f t="shared" si="23"/>
        <v>2364</v>
      </c>
      <c r="AC62">
        <f t="shared" si="23"/>
        <v>2360</v>
      </c>
      <c r="AD62">
        <f t="shared" si="23"/>
        <v>3076</v>
      </c>
      <c r="AE62">
        <f t="shared" si="23"/>
        <v>3012</v>
      </c>
      <c r="AF62">
        <f t="shared" si="23"/>
        <v>2904</v>
      </c>
      <c r="AG62">
        <f t="shared" si="23"/>
        <v>2904</v>
      </c>
      <c r="AH62">
        <f t="shared" si="23"/>
        <v>2904</v>
      </c>
      <c r="AI62">
        <f t="shared" si="23"/>
        <v>2904</v>
      </c>
      <c r="AJ62">
        <f t="shared" si="23"/>
        <v>2904</v>
      </c>
      <c r="AK62">
        <f t="shared" si="23"/>
        <v>2904</v>
      </c>
      <c r="AL62">
        <f t="shared" si="23"/>
        <v>2904</v>
      </c>
      <c r="AM62">
        <f t="shared" si="23"/>
        <v>2904</v>
      </c>
      <c r="AN62">
        <f t="shared" si="23"/>
        <v>2904</v>
      </c>
      <c r="AO62">
        <f t="shared" si="23"/>
        <v>2904</v>
      </c>
      <c r="AP62">
        <f t="shared" si="23"/>
        <v>2904</v>
      </c>
      <c r="AQ62">
        <f t="shared" si="23"/>
        <v>2904</v>
      </c>
      <c r="AR62">
        <f t="shared" si="23"/>
        <v>2904</v>
      </c>
      <c r="AS62">
        <f t="shared" si="23"/>
        <v>2904</v>
      </c>
      <c r="AT62">
        <f t="shared" si="23"/>
        <v>2904</v>
      </c>
      <c r="AU62">
        <f t="shared" si="23"/>
        <v>2904</v>
      </c>
      <c r="AV62">
        <f t="shared" si="23"/>
        <v>2904</v>
      </c>
      <c r="AW62">
        <f t="shared" si="23"/>
        <v>2904</v>
      </c>
      <c r="AX62">
        <f t="shared" si="23"/>
        <v>2904</v>
      </c>
      <c r="AY62">
        <f t="shared" si="23"/>
        <v>2904</v>
      </c>
      <c r="AZ62">
        <f t="shared" si="23"/>
        <v>2904</v>
      </c>
      <c r="BA62">
        <f t="shared" si="23"/>
        <v>2904</v>
      </c>
      <c r="BB62">
        <f t="shared" ref="BB62:BN62" si="24">+BB50+BB53</f>
        <v>0</v>
      </c>
      <c r="BC62">
        <f t="shared" si="24"/>
        <v>9436</v>
      </c>
      <c r="BD62">
        <f t="shared" si="24"/>
        <v>10540</v>
      </c>
      <c r="BE62">
        <f t="shared" si="24"/>
        <v>9492</v>
      </c>
      <c r="BF62">
        <f t="shared" si="24"/>
        <v>9704</v>
      </c>
      <c r="BG62">
        <f t="shared" si="24"/>
        <v>7292</v>
      </c>
      <c r="BH62">
        <f t="shared" si="24"/>
        <v>7344</v>
      </c>
      <c r="BI62">
        <f t="shared" si="24"/>
        <v>10236</v>
      </c>
      <c r="BJ62">
        <f t="shared" si="24"/>
        <v>11896</v>
      </c>
      <c r="BK62">
        <f t="shared" si="24"/>
        <v>14520</v>
      </c>
      <c r="BL62">
        <f t="shared" si="24"/>
        <v>11616</v>
      </c>
      <c r="BM62">
        <f t="shared" si="24"/>
        <v>11616</v>
      </c>
      <c r="BN62">
        <f t="shared" si="24"/>
        <v>14520</v>
      </c>
    </row>
    <row r="63" spans="1:66" x14ac:dyDescent="0.25">
      <c r="A63" t="s">
        <v>428</v>
      </c>
      <c r="B63">
        <f>+B51</f>
        <v>3196</v>
      </c>
      <c r="C63">
        <f t="shared" ref="C63:BA63" si="25">+C51</f>
        <v>1112</v>
      </c>
      <c r="D63">
        <f t="shared" si="25"/>
        <v>836</v>
      </c>
      <c r="E63">
        <f t="shared" si="25"/>
        <v>1168</v>
      </c>
      <c r="F63">
        <f t="shared" si="25"/>
        <v>1520</v>
      </c>
      <c r="G63">
        <f t="shared" si="25"/>
        <v>1044</v>
      </c>
      <c r="H63">
        <f t="shared" si="25"/>
        <v>1224</v>
      </c>
      <c r="I63">
        <f t="shared" si="25"/>
        <v>1304</v>
      </c>
      <c r="J63">
        <f t="shared" si="25"/>
        <v>0</v>
      </c>
      <c r="K63">
        <f t="shared" si="25"/>
        <v>1144</v>
      </c>
      <c r="L63">
        <f t="shared" si="25"/>
        <v>560</v>
      </c>
      <c r="M63">
        <f t="shared" si="25"/>
        <v>848</v>
      </c>
      <c r="N63">
        <f t="shared" si="25"/>
        <v>616</v>
      </c>
      <c r="O63">
        <f t="shared" si="25"/>
        <v>804</v>
      </c>
      <c r="P63">
        <f t="shared" si="25"/>
        <v>612</v>
      </c>
      <c r="Q63">
        <f t="shared" si="25"/>
        <v>612</v>
      </c>
      <c r="R63">
        <f t="shared" si="25"/>
        <v>760</v>
      </c>
      <c r="S63">
        <f t="shared" si="25"/>
        <v>916</v>
      </c>
      <c r="T63">
        <f t="shared" si="25"/>
        <v>912</v>
      </c>
      <c r="U63">
        <f t="shared" si="25"/>
        <v>920</v>
      </c>
      <c r="V63">
        <f t="shared" si="25"/>
        <v>808</v>
      </c>
      <c r="W63">
        <f t="shared" si="25"/>
        <v>840</v>
      </c>
      <c r="X63">
        <f t="shared" si="25"/>
        <v>708</v>
      </c>
      <c r="Y63">
        <f t="shared" si="25"/>
        <v>892</v>
      </c>
      <c r="Z63">
        <f t="shared" si="25"/>
        <v>612</v>
      </c>
      <c r="AA63">
        <f t="shared" si="25"/>
        <v>908</v>
      </c>
      <c r="AB63">
        <f t="shared" si="25"/>
        <v>872</v>
      </c>
      <c r="AC63">
        <f t="shared" si="25"/>
        <v>876</v>
      </c>
      <c r="AD63">
        <f t="shared" si="25"/>
        <v>1136</v>
      </c>
      <c r="AE63">
        <f t="shared" si="25"/>
        <v>1096</v>
      </c>
      <c r="AF63">
        <f t="shared" si="25"/>
        <v>1104</v>
      </c>
      <c r="AG63">
        <f t="shared" si="25"/>
        <v>1104</v>
      </c>
      <c r="AH63">
        <f t="shared" si="25"/>
        <v>1104</v>
      </c>
      <c r="AI63">
        <f t="shared" si="25"/>
        <v>1104</v>
      </c>
      <c r="AJ63">
        <f t="shared" si="25"/>
        <v>1104</v>
      </c>
      <c r="AK63">
        <f t="shared" si="25"/>
        <v>1104</v>
      </c>
      <c r="AL63">
        <f t="shared" si="25"/>
        <v>1104</v>
      </c>
      <c r="AM63">
        <f t="shared" si="25"/>
        <v>1104</v>
      </c>
      <c r="AN63">
        <f t="shared" si="25"/>
        <v>1104</v>
      </c>
      <c r="AO63">
        <f t="shared" si="25"/>
        <v>1104</v>
      </c>
      <c r="AP63">
        <f t="shared" si="25"/>
        <v>1104</v>
      </c>
      <c r="AQ63">
        <f t="shared" si="25"/>
        <v>1104</v>
      </c>
      <c r="AR63">
        <f t="shared" si="25"/>
        <v>1104</v>
      </c>
      <c r="AS63">
        <f t="shared" si="25"/>
        <v>1104</v>
      </c>
      <c r="AT63">
        <f t="shared" si="25"/>
        <v>1104</v>
      </c>
      <c r="AU63">
        <f t="shared" si="25"/>
        <v>1104</v>
      </c>
      <c r="AV63">
        <f t="shared" si="25"/>
        <v>1104</v>
      </c>
      <c r="AW63">
        <f t="shared" si="25"/>
        <v>1104</v>
      </c>
      <c r="AX63">
        <f t="shared" si="25"/>
        <v>1104</v>
      </c>
      <c r="AY63">
        <f t="shared" si="25"/>
        <v>1104</v>
      </c>
      <c r="AZ63">
        <f t="shared" si="25"/>
        <v>1104</v>
      </c>
      <c r="BA63">
        <f t="shared" si="25"/>
        <v>1104</v>
      </c>
      <c r="BB63">
        <f t="shared" ref="BB63:BN63" si="26">+BB51</f>
        <v>0</v>
      </c>
      <c r="BC63">
        <f t="shared" si="26"/>
        <v>4308</v>
      </c>
      <c r="BD63">
        <f t="shared" si="26"/>
        <v>4568</v>
      </c>
      <c r="BE63">
        <f t="shared" si="26"/>
        <v>3672</v>
      </c>
      <c r="BF63">
        <f t="shared" si="26"/>
        <v>3440</v>
      </c>
      <c r="BG63">
        <f t="shared" si="26"/>
        <v>3200</v>
      </c>
      <c r="BH63">
        <f t="shared" si="26"/>
        <v>3276</v>
      </c>
      <c r="BI63">
        <f t="shared" si="26"/>
        <v>4160</v>
      </c>
      <c r="BJ63">
        <f t="shared" si="26"/>
        <v>4440</v>
      </c>
      <c r="BK63">
        <f t="shared" si="26"/>
        <v>5520</v>
      </c>
      <c r="BL63">
        <f t="shared" si="26"/>
        <v>4416</v>
      </c>
      <c r="BM63">
        <f t="shared" si="26"/>
        <v>4416</v>
      </c>
      <c r="BN63">
        <f t="shared" si="26"/>
        <v>5520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W892"/>
  <sheetViews>
    <sheetView topLeftCell="F1" zoomScaleNormal="100" workbookViewId="0">
      <pane xSplit="4" ySplit="6" topLeftCell="BG7" activePane="bottomRight" state="frozen"/>
      <selection activeCell="F1" sqref="F1"/>
      <selection pane="topRight" activeCell="J1" sqref="J1"/>
      <selection pane="bottomLeft" activeCell="F7" sqref="F7"/>
      <selection pane="bottomRight" activeCell="BJ402" sqref="BJ402"/>
    </sheetView>
  </sheetViews>
  <sheetFormatPr defaultColWidth="8.85546875" defaultRowHeight="15" x14ac:dyDescent="0.25"/>
  <cols>
    <col min="1" max="1" width="6.140625" style="23" bestFit="1" customWidth="1"/>
    <col min="2" max="2" width="11.85546875" bestFit="1" customWidth="1"/>
    <col min="3" max="3" width="12.140625" style="23" bestFit="1" customWidth="1"/>
    <col min="4" max="4" width="4.140625" bestFit="1" customWidth="1"/>
    <col min="5" max="5" width="9.5703125" style="23" bestFit="1" customWidth="1"/>
    <col min="6" max="6" width="15.5703125" style="1" customWidth="1"/>
    <col min="7" max="7" width="15.5703125" style="4" customWidth="1"/>
    <col min="8" max="8" width="20.5703125" style="1" customWidth="1"/>
    <col min="9" max="9" width="15.140625" customWidth="1"/>
    <col min="10" max="11" width="11.85546875" customWidth="1"/>
    <col min="12" max="12" width="14.5703125" customWidth="1"/>
    <col min="13" max="13" width="12.85546875" customWidth="1"/>
    <col min="14" max="14" width="12.140625" customWidth="1"/>
    <col min="15" max="15" width="12.5703125" customWidth="1"/>
    <col min="16" max="16" width="11.85546875" customWidth="1"/>
    <col min="17" max="17" width="8.85546875" style="133" customWidth="1"/>
    <col min="18" max="18" width="9.85546875" customWidth="1"/>
    <col min="19" max="19" width="11.85546875" customWidth="1"/>
    <col min="20" max="20" width="10.5703125" customWidth="1"/>
    <col min="21" max="22" width="11.85546875" customWidth="1"/>
    <col min="23" max="23" width="12.140625" customWidth="1"/>
    <col min="24" max="24" width="11" customWidth="1"/>
    <col min="25" max="60" width="11.85546875" customWidth="1"/>
    <col min="61" max="61" width="9.42578125" customWidth="1"/>
    <col min="62" max="62" width="21.28515625" customWidth="1"/>
    <col min="81" max="81" width="9.85546875" customWidth="1"/>
    <col min="82" max="82" width="9.28515625" customWidth="1"/>
    <col min="84" max="84" width="10.42578125" customWidth="1"/>
    <col min="85" max="85" width="11" customWidth="1"/>
    <col min="86" max="86" width="11.140625" bestFit="1" customWidth="1"/>
    <col min="87" max="87" width="9.5703125" bestFit="1" customWidth="1"/>
    <col min="88" max="88" width="11.140625" customWidth="1"/>
    <col min="89" max="89" width="10.85546875" customWidth="1"/>
    <col min="90" max="90" width="10.28515625" customWidth="1"/>
    <col min="91" max="91" width="10.5703125" customWidth="1"/>
    <col min="92" max="92" width="10.28515625" customWidth="1"/>
    <col min="93" max="93" width="9.42578125" customWidth="1"/>
  </cols>
  <sheetData>
    <row r="1" spans="1:127" s="21" customFormat="1" ht="30" x14ac:dyDescent="0.4">
      <c r="A1" s="22">
        <v>1</v>
      </c>
      <c r="B1" s="58"/>
      <c r="C1" s="22"/>
      <c r="D1" s="58"/>
      <c r="E1" s="22"/>
      <c r="F1" s="83" t="s">
        <v>50</v>
      </c>
      <c r="G1" s="18"/>
      <c r="H1" s="19"/>
      <c r="I1" s="20"/>
      <c r="J1" s="20"/>
      <c r="K1" s="20" t="s">
        <v>0</v>
      </c>
      <c r="L1" s="20" t="s">
        <v>0</v>
      </c>
      <c r="M1" s="20" t="s">
        <v>0</v>
      </c>
      <c r="N1" s="20" t="s">
        <v>0</v>
      </c>
      <c r="O1" s="20" t="s">
        <v>0</v>
      </c>
      <c r="P1" s="209" t="s">
        <v>311</v>
      </c>
      <c r="Q1" s="210">
        <f>Q437/4</f>
        <v>1256</v>
      </c>
      <c r="R1" s="210">
        <f t="shared" ref="R1:BI1" si="0">R437/4</f>
        <v>0</v>
      </c>
      <c r="S1" s="210">
        <f t="shared" si="0"/>
        <v>800</v>
      </c>
      <c r="T1" s="210">
        <f t="shared" si="0"/>
        <v>800</v>
      </c>
      <c r="U1" s="210">
        <f t="shared" si="0"/>
        <v>799</v>
      </c>
      <c r="V1" s="210">
        <f t="shared" si="0"/>
        <v>640</v>
      </c>
      <c r="W1" s="210">
        <f t="shared" si="0"/>
        <v>606</v>
      </c>
      <c r="X1" s="210">
        <f t="shared" si="0"/>
        <v>441</v>
      </c>
      <c r="Y1" s="210">
        <f t="shared" si="0"/>
        <v>451</v>
      </c>
      <c r="Z1" s="210">
        <f t="shared" si="0"/>
        <v>625</v>
      </c>
      <c r="AA1" s="210">
        <f t="shared" si="0"/>
        <v>775</v>
      </c>
      <c r="AB1" s="210">
        <f>AB437/4</f>
        <v>772</v>
      </c>
      <c r="AC1" s="210">
        <f t="shared" si="0"/>
        <v>775</v>
      </c>
      <c r="AD1" s="210">
        <f t="shared" si="0"/>
        <v>616</v>
      </c>
      <c r="AE1" s="210">
        <f t="shared" si="0"/>
        <v>636</v>
      </c>
      <c r="AF1" s="210">
        <f t="shared" si="0"/>
        <v>628</v>
      </c>
      <c r="AG1" s="210">
        <f t="shared" si="0"/>
        <v>747</v>
      </c>
      <c r="AH1" s="210">
        <f t="shared" si="0"/>
        <v>530</v>
      </c>
      <c r="AI1" s="210">
        <f t="shared" si="0"/>
        <v>704</v>
      </c>
      <c r="AJ1" s="210">
        <f t="shared" si="0"/>
        <v>809</v>
      </c>
      <c r="AK1" s="210">
        <f t="shared" si="0"/>
        <v>809</v>
      </c>
      <c r="AL1" s="210">
        <f t="shared" si="0"/>
        <v>1053</v>
      </c>
      <c r="AM1" s="210">
        <f t="shared" si="0"/>
        <v>1027</v>
      </c>
      <c r="AN1" s="210">
        <f t="shared" si="0"/>
        <v>1002</v>
      </c>
      <c r="AO1" s="210">
        <f t="shared" si="0"/>
        <v>1002</v>
      </c>
      <c r="AP1" s="210">
        <f t="shared" si="0"/>
        <v>1002</v>
      </c>
      <c r="AQ1" s="210">
        <f t="shared" si="0"/>
        <v>1002</v>
      </c>
      <c r="AR1" s="210">
        <f t="shared" si="0"/>
        <v>1002</v>
      </c>
      <c r="AS1" s="210">
        <f t="shared" si="0"/>
        <v>1002</v>
      </c>
      <c r="AT1" s="210">
        <f t="shared" si="0"/>
        <v>1002</v>
      </c>
      <c r="AU1" s="210">
        <f t="shared" si="0"/>
        <v>1002</v>
      </c>
      <c r="AV1" s="210">
        <f t="shared" si="0"/>
        <v>1002</v>
      </c>
      <c r="AW1" s="210">
        <f t="shared" si="0"/>
        <v>1002</v>
      </c>
      <c r="AX1" s="210">
        <f t="shared" si="0"/>
        <v>1002</v>
      </c>
      <c r="AY1" s="210">
        <f t="shared" si="0"/>
        <v>1002</v>
      </c>
      <c r="AZ1" s="210">
        <f t="shared" si="0"/>
        <v>1002</v>
      </c>
      <c r="BA1" s="210">
        <f t="shared" si="0"/>
        <v>1002</v>
      </c>
      <c r="BB1" s="210">
        <f t="shared" si="0"/>
        <v>1002</v>
      </c>
      <c r="BC1" s="210">
        <f t="shared" si="0"/>
        <v>1002</v>
      </c>
      <c r="BD1" s="210">
        <f t="shared" si="0"/>
        <v>1002</v>
      </c>
      <c r="BE1" s="210">
        <f t="shared" si="0"/>
        <v>1002</v>
      </c>
      <c r="BF1" s="210">
        <f t="shared" si="0"/>
        <v>1002</v>
      </c>
      <c r="BG1" s="210">
        <f t="shared" si="0"/>
        <v>1002</v>
      </c>
      <c r="BH1" s="210">
        <f t="shared" si="0"/>
        <v>1002</v>
      </c>
      <c r="BI1" s="210">
        <f t="shared" si="0"/>
        <v>1002</v>
      </c>
    </row>
    <row r="2" spans="1:127" ht="24" thickBot="1" x14ac:dyDescent="0.4">
      <c r="A2" s="22">
        <v>2</v>
      </c>
      <c r="B2" s="58"/>
      <c r="C2" s="22"/>
      <c r="D2" s="58"/>
      <c r="E2" s="22"/>
      <c r="F2" s="2" t="s">
        <v>51</v>
      </c>
      <c r="G2" s="60"/>
      <c r="H2" s="61"/>
      <c r="I2" s="62"/>
      <c r="J2" s="62"/>
      <c r="K2" s="62"/>
      <c r="L2" s="62"/>
      <c r="M2" s="62"/>
      <c r="N2" s="62"/>
      <c r="O2" s="62"/>
      <c r="P2" s="211" t="s">
        <v>312</v>
      </c>
      <c r="Q2" s="213">
        <f>Q1/160</f>
        <v>7.85</v>
      </c>
      <c r="R2" s="213">
        <f t="shared" ref="R2:BI2" si="1">R1/160</f>
        <v>0</v>
      </c>
      <c r="S2" s="213">
        <f t="shared" si="1"/>
        <v>5</v>
      </c>
      <c r="T2" s="213">
        <f t="shared" si="1"/>
        <v>5</v>
      </c>
      <c r="U2" s="213">
        <f>U1/160</f>
        <v>4.9937500000000004</v>
      </c>
      <c r="V2" s="213">
        <f>V1/160</f>
        <v>4</v>
      </c>
      <c r="W2" s="213">
        <f t="shared" si="1"/>
        <v>3.7875000000000001</v>
      </c>
      <c r="X2" s="213">
        <f t="shared" si="1"/>
        <v>2.7562500000000001</v>
      </c>
      <c r="Y2" s="213">
        <f t="shared" si="1"/>
        <v>2.8187500000000001</v>
      </c>
      <c r="Z2" s="213">
        <f t="shared" si="1"/>
        <v>3.90625</v>
      </c>
      <c r="AA2" s="213">
        <f t="shared" si="1"/>
        <v>4.84375</v>
      </c>
      <c r="AB2" s="213">
        <f t="shared" si="1"/>
        <v>4.8250000000000002</v>
      </c>
      <c r="AC2" s="213">
        <f t="shared" si="1"/>
        <v>4.84375</v>
      </c>
      <c r="AD2" s="213">
        <f t="shared" si="1"/>
        <v>3.85</v>
      </c>
      <c r="AE2" s="213">
        <f t="shared" si="1"/>
        <v>3.9750000000000001</v>
      </c>
      <c r="AF2" s="213">
        <f t="shared" si="1"/>
        <v>3.9249999999999998</v>
      </c>
      <c r="AG2" s="213">
        <f t="shared" si="1"/>
        <v>4.6687500000000002</v>
      </c>
      <c r="AH2" s="213">
        <f t="shared" si="1"/>
        <v>3.3125</v>
      </c>
      <c r="AI2" s="213">
        <f t="shared" si="1"/>
        <v>4.4000000000000004</v>
      </c>
      <c r="AJ2" s="213">
        <f t="shared" si="1"/>
        <v>5.0562500000000004</v>
      </c>
      <c r="AK2" s="213">
        <f t="shared" si="1"/>
        <v>5.0562500000000004</v>
      </c>
      <c r="AL2" s="213">
        <f t="shared" si="1"/>
        <v>6.5812499999999998</v>
      </c>
      <c r="AM2" s="213">
        <f t="shared" si="1"/>
        <v>6.4187500000000002</v>
      </c>
      <c r="AN2" s="213">
        <f t="shared" si="1"/>
        <v>6.2625000000000002</v>
      </c>
      <c r="AO2" s="213">
        <f t="shared" si="1"/>
        <v>6.2625000000000002</v>
      </c>
      <c r="AP2" s="213">
        <f t="shared" si="1"/>
        <v>6.2625000000000002</v>
      </c>
      <c r="AQ2" s="213">
        <f t="shared" si="1"/>
        <v>6.2625000000000002</v>
      </c>
      <c r="AR2" s="213">
        <f t="shared" si="1"/>
        <v>6.2625000000000002</v>
      </c>
      <c r="AS2" s="213">
        <f t="shared" si="1"/>
        <v>6.2625000000000002</v>
      </c>
      <c r="AT2" s="213">
        <f t="shared" si="1"/>
        <v>6.2625000000000002</v>
      </c>
      <c r="AU2" s="213">
        <f t="shared" si="1"/>
        <v>6.2625000000000002</v>
      </c>
      <c r="AV2" s="213">
        <f t="shared" si="1"/>
        <v>6.2625000000000002</v>
      </c>
      <c r="AW2" s="213">
        <f t="shared" si="1"/>
        <v>6.2625000000000002</v>
      </c>
      <c r="AX2" s="213">
        <f t="shared" si="1"/>
        <v>6.2625000000000002</v>
      </c>
      <c r="AY2" s="213">
        <f t="shared" si="1"/>
        <v>6.2625000000000002</v>
      </c>
      <c r="AZ2" s="213">
        <f t="shared" si="1"/>
        <v>6.2625000000000002</v>
      </c>
      <c r="BA2" s="213">
        <f t="shared" si="1"/>
        <v>6.2625000000000002</v>
      </c>
      <c r="BB2" s="213">
        <f t="shared" si="1"/>
        <v>6.2625000000000002</v>
      </c>
      <c r="BC2" s="213">
        <f t="shared" si="1"/>
        <v>6.2625000000000002</v>
      </c>
      <c r="BD2" s="213">
        <f t="shared" si="1"/>
        <v>6.2625000000000002</v>
      </c>
      <c r="BE2" s="213">
        <f t="shared" si="1"/>
        <v>6.2625000000000002</v>
      </c>
      <c r="BF2" s="213">
        <f t="shared" si="1"/>
        <v>6.2625000000000002</v>
      </c>
      <c r="BG2" s="213">
        <f t="shared" si="1"/>
        <v>6.2625000000000002</v>
      </c>
      <c r="BH2" s="213">
        <f t="shared" si="1"/>
        <v>6.2625000000000002</v>
      </c>
      <c r="BI2" s="213">
        <f t="shared" si="1"/>
        <v>6.2625000000000002</v>
      </c>
    </row>
    <row r="3" spans="1:127" x14ac:dyDescent="0.25">
      <c r="A3" s="22">
        <v>3</v>
      </c>
      <c r="B3" s="58"/>
      <c r="C3" s="22"/>
      <c r="D3" s="58"/>
      <c r="E3" s="22"/>
      <c r="F3" s="3"/>
      <c r="G3" s="60"/>
      <c r="H3" s="61"/>
      <c r="I3" s="62"/>
      <c r="J3" s="62"/>
      <c r="K3" s="62"/>
      <c r="L3" s="62"/>
      <c r="M3" s="62"/>
      <c r="N3" s="62"/>
      <c r="O3" s="62"/>
      <c r="P3" s="179" t="s">
        <v>0</v>
      </c>
      <c r="Q3" s="179" t="s">
        <v>1</v>
      </c>
      <c r="R3" s="179" t="s">
        <v>2</v>
      </c>
      <c r="S3" s="179" t="s">
        <v>0</v>
      </c>
      <c r="T3" s="179" t="s">
        <v>0</v>
      </c>
      <c r="U3" s="179" t="s">
        <v>0</v>
      </c>
      <c r="V3" s="179" t="s">
        <v>0</v>
      </c>
      <c r="W3" s="179" t="s">
        <v>0</v>
      </c>
      <c r="X3" s="179" t="s">
        <v>0</v>
      </c>
      <c r="Y3" s="179" t="s">
        <v>0</v>
      </c>
      <c r="Z3" s="179" t="s">
        <v>3</v>
      </c>
      <c r="AA3" s="179" t="s">
        <v>0</v>
      </c>
      <c r="AB3" s="179" t="s">
        <v>0</v>
      </c>
      <c r="AC3" s="179" t="s">
        <v>0</v>
      </c>
      <c r="AD3" s="179" t="s">
        <v>0</v>
      </c>
      <c r="AE3" s="179" t="s">
        <v>0</v>
      </c>
      <c r="AF3" s="179" t="s">
        <v>0</v>
      </c>
      <c r="AG3" s="179" t="s">
        <v>0</v>
      </c>
      <c r="AH3" s="179" t="s">
        <v>0</v>
      </c>
      <c r="AI3" s="179" t="s">
        <v>0</v>
      </c>
      <c r="AJ3" s="179" t="s">
        <v>0</v>
      </c>
      <c r="AK3" s="179" t="s">
        <v>0</v>
      </c>
      <c r="AL3" s="179" t="s">
        <v>0</v>
      </c>
      <c r="AM3" s="179" t="s">
        <v>0</v>
      </c>
      <c r="AN3" s="179" t="s">
        <v>0</v>
      </c>
      <c r="AO3" s="179" t="s">
        <v>0</v>
      </c>
      <c r="AP3" s="179" t="s">
        <v>0</v>
      </c>
      <c r="AQ3" s="179" t="s">
        <v>0</v>
      </c>
      <c r="AR3" s="179" t="s">
        <v>0</v>
      </c>
      <c r="AS3" s="179" t="s">
        <v>0</v>
      </c>
      <c r="AT3" s="179" t="s">
        <v>0</v>
      </c>
      <c r="AU3" s="179" t="s">
        <v>0</v>
      </c>
      <c r="AV3" s="179" t="s">
        <v>0</v>
      </c>
      <c r="AW3" s="179" t="s">
        <v>0</v>
      </c>
      <c r="AX3" s="179" t="s">
        <v>0</v>
      </c>
      <c r="AY3" s="179" t="s">
        <v>0</v>
      </c>
      <c r="AZ3" s="179" t="s">
        <v>0</v>
      </c>
      <c r="BA3" s="179" t="s">
        <v>0</v>
      </c>
      <c r="BB3" s="179" t="s">
        <v>0</v>
      </c>
      <c r="BC3" s="179" t="s">
        <v>0</v>
      </c>
      <c r="BD3" s="179" t="s">
        <v>0</v>
      </c>
      <c r="BE3" s="179" t="s">
        <v>0</v>
      </c>
      <c r="BF3" s="179" t="s">
        <v>0</v>
      </c>
      <c r="BG3" s="179" t="s">
        <v>0</v>
      </c>
      <c r="BH3" s="179" t="s">
        <v>0</v>
      </c>
      <c r="BI3" s="180" t="s">
        <v>4</v>
      </c>
    </row>
    <row r="4" spans="1:127" x14ac:dyDescent="0.25">
      <c r="A4" s="22">
        <v>4</v>
      </c>
      <c r="B4" s="58"/>
      <c r="C4" s="22"/>
      <c r="D4" s="58"/>
      <c r="E4" s="22"/>
      <c r="F4" s="155" t="s">
        <v>52</v>
      </c>
      <c r="G4" s="181">
        <v>1090</v>
      </c>
      <c r="H4" s="155" t="s">
        <v>53</v>
      </c>
      <c r="I4" s="182" t="s">
        <v>54</v>
      </c>
      <c r="J4" s="183"/>
      <c r="K4" s="161"/>
      <c r="L4" s="184" t="s">
        <v>55</v>
      </c>
      <c r="M4" s="185"/>
      <c r="N4" s="182" t="s">
        <v>56</v>
      </c>
      <c r="O4" s="161" t="s">
        <v>0</v>
      </c>
      <c r="P4" s="14">
        <v>46083</v>
      </c>
      <c r="Q4" s="14">
        <v>46090</v>
      </c>
      <c r="R4" s="14">
        <v>46097</v>
      </c>
      <c r="S4" s="14">
        <v>46104</v>
      </c>
      <c r="T4" s="14">
        <v>46111</v>
      </c>
      <c r="U4" s="14">
        <v>46118</v>
      </c>
      <c r="V4" s="14">
        <v>46125</v>
      </c>
      <c r="W4" s="14">
        <v>46132</v>
      </c>
      <c r="X4" s="14">
        <v>46139</v>
      </c>
      <c r="Y4" s="14">
        <v>46146</v>
      </c>
      <c r="Z4" s="14">
        <v>46153</v>
      </c>
      <c r="AA4" s="14">
        <v>46160</v>
      </c>
      <c r="AB4" s="14">
        <v>46167</v>
      </c>
      <c r="AC4" s="14">
        <v>46174</v>
      </c>
      <c r="AD4" s="14">
        <v>46181</v>
      </c>
      <c r="AE4" s="14">
        <v>46188</v>
      </c>
      <c r="AF4" s="14">
        <v>46195</v>
      </c>
      <c r="AG4" s="14">
        <v>46202</v>
      </c>
      <c r="AH4" s="14">
        <v>46209</v>
      </c>
      <c r="AI4" s="14">
        <v>46216</v>
      </c>
      <c r="AJ4" s="14">
        <v>46223</v>
      </c>
      <c r="AK4" s="14">
        <v>46230</v>
      </c>
      <c r="AL4" s="14">
        <v>46237</v>
      </c>
      <c r="AM4" s="14">
        <v>46244</v>
      </c>
      <c r="AN4" s="14">
        <v>46251</v>
      </c>
      <c r="AO4" s="14">
        <v>46258</v>
      </c>
      <c r="AP4" s="14">
        <v>46265</v>
      </c>
      <c r="AQ4" s="14">
        <v>46272</v>
      </c>
      <c r="AR4" s="14">
        <v>46279</v>
      </c>
      <c r="AS4" s="14">
        <v>46286</v>
      </c>
      <c r="AT4" s="14">
        <v>46293</v>
      </c>
      <c r="AU4" s="14">
        <v>46300</v>
      </c>
      <c r="AV4" s="14">
        <v>46307</v>
      </c>
      <c r="AW4" s="14">
        <v>46314</v>
      </c>
      <c r="AX4" s="14">
        <v>46321</v>
      </c>
      <c r="AY4" s="14">
        <v>46328</v>
      </c>
      <c r="AZ4" s="14">
        <v>46335</v>
      </c>
      <c r="BA4" s="14">
        <v>46342</v>
      </c>
      <c r="BB4" s="14">
        <v>46349</v>
      </c>
      <c r="BC4" s="14">
        <v>46356</v>
      </c>
      <c r="BD4" s="14">
        <v>46363</v>
      </c>
      <c r="BE4" s="14">
        <v>46370</v>
      </c>
      <c r="BF4" s="14">
        <v>46377</v>
      </c>
      <c r="BG4" s="14">
        <v>46384</v>
      </c>
      <c r="BH4" s="14">
        <v>46391</v>
      </c>
      <c r="BI4" s="15">
        <v>46398</v>
      </c>
    </row>
    <row r="5" spans="1:127" x14ac:dyDescent="0.25">
      <c r="A5" s="22">
        <v>5</v>
      </c>
      <c r="B5" s="58"/>
      <c r="C5" s="22"/>
      <c r="D5" s="58"/>
      <c r="E5" s="22"/>
      <c r="F5" s="155" t="s">
        <v>57</v>
      </c>
      <c r="G5" s="181">
        <v>6000224</v>
      </c>
      <c r="H5" s="155" t="s">
        <v>58</v>
      </c>
      <c r="I5" s="182" t="s">
        <v>145</v>
      </c>
      <c r="J5" s="183"/>
      <c r="K5" s="186"/>
      <c r="L5" s="184" t="s">
        <v>59</v>
      </c>
      <c r="M5" s="185"/>
      <c r="N5" s="187">
        <v>46086</v>
      </c>
      <c r="O5" s="161" t="s">
        <v>0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17"/>
    </row>
    <row r="6" spans="1:127" ht="13.7" customHeight="1" x14ac:dyDescent="0.25">
      <c r="A6" s="101"/>
      <c r="B6" s="101"/>
      <c r="C6" s="101"/>
      <c r="D6" s="102"/>
      <c r="E6" s="103"/>
      <c r="F6" s="188" t="s">
        <v>60</v>
      </c>
      <c r="G6" s="162" t="s">
        <v>60</v>
      </c>
      <c r="H6" s="163" t="s">
        <v>60</v>
      </c>
      <c r="I6" s="164" t="s">
        <v>60</v>
      </c>
      <c r="J6" s="164" t="s">
        <v>0</v>
      </c>
      <c r="K6" s="164" t="s">
        <v>0</v>
      </c>
      <c r="L6" s="164" t="s">
        <v>0</v>
      </c>
      <c r="M6" s="164" t="s">
        <v>0</v>
      </c>
      <c r="N6" s="164" t="s">
        <v>0</v>
      </c>
      <c r="O6" s="164" t="s">
        <v>0</v>
      </c>
      <c r="P6" s="164" t="s">
        <v>0</v>
      </c>
      <c r="Q6" s="164" t="s">
        <v>0</v>
      </c>
      <c r="R6" s="164" t="s">
        <v>0</v>
      </c>
      <c r="S6" s="164" t="s">
        <v>0</v>
      </c>
      <c r="T6" s="164" t="s">
        <v>0</v>
      </c>
      <c r="U6" s="164" t="s">
        <v>0</v>
      </c>
      <c r="V6" s="164" t="s">
        <v>0</v>
      </c>
      <c r="W6" s="164" t="s">
        <v>0</v>
      </c>
      <c r="X6" s="164" t="s">
        <v>0</v>
      </c>
      <c r="Y6" s="164" t="s">
        <v>0</v>
      </c>
      <c r="Z6" s="164" t="s">
        <v>0</v>
      </c>
      <c r="AA6" s="164" t="s">
        <v>0</v>
      </c>
      <c r="AB6" s="164" t="s">
        <v>0</v>
      </c>
      <c r="AC6" s="164" t="s">
        <v>0</v>
      </c>
      <c r="AD6" s="164" t="s">
        <v>0</v>
      </c>
      <c r="AE6" s="164" t="s">
        <v>0</v>
      </c>
      <c r="AF6" s="164" t="s">
        <v>0</v>
      </c>
      <c r="AG6" s="164" t="s">
        <v>0</v>
      </c>
      <c r="AH6" s="164" t="s">
        <v>0</v>
      </c>
      <c r="AI6" s="164" t="s">
        <v>0</v>
      </c>
      <c r="AJ6" s="164" t="s">
        <v>0</v>
      </c>
      <c r="AK6" s="164" t="s">
        <v>0</v>
      </c>
      <c r="AL6" s="164" t="s">
        <v>0</v>
      </c>
      <c r="AM6" s="164" t="s">
        <v>0</v>
      </c>
      <c r="AN6" s="164" t="s">
        <v>0</v>
      </c>
      <c r="AO6" s="164" t="s">
        <v>0</v>
      </c>
      <c r="AP6" s="164" t="s">
        <v>0</v>
      </c>
      <c r="AQ6" s="164" t="s">
        <v>0</v>
      </c>
      <c r="AR6" s="164" t="s">
        <v>0</v>
      </c>
      <c r="AS6" s="164" t="s">
        <v>0</v>
      </c>
      <c r="AT6" s="164" t="s">
        <v>0</v>
      </c>
      <c r="AU6" s="164" t="s">
        <v>0</v>
      </c>
      <c r="AV6" s="164" t="s">
        <v>0</v>
      </c>
      <c r="AW6" s="164" t="s">
        <v>0</v>
      </c>
      <c r="AX6" s="164" t="s">
        <v>0</v>
      </c>
      <c r="AY6" s="164" t="s">
        <v>0</v>
      </c>
      <c r="AZ6" s="164" t="s">
        <v>0</v>
      </c>
      <c r="BA6" s="164" t="s">
        <v>0</v>
      </c>
      <c r="BB6" s="164" t="s">
        <v>0</v>
      </c>
      <c r="BC6" s="164" t="s">
        <v>0</v>
      </c>
      <c r="BD6" s="164" t="s">
        <v>0</v>
      </c>
      <c r="BE6" s="164" t="s">
        <v>0</v>
      </c>
      <c r="BF6" s="164" t="s">
        <v>0</v>
      </c>
      <c r="BG6" s="164" t="s">
        <v>0</v>
      </c>
      <c r="BH6" s="164" t="s">
        <v>0</v>
      </c>
      <c r="BI6" s="189"/>
    </row>
    <row r="7" spans="1:127" x14ac:dyDescent="0.25">
      <c r="A7" s="22">
        <f t="shared" ref="A7:A70" si="2">+A6+1</f>
        <v>1</v>
      </c>
      <c r="B7" s="59" t="str">
        <f t="shared" ref="B7:B45" si="3">IF(F7=$F$7,G8,B6)</f>
        <v>F0013546309</v>
      </c>
      <c r="C7" s="214" t="str">
        <f t="shared" ref="C7:C45" si="4">IF(F7=$F$7,G9,C6)</f>
        <v>82115-0EA10 J</v>
      </c>
      <c r="D7" s="58" t="e">
        <f>VLOOKUP(B7,'Timing Table'!B:G,6,0)</f>
        <v>#N/A</v>
      </c>
      <c r="E7" s="22" t="e">
        <f>VLOOKUP(B7,'Timing Table'!B:D,3,0)</f>
        <v>#N/A</v>
      </c>
      <c r="F7" s="155" t="s">
        <v>61</v>
      </c>
      <c r="G7" s="181">
        <v>5501017964</v>
      </c>
      <c r="H7" s="155" t="s">
        <v>62</v>
      </c>
      <c r="I7" s="181">
        <v>93</v>
      </c>
      <c r="J7" s="155" t="s">
        <v>63</v>
      </c>
      <c r="K7" s="160">
        <v>1177750</v>
      </c>
      <c r="L7" s="161"/>
      <c r="M7" s="190" t="s">
        <v>64</v>
      </c>
      <c r="N7" s="191"/>
      <c r="O7" s="192">
        <v>46086</v>
      </c>
      <c r="P7" s="155" t="s">
        <v>65</v>
      </c>
      <c r="Q7" s="181">
        <v>4</v>
      </c>
      <c r="R7" s="6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7" t="s">
        <v>0</v>
      </c>
      <c r="BA7" s="7" t="s">
        <v>0</v>
      </c>
      <c r="BB7" s="7" t="s">
        <v>0</v>
      </c>
      <c r="BC7" s="7" t="s">
        <v>0</v>
      </c>
      <c r="BD7" s="7" t="s">
        <v>0</v>
      </c>
      <c r="BE7" s="7" t="s">
        <v>0</v>
      </c>
      <c r="BF7" s="7" t="s">
        <v>0</v>
      </c>
      <c r="BG7" s="7" t="s">
        <v>0</v>
      </c>
      <c r="BH7" s="7" t="s">
        <v>0</v>
      </c>
      <c r="BI7" s="8"/>
    </row>
    <row r="8" spans="1:127" x14ac:dyDescent="0.25">
      <c r="A8" s="22">
        <f t="shared" si="2"/>
        <v>2</v>
      </c>
      <c r="B8" s="59" t="str">
        <f t="shared" si="3"/>
        <v>F0013546309</v>
      </c>
      <c r="C8" s="214" t="str">
        <f t="shared" si="4"/>
        <v>82115-0EA10 J</v>
      </c>
      <c r="D8" s="58" t="e">
        <f>VLOOKUP(B8,'Timing Table'!B:G,6,0)</f>
        <v>#N/A</v>
      </c>
      <c r="E8" s="22" t="e">
        <f>VLOOKUP(B8,'Timing Table'!B:D,3,0)</f>
        <v>#N/A</v>
      </c>
      <c r="F8" s="155" t="s">
        <v>66</v>
      </c>
      <c r="G8" s="181" t="s">
        <v>321</v>
      </c>
      <c r="H8" s="155" t="s">
        <v>67</v>
      </c>
      <c r="I8" s="182" t="s">
        <v>322</v>
      </c>
      <c r="J8" s="183"/>
      <c r="K8" s="183"/>
      <c r="L8" s="161"/>
      <c r="M8" s="155" t="s">
        <v>68</v>
      </c>
      <c r="N8" s="181">
        <v>2025</v>
      </c>
      <c r="O8" s="184" t="s">
        <v>69</v>
      </c>
      <c r="P8" s="185"/>
      <c r="Q8" s="193" t="s">
        <v>323</v>
      </c>
      <c r="R8" s="156" t="s">
        <v>0</v>
      </c>
      <c r="S8" s="157" t="s">
        <v>0</v>
      </c>
      <c r="T8" s="157" t="s">
        <v>0</v>
      </c>
      <c r="U8" s="157" t="s">
        <v>0</v>
      </c>
      <c r="V8" s="157" t="s">
        <v>0</v>
      </c>
      <c r="W8" s="157" t="s">
        <v>0</v>
      </c>
      <c r="X8" s="157" t="s">
        <v>0</v>
      </c>
      <c r="Y8" s="157" t="s">
        <v>0</v>
      </c>
      <c r="Z8" s="157" t="s">
        <v>0</v>
      </c>
      <c r="AA8" s="157" t="s">
        <v>0</v>
      </c>
      <c r="AB8" s="157" t="s">
        <v>0</v>
      </c>
      <c r="AC8" s="157" t="s">
        <v>0</v>
      </c>
      <c r="AD8" s="157" t="s">
        <v>0</v>
      </c>
      <c r="AE8" s="157" t="s">
        <v>0</v>
      </c>
      <c r="AF8" s="157" t="s">
        <v>0</v>
      </c>
      <c r="AG8" s="157" t="s">
        <v>0</v>
      </c>
      <c r="AH8" s="157" t="s">
        <v>0</v>
      </c>
      <c r="AI8" s="157" t="s">
        <v>0</v>
      </c>
      <c r="AJ8" s="157" t="s">
        <v>0</v>
      </c>
      <c r="AK8" s="157" t="s">
        <v>0</v>
      </c>
      <c r="AL8" s="157" t="s">
        <v>0</v>
      </c>
      <c r="AM8" s="157" t="s">
        <v>0</v>
      </c>
      <c r="AN8" s="157" t="s">
        <v>0</v>
      </c>
      <c r="AO8" s="157" t="s">
        <v>0</v>
      </c>
      <c r="AP8" s="157" t="s">
        <v>0</v>
      </c>
      <c r="AQ8" s="157" t="s">
        <v>0</v>
      </c>
      <c r="AR8" s="157" t="s">
        <v>0</v>
      </c>
      <c r="AS8" s="157" t="s">
        <v>0</v>
      </c>
      <c r="AT8" s="157" t="s">
        <v>0</v>
      </c>
      <c r="AU8" s="157" t="s">
        <v>0</v>
      </c>
      <c r="AV8" s="157" t="s">
        <v>0</v>
      </c>
      <c r="AW8" s="157" t="s">
        <v>0</v>
      </c>
      <c r="AX8" s="157" t="s">
        <v>0</v>
      </c>
      <c r="AY8" s="157" t="s">
        <v>0</v>
      </c>
      <c r="AZ8" s="157" t="s">
        <v>0</v>
      </c>
      <c r="BA8" s="157" t="s">
        <v>0</v>
      </c>
      <c r="BB8" s="157" t="s">
        <v>0</v>
      </c>
      <c r="BC8" s="157" t="s">
        <v>0</v>
      </c>
      <c r="BD8" s="157" t="s">
        <v>0</v>
      </c>
      <c r="BE8" s="157" t="s">
        <v>0</v>
      </c>
      <c r="BF8" s="157" t="s">
        <v>0</v>
      </c>
      <c r="BG8" s="157" t="s">
        <v>0</v>
      </c>
      <c r="BH8" s="157" t="s">
        <v>0</v>
      </c>
      <c r="BI8" s="158"/>
      <c r="BJ8">
        <f t="shared" ref="BJ8:CA8" si="5">BI8+1</f>
        <v>1</v>
      </c>
      <c r="BK8">
        <f t="shared" si="5"/>
        <v>2</v>
      </c>
      <c r="BL8">
        <f t="shared" si="5"/>
        <v>3</v>
      </c>
      <c r="BM8">
        <f t="shared" si="5"/>
        <v>4</v>
      </c>
      <c r="BN8">
        <f t="shared" si="5"/>
        <v>5</v>
      </c>
      <c r="BO8">
        <f t="shared" si="5"/>
        <v>6</v>
      </c>
      <c r="BP8">
        <f t="shared" si="5"/>
        <v>7</v>
      </c>
      <c r="BQ8">
        <f t="shared" si="5"/>
        <v>8</v>
      </c>
      <c r="BR8">
        <f t="shared" si="5"/>
        <v>9</v>
      </c>
      <c r="BS8">
        <f t="shared" si="5"/>
        <v>10</v>
      </c>
      <c r="BT8">
        <f t="shared" si="5"/>
        <v>11</v>
      </c>
      <c r="BU8">
        <f t="shared" si="5"/>
        <v>12</v>
      </c>
      <c r="BV8">
        <f t="shared" si="5"/>
        <v>13</v>
      </c>
      <c r="BW8">
        <f t="shared" si="5"/>
        <v>14</v>
      </c>
      <c r="BX8">
        <f t="shared" si="5"/>
        <v>15</v>
      </c>
      <c r="BY8">
        <f t="shared" si="5"/>
        <v>16</v>
      </c>
      <c r="BZ8">
        <f t="shared" si="5"/>
        <v>17</v>
      </c>
      <c r="CA8">
        <f t="shared" si="5"/>
        <v>18</v>
      </c>
      <c r="CB8">
        <f t="shared" ref="CB8" si="6">CA8+1</f>
        <v>19</v>
      </c>
      <c r="CC8">
        <f t="shared" ref="CC8" si="7">CB8+1</f>
        <v>20</v>
      </c>
      <c r="CD8">
        <f t="shared" ref="CD8" si="8">CC8+1</f>
        <v>21</v>
      </c>
      <c r="CE8">
        <f t="shared" ref="CE8" si="9">CD8+1</f>
        <v>22</v>
      </c>
      <c r="CF8">
        <f t="shared" ref="CF8" si="10">CE8+1</f>
        <v>23</v>
      </c>
      <c r="CG8">
        <f t="shared" ref="CG8" si="11">CF8+1</f>
        <v>24</v>
      </c>
      <c r="CH8">
        <f t="shared" ref="CH8" si="12">CG8+1</f>
        <v>25</v>
      </c>
      <c r="CI8">
        <f t="shared" ref="CI8" si="13">CH8+1</f>
        <v>26</v>
      </c>
      <c r="CJ8">
        <f t="shared" ref="CJ8" si="14">CI8+1</f>
        <v>27</v>
      </c>
      <c r="CK8">
        <f t="shared" ref="CK8" si="15">CJ8+1</f>
        <v>28</v>
      </c>
      <c r="CL8">
        <f t="shared" ref="CL8" si="16">CK8+1</f>
        <v>29</v>
      </c>
      <c r="CM8">
        <f t="shared" ref="CM8" si="17">CL8+1</f>
        <v>30</v>
      </c>
      <c r="CN8">
        <f t="shared" ref="CN8" si="18">CM8+1</f>
        <v>31</v>
      </c>
      <c r="CO8">
        <f t="shared" ref="CO8" si="19">CN8+1</f>
        <v>32</v>
      </c>
      <c r="CP8">
        <f t="shared" ref="CP8" si="20">CO8+1</f>
        <v>33</v>
      </c>
      <c r="CQ8">
        <f t="shared" ref="CQ8" si="21">CP8+1</f>
        <v>34</v>
      </c>
      <c r="CR8">
        <f t="shared" ref="CR8" si="22">CQ8+1</f>
        <v>35</v>
      </c>
      <c r="CS8">
        <f t="shared" ref="CS8" si="23">CR8+1</f>
        <v>36</v>
      </c>
      <c r="CT8">
        <f t="shared" ref="CT8" si="24">CS8+1</f>
        <v>37</v>
      </c>
      <c r="CU8">
        <f t="shared" ref="CU8" si="25">CT8+1</f>
        <v>38</v>
      </c>
      <c r="CV8">
        <f t="shared" ref="CV8" si="26">CU8+1</f>
        <v>39</v>
      </c>
      <c r="CW8">
        <f t="shared" ref="CW8" si="27">CV8+1</f>
        <v>40</v>
      </c>
      <c r="CX8">
        <f t="shared" ref="CX8" si="28">CW8+1</f>
        <v>41</v>
      </c>
      <c r="CY8">
        <f t="shared" ref="CY8" si="29">CX8+1</f>
        <v>42</v>
      </c>
      <c r="CZ8">
        <f t="shared" ref="CZ8" si="30">CY8+1</f>
        <v>43</v>
      </c>
      <c r="DA8">
        <f t="shared" ref="DA8" si="31">CZ8+1</f>
        <v>44</v>
      </c>
      <c r="DB8">
        <f t="shared" ref="DB8" si="32">DA8+1</f>
        <v>45</v>
      </c>
      <c r="DC8">
        <f t="shared" ref="DC8" si="33">DB8+1</f>
        <v>46</v>
      </c>
      <c r="DD8">
        <f t="shared" ref="DD8" si="34">DC8+1</f>
        <v>47</v>
      </c>
      <c r="DE8">
        <f t="shared" ref="DE8" si="35">DD8+1</f>
        <v>48</v>
      </c>
      <c r="DF8">
        <f t="shared" ref="DF8" si="36">DE8+1</f>
        <v>49</v>
      </c>
      <c r="DG8">
        <f t="shared" ref="DG8" si="37">DF8+1</f>
        <v>50</v>
      </c>
      <c r="DH8">
        <f t="shared" ref="DH8" si="38">DG8+1</f>
        <v>51</v>
      </c>
      <c r="DI8">
        <f t="shared" ref="DI8" si="39">DH8+1</f>
        <v>52</v>
      </c>
      <c r="DJ8">
        <f t="shared" ref="DJ8" si="40">DI8+1</f>
        <v>53</v>
      </c>
      <c r="DK8">
        <f t="shared" ref="DK8" si="41">DJ8+1</f>
        <v>54</v>
      </c>
      <c r="DL8">
        <f t="shared" ref="DL8" si="42">DK8+1</f>
        <v>55</v>
      </c>
      <c r="DM8">
        <f t="shared" ref="DM8" si="43">DL8+1</f>
        <v>56</v>
      </c>
      <c r="DN8">
        <f t="shared" ref="DN8" si="44">DM8+1</f>
        <v>57</v>
      </c>
      <c r="DO8">
        <f t="shared" ref="DO8" si="45">DN8+1</f>
        <v>58</v>
      </c>
      <c r="DP8">
        <f t="shared" ref="DP8" si="46">DO8+1</f>
        <v>59</v>
      </c>
      <c r="DQ8">
        <f t="shared" ref="DQ8" si="47">DP8+1</f>
        <v>60</v>
      </c>
      <c r="DR8">
        <f t="shared" ref="DR8" si="48">DQ8+1</f>
        <v>61</v>
      </c>
      <c r="DS8">
        <f t="shared" ref="DS8" si="49">DR8+1</f>
        <v>62</v>
      </c>
      <c r="DT8">
        <f t="shared" ref="DT8" si="50">DS8+1</f>
        <v>63</v>
      </c>
      <c r="DU8">
        <f t="shared" ref="DU8" si="51">DT8+1</f>
        <v>64</v>
      </c>
      <c r="DV8">
        <f t="shared" ref="DV8" si="52">DU8+1</f>
        <v>65</v>
      </c>
      <c r="DW8">
        <f t="shared" ref="DW8" si="53">DV8+1</f>
        <v>66</v>
      </c>
    </row>
    <row r="9" spans="1:127" x14ac:dyDescent="0.25">
      <c r="A9" s="22">
        <f t="shared" si="2"/>
        <v>3</v>
      </c>
      <c r="B9" s="59" t="str">
        <f t="shared" si="3"/>
        <v>F0013546309</v>
      </c>
      <c r="C9" s="214" t="str">
        <f t="shared" si="4"/>
        <v>82115-0EA10 J</v>
      </c>
      <c r="D9" s="58" t="e">
        <f>VLOOKUP(B9,'Timing Table'!B:G,6,0)</f>
        <v>#N/A</v>
      </c>
      <c r="E9" s="22" t="e">
        <f>VLOOKUP(B9,'Timing Table'!B:D,3,0)</f>
        <v>#N/A</v>
      </c>
      <c r="F9" s="155" t="s">
        <v>70</v>
      </c>
      <c r="G9" s="181" t="s">
        <v>498</v>
      </c>
      <c r="H9" s="155" t="s">
        <v>71</v>
      </c>
      <c r="I9" s="182" t="s">
        <v>60</v>
      </c>
      <c r="J9" s="161" t="s">
        <v>0</v>
      </c>
      <c r="K9" s="194" t="s">
        <v>0</v>
      </c>
      <c r="L9" s="195" t="s">
        <v>0</v>
      </c>
      <c r="M9" s="179" t="s">
        <v>0</v>
      </c>
      <c r="N9" s="179" t="s">
        <v>0</v>
      </c>
      <c r="O9" s="179" t="s">
        <v>0</v>
      </c>
      <c r="P9" s="179" t="s">
        <v>0</v>
      </c>
      <c r="Q9" s="179" t="s">
        <v>1</v>
      </c>
      <c r="R9" s="179" t="s">
        <v>2</v>
      </c>
      <c r="S9" s="179" t="s">
        <v>0</v>
      </c>
      <c r="T9" s="179" t="s">
        <v>0</v>
      </c>
      <c r="U9" s="179" t="s">
        <v>0</v>
      </c>
      <c r="V9" s="179" t="s">
        <v>0</v>
      </c>
      <c r="W9" s="179" t="s">
        <v>0</v>
      </c>
      <c r="X9" s="179" t="s">
        <v>0</v>
      </c>
      <c r="Y9" s="179" t="s">
        <v>0</v>
      </c>
      <c r="Z9" s="179" t="s">
        <v>3</v>
      </c>
      <c r="AA9" s="179" t="s">
        <v>0</v>
      </c>
      <c r="AB9" s="179" t="s">
        <v>0</v>
      </c>
      <c r="AC9" s="179" t="s">
        <v>0</v>
      </c>
      <c r="AD9" s="179" t="s">
        <v>0</v>
      </c>
      <c r="AE9" s="179" t="s">
        <v>0</v>
      </c>
      <c r="AF9" s="179" t="s">
        <v>0</v>
      </c>
      <c r="AG9" s="179" t="s">
        <v>0</v>
      </c>
      <c r="AH9" s="179" t="s">
        <v>0</v>
      </c>
      <c r="AI9" s="179" t="s">
        <v>0</v>
      </c>
      <c r="AJ9" s="179" t="s">
        <v>0</v>
      </c>
      <c r="AK9" s="179" t="s">
        <v>0</v>
      </c>
      <c r="AL9" s="179" t="s">
        <v>0</v>
      </c>
      <c r="AM9" s="179" t="s">
        <v>0</v>
      </c>
      <c r="AN9" s="179" t="s">
        <v>0</v>
      </c>
      <c r="AO9" s="179" t="s">
        <v>0</v>
      </c>
      <c r="AP9" s="179" t="s">
        <v>0</v>
      </c>
      <c r="AQ9" s="179" t="s">
        <v>0</v>
      </c>
      <c r="AR9" s="179" t="s">
        <v>0</v>
      </c>
      <c r="AS9" s="179" t="s">
        <v>0</v>
      </c>
      <c r="AT9" s="179" t="s">
        <v>0</v>
      </c>
      <c r="AU9" s="179" t="s">
        <v>0</v>
      </c>
      <c r="AV9" s="179" t="s">
        <v>0</v>
      </c>
      <c r="AW9" s="179" t="s">
        <v>0</v>
      </c>
      <c r="AX9" s="179" t="s">
        <v>0</v>
      </c>
      <c r="AY9" s="179" t="s">
        <v>0</v>
      </c>
      <c r="AZ9" s="179" t="s">
        <v>0</v>
      </c>
      <c r="BA9" s="179" t="s">
        <v>0</v>
      </c>
      <c r="BB9" s="179" t="s">
        <v>0</v>
      </c>
      <c r="BC9" s="179" t="s">
        <v>0</v>
      </c>
      <c r="BD9" s="179" t="s">
        <v>0</v>
      </c>
      <c r="BE9" s="179" t="s">
        <v>0</v>
      </c>
      <c r="BF9" s="179" t="s">
        <v>0</v>
      </c>
      <c r="BG9" s="179" t="s">
        <v>0</v>
      </c>
      <c r="BH9" s="179" t="s">
        <v>0</v>
      </c>
      <c r="BI9" s="180" t="s">
        <v>4</v>
      </c>
    </row>
    <row r="10" spans="1:127" x14ac:dyDescent="0.25">
      <c r="A10" s="22">
        <f t="shared" si="2"/>
        <v>4</v>
      </c>
      <c r="B10" s="59" t="str">
        <f t="shared" si="3"/>
        <v>F0013546309</v>
      </c>
      <c r="C10" s="214" t="str">
        <f t="shared" si="4"/>
        <v>82115-0EA10 J</v>
      </c>
      <c r="D10" s="58" t="e">
        <f>VLOOKUP(B10,'Timing Table'!B:G,6,0)</f>
        <v>#N/A</v>
      </c>
      <c r="E10" s="22" t="e">
        <f>VLOOKUP(B10,'Timing Table'!B:D,3,0)</f>
        <v>#N/A</v>
      </c>
      <c r="F10" s="155" t="s">
        <v>72</v>
      </c>
      <c r="G10" s="181">
        <v>21448</v>
      </c>
      <c r="H10" s="196" t="s">
        <v>413</v>
      </c>
      <c r="I10" s="197" t="s">
        <v>73</v>
      </c>
      <c r="J10" s="13">
        <v>46041</v>
      </c>
      <c r="K10" s="14">
        <v>46048</v>
      </c>
      <c r="L10" s="14">
        <v>46055</v>
      </c>
      <c r="M10" s="14">
        <v>46062</v>
      </c>
      <c r="N10" s="14">
        <v>46069</v>
      </c>
      <c r="O10" s="14">
        <v>46076</v>
      </c>
      <c r="P10" s="14">
        <v>46083</v>
      </c>
      <c r="Q10" s="14">
        <v>46090</v>
      </c>
      <c r="R10" s="14">
        <v>46097</v>
      </c>
      <c r="S10" s="14">
        <v>46104</v>
      </c>
      <c r="T10" s="14">
        <v>46111</v>
      </c>
      <c r="U10" s="14">
        <v>46118</v>
      </c>
      <c r="V10" s="14">
        <v>46125</v>
      </c>
      <c r="W10" s="14">
        <v>46132</v>
      </c>
      <c r="X10" s="14">
        <v>46139</v>
      </c>
      <c r="Y10" s="14">
        <v>46146</v>
      </c>
      <c r="Z10" s="14">
        <v>46153</v>
      </c>
      <c r="AA10" s="14">
        <v>46160</v>
      </c>
      <c r="AB10" s="14">
        <v>46167</v>
      </c>
      <c r="AC10" s="14">
        <v>46174</v>
      </c>
      <c r="AD10" s="14">
        <v>46181</v>
      </c>
      <c r="AE10" s="14">
        <v>46188</v>
      </c>
      <c r="AF10" s="14">
        <v>46195</v>
      </c>
      <c r="AG10" s="14">
        <v>46202</v>
      </c>
      <c r="AH10" s="14">
        <v>46209</v>
      </c>
      <c r="AI10" s="14">
        <v>46216</v>
      </c>
      <c r="AJ10" s="14">
        <v>46223</v>
      </c>
      <c r="AK10" s="14">
        <v>46230</v>
      </c>
      <c r="AL10" s="14">
        <v>46237</v>
      </c>
      <c r="AM10" s="14">
        <v>46244</v>
      </c>
      <c r="AN10" s="14">
        <v>46251</v>
      </c>
      <c r="AO10" s="14">
        <v>46258</v>
      </c>
      <c r="AP10" s="14">
        <v>46265</v>
      </c>
      <c r="AQ10" s="14">
        <v>46272</v>
      </c>
      <c r="AR10" s="14">
        <v>46279</v>
      </c>
      <c r="AS10" s="14">
        <v>46286</v>
      </c>
      <c r="AT10" s="14">
        <v>46293</v>
      </c>
      <c r="AU10" s="14">
        <v>46300</v>
      </c>
      <c r="AV10" s="14">
        <v>46307</v>
      </c>
      <c r="AW10" s="14">
        <v>46314</v>
      </c>
      <c r="AX10" s="14">
        <v>46321</v>
      </c>
      <c r="AY10" s="14">
        <v>46328</v>
      </c>
      <c r="AZ10" s="14">
        <v>46335</v>
      </c>
      <c r="BA10" s="14">
        <v>46342</v>
      </c>
      <c r="BB10" s="14">
        <v>46349</v>
      </c>
      <c r="BC10" s="14">
        <v>46356</v>
      </c>
      <c r="BD10" s="14">
        <v>46363</v>
      </c>
      <c r="BE10" s="14">
        <v>46370</v>
      </c>
      <c r="BF10" s="14">
        <v>46377</v>
      </c>
      <c r="BG10" s="14">
        <v>46384</v>
      </c>
      <c r="BH10" s="14">
        <v>46391</v>
      </c>
      <c r="BI10" s="15">
        <v>46398</v>
      </c>
      <c r="BJ10" s="24" t="str">
        <f>+I10</f>
        <v>ETD Date</v>
      </c>
      <c r="BK10" s="208">
        <f>+J10</f>
        <v>46041</v>
      </c>
      <c r="BL10" s="208">
        <f t="shared" ref="BL10:CJ12" si="54">+K10</f>
        <v>46048</v>
      </c>
      <c r="BM10" s="212">
        <f t="shared" si="54"/>
        <v>46055</v>
      </c>
      <c r="BN10" s="212">
        <f t="shared" si="54"/>
        <v>46062</v>
      </c>
      <c r="BO10" s="212">
        <f t="shared" si="54"/>
        <v>46069</v>
      </c>
      <c r="BP10" s="212">
        <f t="shared" si="54"/>
        <v>46076</v>
      </c>
      <c r="BQ10" s="216">
        <f t="shared" si="54"/>
        <v>46083</v>
      </c>
      <c r="BR10" s="216">
        <f t="shared" si="54"/>
        <v>46090</v>
      </c>
      <c r="BS10" s="216">
        <f t="shared" si="54"/>
        <v>46097</v>
      </c>
      <c r="BT10" s="216">
        <f t="shared" si="54"/>
        <v>46104</v>
      </c>
      <c r="BU10" s="220">
        <f t="shared" si="54"/>
        <v>46111</v>
      </c>
      <c r="BV10" s="220">
        <f t="shared" si="54"/>
        <v>46118</v>
      </c>
      <c r="BW10" s="220">
        <f t="shared" si="54"/>
        <v>46125</v>
      </c>
      <c r="BX10" s="220">
        <f t="shared" si="54"/>
        <v>46132</v>
      </c>
      <c r="BY10" s="220">
        <f t="shared" si="54"/>
        <v>46139</v>
      </c>
      <c r="BZ10" s="212">
        <f t="shared" si="54"/>
        <v>46146</v>
      </c>
      <c r="CA10" s="212">
        <f t="shared" si="54"/>
        <v>46153</v>
      </c>
      <c r="CB10" s="212">
        <f t="shared" si="54"/>
        <v>46160</v>
      </c>
      <c r="CC10" s="212">
        <f t="shared" si="54"/>
        <v>46167</v>
      </c>
      <c r="CD10" s="215">
        <f t="shared" si="54"/>
        <v>46174</v>
      </c>
      <c r="CE10" s="215">
        <f t="shared" si="54"/>
        <v>46181</v>
      </c>
      <c r="CF10" s="215">
        <f t="shared" si="54"/>
        <v>46188</v>
      </c>
      <c r="CG10" s="215">
        <f t="shared" si="54"/>
        <v>46195</v>
      </c>
      <c r="CH10" s="222">
        <f t="shared" si="54"/>
        <v>46202</v>
      </c>
      <c r="CI10" s="222">
        <f t="shared" si="54"/>
        <v>46209</v>
      </c>
      <c r="CJ10" s="222">
        <f t="shared" si="54"/>
        <v>46216</v>
      </c>
      <c r="CK10" s="222">
        <f t="shared" ref="CK10:CK12" si="55">+AJ10</f>
        <v>46223</v>
      </c>
      <c r="CL10" s="222">
        <f t="shared" ref="CL10:CL12" si="56">+AK10</f>
        <v>46230</v>
      </c>
      <c r="CM10" s="221">
        <f t="shared" ref="CM10:CM12" si="57">+AL10</f>
        <v>46237</v>
      </c>
      <c r="CN10" s="221">
        <f t="shared" ref="CN10:CN12" si="58">+AM10</f>
        <v>46244</v>
      </c>
      <c r="CO10" s="221">
        <f t="shared" ref="CO10:CO12" si="59">+AN10</f>
        <v>46251</v>
      </c>
      <c r="CP10" s="221">
        <f t="shared" ref="CP10:CP12" si="60">+AO10</f>
        <v>46258</v>
      </c>
      <c r="CQ10" s="223">
        <f t="shared" ref="CQ10:CQ12" si="61">+AP10</f>
        <v>46265</v>
      </c>
      <c r="CR10" s="223">
        <f t="shared" ref="CR10:CR12" si="62">+AQ10</f>
        <v>46272</v>
      </c>
      <c r="CS10" s="223">
        <f t="shared" ref="CS10:CS12" si="63">+AR10</f>
        <v>46279</v>
      </c>
      <c r="CT10" s="223">
        <f t="shared" ref="CT10:CT12" si="64">+AS10</f>
        <v>46286</v>
      </c>
      <c r="CU10" s="223">
        <f t="shared" ref="CU10:CU12" si="65">+AT10</f>
        <v>46293</v>
      </c>
      <c r="CV10" s="208">
        <f t="shared" ref="CV10:CV12" si="66">+AU10</f>
        <v>46300</v>
      </c>
      <c r="CW10" s="208">
        <f t="shared" ref="CW10:CW12" si="67">+AV10</f>
        <v>46307</v>
      </c>
      <c r="CX10" s="208">
        <f t="shared" ref="CX10:CX12" si="68">+AW10</f>
        <v>46314</v>
      </c>
      <c r="CY10" s="208">
        <f t="shared" ref="CY10:CY12" si="69">+AX10</f>
        <v>46321</v>
      </c>
      <c r="CZ10" s="212">
        <f t="shared" ref="CZ10:CZ12" si="70">+AY10</f>
        <v>46328</v>
      </c>
      <c r="DA10" s="212">
        <f t="shared" ref="DA10:DA12" si="71">+AZ10</f>
        <v>46335</v>
      </c>
      <c r="DB10" s="212">
        <f t="shared" ref="DB10:DB12" si="72">+BA10</f>
        <v>46342</v>
      </c>
      <c r="DC10" s="212">
        <f t="shared" ref="DC10:DC12" si="73">+BB10</f>
        <v>46349</v>
      </c>
      <c r="DD10" s="216">
        <f t="shared" ref="DD10:DD12" si="74">+BC10</f>
        <v>46356</v>
      </c>
      <c r="DE10" s="216">
        <f t="shared" ref="DE10:DE12" si="75">+BD10</f>
        <v>46363</v>
      </c>
      <c r="DF10" s="216">
        <f t="shared" ref="DF10:DF12" si="76">+BE10</f>
        <v>46370</v>
      </c>
      <c r="DG10" s="216">
        <f t="shared" ref="DG10:DG12" si="77">+BF10</f>
        <v>46377</v>
      </c>
      <c r="DH10" s="216">
        <f t="shared" ref="DH10:DH12" si="78">+BG10</f>
        <v>46384</v>
      </c>
      <c r="DI10" s="228">
        <f t="shared" ref="DI10:DI12" si="79">+BH10</f>
        <v>46391</v>
      </c>
      <c r="DJ10" s="228">
        <f t="shared" ref="DJ10:DJ12" si="80">+BI10</f>
        <v>46398</v>
      </c>
      <c r="DL10" s="170"/>
      <c r="DM10" s="171"/>
      <c r="DN10" s="171"/>
      <c r="DO10" s="171"/>
      <c r="DP10" s="171"/>
      <c r="DQ10" s="171"/>
      <c r="DR10" s="171"/>
      <c r="DS10" s="171"/>
      <c r="DT10" s="171"/>
      <c r="DU10" s="171"/>
      <c r="DV10" s="171"/>
      <c r="DW10" s="171"/>
    </row>
    <row r="11" spans="1:127" x14ac:dyDescent="0.25">
      <c r="A11" s="22">
        <f t="shared" si="2"/>
        <v>5</v>
      </c>
      <c r="B11" s="59" t="str">
        <f t="shared" si="3"/>
        <v>F0013546309</v>
      </c>
      <c r="C11" s="214" t="str">
        <f t="shared" si="4"/>
        <v>82115-0EA10 J</v>
      </c>
      <c r="D11" s="58" t="e">
        <f>VLOOKUP(B11,'Timing Table'!B:G,6,0)</f>
        <v>#N/A</v>
      </c>
      <c r="E11" s="22" t="e">
        <f>VLOOKUP(B11,'Timing Table'!B:D,3,0)</f>
        <v>#N/A</v>
      </c>
      <c r="F11" s="155" t="s">
        <v>74</v>
      </c>
      <c r="G11" s="181">
        <v>22720</v>
      </c>
      <c r="H11" s="5" t="s">
        <v>60</v>
      </c>
      <c r="I11" s="11" t="s">
        <v>147</v>
      </c>
      <c r="J11" s="16">
        <v>46083</v>
      </c>
      <c r="K11" s="63">
        <v>46090</v>
      </c>
      <c r="L11" s="63">
        <v>46097</v>
      </c>
      <c r="M11" s="63">
        <v>46104</v>
      </c>
      <c r="N11" s="63">
        <v>46111</v>
      </c>
      <c r="O11" s="63">
        <v>46118</v>
      </c>
      <c r="P11" s="63">
        <v>46125</v>
      </c>
      <c r="Q11" s="63">
        <v>46132</v>
      </c>
      <c r="R11" s="63">
        <v>46139</v>
      </c>
      <c r="S11" s="63">
        <v>46146</v>
      </c>
      <c r="T11" s="63">
        <v>46153</v>
      </c>
      <c r="U11" s="63">
        <v>46160</v>
      </c>
      <c r="V11" s="63">
        <v>46167</v>
      </c>
      <c r="W11" s="63">
        <v>46174</v>
      </c>
      <c r="X11" s="63">
        <v>46181</v>
      </c>
      <c r="Y11" s="63">
        <v>46188</v>
      </c>
      <c r="Z11" s="63">
        <v>46195</v>
      </c>
      <c r="AA11" s="63">
        <v>46202</v>
      </c>
      <c r="AB11" s="63">
        <v>46209</v>
      </c>
      <c r="AC11" s="63">
        <v>46216</v>
      </c>
      <c r="AD11" s="63">
        <v>46223</v>
      </c>
      <c r="AE11" s="63">
        <v>46230</v>
      </c>
      <c r="AF11" s="63">
        <v>46237</v>
      </c>
      <c r="AG11" s="63">
        <v>46244</v>
      </c>
      <c r="AH11" s="63">
        <v>46251</v>
      </c>
      <c r="AI11" s="63">
        <v>46258</v>
      </c>
      <c r="AJ11" s="63">
        <v>46265</v>
      </c>
      <c r="AK11" s="63">
        <v>46272</v>
      </c>
      <c r="AL11" s="63">
        <v>46279</v>
      </c>
      <c r="AM11" s="63">
        <v>46286</v>
      </c>
      <c r="AN11" s="63">
        <v>46293</v>
      </c>
      <c r="AO11" s="63">
        <v>46300</v>
      </c>
      <c r="AP11" s="63">
        <v>46307</v>
      </c>
      <c r="AQ11" s="63">
        <v>46314</v>
      </c>
      <c r="AR11" s="63">
        <v>46321</v>
      </c>
      <c r="AS11" s="63">
        <v>46328</v>
      </c>
      <c r="AT11" s="63">
        <v>46335</v>
      </c>
      <c r="AU11" s="63">
        <v>46342</v>
      </c>
      <c r="AV11" s="63">
        <v>46349</v>
      </c>
      <c r="AW11" s="63">
        <v>46356</v>
      </c>
      <c r="AX11" s="63">
        <v>46363</v>
      </c>
      <c r="AY11" s="63">
        <v>46370</v>
      </c>
      <c r="AZ11" s="63">
        <v>46377</v>
      </c>
      <c r="BA11" s="63">
        <v>46384</v>
      </c>
      <c r="BB11" s="63">
        <v>46391</v>
      </c>
      <c r="BC11" s="63">
        <v>46398</v>
      </c>
      <c r="BD11" s="63">
        <v>46399</v>
      </c>
      <c r="BE11" s="63">
        <v>46406</v>
      </c>
      <c r="BF11" s="63">
        <v>46413</v>
      </c>
      <c r="BG11" s="63">
        <v>46420</v>
      </c>
      <c r="BH11" s="63">
        <v>46427</v>
      </c>
      <c r="BI11" s="17">
        <f>+BH11+7</f>
        <v>46434</v>
      </c>
      <c r="BJ11" s="24" t="str">
        <f>+I11</f>
        <v>ETA Date</v>
      </c>
      <c r="BK11" s="208">
        <f t="shared" ref="BK11:CI11" si="81">+J11</f>
        <v>46083</v>
      </c>
      <c r="BL11" s="208">
        <f t="shared" si="81"/>
        <v>46090</v>
      </c>
      <c r="BM11" s="212">
        <f t="shared" si="81"/>
        <v>46097</v>
      </c>
      <c r="BN11" s="212">
        <f t="shared" si="81"/>
        <v>46104</v>
      </c>
      <c r="BO11" s="212">
        <f t="shared" si="81"/>
        <v>46111</v>
      </c>
      <c r="BP11" s="212">
        <f t="shared" si="81"/>
        <v>46118</v>
      </c>
      <c r="BQ11" s="216">
        <f t="shared" si="81"/>
        <v>46125</v>
      </c>
      <c r="BR11" s="216">
        <f t="shared" si="81"/>
        <v>46132</v>
      </c>
      <c r="BS11" s="216">
        <f t="shared" si="81"/>
        <v>46139</v>
      </c>
      <c r="BT11" s="216">
        <f t="shared" si="81"/>
        <v>46146</v>
      </c>
      <c r="BU11" s="220">
        <f t="shared" si="81"/>
        <v>46153</v>
      </c>
      <c r="BV11" s="220">
        <f t="shared" si="81"/>
        <v>46160</v>
      </c>
      <c r="BW11" s="220">
        <f t="shared" si="81"/>
        <v>46167</v>
      </c>
      <c r="BX11" s="220">
        <f t="shared" si="81"/>
        <v>46174</v>
      </c>
      <c r="BY11" s="220">
        <f t="shared" si="81"/>
        <v>46181</v>
      </c>
      <c r="BZ11" s="212">
        <f t="shared" si="81"/>
        <v>46188</v>
      </c>
      <c r="CA11" s="212">
        <f t="shared" si="81"/>
        <v>46195</v>
      </c>
      <c r="CB11" s="212">
        <f t="shared" si="81"/>
        <v>46202</v>
      </c>
      <c r="CC11" s="212">
        <f t="shared" si="81"/>
        <v>46209</v>
      </c>
      <c r="CD11" s="215">
        <f t="shared" si="81"/>
        <v>46216</v>
      </c>
      <c r="CE11" s="215">
        <f t="shared" si="81"/>
        <v>46223</v>
      </c>
      <c r="CF11" s="215">
        <f t="shared" si="81"/>
        <v>46230</v>
      </c>
      <c r="CG11" s="215">
        <f t="shared" si="81"/>
        <v>46237</v>
      </c>
      <c r="CH11" s="222">
        <f t="shared" si="81"/>
        <v>46244</v>
      </c>
      <c r="CI11" s="222">
        <f t="shared" si="81"/>
        <v>46251</v>
      </c>
      <c r="CJ11" s="222">
        <f t="shared" si="54"/>
        <v>46258</v>
      </c>
      <c r="CK11" s="222">
        <f t="shared" si="55"/>
        <v>46265</v>
      </c>
      <c r="CL11" s="222">
        <f t="shared" si="56"/>
        <v>46272</v>
      </c>
      <c r="CM11" s="221">
        <f t="shared" si="57"/>
        <v>46279</v>
      </c>
      <c r="CN11" s="221">
        <f t="shared" si="58"/>
        <v>46286</v>
      </c>
      <c r="CO11" s="221">
        <f t="shared" si="59"/>
        <v>46293</v>
      </c>
      <c r="CP11" s="221">
        <f t="shared" si="60"/>
        <v>46300</v>
      </c>
      <c r="CQ11" s="223">
        <f t="shared" si="61"/>
        <v>46307</v>
      </c>
      <c r="CR11" s="223">
        <f t="shared" si="62"/>
        <v>46314</v>
      </c>
      <c r="CS11" s="223">
        <f t="shared" si="63"/>
        <v>46321</v>
      </c>
      <c r="CT11" s="223">
        <f t="shared" si="64"/>
        <v>46328</v>
      </c>
      <c r="CU11" s="223">
        <f t="shared" si="65"/>
        <v>46335</v>
      </c>
      <c r="CV11" s="208">
        <f t="shared" si="66"/>
        <v>46342</v>
      </c>
      <c r="CW11" s="208">
        <f t="shared" si="67"/>
        <v>46349</v>
      </c>
      <c r="CX11" s="208">
        <f t="shared" si="68"/>
        <v>46356</v>
      </c>
      <c r="CY11" s="208">
        <f t="shared" si="69"/>
        <v>46363</v>
      </c>
      <c r="CZ11" s="212">
        <f t="shared" si="70"/>
        <v>46370</v>
      </c>
      <c r="DA11" s="212">
        <f t="shared" si="71"/>
        <v>46377</v>
      </c>
      <c r="DB11" s="212">
        <f t="shared" si="72"/>
        <v>46384</v>
      </c>
      <c r="DC11" s="212">
        <f t="shared" si="73"/>
        <v>46391</v>
      </c>
      <c r="DD11" s="216">
        <f t="shared" si="74"/>
        <v>46398</v>
      </c>
      <c r="DE11" s="216">
        <f t="shared" si="75"/>
        <v>46399</v>
      </c>
      <c r="DF11" s="216">
        <f t="shared" si="76"/>
        <v>46406</v>
      </c>
      <c r="DG11" s="216">
        <f t="shared" si="77"/>
        <v>46413</v>
      </c>
      <c r="DH11" s="216">
        <f t="shared" si="78"/>
        <v>46420</v>
      </c>
      <c r="DI11" s="228">
        <f t="shared" si="79"/>
        <v>46427</v>
      </c>
      <c r="DJ11" s="228">
        <f t="shared" si="80"/>
        <v>46434</v>
      </c>
      <c r="DL11" s="170" t="s">
        <v>397</v>
      </c>
      <c r="DM11" s="170" t="s">
        <v>315</v>
      </c>
      <c r="DN11" s="170" t="s">
        <v>317</v>
      </c>
      <c r="DO11" s="170" t="s">
        <v>318</v>
      </c>
      <c r="DP11" s="170" t="s">
        <v>320</v>
      </c>
      <c r="DQ11" s="170" t="s">
        <v>389</v>
      </c>
      <c r="DR11" s="170" t="s">
        <v>391</v>
      </c>
      <c r="DS11" s="170" t="s">
        <v>392</v>
      </c>
      <c r="DT11" s="170" t="s">
        <v>393</v>
      </c>
      <c r="DU11" s="170" t="s">
        <v>394</v>
      </c>
      <c r="DV11" s="170" t="s">
        <v>395</v>
      </c>
      <c r="DW11" s="170" t="s">
        <v>396</v>
      </c>
    </row>
    <row r="12" spans="1:127" x14ac:dyDescent="0.25">
      <c r="A12" s="22">
        <f t="shared" si="2"/>
        <v>6</v>
      </c>
      <c r="B12" s="59" t="str">
        <f t="shared" si="3"/>
        <v>F0013546309</v>
      </c>
      <c r="C12" s="214" t="str">
        <f t="shared" si="4"/>
        <v>82115-0EA10 J</v>
      </c>
      <c r="D12" s="58" t="e">
        <f>VLOOKUP(B12,'Timing Table'!B:G,6,0)</f>
        <v>#N/A</v>
      </c>
      <c r="E12" s="22" t="e">
        <f>VLOOKUP(B12,'Timing Table'!B:D,3,0)</f>
        <v>#N/A</v>
      </c>
      <c r="F12" s="155" t="s">
        <v>75</v>
      </c>
      <c r="G12" s="198" t="s">
        <v>158</v>
      </c>
      <c r="H12" s="9" t="s">
        <v>157</v>
      </c>
      <c r="I12" s="11" t="s">
        <v>76</v>
      </c>
      <c r="J12" s="143">
        <v>1444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144">
        <v>0</v>
      </c>
      <c r="BJ12" s="24" t="str">
        <f>+G9</f>
        <v>82115-0EA10 J</v>
      </c>
      <c r="BK12" s="24">
        <f>+J12</f>
        <v>1444</v>
      </c>
      <c r="BL12" s="24">
        <f t="shared" si="54"/>
        <v>0</v>
      </c>
      <c r="BM12" s="24">
        <f t="shared" ref="BM12" si="82">+L12</f>
        <v>0</v>
      </c>
      <c r="BN12" s="24">
        <f t="shared" ref="BN12" si="83">+M12</f>
        <v>0</v>
      </c>
      <c r="BO12" s="24">
        <f t="shared" ref="BO12" si="84">+N12</f>
        <v>0</v>
      </c>
      <c r="BP12" s="24">
        <f t="shared" ref="BP12" si="85">+O12</f>
        <v>0</v>
      </c>
      <c r="BQ12" s="24">
        <f t="shared" ref="BQ12" si="86">+P12</f>
        <v>0</v>
      </c>
      <c r="BR12" s="24">
        <f t="shared" ref="BR12" si="87">+Q12</f>
        <v>0</v>
      </c>
      <c r="BS12" s="24">
        <f t="shared" ref="BS12" si="88">+R12</f>
        <v>0</v>
      </c>
      <c r="BT12" s="24">
        <f t="shared" ref="BT12" si="89">+S12</f>
        <v>0</v>
      </c>
      <c r="BU12" s="24">
        <f t="shared" ref="BU12" si="90">+T12</f>
        <v>0</v>
      </c>
      <c r="BV12" s="24">
        <f t="shared" ref="BV12" si="91">+U12</f>
        <v>0</v>
      </c>
      <c r="BW12" s="24">
        <f t="shared" ref="BW12" si="92">+V12</f>
        <v>0</v>
      </c>
      <c r="BX12" s="24">
        <f t="shared" ref="BX12" si="93">+W12</f>
        <v>0</v>
      </c>
      <c r="BY12" s="24">
        <f t="shared" ref="BY12" si="94">+X12</f>
        <v>0</v>
      </c>
      <c r="BZ12" s="24">
        <f t="shared" ref="BZ12" si="95">+Y12</f>
        <v>0</v>
      </c>
      <c r="CA12" s="24">
        <f t="shared" ref="CA12" si="96">+Z12</f>
        <v>0</v>
      </c>
      <c r="CB12" s="24">
        <f t="shared" ref="CB12" si="97">+AA12</f>
        <v>0</v>
      </c>
      <c r="CC12" s="24">
        <f t="shared" ref="CC12" si="98">+AB12</f>
        <v>0</v>
      </c>
      <c r="CD12" s="24">
        <f t="shared" ref="CD12" si="99">+AC12</f>
        <v>0</v>
      </c>
      <c r="CE12" s="24">
        <f t="shared" ref="CE12" si="100">+AD12</f>
        <v>0</v>
      </c>
      <c r="CF12" s="24">
        <f t="shared" ref="CF12" si="101">+AE12</f>
        <v>0</v>
      </c>
      <c r="CG12" s="24">
        <f t="shared" ref="CG12" si="102">+AF12</f>
        <v>0</v>
      </c>
      <c r="CH12" s="24">
        <f t="shared" ref="CH12" si="103">+AG12</f>
        <v>0</v>
      </c>
      <c r="CI12" s="24">
        <f t="shared" ref="CI12" si="104">+AH12</f>
        <v>0</v>
      </c>
      <c r="CJ12" s="24">
        <f t="shared" ref="CJ12" si="105">+AI12</f>
        <v>0</v>
      </c>
      <c r="CK12" s="24">
        <f t="shared" si="55"/>
        <v>0</v>
      </c>
      <c r="CL12" s="24">
        <f t="shared" si="56"/>
        <v>0</v>
      </c>
      <c r="CM12" s="24">
        <f t="shared" si="57"/>
        <v>0</v>
      </c>
      <c r="CN12" s="24">
        <f t="shared" si="58"/>
        <v>0</v>
      </c>
      <c r="CO12" s="24">
        <f t="shared" si="59"/>
        <v>0</v>
      </c>
      <c r="CP12" s="24">
        <f t="shared" si="60"/>
        <v>0</v>
      </c>
      <c r="CQ12" s="24">
        <f t="shared" si="61"/>
        <v>0</v>
      </c>
      <c r="CR12" s="24">
        <f t="shared" si="62"/>
        <v>0</v>
      </c>
      <c r="CS12" s="24">
        <f t="shared" si="63"/>
        <v>0</v>
      </c>
      <c r="CT12" s="24">
        <f t="shared" si="64"/>
        <v>0</v>
      </c>
      <c r="CU12" s="24">
        <f t="shared" si="65"/>
        <v>0</v>
      </c>
      <c r="CV12" s="24">
        <f t="shared" si="66"/>
        <v>0</v>
      </c>
      <c r="CW12" s="24">
        <f t="shared" si="67"/>
        <v>0</v>
      </c>
      <c r="CX12" s="24">
        <f t="shared" si="68"/>
        <v>0</v>
      </c>
      <c r="CY12" s="24">
        <f t="shared" si="69"/>
        <v>0</v>
      </c>
      <c r="CZ12" s="24">
        <f t="shared" si="70"/>
        <v>0</v>
      </c>
      <c r="DA12" s="24">
        <f t="shared" si="71"/>
        <v>0</v>
      </c>
      <c r="DB12" s="24">
        <f t="shared" si="72"/>
        <v>0</v>
      </c>
      <c r="DC12" s="24">
        <f t="shared" si="73"/>
        <v>0</v>
      </c>
      <c r="DD12" s="24">
        <f t="shared" si="74"/>
        <v>0</v>
      </c>
      <c r="DE12" s="24">
        <f t="shared" si="75"/>
        <v>0</v>
      </c>
      <c r="DF12" s="24">
        <f t="shared" si="76"/>
        <v>0</v>
      </c>
      <c r="DG12" s="24">
        <f t="shared" si="77"/>
        <v>0</v>
      </c>
      <c r="DH12" s="24">
        <f t="shared" si="78"/>
        <v>0</v>
      </c>
      <c r="DI12" s="24">
        <f t="shared" si="79"/>
        <v>0</v>
      </c>
      <c r="DJ12" s="24">
        <f t="shared" si="80"/>
        <v>0</v>
      </c>
      <c r="DL12" s="24">
        <f>SUM(BK12:BL12)</f>
        <v>1444</v>
      </c>
      <c r="DM12" s="24">
        <f>SUM(BM12:BP12)</f>
        <v>0</v>
      </c>
      <c r="DN12">
        <f>SUM(BQ12:BT12)</f>
        <v>0</v>
      </c>
      <c r="DO12" s="24">
        <f>SUM(BU12:BY12)</f>
        <v>0</v>
      </c>
      <c r="DP12" s="24">
        <f>SUM(BZ12:CC12)</f>
        <v>0</v>
      </c>
      <c r="DQ12">
        <f>SUM(CD12:CG12)</f>
        <v>0</v>
      </c>
      <c r="DR12" s="24">
        <f>SUM(CH12:CL12)</f>
        <v>0</v>
      </c>
      <c r="DS12">
        <f>SUM(CM12:CP12)</f>
        <v>0</v>
      </c>
      <c r="DT12" s="24">
        <f>SUM(CQ12:CU12)</f>
        <v>0</v>
      </c>
      <c r="DU12" s="24">
        <f>SUM(CV12:CY12)</f>
        <v>0</v>
      </c>
      <c r="DV12" s="24">
        <f>SUM(CZ12:DC12)</f>
        <v>0</v>
      </c>
      <c r="DW12" s="24">
        <f>SUM(DD12:DH12)</f>
        <v>0</v>
      </c>
    </row>
    <row r="13" spans="1:127" x14ac:dyDescent="0.25">
      <c r="A13" s="22">
        <f t="shared" si="2"/>
        <v>7</v>
      </c>
      <c r="B13" s="59" t="str">
        <f t="shared" si="3"/>
        <v>F0013546309</v>
      </c>
      <c r="C13" s="214" t="str">
        <f t="shared" si="4"/>
        <v>82115-0EA10 J</v>
      </c>
      <c r="D13" s="58" t="e">
        <f>VLOOKUP(B13,'Timing Table'!B:G,6,0)</f>
        <v>#N/A</v>
      </c>
      <c r="E13" s="22" t="e">
        <f>VLOOKUP(B13,'Timing Table'!B:D,3,0)</f>
        <v>#N/A</v>
      </c>
      <c r="F13" s="155" t="s">
        <v>77</v>
      </c>
      <c r="G13" s="181">
        <v>82115</v>
      </c>
      <c r="H13" s="10" t="s">
        <v>157</v>
      </c>
      <c r="I13" s="12" t="s">
        <v>78</v>
      </c>
      <c r="J13" s="152">
        <v>21448</v>
      </c>
      <c r="K13" s="153">
        <v>21448</v>
      </c>
      <c r="L13" s="153">
        <v>21448</v>
      </c>
      <c r="M13" s="153">
        <v>21448</v>
      </c>
      <c r="N13" s="153">
        <v>21448</v>
      </c>
      <c r="O13" s="153">
        <v>21448</v>
      </c>
      <c r="P13" s="153">
        <v>21448</v>
      </c>
      <c r="Q13" s="153">
        <v>21448</v>
      </c>
      <c r="R13" s="153">
        <v>21448</v>
      </c>
      <c r="S13" s="153">
        <v>21448</v>
      </c>
      <c r="T13" s="153">
        <v>21448</v>
      </c>
      <c r="U13" s="153">
        <v>21448</v>
      </c>
      <c r="V13" s="153">
        <v>21448</v>
      </c>
      <c r="W13" s="153">
        <v>21448</v>
      </c>
      <c r="X13" s="153">
        <v>21448</v>
      </c>
      <c r="Y13" s="153">
        <v>21448</v>
      </c>
      <c r="Z13" s="153">
        <v>21448</v>
      </c>
      <c r="AA13" s="153">
        <v>21448</v>
      </c>
      <c r="AB13" s="153">
        <v>21448</v>
      </c>
      <c r="AC13" s="153">
        <v>21448</v>
      </c>
      <c r="AD13" s="153">
        <v>21448</v>
      </c>
      <c r="AE13" s="153">
        <v>21448</v>
      </c>
      <c r="AF13" s="153">
        <v>21448</v>
      </c>
      <c r="AG13" s="153">
        <v>21448</v>
      </c>
      <c r="AH13" s="153">
        <v>21448</v>
      </c>
      <c r="AI13" s="153">
        <v>21448</v>
      </c>
      <c r="AJ13" s="153">
        <v>21448</v>
      </c>
      <c r="AK13" s="153">
        <v>21448</v>
      </c>
      <c r="AL13" s="153">
        <v>21448</v>
      </c>
      <c r="AM13" s="153">
        <v>21448</v>
      </c>
      <c r="AN13" s="153">
        <v>21448</v>
      </c>
      <c r="AO13" s="153">
        <v>21448</v>
      </c>
      <c r="AP13" s="153">
        <v>21448</v>
      </c>
      <c r="AQ13" s="153">
        <v>21448</v>
      </c>
      <c r="AR13" s="153">
        <v>21448</v>
      </c>
      <c r="AS13" s="153">
        <v>21448</v>
      </c>
      <c r="AT13" s="153">
        <v>21448</v>
      </c>
      <c r="AU13" s="153">
        <v>21448</v>
      </c>
      <c r="AV13" s="153">
        <v>21448</v>
      </c>
      <c r="AW13" s="153">
        <v>21448</v>
      </c>
      <c r="AX13" s="153">
        <v>21448</v>
      </c>
      <c r="AY13" s="153">
        <v>21448</v>
      </c>
      <c r="AZ13" s="153">
        <v>21448</v>
      </c>
      <c r="BA13" s="153">
        <v>21448</v>
      </c>
      <c r="BB13" s="153">
        <v>21448</v>
      </c>
      <c r="BC13" s="153">
        <v>21448</v>
      </c>
      <c r="BD13" s="153">
        <v>21448</v>
      </c>
      <c r="BE13" s="153">
        <v>21448</v>
      </c>
      <c r="BF13" s="153">
        <v>21448</v>
      </c>
      <c r="BG13" s="153">
        <v>21448</v>
      </c>
      <c r="BH13" s="153">
        <v>21448</v>
      </c>
      <c r="BI13" s="153">
        <v>21448</v>
      </c>
      <c r="DL13">
        <f t="shared" ref="DL13:DL76" si="106">SUM(BK13:BL13)</f>
        <v>0</v>
      </c>
      <c r="DM13">
        <f t="shared" ref="DM13:DM76" si="107">SUM(BM13:BP13)</f>
        <v>0</v>
      </c>
      <c r="DN13">
        <f t="shared" ref="DN13:DN76" si="108">SUM(BQ13:BT13)</f>
        <v>0</v>
      </c>
      <c r="DO13">
        <f t="shared" ref="DO13:DO76" si="109">SUM(BU13:BY13)</f>
        <v>0</v>
      </c>
      <c r="DP13">
        <f t="shared" ref="DP13:DP76" si="110">SUM(BZ13:CC13)</f>
        <v>0</v>
      </c>
      <c r="DQ13">
        <f t="shared" ref="DQ13:DQ76" si="111">SUM(CD13:CG13)</f>
        <v>0</v>
      </c>
      <c r="DR13">
        <f t="shared" ref="DR13:DR76" si="112">SUM(CH13:CL13)</f>
        <v>0</v>
      </c>
      <c r="DS13">
        <f t="shared" ref="DS13:DS76" si="113">SUM(CM13:CP13)</f>
        <v>0</v>
      </c>
      <c r="DT13">
        <f t="shared" ref="DT13:DT76" si="114">SUM(CQ13:CU13)</f>
        <v>0</v>
      </c>
      <c r="DU13">
        <f t="shared" ref="DU13:DU76" si="115">SUM(CV13:CY13)</f>
        <v>0</v>
      </c>
      <c r="DV13">
        <f t="shared" ref="DV13:DV76" si="116">SUM(CZ13:DC13)</f>
        <v>0</v>
      </c>
      <c r="DW13">
        <f t="shared" ref="DW13:DW76" si="117">SUM(DD13:DH13)</f>
        <v>0</v>
      </c>
    </row>
    <row r="14" spans="1:127" x14ac:dyDescent="0.25">
      <c r="A14" s="22">
        <f t="shared" si="2"/>
        <v>8</v>
      </c>
      <c r="B14" s="59" t="str">
        <f t="shared" si="3"/>
        <v>F0013546309</v>
      </c>
      <c r="C14" s="214" t="str">
        <f t="shared" si="4"/>
        <v>82115-0EA10 J</v>
      </c>
      <c r="D14" s="58" t="e">
        <f>VLOOKUP(B14,'Timing Table'!B:G,6,0)</f>
        <v>#N/A</v>
      </c>
      <c r="E14" s="22" t="e">
        <f>VLOOKUP(B14,'Timing Table'!B:D,3,0)</f>
        <v>#N/A</v>
      </c>
      <c r="F14" s="155" t="s">
        <v>79</v>
      </c>
      <c r="G14" s="199">
        <v>20004</v>
      </c>
      <c r="H14" s="184" t="s">
        <v>80</v>
      </c>
      <c r="I14" s="185"/>
      <c r="J14" s="200" t="s">
        <v>507</v>
      </c>
      <c r="K14" s="156"/>
      <c r="L14" s="157" t="s">
        <v>0</v>
      </c>
      <c r="M14" s="157" t="s">
        <v>0</v>
      </c>
      <c r="N14" s="157" t="s">
        <v>0</v>
      </c>
      <c r="O14" s="157" t="s">
        <v>0</v>
      </c>
      <c r="P14" s="157" t="s">
        <v>0</v>
      </c>
      <c r="Q14" s="157" t="s">
        <v>0</v>
      </c>
      <c r="R14" s="157" t="s">
        <v>0</v>
      </c>
      <c r="S14" s="157" t="s">
        <v>0</v>
      </c>
      <c r="T14" s="157" t="s">
        <v>0</v>
      </c>
      <c r="U14" s="157" t="s">
        <v>0</v>
      </c>
      <c r="V14" s="157" t="s">
        <v>0</v>
      </c>
      <c r="W14" s="157" t="s">
        <v>0</v>
      </c>
      <c r="X14" s="157" t="s">
        <v>0</v>
      </c>
      <c r="Y14" s="157" t="s">
        <v>0</v>
      </c>
      <c r="Z14" s="157" t="s">
        <v>0</v>
      </c>
      <c r="AA14" s="157" t="s">
        <v>0</v>
      </c>
      <c r="AB14" s="157" t="s">
        <v>0</v>
      </c>
      <c r="AC14" s="157" t="s">
        <v>0</v>
      </c>
      <c r="AD14" s="157" t="s">
        <v>0</v>
      </c>
      <c r="AE14" s="157" t="s">
        <v>0</v>
      </c>
      <c r="AF14" s="157" t="s">
        <v>0</v>
      </c>
      <c r="AG14" s="157" t="s">
        <v>0</v>
      </c>
      <c r="AH14" s="157" t="s">
        <v>0</v>
      </c>
      <c r="AI14" s="157" t="s">
        <v>0</v>
      </c>
      <c r="AJ14" s="157" t="s">
        <v>0</v>
      </c>
      <c r="AK14" s="157" t="s">
        <v>0</v>
      </c>
      <c r="AL14" s="157" t="s">
        <v>0</v>
      </c>
      <c r="AM14" s="157" t="s">
        <v>0</v>
      </c>
      <c r="AN14" s="157" t="s">
        <v>0</v>
      </c>
      <c r="AO14" s="157" t="s">
        <v>0</v>
      </c>
      <c r="AP14" s="157" t="s">
        <v>0</v>
      </c>
      <c r="AQ14" s="157" t="s">
        <v>0</v>
      </c>
      <c r="AR14" s="157" t="s">
        <v>0</v>
      </c>
      <c r="AS14" s="157" t="s">
        <v>0</v>
      </c>
      <c r="AT14" s="157" t="s">
        <v>0</v>
      </c>
      <c r="AU14" s="157" t="s">
        <v>0</v>
      </c>
      <c r="AV14" s="157" t="s">
        <v>0</v>
      </c>
      <c r="AW14" s="157" t="s">
        <v>0</v>
      </c>
      <c r="AX14" s="157" t="s">
        <v>0</v>
      </c>
      <c r="AY14" s="157" t="s">
        <v>0</v>
      </c>
      <c r="AZ14" s="157" t="s">
        <v>0</v>
      </c>
      <c r="BA14" s="157" t="s">
        <v>0</v>
      </c>
      <c r="BB14" s="157" t="s">
        <v>0</v>
      </c>
      <c r="BC14" s="157" t="s">
        <v>0</v>
      </c>
      <c r="BD14" s="157" t="s">
        <v>0</v>
      </c>
      <c r="BE14" s="157" t="s">
        <v>0</v>
      </c>
      <c r="BF14" s="157" t="s">
        <v>0</v>
      </c>
      <c r="BG14" s="157" t="s">
        <v>0</v>
      </c>
      <c r="BH14" s="157" t="s">
        <v>0</v>
      </c>
      <c r="BI14" s="158"/>
      <c r="DL14">
        <f t="shared" si="106"/>
        <v>0</v>
      </c>
      <c r="DM14">
        <f t="shared" si="107"/>
        <v>0</v>
      </c>
      <c r="DN14">
        <f t="shared" si="108"/>
        <v>0</v>
      </c>
      <c r="DO14">
        <f t="shared" si="109"/>
        <v>0</v>
      </c>
      <c r="DP14">
        <f t="shared" si="110"/>
        <v>0</v>
      </c>
      <c r="DQ14">
        <f t="shared" si="111"/>
        <v>0</v>
      </c>
      <c r="DR14">
        <f t="shared" si="112"/>
        <v>0</v>
      </c>
      <c r="DS14">
        <f t="shared" si="113"/>
        <v>0</v>
      </c>
      <c r="DT14">
        <f t="shared" si="114"/>
        <v>0</v>
      </c>
      <c r="DU14">
        <f t="shared" si="115"/>
        <v>0</v>
      </c>
      <c r="DV14">
        <f t="shared" si="116"/>
        <v>0</v>
      </c>
      <c r="DW14">
        <f t="shared" si="117"/>
        <v>0</v>
      </c>
    </row>
    <row r="15" spans="1:127" x14ac:dyDescent="0.25">
      <c r="A15" s="22">
        <f t="shared" si="2"/>
        <v>9</v>
      </c>
      <c r="B15" s="59" t="str">
        <f t="shared" si="3"/>
        <v>F0013546309</v>
      </c>
      <c r="C15" s="214" t="str">
        <f t="shared" si="4"/>
        <v>82115-0EA10 J</v>
      </c>
      <c r="D15" s="58" t="e">
        <f>VLOOKUP(B15,'Timing Table'!B:G,6,0)</f>
        <v>#N/A</v>
      </c>
      <c r="E15" s="22" t="e">
        <f>VLOOKUP(B15,'Timing Table'!B:D,3,0)</f>
        <v>#N/A</v>
      </c>
      <c r="F15" s="159" t="s">
        <v>81</v>
      </c>
      <c r="G15" s="160" t="s">
        <v>60</v>
      </c>
      <c r="H15" s="201" t="s">
        <v>60</v>
      </c>
      <c r="I15" s="183" t="s">
        <v>60</v>
      </c>
      <c r="J15" s="183" t="s">
        <v>0</v>
      </c>
      <c r="K15" s="183" t="s">
        <v>0</v>
      </c>
      <c r="L15" s="183" t="s">
        <v>0</v>
      </c>
      <c r="M15" s="183" t="s">
        <v>0</v>
      </c>
      <c r="N15" s="183" t="s">
        <v>0</v>
      </c>
      <c r="O15" s="183" t="s">
        <v>0</v>
      </c>
      <c r="P15" s="183" t="s">
        <v>0</v>
      </c>
      <c r="Q15" s="183" t="s">
        <v>0</v>
      </c>
      <c r="R15" s="183" t="s">
        <v>0</v>
      </c>
      <c r="S15" s="183" t="s">
        <v>0</v>
      </c>
      <c r="T15" s="183" t="s">
        <v>0</v>
      </c>
      <c r="U15" s="183" t="s">
        <v>0</v>
      </c>
      <c r="V15" s="183" t="s">
        <v>0</v>
      </c>
      <c r="W15" s="183" t="s">
        <v>0</v>
      </c>
      <c r="X15" s="183" t="s">
        <v>0</v>
      </c>
      <c r="Y15" s="183" t="s">
        <v>0</v>
      </c>
      <c r="Z15" s="183" t="s">
        <v>0</v>
      </c>
      <c r="AA15" s="183" t="s">
        <v>0</v>
      </c>
      <c r="AB15" s="183" t="s">
        <v>0</v>
      </c>
      <c r="AC15" s="183" t="s">
        <v>0</v>
      </c>
      <c r="AD15" s="183" t="s">
        <v>0</v>
      </c>
      <c r="AE15" s="183" t="s">
        <v>0</v>
      </c>
      <c r="AF15" s="183" t="s">
        <v>0</v>
      </c>
      <c r="AG15" s="183" t="s">
        <v>0</v>
      </c>
      <c r="AH15" s="183" t="s">
        <v>0</v>
      </c>
      <c r="AI15" s="183" t="s">
        <v>0</v>
      </c>
      <c r="AJ15" s="183" t="s">
        <v>0</v>
      </c>
      <c r="AK15" s="183" t="s">
        <v>0</v>
      </c>
      <c r="AL15" s="183" t="s">
        <v>0</v>
      </c>
      <c r="AM15" s="183" t="s">
        <v>0</v>
      </c>
      <c r="AN15" s="183" t="s">
        <v>0</v>
      </c>
      <c r="AO15" s="183" t="s">
        <v>0</v>
      </c>
      <c r="AP15" s="183" t="s">
        <v>0</v>
      </c>
      <c r="AQ15" s="183" t="s">
        <v>0</v>
      </c>
      <c r="AR15" s="183" t="s">
        <v>0</v>
      </c>
      <c r="AS15" s="183" t="s">
        <v>0</v>
      </c>
      <c r="AT15" s="183" t="s">
        <v>0</v>
      </c>
      <c r="AU15" s="183" t="s">
        <v>0</v>
      </c>
      <c r="AV15" s="183" t="s">
        <v>0</v>
      </c>
      <c r="AW15" s="183" t="s">
        <v>0</v>
      </c>
      <c r="AX15" s="183" t="s">
        <v>0</v>
      </c>
      <c r="AY15" s="183" t="s">
        <v>0</v>
      </c>
      <c r="AZ15" s="183" t="s">
        <v>0</v>
      </c>
      <c r="BA15" s="183" t="s">
        <v>0</v>
      </c>
      <c r="BB15" s="183" t="s">
        <v>0</v>
      </c>
      <c r="BC15" s="183" t="s">
        <v>0</v>
      </c>
      <c r="BD15" s="183" t="s">
        <v>0</v>
      </c>
      <c r="BE15" s="183" t="s">
        <v>0</v>
      </c>
      <c r="BF15" s="183" t="s">
        <v>0</v>
      </c>
      <c r="BG15" s="183" t="s">
        <v>0</v>
      </c>
      <c r="BH15" s="183" t="s">
        <v>0</v>
      </c>
      <c r="BI15" s="161"/>
      <c r="DL15">
        <f t="shared" si="106"/>
        <v>0</v>
      </c>
      <c r="DM15">
        <f t="shared" si="107"/>
        <v>0</v>
      </c>
      <c r="DN15">
        <f t="shared" si="108"/>
        <v>0</v>
      </c>
      <c r="DO15">
        <f t="shared" si="109"/>
        <v>0</v>
      </c>
      <c r="DP15">
        <f t="shared" si="110"/>
        <v>0</v>
      </c>
      <c r="DQ15">
        <f t="shared" si="111"/>
        <v>0</v>
      </c>
      <c r="DR15">
        <f t="shared" si="112"/>
        <v>0</v>
      </c>
      <c r="DS15">
        <f t="shared" si="113"/>
        <v>0</v>
      </c>
      <c r="DT15">
        <f t="shared" si="114"/>
        <v>0</v>
      </c>
      <c r="DU15">
        <f t="shared" si="115"/>
        <v>0</v>
      </c>
      <c r="DV15">
        <f t="shared" si="116"/>
        <v>0</v>
      </c>
      <c r="DW15">
        <f t="shared" si="117"/>
        <v>0</v>
      </c>
    </row>
    <row r="16" spans="1:127" x14ac:dyDescent="0.25">
      <c r="A16" s="22">
        <f t="shared" si="2"/>
        <v>10</v>
      </c>
      <c r="B16" s="59" t="str">
        <f t="shared" si="3"/>
        <v>F0013546309</v>
      </c>
      <c r="C16" s="214" t="str">
        <f t="shared" si="4"/>
        <v>82115-0EA10 J</v>
      </c>
      <c r="D16" s="58" t="e">
        <f>VLOOKUP(B16,'Timing Table'!B:G,6,0)</f>
        <v>#N/A</v>
      </c>
      <c r="E16" s="22" t="e">
        <f>VLOOKUP(B16,'Timing Table'!B:D,3,0)</f>
        <v>#N/A</v>
      </c>
      <c r="F16" s="188" t="s">
        <v>60</v>
      </c>
      <c r="G16" s="162" t="s">
        <v>60</v>
      </c>
      <c r="H16" s="163" t="s">
        <v>60</v>
      </c>
      <c r="I16" s="164" t="s">
        <v>60</v>
      </c>
      <c r="J16" s="164" t="s">
        <v>0</v>
      </c>
      <c r="K16" s="164" t="s">
        <v>0</v>
      </c>
      <c r="L16" s="164" t="s">
        <v>0</v>
      </c>
      <c r="M16" s="164" t="s">
        <v>0</v>
      </c>
      <c r="N16" s="164" t="s">
        <v>0</v>
      </c>
      <c r="O16" s="164" t="s">
        <v>0</v>
      </c>
      <c r="P16" s="164" t="s">
        <v>0</v>
      </c>
      <c r="Q16" s="164" t="s">
        <v>0</v>
      </c>
      <c r="R16" s="164" t="s">
        <v>0</v>
      </c>
      <c r="S16" s="164" t="s">
        <v>0</v>
      </c>
      <c r="T16" s="164" t="s">
        <v>0</v>
      </c>
      <c r="U16" s="164" t="s">
        <v>0</v>
      </c>
      <c r="V16" s="164" t="s">
        <v>0</v>
      </c>
      <c r="W16" s="164" t="s">
        <v>0</v>
      </c>
      <c r="X16" s="164" t="s">
        <v>0</v>
      </c>
      <c r="Y16" s="164" t="s">
        <v>0</v>
      </c>
      <c r="Z16" s="164" t="s">
        <v>0</v>
      </c>
      <c r="AA16" s="164" t="s">
        <v>0</v>
      </c>
      <c r="AB16" s="164" t="s">
        <v>0</v>
      </c>
      <c r="AC16" s="164" t="s">
        <v>0</v>
      </c>
      <c r="AD16" s="164" t="s">
        <v>0</v>
      </c>
      <c r="AE16" s="164" t="s">
        <v>0</v>
      </c>
      <c r="AF16" s="164" t="s">
        <v>0</v>
      </c>
      <c r="AG16" s="164" t="s">
        <v>0</v>
      </c>
      <c r="AH16" s="164" t="s">
        <v>0</v>
      </c>
      <c r="AI16" s="164" t="s">
        <v>0</v>
      </c>
      <c r="AJ16" s="164" t="s">
        <v>0</v>
      </c>
      <c r="AK16" s="164" t="s">
        <v>0</v>
      </c>
      <c r="AL16" s="164" t="s">
        <v>0</v>
      </c>
      <c r="AM16" s="164" t="s">
        <v>0</v>
      </c>
      <c r="AN16" s="164" t="s">
        <v>0</v>
      </c>
      <c r="AO16" s="164" t="s">
        <v>0</v>
      </c>
      <c r="AP16" s="164" t="s">
        <v>0</v>
      </c>
      <c r="AQ16" s="164" t="s">
        <v>0</v>
      </c>
      <c r="AR16" s="164" t="s">
        <v>0</v>
      </c>
      <c r="AS16" s="164" t="s">
        <v>0</v>
      </c>
      <c r="AT16" s="164" t="s">
        <v>0</v>
      </c>
      <c r="AU16" s="164" t="s">
        <v>0</v>
      </c>
      <c r="AV16" s="164" t="s">
        <v>0</v>
      </c>
      <c r="AW16" s="164" t="s">
        <v>0</v>
      </c>
      <c r="AX16" s="164" t="s">
        <v>0</v>
      </c>
      <c r="AY16" s="164" t="s">
        <v>0</v>
      </c>
      <c r="AZ16" s="164" t="s">
        <v>0</v>
      </c>
      <c r="BA16" s="164" t="s">
        <v>0</v>
      </c>
      <c r="BB16" s="164" t="s">
        <v>0</v>
      </c>
      <c r="BC16" s="164" t="s">
        <v>0</v>
      </c>
      <c r="BD16" s="164" t="s">
        <v>0</v>
      </c>
      <c r="BE16" s="164" t="s">
        <v>0</v>
      </c>
      <c r="BF16" s="164" t="s">
        <v>0</v>
      </c>
      <c r="BG16" s="164" t="s">
        <v>0</v>
      </c>
      <c r="BH16" s="164" t="s">
        <v>0</v>
      </c>
      <c r="BI16" s="189"/>
      <c r="DL16">
        <f t="shared" si="106"/>
        <v>0</v>
      </c>
      <c r="DM16">
        <f t="shared" si="107"/>
        <v>0</v>
      </c>
      <c r="DN16">
        <f t="shared" si="108"/>
        <v>0</v>
      </c>
      <c r="DO16">
        <f t="shared" si="109"/>
        <v>0</v>
      </c>
      <c r="DP16">
        <f t="shared" si="110"/>
        <v>0</v>
      </c>
      <c r="DQ16">
        <f t="shared" si="111"/>
        <v>0</v>
      </c>
      <c r="DR16">
        <f t="shared" si="112"/>
        <v>0</v>
      </c>
      <c r="DS16">
        <f t="shared" si="113"/>
        <v>0</v>
      </c>
      <c r="DT16">
        <f t="shared" si="114"/>
        <v>0</v>
      </c>
      <c r="DU16">
        <f t="shared" si="115"/>
        <v>0</v>
      </c>
      <c r="DV16">
        <f t="shared" si="116"/>
        <v>0</v>
      </c>
      <c r="DW16">
        <f t="shared" si="117"/>
        <v>0</v>
      </c>
    </row>
    <row r="17" spans="1:127" x14ac:dyDescent="0.25">
      <c r="A17" s="22">
        <f t="shared" si="2"/>
        <v>11</v>
      </c>
      <c r="B17" s="59" t="str">
        <f t="shared" si="3"/>
        <v>F0013546310</v>
      </c>
      <c r="C17" s="214" t="str">
        <f t="shared" si="4"/>
        <v>82115-0EA10 K</v>
      </c>
      <c r="D17" s="58" t="e">
        <f>VLOOKUP(B17,'Timing Table'!B:G,6,0)</f>
        <v>#N/A</v>
      </c>
      <c r="E17" s="22" t="e">
        <f>VLOOKUP(B17,'Timing Table'!B:D,3,0)</f>
        <v>#N/A</v>
      </c>
      <c r="F17" s="155" t="s">
        <v>61</v>
      </c>
      <c r="G17" s="181">
        <v>5501060671</v>
      </c>
      <c r="H17" s="155" t="s">
        <v>62</v>
      </c>
      <c r="I17" s="181">
        <v>18</v>
      </c>
      <c r="J17" s="155" t="s">
        <v>63</v>
      </c>
      <c r="K17" s="160">
        <v>1179886</v>
      </c>
      <c r="L17" s="161"/>
      <c r="M17" s="190" t="s">
        <v>64</v>
      </c>
      <c r="N17" s="191"/>
      <c r="O17" s="192">
        <v>46086</v>
      </c>
      <c r="P17" s="155" t="s">
        <v>65</v>
      </c>
      <c r="Q17" s="181">
        <v>4</v>
      </c>
      <c r="R17" s="6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0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7" t="s">
        <v>0</v>
      </c>
      <c r="BG17" s="7" t="s">
        <v>0</v>
      </c>
      <c r="BH17" s="7" t="s">
        <v>0</v>
      </c>
      <c r="BI17" s="8"/>
      <c r="DL17">
        <f t="shared" si="106"/>
        <v>0</v>
      </c>
      <c r="DM17">
        <f t="shared" si="107"/>
        <v>0</v>
      </c>
      <c r="DN17">
        <f t="shared" si="108"/>
        <v>0</v>
      </c>
      <c r="DO17">
        <f t="shared" si="109"/>
        <v>0</v>
      </c>
      <c r="DP17">
        <f t="shared" si="110"/>
        <v>0</v>
      </c>
      <c r="DQ17">
        <f t="shared" si="111"/>
        <v>0</v>
      </c>
      <c r="DR17">
        <f t="shared" si="112"/>
        <v>0</v>
      </c>
      <c r="DS17">
        <f t="shared" si="113"/>
        <v>0</v>
      </c>
      <c r="DT17">
        <f t="shared" si="114"/>
        <v>0</v>
      </c>
      <c r="DU17">
        <f t="shared" si="115"/>
        <v>0</v>
      </c>
      <c r="DV17">
        <f t="shared" si="116"/>
        <v>0</v>
      </c>
      <c r="DW17">
        <f t="shared" si="117"/>
        <v>0</v>
      </c>
    </row>
    <row r="18" spans="1:127" x14ac:dyDescent="0.25">
      <c r="A18" s="22">
        <f t="shared" si="2"/>
        <v>12</v>
      </c>
      <c r="B18" s="59" t="str">
        <f t="shared" si="3"/>
        <v>F0013546310</v>
      </c>
      <c r="C18" s="214" t="str">
        <f t="shared" si="4"/>
        <v>82115-0EA10 K</v>
      </c>
      <c r="D18" s="58" t="e">
        <f>VLOOKUP(B18,'Timing Table'!B:G,6,0)</f>
        <v>#N/A</v>
      </c>
      <c r="E18" s="22" t="e">
        <f>VLOOKUP(B18,'Timing Table'!B:D,3,0)</f>
        <v>#N/A</v>
      </c>
      <c r="F18" s="155" t="s">
        <v>66</v>
      </c>
      <c r="G18" s="181" t="s">
        <v>452</v>
      </c>
      <c r="H18" s="155" t="s">
        <v>67</v>
      </c>
      <c r="I18" s="182" t="s">
        <v>453</v>
      </c>
      <c r="J18" s="183"/>
      <c r="K18" s="183"/>
      <c r="L18" s="161"/>
      <c r="M18" s="155" t="s">
        <v>68</v>
      </c>
      <c r="N18" s="181">
        <v>2023</v>
      </c>
      <c r="O18" s="184" t="s">
        <v>69</v>
      </c>
      <c r="P18" s="185"/>
      <c r="Q18" s="193" t="s">
        <v>329</v>
      </c>
      <c r="R18" s="156" t="s">
        <v>0</v>
      </c>
      <c r="S18" s="157"/>
      <c r="T18" s="157"/>
      <c r="U18" s="157" t="s">
        <v>0</v>
      </c>
      <c r="V18" s="157" t="s">
        <v>0</v>
      </c>
      <c r="W18" s="157" t="s">
        <v>0</v>
      </c>
      <c r="X18" s="157" t="s">
        <v>0</v>
      </c>
      <c r="Y18" s="157" t="s">
        <v>0</v>
      </c>
      <c r="Z18" s="157" t="s">
        <v>0</v>
      </c>
      <c r="AA18" s="157" t="s">
        <v>0</v>
      </c>
      <c r="AB18" s="157" t="s">
        <v>0</v>
      </c>
      <c r="AC18" s="157" t="s">
        <v>0</v>
      </c>
      <c r="AD18" s="157" t="s">
        <v>0</v>
      </c>
      <c r="AE18" s="157" t="s">
        <v>0</v>
      </c>
      <c r="AF18" s="157" t="s">
        <v>0</v>
      </c>
      <c r="AG18" s="157" t="s">
        <v>0</v>
      </c>
      <c r="AH18" s="157" t="s">
        <v>0</v>
      </c>
      <c r="AI18" s="157" t="s">
        <v>0</v>
      </c>
      <c r="AJ18" s="157" t="s">
        <v>0</v>
      </c>
      <c r="AK18" s="157" t="s">
        <v>0</v>
      </c>
      <c r="AL18" s="157" t="s">
        <v>0</v>
      </c>
      <c r="AM18" s="157" t="s">
        <v>0</v>
      </c>
      <c r="AN18" s="157" t="s">
        <v>0</v>
      </c>
      <c r="AO18" s="157" t="s">
        <v>0</v>
      </c>
      <c r="AP18" s="157" t="s">
        <v>0</v>
      </c>
      <c r="AQ18" s="157" t="s">
        <v>0</v>
      </c>
      <c r="AR18" s="157" t="s">
        <v>0</v>
      </c>
      <c r="AS18" s="157" t="s">
        <v>0</v>
      </c>
      <c r="AT18" s="157" t="s">
        <v>0</v>
      </c>
      <c r="AU18" s="157" t="s">
        <v>0</v>
      </c>
      <c r="AV18" s="157" t="s">
        <v>0</v>
      </c>
      <c r="AW18" s="157" t="s">
        <v>0</v>
      </c>
      <c r="AX18" s="157" t="s">
        <v>0</v>
      </c>
      <c r="AY18" s="157" t="s">
        <v>0</v>
      </c>
      <c r="AZ18" s="157" t="s">
        <v>0</v>
      </c>
      <c r="BA18" s="157" t="s">
        <v>0</v>
      </c>
      <c r="BB18" s="157" t="s">
        <v>0</v>
      </c>
      <c r="BC18" s="157" t="s">
        <v>0</v>
      </c>
      <c r="BD18" s="157" t="s">
        <v>0</v>
      </c>
      <c r="BE18" s="157" t="s">
        <v>0</v>
      </c>
      <c r="BF18" s="157" t="s">
        <v>0</v>
      </c>
      <c r="BG18" s="157" t="s">
        <v>0</v>
      </c>
      <c r="BH18" s="157" t="s">
        <v>0</v>
      </c>
      <c r="BI18" s="158"/>
      <c r="DL18">
        <f t="shared" si="106"/>
        <v>0</v>
      </c>
      <c r="DM18">
        <f t="shared" si="107"/>
        <v>0</v>
      </c>
      <c r="DN18">
        <f t="shared" si="108"/>
        <v>0</v>
      </c>
      <c r="DO18">
        <f t="shared" si="109"/>
        <v>0</v>
      </c>
      <c r="DP18">
        <f t="shared" si="110"/>
        <v>0</v>
      </c>
      <c r="DQ18">
        <f t="shared" si="111"/>
        <v>0</v>
      </c>
      <c r="DR18">
        <f t="shared" si="112"/>
        <v>0</v>
      </c>
      <c r="DS18">
        <f t="shared" si="113"/>
        <v>0</v>
      </c>
      <c r="DT18">
        <f t="shared" si="114"/>
        <v>0</v>
      </c>
      <c r="DU18">
        <f t="shared" si="115"/>
        <v>0</v>
      </c>
      <c r="DV18">
        <f t="shared" si="116"/>
        <v>0</v>
      </c>
      <c r="DW18">
        <f t="shared" si="117"/>
        <v>0</v>
      </c>
    </row>
    <row r="19" spans="1:127" x14ac:dyDescent="0.25">
      <c r="A19" s="22">
        <f t="shared" si="2"/>
        <v>13</v>
      </c>
      <c r="B19" s="59" t="str">
        <f t="shared" si="3"/>
        <v>F0013546310</v>
      </c>
      <c r="C19" s="214" t="str">
        <f t="shared" si="4"/>
        <v>82115-0EA10 K</v>
      </c>
      <c r="D19" s="58" t="e">
        <f>VLOOKUP(B19,'Timing Table'!B:G,6,0)</f>
        <v>#N/A</v>
      </c>
      <c r="E19" s="22" t="e">
        <f>VLOOKUP(B19,'Timing Table'!B:D,3,0)</f>
        <v>#N/A</v>
      </c>
      <c r="F19" s="155" t="s">
        <v>70</v>
      </c>
      <c r="G19" s="181" t="s">
        <v>468</v>
      </c>
      <c r="H19" s="155" t="s">
        <v>71</v>
      </c>
      <c r="I19" s="182" t="s">
        <v>60</v>
      </c>
      <c r="J19" s="161" t="s">
        <v>0</v>
      </c>
      <c r="K19" s="194" t="s">
        <v>0</v>
      </c>
      <c r="L19" s="195" t="s">
        <v>0</v>
      </c>
      <c r="M19" s="179" t="s">
        <v>0</v>
      </c>
      <c r="N19" s="179" t="s">
        <v>0</v>
      </c>
      <c r="O19" s="179" t="s">
        <v>0</v>
      </c>
      <c r="P19" s="179" t="s">
        <v>0</v>
      </c>
      <c r="Q19" s="179" t="s">
        <v>1</v>
      </c>
      <c r="R19" s="179" t="s">
        <v>2</v>
      </c>
      <c r="S19" s="179" t="s">
        <v>0</v>
      </c>
      <c r="T19" s="179" t="s">
        <v>0</v>
      </c>
      <c r="U19" s="179" t="s">
        <v>0</v>
      </c>
      <c r="V19" s="179" t="s">
        <v>0</v>
      </c>
      <c r="W19" s="179" t="s">
        <v>0</v>
      </c>
      <c r="X19" s="179" t="s">
        <v>0</v>
      </c>
      <c r="Y19" s="179" t="s">
        <v>0</v>
      </c>
      <c r="Z19" s="179" t="s">
        <v>3</v>
      </c>
      <c r="AA19" s="179" t="s">
        <v>0</v>
      </c>
      <c r="AB19" s="179" t="s">
        <v>0</v>
      </c>
      <c r="AC19" s="179" t="s">
        <v>0</v>
      </c>
      <c r="AD19" s="179" t="s">
        <v>0</v>
      </c>
      <c r="AE19" s="179" t="s">
        <v>0</v>
      </c>
      <c r="AF19" s="179" t="s">
        <v>0</v>
      </c>
      <c r="AG19" s="179" t="s">
        <v>0</v>
      </c>
      <c r="AH19" s="179" t="s">
        <v>0</v>
      </c>
      <c r="AI19" s="179" t="s">
        <v>0</v>
      </c>
      <c r="AJ19" s="179" t="s">
        <v>0</v>
      </c>
      <c r="AK19" s="179" t="s">
        <v>0</v>
      </c>
      <c r="AL19" s="179" t="s">
        <v>0</v>
      </c>
      <c r="AM19" s="179" t="s">
        <v>0</v>
      </c>
      <c r="AN19" s="179" t="s">
        <v>0</v>
      </c>
      <c r="AO19" s="179" t="s">
        <v>0</v>
      </c>
      <c r="AP19" s="179" t="s">
        <v>0</v>
      </c>
      <c r="AQ19" s="179" t="s">
        <v>0</v>
      </c>
      <c r="AR19" s="179" t="s">
        <v>0</v>
      </c>
      <c r="AS19" s="179" t="s">
        <v>0</v>
      </c>
      <c r="AT19" s="179" t="s">
        <v>0</v>
      </c>
      <c r="AU19" s="179" t="s">
        <v>0</v>
      </c>
      <c r="AV19" s="179" t="s">
        <v>0</v>
      </c>
      <c r="AW19" s="179" t="s">
        <v>0</v>
      </c>
      <c r="AX19" s="179" t="s">
        <v>0</v>
      </c>
      <c r="AY19" s="179" t="s">
        <v>0</v>
      </c>
      <c r="AZ19" s="179" t="s">
        <v>0</v>
      </c>
      <c r="BA19" s="179" t="s">
        <v>0</v>
      </c>
      <c r="BB19" s="179" t="s">
        <v>0</v>
      </c>
      <c r="BC19" s="179" t="s">
        <v>0</v>
      </c>
      <c r="BD19" s="179" t="s">
        <v>0</v>
      </c>
      <c r="BE19" s="179" t="s">
        <v>0</v>
      </c>
      <c r="BF19" s="179" t="s">
        <v>0</v>
      </c>
      <c r="BG19" s="179" t="s">
        <v>0</v>
      </c>
      <c r="BH19" s="179" t="s">
        <v>0</v>
      </c>
      <c r="BI19" s="180" t="s">
        <v>4</v>
      </c>
      <c r="DL19">
        <f t="shared" si="106"/>
        <v>0</v>
      </c>
      <c r="DM19">
        <f t="shared" si="107"/>
        <v>0</v>
      </c>
      <c r="DN19">
        <f t="shared" si="108"/>
        <v>0</v>
      </c>
      <c r="DO19">
        <f t="shared" si="109"/>
        <v>0</v>
      </c>
      <c r="DP19">
        <f t="shared" si="110"/>
        <v>0</v>
      </c>
      <c r="DQ19">
        <f t="shared" si="111"/>
        <v>0</v>
      </c>
      <c r="DR19">
        <f t="shared" si="112"/>
        <v>0</v>
      </c>
      <c r="DS19">
        <f t="shared" si="113"/>
        <v>0</v>
      </c>
      <c r="DT19">
        <f t="shared" si="114"/>
        <v>0</v>
      </c>
      <c r="DU19">
        <f t="shared" si="115"/>
        <v>0</v>
      </c>
      <c r="DV19">
        <f t="shared" si="116"/>
        <v>0</v>
      </c>
      <c r="DW19">
        <f t="shared" si="117"/>
        <v>0</v>
      </c>
    </row>
    <row r="20" spans="1:127" x14ac:dyDescent="0.25">
      <c r="A20" s="22">
        <f t="shared" si="2"/>
        <v>14</v>
      </c>
      <c r="B20" s="59" t="str">
        <f t="shared" si="3"/>
        <v>F0013546310</v>
      </c>
      <c r="C20" s="214" t="str">
        <f t="shared" si="4"/>
        <v>82115-0EA10 K</v>
      </c>
      <c r="D20" s="58" t="e">
        <f>VLOOKUP(B20,'Timing Table'!B:G,6,0)</f>
        <v>#N/A</v>
      </c>
      <c r="E20" s="22" t="e">
        <f>VLOOKUP(B20,'Timing Table'!B:D,3,0)</f>
        <v>#N/A</v>
      </c>
      <c r="F20" s="155" t="s">
        <v>72</v>
      </c>
      <c r="G20" s="181">
        <v>5536</v>
      </c>
      <c r="H20" s="196" t="s">
        <v>413</v>
      </c>
      <c r="I20" s="197" t="s">
        <v>73</v>
      </c>
      <c r="J20" s="13">
        <v>46041</v>
      </c>
      <c r="K20" s="14">
        <v>46048</v>
      </c>
      <c r="L20" s="14">
        <v>46055</v>
      </c>
      <c r="M20" s="14">
        <v>46062</v>
      </c>
      <c r="N20" s="14">
        <v>46069</v>
      </c>
      <c r="O20" s="14">
        <v>46076</v>
      </c>
      <c r="P20" s="14">
        <v>46083</v>
      </c>
      <c r="Q20" s="14">
        <v>46090</v>
      </c>
      <c r="R20" s="14">
        <v>46097</v>
      </c>
      <c r="S20" s="14">
        <v>46104</v>
      </c>
      <c r="T20" s="14">
        <v>46111</v>
      </c>
      <c r="U20" s="14">
        <v>46118</v>
      </c>
      <c r="V20" s="14">
        <v>46125</v>
      </c>
      <c r="W20" s="14">
        <v>46132</v>
      </c>
      <c r="X20" s="14">
        <v>46139</v>
      </c>
      <c r="Y20" s="14">
        <v>46146</v>
      </c>
      <c r="Z20" s="14">
        <v>46153</v>
      </c>
      <c r="AA20" s="14">
        <v>46160</v>
      </c>
      <c r="AB20" s="14">
        <v>46167</v>
      </c>
      <c r="AC20" s="14">
        <v>46174</v>
      </c>
      <c r="AD20" s="14">
        <v>46181</v>
      </c>
      <c r="AE20" s="14">
        <v>46188</v>
      </c>
      <c r="AF20" s="14">
        <v>46195</v>
      </c>
      <c r="AG20" s="14">
        <v>46202</v>
      </c>
      <c r="AH20" s="14">
        <v>46209</v>
      </c>
      <c r="AI20" s="14">
        <v>46216</v>
      </c>
      <c r="AJ20" s="14">
        <v>46223</v>
      </c>
      <c r="AK20" s="14">
        <v>46230</v>
      </c>
      <c r="AL20" s="14">
        <v>46237</v>
      </c>
      <c r="AM20" s="14">
        <v>46244</v>
      </c>
      <c r="AN20" s="14">
        <v>46251</v>
      </c>
      <c r="AO20" s="14">
        <v>46258</v>
      </c>
      <c r="AP20" s="14">
        <v>46265</v>
      </c>
      <c r="AQ20" s="14">
        <v>46272</v>
      </c>
      <c r="AR20" s="14">
        <v>46279</v>
      </c>
      <c r="AS20" s="14">
        <v>46286</v>
      </c>
      <c r="AT20" s="14">
        <v>46293</v>
      </c>
      <c r="AU20" s="14">
        <v>46300</v>
      </c>
      <c r="AV20" s="14">
        <v>46307</v>
      </c>
      <c r="AW20" s="14">
        <v>46314</v>
      </c>
      <c r="AX20" s="14">
        <v>46321</v>
      </c>
      <c r="AY20" s="14">
        <v>46328</v>
      </c>
      <c r="AZ20" s="14">
        <v>46335</v>
      </c>
      <c r="BA20" s="14">
        <v>46342</v>
      </c>
      <c r="BB20" s="14">
        <v>46349</v>
      </c>
      <c r="BC20" s="14">
        <v>46356</v>
      </c>
      <c r="BD20" s="14">
        <v>46363</v>
      </c>
      <c r="BE20" s="14">
        <v>46370</v>
      </c>
      <c r="BF20" s="14">
        <v>46377</v>
      </c>
      <c r="BG20" s="14">
        <v>46384</v>
      </c>
      <c r="BH20" s="14">
        <v>46391</v>
      </c>
      <c r="BI20" s="15">
        <v>46398</v>
      </c>
      <c r="DL20">
        <f t="shared" si="106"/>
        <v>0</v>
      </c>
      <c r="DM20">
        <f t="shared" si="107"/>
        <v>0</v>
      </c>
      <c r="DN20">
        <f t="shared" si="108"/>
        <v>0</v>
      </c>
      <c r="DO20">
        <f t="shared" si="109"/>
        <v>0</v>
      </c>
      <c r="DP20">
        <f t="shared" si="110"/>
        <v>0</v>
      </c>
      <c r="DQ20">
        <f t="shared" si="111"/>
        <v>0</v>
      </c>
      <c r="DR20">
        <f t="shared" si="112"/>
        <v>0</v>
      </c>
      <c r="DS20">
        <f t="shared" si="113"/>
        <v>0</v>
      </c>
      <c r="DT20">
        <f t="shared" si="114"/>
        <v>0</v>
      </c>
      <c r="DU20">
        <f t="shared" si="115"/>
        <v>0</v>
      </c>
      <c r="DV20">
        <f t="shared" si="116"/>
        <v>0</v>
      </c>
      <c r="DW20">
        <f t="shared" si="117"/>
        <v>0</v>
      </c>
    </row>
    <row r="21" spans="1:127" x14ac:dyDescent="0.25">
      <c r="A21" s="22">
        <f t="shared" si="2"/>
        <v>15</v>
      </c>
      <c r="B21" s="59" t="str">
        <f t="shared" si="3"/>
        <v>F0013546310</v>
      </c>
      <c r="C21" s="214" t="str">
        <f t="shared" si="4"/>
        <v>82115-0EA10 K</v>
      </c>
      <c r="D21" s="58" t="e">
        <f>VLOOKUP(B21,'Timing Table'!B:G,6,0)</f>
        <v>#N/A</v>
      </c>
      <c r="E21" s="22" t="e">
        <f>VLOOKUP(B21,'Timing Table'!B:D,3,0)</f>
        <v>#N/A</v>
      </c>
      <c r="F21" s="155" t="s">
        <v>74</v>
      </c>
      <c r="G21" s="181">
        <v>8080</v>
      </c>
      <c r="H21" s="5" t="s">
        <v>60</v>
      </c>
      <c r="I21" s="11" t="s">
        <v>147</v>
      </c>
      <c r="J21" s="16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17"/>
      <c r="DL21">
        <f t="shared" si="106"/>
        <v>0</v>
      </c>
      <c r="DM21">
        <f t="shared" si="107"/>
        <v>0</v>
      </c>
      <c r="DN21">
        <f t="shared" si="108"/>
        <v>0</v>
      </c>
      <c r="DO21">
        <f t="shared" si="109"/>
        <v>0</v>
      </c>
      <c r="DP21">
        <f t="shared" si="110"/>
        <v>0</v>
      </c>
      <c r="DQ21">
        <f t="shared" si="111"/>
        <v>0</v>
      </c>
      <c r="DR21">
        <f t="shared" si="112"/>
        <v>0</v>
      </c>
      <c r="DS21">
        <f t="shared" si="113"/>
        <v>0</v>
      </c>
      <c r="DT21">
        <f t="shared" si="114"/>
        <v>0</v>
      </c>
      <c r="DU21">
        <f t="shared" si="115"/>
        <v>0</v>
      </c>
      <c r="DV21">
        <f t="shared" si="116"/>
        <v>0</v>
      </c>
      <c r="DW21">
        <f t="shared" si="117"/>
        <v>0</v>
      </c>
    </row>
    <row r="22" spans="1:127" x14ac:dyDescent="0.25">
      <c r="A22" s="22">
        <f t="shared" si="2"/>
        <v>16</v>
      </c>
      <c r="B22" s="59" t="str">
        <f t="shared" si="3"/>
        <v>F0013546310</v>
      </c>
      <c r="C22" s="214" t="str">
        <f t="shared" si="4"/>
        <v>82115-0EA10 K</v>
      </c>
      <c r="D22" s="58" t="e">
        <f>VLOOKUP(B22,'Timing Table'!B:G,6,0)</f>
        <v>#N/A</v>
      </c>
      <c r="E22" s="22" t="e">
        <f>VLOOKUP(B22,'Timing Table'!B:D,3,0)</f>
        <v>#N/A</v>
      </c>
      <c r="F22" s="155" t="s">
        <v>75</v>
      </c>
      <c r="G22" s="198" t="s">
        <v>158</v>
      </c>
      <c r="H22" s="9" t="s">
        <v>157</v>
      </c>
      <c r="I22" s="11" t="s">
        <v>76</v>
      </c>
      <c r="J22" s="143">
        <v>456</v>
      </c>
      <c r="K22" s="64">
        <v>680</v>
      </c>
      <c r="L22" s="64">
        <v>320</v>
      </c>
      <c r="M22" s="64">
        <v>592</v>
      </c>
      <c r="N22" s="64">
        <v>1172</v>
      </c>
      <c r="O22" s="64">
        <v>640</v>
      </c>
      <c r="P22" s="64">
        <v>400</v>
      </c>
      <c r="Q22" s="64">
        <v>780</v>
      </c>
      <c r="R22" s="64">
        <v>0</v>
      </c>
      <c r="S22" s="64">
        <v>496</v>
      </c>
      <c r="T22" s="64">
        <v>228</v>
      </c>
      <c r="U22" s="64">
        <v>512</v>
      </c>
      <c r="V22" s="64">
        <v>284</v>
      </c>
      <c r="W22" s="64">
        <v>480</v>
      </c>
      <c r="X22" s="64">
        <v>304</v>
      </c>
      <c r="Y22" s="64">
        <v>304</v>
      </c>
      <c r="Z22" s="64">
        <v>432</v>
      </c>
      <c r="AA22" s="64">
        <v>564</v>
      </c>
      <c r="AB22" s="64">
        <v>564</v>
      </c>
      <c r="AC22" s="64">
        <v>568</v>
      </c>
      <c r="AD22" s="64">
        <v>476</v>
      </c>
      <c r="AE22" s="64">
        <v>480</v>
      </c>
      <c r="AF22" s="64">
        <v>392</v>
      </c>
      <c r="AG22" s="64">
        <v>544</v>
      </c>
      <c r="AH22" s="64">
        <v>324</v>
      </c>
      <c r="AI22" s="64">
        <v>556</v>
      </c>
      <c r="AJ22" s="64">
        <v>528</v>
      </c>
      <c r="AK22" s="64">
        <v>532</v>
      </c>
      <c r="AL22" s="64">
        <v>732</v>
      </c>
      <c r="AM22" s="64">
        <v>736</v>
      </c>
      <c r="AN22" s="64">
        <v>736</v>
      </c>
      <c r="AO22" s="64">
        <v>736</v>
      </c>
      <c r="AP22" s="64">
        <v>736</v>
      </c>
      <c r="AQ22" s="64">
        <v>736</v>
      </c>
      <c r="AR22" s="64">
        <v>736</v>
      </c>
      <c r="AS22" s="64">
        <v>736</v>
      </c>
      <c r="AT22" s="64">
        <v>736</v>
      </c>
      <c r="AU22" s="64">
        <v>736</v>
      </c>
      <c r="AV22" s="64">
        <v>736</v>
      </c>
      <c r="AW22" s="64">
        <v>736</v>
      </c>
      <c r="AX22" s="64">
        <v>736</v>
      </c>
      <c r="AY22" s="64">
        <v>736</v>
      </c>
      <c r="AZ22" s="64">
        <v>736</v>
      </c>
      <c r="BA22" s="64">
        <v>736</v>
      </c>
      <c r="BB22" s="64">
        <v>736</v>
      </c>
      <c r="BC22" s="64">
        <v>736</v>
      </c>
      <c r="BD22" s="64">
        <v>736</v>
      </c>
      <c r="BE22" s="64">
        <v>736</v>
      </c>
      <c r="BF22" s="64">
        <v>736</v>
      </c>
      <c r="BG22" s="64">
        <v>736</v>
      </c>
      <c r="BH22" s="64">
        <v>736</v>
      </c>
      <c r="BI22" s="144">
        <v>736</v>
      </c>
      <c r="BJ22" s="24" t="str">
        <f>+G19</f>
        <v>82115-0EA10 K</v>
      </c>
      <c r="BK22" s="24">
        <f>+J22</f>
        <v>456</v>
      </c>
      <c r="BL22" s="24">
        <f t="shared" ref="BL22" si="118">+K22</f>
        <v>680</v>
      </c>
      <c r="BM22" s="24">
        <f t="shared" ref="BM22" si="119">+L22</f>
        <v>320</v>
      </c>
      <c r="BN22" s="24">
        <f t="shared" ref="BN22" si="120">+M22</f>
        <v>592</v>
      </c>
      <c r="BO22" s="24">
        <f t="shared" ref="BO22" si="121">+N22</f>
        <v>1172</v>
      </c>
      <c r="BP22" s="24">
        <f t="shared" ref="BP22" si="122">+O22</f>
        <v>640</v>
      </c>
      <c r="BQ22" s="24">
        <f t="shared" ref="BQ22" si="123">+P22</f>
        <v>400</v>
      </c>
      <c r="BR22" s="24">
        <f t="shared" ref="BR22" si="124">+Q22</f>
        <v>780</v>
      </c>
      <c r="BS22" s="24">
        <f t="shared" ref="BS22" si="125">+R22</f>
        <v>0</v>
      </c>
      <c r="BT22" s="24">
        <f t="shared" ref="BT22" si="126">+S22</f>
        <v>496</v>
      </c>
      <c r="BU22" s="24">
        <f t="shared" ref="BU22" si="127">+T22</f>
        <v>228</v>
      </c>
      <c r="BV22" s="24">
        <f t="shared" ref="BV22" si="128">+U22</f>
        <v>512</v>
      </c>
      <c r="BW22" s="24">
        <f t="shared" ref="BW22" si="129">+V22</f>
        <v>284</v>
      </c>
      <c r="BX22" s="24">
        <f t="shared" ref="BX22" si="130">+W22</f>
        <v>480</v>
      </c>
      <c r="BY22" s="24">
        <f t="shared" ref="BY22" si="131">+X22</f>
        <v>304</v>
      </c>
      <c r="BZ22" s="24">
        <f t="shared" ref="BZ22" si="132">+Y22</f>
        <v>304</v>
      </c>
      <c r="CA22" s="24">
        <f t="shared" ref="CA22" si="133">+Z22</f>
        <v>432</v>
      </c>
      <c r="CB22" s="24">
        <f t="shared" ref="CB22" si="134">+AA22</f>
        <v>564</v>
      </c>
      <c r="CC22" s="24">
        <f t="shared" ref="CC22" si="135">+AB22</f>
        <v>564</v>
      </c>
      <c r="CD22" s="24">
        <f t="shared" ref="CD22" si="136">+AC22</f>
        <v>568</v>
      </c>
      <c r="CE22" s="24">
        <f t="shared" ref="CE22" si="137">+AD22</f>
        <v>476</v>
      </c>
      <c r="CF22" s="24">
        <f t="shared" ref="CF22" si="138">+AE22</f>
        <v>480</v>
      </c>
      <c r="CG22" s="24">
        <f t="shared" ref="CG22" si="139">+AF22</f>
        <v>392</v>
      </c>
      <c r="CH22" s="24">
        <f t="shared" ref="CH22" si="140">+AG22</f>
        <v>544</v>
      </c>
      <c r="CI22" s="24">
        <f t="shared" ref="CI22" si="141">+AH22</f>
        <v>324</v>
      </c>
      <c r="CJ22" s="24">
        <f t="shared" ref="CJ22" si="142">+AI22</f>
        <v>556</v>
      </c>
      <c r="CK22" s="24">
        <f t="shared" ref="CK22" si="143">+AJ22</f>
        <v>528</v>
      </c>
      <c r="CL22" s="24">
        <f t="shared" ref="CL22" si="144">+AK22</f>
        <v>532</v>
      </c>
      <c r="CM22" s="24">
        <f t="shared" ref="CM22" si="145">+AL22</f>
        <v>732</v>
      </c>
      <c r="CN22" s="24">
        <f t="shared" ref="CN22" si="146">+AM22</f>
        <v>736</v>
      </c>
      <c r="CO22" s="24">
        <f t="shared" ref="CO22" si="147">+AN22</f>
        <v>736</v>
      </c>
      <c r="CP22" s="166">
        <f t="shared" ref="CP22" si="148">+AO22</f>
        <v>736</v>
      </c>
      <c r="CQ22" s="166">
        <f t="shared" ref="CQ22" si="149">+AP22</f>
        <v>736</v>
      </c>
      <c r="CR22">
        <f t="shared" ref="CR22" si="150">+AQ22</f>
        <v>736</v>
      </c>
      <c r="CS22">
        <f t="shared" ref="CS22" si="151">+AR22</f>
        <v>736</v>
      </c>
      <c r="CT22">
        <f t="shared" ref="CT22" si="152">+AS22</f>
        <v>736</v>
      </c>
      <c r="CU22">
        <f t="shared" ref="CU22" si="153">+AT22</f>
        <v>736</v>
      </c>
      <c r="CV22">
        <f t="shared" ref="CV22" si="154">+AU22</f>
        <v>736</v>
      </c>
      <c r="CW22">
        <f t="shared" ref="CW22" si="155">+AV22</f>
        <v>736</v>
      </c>
      <c r="CX22">
        <f t="shared" ref="CX22" si="156">+AW22</f>
        <v>736</v>
      </c>
      <c r="CY22">
        <f t="shared" ref="CY22" si="157">+AX22</f>
        <v>736</v>
      </c>
      <c r="CZ22">
        <f t="shared" ref="CZ22" si="158">+AY22</f>
        <v>736</v>
      </c>
      <c r="DA22">
        <f t="shared" ref="DA22" si="159">+AZ22</f>
        <v>736</v>
      </c>
      <c r="DB22">
        <f t="shared" ref="DB22" si="160">+BA22</f>
        <v>736</v>
      </c>
      <c r="DC22">
        <f t="shared" ref="DC22" si="161">+BB22</f>
        <v>736</v>
      </c>
      <c r="DD22">
        <f t="shared" ref="DD22" si="162">+BC22</f>
        <v>736</v>
      </c>
      <c r="DE22">
        <f t="shared" ref="DE22" si="163">+BD22</f>
        <v>736</v>
      </c>
      <c r="DF22">
        <f t="shared" ref="DF22" si="164">+BE22</f>
        <v>736</v>
      </c>
      <c r="DG22">
        <f t="shared" ref="DG22" si="165">+BF22</f>
        <v>736</v>
      </c>
      <c r="DH22">
        <f t="shared" ref="DH22" si="166">+BG22</f>
        <v>736</v>
      </c>
      <c r="DI22">
        <f t="shared" ref="DI22" si="167">+BH22</f>
        <v>736</v>
      </c>
      <c r="DJ22">
        <f t="shared" ref="DJ22" si="168">+BI22</f>
        <v>736</v>
      </c>
      <c r="DL22" s="24">
        <f t="shared" si="106"/>
        <v>1136</v>
      </c>
      <c r="DM22" s="24">
        <f t="shared" si="107"/>
        <v>2724</v>
      </c>
      <c r="DN22" s="24">
        <f t="shared" si="108"/>
        <v>1676</v>
      </c>
      <c r="DO22" s="24">
        <f t="shared" si="109"/>
        <v>1808</v>
      </c>
      <c r="DP22" s="24">
        <f t="shared" si="110"/>
        <v>1864</v>
      </c>
      <c r="DQ22" s="24">
        <f t="shared" si="111"/>
        <v>1916</v>
      </c>
      <c r="DR22" s="24">
        <f t="shared" si="112"/>
        <v>2484</v>
      </c>
      <c r="DS22" s="24">
        <f t="shared" si="113"/>
        <v>2940</v>
      </c>
      <c r="DT22" s="24">
        <f t="shared" si="114"/>
        <v>3680</v>
      </c>
      <c r="DU22">
        <f t="shared" si="115"/>
        <v>2944</v>
      </c>
      <c r="DV22">
        <f t="shared" si="116"/>
        <v>2944</v>
      </c>
      <c r="DW22">
        <f t="shared" si="117"/>
        <v>3680</v>
      </c>
    </row>
    <row r="23" spans="1:127" x14ac:dyDescent="0.25">
      <c r="A23" s="22">
        <f t="shared" si="2"/>
        <v>17</v>
      </c>
      <c r="B23" s="59" t="str">
        <f t="shared" si="3"/>
        <v>F0013546310</v>
      </c>
      <c r="C23" s="214" t="str">
        <f t="shared" si="4"/>
        <v>82115-0EA10 K</v>
      </c>
      <c r="D23" s="58" t="e">
        <f>VLOOKUP(B23,'Timing Table'!B:G,6,0)</f>
        <v>#N/A</v>
      </c>
      <c r="E23" s="22" t="e">
        <f>VLOOKUP(B23,'Timing Table'!B:D,3,0)</f>
        <v>#N/A</v>
      </c>
      <c r="F23" s="155" t="s">
        <v>77</v>
      </c>
      <c r="G23" s="181">
        <v>82115</v>
      </c>
      <c r="H23" s="10" t="s">
        <v>157</v>
      </c>
      <c r="I23" s="12" t="s">
        <v>78</v>
      </c>
      <c r="J23" s="152">
        <v>456</v>
      </c>
      <c r="K23" s="153">
        <v>1136</v>
      </c>
      <c r="L23" s="153">
        <v>1456</v>
      </c>
      <c r="M23" s="153">
        <v>2048</v>
      </c>
      <c r="N23" s="153">
        <v>3220</v>
      </c>
      <c r="O23" s="153">
        <v>3860</v>
      </c>
      <c r="P23" s="153">
        <v>4260</v>
      </c>
      <c r="Q23" s="153">
        <v>5040</v>
      </c>
      <c r="R23" s="153">
        <v>5040</v>
      </c>
      <c r="S23" s="153">
        <v>5536</v>
      </c>
      <c r="T23" s="153">
        <v>5764</v>
      </c>
      <c r="U23" s="153">
        <v>6276</v>
      </c>
      <c r="V23" s="153">
        <v>6560</v>
      </c>
      <c r="W23" s="153">
        <v>7040</v>
      </c>
      <c r="X23" s="153">
        <v>7344</v>
      </c>
      <c r="Y23" s="153">
        <v>7648</v>
      </c>
      <c r="Z23" s="153">
        <v>8080</v>
      </c>
      <c r="AA23" s="153">
        <v>8644</v>
      </c>
      <c r="AB23" s="153">
        <v>9208</v>
      </c>
      <c r="AC23" s="153">
        <v>9776</v>
      </c>
      <c r="AD23" s="153">
        <v>10252</v>
      </c>
      <c r="AE23" s="153">
        <v>10732</v>
      </c>
      <c r="AF23" s="153">
        <v>11124</v>
      </c>
      <c r="AG23" s="153">
        <v>11668</v>
      </c>
      <c r="AH23" s="153">
        <v>11992</v>
      </c>
      <c r="AI23" s="153">
        <v>12548</v>
      </c>
      <c r="AJ23" s="153">
        <v>13076</v>
      </c>
      <c r="AK23" s="153">
        <v>13608</v>
      </c>
      <c r="AL23" s="153">
        <v>14340</v>
      </c>
      <c r="AM23" s="153">
        <v>15076</v>
      </c>
      <c r="AN23" s="153">
        <v>15812</v>
      </c>
      <c r="AO23" s="153">
        <v>16548</v>
      </c>
      <c r="AP23" s="153">
        <v>17284</v>
      </c>
      <c r="AQ23" s="153">
        <v>18020</v>
      </c>
      <c r="AR23" s="153">
        <v>18756</v>
      </c>
      <c r="AS23" s="153">
        <v>19492</v>
      </c>
      <c r="AT23" s="153">
        <v>20228</v>
      </c>
      <c r="AU23" s="153">
        <v>20964</v>
      </c>
      <c r="AV23" s="153">
        <v>21700</v>
      </c>
      <c r="AW23" s="153">
        <v>22436</v>
      </c>
      <c r="AX23" s="153">
        <v>23172</v>
      </c>
      <c r="AY23" s="153">
        <v>23908</v>
      </c>
      <c r="AZ23" s="153">
        <v>24644</v>
      </c>
      <c r="BA23" s="153">
        <v>25380</v>
      </c>
      <c r="BB23" s="153">
        <v>26116</v>
      </c>
      <c r="BC23" s="153">
        <v>26852</v>
      </c>
      <c r="BD23" s="153">
        <v>27588</v>
      </c>
      <c r="BE23" s="153">
        <v>28324</v>
      </c>
      <c r="BF23" s="153">
        <v>29060</v>
      </c>
      <c r="BG23" s="153">
        <v>29796</v>
      </c>
      <c r="BH23" s="153">
        <v>30532</v>
      </c>
      <c r="BI23" s="153">
        <v>31268</v>
      </c>
      <c r="DL23">
        <f t="shared" si="106"/>
        <v>0</v>
      </c>
      <c r="DM23">
        <f t="shared" si="107"/>
        <v>0</v>
      </c>
      <c r="DN23">
        <f t="shared" si="108"/>
        <v>0</v>
      </c>
      <c r="DO23">
        <f t="shared" si="109"/>
        <v>0</v>
      </c>
      <c r="DP23">
        <f t="shared" si="110"/>
        <v>0</v>
      </c>
      <c r="DQ23">
        <f t="shared" si="111"/>
        <v>0</v>
      </c>
      <c r="DR23">
        <f t="shared" si="112"/>
        <v>0</v>
      </c>
      <c r="DS23">
        <f t="shared" si="113"/>
        <v>0</v>
      </c>
      <c r="DT23">
        <f t="shared" si="114"/>
        <v>0</v>
      </c>
      <c r="DU23">
        <f t="shared" si="115"/>
        <v>0</v>
      </c>
      <c r="DV23">
        <f t="shared" si="116"/>
        <v>0</v>
      </c>
      <c r="DW23">
        <f t="shared" si="117"/>
        <v>0</v>
      </c>
    </row>
    <row r="24" spans="1:127" x14ac:dyDescent="0.25">
      <c r="A24" s="22">
        <f t="shared" si="2"/>
        <v>18</v>
      </c>
      <c r="B24" s="59" t="str">
        <f t="shared" si="3"/>
        <v>F0013546310</v>
      </c>
      <c r="C24" s="214" t="str">
        <f t="shared" si="4"/>
        <v>82115-0EA10 K</v>
      </c>
      <c r="D24" s="58" t="e">
        <f>VLOOKUP(B24,'Timing Table'!B:G,6,0)</f>
        <v>#N/A</v>
      </c>
      <c r="E24" s="22" t="e">
        <f>VLOOKUP(B24,'Timing Table'!B:D,3,0)</f>
        <v>#N/A</v>
      </c>
      <c r="F24" s="155" t="s">
        <v>79</v>
      </c>
      <c r="G24" s="199">
        <v>0</v>
      </c>
      <c r="H24" s="184" t="s">
        <v>80</v>
      </c>
      <c r="I24" s="185"/>
      <c r="J24" s="200"/>
      <c r="K24" s="156"/>
      <c r="L24" s="157" t="s">
        <v>0</v>
      </c>
      <c r="M24" s="157" t="s">
        <v>0</v>
      </c>
      <c r="N24" s="157" t="s">
        <v>0</v>
      </c>
      <c r="O24" s="157" t="s">
        <v>0</v>
      </c>
      <c r="P24" s="157" t="s">
        <v>0</v>
      </c>
      <c r="Q24" s="157">
        <v>0.95</v>
      </c>
      <c r="R24" s="157" t="s">
        <v>0</v>
      </c>
      <c r="S24" s="157" t="s">
        <v>0</v>
      </c>
      <c r="T24" s="157" t="s">
        <v>0</v>
      </c>
      <c r="U24" s="157" t="s">
        <v>0</v>
      </c>
      <c r="V24" s="157" t="s">
        <v>0</v>
      </c>
      <c r="W24" s="157" t="s">
        <v>0</v>
      </c>
      <c r="X24" s="157" t="s">
        <v>0</v>
      </c>
      <c r="Y24" s="157" t="s">
        <v>0</v>
      </c>
      <c r="Z24" s="157" t="s">
        <v>0</v>
      </c>
      <c r="AA24" s="157" t="s">
        <v>0</v>
      </c>
      <c r="AB24" s="157" t="s">
        <v>0</v>
      </c>
      <c r="AC24" s="157" t="s">
        <v>0</v>
      </c>
      <c r="AD24" s="157" t="s">
        <v>0</v>
      </c>
      <c r="AE24" s="157" t="s">
        <v>0</v>
      </c>
      <c r="AF24" s="157" t="s">
        <v>0</v>
      </c>
      <c r="AG24" s="157" t="s">
        <v>0</v>
      </c>
      <c r="AH24" s="157" t="s">
        <v>0</v>
      </c>
      <c r="AI24" s="157" t="s">
        <v>0</v>
      </c>
      <c r="AJ24" s="157" t="s">
        <v>0</v>
      </c>
      <c r="AK24" s="157" t="s">
        <v>0</v>
      </c>
      <c r="AL24" s="157" t="s">
        <v>0</v>
      </c>
      <c r="AM24" s="157" t="s">
        <v>0</v>
      </c>
      <c r="AN24" s="157" t="s">
        <v>0</v>
      </c>
      <c r="AO24" s="157" t="s">
        <v>0</v>
      </c>
      <c r="AP24" s="157" t="s">
        <v>0</v>
      </c>
      <c r="AQ24" s="157" t="s">
        <v>0</v>
      </c>
      <c r="AR24" s="157" t="s">
        <v>0</v>
      </c>
      <c r="AS24" s="157" t="s">
        <v>0</v>
      </c>
      <c r="AT24" s="157" t="s">
        <v>0</v>
      </c>
      <c r="AU24" s="157" t="s">
        <v>0</v>
      </c>
      <c r="AV24" s="157" t="s">
        <v>0</v>
      </c>
      <c r="AW24" s="157" t="s">
        <v>0</v>
      </c>
      <c r="AX24" s="157" t="s">
        <v>0</v>
      </c>
      <c r="AY24" s="157" t="s">
        <v>0</v>
      </c>
      <c r="AZ24" s="157" t="s">
        <v>0</v>
      </c>
      <c r="BA24" s="157" t="s">
        <v>0</v>
      </c>
      <c r="BB24" s="157" t="s">
        <v>0</v>
      </c>
      <c r="BC24" s="157" t="s">
        <v>0</v>
      </c>
      <c r="BD24" s="157" t="s">
        <v>0</v>
      </c>
      <c r="BE24" s="157" t="s">
        <v>0</v>
      </c>
      <c r="BF24" s="157" t="s">
        <v>0</v>
      </c>
      <c r="BG24" s="157" t="s">
        <v>0</v>
      </c>
      <c r="BH24" s="157" t="s">
        <v>0</v>
      </c>
      <c r="BI24" s="158"/>
      <c r="DL24">
        <f t="shared" si="106"/>
        <v>0</v>
      </c>
      <c r="DM24">
        <f t="shared" si="107"/>
        <v>0</v>
      </c>
      <c r="DN24">
        <f t="shared" si="108"/>
        <v>0</v>
      </c>
      <c r="DO24">
        <f t="shared" si="109"/>
        <v>0</v>
      </c>
      <c r="DP24">
        <f t="shared" si="110"/>
        <v>0</v>
      </c>
      <c r="DQ24">
        <f t="shared" si="111"/>
        <v>0</v>
      </c>
      <c r="DR24">
        <f t="shared" si="112"/>
        <v>0</v>
      </c>
      <c r="DS24">
        <f t="shared" si="113"/>
        <v>0</v>
      </c>
      <c r="DT24">
        <f t="shared" si="114"/>
        <v>0</v>
      </c>
      <c r="DU24">
        <f t="shared" si="115"/>
        <v>0</v>
      </c>
      <c r="DV24">
        <f t="shared" si="116"/>
        <v>0</v>
      </c>
      <c r="DW24">
        <f t="shared" si="117"/>
        <v>0</v>
      </c>
    </row>
    <row r="25" spans="1:127" x14ac:dyDescent="0.25">
      <c r="A25" s="22">
        <f t="shared" si="2"/>
        <v>19</v>
      </c>
      <c r="B25" s="59" t="str">
        <f t="shared" si="3"/>
        <v>F0013546310</v>
      </c>
      <c r="C25" s="214" t="str">
        <f t="shared" si="4"/>
        <v>82115-0EA10 K</v>
      </c>
      <c r="D25" s="58" t="e">
        <f>VLOOKUP(B25,'Timing Table'!B:G,6,0)</f>
        <v>#N/A</v>
      </c>
      <c r="E25" s="22" t="e">
        <f>VLOOKUP(B25,'Timing Table'!B:D,3,0)</f>
        <v>#N/A</v>
      </c>
      <c r="F25" s="159" t="s">
        <v>81</v>
      </c>
      <c r="G25" s="160" t="s">
        <v>60</v>
      </c>
      <c r="H25" s="201" t="s">
        <v>60</v>
      </c>
      <c r="I25" s="183" t="s">
        <v>60</v>
      </c>
      <c r="J25" s="183" t="s">
        <v>0</v>
      </c>
      <c r="K25" s="183" t="s">
        <v>0</v>
      </c>
      <c r="L25" s="183" t="s">
        <v>0</v>
      </c>
      <c r="M25" s="183" t="s">
        <v>0</v>
      </c>
      <c r="N25" s="183" t="s">
        <v>0</v>
      </c>
      <c r="O25" s="183" t="s">
        <v>0</v>
      </c>
      <c r="P25" s="183" t="s">
        <v>0</v>
      </c>
      <c r="Q25" s="183" t="s">
        <v>508</v>
      </c>
      <c r="R25" s="183"/>
      <c r="S25" s="183" t="s">
        <v>0</v>
      </c>
      <c r="T25" s="183" t="s">
        <v>0</v>
      </c>
      <c r="U25" s="183" t="s">
        <v>0</v>
      </c>
      <c r="V25" s="183" t="s">
        <v>0</v>
      </c>
      <c r="W25" s="183" t="s">
        <v>0</v>
      </c>
      <c r="X25" s="183" t="s">
        <v>0</v>
      </c>
      <c r="Y25" s="183" t="s">
        <v>0</v>
      </c>
      <c r="Z25" s="183" t="s">
        <v>0</v>
      </c>
      <c r="AA25" s="183" t="s">
        <v>0</v>
      </c>
      <c r="AB25" s="183" t="s">
        <v>0</v>
      </c>
      <c r="AC25" s="183" t="s">
        <v>0</v>
      </c>
      <c r="AD25" s="183" t="s">
        <v>0</v>
      </c>
      <c r="AE25" s="183" t="s">
        <v>0</v>
      </c>
      <c r="AF25" s="183" t="s">
        <v>0</v>
      </c>
      <c r="AG25" s="183" t="s">
        <v>0</v>
      </c>
      <c r="AH25" s="183" t="s">
        <v>0</v>
      </c>
      <c r="AI25" s="183" t="s">
        <v>0</v>
      </c>
      <c r="AJ25" s="183" t="s">
        <v>0</v>
      </c>
      <c r="AK25" s="183" t="s">
        <v>0</v>
      </c>
      <c r="AL25" s="183" t="s">
        <v>0</v>
      </c>
      <c r="AM25" s="183" t="s">
        <v>0</v>
      </c>
      <c r="AN25" s="183" t="s">
        <v>0</v>
      </c>
      <c r="AO25" s="183" t="s">
        <v>0</v>
      </c>
      <c r="AP25" s="183" t="s">
        <v>0</v>
      </c>
      <c r="AQ25" s="183" t="s">
        <v>0</v>
      </c>
      <c r="AR25" s="183" t="s">
        <v>0</v>
      </c>
      <c r="AS25" s="183" t="s">
        <v>0</v>
      </c>
      <c r="AT25" s="183" t="s">
        <v>0</v>
      </c>
      <c r="AU25" s="183" t="s">
        <v>0</v>
      </c>
      <c r="AV25" s="183" t="s">
        <v>0</v>
      </c>
      <c r="AW25" s="183" t="s">
        <v>0</v>
      </c>
      <c r="AX25" s="183" t="s">
        <v>0</v>
      </c>
      <c r="AY25" s="183" t="s">
        <v>0</v>
      </c>
      <c r="AZ25" s="183" t="s">
        <v>0</v>
      </c>
      <c r="BA25" s="183" t="s">
        <v>0</v>
      </c>
      <c r="BB25" s="183" t="s">
        <v>0</v>
      </c>
      <c r="BC25" s="183" t="s">
        <v>0</v>
      </c>
      <c r="BD25" s="183" t="s">
        <v>0</v>
      </c>
      <c r="BE25" s="183" t="s">
        <v>0</v>
      </c>
      <c r="BF25" s="183" t="s">
        <v>0</v>
      </c>
      <c r="BG25" s="183" t="s">
        <v>0</v>
      </c>
      <c r="BH25" s="183" t="s">
        <v>0</v>
      </c>
      <c r="BI25" s="161"/>
      <c r="DL25">
        <f t="shared" si="106"/>
        <v>0</v>
      </c>
      <c r="DM25">
        <f t="shared" si="107"/>
        <v>0</v>
      </c>
      <c r="DN25">
        <f t="shared" si="108"/>
        <v>0</v>
      </c>
      <c r="DO25">
        <f t="shared" si="109"/>
        <v>0</v>
      </c>
      <c r="DP25">
        <f t="shared" si="110"/>
        <v>0</v>
      </c>
      <c r="DQ25">
        <f t="shared" si="111"/>
        <v>0</v>
      </c>
      <c r="DR25">
        <f t="shared" si="112"/>
        <v>0</v>
      </c>
      <c r="DS25">
        <f t="shared" si="113"/>
        <v>0</v>
      </c>
      <c r="DT25">
        <f t="shared" si="114"/>
        <v>0</v>
      </c>
      <c r="DU25">
        <f t="shared" si="115"/>
        <v>0</v>
      </c>
      <c r="DV25">
        <f t="shared" si="116"/>
        <v>0</v>
      </c>
      <c r="DW25">
        <f t="shared" si="117"/>
        <v>0</v>
      </c>
    </row>
    <row r="26" spans="1:127" x14ac:dyDescent="0.25">
      <c r="A26" s="22">
        <f t="shared" si="2"/>
        <v>20</v>
      </c>
      <c r="B26" s="59" t="str">
        <f t="shared" si="3"/>
        <v>F0013546310</v>
      </c>
      <c r="C26" s="214" t="str">
        <f t="shared" si="4"/>
        <v>82115-0EA10 K</v>
      </c>
      <c r="D26" s="58" t="e">
        <f>VLOOKUP(B26,'Timing Table'!B:G,6,0)</f>
        <v>#N/A</v>
      </c>
      <c r="E26" s="22" t="e">
        <f>VLOOKUP(B26,'Timing Table'!B:D,3,0)</f>
        <v>#N/A</v>
      </c>
      <c r="F26" s="188" t="s">
        <v>60</v>
      </c>
      <c r="G26" s="162" t="s">
        <v>60</v>
      </c>
      <c r="H26" s="163" t="s">
        <v>60</v>
      </c>
      <c r="I26" s="164" t="s">
        <v>60</v>
      </c>
      <c r="J26" s="164" t="s">
        <v>0</v>
      </c>
      <c r="K26" s="164" t="s">
        <v>0</v>
      </c>
      <c r="L26" s="164" t="s">
        <v>0</v>
      </c>
      <c r="M26" s="164" t="s">
        <v>0</v>
      </c>
      <c r="N26" s="164" t="s">
        <v>0</v>
      </c>
      <c r="O26" s="164" t="s">
        <v>0</v>
      </c>
      <c r="P26" s="164" t="s">
        <v>0</v>
      </c>
      <c r="Q26" s="164" t="s">
        <v>0</v>
      </c>
      <c r="R26" s="164" t="s">
        <v>0</v>
      </c>
      <c r="S26" s="164" t="s">
        <v>0</v>
      </c>
      <c r="T26" s="164" t="s">
        <v>0</v>
      </c>
      <c r="U26" s="164" t="s">
        <v>0</v>
      </c>
      <c r="V26" s="164" t="s">
        <v>0</v>
      </c>
      <c r="W26" s="164" t="s">
        <v>0</v>
      </c>
      <c r="X26" s="164" t="s">
        <v>0</v>
      </c>
      <c r="Y26" s="164" t="s">
        <v>0</v>
      </c>
      <c r="Z26" s="164" t="s">
        <v>0</v>
      </c>
      <c r="AA26" s="164" t="s">
        <v>0</v>
      </c>
      <c r="AB26" s="164" t="s">
        <v>0</v>
      </c>
      <c r="AC26" s="164" t="s">
        <v>0</v>
      </c>
      <c r="AD26" s="164" t="s">
        <v>0</v>
      </c>
      <c r="AE26" s="164" t="s">
        <v>0</v>
      </c>
      <c r="AF26" s="164" t="s">
        <v>0</v>
      </c>
      <c r="AG26" s="164" t="s">
        <v>0</v>
      </c>
      <c r="AH26" s="164" t="s">
        <v>0</v>
      </c>
      <c r="AI26" s="164" t="s">
        <v>0</v>
      </c>
      <c r="AJ26" s="164" t="s">
        <v>0</v>
      </c>
      <c r="AK26" s="164" t="s">
        <v>0</v>
      </c>
      <c r="AL26" s="164" t="s">
        <v>0</v>
      </c>
      <c r="AM26" s="164" t="s">
        <v>0</v>
      </c>
      <c r="AN26" s="164" t="s">
        <v>0</v>
      </c>
      <c r="AO26" s="164" t="s">
        <v>0</v>
      </c>
      <c r="AP26" s="164" t="s">
        <v>0</v>
      </c>
      <c r="AQ26" s="164" t="s">
        <v>0</v>
      </c>
      <c r="AR26" s="164" t="s">
        <v>0</v>
      </c>
      <c r="AS26" s="164" t="s">
        <v>0</v>
      </c>
      <c r="AT26" s="164" t="s">
        <v>0</v>
      </c>
      <c r="AU26" s="164" t="s">
        <v>0</v>
      </c>
      <c r="AV26" s="164" t="s">
        <v>0</v>
      </c>
      <c r="AW26" s="164" t="s">
        <v>0</v>
      </c>
      <c r="AX26" s="164" t="s">
        <v>0</v>
      </c>
      <c r="AY26" s="164" t="s">
        <v>0</v>
      </c>
      <c r="AZ26" s="164" t="s">
        <v>0</v>
      </c>
      <c r="BA26" s="164" t="s">
        <v>0</v>
      </c>
      <c r="BB26" s="164" t="s">
        <v>0</v>
      </c>
      <c r="BC26" s="164" t="s">
        <v>0</v>
      </c>
      <c r="BD26" s="164" t="s">
        <v>0</v>
      </c>
      <c r="BE26" s="164" t="s">
        <v>0</v>
      </c>
      <c r="BF26" s="164" t="s">
        <v>0</v>
      </c>
      <c r="BG26" s="164" t="s">
        <v>0</v>
      </c>
      <c r="BH26" s="164" t="s">
        <v>0</v>
      </c>
      <c r="BI26" s="189"/>
      <c r="DL26">
        <f t="shared" si="106"/>
        <v>0</v>
      </c>
      <c r="DM26">
        <f t="shared" si="107"/>
        <v>0</v>
      </c>
      <c r="DN26">
        <f t="shared" si="108"/>
        <v>0</v>
      </c>
      <c r="DO26">
        <f t="shared" si="109"/>
        <v>0</v>
      </c>
      <c r="DP26">
        <f t="shared" si="110"/>
        <v>0</v>
      </c>
      <c r="DQ26">
        <f t="shared" si="111"/>
        <v>0</v>
      </c>
      <c r="DR26">
        <f t="shared" si="112"/>
        <v>0</v>
      </c>
      <c r="DS26">
        <f t="shared" si="113"/>
        <v>0</v>
      </c>
      <c r="DT26">
        <f t="shared" si="114"/>
        <v>0</v>
      </c>
      <c r="DU26">
        <f t="shared" si="115"/>
        <v>0</v>
      </c>
      <c r="DV26">
        <f t="shared" si="116"/>
        <v>0</v>
      </c>
      <c r="DW26">
        <f t="shared" si="117"/>
        <v>0</v>
      </c>
    </row>
    <row r="27" spans="1:127" x14ac:dyDescent="0.25">
      <c r="A27" s="22">
        <f t="shared" si="2"/>
        <v>21</v>
      </c>
      <c r="B27" s="59" t="str">
        <f t="shared" si="3"/>
        <v>F0013546510</v>
      </c>
      <c r="C27" s="214" t="str">
        <f t="shared" si="4"/>
        <v>82115-0E480 K</v>
      </c>
      <c r="D27" s="58" t="e">
        <f>VLOOKUP(B27,'Timing Table'!B:G,6,0)</f>
        <v>#N/A</v>
      </c>
      <c r="E27" s="22" t="e">
        <f>VLOOKUP(B27,'Timing Table'!B:D,3,0)</f>
        <v>#N/A</v>
      </c>
      <c r="F27" s="155" t="s">
        <v>61</v>
      </c>
      <c r="G27" s="181">
        <v>5501044286</v>
      </c>
      <c r="H27" s="155" t="s">
        <v>62</v>
      </c>
      <c r="I27" s="181">
        <v>51</v>
      </c>
      <c r="J27" s="155" t="s">
        <v>63</v>
      </c>
      <c r="K27" s="160">
        <v>1179884</v>
      </c>
      <c r="L27" s="161"/>
      <c r="M27" s="190" t="s">
        <v>64</v>
      </c>
      <c r="N27" s="191"/>
      <c r="O27" s="192">
        <v>46086</v>
      </c>
      <c r="P27" s="155" t="s">
        <v>65</v>
      </c>
      <c r="Q27" s="181">
        <v>4</v>
      </c>
      <c r="R27" s="6" t="s">
        <v>0</v>
      </c>
      <c r="S27" s="7" t="s">
        <v>0</v>
      </c>
      <c r="T27" s="7" t="s">
        <v>0</v>
      </c>
      <c r="U27" s="7" t="s">
        <v>0</v>
      </c>
      <c r="V27" s="7" t="s">
        <v>0</v>
      </c>
      <c r="W27" s="7" t="s">
        <v>0</v>
      </c>
      <c r="X27" s="7" t="s">
        <v>0</v>
      </c>
      <c r="Y27" s="7" t="s">
        <v>0</v>
      </c>
      <c r="Z27" s="7" t="s">
        <v>0</v>
      </c>
      <c r="AA27" s="7" t="s">
        <v>0</v>
      </c>
      <c r="AB27" s="7" t="s">
        <v>0</v>
      </c>
      <c r="AC27" s="7" t="s">
        <v>0</v>
      </c>
      <c r="AD27" s="7" t="s">
        <v>0</v>
      </c>
      <c r="AE27" s="7" t="s">
        <v>0</v>
      </c>
      <c r="AF27" s="7" t="s">
        <v>0</v>
      </c>
      <c r="AG27" s="7" t="s">
        <v>0</v>
      </c>
      <c r="AH27" s="7" t="s">
        <v>0</v>
      </c>
      <c r="AI27" s="7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0</v>
      </c>
      <c r="AR27" s="7" t="s">
        <v>0</v>
      </c>
      <c r="AS27" s="7" t="s">
        <v>0</v>
      </c>
      <c r="AT27" s="7" t="s">
        <v>0</v>
      </c>
      <c r="AU27" s="7" t="s">
        <v>0</v>
      </c>
      <c r="AV27" s="7" t="s">
        <v>0</v>
      </c>
      <c r="AW27" s="7" t="s">
        <v>0</v>
      </c>
      <c r="AX27" s="7" t="s">
        <v>0</v>
      </c>
      <c r="AY27" s="7" t="s">
        <v>0</v>
      </c>
      <c r="AZ27" s="7" t="s">
        <v>0</v>
      </c>
      <c r="BA27" s="7" t="s">
        <v>0</v>
      </c>
      <c r="BB27" s="7" t="s">
        <v>0</v>
      </c>
      <c r="BC27" s="7" t="s">
        <v>0</v>
      </c>
      <c r="BD27" s="7" t="s">
        <v>0</v>
      </c>
      <c r="BE27" s="7" t="s">
        <v>0</v>
      </c>
      <c r="BF27" s="7" t="s">
        <v>0</v>
      </c>
      <c r="BG27" s="7" t="s">
        <v>0</v>
      </c>
      <c r="BH27" s="7" t="s">
        <v>0</v>
      </c>
      <c r="BI27" s="8"/>
      <c r="DL27">
        <f t="shared" si="106"/>
        <v>0</v>
      </c>
      <c r="DM27">
        <f t="shared" si="107"/>
        <v>0</v>
      </c>
      <c r="DN27">
        <f t="shared" si="108"/>
        <v>0</v>
      </c>
      <c r="DO27">
        <f t="shared" si="109"/>
        <v>0</v>
      </c>
      <c r="DP27">
        <f t="shared" si="110"/>
        <v>0</v>
      </c>
      <c r="DQ27">
        <f t="shared" si="111"/>
        <v>0</v>
      </c>
      <c r="DR27">
        <f t="shared" si="112"/>
        <v>0</v>
      </c>
      <c r="DS27">
        <f t="shared" si="113"/>
        <v>0</v>
      </c>
      <c r="DT27">
        <f t="shared" si="114"/>
        <v>0</v>
      </c>
      <c r="DU27">
        <f t="shared" si="115"/>
        <v>0</v>
      </c>
      <c r="DV27">
        <f t="shared" si="116"/>
        <v>0</v>
      </c>
      <c r="DW27">
        <f t="shared" si="117"/>
        <v>0</v>
      </c>
    </row>
    <row r="28" spans="1:127" x14ac:dyDescent="0.25">
      <c r="A28" s="22">
        <f t="shared" si="2"/>
        <v>22</v>
      </c>
      <c r="B28" s="59" t="str">
        <f t="shared" si="3"/>
        <v>F0013546510</v>
      </c>
      <c r="C28" s="214" t="str">
        <f t="shared" si="4"/>
        <v>82115-0E480 K</v>
      </c>
      <c r="D28" s="58" t="e">
        <f>VLOOKUP(B28,'Timing Table'!B:G,6,0)</f>
        <v>#N/A</v>
      </c>
      <c r="E28" s="22" t="e">
        <f>VLOOKUP(B28,'Timing Table'!B:D,3,0)</f>
        <v>#N/A</v>
      </c>
      <c r="F28" s="155" t="s">
        <v>66</v>
      </c>
      <c r="G28" s="181" t="s">
        <v>417</v>
      </c>
      <c r="H28" s="155" t="s">
        <v>67</v>
      </c>
      <c r="I28" s="182" t="s">
        <v>447</v>
      </c>
      <c r="J28" s="183"/>
      <c r="K28" s="183"/>
      <c r="L28" s="161"/>
      <c r="M28" s="155" t="s">
        <v>68</v>
      </c>
      <c r="N28" s="181">
        <v>2023</v>
      </c>
      <c r="O28" s="184" t="s">
        <v>69</v>
      </c>
      <c r="P28" s="185"/>
      <c r="Q28" s="193" t="s">
        <v>329</v>
      </c>
      <c r="R28" s="156" t="s">
        <v>0</v>
      </c>
      <c r="S28" s="157" t="s">
        <v>0</v>
      </c>
      <c r="T28" s="157" t="s">
        <v>0</v>
      </c>
      <c r="U28" s="157" t="s">
        <v>0</v>
      </c>
      <c r="V28" s="157" t="s">
        <v>0</v>
      </c>
      <c r="W28" s="157" t="s">
        <v>0</v>
      </c>
      <c r="X28" s="157" t="s">
        <v>0</v>
      </c>
      <c r="Y28" s="157" t="s">
        <v>0</v>
      </c>
      <c r="Z28" s="157" t="s">
        <v>0</v>
      </c>
      <c r="AA28" s="157" t="s">
        <v>0</v>
      </c>
      <c r="AB28" s="157" t="s">
        <v>0</v>
      </c>
      <c r="AC28" s="157" t="s">
        <v>0</v>
      </c>
      <c r="AD28" s="157" t="s">
        <v>0</v>
      </c>
      <c r="AE28" s="157" t="s">
        <v>0</v>
      </c>
      <c r="AF28" s="157" t="s">
        <v>0</v>
      </c>
      <c r="AG28" s="157" t="s">
        <v>0</v>
      </c>
      <c r="AH28" s="157" t="s">
        <v>0</v>
      </c>
      <c r="AI28" s="157" t="s">
        <v>0</v>
      </c>
      <c r="AJ28" s="157" t="s">
        <v>0</v>
      </c>
      <c r="AK28" s="157" t="s">
        <v>0</v>
      </c>
      <c r="AL28" s="157" t="s">
        <v>0</v>
      </c>
      <c r="AM28" s="157" t="s">
        <v>0</v>
      </c>
      <c r="AN28" s="157" t="s">
        <v>0</v>
      </c>
      <c r="AO28" s="157" t="s">
        <v>0</v>
      </c>
      <c r="AP28" s="157" t="s">
        <v>0</v>
      </c>
      <c r="AQ28" s="157" t="s">
        <v>0</v>
      </c>
      <c r="AR28" s="157" t="s">
        <v>0</v>
      </c>
      <c r="AS28" s="157" t="s">
        <v>0</v>
      </c>
      <c r="AT28" s="157" t="s">
        <v>0</v>
      </c>
      <c r="AU28" s="157" t="s">
        <v>0</v>
      </c>
      <c r="AV28" s="157" t="s">
        <v>0</v>
      </c>
      <c r="AW28" s="157" t="s">
        <v>0</v>
      </c>
      <c r="AX28" s="157" t="s">
        <v>0</v>
      </c>
      <c r="AY28" s="157" t="s">
        <v>0</v>
      </c>
      <c r="AZ28" s="157" t="s">
        <v>0</v>
      </c>
      <c r="BA28" s="157" t="s">
        <v>0</v>
      </c>
      <c r="BB28" s="157" t="s">
        <v>0</v>
      </c>
      <c r="BC28" s="157" t="s">
        <v>0</v>
      </c>
      <c r="BD28" s="157" t="s">
        <v>0</v>
      </c>
      <c r="BE28" s="157" t="s">
        <v>0</v>
      </c>
      <c r="BF28" s="157" t="s">
        <v>0</v>
      </c>
      <c r="BG28" s="157" t="s">
        <v>0</v>
      </c>
      <c r="BH28" s="157" t="s">
        <v>0</v>
      </c>
      <c r="BI28" s="158"/>
      <c r="DL28">
        <f t="shared" si="106"/>
        <v>0</v>
      </c>
      <c r="DM28">
        <f t="shared" si="107"/>
        <v>0</v>
      </c>
      <c r="DN28">
        <f t="shared" si="108"/>
        <v>0</v>
      </c>
      <c r="DO28">
        <f t="shared" si="109"/>
        <v>0</v>
      </c>
      <c r="DP28">
        <f t="shared" si="110"/>
        <v>0</v>
      </c>
      <c r="DQ28">
        <f t="shared" si="111"/>
        <v>0</v>
      </c>
      <c r="DR28">
        <f t="shared" si="112"/>
        <v>0</v>
      </c>
      <c r="DS28">
        <f t="shared" si="113"/>
        <v>0</v>
      </c>
      <c r="DT28">
        <f t="shared" si="114"/>
        <v>0</v>
      </c>
      <c r="DU28">
        <f t="shared" si="115"/>
        <v>0</v>
      </c>
      <c r="DV28">
        <f t="shared" si="116"/>
        <v>0</v>
      </c>
      <c r="DW28">
        <f t="shared" si="117"/>
        <v>0</v>
      </c>
    </row>
    <row r="29" spans="1:127" x14ac:dyDescent="0.25">
      <c r="A29" s="22">
        <f t="shared" si="2"/>
        <v>23</v>
      </c>
      <c r="B29" s="59" t="str">
        <f t="shared" si="3"/>
        <v>F0013546510</v>
      </c>
      <c r="C29" s="214" t="str">
        <f t="shared" si="4"/>
        <v>82115-0E480 K</v>
      </c>
      <c r="D29" s="58" t="e">
        <f>VLOOKUP(B29,'Timing Table'!B:G,6,0)</f>
        <v>#N/A</v>
      </c>
      <c r="E29" s="22" t="e">
        <f>VLOOKUP(B29,'Timing Table'!B:D,3,0)</f>
        <v>#N/A</v>
      </c>
      <c r="F29" s="155" t="s">
        <v>70</v>
      </c>
      <c r="G29" s="181" t="s">
        <v>418</v>
      </c>
      <c r="H29" s="155" t="s">
        <v>71</v>
      </c>
      <c r="I29" s="182" t="s">
        <v>60</v>
      </c>
      <c r="J29" s="161" t="s">
        <v>0</v>
      </c>
      <c r="K29" s="194" t="s">
        <v>0</v>
      </c>
      <c r="L29" s="195" t="s">
        <v>0</v>
      </c>
      <c r="M29" s="179" t="s">
        <v>0</v>
      </c>
      <c r="N29" s="179" t="s">
        <v>0</v>
      </c>
      <c r="O29" s="179" t="s">
        <v>0</v>
      </c>
      <c r="P29" s="179" t="s">
        <v>0</v>
      </c>
      <c r="Q29" s="179" t="s">
        <v>1</v>
      </c>
      <c r="R29" s="179" t="s">
        <v>2</v>
      </c>
      <c r="S29" s="179" t="s">
        <v>0</v>
      </c>
      <c r="T29" s="179" t="s">
        <v>0</v>
      </c>
      <c r="U29" s="179" t="s">
        <v>0</v>
      </c>
      <c r="V29" s="179" t="s">
        <v>0</v>
      </c>
      <c r="W29" s="179" t="s">
        <v>0</v>
      </c>
      <c r="X29" s="179" t="s">
        <v>0</v>
      </c>
      <c r="Y29" s="179" t="s">
        <v>0</v>
      </c>
      <c r="Z29" s="179" t="s">
        <v>3</v>
      </c>
      <c r="AA29" s="179" t="s">
        <v>0</v>
      </c>
      <c r="AB29" s="179" t="s">
        <v>0</v>
      </c>
      <c r="AC29" s="179" t="s">
        <v>0</v>
      </c>
      <c r="AD29" s="179" t="s">
        <v>0</v>
      </c>
      <c r="AE29" s="179" t="s">
        <v>0</v>
      </c>
      <c r="AF29" s="179" t="s">
        <v>0</v>
      </c>
      <c r="AG29" s="179" t="s">
        <v>0</v>
      </c>
      <c r="AH29" s="179" t="s">
        <v>0</v>
      </c>
      <c r="AI29" s="179" t="s">
        <v>0</v>
      </c>
      <c r="AJ29" s="179" t="s">
        <v>0</v>
      </c>
      <c r="AK29" s="179" t="s">
        <v>0</v>
      </c>
      <c r="AL29" s="179" t="s">
        <v>0</v>
      </c>
      <c r="AM29" s="179" t="s">
        <v>0</v>
      </c>
      <c r="AN29" s="179" t="s">
        <v>0</v>
      </c>
      <c r="AO29" s="179" t="s">
        <v>0</v>
      </c>
      <c r="AP29" s="179" t="s">
        <v>0</v>
      </c>
      <c r="AQ29" s="179" t="s">
        <v>0</v>
      </c>
      <c r="AR29" s="179" t="s">
        <v>0</v>
      </c>
      <c r="AS29" s="179" t="s">
        <v>0</v>
      </c>
      <c r="AT29" s="179" t="s">
        <v>0</v>
      </c>
      <c r="AU29" s="179" t="s">
        <v>0</v>
      </c>
      <c r="AV29" s="179" t="s">
        <v>0</v>
      </c>
      <c r="AW29" s="179" t="s">
        <v>0</v>
      </c>
      <c r="AX29" s="179" t="s">
        <v>0</v>
      </c>
      <c r="AY29" s="179" t="s">
        <v>0</v>
      </c>
      <c r="AZ29" s="179" t="s">
        <v>0</v>
      </c>
      <c r="BA29" s="179" t="s">
        <v>0</v>
      </c>
      <c r="BB29" s="179" t="s">
        <v>0</v>
      </c>
      <c r="BC29" s="179" t="s">
        <v>0</v>
      </c>
      <c r="BD29" s="179" t="s">
        <v>0</v>
      </c>
      <c r="BE29" s="179" t="s">
        <v>0</v>
      </c>
      <c r="BF29" s="179" t="s">
        <v>0</v>
      </c>
      <c r="BG29" s="179" t="s">
        <v>0</v>
      </c>
      <c r="BH29" s="179" t="s">
        <v>0</v>
      </c>
      <c r="BI29" s="180" t="s">
        <v>4</v>
      </c>
      <c r="DL29">
        <f t="shared" si="106"/>
        <v>0</v>
      </c>
      <c r="DM29">
        <f t="shared" si="107"/>
        <v>0</v>
      </c>
      <c r="DN29">
        <f t="shared" si="108"/>
        <v>0</v>
      </c>
      <c r="DO29">
        <f t="shared" si="109"/>
        <v>0</v>
      </c>
      <c r="DP29">
        <f t="shared" si="110"/>
        <v>0</v>
      </c>
      <c r="DQ29">
        <f t="shared" si="111"/>
        <v>0</v>
      </c>
      <c r="DR29">
        <f t="shared" si="112"/>
        <v>0</v>
      </c>
      <c r="DS29">
        <f t="shared" si="113"/>
        <v>0</v>
      </c>
      <c r="DT29">
        <f t="shared" si="114"/>
        <v>0</v>
      </c>
      <c r="DU29">
        <f t="shared" si="115"/>
        <v>0</v>
      </c>
      <c r="DV29">
        <f t="shared" si="116"/>
        <v>0</v>
      </c>
      <c r="DW29">
        <f t="shared" si="117"/>
        <v>0</v>
      </c>
    </row>
    <row r="30" spans="1:127" x14ac:dyDescent="0.25">
      <c r="A30" s="22">
        <f t="shared" si="2"/>
        <v>24</v>
      </c>
      <c r="B30" s="59" t="str">
        <f t="shared" si="3"/>
        <v>F0013546510</v>
      </c>
      <c r="C30" s="214" t="str">
        <f t="shared" si="4"/>
        <v>82115-0E480 K</v>
      </c>
      <c r="D30" s="58" t="e">
        <f>VLOOKUP(B30,'Timing Table'!B:G,6,0)</f>
        <v>#N/A</v>
      </c>
      <c r="E30" s="22" t="e">
        <f>VLOOKUP(B30,'Timing Table'!B:D,3,0)</f>
        <v>#N/A</v>
      </c>
      <c r="F30" s="155" t="s">
        <v>72</v>
      </c>
      <c r="G30" s="181">
        <v>7576</v>
      </c>
      <c r="H30" s="196" t="s">
        <v>4</v>
      </c>
      <c r="I30" s="197" t="s">
        <v>73</v>
      </c>
      <c r="J30" s="13">
        <v>46041</v>
      </c>
      <c r="K30" s="14">
        <v>46048</v>
      </c>
      <c r="L30" s="14">
        <v>46055</v>
      </c>
      <c r="M30" s="14">
        <v>46062</v>
      </c>
      <c r="N30" s="14">
        <v>46069</v>
      </c>
      <c r="O30" s="14">
        <v>46076</v>
      </c>
      <c r="P30" s="14">
        <v>46083</v>
      </c>
      <c r="Q30" s="14">
        <v>46090</v>
      </c>
      <c r="R30" s="14">
        <v>46097</v>
      </c>
      <c r="S30" s="14">
        <v>46104</v>
      </c>
      <c r="T30" s="14">
        <v>46111</v>
      </c>
      <c r="U30" s="14">
        <v>46118</v>
      </c>
      <c r="V30" s="14">
        <v>46125</v>
      </c>
      <c r="W30" s="14">
        <v>46132</v>
      </c>
      <c r="X30" s="14">
        <v>46139</v>
      </c>
      <c r="Y30" s="14">
        <v>46146</v>
      </c>
      <c r="Z30" s="14">
        <v>46153</v>
      </c>
      <c r="AA30" s="14">
        <v>46160</v>
      </c>
      <c r="AB30" s="14">
        <v>46167</v>
      </c>
      <c r="AC30" s="14">
        <v>46174</v>
      </c>
      <c r="AD30" s="14">
        <v>46181</v>
      </c>
      <c r="AE30" s="14">
        <v>46188</v>
      </c>
      <c r="AF30" s="14">
        <v>46195</v>
      </c>
      <c r="AG30" s="14">
        <v>46202</v>
      </c>
      <c r="AH30" s="14">
        <v>46209</v>
      </c>
      <c r="AI30" s="14">
        <v>46216</v>
      </c>
      <c r="AJ30" s="14">
        <v>46223</v>
      </c>
      <c r="AK30" s="14">
        <v>46230</v>
      </c>
      <c r="AL30" s="14">
        <v>46237</v>
      </c>
      <c r="AM30" s="14">
        <v>46244</v>
      </c>
      <c r="AN30" s="14">
        <v>46251</v>
      </c>
      <c r="AO30" s="14">
        <v>46258</v>
      </c>
      <c r="AP30" s="14">
        <v>46265</v>
      </c>
      <c r="AQ30" s="14">
        <v>46272</v>
      </c>
      <c r="AR30" s="14">
        <v>46279</v>
      </c>
      <c r="AS30" s="14">
        <v>46286</v>
      </c>
      <c r="AT30" s="14">
        <v>46293</v>
      </c>
      <c r="AU30" s="14">
        <v>46300</v>
      </c>
      <c r="AV30" s="14">
        <v>46307</v>
      </c>
      <c r="AW30" s="14">
        <v>46314</v>
      </c>
      <c r="AX30" s="14">
        <v>46321</v>
      </c>
      <c r="AY30" s="14">
        <v>46328</v>
      </c>
      <c r="AZ30" s="14">
        <v>46335</v>
      </c>
      <c r="BA30" s="14">
        <v>46342</v>
      </c>
      <c r="BB30" s="14">
        <v>46349</v>
      </c>
      <c r="BC30" s="14">
        <v>46356</v>
      </c>
      <c r="BD30" s="14">
        <v>46363</v>
      </c>
      <c r="BE30" s="14">
        <v>46370</v>
      </c>
      <c r="BF30" s="14">
        <v>46377</v>
      </c>
      <c r="BG30" s="14">
        <v>46384</v>
      </c>
      <c r="BH30" s="14">
        <v>46391</v>
      </c>
      <c r="BI30" s="15">
        <v>46398</v>
      </c>
      <c r="DL30">
        <f t="shared" si="106"/>
        <v>0</v>
      </c>
      <c r="DM30">
        <f t="shared" si="107"/>
        <v>0</v>
      </c>
      <c r="DN30">
        <f t="shared" si="108"/>
        <v>0</v>
      </c>
      <c r="DO30">
        <f t="shared" si="109"/>
        <v>0</v>
      </c>
      <c r="DP30">
        <f t="shared" si="110"/>
        <v>0</v>
      </c>
      <c r="DQ30">
        <f t="shared" si="111"/>
        <v>0</v>
      </c>
      <c r="DR30">
        <f t="shared" si="112"/>
        <v>0</v>
      </c>
      <c r="DS30">
        <f t="shared" si="113"/>
        <v>0</v>
      </c>
      <c r="DT30">
        <f t="shared" si="114"/>
        <v>0</v>
      </c>
      <c r="DU30">
        <f t="shared" si="115"/>
        <v>0</v>
      </c>
      <c r="DV30">
        <f t="shared" si="116"/>
        <v>0</v>
      </c>
      <c r="DW30">
        <f t="shared" si="117"/>
        <v>0</v>
      </c>
    </row>
    <row r="31" spans="1:127" x14ac:dyDescent="0.25">
      <c r="A31" s="22">
        <f t="shared" si="2"/>
        <v>25</v>
      </c>
      <c r="B31" s="59" t="str">
        <f t="shared" si="3"/>
        <v>F0013546510</v>
      </c>
      <c r="C31" s="214" t="str">
        <f t="shared" si="4"/>
        <v>82115-0E480 K</v>
      </c>
      <c r="D31" s="58" t="e">
        <f>VLOOKUP(B31,'Timing Table'!B:G,6,0)</f>
        <v>#N/A</v>
      </c>
      <c r="E31" s="22" t="e">
        <f>VLOOKUP(B31,'Timing Table'!B:D,3,0)</f>
        <v>#N/A</v>
      </c>
      <c r="F31" s="155" t="s">
        <v>74</v>
      </c>
      <c r="G31" s="181">
        <v>9836</v>
      </c>
      <c r="H31" s="5" t="s">
        <v>60</v>
      </c>
      <c r="I31" s="11" t="s">
        <v>147</v>
      </c>
      <c r="J31" s="16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17"/>
      <c r="DL31">
        <f t="shared" si="106"/>
        <v>0</v>
      </c>
      <c r="DM31">
        <f t="shared" si="107"/>
        <v>0</v>
      </c>
      <c r="DN31">
        <f t="shared" si="108"/>
        <v>0</v>
      </c>
      <c r="DO31">
        <f t="shared" si="109"/>
        <v>0</v>
      </c>
      <c r="DP31">
        <f t="shared" si="110"/>
        <v>0</v>
      </c>
      <c r="DQ31">
        <f t="shared" si="111"/>
        <v>0</v>
      </c>
      <c r="DR31">
        <f t="shared" si="112"/>
        <v>0</v>
      </c>
      <c r="DS31">
        <f t="shared" si="113"/>
        <v>0</v>
      </c>
      <c r="DT31">
        <f t="shared" si="114"/>
        <v>0</v>
      </c>
      <c r="DU31">
        <f t="shared" si="115"/>
        <v>0</v>
      </c>
      <c r="DV31">
        <f t="shared" si="116"/>
        <v>0</v>
      </c>
      <c r="DW31">
        <f t="shared" si="117"/>
        <v>0</v>
      </c>
    </row>
    <row r="32" spans="1:127" x14ac:dyDescent="0.25">
      <c r="A32" s="22">
        <f t="shared" si="2"/>
        <v>26</v>
      </c>
      <c r="B32" s="59" t="str">
        <f t="shared" si="3"/>
        <v>F0013546510</v>
      </c>
      <c r="C32" s="214" t="str">
        <f t="shared" si="4"/>
        <v>82115-0E480 K</v>
      </c>
      <c r="D32" s="58" t="e">
        <f>VLOOKUP(B32,'Timing Table'!B:G,6,0)</f>
        <v>#N/A</v>
      </c>
      <c r="E32" s="22" t="e">
        <f>VLOOKUP(B32,'Timing Table'!B:D,3,0)</f>
        <v>#N/A</v>
      </c>
      <c r="F32" s="155" t="s">
        <v>75</v>
      </c>
      <c r="G32" s="198" t="s">
        <v>509</v>
      </c>
      <c r="H32" s="9" t="s">
        <v>160</v>
      </c>
      <c r="I32" s="11" t="s">
        <v>76</v>
      </c>
      <c r="J32" s="143">
        <v>788</v>
      </c>
      <c r="K32" s="64">
        <v>348</v>
      </c>
      <c r="L32" s="64">
        <v>348</v>
      </c>
      <c r="M32" s="64">
        <v>348</v>
      </c>
      <c r="N32" s="64">
        <v>348</v>
      </c>
      <c r="O32" s="64">
        <v>348</v>
      </c>
      <c r="P32" s="64">
        <v>520</v>
      </c>
      <c r="Q32" s="64">
        <v>524</v>
      </c>
      <c r="R32" s="64">
        <v>0</v>
      </c>
      <c r="S32" s="64">
        <v>596</v>
      </c>
      <c r="T32" s="64">
        <v>248</v>
      </c>
      <c r="U32" s="64">
        <v>248</v>
      </c>
      <c r="V32" s="64">
        <v>248</v>
      </c>
      <c r="W32" s="64">
        <v>248</v>
      </c>
      <c r="X32" s="64">
        <v>248</v>
      </c>
      <c r="Y32" s="64">
        <v>248</v>
      </c>
      <c r="Z32" s="64">
        <v>248</v>
      </c>
      <c r="AA32" s="64">
        <v>248</v>
      </c>
      <c r="AB32" s="64">
        <v>248</v>
      </c>
      <c r="AC32" s="64">
        <v>248</v>
      </c>
      <c r="AD32" s="64">
        <v>248</v>
      </c>
      <c r="AE32" s="64">
        <v>248</v>
      </c>
      <c r="AF32" s="64">
        <v>248</v>
      </c>
      <c r="AG32" s="64">
        <v>248</v>
      </c>
      <c r="AH32" s="64">
        <v>248</v>
      </c>
      <c r="AI32" s="64">
        <v>248</v>
      </c>
      <c r="AJ32" s="64">
        <v>248</v>
      </c>
      <c r="AK32" s="64">
        <v>248</v>
      </c>
      <c r="AL32" s="64">
        <v>248</v>
      </c>
      <c r="AM32" s="64">
        <v>248</v>
      </c>
      <c r="AN32" s="64">
        <v>248</v>
      </c>
      <c r="AO32" s="64">
        <v>248</v>
      </c>
      <c r="AP32" s="64">
        <v>248</v>
      </c>
      <c r="AQ32" s="64">
        <v>248</v>
      </c>
      <c r="AR32" s="64">
        <v>248</v>
      </c>
      <c r="AS32" s="64">
        <v>248</v>
      </c>
      <c r="AT32" s="64">
        <v>248</v>
      </c>
      <c r="AU32" s="64">
        <v>248</v>
      </c>
      <c r="AV32" s="64">
        <v>248</v>
      </c>
      <c r="AW32" s="64">
        <v>248</v>
      </c>
      <c r="AX32" s="64">
        <v>248</v>
      </c>
      <c r="AY32" s="64">
        <v>248</v>
      </c>
      <c r="AZ32" s="64">
        <v>248</v>
      </c>
      <c r="BA32" s="64">
        <v>248</v>
      </c>
      <c r="BB32" s="64">
        <v>248</v>
      </c>
      <c r="BC32" s="64">
        <v>248</v>
      </c>
      <c r="BD32" s="64">
        <v>248</v>
      </c>
      <c r="BE32" s="64">
        <v>248</v>
      </c>
      <c r="BF32" s="64">
        <v>248</v>
      </c>
      <c r="BG32" s="64">
        <v>248</v>
      </c>
      <c r="BH32" s="64">
        <v>248</v>
      </c>
      <c r="BI32" s="64">
        <v>248</v>
      </c>
      <c r="BJ32" s="24" t="str">
        <f>+G29</f>
        <v>82115-0E480 K</v>
      </c>
      <c r="BK32" s="24">
        <f>+J32</f>
        <v>788</v>
      </c>
      <c r="BL32" s="24">
        <f t="shared" ref="BL32" si="169">+K32</f>
        <v>348</v>
      </c>
      <c r="BM32" s="24">
        <f t="shared" ref="BM32" si="170">+L32</f>
        <v>348</v>
      </c>
      <c r="BN32" s="24">
        <f t="shared" ref="BN32" si="171">+M32</f>
        <v>348</v>
      </c>
      <c r="BO32" s="24">
        <f t="shared" ref="BO32" si="172">+N32</f>
        <v>348</v>
      </c>
      <c r="BP32" s="24">
        <f t="shared" ref="BP32" si="173">+O32</f>
        <v>348</v>
      </c>
      <c r="BQ32" s="24">
        <f t="shared" ref="BQ32" si="174">+P32</f>
        <v>520</v>
      </c>
      <c r="BR32" s="24">
        <f t="shared" ref="BR32" si="175">+Q32</f>
        <v>524</v>
      </c>
      <c r="BS32" s="24">
        <f t="shared" ref="BS32" si="176">+R32</f>
        <v>0</v>
      </c>
      <c r="BT32" s="24">
        <f t="shared" ref="BT32" si="177">+S32</f>
        <v>596</v>
      </c>
      <c r="BU32" s="24">
        <f t="shared" ref="BU32" si="178">+T32</f>
        <v>248</v>
      </c>
      <c r="BV32" s="24">
        <f t="shared" ref="BV32" si="179">+U32</f>
        <v>248</v>
      </c>
      <c r="BW32" s="24">
        <f t="shared" ref="BW32" si="180">+V32</f>
        <v>248</v>
      </c>
      <c r="BX32" s="24">
        <f t="shared" ref="BX32" si="181">+W32</f>
        <v>248</v>
      </c>
      <c r="BY32" s="24">
        <f t="shared" ref="BY32" si="182">+X32</f>
        <v>248</v>
      </c>
      <c r="BZ32" s="24">
        <f t="shared" ref="BZ32" si="183">+Y32</f>
        <v>248</v>
      </c>
      <c r="CA32" s="24">
        <f t="shared" ref="CA32" si="184">+Z32</f>
        <v>248</v>
      </c>
      <c r="CB32" s="24">
        <f t="shared" ref="CB32" si="185">+AA32</f>
        <v>248</v>
      </c>
      <c r="CC32" s="24">
        <f t="shared" ref="CC32" si="186">+AB32</f>
        <v>248</v>
      </c>
      <c r="CD32" s="24">
        <f t="shared" ref="CD32" si="187">+AC32</f>
        <v>248</v>
      </c>
      <c r="CE32" s="24">
        <f t="shared" ref="CE32" si="188">+AD32</f>
        <v>248</v>
      </c>
      <c r="CF32" s="24">
        <f t="shared" ref="CF32" si="189">+AE32</f>
        <v>248</v>
      </c>
      <c r="CG32" s="24">
        <f t="shared" ref="CG32" si="190">+AF32</f>
        <v>248</v>
      </c>
      <c r="CH32" s="24">
        <f t="shared" ref="CH32" si="191">+AG32</f>
        <v>248</v>
      </c>
      <c r="CI32" s="24">
        <f t="shared" ref="CI32" si="192">+AH32</f>
        <v>248</v>
      </c>
      <c r="CJ32" s="24">
        <f t="shared" ref="CJ32" si="193">+AI32</f>
        <v>248</v>
      </c>
      <c r="CK32" s="24">
        <f t="shared" ref="CK32" si="194">+AJ32</f>
        <v>248</v>
      </c>
      <c r="CL32" s="24">
        <f t="shared" ref="CL32" si="195">+AK32</f>
        <v>248</v>
      </c>
      <c r="CM32" s="24">
        <f t="shared" ref="CM32" si="196">+AL32</f>
        <v>248</v>
      </c>
      <c r="CN32" s="24">
        <f t="shared" ref="CN32" si="197">+AM32</f>
        <v>248</v>
      </c>
      <c r="CO32" s="24">
        <f t="shared" ref="CO32" si="198">+AN32</f>
        <v>248</v>
      </c>
      <c r="CP32" s="166">
        <f t="shared" ref="CP32" si="199">+AO32</f>
        <v>248</v>
      </c>
      <c r="CQ32" s="166">
        <f t="shared" ref="CQ32" si="200">+AP32</f>
        <v>248</v>
      </c>
      <c r="CR32">
        <f t="shared" ref="CR32" si="201">+AQ32</f>
        <v>248</v>
      </c>
      <c r="CS32">
        <f t="shared" ref="CS32" si="202">+AR32</f>
        <v>248</v>
      </c>
      <c r="CT32">
        <f t="shared" ref="CT32" si="203">+AS32</f>
        <v>248</v>
      </c>
      <c r="CU32">
        <f t="shared" ref="CU32" si="204">+AT32</f>
        <v>248</v>
      </c>
      <c r="CV32">
        <f t="shared" ref="CV32" si="205">+AU32</f>
        <v>248</v>
      </c>
      <c r="CW32">
        <f t="shared" ref="CW32" si="206">+AV32</f>
        <v>248</v>
      </c>
      <c r="CX32">
        <f t="shared" ref="CX32" si="207">+AW32</f>
        <v>248</v>
      </c>
      <c r="CY32">
        <f t="shared" ref="CY32" si="208">+AX32</f>
        <v>248</v>
      </c>
      <c r="CZ32">
        <f t="shared" ref="CZ32" si="209">+AY32</f>
        <v>248</v>
      </c>
      <c r="DA32">
        <f t="shared" ref="DA32" si="210">+AZ32</f>
        <v>248</v>
      </c>
      <c r="DB32">
        <f t="shared" ref="DB32" si="211">+BA32</f>
        <v>248</v>
      </c>
      <c r="DC32">
        <f t="shared" ref="DC32" si="212">+BB32</f>
        <v>248</v>
      </c>
      <c r="DD32">
        <f t="shared" ref="DD32" si="213">+BC32</f>
        <v>248</v>
      </c>
      <c r="DE32">
        <f t="shared" ref="DE32" si="214">+BD32</f>
        <v>248</v>
      </c>
      <c r="DF32">
        <f t="shared" ref="DF32" si="215">+BE32</f>
        <v>248</v>
      </c>
      <c r="DG32">
        <f t="shared" ref="DG32" si="216">+BF32</f>
        <v>248</v>
      </c>
      <c r="DH32">
        <f t="shared" ref="DH32" si="217">+BG32</f>
        <v>248</v>
      </c>
      <c r="DI32">
        <f t="shared" ref="DI32" si="218">+BH32</f>
        <v>248</v>
      </c>
      <c r="DJ32">
        <f t="shared" ref="DJ32" si="219">+BI32</f>
        <v>248</v>
      </c>
      <c r="DL32" s="24">
        <f t="shared" si="106"/>
        <v>1136</v>
      </c>
      <c r="DM32" s="24">
        <f t="shared" si="107"/>
        <v>1392</v>
      </c>
      <c r="DN32" s="24">
        <f t="shared" si="108"/>
        <v>1640</v>
      </c>
      <c r="DO32" s="24">
        <f t="shared" si="109"/>
        <v>1240</v>
      </c>
      <c r="DP32" s="24">
        <f t="shared" si="110"/>
        <v>992</v>
      </c>
      <c r="DQ32" s="24">
        <f t="shared" si="111"/>
        <v>992</v>
      </c>
      <c r="DR32" s="24">
        <f t="shared" si="112"/>
        <v>1240</v>
      </c>
      <c r="DS32" s="24">
        <f t="shared" si="113"/>
        <v>992</v>
      </c>
      <c r="DT32" s="24">
        <f t="shared" si="114"/>
        <v>1240</v>
      </c>
      <c r="DU32">
        <f t="shared" si="115"/>
        <v>992</v>
      </c>
      <c r="DV32">
        <f t="shared" si="116"/>
        <v>992</v>
      </c>
      <c r="DW32">
        <f t="shared" si="117"/>
        <v>1240</v>
      </c>
    </row>
    <row r="33" spans="1:127" x14ac:dyDescent="0.25">
      <c r="A33" s="22">
        <f t="shared" si="2"/>
        <v>27</v>
      </c>
      <c r="B33" s="59" t="str">
        <f t="shared" si="3"/>
        <v>F0013546510</v>
      </c>
      <c r="C33" s="214" t="str">
        <f t="shared" si="4"/>
        <v>82115-0E480 K</v>
      </c>
      <c r="D33" s="58" t="e">
        <f>VLOOKUP(B33,'Timing Table'!B:G,6,0)</f>
        <v>#N/A</v>
      </c>
      <c r="E33" s="22" t="e">
        <f>VLOOKUP(B33,'Timing Table'!B:D,3,0)</f>
        <v>#N/A</v>
      </c>
      <c r="F33" s="155" t="s">
        <v>77</v>
      </c>
      <c r="G33" s="181">
        <v>82115</v>
      </c>
      <c r="H33" s="10" t="s">
        <v>160</v>
      </c>
      <c r="I33" s="12" t="s">
        <v>78</v>
      </c>
      <c r="J33" s="152">
        <v>4444</v>
      </c>
      <c r="K33" s="153">
        <v>4792</v>
      </c>
      <c r="L33" s="153">
        <v>5140</v>
      </c>
      <c r="M33" s="153">
        <v>5488</v>
      </c>
      <c r="N33" s="153">
        <v>5836</v>
      </c>
      <c r="O33" s="153">
        <v>6184</v>
      </c>
      <c r="P33" s="153">
        <v>6704</v>
      </c>
      <c r="Q33" s="153">
        <v>7228</v>
      </c>
      <c r="R33" s="153">
        <v>7228</v>
      </c>
      <c r="S33" s="153">
        <v>7824</v>
      </c>
      <c r="T33" s="153">
        <v>8072</v>
      </c>
      <c r="U33" s="153">
        <v>8320</v>
      </c>
      <c r="V33" s="153">
        <v>8568</v>
      </c>
      <c r="W33" s="153">
        <v>8816</v>
      </c>
      <c r="X33" s="153">
        <v>9064</v>
      </c>
      <c r="Y33" s="153">
        <v>9312</v>
      </c>
      <c r="Z33" s="153">
        <v>9560</v>
      </c>
      <c r="AA33" s="153">
        <v>9808</v>
      </c>
      <c r="AB33" s="153">
        <v>10056</v>
      </c>
      <c r="AC33" s="153">
        <v>10304</v>
      </c>
      <c r="AD33" s="153">
        <v>10552</v>
      </c>
      <c r="AE33" s="153">
        <v>10800</v>
      </c>
      <c r="AF33" s="153">
        <v>11048</v>
      </c>
      <c r="AG33" s="153">
        <v>11296</v>
      </c>
      <c r="AH33" s="153">
        <v>11544</v>
      </c>
      <c r="AI33" s="153">
        <v>11792</v>
      </c>
      <c r="AJ33" s="153">
        <v>12040</v>
      </c>
      <c r="AK33" s="153">
        <v>12288</v>
      </c>
      <c r="AL33" s="153">
        <v>12536</v>
      </c>
      <c r="AM33" s="153">
        <v>12784</v>
      </c>
      <c r="AN33" s="153">
        <v>13032</v>
      </c>
      <c r="AO33" s="153">
        <v>13280</v>
      </c>
      <c r="AP33" s="153">
        <v>13528</v>
      </c>
      <c r="AQ33" s="153">
        <v>13776</v>
      </c>
      <c r="AR33" s="153">
        <v>14024</v>
      </c>
      <c r="AS33" s="153">
        <v>14272</v>
      </c>
      <c r="AT33" s="153">
        <v>14520</v>
      </c>
      <c r="AU33" s="153">
        <v>14768</v>
      </c>
      <c r="AV33" s="153">
        <v>15016</v>
      </c>
      <c r="AW33" s="153">
        <v>15264</v>
      </c>
      <c r="AX33" s="153">
        <v>15512</v>
      </c>
      <c r="AY33" s="153">
        <v>15760</v>
      </c>
      <c r="AZ33" s="153">
        <v>16008</v>
      </c>
      <c r="BA33" s="153">
        <v>16256</v>
      </c>
      <c r="BB33" s="153">
        <v>16504</v>
      </c>
      <c r="BC33" s="153">
        <v>16752</v>
      </c>
      <c r="BD33" s="153">
        <v>17000</v>
      </c>
      <c r="BE33" s="153">
        <v>17248</v>
      </c>
      <c r="BF33" s="153">
        <v>17496</v>
      </c>
      <c r="BG33" s="153">
        <v>17744</v>
      </c>
      <c r="BH33" s="153">
        <v>17992</v>
      </c>
      <c r="BI33" s="153">
        <v>18240</v>
      </c>
      <c r="DL33">
        <f t="shared" si="106"/>
        <v>0</v>
      </c>
      <c r="DM33">
        <f t="shared" si="107"/>
        <v>0</v>
      </c>
      <c r="DN33">
        <f t="shared" si="108"/>
        <v>0</v>
      </c>
      <c r="DO33">
        <f t="shared" si="109"/>
        <v>0</v>
      </c>
      <c r="DP33">
        <f t="shared" si="110"/>
        <v>0</v>
      </c>
      <c r="DQ33">
        <f t="shared" si="111"/>
        <v>0</v>
      </c>
      <c r="DR33">
        <f t="shared" si="112"/>
        <v>0</v>
      </c>
      <c r="DS33">
        <f t="shared" si="113"/>
        <v>0</v>
      </c>
      <c r="DT33">
        <f t="shared" si="114"/>
        <v>0</v>
      </c>
      <c r="DU33">
        <f t="shared" si="115"/>
        <v>0</v>
      </c>
      <c r="DV33">
        <f t="shared" si="116"/>
        <v>0</v>
      </c>
      <c r="DW33">
        <f t="shared" si="117"/>
        <v>0</v>
      </c>
    </row>
    <row r="34" spans="1:127" x14ac:dyDescent="0.25">
      <c r="A34" s="22">
        <f t="shared" si="2"/>
        <v>28</v>
      </c>
      <c r="B34" s="59" t="str">
        <f t="shared" si="3"/>
        <v>F0013546510</v>
      </c>
      <c r="C34" s="214" t="str">
        <f t="shared" si="4"/>
        <v>82115-0E480 K</v>
      </c>
      <c r="D34" s="58" t="e">
        <f>VLOOKUP(B34,'Timing Table'!B:G,6,0)</f>
        <v>#N/A</v>
      </c>
      <c r="E34" s="22" t="e">
        <f>VLOOKUP(B34,'Timing Table'!B:D,3,0)</f>
        <v>#N/A</v>
      </c>
      <c r="F34" s="155" t="s">
        <v>79</v>
      </c>
      <c r="G34" s="199">
        <v>3656</v>
      </c>
      <c r="H34" s="184" t="s">
        <v>80</v>
      </c>
      <c r="I34" s="185"/>
      <c r="J34" s="200" t="s">
        <v>502</v>
      </c>
      <c r="K34" s="156"/>
      <c r="L34" s="157" t="s">
        <v>0</v>
      </c>
      <c r="M34" s="157" t="s">
        <v>0</v>
      </c>
      <c r="N34" s="157" t="s">
        <v>0</v>
      </c>
      <c r="O34" s="157" t="s">
        <v>0</v>
      </c>
      <c r="P34" s="157" t="s">
        <v>0</v>
      </c>
      <c r="Q34" s="157">
        <v>7.6923076923076927E-3</v>
      </c>
      <c r="R34" s="157" t="s">
        <v>0</v>
      </c>
      <c r="S34" s="157" t="s">
        <v>0</v>
      </c>
      <c r="T34" s="157" t="s">
        <v>0</v>
      </c>
      <c r="U34" s="157" t="s">
        <v>0</v>
      </c>
      <c r="V34" s="157" t="s">
        <v>0</v>
      </c>
      <c r="W34" s="157" t="s">
        <v>0</v>
      </c>
      <c r="X34" s="157" t="s">
        <v>0</v>
      </c>
      <c r="Y34" s="157" t="s">
        <v>0</v>
      </c>
      <c r="Z34" s="157" t="s">
        <v>0</v>
      </c>
      <c r="AA34" s="157" t="s">
        <v>0</v>
      </c>
      <c r="AB34" s="157" t="s">
        <v>0</v>
      </c>
      <c r="AC34" s="157" t="s">
        <v>0</v>
      </c>
      <c r="AD34" s="157" t="s">
        <v>0</v>
      </c>
      <c r="AE34" s="157" t="s">
        <v>0</v>
      </c>
      <c r="AF34" s="157" t="s">
        <v>0</v>
      </c>
      <c r="AG34" s="157" t="s">
        <v>0</v>
      </c>
      <c r="AH34" s="157" t="s">
        <v>0</v>
      </c>
      <c r="AI34" s="157" t="s">
        <v>0</v>
      </c>
      <c r="AJ34" s="157" t="s">
        <v>0</v>
      </c>
      <c r="AK34" s="157" t="s">
        <v>0</v>
      </c>
      <c r="AL34" s="157" t="s">
        <v>0</v>
      </c>
      <c r="AM34" s="157" t="s">
        <v>0</v>
      </c>
      <c r="AN34" s="157" t="s">
        <v>0</v>
      </c>
      <c r="AO34" s="157" t="s">
        <v>0</v>
      </c>
      <c r="AP34" s="157" t="s">
        <v>0</v>
      </c>
      <c r="AQ34" s="157" t="s">
        <v>0</v>
      </c>
      <c r="AR34" s="157" t="s">
        <v>0</v>
      </c>
      <c r="AS34" s="157" t="s">
        <v>0</v>
      </c>
      <c r="AT34" s="157" t="s">
        <v>0</v>
      </c>
      <c r="AU34" s="157" t="s">
        <v>0</v>
      </c>
      <c r="AV34" s="157" t="s">
        <v>0</v>
      </c>
      <c r="AW34" s="157" t="s">
        <v>0</v>
      </c>
      <c r="AX34" s="157" t="s">
        <v>0</v>
      </c>
      <c r="AY34" s="157" t="s">
        <v>0</v>
      </c>
      <c r="AZ34" s="157" t="s">
        <v>0</v>
      </c>
      <c r="BA34" s="157" t="s">
        <v>0</v>
      </c>
      <c r="BB34" s="157" t="s">
        <v>0</v>
      </c>
      <c r="BC34" s="157" t="s">
        <v>0</v>
      </c>
      <c r="BD34" s="157" t="s">
        <v>0</v>
      </c>
      <c r="BE34" s="157" t="s">
        <v>0</v>
      </c>
      <c r="BF34" s="157" t="s">
        <v>0</v>
      </c>
      <c r="BG34" s="157" t="s">
        <v>0</v>
      </c>
      <c r="BH34" s="157" t="s">
        <v>0</v>
      </c>
      <c r="BI34" s="158"/>
      <c r="DL34">
        <f t="shared" si="106"/>
        <v>0</v>
      </c>
      <c r="DM34">
        <f t="shared" si="107"/>
        <v>0</v>
      </c>
      <c r="DN34">
        <f t="shared" si="108"/>
        <v>0</v>
      </c>
      <c r="DO34">
        <f t="shared" si="109"/>
        <v>0</v>
      </c>
      <c r="DP34">
        <f t="shared" si="110"/>
        <v>0</v>
      </c>
      <c r="DQ34">
        <f t="shared" si="111"/>
        <v>0</v>
      </c>
      <c r="DR34">
        <f t="shared" si="112"/>
        <v>0</v>
      </c>
      <c r="DS34">
        <f t="shared" si="113"/>
        <v>0</v>
      </c>
      <c r="DT34">
        <f t="shared" si="114"/>
        <v>0</v>
      </c>
      <c r="DU34">
        <f t="shared" si="115"/>
        <v>0</v>
      </c>
      <c r="DV34">
        <f t="shared" si="116"/>
        <v>0</v>
      </c>
      <c r="DW34">
        <f t="shared" si="117"/>
        <v>0</v>
      </c>
    </row>
    <row r="35" spans="1:127" x14ac:dyDescent="0.25">
      <c r="A35" s="22">
        <f t="shared" si="2"/>
        <v>29</v>
      </c>
      <c r="B35" s="59" t="str">
        <f t="shared" si="3"/>
        <v>F0013546510</v>
      </c>
      <c r="C35" s="214" t="str">
        <f>IF(F35=$F$7,#REF!,C34)</f>
        <v>82115-0E480 K</v>
      </c>
      <c r="D35" s="58" t="e">
        <f>VLOOKUP(B35,'Timing Table'!B:G,6,0)</f>
        <v>#N/A</v>
      </c>
      <c r="E35" s="22" t="e">
        <f>VLOOKUP(B35,'Timing Table'!B:D,3,0)</f>
        <v>#N/A</v>
      </c>
      <c r="F35" s="159" t="s">
        <v>81</v>
      </c>
      <c r="G35" s="160" t="s">
        <v>60</v>
      </c>
      <c r="H35" s="201" t="s">
        <v>60</v>
      </c>
      <c r="I35" s="183" t="s">
        <v>60</v>
      </c>
      <c r="J35" s="183" t="s">
        <v>0</v>
      </c>
      <c r="K35" s="183" t="s">
        <v>0</v>
      </c>
      <c r="L35" s="183" t="s">
        <v>0</v>
      </c>
      <c r="M35" s="183" t="s">
        <v>0</v>
      </c>
      <c r="N35" s="183" t="s">
        <v>0</v>
      </c>
      <c r="O35" s="183" t="s">
        <v>0</v>
      </c>
      <c r="P35" s="183" t="s">
        <v>0</v>
      </c>
      <c r="Q35" s="183" t="s">
        <v>510</v>
      </c>
      <c r="R35" s="183"/>
      <c r="S35" s="183" t="s">
        <v>0</v>
      </c>
      <c r="T35" s="183" t="s">
        <v>0</v>
      </c>
      <c r="U35" s="183" t="s">
        <v>0</v>
      </c>
      <c r="V35" s="183" t="s">
        <v>0</v>
      </c>
      <c r="W35" s="183" t="s">
        <v>0</v>
      </c>
      <c r="X35" s="183" t="s">
        <v>0</v>
      </c>
      <c r="Y35" s="183" t="s">
        <v>0</v>
      </c>
      <c r="Z35" s="183" t="s">
        <v>0</v>
      </c>
      <c r="AA35" s="183" t="s">
        <v>0</v>
      </c>
      <c r="AB35" s="183" t="s">
        <v>0</v>
      </c>
      <c r="AC35" s="183" t="s">
        <v>0</v>
      </c>
      <c r="AD35" s="183" t="s">
        <v>0</v>
      </c>
      <c r="AE35" s="183" t="s">
        <v>0</v>
      </c>
      <c r="AF35" s="183" t="s">
        <v>0</v>
      </c>
      <c r="AG35" s="183" t="s">
        <v>0</v>
      </c>
      <c r="AH35" s="183" t="s">
        <v>0</v>
      </c>
      <c r="AI35" s="183" t="s">
        <v>0</v>
      </c>
      <c r="AJ35" s="183" t="s">
        <v>0</v>
      </c>
      <c r="AK35" s="183" t="s">
        <v>0</v>
      </c>
      <c r="AL35" s="183" t="s">
        <v>0</v>
      </c>
      <c r="AM35" s="183" t="s">
        <v>0</v>
      </c>
      <c r="AN35" s="183" t="s">
        <v>0</v>
      </c>
      <c r="AO35" s="183" t="s">
        <v>0</v>
      </c>
      <c r="AP35" s="183" t="s">
        <v>0</v>
      </c>
      <c r="AQ35" s="183" t="s">
        <v>0</v>
      </c>
      <c r="AR35" s="183" t="s">
        <v>0</v>
      </c>
      <c r="AS35" s="183" t="s">
        <v>0</v>
      </c>
      <c r="AT35" s="183" t="s">
        <v>0</v>
      </c>
      <c r="AU35" s="183" t="s">
        <v>0</v>
      </c>
      <c r="AV35" s="183" t="s">
        <v>0</v>
      </c>
      <c r="AW35" s="183" t="s">
        <v>0</v>
      </c>
      <c r="AX35" s="183" t="s">
        <v>0</v>
      </c>
      <c r="AY35" s="183" t="s">
        <v>0</v>
      </c>
      <c r="AZ35" s="183" t="s">
        <v>0</v>
      </c>
      <c r="BA35" s="183" t="s">
        <v>0</v>
      </c>
      <c r="BB35" s="183" t="s">
        <v>0</v>
      </c>
      <c r="BC35" s="183" t="s">
        <v>0</v>
      </c>
      <c r="BD35" s="183" t="s">
        <v>0</v>
      </c>
      <c r="BE35" s="183" t="s">
        <v>0</v>
      </c>
      <c r="BF35" s="183" t="s">
        <v>0</v>
      </c>
      <c r="BG35" s="183" t="s">
        <v>0</v>
      </c>
      <c r="BH35" s="183" t="s">
        <v>0</v>
      </c>
      <c r="BI35" s="161"/>
      <c r="DL35">
        <f t="shared" si="106"/>
        <v>0</v>
      </c>
      <c r="DM35">
        <f t="shared" si="107"/>
        <v>0</v>
      </c>
      <c r="DN35">
        <f t="shared" si="108"/>
        <v>0</v>
      </c>
      <c r="DO35">
        <f t="shared" si="109"/>
        <v>0</v>
      </c>
      <c r="DP35">
        <f t="shared" si="110"/>
        <v>0</v>
      </c>
      <c r="DQ35">
        <f t="shared" si="111"/>
        <v>0</v>
      </c>
      <c r="DR35">
        <f t="shared" si="112"/>
        <v>0</v>
      </c>
      <c r="DS35">
        <f t="shared" si="113"/>
        <v>0</v>
      </c>
      <c r="DT35">
        <f t="shared" si="114"/>
        <v>0</v>
      </c>
      <c r="DU35">
        <f t="shared" si="115"/>
        <v>0</v>
      </c>
      <c r="DV35">
        <f t="shared" si="116"/>
        <v>0</v>
      </c>
      <c r="DW35">
        <f t="shared" si="117"/>
        <v>0</v>
      </c>
    </row>
    <row r="36" spans="1:127" x14ac:dyDescent="0.25">
      <c r="A36" s="22">
        <f t="shared" si="2"/>
        <v>30</v>
      </c>
      <c r="B36" s="59" t="str">
        <f>IF(F36=$F$7,#REF!,B35)</f>
        <v>F0013546510</v>
      </c>
      <c r="C36" s="214" t="str">
        <f>IF(F36=$F$7,#REF!,C35)</f>
        <v>82115-0E480 K</v>
      </c>
      <c r="D36" s="58" t="e">
        <f>VLOOKUP(B36,'Timing Table'!B:G,6,0)</f>
        <v>#N/A</v>
      </c>
      <c r="E36" s="22" t="e">
        <f>VLOOKUP(B36,'Timing Table'!B:D,3,0)</f>
        <v>#N/A</v>
      </c>
      <c r="F36" s="188" t="s">
        <v>60</v>
      </c>
      <c r="G36" s="162" t="s">
        <v>60</v>
      </c>
      <c r="H36" s="163" t="s">
        <v>60</v>
      </c>
      <c r="I36" s="164" t="s">
        <v>60</v>
      </c>
      <c r="J36" s="164" t="s">
        <v>0</v>
      </c>
      <c r="K36" s="164" t="s">
        <v>0</v>
      </c>
      <c r="L36" s="164" t="s">
        <v>0</v>
      </c>
      <c r="M36" s="164" t="s">
        <v>0</v>
      </c>
      <c r="N36" s="164" t="s">
        <v>0</v>
      </c>
      <c r="O36" s="164" t="s">
        <v>0</v>
      </c>
      <c r="P36" s="164" t="s">
        <v>0</v>
      </c>
      <c r="Q36" s="164" t="s">
        <v>0</v>
      </c>
      <c r="R36" s="164" t="s">
        <v>0</v>
      </c>
      <c r="S36" s="164" t="s">
        <v>0</v>
      </c>
      <c r="T36" s="164" t="s">
        <v>0</v>
      </c>
      <c r="U36" s="164" t="s">
        <v>0</v>
      </c>
      <c r="V36" s="164" t="s">
        <v>0</v>
      </c>
      <c r="W36" s="164" t="s">
        <v>0</v>
      </c>
      <c r="X36" s="164" t="s">
        <v>0</v>
      </c>
      <c r="Y36" s="164" t="s">
        <v>0</v>
      </c>
      <c r="Z36" s="164" t="s">
        <v>0</v>
      </c>
      <c r="AA36" s="164" t="s">
        <v>0</v>
      </c>
      <c r="AB36" s="164" t="s">
        <v>0</v>
      </c>
      <c r="AC36" s="164" t="s">
        <v>0</v>
      </c>
      <c r="AD36" s="164" t="s">
        <v>0</v>
      </c>
      <c r="AE36" s="164" t="s">
        <v>0</v>
      </c>
      <c r="AF36" s="164" t="s">
        <v>0</v>
      </c>
      <c r="AG36" s="164" t="s">
        <v>0</v>
      </c>
      <c r="AH36" s="164" t="s">
        <v>0</v>
      </c>
      <c r="AI36" s="164" t="s">
        <v>0</v>
      </c>
      <c r="AJ36" s="164" t="s">
        <v>0</v>
      </c>
      <c r="AK36" s="164" t="s">
        <v>0</v>
      </c>
      <c r="AL36" s="164" t="s">
        <v>0</v>
      </c>
      <c r="AM36" s="164" t="s">
        <v>0</v>
      </c>
      <c r="AN36" s="164" t="s">
        <v>0</v>
      </c>
      <c r="AO36" s="164" t="s">
        <v>0</v>
      </c>
      <c r="AP36" s="164" t="s">
        <v>0</v>
      </c>
      <c r="AQ36" s="164" t="s">
        <v>0</v>
      </c>
      <c r="AR36" s="164" t="s">
        <v>0</v>
      </c>
      <c r="AS36" s="164" t="s">
        <v>0</v>
      </c>
      <c r="AT36" s="164" t="s">
        <v>0</v>
      </c>
      <c r="AU36" s="164" t="s">
        <v>0</v>
      </c>
      <c r="AV36" s="164" t="s">
        <v>0</v>
      </c>
      <c r="AW36" s="164" t="s">
        <v>0</v>
      </c>
      <c r="AX36" s="164" t="s">
        <v>0</v>
      </c>
      <c r="AY36" s="164" t="s">
        <v>0</v>
      </c>
      <c r="AZ36" s="164" t="s">
        <v>0</v>
      </c>
      <c r="BA36" s="164" t="s">
        <v>0</v>
      </c>
      <c r="BB36" s="164" t="s">
        <v>0</v>
      </c>
      <c r="BC36" s="164" t="s">
        <v>0</v>
      </c>
      <c r="BD36" s="164" t="s">
        <v>0</v>
      </c>
      <c r="BE36" s="164" t="s">
        <v>0</v>
      </c>
      <c r="BF36" s="164" t="s">
        <v>0</v>
      </c>
      <c r="BG36" s="164" t="s">
        <v>0</v>
      </c>
      <c r="BH36" s="164" t="s">
        <v>0</v>
      </c>
      <c r="BI36" s="189"/>
      <c r="DL36">
        <f t="shared" si="106"/>
        <v>0</v>
      </c>
      <c r="DM36">
        <f t="shared" si="107"/>
        <v>0</v>
      </c>
      <c r="DN36">
        <f t="shared" si="108"/>
        <v>0</v>
      </c>
      <c r="DO36">
        <f t="shared" si="109"/>
        <v>0</v>
      </c>
      <c r="DP36">
        <f t="shared" si="110"/>
        <v>0</v>
      </c>
      <c r="DQ36">
        <f t="shared" si="111"/>
        <v>0</v>
      </c>
      <c r="DR36">
        <f t="shared" si="112"/>
        <v>0</v>
      </c>
      <c r="DS36">
        <f t="shared" si="113"/>
        <v>0</v>
      </c>
      <c r="DT36">
        <f t="shared" si="114"/>
        <v>0</v>
      </c>
      <c r="DU36">
        <f t="shared" si="115"/>
        <v>0</v>
      </c>
      <c r="DV36">
        <f t="shared" si="116"/>
        <v>0</v>
      </c>
      <c r="DW36">
        <f t="shared" si="117"/>
        <v>0</v>
      </c>
    </row>
    <row r="37" spans="1:127" x14ac:dyDescent="0.25">
      <c r="A37" s="22">
        <f t="shared" si="2"/>
        <v>31</v>
      </c>
      <c r="B37" s="59" t="str">
        <f>IF(F37=$F$7,G38,#REF!)</f>
        <v>F0013547309</v>
      </c>
      <c r="C37" s="214" t="str">
        <f>IF(F37=$F$7,G39,#REF!)</f>
        <v>82115-0E490 J</v>
      </c>
      <c r="D37" s="58" t="e">
        <f>VLOOKUP(B37,'Timing Table'!B:G,6,0)</f>
        <v>#N/A</v>
      </c>
      <c r="E37" s="22" t="e">
        <f>VLOOKUP(B37,'Timing Table'!B:D,3,0)</f>
        <v>#N/A</v>
      </c>
      <c r="F37" s="155" t="s">
        <v>61</v>
      </c>
      <c r="G37" s="181">
        <v>5501017963</v>
      </c>
      <c r="H37" s="155" t="s">
        <v>62</v>
      </c>
      <c r="I37" s="181">
        <v>91</v>
      </c>
      <c r="J37" s="155" t="s">
        <v>63</v>
      </c>
      <c r="K37" s="160">
        <v>1177749</v>
      </c>
      <c r="L37" s="161"/>
      <c r="M37" s="190" t="s">
        <v>64</v>
      </c>
      <c r="N37" s="191"/>
      <c r="O37" s="192">
        <v>46086</v>
      </c>
      <c r="P37" s="155" t="s">
        <v>65</v>
      </c>
      <c r="Q37" s="181">
        <v>4</v>
      </c>
      <c r="R37" s="6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0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7" t="s">
        <v>0</v>
      </c>
      <c r="AY37" s="7" t="s">
        <v>0</v>
      </c>
      <c r="AZ37" s="7" t="s">
        <v>0</v>
      </c>
      <c r="BA37" s="7" t="s">
        <v>0</v>
      </c>
      <c r="BB37" s="7" t="s">
        <v>0</v>
      </c>
      <c r="BC37" s="7" t="s">
        <v>0</v>
      </c>
      <c r="BD37" s="7" t="s">
        <v>0</v>
      </c>
      <c r="BE37" s="7" t="s">
        <v>0</v>
      </c>
      <c r="BF37" s="7" t="s">
        <v>0</v>
      </c>
      <c r="BG37" s="7" t="s">
        <v>0</v>
      </c>
      <c r="BH37" s="7" t="s">
        <v>0</v>
      </c>
      <c r="BI37" s="8"/>
      <c r="DL37">
        <f t="shared" si="106"/>
        <v>0</v>
      </c>
      <c r="DM37">
        <f t="shared" si="107"/>
        <v>0</v>
      </c>
      <c r="DN37">
        <f t="shared" si="108"/>
        <v>0</v>
      </c>
      <c r="DO37">
        <f t="shared" si="109"/>
        <v>0</v>
      </c>
      <c r="DP37">
        <f t="shared" si="110"/>
        <v>0</v>
      </c>
      <c r="DQ37">
        <f t="shared" si="111"/>
        <v>0</v>
      </c>
      <c r="DR37">
        <f t="shared" si="112"/>
        <v>0</v>
      </c>
      <c r="DS37">
        <f t="shared" si="113"/>
        <v>0</v>
      </c>
      <c r="DT37">
        <f t="shared" si="114"/>
        <v>0</v>
      </c>
      <c r="DU37">
        <f t="shared" si="115"/>
        <v>0</v>
      </c>
      <c r="DV37">
        <f t="shared" si="116"/>
        <v>0</v>
      </c>
      <c r="DW37">
        <f t="shared" si="117"/>
        <v>0</v>
      </c>
    </row>
    <row r="38" spans="1:127" x14ac:dyDescent="0.25">
      <c r="A38" s="22">
        <f t="shared" si="2"/>
        <v>32</v>
      </c>
      <c r="B38" s="59" t="str">
        <f t="shared" si="3"/>
        <v>F0013547309</v>
      </c>
      <c r="C38" s="214" t="str">
        <f t="shared" si="4"/>
        <v>82115-0E490 J</v>
      </c>
      <c r="D38" s="58" t="e">
        <f>VLOOKUP(B38,'Timing Table'!B:G,6,0)</f>
        <v>#N/A</v>
      </c>
      <c r="E38" s="22" t="e">
        <f>VLOOKUP(B38,'Timing Table'!B:D,3,0)</f>
        <v>#N/A</v>
      </c>
      <c r="F38" s="155" t="s">
        <v>66</v>
      </c>
      <c r="G38" s="181" t="s">
        <v>325</v>
      </c>
      <c r="H38" s="155" t="s">
        <v>67</v>
      </c>
      <c r="I38" s="182" t="s">
        <v>326</v>
      </c>
      <c r="J38" s="183"/>
      <c r="K38" s="183"/>
      <c r="L38" s="161"/>
      <c r="M38" s="155" t="s">
        <v>68</v>
      </c>
      <c r="N38" s="181">
        <v>2023</v>
      </c>
      <c r="O38" s="184" t="s">
        <v>69</v>
      </c>
      <c r="P38" s="185"/>
      <c r="Q38" s="193" t="s">
        <v>323</v>
      </c>
      <c r="R38" s="156" t="s">
        <v>0</v>
      </c>
      <c r="S38" s="157" t="s">
        <v>0</v>
      </c>
      <c r="T38" s="157" t="s">
        <v>0</v>
      </c>
      <c r="U38" s="157" t="s">
        <v>0</v>
      </c>
      <c r="V38" s="157" t="s">
        <v>0</v>
      </c>
      <c r="W38" s="157" t="s">
        <v>0</v>
      </c>
      <c r="X38" s="157" t="s">
        <v>0</v>
      </c>
      <c r="Y38" s="157" t="s">
        <v>0</v>
      </c>
      <c r="Z38" s="157" t="s">
        <v>0</v>
      </c>
      <c r="AA38" s="157" t="s">
        <v>0</v>
      </c>
      <c r="AB38" s="157" t="s">
        <v>0</v>
      </c>
      <c r="AC38" s="157" t="s">
        <v>0</v>
      </c>
      <c r="AD38" s="157" t="s">
        <v>0</v>
      </c>
      <c r="AE38" s="157" t="s">
        <v>0</v>
      </c>
      <c r="AF38" s="157" t="s">
        <v>0</v>
      </c>
      <c r="AG38" s="157" t="s">
        <v>0</v>
      </c>
      <c r="AH38" s="157" t="s">
        <v>0</v>
      </c>
      <c r="AI38" s="157" t="s">
        <v>0</v>
      </c>
      <c r="AJ38" s="157" t="s">
        <v>0</v>
      </c>
      <c r="AK38" s="157" t="s">
        <v>0</v>
      </c>
      <c r="AL38" s="157" t="s">
        <v>0</v>
      </c>
      <c r="AM38" s="157" t="s">
        <v>0</v>
      </c>
      <c r="AN38" s="157" t="s">
        <v>0</v>
      </c>
      <c r="AO38" s="157" t="s">
        <v>0</v>
      </c>
      <c r="AP38" s="157" t="s">
        <v>0</v>
      </c>
      <c r="AQ38" s="157" t="s">
        <v>0</v>
      </c>
      <c r="AR38" s="157" t="s">
        <v>0</v>
      </c>
      <c r="AS38" s="157" t="s">
        <v>0</v>
      </c>
      <c r="AT38" s="157" t="s">
        <v>0</v>
      </c>
      <c r="AU38" s="157" t="s">
        <v>0</v>
      </c>
      <c r="AV38" s="157" t="s">
        <v>0</v>
      </c>
      <c r="AW38" s="157" t="s">
        <v>0</v>
      </c>
      <c r="AX38" s="157" t="s">
        <v>0</v>
      </c>
      <c r="AY38" s="157" t="s">
        <v>0</v>
      </c>
      <c r="AZ38" s="157" t="s">
        <v>0</v>
      </c>
      <c r="BA38" s="157" t="s">
        <v>0</v>
      </c>
      <c r="BB38" s="157" t="s">
        <v>0</v>
      </c>
      <c r="BC38" s="157" t="s">
        <v>0</v>
      </c>
      <c r="BD38" s="157" t="s">
        <v>0</v>
      </c>
      <c r="BE38" s="157" t="s">
        <v>0</v>
      </c>
      <c r="BF38" s="157" t="s">
        <v>0</v>
      </c>
      <c r="BG38" s="157" t="s">
        <v>0</v>
      </c>
      <c r="BH38" s="157" t="s">
        <v>0</v>
      </c>
      <c r="BI38" s="158"/>
      <c r="DL38">
        <f t="shared" si="106"/>
        <v>0</v>
      </c>
      <c r="DM38">
        <f t="shared" si="107"/>
        <v>0</v>
      </c>
      <c r="DN38">
        <f t="shared" si="108"/>
        <v>0</v>
      </c>
      <c r="DO38">
        <f t="shared" si="109"/>
        <v>0</v>
      </c>
      <c r="DP38">
        <f t="shared" si="110"/>
        <v>0</v>
      </c>
      <c r="DQ38">
        <f t="shared" si="111"/>
        <v>0</v>
      </c>
      <c r="DR38">
        <f t="shared" si="112"/>
        <v>0</v>
      </c>
      <c r="DS38">
        <f t="shared" si="113"/>
        <v>0</v>
      </c>
      <c r="DT38">
        <f t="shared" si="114"/>
        <v>0</v>
      </c>
      <c r="DU38">
        <f t="shared" si="115"/>
        <v>0</v>
      </c>
      <c r="DV38">
        <f t="shared" si="116"/>
        <v>0</v>
      </c>
      <c r="DW38">
        <f t="shared" si="117"/>
        <v>0</v>
      </c>
    </row>
    <row r="39" spans="1:127" x14ac:dyDescent="0.25">
      <c r="A39" s="22">
        <f t="shared" si="2"/>
        <v>33</v>
      </c>
      <c r="B39" s="59" t="str">
        <f t="shared" si="3"/>
        <v>F0013547309</v>
      </c>
      <c r="C39" s="214" t="str">
        <f t="shared" si="4"/>
        <v>82115-0E490 J</v>
      </c>
      <c r="D39" s="58" t="e">
        <f>VLOOKUP(B39,'Timing Table'!B:G,6,0)</f>
        <v>#N/A</v>
      </c>
      <c r="E39" s="22" t="e">
        <f>VLOOKUP(B39,'Timing Table'!B:D,3,0)</f>
        <v>#N/A</v>
      </c>
      <c r="F39" s="155" t="s">
        <v>70</v>
      </c>
      <c r="G39" s="181" t="s">
        <v>499</v>
      </c>
      <c r="H39" s="155" t="s">
        <v>71</v>
      </c>
      <c r="I39" s="182" t="s">
        <v>60</v>
      </c>
      <c r="J39" s="161" t="s">
        <v>0</v>
      </c>
      <c r="K39" s="194" t="s">
        <v>0</v>
      </c>
      <c r="L39" s="195" t="s">
        <v>0</v>
      </c>
      <c r="M39" s="179" t="s">
        <v>0</v>
      </c>
      <c r="N39" s="179" t="s">
        <v>0</v>
      </c>
      <c r="O39" s="179" t="s">
        <v>0</v>
      </c>
      <c r="P39" s="179" t="s">
        <v>0</v>
      </c>
      <c r="Q39" s="179" t="s">
        <v>1</v>
      </c>
      <c r="R39" s="179" t="s">
        <v>2</v>
      </c>
      <c r="S39" s="179" t="s">
        <v>0</v>
      </c>
      <c r="T39" s="179" t="s">
        <v>0</v>
      </c>
      <c r="U39" s="179" t="s">
        <v>0</v>
      </c>
      <c r="V39" s="179" t="s">
        <v>0</v>
      </c>
      <c r="W39" s="179" t="s">
        <v>0</v>
      </c>
      <c r="X39" s="179" t="s">
        <v>0</v>
      </c>
      <c r="Y39" s="179" t="s">
        <v>0</v>
      </c>
      <c r="Z39" s="179" t="s">
        <v>3</v>
      </c>
      <c r="AA39" s="179" t="s">
        <v>0</v>
      </c>
      <c r="AB39" s="179" t="s">
        <v>0</v>
      </c>
      <c r="AC39" s="179" t="s">
        <v>0</v>
      </c>
      <c r="AD39" s="179" t="s">
        <v>0</v>
      </c>
      <c r="AE39" s="179" t="s">
        <v>0</v>
      </c>
      <c r="AF39" s="179" t="s">
        <v>0</v>
      </c>
      <c r="AG39" s="179" t="s">
        <v>0</v>
      </c>
      <c r="AH39" s="179" t="s">
        <v>0</v>
      </c>
      <c r="AI39" s="179" t="s">
        <v>0</v>
      </c>
      <c r="AJ39" s="179" t="s">
        <v>0</v>
      </c>
      <c r="AK39" s="179" t="s">
        <v>0</v>
      </c>
      <c r="AL39" s="179" t="s">
        <v>0</v>
      </c>
      <c r="AM39" s="179" t="s">
        <v>0</v>
      </c>
      <c r="AN39" s="179" t="s">
        <v>0</v>
      </c>
      <c r="AO39" s="179" t="s">
        <v>0</v>
      </c>
      <c r="AP39" s="179" t="s">
        <v>0</v>
      </c>
      <c r="AQ39" s="179" t="s">
        <v>0</v>
      </c>
      <c r="AR39" s="179" t="s">
        <v>0</v>
      </c>
      <c r="AS39" s="179" t="s">
        <v>0</v>
      </c>
      <c r="AT39" s="179" t="s">
        <v>0</v>
      </c>
      <c r="AU39" s="179" t="s">
        <v>0</v>
      </c>
      <c r="AV39" s="179" t="s">
        <v>0</v>
      </c>
      <c r="AW39" s="179" t="s">
        <v>0</v>
      </c>
      <c r="AX39" s="179" t="s">
        <v>0</v>
      </c>
      <c r="AY39" s="179" t="s">
        <v>0</v>
      </c>
      <c r="AZ39" s="179" t="s">
        <v>0</v>
      </c>
      <c r="BA39" s="179" t="s">
        <v>0</v>
      </c>
      <c r="BB39" s="179" t="s">
        <v>0</v>
      </c>
      <c r="BC39" s="179" t="s">
        <v>0</v>
      </c>
      <c r="BD39" s="179" t="s">
        <v>0</v>
      </c>
      <c r="BE39" s="179" t="s">
        <v>0</v>
      </c>
      <c r="BF39" s="179" t="s">
        <v>0</v>
      </c>
      <c r="BG39" s="179" t="s">
        <v>0</v>
      </c>
      <c r="BH39" s="179" t="s">
        <v>0</v>
      </c>
      <c r="BI39" s="180" t="s">
        <v>4</v>
      </c>
      <c r="DL39">
        <f t="shared" si="106"/>
        <v>0</v>
      </c>
      <c r="DM39">
        <f t="shared" si="107"/>
        <v>0</v>
      </c>
      <c r="DN39">
        <f t="shared" si="108"/>
        <v>0</v>
      </c>
      <c r="DO39">
        <f t="shared" si="109"/>
        <v>0</v>
      </c>
      <c r="DP39">
        <f t="shared" si="110"/>
        <v>0</v>
      </c>
      <c r="DQ39">
        <f t="shared" si="111"/>
        <v>0</v>
      </c>
      <c r="DR39">
        <f t="shared" si="112"/>
        <v>0</v>
      </c>
      <c r="DS39">
        <f t="shared" si="113"/>
        <v>0</v>
      </c>
      <c r="DT39">
        <f t="shared" si="114"/>
        <v>0</v>
      </c>
      <c r="DU39">
        <f t="shared" si="115"/>
        <v>0</v>
      </c>
      <c r="DV39">
        <f t="shared" si="116"/>
        <v>0</v>
      </c>
      <c r="DW39">
        <f t="shared" si="117"/>
        <v>0</v>
      </c>
    </row>
    <row r="40" spans="1:127" x14ac:dyDescent="0.25">
      <c r="A40" s="22">
        <f t="shared" si="2"/>
        <v>34</v>
      </c>
      <c r="B40" s="59" t="str">
        <f t="shared" si="3"/>
        <v>F0013547309</v>
      </c>
      <c r="C40" s="214" t="str">
        <f t="shared" si="4"/>
        <v>82115-0E490 J</v>
      </c>
      <c r="D40" s="58" t="e">
        <f>VLOOKUP(B40,'Timing Table'!B:G,6,0)</f>
        <v>#N/A</v>
      </c>
      <c r="E40" s="22" t="e">
        <f>VLOOKUP(B40,'Timing Table'!B:D,3,0)</f>
        <v>#N/A</v>
      </c>
      <c r="F40" s="155" t="s">
        <v>72</v>
      </c>
      <c r="G40" s="181">
        <v>4940</v>
      </c>
      <c r="H40" s="196" t="s">
        <v>414</v>
      </c>
      <c r="I40" s="197" t="s">
        <v>73</v>
      </c>
      <c r="J40" s="13">
        <v>46041</v>
      </c>
      <c r="K40" s="14">
        <v>46048</v>
      </c>
      <c r="L40" s="14">
        <v>46055</v>
      </c>
      <c r="M40" s="14">
        <v>46062</v>
      </c>
      <c r="N40" s="14">
        <v>46069</v>
      </c>
      <c r="O40" s="14">
        <v>46076</v>
      </c>
      <c r="P40" s="14">
        <v>46083</v>
      </c>
      <c r="Q40" s="14">
        <v>46090</v>
      </c>
      <c r="R40" s="14">
        <v>46097</v>
      </c>
      <c r="S40" s="14">
        <v>46104</v>
      </c>
      <c r="T40" s="14">
        <v>46111</v>
      </c>
      <c r="U40" s="14">
        <v>46118</v>
      </c>
      <c r="V40" s="14">
        <v>46125</v>
      </c>
      <c r="W40" s="14">
        <v>46132</v>
      </c>
      <c r="X40" s="14">
        <v>46139</v>
      </c>
      <c r="Y40" s="14">
        <v>46146</v>
      </c>
      <c r="Z40" s="14">
        <v>46153</v>
      </c>
      <c r="AA40" s="14">
        <v>46160</v>
      </c>
      <c r="AB40" s="14">
        <v>46167</v>
      </c>
      <c r="AC40" s="14">
        <v>46174</v>
      </c>
      <c r="AD40" s="14">
        <v>46181</v>
      </c>
      <c r="AE40" s="14">
        <v>46188</v>
      </c>
      <c r="AF40" s="14">
        <v>46195</v>
      </c>
      <c r="AG40" s="14">
        <v>46202</v>
      </c>
      <c r="AH40" s="14">
        <v>46209</v>
      </c>
      <c r="AI40" s="14">
        <v>46216</v>
      </c>
      <c r="AJ40" s="14">
        <v>46223</v>
      </c>
      <c r="AK40" s="14">
        <v>46230</v>
      </c>
      <c r="AL40" s="14">
        <v>46237</v>
      </c>
      <c r="AM40" s="14">
        <v>46244</v>
      </c>
      <c r="AN40" s="14">
        <v>46251</v>
      </c>
      <c r="AO40" s="14">
        <v>46258</v>
      </c>
      <c r="AP40" s="14">
        <v>46265</v>
      </c>
      <c r="AQ40" s="14">
        <v>46272</v>
      </c>
      <c r="AR40" s="14">
        <v>46279</v>
      </c>
      <c r="AS40" s="14">
        <v>46286</v>
      </c>
      <c r="AT40" s="14">
        <v>46293</v>
      </c>
      <c r="AU40" s="14">
        <v>46300</v>
      </c>
      <c r="AV40" s="14">
        <v>46307</v>
      </c>
      <c r="AW40" s="14">
        <v>46314</v>
      </c>
      <c r="AX40" s="14">
        <v>46321</v>
      </c>
      <c r="AY40" s="14">
        <v>46328</v>
      </c>
      <c r="AZ40" s="14">
        <v>46335</v>
      </c>
      <c r="BA40" s="14">
        <v>46342</v>
      </c>
      <c r="BB40" s="14">
        <v>46349</v>
      </c>
      <c r="BC40" s="14">
        <v>46356</v>
      </c>
      <c r="BD40" s="14">
        <v>46363</v>
      </c>
      <c r="BE40" s="14">
        <v>46370</v>
      </c>
      <c r="BF40" s="14">
        <v>46377</v>
      </c>
      <c r="BG40" s="14">
        <v>46384</v>
      </c>
      <c r="BH40" s="14">
        <v>46391</v>
      </c>
      <c r="BI40" s="15">
        <v>46398</v>
      </c>
      <c r="DL40">
        <f t="shared" si="106"/>
        <v>0</v>
      </c>
      <c r="DM40">
        <f t="shared" si="107"/>
        <v>0</v>
      </c>
      <c r="DN40">
        <f t="shared" si="108"/>
        <v>0</v>
      </c>
      <c r="DO40">
        <f t="shared" si="109"/>
        <v>0</v>
      </c>
      <c r="DP40">
        <f t="shared" si="110"/>
        <v>0</v>
      </c>
      <c r="DQ40">
        <f t="shared" si="111"/>
        <v>0</v>
      </c>
      <c r="DR40">
        <f t="shared" si="112"/>
        <v>0</v>
      </c>
      <c r="DS40">
        <f t="shared" si="113"/>
        <v>0</v>
      </c>
      <c r="DT40">
        <f t="shared" si="114"/>
        <v>0</v>
      </c>
      <c r="DU40">
        <f t="shared" si="115"/>
        <v>0</v>
      </c>
      <c r="DV40">
        <f t="shared" si="116"/>
        <v>0</v>
      </c>
      <c r="DW40">
        <f t="shared" si="117"/>
        <v>0</v>
      </c>
    </row>
    <row r="41" spans="1:127" x14ac:dyDescent="0.25">
      <c r="A41" s="22">
        <f t="shared" si="2"/>
        <v>35</v>
      </c>
      <c r="B41" s="59" t="str">
        <f t="shared" si="3"/>
        <v>F0013547309</v>
      </c>
      <c r="C41" s="214" t="str">
        <f t="shared" si="4"/>
        <v>82115-0E490 J</v>
      </c>
      <c r="D41" s="58" t="e">
        <f>VLOOKUP(B41,'Timing Table'!B:G,6,0)</f>
        <v>#N/A</v>
      </c>
      <c r="E41" s="22" t="e">
        <f>VLOOKUP(B41,'Timing Table'!B:D,3,0)</f>
        <v>#N/A</v>
      </c>
      <c r="F41" s="155" t="s">
        <v>74</v>
      </c>
      <c r="G41" s="181">
        <v>5128</v>
      </c>
      <c r="H41" s="5" t="s">
        <v>60</v>
      </c>
      <c r="I41" s="11" t="s">
        <v>147</v>
      </c>
      <c r="J41" s="16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17"/>
      <c r="DL41">
        <f t="shared" si="106"/>
        <v>0</v>
      </c>
      <c r="DM41">
        <f t="shared" si="107"/>
        <v>0</v>
      </c>
      <c r="DN41">
        <f t="shared" si="108"/>
        <v>0</v>
      </c>
      <c r="DO41">
        <f t="shared" si="109"/>
        <v>0</v>
      </c>
      <c r="DP41">
        <f t="shared" si="110"/>
        <v>0</v>
      </c>
      <c r="DQ41">
        <f t="shared" si="111"/>
        <v>0</v>
      </c>
      <c r="DR41">
        <f t="shared" si="112"/>
        <v>0</v>
      </c>
      <c r="DS41">
        <f t="shared" si="113"/>
        <v>0</v>
      </c>
      <c r="DT41">
        <f t="shared" si="114"/>
        <v>0</v>
      </c>
      <c r="DU41">
        <f t="shared" si="115"/>
        <v>0</v>
      </c>
      <c r="DV41">
        <f t="shared" si="116"/>
        <v>0</v>
      </c>
      <c r="DW41">
        <f t="shared" si="117"/>
        <v>0</v>
      </c>
    </row>
    <row r="42" spans="1:127" x14ac:dyDescent="0.25">
      <c r="A42" s="22">
        <f t="shared" si="2"/>
        <v>36</v>
      </c>
      <c r="B42" s="59" t="str">
        <f t="shared" si="3"/>
        <v>F0013547309</v>
      </c>
      <c r="C42" s="214" t="str">
        <f t="shared" si="4"/>
        <v>82115-0E490 J</v>
      </c>
      <c r="D42" s="58" t="e">
        <f>VLOOKUP(B42,'Timing Table'!B:G,6,0)</f>
        <v>#N/A</v>
      </c>
      <c r="E42" s="22" t="e">
        <f>VLOOKUP(B42,'Timing Table'!B:D,3,0)</f>
        <v>#N/A</v>
      </c>
      <c r="F42" s="155" t="s">
        <v>75</v>
      </c>
      <c r="G42" s="198" t="s">
        <v>158</v>
      </c>
      <c r="H42" s="9" t="s">
        <v>168</v>
      </c>
      <c r="I42" s="11" t="s">
        <v>76</v>
      </c>
      <c r="J42" s="143">
        <v>372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144">
        <v>0</v>
      </c>
      <c r="BJ42" s="24" t="str">
        <f>+G39</f>
        <v>82115-0E490 J</v>
      </c>
      <c r="BK42" s="24">
        <f>+J42</f>
        <v>372</v>
      </c>
      <c r="BL42" s="24">
        <f t="shared" ref="BL42" si="220">+K42</f>
        <v>0</v>
      </c>
      <c r="BM42" s="24">
        <f t="shared" ref="BM42" si="221">+L42</f>
        <v>0</v>
      </c>
      <c r="BN42" s="24">
        <f t="shared" ref="BN42" si="222">+M42</f>
        <v>0</v>
      </c>
      <c r="BO42" s="24">
        <f t="shared" ref="BO42" si="223">+N42</f>
        <v>0</v>
      </c>
      <c r="BP42" s="24">
        <f t="shared" ref="BP42" si="224">+O42</f>
        <v>0</v>
      </c>
      <c r="BQ42" s="24">
        <f t="shared" ref="BQ42" si="225">+P42</f>
        <v>0</v>
      </c>
      <c r="BR42" s="24">
        <f t="shared" ref="BR42" si="226">+Q42</f>
        <v>0</v>
      </c>
      <c r="BS42" s="24">
        <f t="shared" ref="BS42" si="227">+R42</f>
        <v>0</v>
      </c>
      <c r="BT42" s="24">
        <f t="shared" ref="BT42" si="228">+S42</f>
        <v>0</v>
      </c>
      <c r="BU42" s="24">
        <f t="shared" ref="BU42" si="229">+T42</f>
        <v>0</v>
      </c>
      <c r="BV42" s="24">
        <f t="shared" ref="BV42" si="230">+U42</f>
        <v>0</v>
      </c>
      <c r="BW42" s="24">
        <f t="shared" ref="BW42" si="231">+V42</f>
        <v>0</v>
      </c>
      <c r="BX42" s="24">
        <f t="shared" ref="BX42" si="232">+W42</f>
        <v>0</v>
      </c>
      <c r="BY42" s="24">
        <f t="shared" ref="BY42" si="233">+X42</f>
        <v>0</v>
      </c>
      <c r="BZ42" s="24">
        <f t="shared" ref="BZ42" si="234">+Y42</f>
        <v>0</v>
      </c>
      <c r="CA42" s="24">
        <f t="shared" ref="CA42" si="235">+Z42</f>
        <v>0</v>
      </c>
      <c r="CB42" s="24">
        <f t="shared" ref="CB42" si="236">+AA42</f>
        <v>0</v>
      </c>
      <c r="CC42" s="24">
        <f t="shared" ref="CC42" si="237">+AB42</f>
        <v>0</v>
      </c>
      <c r="CD42" s="24">
        <f t="shared" ref="CD42" si="238">+AC42</f>
        <v>0</v>
      </c>
      <c r="CE42" s="24">
        <f t="shared" ref="CE42" si="239">+AD42</f>
        <v>0</v>
      </c>
      <c r="CF42" s="24">
        <f t="shared" ref="CF42" si="240">+AE42</f>
        <v>0</v>
      </c>
      <c r="CG42" s="24">
        <f t="shared" ref="CG42" si="241">+AF42</f>
        <v>0</v>
      </c>
      <c r="CH42" s="24">
        <f t="shared" ref="CH42" si="242">+AG42</f>
        <v>0</v>
      </c>
      <c r="CI42" s="24">
        <f t="shared" ref="CI42" si="243">+AH42</f>
        <v>0</v>
      </c>
      <c r="CJ42" s="24">
        <f t="shared" ref="CJ42" si="244">+AI42</f>
        <v>0</v>
      </c>
      <c r="CK42" s="24">
        <f t="shared" ref="CK42" si="245">+AJ42</f>
        <v>0</v>
      </c>
      <c r="CL42" s="24">
        <f t="shared" ref="CL42" si="246">+AK42</f>
        <v>0</v>
      </c>
      <c r="CM42" s="24">
        <f t="shared" ref="CM42" si="247">+AL42</f>
        <v>0</v>
      </c>
      <c r="CN42" s="24">
        <f t="shared" ref="CN42" si="248">+AM42</f>
        <v>0</v>
      </c>
      <c r="CO42" s="24">
        <f t="shared" ref="CO42" si="249">+AN42</f>
        <v>0</v>
      </c>
      <c r="CP42" s="166">
        <f t="shared" ref="CP42" si="250">+AO42</f>
        <v>0</v>
      </c>
      <c r="CQ42" s="166">
        <f t="shared" ref="CQ42" si="251">+AP42</f>
        <v>0</v>
      </c>
      <c r="CR42">
        <f t="shared" ref="CR42" si="252">+AQ42</f>
        <v>0</v>
      </c>
      <c r="CS42">
        <f t="shared" ref="CS42" si="253">+AR42</f>
        <v>0</v>
      </c>
      <c r="CT42">
        <f t="shared" ref="CT42" si="254">+AS42</f>
        <v>0</v>
      </c>
      <c r="CU42">
        <f t="shared" ref="CU42" si="255">+AT42</f>
        <v>0</v>
      </c>
      <c r="CV42">
        <f t="shared" ref="CV42" si="256">+AU42</f>
        <v>0</v>
      </c>
      <c r="CW42">
        <f t="shared" ref="CW42" si="257">+AV42</f>
        <v>0</v>
      </c>
      <c r="CX42">
        <f t="shared" ref="CX42" si="258">+AW42</f>
        <v>0</v>
      </c>
      <c r="CY42">
        <f t="shared" ref="CY42" si="259">+AX42</f>
        <v>0</v>
      </c>
      <c r="CZ42">
        <f t="shared" ref="CZ42" si="260">+AY42</f>
        <v>0</v>
      </c>
      <c r="DA42">
        <f t="shared" ref="DA42" si="261">+AZ42</f>
        <v>0</v>
      </c>
      <c r="DB42">
        <f t="shared" ref="DB42" si="262">+BA42</f>
        <v>0</v>
      </c>
      <c r="DC42">
        <f t="shared" ref="DC42" si="263">+BB42</f>
        <v>0</v>
      </c>
      <c r="DD42">
        <f t="shared" ref="DD42" si="264">+BC42</f>
        <v>0</v>
      </c>
      <c r="DE42">
        <f t="shared" ref="DE42" si="265">+BD42</f>
        <v>0</v>
      </c>
      <c r="DF42">
        <f t="shared" ref="DF42" si="266">+BE42</f>
        <v>0</v>
      </c>
      <c r="DG42">
        <f t="shared" ref="DG42" si="267">+BF42</f>
        <v>0</v>
      </c>
      <c r="DH42">
        <f t="shared" ref="DH42" si="268">+BG42</f>
        <v>0</v>
      </c>
      <c r="DI42">
        <f t="shared" ref="DI42" si="269">+BH42</f>
        <v>0</v>
      </c>
      <c r="DJ42">
        <f t="shared" ref="DJ42" si="270">+BI42</f>
        <v>0</v>
      </c>
      <c r="DL42" s="24">
        <f t="shared" si="106"/>
        <v>372</v>
      </c>
      <c r="DM42" s="24">
        <f t="shared" si="107"/>
        <v>0</v>
      </c>
      <c r="DN42" s="24">
        <f t="shared" si="108"/>
        <v>0</v>
      </c>
      <c r="DO42" s="24">
        <f t="shared" si="109"/>
        <v>0</v>
      </c>
      <c r="DP42" s="24">
        <f t="shared" si="110"/>
        <v>0</v>
      </c>
      <c r="DQ42" s="24">
        <f t="shared" si="111"/>
        <v>0</v>
      </c>
      <c r="DR42" s="24">
        <f t="shared" si="112"/>
        <v>0</v>
      </c>
      <c r="DS42" s="24">
        <f t="shared" si="113"/>
        <v>0</v>
      </c>
      <c r="DT42" s="24">
        <f t="shared" si="114"/>
        <v>0</v>
      </c>
      <c r="DU42">
        <f t="shared" si="115"/>
        <v>0</v>
      </c>
      <c r="DV42">
        <f t="shared" si="116"/>
        <v>0</v>
      </c>
      <c r="DW42">
        <f t="shared" si="117"/>
        <v>0</v>
      </c>
    </row>
    <row r="43" spans="1:127" x14ac:dyDescent="0.25">
      <c r="A43" s="22">
        <f t="shared" si="2"/>
        <v>37</v>
      </c>
      <c r="B43" s="59" t="str">
        <f t="shared" si="3"/>
        <v>F0013547309</v>
      </c>
      <c r="C43" s="214" t="str">
        <f t="shared" si="4"/>
        <v>82115-0E490 J</v>
      </c>
      <c r="D43" s="58" t="e">
        <f>VLOOKUP(B43,'Timing Table'!B:G,6,0)</f>
        <v>#N/A</v>
      </c>
      <c r="E43" s="22" t="e">
        <f>VLOOKUP(B43,'Timing Table'!B:D,3,0)</f>
        <v>#N/A</v>
      </c>
      <c r="F43" s="155" t="s">
        <v>77</v>
      </c>
      <c r="G43" s="181">
        <v>82115</v>
      </c>
      <c r="H43" s="10" t="s">
        <v>168</v>
      </c>
      <c r="I43" s="12" t="s">
        <v>78</v>
      </c>
      <c r="J43" s="152">
        <v>4940</v>
      </c>
      <c r="K43" s="153">
        <v>4940</v>
      </c>
      <c r="L43" s="153">
        <v>4940</v>
      </c>
      <c r="M43" s="153">
        <v>4940</v>
      </c>
      <c r="N43" s="153">
        <v>4940</v>
      </c>
      <c r="O43" s="153">
        <v>4940</v>
      </c>
      <c r="P43" s="153">
        <v>4940</v>
      </c>
      <c r="Q43" s="153">
        <v>4940</v>
      </c>
      <c r="R43" s="153">
        <v>4940</v>
      </c>
      <c r="S43" s="153">
        <v>4940</v>
      </c>
      <c r="T43" s="153">
        <v>4940</v>
      </c>
      <c r="U43" s="153">
        <v>4940</v>
      </c>
      <c r="V43" s="153">
        <v>4940</v>
      </c>
      <c r="W43" s="153">
        <v>4940</v>
      </c>
      <c r="X43" s="153">
        <v>4940</v>
      </c>
      <c r="Y43" s="153">
        <v>4940</v>
      </c>
      <c r="Z43" s="153">
        <v>4940</v>
      </c>
      <c r="AA43" s="153">
        <v>4940</v>
      </c>
      <c r="AB43" s="153">
        <v>4940</v>
      </c>
      <c r="AC43" s="153">
        <v>4940</v>
      </c>
      <c r="AD43" s="153">
        <v>4940</v>
      </c>
      <c r="AE43" s="153">
        <v>4940</v>
      </c>
      <c r="AF43" s="153">
        <v>4940</v>
      </c>
      <c r="AG43" s="153">
        <v>4940</v>
      </c>
      <c r="AH43" s="153">
        <v>4940</v>
      </c>
      <c r="AI43" s="153">
        <v>4940</v>
      </c>
      <c r="AJ43" s="153">
        <v>4940</v>
      </c>
      <c r="AK43" s="153">
        <v>4940</v>
      </c>
      <c r="AL43" s="153">
        <v>4940</v>
      </c>
      <c r="AM43" s="153">
        <v>4940</v>
      </c>
      <c r="AN43" s="153">
        <v>4940</v>
      </c>
      <c r="AO43" s="153">
        <v>4940</v>
      </c>
      <c r="AP43" s="153">
        <v>4940</v>
      </c>
      <c r="AQ43" s="153">
        <v>4940</v>
      </c>
      <c r="AR43" s="153">
        <v>4940</v>
      </c>
      <c r="AS43" s="153">
        <v>4940</v>
      </c>
      <c r="AT43" s="153">
        <v>4940</v>
      </c>
      <c r="AU43" s="153">
        <v>4940</v>
      </c>
      <c r="AV43" s="153">
        <v>4940</v>
      </c>
      <c r="AW43" s="153">
        <v>4940</v>
      </c>
      <c r="AX43" s="153">
        <v>4940</v>
      </c>
      <c r="AY43" s="153">
        <v>4940</v>
      </c>
      <c r="AZ43" s="153">
        <v>4940</v>
      </c>
      <c r="BA43" s="153">
        <v>4940</v>
      </c>
      <c r="BB43" s="153">
        <v>4940</v>
      </c>
      <c r="BC43" s="153">
        <v>4940</v>
      </c>
      <c r="BD43" s="153">
        <v>4940</v>
      </c>
      <c r="BE43" s="153">
        <v>4940</v>
      </c>
      <c r="BF43" s="153">
        <v>4940</v>
      </c>
      <c r="BG43" s="153">
        <v>4940</v>
      </c>
      <c r="BH43" s="153">
        <v>4940</v>
      </c>
      <c r="BI43" s="153">
        <v>4940</v>
      </c>
      <c r="DL43">
        <f t="shared" si="106"/>
        <v>0</v>
      </c>
      <c r="DM43">
        <f t="shared" si="107"/>
        <v>0</v>
      </c>
      <c r="DN43">
        <f t="shared" si="108"/>
        <v>0</v>
      </c>
      <c r="DO43">
        <f t="shared" si="109"/>
        <v>0</v>
      </c>
      <c r="DP43">
        <f t="shared" si="110"/>
        <v>0</v>
      </c>
      <c r="DQ43">
        <f t="shared" si="111"/>
        <v>0</v>
      </c>
      <c r="DR43">
        <f t="shared" si="112"/>
        <v>0</v>
      </c>
      <c r="DS43">
        <f t="shared" si="113"/>
        <v>0</v>
      </c>
      <c r="DT43">
        <f t="shared" si="114"/>
        <v>0</v>
      </c>
      <c r="DU43">
        <f t="shared" si="115"/>
        <v>0</v>
      </c>
      <c r="DV43">
        <f t="shared" si="116"/>
        <v>0</v>
      </c>
      <c r="DW43">
        <f t="shared" si="117"/>
        <v>0</v>
      </c>
    </row>
    <row r="44" spans="1:127" x14ac:dyDescent="0.25">
      <c r="A44" s="22">
        <f t="shared" si="2"/>
        <v>38</v>
      </c>
      <c r="B44" s="59" t="str">
        <f t="shared" si="3"/>
        <v>F0013547309</v>
      </c>
      <c r="C44" s="214" t="str">
        <f t="shared" si="4"/>
        <v>82115-0E490 J</v>
      </c>
      <c r="D44" s="58" t="e">
        <f>VLOOKUP(B44,'Timing Table'!B:G,6,0)</f>
        <v>#N/A</v>
      </c>
      <c r="E44" s="22" t="e">
        <f>VLOOKUP(B44,'Timing Table'!B:D,3,0)</f>
        <v>#N/A</v>
      </c>
      <c r="F44" s="155" t="s">
        <v>79</v>
      </c>
      <c r="G44" s="199">
        <v>4568</v>
      </c>
      <c r="H44" s="184" t="s">
        <v>80</v>
      </c>
      <c r="I44" s="185"/>
      <c r="J44" s="200" t="s">
        <v>507</v>
      </c>
      <c r="K44" s="156"/>
      <c r="L44" s="157" t="s">
        <v>0</v>
      </c>
      <c r="M44" s="157" t="s">
        <v>0</v>
      </c>
      <c r="N44" s="157" t="s">
        <v>0</v>
      </c>
      <c r="O44" s="157" t="s">
        <v>0</v>
      </c>
      <c r="P44" s="157" t="s">
        <v>0</v>
      </c>
      <c r="Q44" s="157" t="s">
        <v>0</v>
      </c>
      <c r="R44" s="157" t="s">
        <v>0</v>
      </c>
      <c r="S44" s="157" t="s">
        <v>0</v>
      </c>
      <c r="T44" s="157" t="s">
        <v>0</v>
      </c>
      <c r="U44" s="157" t="s">
        <v>0</v>
      </c>
      <c r="V44" s="157" t="s">
        <v>0</v>
      </c>
      <c r="W44" s="157" t="s">
        <v>0</v>
      </c>
      <c r="X44" s="157" t="s">
        <v>0</v>
      </c>
      <c r="Y44" s="157" t="s">
        <v>0</v>
      </c>
      <c r="Z44" s="157" t="s">
        <v>0</v>
      </c>
      <c r="AA44" s="157" t="s">
        <v>0</v>
      </c>
      <c r="AB44" s="157" t="s">
        <v>0</v>
      </c>
      <c r="AC44" s="157" t="s">
        <v>0</v>
      </c>
      <c r="AD44" s="157" t="s">
        <v>0</v>
      </c>
      <c r="AE44" s="157" t="s">
        <v>0</v>
      </c>
      <c r="AF44" s="157" t="s">
        <v>0</v>
      </c>
      <c r="AG44" s="157" t="s">
        <v>0</v>
      </c>
      <c r="AH44" s="157" t="s">
        <v>0</v>
      </c>
      <c r="AI44" s="157" t="s">
        <v>0</v>
      </c>
      <c r="AJ44" s="157" t="s">
        <v>0</v>
      </c>
      <c r="AK44" s="157" t="s">
        <v>0</v>
      </c>
      <c r="AL44" s="157" t="s">
        <v>0</v>
      </c>
      <c r="AM44" s="157" t="s">
        <v>0</v>
      </c>
      <c r="AN44" s="157" t="s">
        <v>0</v>
      </c>
      <c r="AO44" s="157" t="s">
        <v>0</v>
      </c>
      <c r="AP44" s="157" t="s">
        <v>0</v>
      </c>
      <c r="AQ44" s="157" t="s">
        <v>0</v>
      </c>
      <c r="AR44" s="157" t="s">
        <v>0</v>
      </c>
      <c r="AS44" s="157" t="s">
        <v>0</v>
      </c>
      <c r="AT44" s="157" t="s">
        <v>0</v>
      </c>
      <c r="AU44" s="157" t="s">
        <v>0</v>
      </c>
      <c r="AV44" s="157" t="s">
        <v>0</v>
      </c>
      <c r="AW44" s="157" t="s">
        <v>0</v>
      </c>
      <c r="AX44" s="157" t="s">
        <v>0</v>
      </c>
      <c r="AY44" s="157" t="s">
        <v>0</v>
      </c>
      <c r="AZ44" s="157" t="s">
        <v>0</v>
      </c>
      <c r="BA44" s="157" t="s">
        <v>0</v>
      </c>
      <c r="BB44" s="157" t="s">
        <v>0</v>
      </c>
      <c r="BC44" s="157" t="s">
        <v>0</v>
      </c>
      <c r="BD44" s="157" t="s">
        <v>0</v>
      </c>
      <c r="BE44" s="157" t="s">
        <v>0</v>
      </c>
      <c r="BF44" s="157" t="s">
        <v>0</v>
      </c>
      <c r="BG44" s="157" t="s">
        <v>0</v>
      </c>
      <c r="BH44" s="157" t="s">
        <v>0</v>
      </c>
      <c r="BI44" s="158"/>
      <c r="DL44">
        <f t="shared" si="106"/>
        <v>0</v>
      </c>
      <c r="DM44">
        <f t="shared" si="107"/>
        <v>0</v>
      </c>
      <c r="DN44">
        <f t="shared" si="108"/>
        <v>0</v>
      </c>
      <c r="DO44">
        <f t="shared" si="109"/>
        <v>0</v>
      </c>
      <c r="DP44">
        <f t="shared" si="110"/>
        <v>0</v>
      </c>
      <c r="DQ44">
        <f t="shared" si="111"/>
        <v>0</v>
      </c>
      <c r="DR44">
        <f t="shared" si="112"/>
        <v>0</v>
      </c>
      <c r="DS44">
        <f t="shared" si="113"/>
        <v>0</v>
      </c>
      <c r="DT44">
        <f t="shared" si="114"/>
        <v>0</v>
      </c>
      <c r="DU44">
        <f t="shared" si="115"/>
        <v>0</v>
      </c>
      <c r="DV44">
        <f t="shared" si="116"/>
        <v>0</v>
      </c>
      <c r="DW44">
        <f t="shared" si="117"/>
        <v>0</v>
      </c>
    </row>
    <row r="45" spans="1:127" x14ac:dyDescent="0.25">
      <c r="A45" s="22">
        <f t="shared" si="2"/>
        <v>39</v>
      </c>
      <c r="B45" s="59" t="str">
        <f t="shared" si="3"/>
        <v>F0013547309</v>
      </c>
      <c r="C45" s="214" t="str">
        <f t="shared" si="4"/>
        <v>82115-0E490 J</v>
      </c>
      <c r="D45" s="58" t="e">
        <f>VLOOKUP(B45,'Timing Table'!B:G,6,0)</f>
        <v>#N/A</v>
      </c>
      <c r="E45" s="22" t="e">
        <f>VLOOKUP(B45,'Timing Table'!B:D,3,0)</f>
        <v>#N/A</v>
      </c>
      <c r="F45" s="159" t="s">
        <v>81</v>
      </c>
      <c r="G45" s="160" t="s">
        <v>60</v>
      </c>
      <c r="H45" s="201" t="s">
        <v>60</v>
      </c>
      <c r="I45" s="183" t="s">
        <v>60</v>
      </c>
      <c r="J45" s="183" t="s">
        <v>0</v>
      </c>
      <c r="K45" s="183" t="s">
        <v>0</v>
      </c>
      <c r="L45" s="183" t="s">
        <v>0</v>
      </c>
      <c r="M45" s="183" t="s">
        <v>0</v>
      </c>
      <c r="N45" s="183" t="s">
        <v>0</v>
      </c>
      <c r="O45" s="183" t="s">
        <v>0</v>
      </c>
      <c r="P45" s="183" t="s">
        <v>0</v>
      </c>
      <c r="Q45" s="183" t="s">
        <v>0</v>
      </c>
      <c r="R45" s="183" t="s">
        <v>0</v>
      </c>
      <c r="S45" s="183" t="s">
        <v>0</v>
      </c>
      <c r="T45" s="183" t="s">
        <v>0</v>
      </c>
      <c r="U45" s="183" t="s">
        <v>0</v>
      </c>
      <c r="V45" s="183" t="s">
        <v>0</v>
      </c>
      <c r="W45" s="183" t="s">
        <v>0</v>
      </c>
      <c r="X45" s="183" t="s">
        <v>0</v>
      </c>
      <c r="Y45" s="183" t="s">
        <v>0</v>
      </c>
      <c r="Z45" s="183" t="s">
        <v>0</v>
      </c>
      <c r="AA45" s="183" t="s">
        <v>0</v>
      </c>
      <c r="AB45" s="183" t="s">
        <v>0</v>
      </c>
      <c r="AC45" s="183" t="s">
        <v>0</v>
      </c>
      <c r="AD45" s="183" t="s">
        <v>0</v>
      </c>
      <c r="AE45" s="183" t="s">
        <v>0</v>
      </c>
      <c r="AF45" s="183" t="s">
        <v>0</v>
      </c>
      <c r="AG45" s="183" t="s">
        <v>0</v>
      </c>
      <c r="AH45" s="183" t="s">
        <v>0</v>
      </c>
      <c r="AI45" s="183" t="s">
        <v>0</v>
      </c>
      <c r="AJ45" s="183" t="s">
        <v>0</v>
      </c>
      <c r="AK45" s="183" t="s">
        <v>0</v>
      </c>
      <c r="AL45" s="183" t="s">
        <v>0</v>
      </c>
      <c r="AM45" s="183" t="s">
        <v>0</v>
      </c>
      <c r="AN45" s="183" t="s">
        <v>0</v>
      </c>
      <c r="AO45" s="183" t="s">
        <v>0</v>
      </c>
      <c r="AP45" s="183" t="s">
        <v>0</v>
      </c>
      <c r="AQ45" s="183" t="s">
        <v>0</v>
      </c>
      <c r="AR45" s="183" t="s">
        <v>0</v>
      </c>
      <c r="AS45" s="183" t="s">
        <v>0</v>
      </c>
      <c r="AT45" s="183" t="s">
        <v>0</v>
      </c>
      <c r="AU45" s="183" t="s">
        <v>0</v>
      </c>
      <c r="AV45" s="183" t="s">
        <v>0</v>
      </c>
      <c r="AW45" s="183" t="s">
        <v>0</v>
      </c>
      <c r="AX45" s="183" t="s">
        <v>0</v>
      </c>
      <c r="AY45" s="183" t="s">
        <v>0</v>
      </c>
      <c r="AZ45" s="183" t="s">
        <v>0</v>
      </c>
      <c r="BA45" s="183" t="s">
        <v>0</v>
      </c>
      <c r="BB45" s="183" t="s">
        <v>0</v>
      </c>
      <c r="BC45" s="183" t="s">
        <v>0</v>
      </c>
      <c r="BD45" s="183" t="s">
        <v>0</v>
      </c>
      <c r="BE45" s="183" t="s">
        <v>0</v>
      </c>
      <c r="BF45" s="183" t="s">
        <v>0</v>
      </c>
      <c r="BG45" s="183" t="s">
        <v>0</v>
      </c>
      <c r="BH45" s="183" t="s">
        <v>0</v>
      </c>
      <c r="BI45" s="161"/>
      <c r="DL45">
        <f t="shared" si="106"/>
        <v>0</v>
      </c>
      <c r="DM45">
        <f t="shared" si="107"/>
        <v>0</v>
      </c>
      <c r="DN45">
        <f t="shared" si="108"/>
        <v>0</v>
      </c>
      <c r="DO45">
        <f t="shared" si="109"/>
        <v>0</v>
      </c>
      <c r="DP45">
        <f t="shared" si="110"/>
        <v>0</v>
      </c>
      <c r="DQ45">
        <f t="shared" si="111"/>
        <v>0</v>
      </c>
      <c r="DR45">
        <f t="shared" si="112"/>
        <v>0</v>
      </c>
      <c r="DS45">
        <f t="shared" si="113"/>
        <v>0</v>
      </c>
      <c r="DT45">
        <f t="shared" si="114"/>
        <v>0</v>
      </c>
      <c r="DU45">
        <f t="shared" si="115"/>
        <v>0</v>
      </c>
      <c r="DV45">
        <f t="shared" si="116"/>
        <v>0</v>
      </c>
      <c r="DW45">
        <f t="shared" si="117"/>
        <v>0</v>
      </c>
    </row>
    <row r="46" spans="1:127" x14ac:dyDescent="0.25">
      <c r="A46" s="22">
        <v>40</v>
      </c>
      <c r="B46" s="59" t="s">
        <v>319</v>
      </c>
      <c r="C46" s="214" t="s">
        <v>160</v>
      </c>
      <c r="D46" s="58" t="s">
        <v>46</v>
      </c>
      <c r="E46" s="22" t="s">
        <v>390</v>
      </c>
      <c r="F46" s="188" t="s">
        <v>60</v>
      </c>
      <c r="G46" s="162" t="s">
        <v>60</v>
      </c>
      <c r="H46" s="163" t="s">
        <v>60</v>
      </c>
      <c r="I46" s="164" t="s">
        <v>60</v>
      </c>
      <c r="J46" s="164" t="s">
        <v>0</v>
      </c>
      <c r="K46" s="164" t="s">
        <v>0</v>
      </c>
      <c r="L46" s="164" t="s">
        <v>0</v>
      </c>
      <c r="M46" s="164" t="s">
        <v>0</v>
      </c>
      <c r="N46" s="164" t="s">
        <v>0</v>
      </c>
      <c r="O46" s="164" t="s">
        <v>0</v>
      </c>
      <c r="P46" s="164" t="s">
        <v>0</v>
      </c>
      <c r="Q46" s="164" t="s">
        <v>0</v>
      </c>
      <c r="R46" s="164" t="s">
        <v>0</v>
      </c>
      <c r="S46" s="164" t="s">
        <v>0</v>
      </c>
      <c r="T46" s="164" t="s">
        <v>0</v>
      </c>
      <c r="U46" s="164" t="s">
        <v>0</v>
      </c>
      <c r="V46" s="164" t="s">
        <v>0</v>
      </c>
      <c r="W46" s="164" t="s">
        <v>0</v>
      </c>
      <c r="X46" s="164" t="s">
        <v>0</v>
      </c>
      <c r="Y46" s="164" t="s">
        <v>0</v>
      </c>
      <c r="Z46" s="164" t="s">
        <v>0</v>
      </c>
      <c r="AA46" s="164" t="s">
        <v>0</v>
      </c>
      <c r="AB46" s="164" t="s">
        <v>0</v>
      </c>
      <c r="AC46" s="164" t="s">
        <v>0</v>
      </c>
      <c r="AD46" s="164" t="s">
        <v>0</v>
      </c>
      <c r="AE46" s="164" t="s">
        <v>0</v>
      </c>
      <c r="AF46" s="164" t="s">
        <v>0</v>
      </c>
      <c r="AG46" s="164" t="s">
        <v>0</v>
      </c>
      <c r="AH46" s="164" t="s">
        <v>0</v>
      </c>
      <c r="AI46" s="164" t="s">
        <v>0</v>
      </c>
      <c r="AJ46" s="164" t="s">
        <v>0</v>
      </c>
      <c r="AK46" s="164" t="s">
        <v>0</v>
      </c>
      <c r="AL46" s="164" t="s">
        <v>0</v>
      </c>
      <c r="AM46" s="164" t="s">
        <v>0</v>
      </c>
      <c r="AN46" s="164" t="s">
        <v>0</v>
      </c>
      <c r="AO46" s="164" t="s">
        <v>0</v>
      </c>
      <c r="AP46" s="164" t="s">
        <v>0</v>
      </c>
      <c r="AQ46" s="164" t="s">
        <v>0</v>
      </c>
      <c r="AR46" s="164" t="s">
        <v>0</v>
      </c>
      <c r="AS46" s="164" t="s">
        <v>0</v>
      </c>
      <c r="AT46" s="164" t="s">
        <v>0</v>
      </c>
      <c r="AU46" s="164" t="s">
        <v>0</v>
      </c>
      <c r="AV46" s="164" t="s">
        <v>0</v>
      </c>
      <c r="AW46" s="164" t="s">
        <v>0</v>
      </c>
      <c r="AX46" s="164" t="s">
        <v>0</v>
      </c>
      <c r="AY46" s="164" t="s">
        <v>0</v>
      </c>
      <c r="AZ46" s="164" t="s">
        <v>0</v>
      </c>
      <c r="BA46" s="164" t="s">
        <v>0</v>
      </c>
      <c r="BB46" s="164" t="s">
        <v>0</v>
      </c>
      <c r="BC46" s="164" t="s">
        <v>0</v>
      </c>
      <c r="BD46" s="164" t="s">
        <v>0</v>
      </c>
      <c r="BE46" s="164" t="s">
        <v>0</v>
      </c>
      <c r="BF46" s="164" t="s">
        <v>0</v>
      </c>
      <c r="BG46" s="164" t="s">
        <v>0</v>
      </c>
      <c r="BH46" s="164" t="s">
        <v>0</v>
      </c>
      <c r="BI46" s="189"/>
      <c r="DL46">
        <f t="shared" si="106"/>
        <v>0</v>
      </c>
      <c r="DM46">
        <f t="shared" si="107"/>
        <v>0</v>
      </c>
      <c r="DN46">
        <f t="shared" si="108"/>
        <v>0</v>
      </c>
      <c r="DO46">
        <f t="shared" si="109"/>
        <v>0</v>
      </c>
      <c r="DP46">
        <f t="shared" si="110"/>
        <v>0</v>
      </c>
      <c r="DQ46">
        <f t="shared" si="111"/>
        <v>0</v>
      </c>
      <c r="DR46">
        <f t="shared" si="112"/>
        <v>0</v>
      </c>
      <c r="DS46">
        <f t="shared" si="113"/>
        <v>0</v>
      </c>
      <c r="DT46">
        <f t="shared" si="114"/>
        <v>0</v>
      </c>
      <c r="DU46">
        <f t="shared" si="115"/>
        <v>0</v>
      </c>
      <c r="DV46">
        <f t="shared" si="116"/>
        <v>0</v>
      </c>
      <c r="DW46">
        <f t="shared" si="117"/>
        <v>0</v>
      </c>
    </row>
    <row r="47" spans="1:127" x14ac:dyDescent="0.25">
      <c r="A47" s="22">
        <v>41</v>
      </c>
      <c r="B47" s="59" t="s">
        <v>324</v>
      </c>
      <c r="C47" s="214" t="s">
        <v>160</v>
      </c>
      <c r="D47" s="58" t="s">
        <v>46</v>
      </c>
      <c r="E47" s="22" t="s">
        <v>390</v>
      </c>
      <c r="F47" s="155" t="s">
        <v>61</v>
      </c>
      <c r="G47" s="181">
        <v>5501060670</v>
      </c>
      <c r="H47" s="155" t="s">
        <v>62</v>
      </c>
      <c r="I47" s="181">
        <v>18</v>
      </c>
      <c r="J47" s="155" t="s">
        <v>63</v>
      </c>
      <c r="K47" s="160">
        <v>1179885</v>
      </c>
      <c r="L47" s="161"/>
      <c r="M47" s="190" t="s">
        <v>64</v>
      </c>
      <c r="N47" s="191"/>
      <c r="O47" s="192">
        <v>46086</v>
      </c>
      <c r="P47" s="155" t="s">
        <v>65</v>
      </c>
      <c r="Q47" s="181">
        <v>4</v>
      </c>
      <c r="R47" s="6" t="s">
        <v>0</v>
      </c>
      <c r="S47" s="7" t="s">
        <v>0</v>
      </c>
      <c r="T47" s="7" t="s">
        <v>0</v>
      </c>
      <c r="U47" s="7" t="s">
        <v>0</v>
      </c>
      <c r="V47" s="7" t="s">
        <v>0</v>
      </c>
      <c r="W47" s="7" t="s">
        <v>0</v>
      </c>
      <c r="X47" s="7" t="s">
        <v>0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0</v>
      </c>
      <c r="AD47" s="7" t="s">
        <v>0</v>
      </c>
      <c r="AE47" s="7" t="s">
        <v>0</v>
      </c>
      <c r="AF47" s="7" t="s">
        <v>0</v>
      </c>
      <c r="AG47" s="7" t="s">
        <v>0</v>
      </c>
      <c r="AH47" s="7" t="s">
        <v>0</v>
      </c>
      <c r="AI47" s="7" t="s">
        <v>0</v>
      </c>
      <c r="AJ47" s="7" t="s">
        <v>0</v>
      </c>
      <c r="AK47" s="7" t="s">
        <v>0</v>
      </c>
      <c r="AL47" s="7" t="s">
        <v>0</v>
      </c>
      <c r="AM47" s="7" t="s">
        <v>0</v>
      </c>
      <c r="AN47" s="7" t="s">
        <v>0</v>
      </c>
      <c r="AO47" s="7" t="s">
        <v>0</v>
      </c>
      <c r="AP47" s="7" t="s">
        <v>0</v>
      </c>
      <c r="AQ47" s="7" t="s">
        <v>0</v>
      </c>
      <c r="AR47" s="7" t="s">
        <v>0</v>
      </c>
      <c r="AS47" s="7" t="s">
        <v>0</v>
      </c>
      <c r="AT47" s="7" t="s">
        <v>0</v>
      </c>
      <c r="AU47" s="7" t="s">
        <v>0</v>
      </c>
      <c r="AV47" s="7" t="s">
        <v>0</v>
      </c>
      <c r="AW47" s="7" t="s">
        <v>0</v>
      </c>
      <c r="AX47" s="7" t="s">
        <v>0</v>
      </c>
      <c r="AY47" s="7" t="s">
        <v>0</v>
      </c>
      <c r="AZ47" s="7" t="s">
        <v>0</v>
      </c>
      <c r="BA47" s="7" t="s">
        <v>0</v>
      </c>
      <c r="BB47" s="7" t="s">
        <v>0</v>
      </c>
      <c r="BC47" s="7" t="s">
        <v>0</v>
      </c>
      <c r="BD47" s="7" t="s">
        <v>0</v>
      </c>
      <c r="BE47" s="7" t="s">
        <v>0</v>
      </c>
      <c r="BF47" s="7" t="s">
        <v>0</v>
      </c>
      <c r="BG47" s="7" t="s">
        <v>0</v>
      </c>
      <c r="BH47" s="7" t="s">
        <v>0</v>
      </c>
      <c r="BI47" s="8"/>
      <c r="DL47">
        <f t="shared" si="106"/>
        <v>0</v>
      </c>
      <c r="DM47">
        <f t="shared" si="107"/>
        <v>0</v>
      </c>
      <c r="DN47">
        <f t="shared" si="108"/>
        <v>0</v>
      </c>
      <c r="DO47">
        <f t="shared" si="109"/>
        <v>0</v>
      </c>
      <c r="DP47">
        <f t="shared" si="110"/>
        <v>0</v>
      </c>
      <c r="DQ47">
        <f t="shared" si="111"/>
        <v>0</v>
      </c>
      <c r="DR47">
        <f t="shared" si="112"/>
        <v>0</v>
      </c>
      <c r="DS47">
        <f t="shared" si="113"/>
        <v>0</v>
      </c>
      <c r="DT47">
        <f t="shared" si="114"/>
        <v>0</v>
      </c>
      <c r="DU47">
        <f t="shared" si="115"/>
        <v>0</v>
      </c>
      <c r="DV47">
        <f t="shared" si="116"/>
        <v>0</v>
      </c>
      <c r="DW47">
        <f t="shared" si="117"/>
        <v>0</v>
      </c>
    </row>
    <row r="48" spans="1:127" x14ac:dyDescent="0.25">
      <c r="A48" s="22">
        <v>42</v>
      </c>
      <c r="B48" s="59" t="s">
        <v>324</v>
      </c>
      <c r="C48" s="214" t="s">
        <v>160</v>
      </c>
      <c r="D48" s="58" t="s">
        <v>46</v>
      </c>
      <c r="E48" s="22" t="s">
        <v>390</v>
      </c>
      <c r="F48" s="155" t="s">
        <v>66</v>
      </c>
      <c r="G48" s="181" t="s">
        <v>454</v>
      </c>
      <c r="H48" s="155" t="s">
        <v>67</v>
      </c>
      <c r="I48" s="182" t="s">
        <v>455</v>
      </c>
      <c r="J48" s="183"/>
      <c r="K48" s="183"/>
      <c r="L48" s="161"/>
      <c r="M48" s="155" t="s">
        <v>68</v>
      </c>
      <c r="N48" s="181">
        <v>2025</v>
      </c>
      <c r="O48" s="184" t="s">
        <v>69</v>
      </c>
      <c r="P48" s="185"/>
      <c r="Q48" s="193" t="s">
        <v>329</v>
      </c>
      <c r="R48" s="156" t="s">
        <v>0</v>
      </c>
      <c r="S48" s="157"/>
      <c r="T48" s="157"/>
      <c r="U48" s="157" t="s">
        <v>0</v>
      </c>
      <c r="V48" s="157" t="s">
        <v>0</v>
      </c>
      <c r="W48" s="157" t="s">
        <v>0</v>
      </c>
      <c r="X48" s="157" t="s">
        <v>0</v>
      </c>
      <c r="Y48" s="157" t="s">
        <v>0</v>
      </c>
      <c r="Z48" s="157" t="s">
        <v>0</v>
      </c>
      <c r="AA48" s="157" t="s">
        <v>0</v>
      </c>
      <c r="AB48" s="157" t="s">
        <v>0</v>
      </c>
      <c r="AC48" s="157" t="s">
        <v>0</v>
      </c>
      <c r="AD48" s="157" t="s">
        <v>0</v>
      </c>
      <c r="AE48" s="157" t="s">
        <v>0</v>
      </c>
      <c r="AF48" s="157" t="s">
        <v>0</v>
      </c>
      <c r="AG48" s="157" t="s">
        <v>0</v>
      </c>
      <c r="AH48" s="157" t="s">
        <v>0</v>
      </c>
      <c r="AI48" s="157" t="s">
        <v>0</v>
      </c>
      <c r="AJ48" s="157" t="s">
        <v>0</v>
      </c>
      <c r="AK48" s="157" t="s">
        <v>0</v>
      </c>
      <c r="AL48" s="157" t="s">
        <v>0</v>
      </c>
      <c r="AM48" s="157" t="s">
        <v>0</v>
      </c>
      <c r="AN48" s="157" t="s">
        <v>0</v>
      </c>
      <c r="AO48" s="157" t="s">
        <v>0</v>
      </c>
      <c r="AP48" s="157" t="s">
        <v>0</v>
      </c>
      <c r="AQ48" s="157" t="s">
        <v>0</v>
      </c>
      <c r="AR48" s="157" t="s">
        <v>0</v>
      </c>
      <c r="AS48" s="157" t="s">
        <v>0</v>
      </c>
      <c r="AT48" s="157" t="s">
        <v>0</v>
      </c>
      <c r="AU48" s="157" t="s">
        <v>0</v>
      </c>
      <c r="AV48" s="157" t="s">
        <v>0</v>
      </c>
      <c r="AW48" s="157" t="s">
        <v>0</v>
      </c>
      <c r="AX48" s="157" t="s">
        <v>0</v>
      </c>
      <c r="AY48" s="157" t="s">
        <v>0</v>
      </c>
      <c r="AZ48" s="157" t="s">
        <v>0</v>
      </c>
      <c r="BA48" s="157" t="s">
        <v>0</v>
      </c>
      <c r="BB48" s="157" t="s">
        <v>0</v>
      </c>
      <c r="BC48" s="157" t="s">
        <v>0</v>
      </c>
      <c r="BD48" s="157" t="s">
        <v>0</v>
      </c>
      <c r="BE48" s="157" t="s">
        <v>0</v>
      </c>
      <c r="BF48" s="157" t="s">
        <v>0</v>
      </c>
      <c r="BG48" s="157" t="s">
        <v>0</v>
      </c>
      <c r="BH48" s="157" t="s">
        <v>0</v>
      </c>
      <c r="BI48" s="158"/>
      <c r="DL48">
        <f t="shared" si="106"/>
        <v>0</v>
      </c>
      <c r="DM48">
        <f t="shared" si="107"/>
        <v>0</v>
      </c>
      <c r="DN48">
        <f t="shared" si="108"/>
        <v>0</v>
      </c>
      <c r="DO48">
        <f t="shared" si="109"/>
        <v>0</v>
      </c>
      <c r="DP48">
        <f t="shared" si="110"/>
        <v>0</v>
      </c>
      <c r="DQ48">
        <f t="shared" si="111"/>
        <v>0</v>
      </c>
      <c r="DR48">
        <f t="shared" si="112"/>
        <v>0</v>
      </c>
      <c r="DS48">
        <f t="shared" si="113"/>
        <v>0</v>
      </c>
      <c r="DT48">
        <f t="shared" si="114"/>
        <v>0</v>
      </c>
      <c r="DU48">
        <f t="shared" si="115"/>
        <v>0</v>
      </c>
      <c r="DV48">
        <f t="shared" si="116"/>
        <v>0</v>
      </c>
      <c r="DW48">
        <f t="shared" si="117"/>
        <v>0</v>
      </c>
    </row>
    <row r="49" spans="1:127" x14ac:dyDescent="0.25">
      <c r="A49" s="22">
        <v>43</v>
      </c>
      <c r="B49" s="59" t="s">
        <v>324</v>
      </c>
      <c r="C49" s="214" t="s">
        <v>160</v>
      </c>
      <c r="D49" s="58" t="s">
        <v>46</v>
      </c>
      <c r="E49" s="22" t="s">
        <v>390</v>
      </c>
      <c r="F49" s="155" t="s">
        <v>70</v>
      </c>
      <c r="G49" s="181" t="s">
        <v>469</v>
      </c>
      <c r="H49" s="155" t="s">
        <v>71</v>
      </c>
      <c r="I49" s="182" t="s">
        <v>60</v>
      </c>
      <c r="J49" s="161" t="s">
        <v>0</v>
      </c>
      <c r="K49" s="194" t="s">
        <v>0</v>
      </c>
      <c r="L49" s="195" t="s">
        <v>0</v>
      </c>
      <c r="M49" s="179" t="s">
        <v>0</v>
      </c>
      <c r="N49" s="179" t="s">
        <v>0</v>
      </c>
      <c r="O49" s="179" t="s">
        <v>0</v>
      </c>
      <c r="P49" s="179" t="s">
        <v>0</v>
      </c>
      <c r="Q49" s="179" t="s">
        <v>1</v>
      </c>
      <c r="R49" s="179" t="s">
        <v>2</v>
      </c>
      <c r="S49" s="179" t="s">
        <v>0</v>
      </c>
      <c r="T49" s="179" t="s">
        <v>0</v>
      </c>
      <c r="U49" s="179" t="s">
        <v>0</v>
      </c>
      <c r="V49" s="179" t="s">
        <v>0</v>
      </c>
      <c r="W49" s="179" t="s">
        <v>0</v>
      </c>
      <c r="X49" s="179" t="s">
        <v>0</v>
      </c>
      <c r="Y49" s="179" t="s">
        <v>0</v>
      </c>
      <c r="Z49" s="179" t="s">
        <v>3</v>
      </c>
      <c r="AA49" s="179" t="s">
        <v>0</v>
      </c>
      <c r="AB49" s="179" t="s">
        <v>0</v>
      </c>
      <c r="AC49" s="179" t="s">
        <v>0</v>
      </c>
      <c r="AD49" s="179" t="s">
        <v>0</v>
      </c>
      <c r="AE49" s="179" t="s">
        <v>0</v>
      </c>
      <c r="AF49" s="179" t="s">
        <v>0</v>
      </c>
      <c r="AG49" s="179" t="s">
        <v>0</v>
      </c>
      <c r="AH49" s="179" t="s">
        <v>0</v>
      </c>
      <c r="AI49" s="179" t="s">
        <v>0</v>
      </c>
      <c r="AJ49" s="179" t="s">
        <v>0</v>
      </c>
      <c r="AK49" s="179" t="s">
        <v>0</v>
      </c>
      <c r="AL49" s="179" t="s">
        <v>0</v>
      </c>
      <c r="AM49" s="179" t="s">
        <v>0</v>
      </c>
      <c r="AN49" s="179" t="s">
        <v>0</v>
      </c>
      <c r="AO49" s="179" t="s">
        <v>0</v>
      </c>
      <c r="AP49" s="179" t="s">
        <v>0</v>
      </c>
      <c r="AQ49" s="179" t="s">
        <v>0</v>
      </c>
      <c r="AR49" s="179" t="s">
        <v>0</v>
      </c>
      <c r="AS49" s="179" t="s">
        <v>0</v>
      </c>
      <c r="AT49" s="179" t="s">
        <v>0</v>
      </c>
      <c r="AU49" s="179" t="s">
        <v>0</v>
      </c>
      <c r="AV49" s="179" t="s">
        <v>0</v>
      </c>
      <c r="AW49" s="179" t="s">
        <v>0</v>
      </c>
      <c r="AX49" s="179" t="s">
        <v>0</v>
      </c>
      <c r="AY49" s="179" t="s">
        <v>0</v>
      </c>
      <c r="AZ49" s="179" t="s">
        <v>0</v>
      </c>
      <c r="BA49" s="179" t="s">
        <v>0</v>
      </c>
      <c r="BB49" s="179" t="s">
        <v>0</v>
      </c>
      <c r="BC49" s="179" t="s">
        <v>0</v>
      </c>
      <c r="BD49" s="179" t="s">
        <v>0</v>
      </c>
      <c r="BE49" s="179" t="s">
        <v>0</v>
      </c>
      <c r="BF49" s="179" t="s">
        <v>0</v>
      </c>
      <c r="BG49" s="179" t="s">
        <v>0</v>
      </c>
      <c r="BH49" s="179" t="s">
        <v>0</v>
      </c>
      <c r="BI49" s="180" t="s">
        <v>4</v>
      </c>
      <c r="DL49">
        <f t="shared" si="106"/>
        <v>0</v>
      </c>
      <c r="DM49">
        <f t="shared" si="107"/>
        <v>0</v>
      </c>
      <c r="DN49">
        <f t="shared" si="108"/>
        <v>0</v>
      </c>
      <c r="DO49">
        <f t="shared" si="109"/>
        <v>0</v>
      </c>
      <c r="DP49">
        <f t="shared" si="110"/>
        <v>0</v>
      </c>
      <c r="DQ49">
        <f t="shared" si="111"/>
        <v>0</v>
      </c>
      <c r="DR49">
        <f t="shared" si="112"/>
        <v>0</v>
      </c>
      <c r="DS49">
        <f t="shared" si="113"/>
        <v>0</v>
      </c>
      <c r="DT49">
        <f t="shared" si="114"/>
        <v>0</v>
      </c>
      <c r="DU49">
        <f t="shared" si="115"/>
        <v>0</v>
      </c>
      <c r="DV49">
        <f t="shared" si="116"/>
        <v>0</v>
      </c>
      <c r="DW49">
        <f t="shared" si="117"/>
        <v>0</v>
      </c>
    </row>
    <row r="50" spans="1:127" x14ac:dyDescent="0.25">
      <c r="A50" s="22">
        <v>44</v>
      </c>
      <c r="B50" s="59" t="s">
        <v>324</v>
      </c>
      <c r="C50" s="214" t="s">
        <v>160</v>
      </c>
      <c r="D50" s="58" t="s">
        <v>46</v>
      </c>
      <c r="E50" s="22" t="s">
        <v>390</v>
      </c>
      <c r="F50" s="155" t="s">
        <v>72</v>
      </c>
      <c r="G50" s="181">
        <v>976</v>
      </c>
      <c r="H50" s="196" t="s">
        <v>414</v>
      </c>
      <c r="I50" s="197" t="s">
        <v>73</v>
      </c>
      <c r="J50" s="13">
        <v>46041</v>
      </c>
      <c r="K50" s="14">
        <v>46048</v>
      </c>
      <c r="L50" s="14">
        <v>46055</v>
      </c>
      <c r="M50" s="14">
        <v>46062</v>
      </c>
      <c r="N50" s="14">
        <v>46069</v>
      </c>
      <c r="O50" s="14">
        <v>46076</v>
      </c>
      <c r="P50" s="14">
        <v>46083</v>
      </c>
      <c r="Q50" s="14">
        <v>46090</v>
      </c>
      <c r="R50" s="14">
        <v>46097</v>
      </c>
      <c r="S50" s="14">
        <v>46104</v>
      </c>
      <c r="T50" s="14">
        <v>46111</v>
      </c>
      <c r="U50" s="14">
        <v>46118</v>
      </c>
      <c r="V50" s="14">
        <v>46125</v>
      </c>
      <c r="W50" s="14">
        <v>46132</v>
      </c>
      <c r="X50" s="14">
        <v>46139</v>
      </c>
      <c r="Y50" s="14">
        <v>46146</v>
      </c>
      <c r="Z50" s="14">
        <v>46153</v>
      </c>
      <c r="AA50" s="14">
        <v>46160</v>
      </c>
      <c r="AB50" s="14">
        <v>46167</v>
      </c>
      <c r="AC50" s="14">
        <v>46174</v>
      </c>
      <c r="AD50" s="14">
        <v>46181</v>
      </c>
      <c r="AE50" s="14">
        <v>46188</v>
      </c>
      <c r="AF50" s="14">
        <v>46195</v>
      </c>
      <c r="AG50" s="14">
        <v>46202</v>
      </c>
      <c r="AH50" s="14">
        <v>46209</v>
      </c>
      <c r="AI50" s="14">
        <v>46216</v>
      </c>
      <c r="AJ50" s="14">
        <v>46223</v>
      </c>
      <c r="AK50" s="14">
        <v>46230</v>
      </c>
      <c r="AL50" s="14">
        <v>46237</v>
      </c>
      <c r="AM50" s="14">
        <v>46244</v>
      </c>
      <c r="AN50" s="14">
        <v>46251</v>
      </c>
      <c r="AO50" s="14">
        <v>46258</v>
      </c>
      <c r="AP50" s="14">
        <v>46265</v>
      </c>
      <c r="AQ50" s="14">
        <v>46272</v>
      </c>
      <c r="AR50" s="14">
        <v>46279</v>
      </c>
      <c r="AS50" s="14">
        <v>46286</v>
      </c>
      <c r="AT50" s="14">
        <v>46293</v>
      </c>
      <c r="AU50" s="14">
        <v>46300</v>
      </c>
      <c r="AV50" s="14">
        <v>46307</v>
      </c>
      <c r="AW50" s="14">
        <v>46314</v>
      </c>
      <c r="AX50" s="14">
        <v>46321</v>
      </c>
      <c r="AY50" s="14">
        <v>46328</v>
      </c>
      <c r="AZ50" s="14">
        <v>46335</v>
      </c>
      <c r="BA50" s="14">
        <v>46342</v>
      </c>
      <c r="BB50" s="14">
        <v>46349</v>
      </c>
      <c r="BC50" s="14">
        <v>46356</v>
      </c>
      <c r="BD50" s="14">
        <v>46363</v>
      </c>
      <c r="BE50" s="14">
        <v>46370</v>
      </c>
      <c r="BF50" s="14">
        <v>46377</v>
      </c>
      <c r="BG50" s="14">
        <v>46384</v>
      </c>
      <c r="BH50" s="14">
        <v>46391</v>
      </c>
      <c r="BI50" s="15">
        <v>46398</v>
      </c>
      <c r="DL50">
        <f t="shared" si="106"/>
        <v>0</v>
      </c>
      <c r="DM50">
        <f t="shared" si="107"/>
        <v>0</v>
      </c>
      <c r="DN50">
        <f t="shared" si="108"/>
        <v>0</v>
      </c>
      <c r="DO50">
        <f t="shared" si="109"/>
        <v>0</v>
      </c>
      <c r="DP50">
        <f t="shared" si="110"/>
        <v>0</v>
      </c>
      <c r="DQ50">
        <f t="shared" si="111"/>
        <v>0</v>
      </c>
      <c r="DR50">
        <f t="shared" si="112"/>
        <v>0</v>
      </c>
      <c r="DS50">
        <f t="shared" si="113"/>
        <v>0</v>
      </c>
      <c r="DT50">
        <f t="shared" si="114"/>
        <v>0</v>
      </c>
      <c r="DU50">
        <f t="shared" si="115"/>
        <v>0</v>
      </c>
      <c r="DV50">
        <f t="shared" si="116"/>
        <v>0</v>
      </c>
      <c r="DW50">
        <f t="shared" si="117"/>
        <v>0</v>
      </c>
    </row>
    <row r="51" spans="1:127" x14ac:dyDescent="0.25">
      <c r="A51" s="22">
        <v>45</v>
      </c>
      <c r="B51" s="59" t="s">
        <v>324</v>
      </c>
      <c r="C51" s="214" t="s">
        <v>160</v>
      </c>
      <c r="D51" s="58" t="s">
        <v>46</v>
      </c>
      <c r="E51" s="22" t="s">
        <v>390</v>
      </c>
      <c r="F51" s="155" t="s">
        <v>74</v>
      </c>
      <c r="G51" s="181">
        <v>1808</v>
      </c>
      <c r="H51" s="5" t="s">
        <v>60</v>
      </c>
      <c r="I51" s="11" t="s">
        <v>147</v>
      </c>
      <c r="J51" s="16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17"/>
      <c r="DL51">
        <f t="shared" si="106"/>
        <v>0</v>
      </c>
      <c r="DM51">
        <f t="shared" si="107"/>
        <v>0</v>
      </c>
      <c r="DN51">
        <f t="shared" si="108"/>
        <v>0</v>
      </c>
      <c r="DO51">
        <f t="shared" si="109"/>
        <v>0</v>
      </c>
      <c r="DP51">
        <f t="shared" si="110"/>
        <v>0</v>
      </c>
      <c r="DQ51">
        <f t="shared" si="111"/>
        <v>0</v>
      </c>
      <c r="DR51">
        <f t="shared" si="112"/>
        <v>0</v>
      </c>
      <c r="DS51">
        <f t="shared" si="113"/>
        <v>0</v>
      </c>
      <c r="DT51">
        <f t="shared" si="114"/>
        <v>0</v>
      </c>
      <c r="DU51">
        <f t="shared" si="115"/>
        <v>0</v>
      </c>
      <c r="DV51">
        <f t="shared" si="116"/>
        <v>0</v>
      </c>
      <c r="DW51">
        <f t="shared" si="117"/>
        <v>0</v>
      </c>
    </row>
    <row r="52" spans="1:127" x14ac:dyDescent="0.25">
      <c r="A52" s="22">
        <v>46</v>
      </c>
      <c r="B52" s="59" t="s">
        <v>324</v>
      </c>
      <c r="C52" s="214" t="s">
        <v>160</v>
      </c>
      <c r="D52" s="58" t="s">
        <v>46</v>
      </c>
      <c r="E52" s="22" t="s">
        <v>390</v>
      </c>
      <c r="F52" s="155" t="s">
        <v>75</v>
      </c>
      <c r="G52" s="198" t="s">
        <v>486</v>
      </c>
      <c r="H52" s="9" t="s">
        <v>168</v>
      </c>
      <c r="I52" s="11" t="s">
        <v>76</v>
      </c>
      <c r="J52" s="143">
        <v>136</v>
      </c>
      <c r="K52" s="64">
        <v>84</v>
      </c>
      <c r="L52" s="64">
        <v>168</v>
      </c>
      <c r="M52" s="64">
        <v>228</v>
      </c>
      <c r="N52" s="64">
        <v>0</v>
      </c>
      <c r="O52" s="64">
        <v>56</v>
      </c>
      <c r="P52" s="64">
        <v>304</v>
      </c>
      <c r="Q52" s="64">
        <v>0</v>
      </c>
      <c r="R52" s="64">
        <v>0</v>
      </c>
      <c r="S52" s="64">
        <v>52</v>
      </c>
      <c r="T52" s="64">
        <v>84</v>
      </c>
      <c r="U52" s="64">
        <v>88</v>
      </c>
      <c r="V52" s="64">
        <v>84</v>
      </c>
      <c r="W52" s="64">
        <v>76</v>
      </c>
      <c r="X52" s="64">
        <v>60</v>
      </c>
      <c r="Y52" s="64">
        <v>60</v>
      </c>
      <c r="Z52" s="64">
        <v>80</v>
      </c>
      <c r="AA52" s="64">
        <v>104</v>
      </c>
      <c r="AB52" s="64">
        <v>100</v>
      </c>
      <c r="AC52" s="64">
        <v>104</v>
      </c>
      <c r="AD52" s="64">
        <v>84</v>
      </c>
      <c r="AE52" s="64">
        <v>112</v>
      </c>
      <c r="AF52" s="64">
        <v>68</v>
      </c>
      <c r="AG52" s="64">
        <v>100</v>
      </c>
      <c r="AH52" s="64">
        <v>40</v>
      </c>
      <c r="AI52" s="64">
        <v>104</v>
      </c>
      <c r="AJ52" s="64">
        <v>96</v>
      </c>
      <c r="AK52" s="64">
        <v>96</v>
      </c>
      <c r="AL52" s="64">
        <v>156</v>
      </c>
      <c r="AM52" s="64">
        <v>112</v>
      </c>
      <c r="AN52" s="64">
        <v>120</v>
      </c>
      <c r="AO52" s="64">
        <v>120</v>
      </c>
      <c r="AP52" s="64">
        <v>120</v>
      </c>
      <c r="AQ52" s="64">
        <v>120</v>
      </c>
      <c r="AR52" s="64">
        <v>120</v>
      </c>
      <c r="AS52" s="64">
        <v>120</v>
      </c>
      <c r="AT52" s="64">
        <v>120</v>
      </c>
      <c r="AU52" s="64">
        <v>120</v>
      </c>
      <c r="AV52" s="64">
        <v>120</v>
      </c>
      <c r="AW52" s="64">
        <v>120</v>
      </c>
      <c r="AX52" s="64">
        <v>120</v>
      </c>
      <c r="AY52" s="64">
        <v>120</v>
      </c>
      <c r="AZ52" s="64">
        <v>120</v>
      </c>
      <c r="BA52" s="64">
        <v>120</v>
      </c>
      <c r="BB52" s="64">
        <v>120</v>
      </c>
      <c r="BC52" s="64">
        <v>120</v>
      </c>
      <c r="BD52" s="64">
        <v>120</v>
      </c>
      <c r="BE52" s="64">
        <v>120</v>
      </c>
      <c r="BF52" s="64">
        <v>120</v>
      </c>
      <c r="BG52" s="64">
        <v>120</v>
      </c>
      <c r="BH52" s="64">
        <v>120</v>
      </c>
      <c r="BI52" s="64">
        <v>120</v>
      </c>
      <c r="BJ52" s="24" t="str">
        <f>+G49</f>
        <v>82115-0E490 K</v>
      </c>
      <c r="BK52" s="24">
        <f>+J52</f>
        <v>136</v>
      </c>
      <c r="BL52" s="24">
        <f t="shared" ref="BL52" si="271">+K52</f>
        <v>84</v>
      </c>
      <c r="BM52" s="24">
        <f t="shared" ref="BM52" si="272">+L52</f>
        <v>168</v>
      </c>
      <c r="BN52" s="24">
        <f t="shared" ref="BN52" si="273">+M52</f>
        <v>228</v>
      </c>
      <c r="BO52" s="24">
        <f t="shared" ref="BO52" si="274">+N52</f>
        <v>0</v>
      </c>
      <c r="BP52" s="24">
        <f t="shared" ref="BP52" si="275">+O52</f>
        <v>56</v>
      </c>
      <c r="BQ52" s="24">
        <f t="shared" ref="BQ52" si="276">+P52</f>
        <v>304</v>
      </c>
      <c r="BR52" s="24">
        <f t="shared" ref="BR52" si="277">+Q52</f>
        <v>0</v>
      </c>
      <c r="BS52" s="24">
        <f t="shared" ref="BS52" si="278">+R52</f>
        <v>0</v>
      </c>
      <c r="BT52" s="24">
        <f t="shared" ref="BT52" si="279">+S52</f>
        <v>52</v>
      </c>
      <c r="BU52" s="24">
        <f t="shared" ref="BU52" si="280">+T52</f>
        <v>84</v>
      </c>
      <c r="BV52" s="24">
        <f t="shared" ref="BV52" si="281">+U52</f>
        <v>88</v>
      </c>
      <c r="BW52" s="24">
        <f t="shared" ref="BW52" si="282">+V52</f>
        <v>84</v>
      </c>
      <c r="BX52" s="24">
        <f t="shared" ref="BX52" si="283">+W52</f>
        <v>76</v>
      </c>
      <c r="BY52" s="24">
        <f t="shared" ref="BY52" si="284">+X52</f>
        <v>60</v>
      </c>
      <c r="BZ52" s="24">
        <f t="shared" ref="BZ52" si="285">+Y52</f>
        <v>60</v>
      </c>
      <c r="CA52" s="24">
        <f t="shared" ref="CA52" si="286">+Z52</f>
        <v>80</v>
      </c>
      <c r="CB52" s="24">
        <f t="shared" ref="CB52" si="287">+AA52</f>
        <v>104</v>
      </c>
      <c r="CC52" s="24">
        <f t="shared" ref="CC52" si="288">+AB52</f>
        <v>100</v>
      </c>
      <c r="CD52" s="24">
        <f t="shared" ref="CD52" si="289">+AC52</f>
        <v>104</v>
      </c>
      <c r="CE52" s="24">
        <f t="shared" ref="CE52" si="290">+AD52</f>
        <v>84</v>
      </c>
      <c r="CF52" s="24">
        <f t="shared" ref="CF52" si="291">+AE52</f>
        <v>112</v>
      </c>
      <c r="CG52" s="24">
        <f t="shared" ref="CG52" si="292">+AF52</f>
        <v>68</v>
      </c>
      <c r="CH52" s="24">
        <f t="shared" ref="CH52" si="293">+AG52</f>
        <v>100</v>
      </c>
      <c r="CI52" s="24">
        <f t="shared" ref="CI52" si="294">+AH52</f>
        <v>40</v>
      </c>
      <c r="CJ52" s="24">
        <f t="shared" ref="CJ52" si="295">+AI52</f>
        <v>104</v>
      </c>
      <c r="CK52" s="24">
        <f t="shared" ref="CK52" si="296">+AJ52</f>
        <v>96</v>
      </c>
      <c r="CL52" s="24">
        <f t="shared" ref="CL52" si="297">+AK52</f>
        <v>96</v>
      </c>
      <c r="CM52" s="24">
        <f t="shared" ref="CM52" si="298">+AL52</f>
        <v>156</v>
      </c>
      <c r="CN52" s="24">
        <f t="shared" ref="CN52" si="299">+AM52</f>
        <v>112</v>
      </c>
      <c r="CO52" s="24">
        <f t="shared" ref="CO52" si="300">+AN52</f>
        <v>120</v>
      </c>
      <c r="CP52" s="166">
        <f t="shared" ref="CP52" si="301">+AO52</f>
        <v>120</v>
      </c>
      <c r="CQ52" s="166">
        <f t="shared" ref="CQ52" si="302">+AP52</f>
        <v>120</v>
      </c>
      <c r="CR52">
        <f t="shared" ref="CR52" si="303">+AQ52</f>
        <v>120</v>
      </c>
      <c r="CS52">
        <f t="shared" ref="CS52" si="304">+AR52</f>
        <v>120</v>
      </c>
      <c r="CT52">
        <f t="shared" ref="CT52" si="305">+AS52</f>
        <v>120</v>
      </c>
      <c r="CU52">
        <f t="shared" ref="CU52" si="306">+AT52</f>
        <v>120</v>
      </c>
      <c r="CV52">
        <f t="shared" ref="CV52" si="307">+AU52</f>
        <v>120</v>
      </c>
      <c r="CW52">
        <f t="shared" ref="CW52" si="308">+AV52</f>
        <v>120</v>
      </c>
      <c r="CX52">
        <f t="shared" ref="CX52" si="309">+AW52</f>
        <v>120</v>
      </c>
      <c r="CY52">
        <f t="shared" ref="CY52" si="310">+AX52</f>
        <v>120</v>
      </c>
      <c r="CZ52">
        <f t="shared" ref="CZ52" si="311">+AY52</f>
        <v>120</v>
      </c>
      <c r="DA52">
        <f t="shared" ref="DA52" si="312">+AZ52</f>
        <v>120</v>
      </c>
      <c r="DB52">
        <f t="shared" ref="DB52" si="313">+BA52</f>
        <v>120</v>
      </c>
      <c r="DC52">
        <f t="shared" ref="DC52" si="314">+BB52</f>
        <v>120</v>
      </c>
      <c r="DD52">
        <f t="shared" ref="DD52" si="315">+BC52</f>
        <v>120</v>
      </c>
      <c r="DE52">
        <f t="shared" ref="DE52" si="316">+BD52</f>
        <v>120</v>
      </c>
      <c r="DF52">
        <f t="shared" ref="DF52" si="317">+BE52</f>
        <v>120</v>
      </c>
      <c r="DG52">
        <f t="shared" ref="DG52" si="318">+BF52</f>
        <v>120</v>
      </c>
      <c r="DH52">
        <f t="shared" ref="DH52" si="319">+BG52</f>
        <v>120</v>
      </c>
      <c r="DI52">
        <f t="shared" ref="DI52" si="320">+BH52</f>
        <v>120</v>
      </c>
      <c r="DJ52">
        <f t="shared" ref="DJ52" si="321">+BI52</f>
        <v>120</v>
      </c>
      <c r="DL52" s="24">
        <f t="shared" si="106"/>
        <v>220</v>
      </c>
      <c r="DM52" s="24">
        <f t="shared" si="107"/>
        <v>452</v>
      </c>
      <c r="DN52" s="24">
        <f t="shared" si="108"/>
        <v>356</v>
      </c>
      <c r="DO52" s="24">
        <f t="shared" si="109"/>
        <v>392</v>
      </c>
      <c r="DP52" s="24">
        <f t="shared" si="110"/>
        <v>344</v>
      </c>
      <c r="DQ52" s="24">
        <f t="shared" si="111"/>
        <v>368</v>
      </c>
      <c r="DR52" s="24">
        <f t="shared" si="112"/>
        <v>436</v>
      </c>
      <c r="DS52" s="24">
        <f t="shared" si="113"/>
        <v>508</v>
      </c>
      <c r="DT52" s="24">
        <f t="shared" si="114"/>
        <v>600</v>
      </c>
      <c r="DU52">
        <f t="shared" si="115"/>
        <v>480</v>
      </c>
      <c r="DV52">
        <f t="shared" si="116"/>
        <v>480</v>
      </c>
      <c r="DW52">
        <f t="shared" si="117"/>
        <v>600</v>
      </c>
    </row>
    <row r="53" spans="1:127" x14ac:dyDescent="0.25">
      <c r="A53" s="22">
        <v>47</v>
      </c>
      <c r="B53" s="59" t="s">
        <v>324</v>
      </c>
      <c r="C53" s="214" t="s">
        <v>160</v>
      </c>
      <c r="D53" s="58" t="s">
        <v>46</v>
      </c>
      <c r="E53" s="22" t="s">
        <v>390</v>
      </c>
      <c r="F53" s="155" t="s">
        <v>77</v>
      </c>
      <c r="G53" s="181">
        <v>82115</v>
      </c>
      <c r="H53" s="10" t="s">
        <v>168</v>
      </c>
      <c r="I53" s="12" t="s">
        <v>78</v>
      </c>
      <c r="J53" s="152">
        <v>136</v>
      </c>
      <c r="K53" s="153">
        <v>220</v>
      </c>
      <c r="L53" s="153">
        <v>388</v>
      </c>
      <c r="M53" s="153">
        <v>616</v>
      </c>
      <c r="N53" s="153">
        <v>616</v>
      </c>
      <c r="O53" s="153">
        <v>672</v>
      </c>
      <c r="P53" s="153">
        <v>976</v>
      </c>
      <c r="Q53" s="153">
        <v>976</v>
      </c>
      <c r="R53" s="153">
        <v>976</v>
      </c>
      <c r="S53" s="153">
        <v>1028</v>
      </c>
      <c r="T53" s="153">
        <v>1112</v>
      </c>
      <c r="U53" s="153">
        <v>1200</v>
      </c>
      <c r="V53" s="153">
        <v>1284</v>
      </c>
      <c r="W53" s="153">
        <v>1360</v>
      </c>
      <c r="X53" s="153">
        <v>1420</v>
      </c>
      <c r="Y53" s="153">
        <v>1480</v>
      </c>
      <c r="Z53" s="153">
        <v>1560</v>
      </c>
      <c r="AA53" s="153">
        <v>1664</v>
      </c>
      <c r="AB53" s="153">
        <v>1764</v>
      </c>
      <c r="AC53" s="153">
        <v>1868</v>
      </c>
      <c r="AD53" s="153">
        <v>1952</v>
      </c>
      <c r="AE53" s="153">
        <v>2064</v>
      </c>
      <c r="AF53" s="153">
        <v>2132</v>
      </c>
      <c r="AG53" s="153">
        <v>2232</v>
      </c>
      <c r="AH53" s="153">
        <v>2272</v>
      </c>
      <c r="AI53" s="153">
        <v>2376</v>
      </c>
      <c r="AJ53" s="153">
        <v>2472</v>
      </c>
      <c r="AK53" s="153">
        <v>2568</v>
      </c>
      <c r="AL53" s="153">
        <v>2724</v>
      </c>
      <c r="AM53" s="153">
        <v>2836</v>
      </c>
      <c r="AN53" s="153">
        <v>2956</v>
      </c>
      <c r="AO53" s="153">
        <v>3076</v>
      </c>
      <c r="AP53" s="153">
        <v>3196</v>
      </c>
      <c r="AQ53" s="153">
        <v>3316</v>
      </c>
      <c r="AR53" s="153">
        <v>3436</v>
      </c>
      <c r="AS53" s="153">
        <v>3556</v>
      </c>
      <c r="AT53" s="153">
        <v>3676</v>
      </c>
      <c r="AU53" s="153">
        <v>3796</v>
      </c>
      <c r="AV53" s="153">
        <v>3916</v>
      </c>
      <c r="AW53" s="153">
        <v>4036</v>
      </c>
      <c r="AX53" s="153">
        <v>4156</v>
      </c>
      <c r="AY53" s="153">
        <v>4276</v>
      </c>
      <c r="AZ53" s="153">
        <v>4396</v>
      </c>
      <c r="BA53" s="153">
        <v>4516</v>
      </c>
      <c r="BB53" s="153">
        <v>4636</v>
      </c>
      <c r="BC53" s="153">
        <v>4756</v>
      </c>
      <c r="BD53" s="153">
        <v>4876</v>
      </c>
      <c r="BE53" s="153">
        <v>4996</v>
      </c>
      <c r="BF53" s="153">
        <v>5116</v>
      </c>
      <c r="BG53" s="153">
        <v>5236</v>
      </c>
      <c r="BH53" s="153">
        <v>5356</v>
      </c>
      <c r="BI53" s="153">
        <v>5476</v>
      </c>
      <c r="DL53">
        <f t="shared" si="106"/>
        <v>0</v>
      </c>
      <c r="DM53">
        <f t="shared" si="107"/>
        <v>0</v>
      </c>
      <c r="DN53">
        <f t="shared" si="108"/>
        <v>0</v>
      </c>
      <c r="DO53">
        <f t="shared" si="109"/>
        <v>0</v>
      </c>
      <c r="DP53">
        <f t="shared" si="110"/>
        <v>0</v>
      </c>
      <c r="DQ53">
        <f t="shared" si="111"/>
        <v>0</v>
      </c>
      <c r="DR53">
        <f t="shared" si="112"/>
        <v>0</v>
      </c>
      <c r="DS53">
        <f t="shared" si="113"/>
        <v>0</v>
      </c>
      <c r="DT53">
        <f t="shared" si="114"/>
        <v>0</v>
      </c>
      <c r="DU53">
        <f t="shared" si="115"/>
        <v>0</v>
      </c>
      <c r="DV53">
        <f t="shared" si="116"/>
        <v>0</v>
      </c>
      <c r="DW53">
        <f t="shared" si="117"/>
        <v>0</v>
      </c>
    </row>
    <row r="54" spans="1:127" x14ac:dyDescent="0.25">
      <c r="A54" s="22">
        <v>48</v>
      </c>
      <c r="B54" s="59" t="s">
        <v>324</v>
      </c>
      <c r="C54" s="214" t="s">
        <v>160</v>
      </c>
      <c r="D54" s="58" t="s">
        <v>46</v>
      </c>
      <c r="E54" s="22" t="s">
        <v>390</v>
      </c>
      <c r="F54" s="155" t="s">
        <v>79</v>
      </c>
      <c r="G54" s="199">
        <v>0</v>
      </c>
      <c r="H54" s="184" t="s">
        <v>80</v>
      </c>
      <c r="I54" s="185"/>
      <c r="J54" s="200"/>
      <c r="K54" s="156"/>
      <c r="L54" s="157" t="s">
        <v>0</v>
      </c>
      <c r="M54" s="157" t="s">
        <v>0</v>
      </c>
      <c r="N54" s="157" t="s">
        <v>0</v>
      </c>
      <c r="O54" s="157" t="s">
        <v>0</v>
      </c>
      <c r="P54" s="157" t="s">
        <v>0</v>
      </c>
      <c r="Q54" s="157">
        <v>-1</v>
      </c>
      <c r="R54" s="157" t="s">
        <v>0</v>
      </c>
      <c r="S54" s="157" t="s">
        <v>0</v>
      </c>
      <c r="T54" s="157" t="s">
        <v>0</v>
      </c>
      <c r="U54" s="157" t="s">
        <v>0</v>
      </c>
      <c r="V54" s="157" t="s">
        <v>0</v>
      </c>
      <c r="W54" s="157" t="s">
        <v>0</v>
      </c>
      <c r="X54" s="157" t="s">
        <v>0</v>
      </c>
      <c r="Y54" s="157" t="s">
        <v>0</v>
      </c>
      <c r="Z54" s="157" t="s">
        <v>0</v>
      </c>
      <c r="AA54" s="157" t="s">
        <v>0</v>
      </c>
      <c r="AB54" s="157" t="s">
        <v>0</v>
      </c>
      <c r="AC54" s="157" t="s">
        <v>0</v>
      </c>
      <c r="AD54" s="157" t="s">
        <v>0</v>
      </c>
      <c r="AE54" s="157" t="s">
        <v>0</v>
      </c>
      <c r="AF54" s="157" t="s">
        <v>0</v>
      </c>
      <c r="AG54" s="157" t="s">
        <v>0</v>
      </c>
      <c r="AH54" s="157" t="s">
        <v>0</v>
      </c>
      <c r="AI54" s="157" t="s">
        <v>0</v>
      </c>
      <c r="AJ54" s="157" t="s">
        <v>0</v>
      </c>
      <c r="AK54" s="157" t="s">
        <v>0</v>
      </c>
      <c r="AL54" s="157" t="s">
        <v>0</v>
      </c>
      <c r="AM54" s="157" t="s">
        <v>0</v>
      </c>
      <c r="AN54" s="157" t="s">
        <v>0</v>
      </c>
      <c r="AO54" s="157" t="s">
        <v>0</v>
      </c>
      <c r="AP54" s="157" t="s">
        <v>0</v>
      </c>
      <c r="AQ54" s="157" t="s">
        <v>0</v>
      </c>
      <c r="AR54" s="157" t="s">
        <v>0</v>
      </c>
      <c r="AS54" s="157" t="s">
        <v>0</v>
      </c>
      <c r="AT54" s="157" t="s">
        <v>0</v>
      </c>
      <c r="AU54" s="157" t="s">
        <v>0</v>
      </c>
      <c r="AV54" s="157" t="s">
        <v>0</v>
      </c>
      <c r="AW54" s="157" t="s">
        <v>0</v>
      </c>
      <c r="AX54" s="157" t="s">
        <v>0</v>
      </c>
      <c r="AY54" s="157" t="s">
        <v>0</v>
      </c>
      <c r="AZ54" s="157" t="s">
        <v>0</v>
      </c>
      <c r="BA54" s="157" t="s">
        <v>0</v>
      </c>
      <c r="BB54" s="157" t="s">
        <v>0</v>
      </c>
      <c r="BC54" s="157" t="s">
        <v>0</v>
      </c>
      <c r="BD54" s="157" t="s">
        <v>0</v>
      </c>
      <c r="BE54" s="157" t="s">
        <v>0</v>
      </c>
      <c r="BF54" s="157" t="s">
        <v>0</v>
      </c>
      <c r="BG54" s="157" t="s">
        <v>0</v>
      </c>
      <c r="BH54" s="157" t="s">
        <v>0</v>
      </c>
      <c r="BI54" s="158"/>
      <c r="DL54">
        <f t="shared" si="106"/>
        <v>0</v>
      </c>
      <c r="DM54">
        <f t="shared" si="107"/>
        <v>0</v>
      </c>
      <c r="DN54">
        <f t="shared" si="108"/>
        <v>0</v>
      </c>
      <c r="DO54">
        <f t="shared" si="109"/>
        <v>0</v>
      </c>
      <c r="DP54">
        <f t="shared" si="110"/>
        <v>0</v>
      </c>
      <c r="DQ54">
        <f t="shared" si="111"/>
        <v>0</v>
      </c>
      <c r="DR54">
        <f t="shared" si="112"/>
        <v>0</v>
      </c>
      <c r="DS54">
        <f t="shared" si="113"/>
        <v>0</v>
      </c>
      <c r="DT54">
        <f t="shared" si="114"/>
        <v>0</v>
      </c>
      <c r="DU54">
        <f t="shared" si="115"/>
        <v>0</v>
      </c>
      <c r="DV54">
        <f t="shared" si="116"/>
        <v>0</v>
      </c>
      <c r="DW54">
        <f t="shared" si="117"/>
        <v>0</v>
      </c>
    </row>
    <row r="55" spans="1:127" x14ac:dyDescent="0.25">
      <c r="A55" s="22">
        <v>49</v>
      </c>
      <c r="B55" s="59" t="s">
        <v>324</v>
      </c>
      <c r="C55" s="214" t="s">
        <v>160</v>
      </c>
      <c r="D55" s="58" t="s">
        <v>46</v>
      </c>
      <c r="E55" s="22" t="s">
        <v>390</v>
      </c>
      <c r="F55" s="159" t="s">
        <v>81</v>
      </c>
      <c r="G55" s="160" t="s">
        <v>60</v>
      </c>
      <c r="H55" s="201" t="s">
        <v>60</v>
      </c>
      <c r="I55" s="183" t="s">
        <v>60</v>
      </c>
      <c r="J55" s="183" t="s">
        <v>0</v>
      </c>
      <c r="K55" s="183" t="s">
        <v>0</v>
      </c>
      <c r="L55" s="183" t="s">
        <v>0</v>
      </c>
      <c r="M55" s="183" t="s">
        <v>0</v>
      </c>
      <c r="N55" s="183" t="s">
        <v>0</v>
      </c>
      <c r="O55" s="183" t="s">
        <v>0</v>
      </c>
      <c r="P55" s="183" t="s">
        <v>0</v>
      </c>
      <c r="Q55" s="183" t="s">
        <v>511</v>
      </c>
      <c r="R55" s="183"/>
      <c r="S55" s="183" t="s">
        <v>0</v>
      </c>
      <c r="T55" s="183" t="s">
        <v>0</v>
      </c>
      <c r="U55" s="183" t="s">
        <v>0</v>
      </c>
      <c r="V55" s="183" t="s">
        <v>0</v>
      </c>
      <c r="W55" s="183" t="s">
        <v>0</v>
      </c>
      <c r="X55" s="183" t="s">
        <v>0</v>
      </c>
      <c r="Y55" s="183" t="s">
        <v>0</v>
      </c>
      <c r="Z55" s="183" t="s">
        <v>0</v>
      </c>
      <c r="AA55" s="183" t="s">
        <v>0</v>
      </c>
      <c r="AB55" s="183" t="s">
        <v>0</v>
      </c>
      <c r="AC55" s="183" t="s">
        <v>0</v>
      </c>
      <c r="AD55" s="183" t="s">
        <v>0</v>
      </c>
      <c r="AE55" s="183" t="s">
        <v>0</v>
      </c>
      <c r="AF55" s="183" t="s">
        <v>0</v>
      </c>
      <c r="AG55" s="183" t="s">
        <v>0</v>
      </c>
      <c r="AH55" s="183" t="s">
        <v>0</v>
      </c>
      <c r="AI55" s="183" t="s">
        <v>0</v>
      </c>
      <c r="AJ55" s="183" t="s">
        <v>0</v>
      </c>
      <c r="AK55" s="183" t="s">
        <v>0</v>
      </c>
      <c r="AL55" s="183" t="s">
        <v>0</v>
      </c>
      <c r="AM55" s="183" t="s">
        <v>0</v>
      </c>
      <c r="AN55" s="183" t="s">
        <v>0</v>
      </c>
      <c r="AO55" s="183" t="s">
        <v>0</v>
      </c>
      <c r="AP55" s="183" t="s">
        <v>0</v>
      </c>
      <c r="AQ55" s="183" t="s">
        <v>0</v>
      </c>
      <c r="AR55" s="183" t="s">
        <v>0</v>
      </c>
      <c r="AS55" s="183" t="s">
        <v>0</v>
      </c>
      <c r="AT55" s="183" t="s">
        <v>0</v>
      </c>
      <c r="AU55" s="183" t="s">
        <v>0</v>
      </c>
      <c r="AV55" s="183" t="s">
        <v>0</v>
      </c>
      <c r="AW55" s="183" t="s">
        <v>0</v>
      </c>
      <c r="AX55" s="183" t="s">
        <v>0</v>
      </c>
      <c r="AY55" s="183" t="s">
        <v>0</v>
      </c>
      <c r="AZ55" s="183" t="s">
        <v>0</v>
      </c>
      <c r="BA55" s="183" t="s">
        <v>0</v>
      </c>
      <c r="BB55" s="183" t="s">
        <v>0</v>
      </c>
      <c r="BC55" s="183" t="s">
        <v>0</v>
      </c>
      <c r="BD55" s="183" t="s">
        <v>0</v>
      </c>
      <c r="BE55" s="183" t="s">
        <v>0</v>
      </c>
      <c r="BF55" s="183" t="s">
        <v>0</v>
      </c>
      <c r="BG55" s="183" t="s">
        <v>0</v>
      </c>
      <c r="BH55" s="183" t="s">
        <v>0</v>
      </c>
      <c r="BI55" s="161"/>
      <c r="DL55">
        <f t="shared" si="106"/>
        <v>0</v>
      </c>
      <c r="DM55">
        <f t="shared" si="107"/>
        <v>0</v>
      </c>
      <c r="DN55">
        <f t="shared" si="108"/>
        <v>0</v>
      </c>
      <c r="DO55">
        <f t="shared" si="109"/>
        <v>0</v>
      </c>
      <c r="DP55">
        <f t="shared" si="110"/>
        <v>0</v>
      </c>
      <c r="DQ55">
        <f t="shared" si="111"/>
        <v>0</v>
      </c>
      <c r="DR55">
        <f t="shared" si="112"/>
        <v>0</v>
      </c>
      <c r="DS55">
        <f t="shared" si="113"/>
        <v>0</v>
      </c>
      <c r="DT55">
        <f t="shared" si="114"/>
        <v>0</v>
      </c>
      <c r="DU55">
        <f t="shared" si="115"/>
        <v>0</v>
      </c>
      <c r="DV55">
        <f t="shared" si="116"/>
        <v>0</v>
      </c>
      <c r="DW55">
        <f t="shared" si="117"/>
        <v>0</v>
      </c>
    </row>
    <row r="56" spans="1:127" x14ac:dyDescent="0.25">
      <c r="A56" s="22">
        <f t="shared" si="2"/>
        <v>50</v>
      </c>
      <c r="B56" s="59" t="str">
        <f>IF(F56=$F$7,#REF!,B55)</f>
        <v>F0013546509</v>
      </c>
      <c r="C56" s="214" t="str">
        <f>IF(F56=$F$7,#REF!,C55)</f>
        <v>82115-0E480</v>
      </c>
      <c r="D56" s="58" t="e">
        <f>VLOOKUP(B56,'Timing Table'!B:G,6,0)</f>
        <v>#N/A</v>
      </c>
      <c r="E56" s="22" t="e">
        <f>VLOOKUP(B56,'Timing Table'!B:D,3,0)</f>
        <v>#N/A</v>
      </c>
      <c r="F56" s="188" t="s">
        <v>60</v>
      </c>
      <c r="G56" s="162" t="s">
        <v>60</v>
      </c>
      <c r="H56" s="163" t="s">
        <v>60</v>
      </c>
      <c r="I56" s="164" t="s">
        <v>60</v>
      </c>
      <c r="J56" s="164" t="s">
        <v>0</v>
      </c>
      <c r="K56" s="164" t="s">
        <v>0</v>
      </c>
      <c r="L56" s="164" t="s">
        <v>0</v>
      </c>
      <c r="M56" s="164" t="s">
        <v>0</v>
      </c>
      <c r="N56" s="164" t="s">
        <v>0</v>
      </c>
      <c r="O56" s="164" t="s">
        <v>0</v>
      </c>
      <c r="P56" s="164" t="s">
        <v>0</v>
      </c>
      <c r="Q56" s="164" t="s">
        <v>0</v>
      </c>
      <c r="R56" s="164" t="s">
        <v>0</v>
      </c>
      <c r="S56" s="164" t="s">
        <v>0</v>
      </c>
      <c r="T56" s="164" t="s">
        <v>0</v>
      </c>
      <c r="U56" s="164" t="s">
        <v>0</v>
      </c>
      <c r="V56" s="164" t="s">
        <v>0</v>
      </c>
      <c r="W56" s="164" t="s">
        <v>0</v>
      </c>
      <c r="X56" s="164" t="s">
        <v>0</v>
      </c>
      <c r="Y56" s="164" t="s">
        <v>0</v>
      </c>
      <c r="Z56" s="164" t="s">
        <v>0</v>
      </c>
      <c r="AA56" s="164" t="s">
        <v>0</v>
      </c>
      <c r="AB56" s="164" t="s">
        <v>0</v>
      </c>
      <c r="AC56" s="164" t="s">
        <v>0</v>
      </c>
      <c r="AD56" s="164" t="s">
        <v>0</v>
      </c>
      <c r="AE56" s="164" t="s">
        <v>0</v>
      </c>
      <c r="AF56" s="164" t="s">
        <v>0</v>
      </c>
      <c r="AG56" s="164" t="s">
        <v>0</v>
      </c>
      <c r="AH56" s="164" t="s">
        <v>0</v>
      </c>
      <c r="AI56" s="164" t="s">
        <v>0</v>
      </c>
      <c r="AJ56" s="164" t="s">
        <v>0</v>
      </c>
      <c r="AK56" s="164" t="s">
        <v>0</v>
      </c>
      <c r="AL56" s="164" t="s">
        <v>0</v>
      </c>
      <c r="AM56" s="164" t="s">
        <v>0</v>
      </c>
      <c r="AN56" s="164" t="s">
        <v>0</v>
      </c>
      <c r="AO56" s="164" t="s">
        <v>0</v>
      </c>
      <c r="AP56" s="164" t="s">
        <v>0</v>
      </c>
      <c r="AQ56" s="164" t="s">
        <v>0</v>
      </c>
      <c r="AR56" s="164" t="s">
        <v>0</v>
      </c>
      <c r="AS56" s="164" t="s">
        <v>0</v>
      </c>
      <c r="AT56" s="164" t="s">
        <v>0</v>
      </c>
      <c r="AU56" s="164" t="s">
        <v>0</v>
      </c>
      <c r="AV56" s="164" t="s">
        <v>0</v>
      </c>
      <c r="AW56" s="164" t="s">
        <v>0</v>
      </c>
      <c r="AX56" s="164" t="s">
        <v>0</v>
      </c>
      <c r="AY56" s="164" t="s">
        <v>0</v>
      </c>
      <c r="AZ56" s="164" t="s">
        <v>0</v>
      </c>
      <c r="BA56" s="164" t="s">
        <v>0</v>
      </c>
      <c r="BB56" s="164" t="s">
        <v>0</v>
      </c>
      <c r="BC56" s="164" t="s">
        <v>0</v>
      </c>
      <c r="BD56" s="164" t="s">
        <v>0</v>
      </c>
      <c r="BE56" s="164" t="s">
        <v>0</v>
      </c>
      <c r="BF56" s="164" t="s">
        <v>0</v>
      </c>
      <c r="BG56" s="164" t="s">
        <v>0</v>
      </c>
      <c r="BH56" s="164" t="s">
        <v>0</v>
      </c>
      <c r="BI56" s="189"/>
      <c r="DL56">
        <f t="shared" si="106"/>
        <v>0</v>
      </c>
      <c r="DM56">
        <f t="shared" si="107"/>
        <v>0</v>
      </c>
      <c r="DN56">
        <f t="shared" si="108"/>
        <v>0</v>
      </c>
      <c r="DO56">
        <f t="shared" si="109"/>
        <v>0</v>
      </c>
      <c r="DP56">
        <f t="shared" si="110"/>
        <v>0</v>
      </c>
      <c r="DQ56">
        <f t="shared" si="111"/>
        <v>0</v>
      </c>
      <c r="DR56">
        <f t="shared" si="112"/>
        <v>0</v>
      </c>
      <c r="DS56">
        <f t="shared" si="113"/>
        <v>0</v>
      </c>
      <c r="DT56">
        <f t="shared" si="114"/>
        <v>0</v>
      </c>
      <c r="DU56">
        <f t="shared" si="115"/>
        <v>0</v>
      </c>
      <c r="DV56">
        <f t="shared" si="116"/>
        <v>0</v>
      </c>
      <c r="DW56">
        <f t="shared" si="117"/>
        <v>0</v>
      </c>
    </row>
    <row r="57" spans="1:127" x14ac:dyDescent="0.25">
      <c r="A57" s="22">
        <f t="shared" si="2"/>
        <v>51</v>
      </c>
      <c r="B57" s="59" t="str">
        <f>IF(F57=$F$7,G58,#REF!)</f>
        <v>F0013547809</v>
      </c>
      <c r="C57" s="214" t="str">
        <f>IF(F57=$F$7,G59,#REF!)</f>
        <v>82115-0EA00.</v>
      </c>
      <c r="D57" s="58" t="e">
        <f>VLOOKUP(B57,'Timing Table'!B:G,6,0)</f>
        <v>#N/A</v>
      </c>
      <c r="E57" s="22" t="e">
        <f>VLOOKUP(B57,'Timing Table'!B:D,3,0)</f>
        <v>#N/A</v>
      </c>
      <c r="F57" s="155" t="s">
        <v>61</v>
      </c>
      <c r="G57" s="181">
        <v>5501017957</v>
      </c>
      <c r="H57" s="155" t="s">
        <v>62</v>
      </c>
      <c r="I57" s="181">
        <v>91</v>
      </c>
      <c r="J57" s="155" t="s">
        <v>63</v>
      </c>
      <c r="K57" s="160">
        <v>1146064</v>
      </c>
      <c r="L57" s="161"/>
      <c r="M57" s="190" t="s">
        <v>64</v>
      </c>
      <c r="N57" s="191"/>
      <c r="O57" s="192">
        <v>46086</v>
      </c>
      <c r="P57" s="155" t="s">
        <v>65</v>
      </c>
      <c r="Q57" s="181">
        <v>4</v>
      </c>
      <c r="R57" s="6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0</v>
      </c>
      <c r="AF57" s="7" t="s">
        <v>0</v>
      </c>
      <c r="AG57" s="7" t="s">
        <v>0</v>
      </c>
      <c r="AH57" s="7" t="s">
        <v>0</v>
      </c>
      <c r="AI57" s="7" t="s">
        <v>0</v>
      </c>
      <c r="AJ57" s="7" t="s">
        <v>0</v>
      </c>
      <c r="AK57" s="7" t="s">
        <v>0</v>
      </c>
      <c r="AL57" s="7" t="s">
        <v>0</v>
      </c>
      <c r="AM57" s="7" t="s">
        <v>0</v>
      </c>
      <c r="AN57" s="7" t="s">
        <v>0</v>
      </c>
      <c r="AO57" s="7" t="s">
        <v>0</v>
      </c>
      <c r="AP57" s="7" t="s">
        <v>0</v>
      </c>
      <c r="AQ57" s="7" t="s">
        <v>0</v>
      </c>
      <c r="AR57" s="7" t="s">
        <v>0</v>
      </c>
      <c r="AS57" s="7" t="s">
        <v>0</v>
      </c>
      <c r="AT57" s="7" t="s">
        <v>0</v>
      </c>
      <c r="AU57" s="7" t="s">
        <v>0</v>
      </c>
      <c r="AV57" s="7" t="s">
        <v>0</v>
      </c>
      <c r="AW57" s="7" t="s">
        <v>0</v>
      </c>
      <c r="AX57" s="7" t="s">
        <v>0</v>
      </c>
      <c r="AY57" s="7" t="s">
        <v>0</v>
      </c>
      <c r="AZ57" s="7" t="s">
        <v>0</v>
      </c>
      <c r="BA57" s="7" t="s">
        <v>0</v>
      </c>
      <c r="BB57" s="7" t="s">
        <v>0</v>
      </c>
      <c r="BC57" s="7" t="s">
        <v>0</v>
      </c>
      <c r="BD57" s="7" t="s">
        <v>0</v>
      </c>
      <c r="BE57" s="7" t="s">
        <v>0</v>
      </c>
      <c r="BF57" s="7" t="s">
        <v>0</v>
      </c>
      <c r="BG57" s="7" t="s">
        <v>0</v>
      </c>
      <c r="BH57" s="7" t="s">
        <v>0</v>
      </c>
      <c r="BI57" s="8"/>
      <c r="DL57">
        <f t="shared" si="106"/>
        <v>0</v>
      </c>
      <c r="DM57">
        <f t="shared" si="107"/>
        <v>0</v>
      </c>
      <c r="DN57">
        <f t="shared" si="108"/>
        <v>0</v>
      </c>
      <c r="DO57">
        <f t="shared" si="109"/>
        <v>0</v>
      </c>
      <c r="DP57">
        <f t="shared" si="110"/>
        <v>0</v>
      </c>
      <c r="DQ57">
        <f t="shared" si="111"/>
        <v>0</v>
      </c>
      <c r="DR57">
        <f t="shared" si="112"/>
        <v>0</v>
      </c>
      <c r="DS57">
        <f t="shared" si="113"/>
        <v>0</v>
      </c>
      <c r="DT57">
        <f t="shared" si="114"/>
        <v>0</v>
      </c>
      <c r="DU57">
        <f t="shared" si="115"/>
        <v>0</v>
      </c>
      <c r="DV57">
        <f t="shared" si="116"/>
        <v>0</v>
      </c>
      <c r="DW57">
        <f t="shared" si="117"/>
        <v>0</v>
      </c>
    </row>
    <row r="58" spans="1:127" x14ac:dyDescent="0.25">
      <c r="A58" s="22">
        <f t="shared" si="2"/>
        <v>52</v>
      </c>
      <c r="B58" s="59" t="str">
        <f t="shared" ref="B58:B75" si="322">IF(F58=$F$7,G59,B57)</f>
        <v>F0013547809</v>
      </c>
      <c r="C58" s="214" t="str">
        <f t="shared" ref="C58:C74" si="323">IF(F58=$F$7,G60,C57)</f>
        <v>82115-0EA00.</v>
      </c>
      <c r="D58" s="58" t="e">
        <f>VLOOKUP(B58,'Timing Table'!B:G,6,0)</f>
        <v>#N/A</v>
      </c>
      <c r="E58" s="22" t="e">
        <f>VLOOKUP(B58,'Timing Table'!B:D,3,0)</f>
        <v>#N/A</v>
      </c>
      <c r="F58" s="155" t="s">
        <v>66</v>
      </c>
      <c r="G58" s="181" t="s">
        <v>327</v>
      </c>
      <c r="H58" s="155" t="s">
        <v>67</v>
      </c>
      <c r="I58" s="182" t="s">
        <v>328</v>
      </c>
      <c r="J58" s="183"/>
      <c r="K58" s="183"/>
      <c r="L58" s="161"/>
      <c r="M58" s="155" t="s">
        <v>68</v>
      </c>
      <c r="N58" s="181">
        <v>2023</v>
      </c>
      <c r="O58" s="184" t="s">
        <v>69</v>
      </c>
      <c r="P58" s="185"/>
      <c r="Q58" s="193" t="s">
        <v>329</v>
      </c>
      <c r="R58" s="156" t="s">
        <v>0</v>
      </c>
      <c r="S58" s="157" t="s">
        <v>0</v>
      </c>
      <c r="T58" s="157" t="s">
        <v>0</v>
      </c>
      <c r="U58" s="157" t="s">
        <v>0</v>
      </c>
      <c r="V58" s="157" t="s">
        <v>0</v>
      </c>
      <c r="W58" s="157" t="s">
        <v>0</v>
      </c>
      <c r="X58" s="157" t="s">
        <v>0</v>
      </c>
      <c r="Y58" s="157" t="s">
        <v>0</v>
      </c>
      <c r="Z58" s="157" t="s">
        <v>0</v>
      </c>
      <c r="AA58" s="157" t="s">
        <v>0</v>
      </c>
      <c r="AB58" s="157" t="s">
        <v>0</v>
      </c>
      <c r="AC58" s="157" t="s">
        <v>0</v>
      </c>
      <c r="AD58" s="157" t="s">
        <v>0</v>
      </c>
      <c r="AE58" s="157" t="s">
        <v>0</v>
      </c>
      <c r="AF58" s="157" t="s">
        <v>0</v>
      </c>
      <c r="AG58" s="157" t="s">
        <v>0</v>
      </c>
      <c r="AH58" s="157" t="s">
        <v>0</v>
      </c>
      <c r="AI58" s="157" t="s">
        <v>0</v>
      </c>
      <c r="AJ58" s="157" t="s">
        <v>0</v>
      </c>
      <c r="AK58" s="157" t="s">
        <v>0</v>
      </c>
      <c r="AL58" s="157" t="s">
        <v>0</v>
      </c>
      <c r="AM58" s="157" t="s">
        <v>0</v>
      </c>
      <c r="AN58" s="157" t="s">
        <v>0</v>
      </c>
      <c r="AO58" s="157" t="s">
        <v>0</v>
      </c>
      <c r="AP58" s="157" t="s">
        <v>0</v>
      </c>
      <c r="AQ58" s="157" t="s">
        <v>0</v>
      </c>
      <c r="AR58" s="157" t="s">
        <v>0</v>
      </c>
      <c r="AS58" s="157" t="s">
        <v>0</v>
      </c>
      <c r="AT58" s="157" t="s">
        <v>0</v>
      </c>
      <c r="AU58" s="157" t="s">
        <v>0</v>
      </c>
      <c r="AV58" s="157" t="s">
        <v>0</v>
      </c>
      <c r="AW58" s="157" t="s">
        <v>0</v>
      </c>
      <c r="AX58" s="157" t="s">
        <v>0</v>
      </c>
      <c r="AY58" s="157" t="s">
        <v>0</v>
      </c>
      <c r="AZ58" s="157" t="s">
        <v>0</v>
      </c>
      <c r="BA58" s="157" t="s">
        <v>0</v>
      </c>
      <c r="BB58" s="157" t="s">
        <v>0</v>
      </c>
      <c r="BC58" s="157" t="s">
        <v>0</v>
      </c>
      <c r="BD58" s="157" t="s">
        <v>0</v>
      </c>
      <c r="BE58" s="157" t="s">
        <v>0</v>
      </c>
      <c r="BF58" s="157" t="s">
        <v>0</v>
      </c>
      <c r="BG58" s="157" t="s">
        <v>0</v>
      </c>
      <c r="BH58" s="157" t="s">
        <v>0</v>
      </c>
      <c r="BI58" s="158"/>
      <c r="DL58">
        <f t="shared" si="106"/>
        <v>0</v>
      </c>
      <c r="DM58">
        <f t="shared" si="107"/>
        <v>0</v>
      </c>
      <c r="DN58">
        <f t="shared" si="108"/>
        <v>0</v>
      </c>
      <c r="DO58">
        <f t="shared" si="109"/>
        <v>0</v>
      </c>
      <c r="DP58">
        <f t="shared" si="110"/>
        <v>0</v>
      </c>
      <c r="DQ58">
        <f t="shared" si="111"/>
        <v>0</v>
      </c>
      <c r="DR58">
        <f t="shared" si="112"/>
        <v>0</v>
      </c>
      <c r="DS58">
        <f t="shared" si="113"/>
        <v>0</v>
      </c>
      <c r="DT58">
        <f t="shared" si="114"/>
        <v>0</v>
      </c>
      <c r="DU58">
        <f t="shared" si="115"/>
        <v>0</v>
      </c>
      <c r="DV58">
        <f t="shared" si="116"/>
        <v>0</v>
      </c>
      <c r="DW58">
        <f t="shared" si="117"/>
        <v>0</v>
      </c>
    </row>
    <row r="59" spans="1:127" x14ac:dyDescent="0.25">
      <c r="A59" s="22">
        <f t="shared" si="2"/>
        <v>53</v>
      </c>
      <c r="B59" s="59" t="str">
        <f t="shared" si="322"/>
        <v>F0013547809</v>
      </c>
      <c r="C59" s="214" t="str">
        <f t="shared" si="323"/>
        <v>82115-0EA00.</v>
      </c>
      <c r="D59" s="58" t="e">
        <f>VLOOKUP(B59,'Timing Table'!B:G,6,0)</f>
        <v>#N/A</v>
      </c>
      <c r="E59" s="22" t="e">
        <f>VLOOKUP(B59,'Timing Table'!B:D,3,0)</f>
        <v>#N/A</v>
      </c>
      <c r="F59" s="155" t="s">
        <v>70</v>
      </c>
      <c r="G59" s="181" t="s">
        <v>330</v>
      </c>
      <c r="H59" s="155" t="s">
        <v>71</v>
      </c>
      <c r="I59" s="182" t="s">
        <v>60</v>
      </c>
      <c r="J59" s="161" t="s">
        <v>0</v>
      </c>
      <c r="K59" s="194" t="s">
        <v>0</v>
      </c>
      <c r="L59" s="195" t="s">
        <v>0</v>
      </c>
      <c r="M59" s="179" t="s">
        <v>0</v>
      </c>
      <c r="N59" s="179" t="s">
        <v>0</v>
      </c>
      <c r="O59" s="179" t="s">
        <v>0</v>
      </c>
      <c r="P59" s="179" t="s">
        <v>0</v>
      </c>
      <c r="Q59" s="179" t="s">
        <v>1</v>
      </c>
      <c r="R59" s="179" t="s">
        <v>2</v>
      </c>
      <c r="S59" s="179" t="s">
        <v>0</v>
      </c>
      <c r="T59" s="179" t="s">
        <v>0</v>
      </c>
      <c r="U59" s="179" t="s">
        <v>0</v>
      </c>
      <c r="V59" s="179" t="s">
        <v>0</v>
      </c>
      <c r="W59" s="179" t="s">
        <v>0</v>
      </c>
      <c r="X59" s="179" t="s">
        <v>0</v>
      </c>
      <c r="Y59" s="179" t="s">
        <v>0</v>
      </c>
      <c r="Z59" s="179" t="s">
        <v>3</v>
      </c>
      <c r="AA59" s="179" t="s">
        <v>0</v>
      </c>
      <c r="AB59" s="179" t="s">
        <v>0</v>
      </c>
      <c r="AC59" s="179" t="s">
        <v>0</v>
      </c>
      <c r="AD59" s="179" t="s">
        <v>0</v>
      </c>
      <c r="AE59" s="179" t="s">
        <v>0</v>
      </c>
      <c r="AF59" s="179" t="s">
        <v>0</v>
      </c>
      <c r="AG59" s="179" t="s">
        <v>0</v>
      </c>
      <c r="AH59" s="179" t="s">
        <v>0</v>
      </c>
      <c r="AI59" s="179" t="s">
        <v>0</v>
      </c>
      <c r="AJ59" s="179" t="s">
        <v>0</v>
      </c>
      <c r="AK59" s="179" t="s">
        <v>0</v>
      </c>
      <c r="AL59" s="179" t="s">
        <v>0</v>
      </c>
      <c r="AM59" s="179" t="s">
        <v>0</v>
      </c>
      <c r="AN59" s="179" t="s">
        <v>0</v>
      </c>
      <c r="AO59" s="179" t="s">
        <v>0</v>
      </c>
      <c r="AP59" s="179" t="s">
        <v>0</v>
      </c>
      <c r="AQ59" s="179" t="s">
        <v>0</v>
      </c>
      <c r="AR59" s="179" t="s">
        <v>0</v>
      </c>
      <c r="AS59" s="179" t="s">
        <v>0</v>
      </c>
      <c r="AT59" s="179" t="s">
        <v>0</v>
      </c>
      <c r="AU59" s="179" t="s">
        <v>0</v>
      </c>
      <c r="AV59" s="179" t="s">
        <v>0</v>
      </c>
      <c r="AW59" s="179" t="s">
        <v>0</v>
      </c>
      <c r="AX59" s="179" t="s">
        <v>0</v>
      </c>
      <c r="AY59" s="179" t="s">
        <v>0</v>
      </c>
      <c r="AZ59" s="179" t="s">
        <v>0</v>
      </c>
      <c r="BA59" s="179" t="s">
        <v>0</v>
      </c>
      <c r="BB59" s="179" t="s">
        <v>0</v>
      </c>
      <c r="BC59" s="179" t="s">
        <v>0</v>
      </c>
      <c r="BD59" s="179" t="s">
        <v>0</v>
      </c>
      <c r="BE59" s="179" t="s">
        <v>0</v>
      </c>
      <c r="BF59" s="179" t="s">
        <v>0</v>
      </c>
      <c r="BG59" s="179" t="s">
        <v>0</v>
      </c>
      <c r="BH59" s="179" t="s">
        <v>0</v>
      </c>
      <c r="BI59" s="180" t="s">
        <v>4</v>
      </c>
      <c r="DL59">
        <f t="shared" si="106"/>
        <v>0</v>
      </c>
      <c r="DM59">
        <f t="shared" si="107"/>
        <v>0</v>
      </c>
      <c r="DN59">
        <f t="shared" si="108"/>
        <v>0</v>
      </c>
      <c r="DO59">
        <f t="shared" si="109"/>
        <v>0</v>
      </c>
      <c r="DP59">
        <f t="shared" si="110"/>
        <v>0</v>
      </c>
      <c r="DQ59">
        <f t="shared" si="111"/>
        <v>0</v>
      </c>
      <c r="DR59">
        <f t="shared" si="112"/>
        <v>0</v>
      </c>
      <c r="DS59">
        <f t="shared" si="113"/>
        <v>0</v>
      </c>
      <c r="DT59">
        <f t="shared" si="114"/>
        <v>0</v>
      </c>
      <c r="DU59">
        <f t="shared" si="115"/>
        <v>0</v>
      </c>
      <c r="DV59">
        <f t="shared" si="116"/>
        <v>0</v>
      </c>
      <c r="DW59">
        <f t="shared" si="117"/>
        <v>0</v>
      </c>
    </row>
    <row r="60" spans="1:127" x14ac:dyDescent="0.25">
      <c r="A60" s="22">
        <f t="shared" si="2"/>
        <v>54</v>
      </c>
      <c r="B60" s="59" t="str">
        <f t="shared" si="322"/>
        <v>F0013547809</v>
      </c>
      <c r="C60" s="214" t="str">
        <f t="shared" si="323"/>
        <v>82115-0EA00.</v>
      </c>
      <c r="D60" s="58" t="e">
        <f>VLOOKUP(B60,'Timing Table'!B:G,6,0)</f>
        <v>#N/A</v>
      </c>
      <c r="E60" s="22" t="e">
        <f>VLOOKUP(B60,'Timing Table'!B:D,3,0)</f>
        <v>#N/A</v>
      </c>
      <c r="F60" s="155" t="s">
        <v>72</v>
      </c>
      <c r="G60" s="181">
        <v>17712</v>
      </c>
      <c r="H60" s="196" t="s">
        <v>413</v>
      </c>
      <c r="I60" s="197" t="s">
        <v>73</v>
      </c>
      <c r="J60" s="13">
        <v>46041</v>
      </c>
      <c r="K60" s="14">
        <v>46048</v>
      </c>
      <c r="L60" s="14">
        <v>46055</v>
      </c>
      <c r="M60" s="14">
        <v>46062</v>
      </c>
      <c r="N60" s="14">
        <v>46069</v>
      </c>
      <c r="O60" s="14">
        <v>46076</v>
      </c>
      <c r="P60" s="14">
        <v>46083</v>
      </c>
      <c r="Q60" s="14">
        <v>46090</v>
      </c>
      <c r="R60" s="14">
        <v>46097</v>
      </c>
      <c r="S60" s="14">
        <v>46104</v>
      </c>
      <c r="T60" s="14">
        <v>46111</v>
      </c>
      <c r="U60" s="14">
        <v>46118</v>
      </c>
      <c r="V60" s="14">
        <v>46125</v>
      </c>
      <c r="W60" s="14">
        <v>46132</v>
      </c>
      <c r="X60" s="14">
        <v>46139</v>
      </c>
      <c r="Y60" s="14">
        <v>46146</v>
      </c>
      <c r="Z60" s="14">
        <v>46153</v>
      </c>
      <c r="AA60" s="14">
        <v>46160</v>
      </c>
      <c r="AB60" s="14">
        <v>46167</v>
      </c>
      <c r="AC60" s="14">
        <v>46174</v>
      </c>
      <c r="AD60" s="14">
        <v>46181</v>
      </c>
      <c r="AE60" s="14">
        <v>46188</v>
      </c>
      <c r="AF60" s="14">
        <v>46195</v>
      </c>
      <c r="AG60" s="14">
        <v>46202</v>
      </c>
      <c r="AH60" s="14">
        <v>46209</v>
      </c>
      <c r="AI60" s="14">
        <v>46216</v>
      </c>
      <c r="AJ60" s="14">
        <v>46223</v>
      </c>
      <c r="AK60" s="14">
        <v>46230</v>
      </c>
      <c r="AL60" s="14">
        <v>46237</v>
      </c>
      <c r="AM60" s="14">
        <v>46244</v>
      </c>
      <c r="AN60" s="14">
        <v>46251</v>
      </c>
      <c r="AO60" s="14">
        <v>46258</v>
      </c>
      <c r="AP60" s="14">
        <v>46265</v>
      </c>
      <c r="AQ60" s="14">
        <v>46272</v>
      </c>
      <c r="AR60" s="14">
        <v>46279</v>
      </c>
      <c r="AS60" s="14">
        <v>46286</v>
      </c>
      <c r="AT60" s="14">
        <v>46293</v>
      </c>
      <c r="AU60" s="14">
        <v>46300</v>
      </c>
      <c r="AV60" s="14">
        <v>46307</v>
      </c>
      <c r="AW60" s="14">
        <v>46314</v>
      </c>
      <c r="AX60" s="14">
        <v>46321</v>
      </c>
      <c r="AY60" s="14">
        <v>46328</v>
      </c>
      <c r="AZ60" s="14">
        <v>46335</v>
      </c>
      <c r="BA60" s="14">
        <v>46342</v>
      </c>
      <c r="BB60" s="14">
        <v>46349</v>
      </c>
      <c r="BC60" s="14">
        <v>46356</v>
      </c>
      <c r="BD60" s="14">
        <v>46363</v>
      </c>
      <c r="BE60" s="14">
        <v>46370</v>
      </c>
      <c r="BF60" s="14">
        <v>46377</v>
      </c>
      <c r="BG60" s="14">
        <v>46384</v>
      </c>
      <c r="BH60" s="14">
        <v>46391</v>
      </c>
      <c r="BI60" s="15">
        <v>46398</v>
      </c>
      <c r="DL60">
        <f t="shared" si="106"/>
        <v>0</v>
      </c>
      <c r="DM60">
        <f t="shared" si="107"/>
        <v>0</v>
      </c>
      <c r="DN60">
        <f t="shared" si="108"/>
        <v>0</v>
      </c>
      <c r="DO60">
        <f t="shared" si="109"/>
        <v>0</v>
      </c>
      <c r="DP60">
        <f t="shared" si="110"/>
        <v>0</v>
      </c>
      <c r="DQ60">
        <f t="shared" si="111"/>
        <v>0</v>
      </c>
      <c r="DR60">
        <f t="shared" si="112"/>
        <v>0</v>
      </c>
      <c r="DS60">
        <f t="shared" si="113"/>
        <v>0</v>
      </c>
      <c r="DT60">
        <f t="shared" si="114"/>
        <v>0</v>
      </c>
      <c r="DU60">
        <f t="shared" si="115"/>
        <v>0</v>
      </c>
      <c r="DV60">
        <f t="shared" si="116"/>
        <v>0</v>
      </c>
      <c r="DW60">
        <f t="shared" si="117"/>
        <v>0</v>
      </c>
    </row>
    <row r="61" spans="1:127" x14ac:dyDescent="0.25">
      <c r="A61" s="22">
        <f t="shared" si="2"/>
        <v>55</v>
      </c>
      <c r="B61" s="59" t="str">
        <f t="shared" si="322"/>
        <v>F0013547809</v>
      </c>
      <c r="C61" s="214" t="str">
        <f t="shared" si="323"/>
        <v>82115-0EA00.</v>
      </c>
      <c r="D61" s="58" t="e">
        <f>VLOOKUP(B61,'Timing Table'!B:G,6,0)</f>
        <v>#N/A</v>
      </c>
      <c r="E61" s="22" t="e">
        <f>VLOOKUP(B61,'Timing Table'!B:D,3,0)</f>
        <v>#N/A</v>
      </c>
      <c r="F61" s="155" t="s">
        <v>74</v>
      </c>
      <c r="G61" s="181">
        <v>18560</v>
      </c>
      <c r="H61" s="5" t="s">
        <v>60</v>
      </c>
      <c r="I61" s="11" t="s">
        <v>147</v>
      </c>
      <c r="J61" s="16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17"/>
      <c r="DL61">
        <f t="shared" si="106"/>
        <v>0</v>
      </c>
      <c r="DM61">
        <f t="shared" si="107"/>
        <v>0</v>
      </c>
      <c r="DN61">
        <f t="shared" si="108"/>
        <v>0</v>
      </c>
      <c r="DO61">
        <f t="shared" si="109"/>
        <v>0</v>
      </c>
      <c r="DP61">
        <f t="shared" si="110"/>
        <v>0</v>
      </c>
      <c r="DQ61">
        <f t="shared" si="111"/>
        <v>0</v>
      </c>
      <c r="DR61">
        <f t="shared" si="112"/>
        <v>0</v>
      </c>
      <c r="DS61">
        <f t="shared" si="113"/>
        <v>0</v>
      </c>
      <c r="DT61">
        <f t="shared" si="114"/>
        <v>0</v>
      </c>
      <c r="DU61">
        <f t="shared" si="115"/>
        <v>0</v>
      </c>
      <c r="DV61">
        <f t="shared" si="116"/>
        <v>0</v>
      </c>
      <c r="DW61">
        <f t="shared" si="117"/>
        <v>0</v>
      </c>
    </row>
    <row r="62" spans="1:127" x14ac:dyDescent="0.25">
      <c r="A62" s="22">
        <f t="shared" si="2"/>
        <v>56</v>
      </c>
      <c r="B62" s="59" t="str">
        <f t="shared" si="322"/>
        <v>F0013547809</v>
      </c>
      <c r="C62" s="214" t="str">
        <f t="shared" si="323"/>
        <v>82115-0EA00.</v>
      </c>
      <c r="D62" s="58" t="e">
        <f>VLOOKUP(B62,'Timing Table'!B:G,6,0)</f>
        <v>#N/A</v>
      </c>
      <c r="E62" s="22" t="e">
        <f>VLOOKUP(B62,'Timing Table'!B:D,3,0)</f>
        <v>#N/A</v>
      </c>
      <c r="F62" s="155" t="s">
        <v>75</v>
      </c>
      <c r="G62" s="198" t="s">
        <v>175</v>
      </c>
      <c r="H62" s="9" t="s">
        <v>172</v>
      </c>
      <c r="I62" s="11" t="s">
        <v>76</v>
      </c>
      <c r="J62" s="143">
        <v>512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144">
        <v>0</v>
      </c>
      <c r="BJ62" s="24" t="str">
        <f>+G59</f>
        <v>82115-0EA00.</v>
      </c>
      <c r="BK62" s="24">
        <f>+J62</f>
        <v>512</v>
      </c>
      <c r="BL62" s="24">
        <f t="shared" ref="BL62" si="324">+K62</f>
        <v>0</v>
      </c>
      <c r="BM62" s="24">
        <f t="shared" ref="BM62" si="325">+L62</f>
        <v>0</v>
      </c>
      <c r="BN62" s="24">
        <f t="shared" ref="BN62" si="326">+M62</f>
        <v>0</v>
      </c>
      <c r="BO62" s="24">
        <f t="shared" ref="BO62" si="327">+N62</f>
        <v>0</v>
      </c>
      <c r="BP62" s="24">
        <f t="shared" ref="BP62" si="328">+O62</f>
        <v>0</v>
      </c>
      <c r="BQ62" s="24">
        <f t="shared" ref="BQ62" si="329">+P62</f>
        <v>0</v>
      </c>
      <c r="BR62" s="24">
        <f t="shared" ref="BR62" si="330">+Q62</f>
        <v>0</v>
      </c>
      <c r="BS62" s="24">
        <f t="shared" ref="BS62" si="331">+R62</f>
        <v>0</v>
      </c>
      <c r="BT62" s="24">
        <f t="shared" ref="BT62" si="332">+S62</f>
        <v>0</v>
      </c>
      <c r="BU62" s="24">
        <f t="shared" ref="BU62" si="333">+T62</f>
        <v>0</v>
      </c>
      <c r="BV62" s="24">
        <f t="shared" ref="BV62" si="334">+U62</f>
        <v>0</v>
      </c>
      <c r="BW62" s="24">
        <f t="shared" ref="BW62" si="335">+V62</f>
        <v>0</v>
      </c>
      <c r="BX62" s="24">
        <f t="shared" ref="BX62" si="336">+W62</f>
        <v>0</v>
      </c>
      <c r="BY62" s="24">
        <f t="shared" ref="BY62" si="337">+X62</f>
        <v>0</v>
      </c>
      <c r="BZ62" s="24">
        <f t="shared" ref="BZ62" si="338">+Y62</f>
        <v>0</v>
      </c>
      <c r="CA62" s="24">
        <f t="shared" ref="CA62" si="339">+Z62</f>
        <v>0</v>
      </c>
      <c r="CB62" s="24">
        <f t="shared" ref="CB62" si="340">+AA62</f>
        <v>0</v>
      </c>
      <c r="CC62" s="24">
        <f t="shared" ref="CC62" si="341">+AB62</f>
        <v>0</v>
      </c>
      <c r="CD62" s="24">
        <f t="shared" ref="CD62" si="342">+AC62</f>
        <v>0</v>
      </c>
      <c r="CE62" s="24">
        <f t="shared" ref="CE62" si="343">+AD62</f>
        <v>0</v>
      </c>
      <c r="CF62" s="24">
        <f t="shared" ref="CF62" si="344">+AE62</f>
        <v>0</v>
      </c>
      <c r="CG62" s="24">
        <f t="shared" ref="CG62" si="345">+AF62</f>
        <v>0</v>
      </c>
      <c r="CH62" s="24">
        <f t="shared" ref="CH62" si="346">+AG62</f>
        <v>0</v>
      </c>
      <c r="CI62" s="24">
        <f t="shared" ref="CI62" si="347">+AH62</f>
        <v>0</v>
      </c>
      <c r="CJ62" s="24">
        <f t="shared" ref="CJ62" si="348">+AI62</f>
        <v>0</v>
      </c>
      <c r="CK62" s="24">
        <f t="shared" ref="CK62" si="349">+AJ62</f>
        <v>0</v>
      </c>
      <c r="CL62" s="24">
        <f t="shared" ref="CL62" si="350">+AK62</f>
        <v>0</v>
      </c>
      <c r="CM62" s="24">
        <f t="shared" ref="CM62" si="351">+AL62</f>
        <v>0</v>
      </c>
      <c r="CN62" s="24">
        <f t="shared" ref="CN62" si="352">+AM62</f>
        <v>0</v>
      </c>
      <c r="CO62" s="24">
        <f t="shared" ref="CO62" si="353">+AN62</f>
        <v>0</v>
      </c>
      <c r="CP62" s="166">
        <f t="shared" ref="CP62" si="354">+AO62</f>
        <v>0</v>
      </c>
      <c r="CQ62" s="166">
        <f t="shared" ref="CQ62" si="355">+AP62</f>
        <v>0</v>
      </c>
      <c r="CR62">
        <f t="shared" ref="CR62" si="356">+AQ62</f>
        <v>0</v>
      </c>
      <c r="CS62">
        <f t="shared" ref="CS62" si="357">+AR62</f>
        <v>0</v>
      </c>
      <c r="CT62">
        <f t="shared" ref="CT62" si="358">+AS62</f>
        <v>0</v>
      </c>
      <c r="CU62">
        <f t="shared" ref="CU62" si="359">+AT62</f>
        <v>0</v>
      </c>
      <c r="CV62">
        <f t="shared" ref="CV62" si="360">+AU62</f>
        <v>0</v>
      </c>
      <c r="CW62">
        <f t="shared" ref="CW62" si="361">+AV62</f>
        <v>0</v>
      </c>
      <c r="CX62">
        <f t="shared" ref="CX62" si="362">+AW62</f>
        <v>0</v>
      </c>
      <c r="CY62">
        <f t="shared" ref="CY62" si="363">+AX62</f>
        <v>0</v>
      </c>
      <c r="CZ62">
        <f t="shared" ref="CZ62" si="364">+AY62</f>
        <v>0</v>
      </c>
      <c r="DA62">
        <f t="shared" ref="DA62" si="365">+AZ62</f>
        <v>0</v>
      </c>
      <c r="DB62">
        <f t="shared" ref="DB62" si="366">+BA62</f>
        <v>0</v>
      </c>
      <c r="DC62">
        <f t="shared" ref="DC62" si="367">+BB62</f>
        <v>0</v>
      </c>
      <c r="DD62">
        <f t="shared" ref="DD62" si="368">+BC62</f>
        <v>0</v>
      </c>
      <c r="DE62">
        <f t="shared" ref="DE62" si="369">+BD62</f>
        <v>0</v>
      </c>
      <c r="DF62">
        <f t="shared" ref="DF62" si="370">+BE62</f>
        <v>0</v>
      </c>
      <c r="DG62">
        <f t="shared" ref="DG62" si="371">+BF62</f>
        <v>0</v>
      </c>
      <c r="DH62">
        <f t="shared" ref="DH62" si="372">+BG62</f>
        <v>0</v>
      </c>
      <c r="DI62">
        <f t="shared" ref="DI62" si="373">+BH62</f>
        <v>0</v>
      </c>
      <c r="DJ62">
        <f t="shared" ref="DJ62" si="374">+BI62</f>
        <v>0</v>
      </c>
      <c r="DL62" s="24">
        <f t="shared" si="106"/>
        <v>512</v>
      </c>
      <c r="DM62" s="24">
        <f t="shared" si="107"/>
        <v>0</v>
      </c>
      <c r="DN62" s="24">
        <f t="shared" si="108"/>
        <v>0</v>
      </c>
      <c r="DO62" s="24">
        <f t="shared" si="109"/>
        <v>0</v>
      </c>
      <c r="DP62" s="24">
        <f t="shared" si="110"/>
        <v>0</v>
      </c>
      <c r="DQ62" s="24">
        <f t="shared" si="111"/>
        <v>0</v>
      </c>
      <c r="DR62" s="24">
        <f t="shared" si="112"/>
        <v>0</v>
      </c>
      <c r="DS62" s="24">
        <f t="shared" si="113"/>
        <v>0</v>
      </c>
      <c r="DT62" s="24">
        <f t="shared" si="114"/>
        <v>0</v>
      </c>
      <c r="DU62">
        <f t="shared" si="115"/>
        <v>0</v>
      </c>
      <c r="DV62">
        <f t="shared" si="116"/>
        <v>0</v>
      </c>
      <c r="DW62">
        <f t="shared" si="117"/>
        <v>0</v>
      </c>
    </row>
    <row r="63" spans="1:127" x14ac:dyDescent="0.25">
      <c r="A63" s="22">
        <f t="shared" si="2"/>
        <v>57</v>
      </c>
      <c r="B63" s="59" t="str">
        <f t="shared" si="322"/>
        <v>F0013547809</v>
      </c>
      <c r="C63" s="214" t="str">
        <f t="shared" si="323"/>
        <v>82115-0EA00.</v>
      </c>
      <c r="D63" s="58" t="e">
        <f>VLOOKUP(B63,'Timing Table'!B:G,6,0)</f>
        <v>#N/A</v>
      </c>
      <c r="E63" s="22" t="e">
        <f>VLOOKUP(B63,'Timing Table'!B:D,3,0)</f>
        <v>#N/A</v>
      </c>
      <c r="F63" s="155" t="s">
        <v>77</v>
      </c>
      <c r="G63" s="181">
        <v>82115</v>
      </c>
      <c r="H63" s="10" t="s">
        <v>172</v>
      </c>
      <c r="I63" s="12" t="s">
        <v>78</v>
      </c>
      <c r="J63" s="152">
        <v>17712</v>
      </c>
      <c r="K63" s="153">
        <v>17712</v>
      </c>
      <c r="L63" s="153">
        <v>17712</v>
      </c>
      <c r="M63" s="153">
        <v>17712</v>
      </c>
      <c r="N63" s="153">
        <v>17712</v>
      </c>
      <c r="O63" s="153">
        <v>17712</v>
      </c>
      <c r="P63" s="153">
        <v>17712</v>
      </c>
      <c r="Q63" s="153">
        <v>17712</v>
      </c>
      <c r="R63" s="153">
        <v>17712</v>
      </c>
      <c r="S63" s="153">
        <v>17712</v>
      </c>
      <c r="T63" s="153">
        <v>17712</v>
      </c>
      <c r="U63" s="153">
        <v>17712</v>
      </c>
      <c r="V63" s="153">
        <v>17712</v>
      </c>
      <c r="W63" s="153">
        <v>17712</v>
      </c>
      <c r="X63" s="153">
        <v>17712</v>
      </c>
      <c r="Y63" s="153">
        <v>17712</v>
      </c>
      <c r="Z63" s="153">
        <v>17712</v>
      </c>
      <c r="AA63" s="153">
        <v>17712</v>
      </c>
      <c r="AB63" s="153">
        <v>17712</v>
      </c>
      <c r="AC63" s="153">
        <v>17712</v>
      </c>
      <c r="AD63" s="153">
        <v>17712</v>
      </c>
      <c r="AE63" s="153">
        <v>17712</v>
      </c>
      <c r="AF63" s="153">
        <v>17712</v>
      </c>
      <c r="AG63" s="153">
        <v>17712</v>
      </c>
      <c r="AH63" s="153">
        <v>17712</v>
      </c>
      <c r="AI63" s="153">
        <v>17712</v>
      </c>
      <c r="AJ63" s="153">
        <v>17712</v>
      </c>
      <c r="AK63" s="153">
        <v>17712</v>
      </c>
      <c r="AL63" s="153">
        <v>17712</v>
      </c>
      <c r="AM63" s="153">
        <v>17712</v>
      </c>
      <c r="AN63" s="153">
        <v>17712</v>
      </c>
      <c r="AO63" s="153">
        <v>17712</v>
      </c>
      <c r="AP63" s="153">
        <v>17712</v>
      </c>
      <c r="AQ63" s="153">
        <v>17712</v>
      </c>
      <c r="AR63" s="153">
        <v>17712</v>
      </c>
      <c r="AS63" s="153">
        <v>17712</v>
      </c>
      <c r="AT63" s="153">
        <v>17712</v>
      </c>
      <c r="AU63" s="153">
        <v>17712</v>
      </c>
      <c r="AV63" s="153">
        <v>17712</v>
      </c>
      <c r="AW63" s="153">
        <v>17712</v>
      </c>
      <c r="AX63" s="153">
        <v>17712</v>
      </c>
      <c r="AY63" s="153">
        <v>17712</v>
      </c>
      <c r="AZ63" s="153">
        <v>17712</v>
      </c>
      <c r="BA63" s="153">
        <v>17712</v>
      </c>
      <c r="BB63" s="153">
        <v>17712</v>
      </c>
      <c r="BC63" s="153">
        <v>17712</v>
      </c>
      <c r="BD63" s="153">
        <v>17712</v>
      </c>
      <c r="BE63" s="153">
        <v>17712</v>
      </c>
      <c r="BF63" s="153">
        <v>17712</v>
      </c>
      <c r="BG63" s="153">
        <v>17712</v>
      </c>
      <c r="BH63" s="153">
        <v>17712</v>
      </c>
      <c r="BI63" s="154">
        <v>17712</v>
      </c>
      <c r="DL63">
        <f t="shared" si="106"/>
        <v>0</v>
      </c>
      <c r="DM63">
        <f t="shared" si="107"/>
        <v>0</v>
      </c>
      <c r="DN63">
        <f t="shared" si="108"/>
        <v>0</v>
      </c>
      <c r="DO63">
        <f t="shared" si="109"/>
        <v>0</v>
      </c>
      <c r="DP63">
        <f t="shared" si="110"/>
        <v>0</v>
      </c>
      <c r="DQ63">
        <f t="shared" si="111"/>
        <v>0</v>
      </c>
      <c r="DR63">
        <f t="shared" si="112"/>
        <v>0</v>
      </c>
      <c r="DS63">
        <f t="shared" si="113"/>
        <v>0</v>
      </c>
      <c r="DT63">
        <f t="shared" si="114"/>
        <v>0</v>
      </c>
      <c r="DU63">
        <f t="shared" si="115"/>
        <v>0</v>
      </c>
      <c r="DV63">
        <f t="shared" si="116"/>
        <v>0</v>
      </c>
      <c r="DW63">
        <f t="shared" si="117"/>
        <v>0</v>
      </c>
    </row>
    <row r="64" spans="1:127" x14ac:dyDescent="0.25">
      <c r="A64" s="22">
        <f t="shared" si="2"/>
        <v>58</v>
      </c>
      <c r="B64" s="59" t="str">
        <f t="shared" si="322"/>
        <v>F0013547809</v>
      </c>
      <c r="C64" s="214" t="str">
        <f t="shared" si="323"/>
        <v>82115-0EA00.</v>
      </c>
      <c r="D64" s="58" t="e">
        <f>VLOOKUP(B64,'Timing Table'!B:G,6,0)</f>
        <v>#N/A</v>
      </c>
      <c r="E64" s="22" t="e">
        <f>VLOOKUP(B64,'Timing Table'!B:D,3,0)</f>
        <v>#N/A</v>
      </c>
      <c r="F64" s="155" t="s">
        <v>79</v>
      </c>
      <c r="G64" s="199">
        <v>17200</v>
      </c>
      <c r="H64" s="184" t="s">
        <v>80</v>
      </c>
      <c r="I64" s="185"/>
      <c r="J64" s="200" t="s">
        <v>507</v>
      </c>
      <c r="K64" s="156"/>
      <c r="L64" s="157" t="s">
        <v>0</v>
      </c>
      <c r="M64" s="157" t="s">
        <v>0</v>
      </c>
      <c r="N64" s="157" t="s">
        <v>0</v>
      </c>
      <c r="O64" s="157" t="s">
        <v>0</v>
      </c>
      <c r="P64" s="157" t="s">
        <v>0</v>
      </c>
      <c r="Q64" s="157" t="s">
        <v>0</v>
      </c>
      <c r="R64" s="157" t="s">
        <v>0</v>
      </c>
      <c r="S64" s="157" t="s">
        <v>0</v>
      </c>
      <c r="T64" s="157" t="s">
        <v>0</v>
      </c>
      <c r="U64" s="157" t="s">
        <v>0</v>
      </c>
      <c r="V64" s="157" t="s">
        <v>0</v>
      </c>
      <c r="W64" s="157" t="s">
        <v>0</v>
      </c>
      <c r="X64" s="157" t="s">
        <v>0</v>
      </c>
      <c r="Y64" s="157" t="s">
        <v>0</v>
      </c>
      <c r="Z64" s="157" t="s">
        <v>0</v>
      </c>
      <c r="AA64" s="157" t="s">
        <v>0</v>
      </c>
      <c r="AB64" s="157" t="s">
        <v>0</v>
      </c>
      <c r="AC64" s="157" t="s">
        <v>0</v>
      </c>
      <c r="AD64" s="157" t="s">
        <v>0</v>
      </c>
      <c r="AE64" s="157" t="s">
        <v>0</v>
      </c>
      <c r="AF64" s="157" t="s">
        <v>0</v>
      </c>
      <c r="AG64" s="157" t="s">
        <v>0</v>
      </c>
      <c r="AH64" s="157" t="s">
        <v>0</v>
      </c>
      <c r="AI64" s="157" t="s">
        <v>0</v>
      </c>
      <c r="AJ64" s="157" t="s">
        <v>0</v>
      </c>
      <c r="AK64" s="157" t="s">
        <v>0</v>
      </c>
      <c r="AL64" s="157" t="s">
        <v>0</v>
      </c>
      <c r="AM64" s="157" t="s">
        <v>0</v>
      </c>
      <c r="AN64" s="157" t="s">
        <v>0</v>
      </c>
      <c r="AO64" s="157" t="s">
        <v>0</v>
      </c>
      <c r="AP64" s="157" t="s">
        <v>0</v>
      </c>
      <c r="AQ64" s="157" t="s">
        <v>0</v>
      </c>
      <c r="AR64" s="157" t="s">
        <v>0</v>
      </c>
      <c r="AS64" s="157" t="s">
        <v>0</v>
      </c>
      <c r="AT64" s="157" t="s">
        <v>0</v>
      </c>
      <c r="AU64" s="157" t="s">
        <v>0</v>
      </c>
      <c r="AV64" s="157" t="s">
        <v>0</v>
      </c>
      <c r="AW64" s="157" t="s">
        <v>0</v>
      </c>
      <c r="AX64" s="157" t="s">
        <v>0</v>
      </c>
      <c r="AY64" s="157" t="s">
        <v>0</v>
      </c>
      <c r="AZ64" s="157" t="s">
        <v>0</v>
      </c>
      <c r="BA64" s="157" t="s">
        <v>0</v>
      </c>
      <c r="BB64" s="157" t="s">
        <v>0</v>
      </c>
      <c r="BC64" s="157" t="s">
        <v>0</v>
      </c>
      <c r="BD64" s="157" t="s">
        <v>0</v>
      </c>
      <c r="BE64" s="157" t="s">
        <v>0</v>
      </c>
      <c r="BF64" s="157" t="s">
        <v>0</v>
      </c>
      <c r="BG64" s="157" t="s">
        <v>0</v>
      </c>
      <c r="BH64" s="157" t="s">
        <v>0</v>
      </c>
      <c r="BI64" s="158"/>
      <c r="DL64">
        <f t="shared" si="106"/>
        <v>0</v>
      </c>
      <c r="DM64">
        <f t="shared" si="107"/>
        <v>0</v>
      </c>
      <c r="DN64">
        <f t="shared" si="108"/>
        <v>0</v>
      </c>
      <c r="DO64">
        <f t="shared" si="109"/>
        <v>0</v>
      </c>
      <c r="DP64">
        <f t="shared" si="110"/>
        <v>0</v>
      </c>
      <c r="DQ64">
        <f t="shared" si="111"/>
        <v>0</v>
      </c>
      <c r="DR64">
        <f t="shared" si="112"/>
        <v>0</v>
      </c>
      <c r="DS64">
        <f t="shared" si="113"/>
        <v>0</v>
      </c>
      <c r="DT64">
        <f t="shared" si="114"/>
        <v>0</v>
      </c>
      <c r="DU64">
        <f t="shared" si="115"/>
        <v>0</v>
      </c>
      <c r="DV64">
        <f t="shared" si="116"/>
        <v>0</v>
      </c>
      <c r="DW64">
        <f t="shared" si="117"/>
        <v>0</v>
      </c>
    </row>
    <row r="65" spans="1:127" x14ac:dyDescent="0.25">
      <c r="A65" s="22">
        <f t="shared" si="2"/>
        <v>59</v>
      </c>
      <c r="B65" s="59" t="str">
        <f t="shared" si="322"/>
        <v>F0013547809</v>
      </c>
      <c r="C65" s="214" t="str">
        <f t="shared" si="323"/>
        <v>82115-0EA00.</v>
      </c>
      <c r="D65" s="58" t="e">
        <f>VLOOKUP(B65,'Timing Table'!B:G,6,0)</f>
        <v>#N/A</v>
      </c>
      <c r="E65" s="22" t="e">
        <f>VLOOKUP(B65,'Timing Table'!B:D,3,0)</f>
        <v>#N/A</v>
      </c>
      <c r="F65" s="159" t="s">
        <v>81</v>
      </c>
      <c r="G65" s="160" t="s">
        <v>60</v>
      </c>
      <c r="H65" s="201" t="s">
        <v>60</v>
      </c>
      <c r="I65" s="183" t="s">
        <v>60</v>
      </c>
      <c r="J65" s="183" t="s">
        <v>0</v>
      </c>
      <c r="K65" s="183" t="s">
        <v>0</v>
      </c>
      <c r="L65" s="183" t="s">
        <v>0</v>
      </c>
      <c r="M65" s="183" t="s">
        <v>0</v>
      </c>
      <c r="N65" s="183" t="s">
        <v>0</v>
      </c>
      <c r="O65" s="183" t="s">
        <v>0</v>
      </c>
      <c r="P65" s="183" t="s">
        <v>0</v>
      </c>
      <c r="Q65" s="183" t="s">
        <v>0</v>
      </c>
      <c r="R65" s="183" t="s">
        <v>0</v>
      </c>
      <c r="S65" s="183" t="s">
        <v>0</v>
      </c>
      <c r="T65" s="183" t="s">
        <v>0</v>
      </c>
      <c r="U65" s="183" t="s">
        <v>0</v>
      </c>
      <c r="V65" s="183" t="s">
        <v>0</v>
      </c>
      <c r="W65" s="183" t="s">
        <v>0</v>
      </c>
      <c r="X65" s="183" t="s">
        <v>0</v>
      </c>
      <c r="Y65" s="183" t="s">
        <v>0</v>
      </c>
      <c r="Z65" s="183" t="s">
        <v>0</v>
      </c>
      <c r="AA65" s="183" t="s">
        <v>0</v>
      </c>
      <c r="AB65" s="183" t="s">
        <v>0</v>
      </c>
      <c r="AC65" s="183" t="s">
        <v>0</v>
      </c>
      <c r="AD65" s="183" t="s">
        <v>0</v>
      </c>
      <c r="AE65" s="183" t="s">
        <v>0</v>
      </c>
      <c r="AF65" s="183" t="s">
        <v>0</v>
      </c>
      <c r="AG65" s="183" t="s">
        <v>0</v>
      </c>
      <c r="AH65" s="183" t="s">
        <v>0</v>
      </c>
      <c r="AI65" s="183" t="s">
        <v>0</v>
      </c>
      <c r="AJ65" s="183" t="s">
        <v>0</v>
      </c>
      <c r="AK65" s="183" t="s">
        <v>0</v>
      </c>
      <c r="AL65" s="183" t="s">
        <v>0</v>
      </c>
      <c r="AM65" s="183" t="s">
        <v>0</v>
      </c>
      <c r="AN65" s="183" t="s">
        <v>0</v>
      </c>
      <c r="AO65" s="183" t="s">
        <v>0</v>
      </c>
      <c r="AP65" s="183" t="s">
        <v>0</v>
      </c>
      <c r="AQ65" s="183" t="s">
        <v>0</v>
      </c>
      <c r="AR65" s="183" t="s">
        <v>0</v>
      </c>
      <c r="AS65" s="183" t="s">
        <v>0</v>
      </c>
      <c r="AT65" s="183" t="s">
        <v>0</v>
      </c>
      <c r="AU65" s="183" t="s">
        <v>0</v>
      </c>
      <c r="AV65" s="183" t="s">
        <v>0</v>
      </c>
      <c r="AW65" s="183" t="s">
        <v>0</v>
      </c>
      <c r="AX65" s="183" t="s">
        <v>0</v>
      </c>
      <c r="AY65" s="183" t="s">
        <v>0</v>
      </c>
      <c r="AZ65" s="183" t="s">
        <v>0</v>
      </c>
      <c r="BA65" s="183" t="s">
        <v>0</v>
      </c>
      <c r="BB65" s="183" t="s">
        <v>0</v>
      </c>
      <c r="BC65" s="183" t="s">
        <v>0</v>
      </c>
      <c r="BD65" s="183" t="s">
        <v>0</v>
      </c>
      <c r="BE65" s="183" t="s">
        <v>0</v>
      </c>
      <c r="BF65" s="183" t="s">
        <v>0</v>
      </c>
      <c r="BG65" s="183" t="s">
        <v>0</v>
      </c>
      <c r="BH65" s="183" t="s">
        <v>0</v>
      </c>
      <c r="BI65" s="161"/>
      <c r="DL65">
        <f t="shared" si="106"/>
        <v>0</v>
      </c>
      <c r="DM65">
        <f t="shared" si="107"/>
        <v>0</v>
      </c>
      <c r="DN65">
        <f t="shared" si="108"/>
        <v>0</v>
      </c>
      <c r="DO65">
        <f t="shared" si="109"/>
        <v>0</v>
      </c>
      <c r="DP65">
        <f t="shared" si="110"/>
        <v>0</v>
      </c>
      <c r="DQ65">
        <f t="shared" si="111"/>
        <v>0</v>
      </c>
      <c r="DR65">
        <f t="shared" si="112"/>
        <v>0</v>
      </c>
      <c r="DS65">
        <f t="shared" si="113"/>
        <v>0</v>
      </c>
      <c r="DT65">
        <f t="shared" si="114"/>
        <v>0</v>
      </c>
      <c r="DU65">
        <f t="shared" si="115"/>
        <v>0</v>
      </c>
      <c r="DV65">
        <f t="shared" si="116"/>
        <v>0</v>
      </c>
      <c r="DW65">
        <f t="shared" si="117"/>
        <v>0</v>
      </c>
    </row>
    <row r="66" spans="1:127" x14ac:dyDescent="0.25">
      <c r="A66" s="22">
        <f t="shared" si="2"/>
        <v>60</v>
      </c>
      <c r="B66" s="59" t="str">
        <f t="shared" si="322"/>
        <v>F0013547809</v>
      </c>
      <c r="C66" s="214" t="str">
        <f t="shared" si="323"/>
        <v>82115-0EA00.</v>
      </c>
      <c r="D66" s="58" t="e">
        <f>VLOOKUP(B66,'Timing Table'!B:G,6,0)</f>
        <v>#N/A</v>
      </c>
      <c r="E66" s="22" t="e">
        <f>VLOOKUP(B66,'Timing Table'!B:D,3,0)</f>
        <v>#N/A</v>
      </c>
      <c r="F66" s="188" t="s">
        <v>60</v>
      </c>
      <c r="G66" s="162" t="s">
        <v>60</v>
      </c>
      <c r="H66" s="163" t="s">
        <v>60</v>
      </c>
      <c r="I66" s="164" t="s">
        <v>60</v>
      </c>
      <c r="J66" s="164" t="s">
        <v>0</v>
      </c>
      <c r="K66" s="164" t="s">
        <v>0</v>
      </c>
      <c r="L66" s="164" t="s">
        <v>0</v>
      </c>
      <c r="M66" s="164" t="s">
        <v>0</v>
      </c>
      <c r="N66" s="164" t="s">
        <v>0</v>
      </c>
      <c r="O66" s="164" t="s">
        <v>0</v>
      </c>
      <c r="P66" s="164" t="s">
        <v>0</v>
      </c>
      <c r="Q66" s="164" t="s">
        <v>0</v>
      </c>
      <c r="R66" s="164" t="s">
        <v>0</v>
      </c>
      <c r="S66" s="164" t="s">
        <v>0</v>
      </c>
      <c r="T66" s="164" t="s">
        <v>0</v>
      </c>
      <c r="U66" s="164" t="s">
        <v>0</v>
      </c>
      <c r="V66" s="164" t="s">
        <v>0</v>
      </c>
      <c r="W66" s="164" t="s">
        <v>0</v>
      </c>
      <c r="X66" s="164" t="s">
        <v>0</v>
      </c>
      <c r="Y66" s="164" t="s">
        <v>0</v>
      </c>
      <c r="Z66" s="164" t="s">
        <v>0</v>
      </c>
      <c r="AA66" s="164" t="s">
        <v>0</v>
      </c>
      <c r="AB66" s="164" t="s">
        <v>0</v>
      </c>
      <c r="AC66" s="164" t="s">
        <v>0</v>
      </c>
      <c r="AD66" s="164" t="s">
        <v>0</v>
      </c>
      <c r="AE66" s="164" t="s">
        <v>0</v>
      </c>
      <c r="AF66" s="164" t="s">
        <v>0</v>
      </c>
      <c r="AG66" s="164" t="s">
        <v>0</v>
      </c>
      <c r="AH66" s="164" t="s">
        <v>0</v>
      </c>
      <c r="AI66" s="164" t="s">
        <v>0</v>
      </c>
      <c r="AJ66" s="164" t="s">
        <v>0</v>
      </c>
      <c r="AK66" s="164" t="s">
        <v>0</v>
      </c>
      <c r="AL66" s="164" t="s">
        <v>0</v>
      </c>
      <c r="AM66" s="164" t="s">
        <v>0</v>
      </c>
      <c r="AN66" s="164" t="s">
        <v>0</v>
      </c>
      <c r="AO66" s="164" t="s">
        <v>0</v>
      </c>
      <c r="AP66" s="164" t="s">
        <v>0</v>
      </c>
      <c r="AQ66" s="164" t="s">
        <v>0</v>
      </c>
      <c r="AR66" s="164" t="s">
        <v>0</v>
      </c>
      <c r="AS66" s="164" t="s">
        <v>0</v>
      </c>
      <c r="AT66" s="164" t="s">
        <v>0</v>
      </c>
      <c r="AU66" s="164" t="s">
        <v>0</v>
      </c>
      <c r="AV66" s="164" t="s">
        <v>0</v>
      </c>
      <c r="AW66" s="164" t="s">
        <v>0</v>
      </c>
      <c r="AX66" s="164" t="s">
        <v>0</v>
      </c>
      <c r="AY66" s="164" t="s">
        <v>0</v>
      </c>
      <c r="AZ66" s="164" t="s">
        <v>0</v>
      </c>
      <c r="BA66" s="164" t="s">
        <v>0</v>
      </c>
      <c r="BB66" s="164" t="s">
        <v>0</v>
      </c>
      <c r="BC66" s="164" t="s">
        <v>0</v>
      </c>
      <c r="BD66" s="164" t="s">
        <v>0</v>
      </c>
      <c r="BE66" s="164" t="s">
        <v>0</v>
      </c>
      <c r="BF66" s="164" t="s">
        <v>0</v>
      </c>
      <c r="BG66" s="164" t="s">
        <v>0</v>
      </c>
      <c r="BH66" s="164" t="s">
        <v>0</v>
      </c>
      <c r="BI66" s="189"/>
      <c r="DL66">
        <f t="shared" si="106"/>
        <v>0</v>
      </c>
      <c r="DM66">
        <f t="shared" si="107"/>
        <v>0</v>
      </c>
      <c r="DN66">
        <f t="shared" si="108"/>
        <v>0</v>
      </c>
      <c r="DO66">
        <f t="shared" si="109"/>
        <v>0</v>
      </c>
      <c r="DP66">
        <f t="shared" si="110"/>
        <v>0</v>
      </c>
      <c r="DQ66">
        <f t="shared" si="111"/>
        <v>0</v>
      </c>
      <c r="DR66">
        <f t="shared" si="112"/>
        <v>0</v>
      </c>
      <c r="DS66">
        <f t="shared" si="113"/>
        <v>0</v>
      </c>
      <c r="DT66">
        <f t="shared" si="114"/>
        <v>0</v>
      </c>
      <c r="DU66">
        <f t="shared" si="115"/>
        <v>0</v>
      </c>
      <c r="DV66">
        <f t="shared" si="116"/>
        <v>0</v>
      </c>
      <c r="DW66">
        <f t="shared" si="117"/>
        <v>0</v>
      </c>
    </row>
    <row r="67" spans="1:127" x14ac:dyDescent="0.25">
      <c r="A67" s="22">
        <f t="shared" si="2"/>
        <v>61</v>
      </c>
      <c r="B67" s="59" t="str">
        <f t="shared" si="322"/>
        <v>F0013547811</v>
      </c>
      <c r="C67" s="214" t="str">
        <f t="shared" si="323"/>
        <v>82115-0EA00 L</v>
      </c>
      <c r="D67" s="58" t="e">
        <f>VLOOKUP(B67,'Timing Table'!B:G,6,0)</f>
        <v>#N/A</v>
      </c>
      <c r="E67" s="22" t="e">
        <f>VLOOKUP(B67,'Timing Table'!B:D,3,0)</f>
        <v>#N/A</v>
      </c>
      <c r="F67" s="155" t="s">
        <v>61</v>
      </c>
      <c r="G67" s="181">
        <v>5501065658</v>
      </c>
      <c r="H67" s="155" t="s">
        <v>62</v>
      </c>
      <c r="I67" s="181">
        <v>9</v>
      </c>
      <c r="J67" s="155" t="s">
        <v>63</v>
      </c>
      <c r="K67" s="160">
        <v>1179881</v>
      </c>
      <c r="L67" s="161"/>
      <c r="M67" s="190" t="s">
        <v>64</v>
      </c>
      <c r="N67" s="191"/>
      <c r="O67" s="192">
        <v>46086</v>
      </c>
      <c r="P67" s="155" t="s">
        <v>65</v>
      </c>
      <c r="Q67" s="181">
        <v>4</v>
      </c>
      <c r="R67" s="6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7" t="s">
        <v>0</v>
      </c>
      <c r="X67" s="7" t="s">
        <v>0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0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 t="s">
        <v>0</v>
      </c>
      <c r="AP67" s="7" t="s">
        <v>0</v>
      </c>
      <c r="AQ67" s="7" t="s">
        <v>0</v>
      </c>
      <c r="AR67" s="7" t="s">
        <v>0</v>
      </c>
      <c r="AS67" s="7" t="s">
        <v>0</v>
      </c>
      <c r="AT67" s="7" t="s">
        <v>0</v>
      </c>
      <c r="AU67" s="7" t="s">
        <v>0</v>
      </c>
      <c r="AV67" s="7" t="s">
        <v>0</v>
      </c>
      <c r="AW67" s="7" t="s">
        <v>0</v>
      </c>
      <c r="AX67" s="7" t="s">
        <v>0</v>
      </c>
      <c r="AY67" s="7" t="s">
        <v>0</v>
      </c>
      <c r="AZ67" s="7" t="s">
        <v>0</v>
      </c>
      <c r="BA67" s="7" t="s">
        <v>0</v>
      </c>
      <c r="BB67" s="7" t="s">
        <v>0</v>
      </c>
      <c r="BC67" s="7" t="s">
        <v>0</v>
      </c>
      <c r="BD67" s="7" t="s">
        <v>0</v>
      </c>
      <c r="BE67" s="7" t="s">
        <v>0</v>
      </c>
      <c r="BF67" s="7" t="s">
        <v>0</v>
      </c>
      <c r="BG67" s="7" t="s">
        <v>0</v>
      </c>
      <c r="BH67" s="7" t="s">
        <v>0</v>
      </c>
      <c r="BI67" s="8"/>
      <c r="DL67">
        <f t="shared" si="106"/>
        <v>0</v>
      </c>
      <c r="DM67">
        <f t="shared" si="107"/>
        <v>0</v>
      </c>
      <c r="DN67">
        <f t="shared" si="108"/>
        <v>0</v>
      </c>
      <c r="DO67">
        <f t="shared" si="109"/>
        <v>0</v>
      </c>
      <c r="DP67">
        <f t="shared" si="110"/>
        <v>0</v>
      </c>
      <c r="DQ67">
        <f t="shared" si="111"/>
        <v>0</v>
      </c>
      <c r="DR67">
        <f t="shared" si="112"/>
        <v>0</v>
      </c>
      <c r="DS67">
        <f t="shared" si="113"/>
        <v>0</v>
      </c>
      <c r="DT67">
        <f t="shared" si="114"/>
        <v>0</v>
      </c>
      <c r="DU67">
        <f t="shared" si="115"/>
        <v>0</v>
      </c>
      <c r="DV67">
        <f t="shared" si="116"/>
        <v>0</v>
      </c>
      <c r="DW67">
        <f t="shared" si="117"/>
        <v>0</v>
      </c>
    </row>
    <row r="68" spans="1:127" x14ac:dyDescent="0.25">
      <c r="A68" s="22">
        <f t="shared" si="2"/>
        <v>62</v>
      </c>
      <c r="B68" s="59" t="str">
        <f t="shared" si="322"/>
        <v>F0013547811</v>
      </c>
      <c r="C68" s="214" t="str">
        <f t="shared" si="323"/>
        <v>82115-0EA00 L</v>
      </c>
      <c r="D68" s="58" t="e">
        <f>VLOOKUP(B68,'Timing Table'!B:G,6,0)</f>
        <v>#N/A</v>
      </c>
      <c r="E68" s="22" t="e">
        <f>VLOOKUP(B68,'Timing Table'!B:D,3,0)</f>
        <v>#N/A</v>
      </c>
      <c r="F68" s="155" t="s">
        <v>66</v>
      </c>
      <c r="G68" s="181" t="s">
        <v>483</v>
      </c>
      <c r="H68" s="155" t="s">
        <v>67</v>
      </c>
      <c r="I68" s="182" t="s">
        <v>484</v>
      </c>
      <c r="J68" s="183"/>
      <c r="K68" s="183"/>
      <c r="L68" s="161"/>
      <c r="M68" s="155" t="s">
        <v>68</v>
      </c>
      <c r="N68" s="181">
        <v>2023</v>
      </c>
      <c r="O68" s="184" t="s">
        <v>69</v>
      </c>
      <c r="P68" s="185"/>
      <c r="Q68" s="193" t="s">
        <v>485</v>
      </c>
      <c r="R68" s="156" t="s">
        <v>0</v>
      </c>
      <c r="S68" s="157"/>
      <c r="T68" s="157"/>
      <c r="U68" s="157" t="s">
        <v>0</v>
      </c>
      <c r="V68" s="157" t="s">
        <v>0</v>
      </c>
      <c r="W68" s="157" t="s">
        <v>0</v>
      </c>
      <c r="X68" s="157" t="s">
        <v>0</v>
      </c>
      <c r="Y68" s="157" t="s">
        <v>0</v>
      </c>
      <c r="Z68" s="157" t="s">
        <v>0</v>
      </c>
      <c r="AA68" s="157" t="s">
        <v>0</v>
      </c>
      <c r="AB68" s="157" t="s">
        <v>0</v>
      </c>
      <c r="AC68" s="157" t="s">
        <v>0</v>
      </c>
      <c r="AD68" s="157" t="s">
        <v>0</v>
      </c>
      <c r="AE68" s="157" t="s">
        <v>0</v>
      </c>
      <c r="AF68" s="157" t="s">
        <v>0</v>
      </c>
      <c r="AG68" s="157" t="s">
        <v>0</v>
      </c>
      <c r="AH68" s="157" t="s">
        <v>0</v>
      </c>
      <c r="AI68" s="157" t="s">
        <v>0</v>
      </c>
      <c r="AJ68" s="157" t="s">
        <v>0</v>
      </c>
      <c r="AK68" s="157" t="s">
        <v>0</v>
      </c>
      <c r="AL68" s="157" t="s">
        <v>0</v>
      </c>
      <c r="AM68" s="157" t="s">
        <v>0</v>
      </c>
      <c r="AN68" s="157" t="s">
        <v>0</v>
      </c>
      <c r="AO68" s="157" t="s">
        <v>0</v>
      </c>
      <c r="AP68" s="157" t="s">
        <v>0</v>
      </c>
      <c r="AQ68" s="157" t="s">
        <v>0</v>
      </c>
      <c r="AR68" s="157" t="s">
        <v>0</v>
      </c>
      <c r="AS68" s="157" t="s">
        <v>0</v>
      </c>
      <c r="AT68" s="157" t="s">
        <v>0</v>
      </c>
      <c r="AU68" s="157" t="s">
        <v>0</v>
      </c>
      <c r="AV68" s="157" t="s">
        <v>0</v>
      </c>
      <c r="AW68" s="157" t="s">
        <v>0</v>
      </c>
      <c r="AX68" s="157" t="s">
        <v>0</v>
      </c>
      <c r="AY68" s="157" t="s">
        <v>0</v>
      </c>
      <c r="AZ68" s="157" t="s">
        <v>0</v>
      </c>
      <c r="BA68" s="157" t="s">
        <v>0</v>
      </c>
      <c r="BB68" s="157" t="s">
        <v>0</v>
      </c>
      <c r="BC68" s="157" t="s">
        <v>0</v>
      </c>
      <c r="BD68" s="157" t="s">
        <v>0</v>
      </c>
      <c r="BE68" s="157" t="s">
        <v>0</v>
      </c>
      <c r="BF68" s="157" t="s">
        <v>0</v>
      </c>
      <c r="BG68" s="157" t="s">
        <v>0</v>
      </c>
      <c r="BH68" s="157" t="s">
        <v>0</v>
      </c>
      <c r="BI68" s="158"/>
      <c r="DL68">
        <f t="shared" si="106"/>
        <v>0</v>
      </c>
      <c r="DM68">
        <f t="shared" si="107"/>
        <v>0</v>
      </c>
      <c r="DN68">
        <f t="shared" si="108"/>
        <v>0</v>
      </c>
      <c r="DO68">
        <f t="shared" si="109"/>
        <v>0</v>
      </c>
      <c r="DP68">
        <f t="shared" si="110"/>
        <v>0</v>
      </c>
      <c r="DQ68">
        <f t="shared" si="111"/>
        <v>0</v>
      </c>
      <c r="DR68">
        <f t="shared" si="112"/>
        <v>0</v>
      </c>
      <c r="DS68">
        <f t="shared" si="113"/>
        <v>0</v>
      </c>
      <c r="DT68">
        <f t="shared" si="114"/>
        <v>0</v>
      </c>
      <c r="DU68">
        <f t="shared" si="115"/>
        <v>0</v>
      </c>
      <c r="DV68">
        <f t="shared" si="116"/>
        <v>0</v>
      </c>
      <c r="DW68">
        <f t="shared" si="117"/>
        <v>0</v>
      </c>
    </row>
    <row r="69" spans="1:127" x14ac:dyDescent="0.25">
      <c r="A69" s="22">
        <f t="shared" si="2"/>
        <v>63</v>
      </c>
      <c r="B69" s="59" t="str">
        <f t="shared" si="322"/>
        <v>F0013547811</v>
      </c>
      <c r="C69" s="214" t="str">
        <f t="shared" si="323"/>
        <v>82115-0EA00 L</v>
      </c>
      <c r="D69" s="58" t="e">
        <f>VLOOKUP(B69,'Timing Table'!B:G,6,0)</f>
        <v>#N/A</v>
      </c>
      <c r="E69" s="22" t="e">
        <f>VLOOKUP(B69,'Timing Table'!B:D,3,0)</f>
        <v>#N/A</v>
      </c>
      <c r="F69" s="155" t="s">
        <v>70</v>
      </c>
      <c r="G69" s="181" t="s">
        <v>479</v>
      </c>
      <c r="H69" s="155" t="s">
        <v>71</v>
      </c>
      <c r="I69" s="182" t="s">
        <v>60</v>
      </c>
      <c r="J69" s="161" t="s">
        <v>0</v>
      </c>
      <c r="K69" s="194" t="s">
        <v>0</v>
      </c>
      <c r="L69" s="195" t="s">
        <v>0</v>
      </c>
      <c r="M69" s="179" t="s">
        <v>0</v>
      </c>
      <c r="N69" s="179" t="s">
        <v>0</v>
      </c>
      <c r="O69" s="179" t="s">
        <v>0</v>
      </c>
      <c r="P69" s="179" t="s">
        <v>0</v>
      </c>
      <c r="Q69" s="179" t="s">
        <v>1</v>
      </c>
      <c r="R69" s="179" t="s">
        <v>2</v>
      </c>
      <c r="S69" s="179" t="s">
        <v>0</v>
      </c>
      <c r="T69" s="179" t="s">
        <v>0</v>
      </c>
      <c r="U69" s="179" t="s">
        <v>0</v>
      </c>
      <c r="V69" s="179" t="s">
        <v>0</v>
      </c>
      <c r="W69" s="179" t="s">
        <v>0</v>
      </c>
      <c r="X69" s="179" t="s">
        <v>0</v>
      </c>
      <c r="Y69" s="179" t="s">
        <v>0</v>
      </c>
      <c r="Z69" s="179" t="s">
        <v>3</v>
      </c>
      <c r="AA69" s="179" t="s">
        <v>0</v>
      </c>
      <c r="AB69" s="179" t="s">
        <v>0</v>
      </c>
      <c r="AC69" s="179" t="s">
        <v>0</v>
      </c>
      <c r="AD69" s="179" t="s">
        <v>0</v>
      </c>
      <c r="AE69" s="179" t="s">
        <v>0</v>
      </c>
      <c r="AF69" s="179" t="s">
        <v>0</v>
      </c>
      <c r="AG69" s="179" t="s">
        <v>0</v>
      </c>
      <c r="AH69" s="179" t="s">
        <v>0</v>
      </c>
      <c r="AI69" s="179" t="s">
        <v>0</v>
      </c>
      <c r="AJ69" s="179" t="s">
        <v>0</v>
      </c>
      <c r="AK69" s="179" t="s">
        <v>0</v>
      </c>
      <c r="AL69" s="179" t="s">
        <v>0</v>
      </c>
      <c r="AM69" s="179" t="s">
        <v>0</v>
      </c>
      <c r="AN69" s="179" t="s">
        <v>0</v>
      </c>
      <c r="AO69" s="179" t="s">
        <v>0</v>
      </c>
      <c r="AP69" s="179" t="s">
        <v>0</v>
      </c>
      <c r="AQ69" s="179" t="s">
        <v>0</v>
      </c>
      <c r="AR69" s="179" t="s">
        <v>0</v>
      </c>
      <c r="AS69" s="179" t="s">
        <v>0</v>
      </c>
      <c r="AT69" s="179" t="s">
        <v>0</v>
      </c>
      <c r="AU69" s="179" t="s">
        <v>0</v>
      </c>
      <c r="AV69" s="179" t="s">
        <v>0</v>
      </c>
      <c r="AW69" s="179" t="s">
        <v>0</v>
      </c>
      <c r="AX69" s="179" t="s">
        <v>0</v>
      </c>
      <c r="AY69" s="179" t="s">
        <v>0</v>
      </c>
      <c r="AZ69" s="179" t="s">
        <v>0</v>
      </c>
      <c r="BA69" s="179" t="s">
        <v>0</v>
      </c>
      <c r="BB69" s="179" t="s">
        <v>0</v>
      </c>
      <c r="BC69" s="179" t="s">
        <v>0</v>
      </c>
      <c r="BD69" s="179" t="s">
        <v>0</v>
      </c>
      <c r="BE69" s="179" t="s">
        <v>0</v>
      </c>
      <c r="BF69" s="179" t="s">
        <v>0</v>
      </c>
      <c r="BG69" s="179" t="s">
        <v>0</v>
      </c>
      <c r="BH69" s="179" t="s">
        <v>0</v>
      </c>
      <c r="BI69" s="180" t="s">
        <v>4</v>
      </c>
      <c r="DL69">
        <f t="shared" si="106"/>
        <v>0</v>
      </c>
      <c r="DM69">
        <f t="shared" si="107"/>
        <v>0</v>
      </c>
      <c r="DN69">
        <f t="shared" si="108"/>
        <v>0</v>
      </c>
      <c r="DO69">
        <f t="shared" si="109"/>
        <v>0</v>
      </c>
      <c r="DP69">
        <f t="shared" si="110"/>
        <v>0</v>
      </c>
      <c r="DQ69">
        <f t="shared" si="111"/>
        <v>0</v>
      </c>
      <c r="DR69">
        <f t="shared" si="112"/>
        <v>0</v>
      </c>
      <c r="DS69">
        <f t="shared" si="113"/>
        <v>0</v>
      </c>
      <c r="DT69">
        <f t="shared" si="114"/>
        <v>0</v>
      </c>
      <c r="DU69">
        <f t="shared" si="115"/>
        <v>0</v>
      </c>
      <c r="DV69">
        <f t="shared" si="116"/>
        <v>0</v>
      </c>
      <c r="DW69">
        <f t="shared" si="117"/>
        <v>0</v>
      </c>
    </row>
    <row r="70" spans="1:127" x14ac:dyDescent="0.25">
      <c r="A70" s="22">
        <f t="shared" si="2"/>
        <v>64</v>
      </c>
      <c r="B70" s="59" t="str">
        <f t="shared" si="322"/>
        <v>F0013547811</v>
      </c>
      <c r="C70" s="214" t="str">
        <f t="shared" si="323"/>
        <v>82115-0EA00 L</v>
      </c>
      <c r="D70" s="58" t="e">
        <f>VLOOKUP(B70,'Timing Table'!B:G,6,0)</f>
        <v>#N/A</v>
      </c>
      <c r="E70" s="22" t="e">
        <f>VLOOKUP(B70,'Timing Table'!B:D,3,0)</f>
        <v>#N/A</v>
      </c>
      <c r="F70" s="155" t="s">
        <v>72</v>
      </c>
      <c r="G70" s="181">
        <v>2672</v>
      </c>
      <c r="H70" s="196" t="s">
        <v>413</v>
      </c>
      <c r="I70" s="197" t="s">
        <v>73</v>
      </c>
      <c r="J70" s="13">
        <v>46041</v>
      </c>
      <c r="K70" s="14">
        <v>46048</v>
      </c>
      <c r="L70" s="14">
        <v>46055</v>
      </c>
      <c r="M70" s="14">
        <v>46062</v>
      </c>
      <c r="N70" s="14">
        <v>46069</v>
      </c>
      <c r="O70" s="14">
        <v>46076</v>
      </c>
      <c r="P70" s="14">
        <v>46083</v>
      </c>
      <c r="Q70" s="14">
        <v>46090</v>
      </c>
      <c r="R70" s="14">
        <v>46097</v>
      </c>
      <c r="S70" s="14">
        <v>46104</v>
      </c>
      <c r="T70" s="14">
        <v>46111</v>
      </c>
      <c r="U70" s="14">
        <v>46118</v>
      </c>
      <c r="V70" s="14">
        <v>46125</v>
      </c>
      <c r="W70" s="14">
        <v>46132</v>
      </c>
      <c r="X70" s="14">
        <v>46139</v>
      </c>
      <c r="Y70" s="14">
        <v>46146</v>
      </c>
      <c r="Z70" s="14">
        <v>46153</v>
      </c>
      <c r="AA70" s="14">
        <v>46160</v>
      </c>
      <c r="AB70" s="14">
        <v>46167</v>
      </c>
      <c r="AC70" s="14">
        <v>46174</v>
      </c>
      <c r="AD70" s="14">
        <v>46181</v>
      </c>
      <c r="AE70" s="14">
        <v>46188</v>
      </c>
      <c r="AF70" s="14">
        <v>46195</v>
      </c>
      <c r="AG70" s="14">
        <v>46202</v>
      </c>
      <c r="AH70" s="14">
        <v>46209</v>
      </c>
      <c r="AI70" s="14">
        <v>46216</v>
      </c>
      <c r="AJ70" s="14">
        <v>46223</v>
      </c>
      <c r="AK70" s="14">
        <v>46230</v>
      </c>
      <c r="AL70" s="14">
        <v>46237</v>
      </c>
      <c r="AM70" s="14">
        <v>46244</v>
      </c>
      <c r="AN70" s="14">
        <v>46251</v>
      </c>
      <c r="AO70" s="14">
        <v>46258</v>
      </c>
      <c r="AP70" s="14">
        <v>46265</v>
      </c>
      <c r="AQ70" s="14">
        <v>46272</v>
      </c>
      <c r="AR70" s="14">
        <v>46279</v>
      </c>
      <c r="AS70" s="14">
        <v>46286</v>
      </c>
      <c r="AT70" s="14">
        <v>46293</v>
      </c>
      <c r="AU70" s="14">
        <v>46300</v>
      </c>
      <c r="AV70" s="14">
        <v>46307</v>
      </c>
      <c r="AW70" s="14">
        <v>46314</v>
      </c>
      <c r="AX70" s="14">
        <v>46321</v>
      </c>
      <c r="AY70" s="14">
        <v>46328</v>
      </c>
      <c r="AZ70" s="14">
        <v>46335</v>
      </c>
      <c r="BA70" s="14">
        <v>46342</v>
      </c>
      <c r="BB70" s="14">
        <v>46349</v>
      </c>
      <c r="BC70" s="14">
        <v>46356</v>
      </c>
      <c r="BD70" s="14">
        <v>46363</v>
      </c>
      <c r="BE70" s="14">
        <v>46370</v>
      </c>
      <c r="BF70" s="14">
        <v>46377</v>
      </c>
      <c r="BG70" s="14">
        <v>46384</v>
      </c>
      <c r="BH70" s="14">
        <v>46391</v>
      </c>
      <c r="BI70" s="15">
        <v>46398</v>
      </c>
      <c r="DL70">
        <f t="shared" si="106"/>
        <v>0</v>
      </c>
      <c r="DM70">
        <f t="shared" si="107"/>
        <v>0</v>
      </c>
      <c r="DN70">
        <f t="shared" si="108"/>
        <v>0</v>
      </c>
      <c r="DO70">
        <f t="shared" si="109"/>
        <v>0</v>
      </c>
      <c r="DP70">
        <f t="shared" si="110"/>
        <v>0</v>
      </c>
      <c r="DQ70">
        <f t="shared" si="111"/>
        <v>0</v>
      </c>
      <c r="DR70">
        <f t="shared" si="112"/>
        <v>0</v>
      </c>
      <c r="DS70">
        <f t="shared" si="113"/>
        <v>0</v>
      </c>
      <c r="DT70">
        <f t="shared" si="114"/>
        <v>0</v>
      </c>
      <c r="DU70">
        <f t="shared" si="115"/>
        <v>0</v>
      </c>
      <c r="DV70">
        <f t="shared" si="116"/>
        <v>0</v>
      </c>
      <c r="DW70">
        <f t="shared" si="117"/>
        <v>0</v>
      </c>
    </row>
    <row r="71" spans="1:127" x14ac:dyDescent="0.25">
      <c r="A71" s="22">
        <f t="shared" ref="A71:A134" si="375">+A70+1</f>
        <v>65</v>
      </c>
      <c r="B71" s="59" t="str">
        <f t="shared" si="322"/>
        <v>F0013547811</v>
      </c>
      <c r="C71" s="214" t="str">
        <f t="shared" si="323"/>
        <v>82115-0EA00 L</v>
      </c>
      <c r="D71" s="58" t="e">
        <f>VLOOKUP(B71,'Timing Table'!B:G,6,0)</f>
        <v>#N/A</v>
      </c>
      <c r="E71" s="22" t="e">
        <f>VLOOKUP(B71,'Timing Table'!B:D,3,0)</f>
        <v>#N/A</v>
      </c>
      <c r="F71" s="155" t="s">
        <v>74</v>
      </c>
      <c r="G71" s="181">
        <v>5040</v>
      </c>
      <c r="H71" s="5" t="s">
        <v>60</v>
      </c>
      <c r="I71" s="11" t="s">
        <v>147</v>
      </c>
      <c r="J71" s="16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17"/>
      <c r="DL71">
        <f t="shared" si="106"/>
        <v>0</v>
      </c>
      <c r="DM71">
        <f t="shared" si="107"/>
        <v>0</v>
      </c>
      <c r="DN71">
        <f t="shared" si="108"/>
        <v>0</v>
      </c>
      <c r="DO71">
        <f t="shared" si="109"/>
        <v>0</v>
      </c>
      <c r="DP71">
        <f t="shared" si="110"/>
        <v>0</v>
      </c>
      <c r="DQ71">
        <f t="shared" si="111"/>
        <v>0</v>
      </c>
      <c r="DR71">
        <f t="shared" si="112"/>
        <v>0</v>
      </c>
      <c r="DS71">
        <f t="shared" si="113"/>
        <v>0</v>
      </c>
      <c r="DT71">
        <f t="shared" si="114"/>
        <v>0</v>
      </c>
      <c r="DU71">
        <f t="shared" si="115"/>
        <v>0</v>
      </c>
      <c r="DV71">
        <f t="shared" si="116"/>
        <v>0</v>
      </c>
      <c r="DW71">
        <f t="shared" si="117"/>
        <v>0</v>
      </c>
    </row>
    <row r="72" spans="1:127" x14ac:dyDescent="0.25">
      <c r="A72" s="22">
        <f t="shared" si="375"/>
        <v>66</v>
      </c>
      <c r="B72" s="59" t="str">
        <f t="shared" si="322"/>
        <v>F0013547811</v>
      </c>
      <c r="C72" s="214" t="str">
        <f t="shared" si="323"/>
        <v>82115-0EA00 L</v>
      </c>
      <c r="D72" s="58" t="e">
        <f>VLOOKUP(B72,'Timing Table'!B:G,6,0)</f>
        <v>#N/A</v>
      </c>
      <c r="E72" s="22" t="e">
        <f>VLOOKUP(B72,'Timing Table'!B:D,3,0)</f>
        <v>#N/A</v>
      </c>
      <c r="F72" s="155" t="s">
        <v>75</v>
      </c>
      <c r="G72" s="198" t="s">
        <v>486</v>
      </c>
      <c r="H72" s="9" t="s">
        <v>172</v>
      </c>
      <c r="I72" s="11" t="s">
        <v>76</v>
      </c>
      <c r="J72" s="143">
        <v>272</v>
      </c>
      <c r="K72" s="64">
        <v>408</v>
      </c>
      <c r="L72" s="64">
        <v>292</v>
      </c>
      <c r="M72" s="64">
        <v>180</v>
      </c>
      <c r="N72" s="64">
        <v>240</v>
      </c>
      <c r="O72" s="64">
        <v>464</v>
      </c>
      <c r="P72" s="64">
        <v>768</v>
      </c>
      <c r="Q72" s="64">
        <v>48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144">
        <v>0</v>
      </c>
      <c r="BJ72" s="24" t="str">
        <f>+G69</f>
        <v>82115-0EA00 L</v>
      </c>
      <c r="BK72" s="24">
        <f>+J72</f>
        <v>272</v>
      </c>
      <c r="BL72" s="24">
        <f t="shared" ref="BL72" si="376">+K72</f>
        <v>408</v>
      </c>
      <c r="BM72" s="24">
        <f t="shared" ref="BM72" si="377">+L72</f>
        <v>292</v>
      </c>
      <c r="BN72" s="24">
        <f t="shared" ref="BN72" si="378">+M72</f>
        <v>180</v>
      </c>
      <c r="BO72" s="24">
        <f t="shared" ref="BO72" si="379">+N72</f>
        <v>240</v>
      </c>
      <c r="BP72" s="24">
        <f t="shared" ref="BP72" si="380">+O72</f>
        <v>464</v>
      </c>
      <c r="BQ72" s="24">
        <f t="shared" ref="BQ72" si="381">+P72</f>
        <v>768</v>
      </c>
      <c r="BR72" s="24">
        <f t="shared" ref="BR72" si="382">+Q72</f>
        <v>48</v>
      </c>
      <c r="BS72" s="24">
        <f t="shared" ref="BS72" si="383">+R72</f>
        <v>0</v>
      </c>
      <c r="BT72" s="24">
        <f t="shared" ref="BT72" si="384">+S72</f>
        <v>0</v>
      </c>
      <c r="BU72" s="24">
        <f t="shared" ref="BU72" si="385">+T72</f>
        <v>0</v>
      </c>
      <c r="BV72" s="24">
        <f t="shared" ref="BV72" si="386">+U72</f>
        <v>0</v>
      </c>
      <c r="BW72" s="24">
        <f t="shared" ref="BW72" si="387">+V72</f>
        <v>0</v>
      </c>
      <c r="BX72" s="24">
        <f t="shared" ref="BX72" si="388">+W72</f>
        <v>0</v>
      </c>
      <c r="BY72" s="24">
        <f t="shared" ref="BY72" si="389">+X72</f>
        <v>0</v>
      </c>
      <c r="BZ72" s="24">
        <f t="shared" ref="BZ72" si="390">+Y72</f>
        <v>0</v>
      </c>
      <c r="CA72" s="24">
        <f t="shared" ref="CA72" si="391">+Z72</f>
        <v>0</v>
      </c>
      <c r="CB72" s="24">
        <f t="shared" ref="CB72" si="392">+AA72</f>
        <v>0</v>
      </c>
      <c r="CC72" s="24">
        <f t="shared" ref="CC72" si="393">+AB72</f>
        <v>0</v>
      </c>
      <c r="CD72" s="24">
        <f t="shared" ref="CD72" si="394">+AC72</f>
        <v>0</v>
      </c>
      <c r="CE72" s="24">
        <f t="shared" ref="CE72" si="395">+AD72</f>
        <v>0</v>
      </c>
      <c r="CF72" s="24">
        <f t="shared" ref="CF72" si="396">+AE72</f>
        <v>0</v>
      </c>
      <c r="CG72" s="24">
        <f t="shared" ref="CG72" si="397">+AF72</f>
        <v>0</v>
      </c>
      <c r="CH72" s="24">
        <f t="shared" ref="CH72" si="398">+AG72</f>
        <v>0</v>
      </c>
      <c r="CI72" s="24">
        <f t="shared" ref="CI72" si="399">+AH72</f>
        <v>0</v>
      </c>
      <c r="CJ72" s="24">
        <f t="shared" ref="CJ72" si="400">+AI72</f>
        <v>0</v>
      </c>
      <c r="CK72" s="24">
        <f t="shared" ref="CK72" si="401">+AJ72</f>
        <v>0</v>
      </c>
      <c r="CL72" s="24">
        <f t="shared" ref="CL72" si="402">+AK72</f>
        <v>0</v>
      </c>
      <c r="CM72" s="24">
        <f t="shared" ref="CM72" si="403">+AL72</f>
        <v>0</v>
      </c>
      <c r="CN72" s="24">
        <f t="shared" ref="CN72" si="404">+AM72</f>
        <v>0</v>
      </c>
      <c r="CO72" s="24">
        <f t="shared" ref="CO72" si="405">+AN72</f>
        <v>0</v>
      </c>
      <c r="CP72" s="166">
        <f t="shared" ref="CP72" si="406">+AO72</f>
        <v>0</v>
      </c>
      <c r="CQ72" s="166">
        <f t="shared" ref="CQ72" si="407">+AP72</f>
        <v>0</v>
      </c>
      <c r="CR72">
        <f t="shared" ref="CR72" si="408">+AQ72</f>
        <v>0</v>
      </c>
      <c r="CS72">
        <f t="shared" ref="CS72" si="409">+AR72</f>
        <v>0</v>
      </c>
      <c r="CT72">
        <f t="shared" ref="CT72" si="410">+AS72</f>
        <v>0</v>
      </c>
      <c r="CU72">
        <f t="shared" ref="CU72" si="411">+AT72</f>
        <v>0</v>
      </c>
      <c r="CV72">
        <f t="shared" ref="CV72" si="412">+AU72</f>
        <v>0</v>
      </c>
      <c r="CW72">
        <f t="shared" ref="CW72" si="413">+AV72</f>
        <v>0</v>
      </c>
      <c r="CX72">
        <f t="shared" ref="CX72" si="414">+AW72</f>
        <v>0</v>
      </c>
      <c r="CY72">
        <f t="shared" ref="CY72" si="415">+AX72</f>
        <v>0</v>
      </c>
      <c r="CZ72">
        <f t="shared" ref="CZ72" si="416">+AY72</f>
        <v>0</v>
      </c>
      <c r="DA72">
        <f t="shared" ref="DA72" si="417">+AZ72</f>
        <v>0</v>
      </c>
      <c r="DB72">
        <f t="shared" ref="DB72" si="418">+BA72</f>
        <v>0</v>
      </c>
      <c r="DC72">
        <f t="shared" ref="DC72" si="419">+BB72</f>
        <v>0</v>
      </c>
      <c r="DD72">
        <f t="shared" ref="DD72" si="420">+BC72</f>
        <v>0</v>
      </c>
      <c r="DE72">
        <f t="shared" ref="DE72" si="421">+BD72</f>
        <v>0</v>
      </c>
      <c r="DF72">
        <f t="shared" ref="DF72" si="422">+BE72</f>
        <v>0</v>
      </c>
      <c r="DG72">
        <f t="shared" ref="DG72" si="423">+BF72</f>
        <v>0</v>
      </c>
      <c r="DH72">
        <f t="shared" ref="DH72" si="424">+BG72</f>
        <v>0</v>
      </c>
      <c r="DI72">
        <f t="shared" ref="DI72" si="425">+BH72</f>
        <v>0</v>
      </c>
      <c r="DJ72">
        <f t="shared" ref="DJ72" si="426">+BI72</f>
        <v>0</v>
      </c>
      <c r="DL72" s="24">
        <f t="shared" si="106"/>
        <v>680</v>
      </c>
      <c r="DM72" s="24">
        <f t="shared" si="107"/>
        <v>1176</v>
      </c>
      <c r="DN72" s="24">
        <f t="shared" si="108"/>
        <v>816</v>
      </c>
      <c r="DO72" s="24">
        <f t="shared" si="109"/>
        <v>0</v>
      </c>
      <c r="DP72" s="24">
        <f t="shared" si="110"/>
        <v>0</v>
      </c>
      <c r="DQ72" s="24">
        <f t="shared" si="111"/>
        <v>0</v>
      </c>
      <c r="DR72" s="24">
        <f t="shared" si="112"/>
        <v>0</v>
      </c>
      <c r="DS72" s="24">
        <f t="shared" si="113"/>
        <v>0</v>
      </c>
      <c r="DT72" s="24">
        <f t="shared" si="114"/>
        <v>0</v>
      </c>
      <c r="DU72">
        <f t="shared" si="115"/>
        <v>0</v>
      </c>
      <c r="DV72">
        <f t="shared" si="116"/>
        <v>0</v>
      </c>
      <c r="DW72">
        <f t="shared" si="117"/>
        <v>0</v>
      </c>
    </row>
    <row r="73" spans="1:127" x14ac:dyDescent="0.25">
      <c r="A73" s="22">
        <f t="shared" si="375"/>
        <v>67</v>
      </c>
      <c r="B73" s="59" t="str">
        <f t="shared" si="322"/>
        <v>F0013547811</v>
      </c>
      <c r="C73" s="214" t="str">
        <f t="shared" si="323"/>
        <v>82115-0EA00 L</v>
      </c>
      <c r="D73" s="58" t="e">
        <f>VLOOKUP(B73,'Timing Table'!B:G,6,0)</f>
        <v>#N/A</v>
      </c>
      <c r="E73" s="22" t="e">
        <f>VLOOKUP(B73,'Timing Table'!B:D,3,0)</f>
        <v>#N/A</v>
      </c>
      <c r="F73" s="155" t="s">
        <v>77</v>
      </c>
      <c r="G73" s="181">
        <v>82115</v>
      </c>
      <c r="H73" s="10" t="s">
        <v>172</v>
      </c>
      <c r="I73" s="12" t="s">
        <v>78</v>
      </c>
      <c r="J73" s="152">
        <v>272</v>
      </c>
      <c r="K73" s="153">
        <v>680</v>
      </c>
      <c r="L73" s="153">
        <v>972</v>
      </c>
      <c r="M73" s="153">
        <v>1152</v>
      </c>
      <c r="N73" s="153">
        <v>1392</v>
      </c>
      <c r="O73" s="153">
        <v>1856</v>
      </c>
      <c r="P73" s="153">
        <v>2624</v>
      </c>
      <c r="Q73" s="153">
        <v>2672</v>
      </c>
      <c r="R73" s="153">
        <v>2672</v>
      </c>
      <c r="S73" s="153">
        <v>2672</v>
      </c>
      <c r="T73" s="153">
        <v>2672</v>
      </c>
      <c r="U73" s="153">
        <v>2672</v>
      </c>
      <c r="V73" s="153">
        <v>2672</v>
      </c>
      <c r="W73" s="153">
        <v>2672</v>
      </c>
      <c r="X73" s="153">
        <v>2672</v>
      </c>
      <c r="Y73" s="153">
        <v>2672</v>
      </c>
      <c r="Z73" s="153">
        <v>2672</v>
      </c>
      <c r="AA73" s="153">
        <v>2672</v>
      </c>
      <c r="AB73" s="153">
        <v>2672</v>
      </c>
      <c r="AC73" s="153">
        <v>2672</v>
      </c>
      <c r="AD73" s="153">
        <v>2672</v>
      </c>
      <c r="AE73" s="153">
        <v>2672</v>
      </c>
      <c r="AF73" s="153">
        <v>2672</v>
      </c>
      <c r="AG73" s="153">
        <v>2672</v>
      </c>
      <c r="AH73" s="153">
        <v>2672</v>
      </c>
      <c r="AI73" s="153">
        <v>2672</v>
      </c>
      <c r="AJ73" s="153">
        <v>2672</v>
      </c>
      <c r="AK73" s="153">
        <v>2672</v>
      </c>
      <c r="AL73" s="153">
        <v>2672</v>
      </c>
      <c r="AM73" s="153">
        <v>2672</v>
      </c>
      <c r="AN73" s="153">
        <v>2672</v>
      </c>
      <c r="AO73" s="153">
        <v>2672</v>
      </c>
      <c r="AP73" s="153">
        <v>2672</v>
      </c>
      <c r="AQ73" s="153">
        <v>2672</v>
      </c>
      <c r="AR73" s="153">
        <v>2672</v>
      </c>
      <c r="AS73" s="153">
        <v>2672</v>
      </c>
      <c r="AT73" s="153">
        <v>2672</v>
      </c>
      <c r="AU73" s="153">
        <v>2672</v>
      </c>
      <c r="AV73" s="153">
        <v>2672</v>
      </c>
      <c r="AW73" s="153">
        <v>2672</v>
      </c>
      <c r="AX73" s="153">
        <v>2672</v>
      </c>
      <c r="AY73" s="153">
        <v>2672</v>
      </c>
      <c r="AZ73" s="153">
        <v>2672</v>
      </c>
      <c r="BA73" s="153">
        <v>2672</v>
      </c>
      <c r="BB73" s="153">
        <v>2672</v>
      </c>
      <c r="BC73" s="153">
        <v>2672</v>
      </c>
      <c r="BD73" s="153">
        <v>2672</v>
      </c>
      <c r="BE73" s="153">
        <v>2672</v>
      </c>
      <c r="BF73" s="153">
        <v>2672</v>
      </c>
      <c r="BG73" s="153">
        <v>2672</v>
      </c>
      <c r="BH73" s="153">
        <v>2672</v>
      </c>
      <c r="BI73" s="153">
        <v>2672</v>
      </c>
      <c r="DL73">
        <f t="shared" si="106"/>
        <v>0</v>
      </c>
      <c r="DM73">
        <f t="shared" si="107"/>
        <v>0</v>
      </c>
      <c r="DN73">
        <f t="shared" si="108"/>
        <v>0</v>
      </c>
      <c r="DO73">
        <f t="shared" si="109"/>
        <v>0</v>
      </c>
      <c r="DP73">
        <f t="shared" si="110"/>
        <v>0</v>
      </c>
      <c r="DQ73">
        <f t="shared" si="111"/>
        <v>0</v>
      </c>
      <c r="DR73">
        <f t="shared" si="112"/>
        <v>0</v>
      </c>
      <c r="DS73">
        <f t="shared" si="113"/>
        <v>0</v>
      </c>
      <c r="DT73">
        <f t="shared" si="114"/>
        <v>0</v>
      </c>
      <c r="DU73">
        <f t="shared" si="115"/>
        <v>0</v>
      </c>
      <c r="DV73">
        <f t="shared" si="116"/>
        <v>0</v>
      </c>
      <c r="DW73">
        <f t="shared" si="117"/>
        <v>0</v>
      </c>
    </row>
    <row r="74" spans="1:127" x14ac:dyDescent="0.25">
      <c r="A74" s="22">
        <f t="shared" si="375"/>
        <v>68</v>
      </c>
      <c r="B74" s="59" t="str">
        <f t="shared" si="322"/>
        <v>F0013547811</v>
      </c>
      <c r="C74" s="214" t="str">
        <f t="shared" si="323"/>
        <v>82115-0EA00 L</v>
      </c>
      <c r="D74" s="58" t="e">
        <f>VLOOKUP(B74,'Timing Table'!B:G,6,0)</f>
        <v>#N/A</v>
      </c>
      <c r="E74" s="22" t="e">
        <f>VLOOKUP(B74,'Timing Table'!B:D,3,0)</f>
        <v>#N/A</v>
      </c>
      <c r="F74" s="155" t="s">
        <v>79</v>
      </c>
      <c r="G74" s="199">
        <v>0</v>
      </c>
      <c r="H74" s="184" t="s">
        <v>80</v>
      </c>
      <c r="I74" s="185"/>
      <c r="J74" s="200"/>
      <c r="K74" s="156"/>
      <c r="L74" s="157" t="s">
        <v>0</v>
      </c>
      <c r="M74" s="157" t="s">
        <v>0</v>
      </c>
      <c r="N74" s="157" t="s">
        <v>0</v>
      </c>
      <c r="O74" s="157" t="s">
        <v>0</v>
      </c>
      <c r="P74" s="157" t="s">
        <v>0</v>
      </c>
      <c r="Q74" s="157">
        <v>-0.9375</v>
      </c>
      <c r="R74" s="157" t="s">
        <v>0</v>
      </c>
      <c r="S74" s="157" t="s">
        <v>0</v>
      </c>
      <c r="T74" s="157" t="s">
        <v>0</v>
      </c>
      <c r="U74" s="157" t="s">
        <v>0</v>
      </c>
      <c r="V74" s="157" t="s">
        <v>0</v>
      </c>
      <c r="W74" s="157" t="s">
        <v>0</v>
      </c>
      <c r="X74" s="157" t="s">
        <v>0</v>
      </c>
      <c r="Y74" s="157" t="s">
        <v>0</v>
      </c>
      <c r="Z74" s="157" t="s">
        <v>0</v>
      </c>
      <c r="AA74" s="157" t="s">
        <v>0</v>
      </c>
      <c r="AB74" s="157" t="s">
        <v>0</v>
      </c>
      <c r="AC74" s="157" t="s">
        <v>0</v>
      </c>
      <c r="AD74" s="157" t="s">
        <v>0</v>
      </c>
      <c r="AE74" s="157" t="s">
        <v>0</v>
      </c>
      <c r="AF74" s="157" t="s">
        <v>0</v>
      </c>
      <c r="AG74" s="157" t="s">
        <v>0</v>
      </c>
      <c r="AH74" s="157" t="s">
        <v>0</v>
      </c>
      <c r="AI74" s="157" t="s">
        <v>0</v>
      </c>
      <c r="AJ74" s="157" t="s">
        <v>0</v>
      </c>
      <c r="AK74" s="157" t="s">
        <v>0</v>
      </c>
      <c r="AL74" s="157" t="s">
        <v>0</v>
      </c>
      <c r="AM74" s="157" t="s">
        <v>0</v>
      </c>
      <c r="AN74" s="157" t="s">
        <v>0</v>
      </c>
      <c r="AO74" s="157" t="s">
        <v>0</v>
      </c>
      <c r="AP74" s="157" t="s">
        <v>0</v>
      </c>
      <c r="AQ74" s="157" t="s">
        <v>0</v>
      </c>
      <c r="AR74" s="157" t="s">
        <v>0</v>
      </c>
      <c r="AS74" s="157" t="s">
        <v>0</v>
      </c>
      <c r="AT74" s="157" t="s">
        <v>0</v>
      </c>
      <c r="AU74" s="157" t="s">
        <v>0</v>
      </c>
      <c r="AV74" s="157" t="s">
        <v>0</v>
      </c>
      <c r="AW74" s="157" t="s">
        <v>0</v>
      </c>
      <c r="AX74" s="157" t="s">
        <v>0</v>
      </c>
      <c r="AY74" s="157" t="s">
        <v>0</v>
      </c>
      <c r="AZ74" s="157" t="s">
        <v>0</v>
      </c>
      <c r="BA74" s="157" t="s">
        <v>0</v>
      </c>
      <c r="BB74" s="157" t="s">
        <v>0</v>
      </c>
      <c r="BC74" s="157" t="s">
        <v>0</v>
      </c>
      <c r="BD74" s="157" t="s">
        <v>0</v>
      </c>
      <c r="BE74" s="157" t="s">
        <v>0</v>
      </c>
      <c r="BF74" s="157" t="s">
        <v>0</v>
      </c>
      <c r="BG74" s="157" t="s">
        <v>0</v>
      </c>
      <c r="BH74" s="157" t="s">
        <v>0</v>
      </c>
      <c r="BI74" s="158"/>
      <c r="DL74">
        <f t="shared" si="106"/>
        <v>0</v>
      </c>
      <c r="DM74">
        <f t="shared" si="107"/>
        <v>0</v>
      </c>
      <c r="DN74">
        <f t="shared" si="108"/>
        <v>0</v>
      </c>
      <c r="DO74">
        <f t="shared" si="109"/>
        <v>0</v>
      </c>
      <c r="DP74">
        <f t="shared" si="110"/>
        <v>0</v>
      </c>
      <c r="DQ74">
        <f t="shared" si="111"/>
        <v>0</v>
      </c>
      <c r="DR74">
        <f t="shared" si="112"/>
        <v>0</v>
      </c>
      <c r="DS74">
        <f t="shared" si="113"/>
        <v>0</v>
      </c>
      <c r="DT74">
        <f t="shared" si="114"/>
        <v>0</v>
      </c>
      <c r="DU74">
        <f t="shared" si="115"/>
        <v>0</v>
      </c>
      <c r="DV74">
        <f t="shared" si="116"/>
        <v>0</v>
      </c>
      <c r="DW74">
        <f t="shared" si="117"/>
        <v>0</v>
      </c>
    </row>
    <row r="75" spans="1:127" x14ac:dyDescent="0.25">
      <c r="A75" s="22">
        <f t="shared" si="375"/>
        <v>69</v>
      </c>
      <c r="B75" s="59" t="str">
        <f t="shared" si="322"/>
        <v>F0013547811</v>
      </c>
      <c r="C75" s="214" t="str">
        <f>IF(F75=$F$7,#REF!,C74)</f>
        <v>82115-0EA00 L</v>
      </c>
      <c r="D75" s="58" t="e">
        <f>VLOOKUP(B75,'Timing Table'!B:G,6,0)</f>
        <v>#N/A</v>
      </c>
      <c r="E75" s="22" t="e">
        <f>VLOOKUP(B75,'Timing Table'!B:D,3,0)</f>
        <v>#N/A</v>
      </c>
      <c r="F75" s="159" t="s">
        <v>81</v>
      </c>
      <c r="G75" s="160" t="s">
        <v>60</v>
      </c>
      <c r="H75" s="201" t="s">
        <v>60</v>
      </c>
      <c r="I75" s="183" t="s">
        <v>60</v>
      </c>
      <c r="J75" s="183" t="s">
        <v>0</v>
      </c>
      <c r="K75" s="183" t="s">
        <v>0</v>
      </c>
      <c r="L75" s="183" t="s">
        <v>0</v>
      </c>
      <c r="M75" s="183" t="s">
        <v>0</v>
      </c>
      <c r="N75" s="183" t="s">
        <v>0</v>
      </c>
      <c r="O75" s="183" t="s">
        <v>0</v>
      </c>
      <c r="P75" s="183" t="s">
        <v>0</v>
      </c>
      <c r="Q75" s="183" t="s">
        <v>512</v>
      </c>
      <c r="R75" s="183"/>
      <c r="S75" s="183" t="s">
        <v>0</v>
      </c>
      <c r="T75" s="183" t="s">
        <v>0</v>
      </c>
      <c r="U75" s="183" t="s">
        <v>0</v>
      </c>
      <c r="V75" s="183" t="s">
        <v>0</v>
      </c>
      <c r="W75" s="183" t="s">
        <v>0</v>
      </c>
      <c r="X75" s="183" t="s">
        <v>0</v>
      </c>
      <c r="Y75" s="183" t="s">
        <v>0</v>
      </c>
      <c r="Z75" s="183" t="s">
        <v>0</v>
      </c>
      <c r="AA75" s="183" t="s">
        <v>0</v>
      </c>
      <c r="AB75" s="183" t="s">
        <v>0</v>
      </c>
      <c r="AC75" s="183" t="s">
        <v>0</v>
      </c>
      <c r="AD75" s="183" t="s">
        <v>0</v>
      </c>
      <c r="AE75" s="183" t="s">
        <v>0</v>
      </c>
      <c r="AF75" s="183" t="s">
        <v>0</v>
      </c>
      <c r="AG75" s="183" t="s">
        <v>0</v>
      </c>
      <c r="AH75" s="183" t="s">
        <v>0</v>
      </c>
      <c r="AI75" s="183" t="s">
        <v>0</v>
      </c>
      <c r="AJ75" s="183" t="s">
        <v>0</v>
      </c>
      <c r="AK75" s="183" t="s">
        <v>0</v>
      </c>
      <c r="AL75" s="183" t="s">
        <v>0</v>
      </c>
      <c r="AM75" s="183" t="s">
        <v>0</v>
      </c>
      <c r="AN75" s="183" t="s">
        <v>0</v>
      </c>
      <c r="AO75" s="183" t="s">
        <v>0</v>
      </c>
      <c r="AP75" s="183" t="s">
        <v>0</v>
      </c>
      <c r="AQ75" s="183" t="s">
        <v>0</v>
      </c>
      <c r="AR75" s="183" t="s">
        <v>0</v>
      </c>
      <c r="AS75" s="183" t="s">
        <v>0</v>
      </c>
      <c r="AT75" s="183" t="s">
        <v>0</v>
      </c>
      <c r="AU75" s="183" t="s">
        <v>0</v>
      </c>
      <c r="AV75" s="183" t="s">
        <v>0</v>
      </c>
      <c r="AW75" s="183" t="s">
        <v>0</v>
      </c>
      <c r="AX75" s="183" t="s">
        <v>0</v>
      </c>
      <c r="AY75" s="183" t="s">
        <v>0</v>
      </c>
      <c r="AZ75" s="183" t="s">
        <v>0</v>
      </c>
      <c r="BA75" s="183" t="s">
        <v>0</v>
      </c>
      <c r="BB75" s="183" t="s">
        <v>0</v>
      </c>
      <c r="BC75" s="183" t="s">
        <v>0</v>
      </c>
      <c r="BD75" s="183" t="s">
        <v>0</v>
      </c>
      <c r="BE75" s="183" t="s">
        <v>0</v>
      </c>
      <c r="BF75" s="183" t="s">
        <v>0</v>
      </c>
      <c r="BG75" s="183" t="s">
        <v>0</v>
      </c>
      <c r="BH75" s="183" t="s">
        <v>0</v>
      </c>
      <c r="BI75" s="161"/>
      <c r="DL75">
        <f t="shared" si="106"/>
        <v>0</v>
      </c>
      <c r="DM75">
        <f t="shared" si="107"/>
        <v>0</v>
      </c>
      <c r="DN75">
        <f t="shared" si="108"/>
        <v>0</v>
      </c>
      <c r="DO75">
        <f t="shared" si="109"/>
        <v>0</v>
      </c>
      <c r="DP75">
        <f t="shared" si="110"/>
        <v>0</v>
      </c>
      <c r="DQ75">
        <f t="shared" si="111"/>
        <v>0</v>
      </c>
      <c r="DR75">
        <f t="shared" si="112"/>
        <v>0</v>
      </c>
      <c r="DS75">
        <f t="shared" si="113"/>
        <v>0</v>
      </c>
      <c r="DT75">
        <f t="shared" si="114"/>
        <v>0</v>
      </c>
      <c r="DU75">
        <f t="shared" si="115"/>
        <v>0</v>
      </c>
      <c r="DV75">
        <f t="shared" si="116"/>
        <v>0</v>
      </c>
      <c r="DW75">
        <f t="shared" si="117"/>
        <v>0</v>
      </c>
    </row>
    <row r="76" spans="1:127" x14ac:dyDescent="0.25">
      <c r="A76" s="22">
        <f t="shared" si="375"/>
        <v>70</v>
      </c>
      <c r="B76" s="59" t="str">
        <f>IF(F76=$F$7,#REF!,B75)</f>
        <v>F0013547811</v>
      </c>
      <c r="C76" s="214" t="str">
        <f>IF(F76=$F$7,#REF!,C75)</f>
        <v>82115-0EA00 L</v>
      </c>
      <c r="D76" s="58" t="e">
        <f>VLOOKUP(B76,'Timing Table'!B:G,6,0)</f>
        <v>#N/A</v>
      </c>
      <c r="E76" s="22" t="e">
        <f>VLOOKUP(B76,'Timing Table'!B:D,3,0)</f>
        <v>#N/A</v>
      </c>
      <c r="F76" s="188" t="s">
        <v>60</v>
      </c>
      <c r="G76" s="162" t="s">
        <v>60</v>
      </c>
      <c r="H76" s="163" t="s">
        <v>60</v>
      </c>
      <c r="I76" s="164" t="s">
        <v>60</v>
      </c>
      <c r="J76" s="164" t="s">
        <v>0</v>
      </c>
      <c r="K76" s="164" t="s">
        <v>0</v>
      </c>
      <c r="L76" s="164" t="s">
        <v>0</v>
      </c>
      <c r="M76" s="164" t="s">
        <v>0</v>
      </c>
      <c r="N76" s="164" t="s">
        <v>0</v>
      </c>
      <c r="O76" s="164" t="s">
        <v>0</v>
      </c>
      <c r="P76" s="164" t="s">
        <v>0</v>
      </c>
      <c r="Q76" s="164" t="s">
        <v>0</v>
      </c>
      <c r="R76" s="164" t="s">
        <v>0</v>
      </c>
      <c r="S76" s="164" t="s">
        <v>0</v>
      </c>
      <c r="T76" s="164" t="s">
        <v>0</v>
      </c>
      <c r="U76" s="164" t="s">
        <v>0</v>
      </c>
      <c r="V76" s="164" t="s">
        <v>0</v>
      </c>
      <c r="W76" s="164" t="s">
        <v>0</v>
      </c>
      <c r="X76" s="164" t="s">
        <v>0</v>
      </c>
      <c r="Y76" s="164" t="s">
        <v>0</v>
      </c>
      <c r="Z76" s="164" t="s">
        <v>0</v>
      </c>
      <c r="AA76" s="164" t="s">
        <v>0</v>
      </c>
      <c r="AB76" s="164" t="s">
        <v>0</v>
      </c>
      <c r="AC76" s="164" t="s">
        <v>0</v>
      </c>
      <c r="AD76" s="164" t="s">
        <v>0</v>
      </c>
      <c r="AE76" s="164" t="s">
        <v>0</v>
      </c>
      <c r="AF76" s="164" t="s">
        <v>0</v>
      </c>
      <c r="AG76" s="164" t="s">
        <v>0</v>
      </c>
      <c r="AH76" s="164" t="s">
        <v>0</v>
      </c>
      <c r="AI76" s="164" t="s">
        <v>0</v>
      </c>
      <c r="AJ76" s="164" t="s">
        <v>0</v>
      </c>
      <c r="AK76" s="164" t="s">
        <v>0</v>
      </c>
      <c r="AL76" s="164" t="s">
        <v>0</v>
      </c>
      <c r="AM76" s="164" t="s">
        <v>0</v>
      </c>
      <c r="AN76" s="164" t="s">
        <v>0</v>
      </c>
      <c r="AO76" s="164" t="s">
        <v>0</v>
      </c>
      <c r="AP76" s="164" t="s">
        <v>0</v>
      </c>
      <c r="AQ76" s="164" t="s">
        <v>0</v>
      </c>
      <c r="AR76" s="164" t="s">
        <v>0</v>
      </c>
      <c r="AS76" s="164" t="s">
        <v>0</v>
      </c>
      <c r="AT76" s="164" t="s">
        <v>0</v>
      </c>
      <c r="AU76" s="164" t="s">
        <v>0</v>
      </c>
      <c r="AV76" s="164" t="s">
        <v>0</v>
      </c>
      <c r="AW76" s="164" t="s">
        <v>0</v>
      </c>
      <c r="AX76" s="164" t="s">
        <v>0</v>
      </c>
      <c r="AY76" s="164" t="s">
        <v>0</v>
      </c>
      <c r="AZ76" s="164" t="s">
        <v>0</v>
      </c>
      <c r="BA76" s="164" t="s">
        <v>0</v>
      </c>
      <c r="BB76" s="164" t="s">
        <v>0</v>
      </c>
      <c r="BC76" s="164" t="s">
        <v>0</v>
      </c>
      <c r="BD76" s="164" t="s">
        <v>0</v>
      </c>
      <c r="BE76" s="164" t="s">
        <v>0</v>
      </c>
      <c r="BF76" s="164" t="s">
        <v>0</v>
      </c>
      <c r="BG76" s="164" t="s">
        <v>0</v>
      </c>
      <c r="BH76" s="164" t="s">
        <v>0</v>
      </c>
      <c r="BI76" s="189"/>
      <c r="DL76">
        <f t="shared" si="106"/>
        <v>0</v>
      </c>
      <c r="DM76">
        <f t="shared" si="107"/>
        <v>0</v>
      </c>
      <c r="DN76">
        <f t="shared" si="108"/>
        <v>0</v>
      </c>
      <c r="DO76">
        <f t="shared" si="109"/>
        <v>0</v>
      </c>
      <c r="DP76">
        <f t="shared" si="110"/>
        <v>0</v>
      </c>
      <c r="DQ76">
        <f t="shared" si="111"/>
        <v>0</v>
      </c>
      <c r="DR76">
        <f t="shared" si="112"/>
        <v>0</v>
      </c>
      <c r="DS76">
        <f t="shared" si="113"/>
        <v>0</v>
      </c>
      <c r="DT76">
        <f t="shared" si="114"/>
        <v>0</v>
      </c>
      <c r="DU76">
        <f t="shared" si="115"/>
        <v>0</v>
      </c>
      <c r="DV76">
        <f t="shared" si="116"/>
        <v>0</v>
      </c>
      <c r="DW76">
        <f t="shared" si="117"/>
        <v>0</v>
      </c>
    </row>
    <row r="77" spans="1:127" x14ac:dyDescent="0.25">
      <c r="A77" s="22">
        <f t="shared" si="375"/>
        <v>71</v>
      </c>
      <c r="B77" s="59" t="str">
        <f>IF(F77=$F$7,G78,#REF!)</f>
        <v>F0013547812</v>
      </c>
      <c r="C77" s="214" t="str">
        <f>IF(F77=$F$7,G79,#REF!)</f>
        <v>82115-0EA00 M</v>
      </c>
      <c r="D77" s="58" t="e">
        <f>VLOOKUP(B77,'Timing Table'!B:G,6,0)</f>
        <v>#N/A</v>
      </c>
      <c r="E77" s="22" t="e">
        <f>VLOOKUP(B77,'Timing Table'!B:D,3,0)</f>
        <v>#N/A</v>
      </c>
      <c r="F77" s="155" t="s">
        <v>61</v>
      </c>
      <c r="G77" s="181">
        <v>5501060666</v>
      </c>
      <c r="H77" s="155" t="s">
        <v>62</v>
      </c>
      <c r="I77" s="181">
        <v>18</v>
      </c>
      <c r="J77" s="155" t="s">
        <v>63</v>
      </c>
      <c r="K77" s="160">
        <v>1210847</v>
      </c>
      <c r="L77" s="161"/>
      <c r="M77" s="190" t="s">
        <v>64</v>
      </c>
      <c r="N77" s="191"/>
      <c r="O77" s="192">
        <v>46086</v>
      </c>
      <c r="P77" s="155" t="s">
        <v>65</v>
      </c>
      <c r="Q77" s="181">
        <v>4</v>
      </c>
      <c r="R77" s="6" t="s">
        <v>0</v>
      </c>
      <c r="S77" s="7" t="s">
        <v>0</v>
      </c>
      <c r="T77" s="7" t="s">
        <v>0</v>
      </c>
      <c r="U77" s="7" t="s">
        <v>0</v>
      </c>
      <c r="V77" s="7" t="s">
        <v>0</v>
      </c>
      <c r="W77" s="7" t="s">
        <v>0</v>
      </c>
      <c r="X77" s="7" t="s">
        <v>0</v>
      </c>
      <c r="Y77" s="7" t="s">
        <v>0</v>
      </c>
      <c r="Z77" s="7" t="s">
        <v>0</v>
      </c>
      <c r="AA77" s="7" t="s">
        <v>0</v>
      </c>
      <c r="AB77" s="7" t="s">
        <v>0</v>
      </c>
      <c r="AC77" s="7" t="s">
        <v>0</v>
      </c>
      <c r="AD77" s="7" t="s">
        <v>0</v>
      </c>
      <c r="AE77" s="7" t="s">
        <v>0</v>
      </c>
      <c r="AF77" s="7" t="s">
        <v>0</v>
      </c>
      <c r="AG77" s="7" t="s">
        <v>0</v>
      </c>
      <c r="AH77" s="7" t="s">
        <v>0</v>
      </c>
      <c r="AI77" s="7" t="s">
        <v>0</v>
      </c>
      <c r="AJ77" s="7" t="s">
        <v>0</v>
      </c>
      <c r="AK77" s="7" t="s">
        <v>0</v>
      </c>
      <c r="AL77" s="7" t="s">
        <v>0</v>
      </c>
      <c r="AM77" s="7" t="s">
        <v>0</v>
      </c>
      <c r="AN77" s="7" t="s">
        <v>0</v>
      </c>
      <c r="AO77" s="7" t="s">
        <v>0</v>
      </c>
      <c r="AP77" s="7" t="s">
        <v>0</v>
      </c>
      <c r="AQ77" s="7" t="s">
        <v>0</v>
      </c>
      <c r="AR77" s="7" t="s">
        <v>0</v>
      </c>
      <c r="AS77" s="7" t="s">
        <v>0</v>
      </c>
      <c r="AT77" s="7" t="s">
        <v>0</v>
      </c>
      <c r="AU77" s="7" t="s">
        <v>0</v>
      </c>
      <c r="AV77" s="7" t="s">
        <v>0</v>
      </c>
      <c r="AW77" s="7" t="s">
        <v>0</v>
      </c>
      <c r="AX77" s="7" t="s">
        <v>0</v>
      </c>
      <c r="AY77" s="7" t="s">
        <v>0</v>
      </c>
      <c r="AZ77" s="7" t="s">
        <v>0</v>
      </c>
      <c r="BA77" s="7" t="s">
        <v>0</v>
      </c>
      <c r="BB77" s="7" t="s">
        <v>0</v>
      </c>
      <c r="BC77" s="7" t="s">
        <v>0</v>
      </c>
      <c r="BD77" s="7" t="s">
        <v>0</v>
      </c>
      <c r="BE77" s="7" t="s">
        <v>0</v>
      </c>
      <c r="BF77" s="7" t="s">
        <v>0</v>
      </c>
      <c r="BG77" s="7" t="s">
        <v>0</v>
      </c>
      <c r="BH77" s="7" t="s">
        <v>0</v>
      </c>
      <c r="BI77" s="8"/>
      <c r="DL77">
        <f t="shared" ref="DL77:DL140" si="427">SUM(BK77:BL77)</f>
        <v>0</v>
      </c>
      <c r="DM77">
        <f t="shared" ref="DM77:DM140" si="428">SUM(BM77:BP77)</f>
        <v>0</v>
      </c>
      <c r="DN77">
        <f t="shared" ref="DN77:DN140" si="429">SUM(BQ77:BT77)</f>
        <v>0</v>
      </c>
      <c r="DO77">
        <f t="shared" ref="DO77:DO140" si="430">SUM(BU77:BY77)</f>
        <v>0</v>
      </c>
      <c r="DP77">
        <f t="shared" ref="DP77:DP140" si="431">SUM(BZ77:CC77)</f>
        <v>0</v>
      </c>
      <c r="DQ77">
        <f t="shared" ref="DQ77:DQ140" si="432">SUM(CD77:CG77)</f>
        <v>0</v>
      </c>
      <c r="DR77">
        <f t="shared" ref="DR77:DR140" si="433">SUM(CH77:CL77)</f>
        <v>0</v>
      </c>
      <c r="DS77">
        <f t="shared" ref="DS77:DS140" si="434">SUM(CM77:CP77)</f>
        <v>0</v>
      </c>
      <c r="DT77">
        <f t="shared" ref="DT77:DT140" si="435">SUM(CQ77:CU77)</f>
        <v>0</v>
      </c>
      <c r="DU77">
        <f t="shared" ref="DU77:DU140" si="436">SUM(CV77:CY77)</f>
        <v>0</v>
      </c>
      <c r="DV77">
        <f t="shared" ref="DV77:DV140" si="437">SUM(CZ77:DC77)</f>
        <v>0</v>
      </c>
      <c r="DW77">
        <f t="shared" ref="DW77:DW140" si="438">SUM(DD77:DH77)</f>
        <v>0</v>
      </c>
    </row>
    <row r="78" spans="1:127" x14ac:dyDescent="0.25">
      <c r="A78" s="22">
        <f t="shared" si="375"/>
        <v>72</v>
      </c>
      <c r="B78" s="59" t="str">
        <f t="shared" ref="B78:B115" si="439">IF(F78=$F$7,G79,B77)</f>
        <v>F0013547812</v>
      </c>
      <c r="C78" s="214" t="str">
        <f t="shared" ref="C78:C114" si="440">IF(F78=$F$7,G80,C77)</f>
        <v>82115-0EA00 M</v>
      </c>
      <c r="D78" s="58" t="e">
        <f>VLOOKUP(B78,'Timing Table'!B:G,6,0)</f>
        <v>#N/A</v>
      </c>
      <c r="E78" s="22" t="e">
        <f>VLOOKUP(B78,'Timing Table'!B:D,3,0)</f>
        <v>#N/A</v>
      </c>
      <c r="F78" s="155" t="s">
        <v>66</v>
      </c>
      <c r="G78" s="181" t="s">
        <v>456</v>
      </c>
      <c r="H78" s="155" t="s">
        <v>67</v>
      </c>
      <c r="I78" s="182" t="s">
        <v>457</v>
      </c>
      <c r="J78" s="183"/>
      <c r="K78" s="183"/>
      <c r="L78" s="161"/>
      <c r="M78" s="155" t="s">
        <v>68</v>
      </c>
      <c r="N78" s="181">
        <v>2025</v>
      </c>
      <c r="O78" s="184" t="s">
        <v>69</v>
      </c>
      <c r="P78" s="185"/>
      <c r="Q78" s="193" t="s">
        <v>458</v>
      </c>
      <c r="R78" s="156" t="s">
        <v>0</v>
      </c>
      <c r="S78" s="157"/>
      <c r="T78" s="157"/>
      <c r="U78" s="157" t="s">
        <v>0</v>
      </c>
      <c r="V78" s="157" t="s">
        <v>0</v>
      </c>
      <c r="W78" s="157" t="s">
        <v>0</v>
      </c>
      <c r="X78" s="157" t="s">
        <v>0</v>
      </c>
      <c r="Y78" s="157" t="s">
        <v>0</v>
      </c>
      <c r="Z78" s="157" t="s">
        <v>0</v>
      </c>
      <c r="AA78" s="157" t="s">
        <v>0</v>
      </c>
      <c r="AB78" s="157" t="s">
        <v>0</v>
      </c>
      <c r="AC78" s="157" t="s">
        <v>0</v>
      </c>
      <c r="AD78" s="157" t="s">
        <v>0</v>
      </c>
      <c r="AE78" s="157" t="s">
        <v>0</v>
      </c>
      <c r="AF78" s="157" t="s">
        <v>0</v>
      </c>
      <c r="AG78" s="157" t="s">
        <v>0</v>
      </c>
      <c r="AH78" s="157" t="s">
        <v>0</v>
      </c>
      <c r="AI78" s="157" t="s">
        <v>0</v>
      </c>
      <c r="AJ78" s="157" t="s">
        <v>0</v>
      </c>
      <c r="AK78" s="157" t="s">
        <v>0</v>
      </c>
      <c r="AL78" s="157" t="s">
        <v>0</v>
      </c>
      <c r="AM78" s="157" t="s">
        <v>0</v>
      </c>
      <c r="AN78" s="157" t="s">
        <v>0</v>
      </c>
      <c r="AO78" s="157" t="s">
        <v>0</v>
      </c>
      <c r="AP78" s="157" t="s">
        <v>0</v>
      </c>
      <c r="AQ78" s="157" t="s">
        <v>0</v>
      </c>
      <c r="AR78" s="157" t="s">
        <v>0</v>
      </c>
      <c r="AS78" s="157" t="s">
        <v>0</v>
      </c>
      <c r="AT78" s="157" t="s">
        <v>0</v>
      </c>
      <c r="AU78" s="157" t="s">
        <v>0</v>
      </c>
      <c r="AV78" s="157" t="s">
        <v>0</v>
      </c>
      <c r="AW78" s="157" t="s">
        <v>0</v>
      </c>
      <c r="AX78" s="157" t="s">
        <v>0</v>
      </c>
      <c r="AY78" s="157" t="s">
        <v>0</v>
      </c>
      <c r="AZ78" s="157" t="s">
        <v>0</v>
      </c>
      <c r="BA78" s="157" t="s">
        <v>0</v>
      </c>
      <c r="BB78" s="157" t="s">
        <v>0</v>
      </c>
      <c r="BC78" s="157" t="s">
        <v>0</v>
      </c>
      <c r="BD78" s="157" t="s">
        <v>0</v>
      </c>
      <c r="BE78" s="157" t="s">
        <v>0</v>
      </c>
      <c r="BF78" s="157" t="s">
        <v>0</v>
      </c>
      <c r="BG78" s="157" t="s">
        <v>0</v>
      </c>
      <c r="BH78" s="157" t="s">
        <v>0</v>
      </c>
      <c r="BI78" s="158"/>
      <c r="DL78">
        <f t="shared" si="427"/>
        <v>0</v>
      </c>
      <c r="DM78">
        <f t="shared" si="428"/>
        <v>0</v>
      </c>
      <c r="DN78">
        <f t="shared" si="429"/>
        <v>0</v>
      </c>
      <c r="DO78">
        <f t="shared" si="430"/>
        <v>0</v>
      </c>
      <c r="DP78">
        <f t="shared" si="431"/>
        <v>0</v>
      </c>
      <c r="DQ78">
        <f t="shared" si="432"/>
        <v>0</v>
      </c>
      <c r="DR78">
        <f t="shared" si="433"/>
        <v>0</v>
      </c>
      <c r="DS78">
        <f t="shared" si="434"/>
        <v>0</v>
      </c>
      <c r="DT78">
        <f t="shared" si="435"/>
        <v>0</v>
      </c>
      <c r="DU78">
        <f t="shared" si="436"/>
        <v>0</v>
      </c>
      <c r="DV78">
        <f t="shared" si="437"/>
        <v>0</v>
      </c>
      <c r="DW78">
        <f t="shared" si="438"/>
        <v>0</v>
      </c>
    </row>
    <row r="79" spans="1:127" x14ac:dyDescent="0.25">
      <c r="A79" s="22">
        <f t="shared" si="375"/>
        <v>73</v>
      </c>
      <c r="B79" s="59" t="str">
        <f t="shared" si="439"/>
        <v>F0013547812</v>
      </c>
      <c r="C79" s="214" t="str">
        <f t="shared" si="440"/>
        <v>82115-0EA00 M</v>
      </c>
      <c r="D79" s="58" t="e">
        <f>VLOOKUP(B79,'Timing Table'!B:G,6,0)</f>
        <v>#N/A</v>
      </c>
      <c r="E79" s="22" t="e">
        <f>VLOOKUP(B79,'Timing Table'!B:D,3,0)</f>
        <v>#N/A</v>
      </c>
      <c r="F79" s="155" t="s">
        <v>70</v>
      </c>
      <c r="G79" s="181" t="s">
        <v>487</v>
      </c>
      <c r="H79" s="155" t="s">
        <v>71</v>
      </c>
      <c r="I79" s="182" t="s">
        <v>60</v>
      </c>
      <c r="J79" s="161" t="s">
        <v>0</v>
      </c>
      <c r="K79" s="194" t="s">
        <v>0</v>
      </c>
      <c r="L79" s="195" t="s">
        <v>0</v>
      </c>
      <c r="M79" s="179" t="s">
        <v>0</v>
      </c>
      <c r="N79" s="179" t="s">
        <v>0</v>
      </c>
      <c r="O79" s="179" t="s">
        <v>0</v>
      </c>
      <c r="P79" s="179" t="s">
        <v>0</v>
      </c>
      <c r="Q79" s="179" t="s">
        <v>1</v>
      </c>
      <c r="R79" s="179" t="s">
        <v>2</v>
      </c>
      <c r="S79" s="179" t="s">
        <v>0</v>
      </c>
      <c r="T79" s="179" t="s">
        <v>0</v>
      </c>
      <c r="U79" s="179" t="s">
        <v>0</v>
      </c>
      <c r="V79" s="179" t="s">
        <v>0</v>
      </c>
      <c r="W79" s="179" t="s">
        <v>0</v>
      </c>
      <c r="X79" s="179" t="s">
        <v>0</v>
      </c>
      <c r="Y79" s="179" t="s">
        <v>0</v>
      </c>
      <c r="Z79" s="179" t="s">
        <v>3</v>
      </c>
      <c r="AA79" s="179" t="s">
        <v>0</v>
      </c>
      <c r="AB79" s="179" t="s">
        <v>0</v>
      </c>
      <c r="AC79" s="179" t="s">
        <v>0</v>
      </c>
      <c r="AD79" s="179" t="s">
        <v>0</v>
      </c>
      <c r="AE79" s="179" t="s">
        <v>0</v>
      </c>
      <c r="AF79" s="179" t="s">
        <v>0</v>
      </c>
      <c r="AG79" s="179" t="s">
        <v>0</v>
      </c>
      <c r="AH79" s="179" t="s">
        <v>0</v>
      </c>
      <c r="AI79" s="179" t="s">
        <v>0</v>
      </c>
      <c r="AJ79" s="179" t="s">
        <v>0</v>
      </c>
      <c r="AK79" s="179" t="s">
        <v>0</v>
      </c>
      <c r="AL79" s="179" t="s">
        <v>0</v>
      </c>
      <c r="AM79" s="179" t="s">
        <v>0</v>
      </c>
      <c r="AN79" s="179" t="s">
        <v>0</v>
      </c>
      <c r="AO79" s="179" t="s">
        <v>0</v>
      </c>
      <c r="AP79" s="179" t="s">
        <v>0</v>
      </c>
      <c r="AQ79" s="179" t="s">
        <v>0</v>
      </c>
      <c r="AR79" s="179" t="s">
        <v>0</v>
      </c>
      <c r="AS79" s="179" t="s">
        <v>0</v>
      </c>
      <c r="AT79" s="179" t="s">
        <v>0</v>
      </c>
      <c r="AU79" s="179" t="s">
        <v>0</v>
      </c>
      <c r="AV79" s="179" t="s">
        <v>0</v>
      </c>
      <c r="AW79" s="179" t="s">
        <v>0</v>
      </c>
      <c r="AX79" s="179" t="s">
        <v>0</v>
      </c>
      <c r="AY79" s="179" t="s">
        <v>0</v>
      </c>
      <c r="AZ79" s="179" t="s">
        <v>0</v>
      </c>
      <c r="BA79" s="179" t="s">
        <v>0</v>
      </c>
      <c r="BB79" s="179" t="s">
        <v>0</v>
      </c>
      <c r="BC79" s="179" t="s">
        <v>0</v>
      </c>
      <c r="BD79" s="179" t="s">
        <v>0</v>
      </c>
      <c r="BE79" s="179" t="s">
        <v>0</v>
      </c>
      <c r="BF79" s="179" t="s">
        <v>0</v>
      </c>
      <c r="BG79" s="179" t="s">
        <v>0</v>
      </c>
      <c r="BH79" s="179" t="s">
        <v>0</v>
      </c>
      <c r="BI79" s="180" t="s">
        <v>4</v>
      </c>
      <c r="DL79">
        <f t="shared" si="427"/>
        <v>0</v>
      </c>
      <c r="DM79">
        <f t="shared" si="428"/>
        <v>0</v>
      </c>
      <c r="DN79">
        <f t="shared" si="429"/>
        <v>0</v>
      </c>
      <c r="DO79">
        <f t="shared" si="430"/>
        <v>0</v>
      </c>
      <c r="DP79">
        <f t="shared" si="431"/>
        <v>0</v>
      </c>
      <c r="DQ79">
        <f t="shared" si="432"/>
        <v>0</v>
      </c>
      <c r="DR79">
        <f t="shared" si="433"/>
        <v>0</v>
      </c>
      <c r="DS79">
        <f t="shared" si="434"/>
        <v>0</v>
      </c>
      <c r="DT79">
        <f t="shared" si="435"/>
        <v>0</v>
      </c>
      <c r="DU79">
        <f t="shared" si="436"/>
        <v>0</v>
      </c>
      <c r="DV79">
        <f t="shared" si="437"/>
        <v>0</v>
      </c>
      <c r="DW79">
        <f t="shared" si="438"/>
        <v>0</v>
      </c>
    </row>
    <row r="80" spans="1:127" x14ac:dyDescent="0.25">
      <c r="A80" s="22">
        <f t="shared" si="375"/>
        <v>74</v>
      </c>
      <c r="B80" s="59" t="str">
        <f t="shared" si="439"/>
        <v>F0013547812</v>
      </c>
      <c r="C80" s="214" t="str">
        <f t="shared" si="440"/>
        <v>82115-0EA00 M</v>
      </c>
      <c r="D80" s="58" t="e">
        <f>VLOOKUP(B80,'Timing Table'!B:G,6,0)</f>
        <v>#N/A</v>
      </c>
      <c r="E80" s="22" t="e">
        <f>VLOOKUP(B80,'Timing Table'!B:D,3,0)</f>
        <v>#N/A</v>
      </c>
      <c r="F80" s="155" t="s">
        <v>72</v>
      </c>
      <c r="G80" s="181">
        <v>1172</v>
      </c>
      <c r="H80" s="196" t="s">
        <v>413</v>
      </c>
      <c r="I80" s="197" t="s">
        <v>73</v>
      </c>
      <c r="J80" s="13">
        <v>46041</v>
      </c>
      <c r="K80" s="14">
        <v>46048</v>
      </c>
      <c r="L80" s="14">
        <v>46055</v>
      </c>
      <c r="M80" s="14">
        <v>46062</v>
      </c>
      <c r="N80" s="14">
        <v>46069</v>
      </c>
      <c r="O80" s="14">
        <v>46076</v>
      </c>
      <c r="P80" s="14">
        <v>46083</v>
      </c>
      <c r="Q80" s="14">
        <v>46090</v>
      </c>
      <c r="R80" s="14">
        <v>46097</v>
      </c>
      <c r="S80" s="14">
        <v>46104</v>
      </c>
      <c r="T80" s="14">
        <v>46111</v>
      </c>
      <c r="U80" s="14">
        <v>46118</v>
      </c>
      <c r="V80" s="14">
        <v>46125</v>
      </c>
      <c r="W80" s="14">
        <v>46132</v>
      </c>
      <c r="X80" s="14">
        <v>46139</v>
      </c>
      <c r="Y80" s="14">
        <v>46146</v>
      </c>
      <c r="Z80" s="14">
        <v>46153</v>
      </c>
      <c r="AA80" s="14">
        <v>46160</v>
      </c>
      <c r="AB80" s="14">
        <v>46167</v>
      </c>
      <c r="AC80" s="14">
        <v>46174</v>
      </c>
      <c r="AD80" s="14">
        <v>46181</v>
      </c>
      <c r="AE80" s="14">
        <v>46188</v>
      </c>
      <c r="AF80" s="14">
        <v>46195</v>
      </c>
      <c r="AG80" s="14">
        <v>46202</v>
      </c>
      <c r="AH80" s="14">
        <v>46209</v>
      </c>
      <c r="AI80" s="14">
        <v>46216</v>
      </c>
      <c r="AJ80" s="14">
        <v>46223</v>
      </c>
      <c r="AK80" s="14">
        <v>46230</v>
      </c>
      <c r="AL80" s="14">
        <v>46237</v>
      </c>
      <c r="AM80" s="14">
        <v>46244</v>
      </c>
      <c r="AN80" s="14">
        <v>46251</v>
      </c>
      <c r="AO80" s="14">
        <v>46258</v>
      </c>
      <c r="AP80" s="14">
        <v>46265</v>
      </c>
      <c r="AQ80" s="14">
        <v>46272</v>
      </c>
      <c r="AR80" s="14">
        <v>46279</v>
      </c>
      <c r="AS80" s="14">
        <v>46286</v>
      </c>
      <c r="AT80" s="14">
        <v>46293</v>
      </c>
      <c r="AU80" s="14">
        <v>46300</v>
      </c>
      <c r="AV80" s="14">
        <v>46307</v>
      </c>
      <c r="AW80" s="14">
        <v>46314</v>
      </c>
      <c r="AX80" s="14">
        <v>46321</v>
      </c>
      <c r="AY80" s="14">
        <v>46328</v>
      </c>
      <c r="AZ80" s="14">
        <v>46335</v>
      </c>
      <c r="BA80" s="14">
        <v>46342</v>
      </c>
      <c r="BB80" s="14">
        <v>46349</v>
      </c>
      <c r="BC80" s="14">
        <v>46356</v>
      </c>
      <c r="BD80" s="14">
        <v>46363</v>
      </c>
      <c r="BE80" s="14">
        <v>46370</v>
      </c>
      <c r="BF80" s="14">
        <v>46377</v>
      </c>
      <c r="BG80" s="14">
        <v>46384</v>
      </c>
      <c r="BH80" s="14">
        <v>46391</v>
      </c>
      <c r="BI80" s="15">
        <v>46398</v>
      </c>
      <c r="DL80">
        <f t="shared" si="427"/>
        <v>0</v>
      </c>
      <c r="DM80">
        <f t="shared" si="428"/>
        <v>0</v>
      </c>
      <c r="DN80">
        <f t="shared" si="429"/>
        <v>0</v>
      </c>
      <c r="DO80">
        <f t="shared" si="430"/>
        <v>0</v>
      </c>
      <c r="DP80">
        <f t="shared" si="431"/>
        <v>0</v>
      </c>
      <c r="DQ80">
        <f t="shared" si="432"/>
        <v>0</v>
      </c>
      <c r="DR80">
        <f t="shared" si="433"/>
        <v>0</v>
      </c>
      <c r="DS80">
        <f t="shared" si="434"/>
        <v>0</v>
      </c>
      <c r="DT80">
        <f t="shared" si="435"/>
        <v>0</v>
      </c>
      <c r="DU80">
        <f t="shared" si="436"/>
        <v>0</v>
      </c>
      <c r="DV80">
        <f t="shared" si="437"/>
        <v>0</v>
      </c>
      <c r="DW80">
        <f t="shared" si="438"/>
        <v>0</v>
      </c>
    </row>
    <row r="81" spans="1:127" x14ac:dyDescent="0.25">
      <c r="A81" s="22">
        <f t="shared" si="375"/>
        <v>75</v>
      </c>
      <c r="B81" s="59" t="str">
        <f t="shared" si="439"/>
        <v>F0013547812</v>
      </c>
      <c r="C81" s="214" t="str">
        <f t="shared" si="440"/>
        <v>82115-0EA00 M</v>
      </c>
      <c r="D81" s="58" t="e">
        <f>VLOOKUP(B81,'Timing Table'!B:G,6,0)</f>
        <v>#N/A</v>
      </c>
      <c r="E81" s="22" t="e">
        <f>VLOOKUP(B81,'Timing Table'!B:D,3,0)</f>
        <v>#N/A</v>
      </c>
      <c r="F81" s="155" t="s">
        <v>74</v>
      </c>
      <c r="G81" s="181">
        <v>3724</v>
      </c>
      <c r="H81" s="5" t="s">
        <v>60</v>
      </c>
      <c r="I81" s="11" t="s">
        <v>147</v>
      </c>
      <c r="J81" s="16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17"/>
      <c r="DL81">
        <f t="shared" si="427"/>
        <v>0</v>
      </c>
      <c r="DM81">
        <f t="shared" si="428"/>
        <v>0</v>
      </c>
      <c r="DN81">
        <f t="shared" si="429"/>
        <v>0</v>
      </c>
      <c r="DO81">
        <f t="shared" si="430"/>
        <v>0</v>
      </c>
      <c r="DP81">
        <f t="shared" si="431"/>
        <v>0</v>
      </c>
      <c r="DQ81">
        <f t="shared" si="432"/>
        <v>0</v>
      </c>
      <c r="DR81">
        <f t="shared" si="433"/>
        <v>0</v>
      </c>
      <c r="DS81">
        <f t="shared" si="434"/>
        <v>0</v>
      </c>
      <c r="DT81">
        <f t="shared" si="435"/>
        <v>0</v>
      </c>
      <c r="DU81">
        <f t="shared" si="436"/>
        <v>0</v>
      </c>
      <c r="DV81">
        <f t="shared" si="437"/>
        <v>0</v>
      </c>
      <c r="DW81">
        <f t="shared" si="438"/>
        <v>0</v>
      </c>
    </row>
    <row r="82" spans="1:127" x14ac:dyDescent="0.25">
      <c r="A82" s="22">
        <f t="shared" si="375"/>
        <v>76</v>
      </c>
      <c r="B82" s="59" t="str">
        <f t="shared" si="439"/>
        <v>F0013547812</v>
      </c>
      <c r="C82" s="214" t="str">
        <f t="shared" si="440"/>
        <v>82115-0EA00 M</v>
      </c>
      <c r="D82" s="58" t="e">
        <f>VLOOKUP(B82,'Timing Table'!B:G,6,0)</f>
        <v>#N/A</v>
      </c>
      <c r="E82" s="22" t="e">
        <f>VLOOKUP(B82,'Timing Table'!B:D,3,0)</f>
        <v>#N/A</v>
      </c>
      <c r="F82" s="155" t="s">
        <v>75</v>
      </c>
      <c r="G82" s="198" t="s">
        <v>513</v>
      </c>
      <c r="H82" s="9" t="s">
        <v>172</v>
      </c>
      <c r="I82" s="11" t="s">
        <v>76</v>
      </c>
      <c r="J82" s="143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412</v>
      </c>
      <c r="R82" s="64">
        <v>0</v>
      </c>
      <c r="S82" s="64">
        <v>464</v>
      </c>
      <c r="T82" s="64">
        <v>460</v>
      </c>
      <c r="U82" s="64">
        <v>432</v>
      </c>
      <c r="V82" s="64">
        <v>332</v>
      </c>
      <c r="W82" s="64">
        <v>240</v>
      </c>
      <c r="X82" s="64">
        <v>180</v>
      </c>
      <c r="Y82" s="64">
        <v>180</v>
      </c>
      <c r="Z82" s="64">
        <v>240</v>
      </c>
      <c r="AA82" s="64">
        <v>328</v>
      </c>
      <c r="AB82" s="64">
        <v>332</v>
      </c>
      <c r="AC82" s="64">
        <v>328</v>
      </c>
      <c r="AD82" s="64">
        <v>280</v>
      </c>
      <c r="AE82" s="64">
        <v>276</v>
      </c>
      <c r="AF82" s="64">
        <v>228</v>
      </c>
      <c r="AG82" s="64">
        <v>320</v>
      </c>
      <c r="AH82" s="64">
        <v>196</v>
      </c>
      <c r="AI82" s="64">
        <v>264</v>
      </c>
      <c r="AJ82" s="64">
        <v>380</v>
      </c>
      <c r="AK82" s="64">
        <v>380</v>
      </c>
      <c r="AL82" s="64">
        <v>536</v>
      </c>
      <c r="AM82" s="64">
        <v>524</v>
      </c>
      <c r="AN82" s="64">
        <v>524</v>
      </c>
      <c r="AO82" s="64">
        <v>524</v>
      </c>
      <c r="AP82" s="64">
        <v>524</v>
      </c>
      <c r="AQ82" s="64">
        <v>524</v>
      </c>
      <c r="AR82" s="64">
        <v>524</v>
      </c>
      <c r="AS82" s="64">
        <v>524</v>
      </c>
      <c r="AT82" s="64">
        <v>524</v>
      </c>
      <c r="AU82" s="64">
        <v>524</v>
      </c>
      <c r="AV82" s="64">
        <v>524</v>
      </c>
      <c r="AW82" s="64">
        <v>524</v>
      </c>
      <c r="AX82" s="64">
        <v>524</v>
      </c>
      <c r="AY82" s="64">
        <v>524</v>
      </c>
      <c r="AZ82" s="64">
        <v>524</v>
      </c>
      <c r="BA82" s="64">
        <v>524</v>
      </c>
      <c r="BB82" s="64">
        <v>524</v>
      </c>
      <c r="BC82" s="64">
        <v>524</v>
      </c>
      <c r="BD82" s="64">
        <v>524</v>
      </c>
      <c r="BE82" s="64">
        <v>524</v>
      </c>
      <c r="BF82" s="64">
        <v>524</v>
      </c>
      <c r="BG82" s="64">
        <v>524</v>
      </c>
      <c r="BH82" s="64">
        <v>524</v>
      </c>
      <c r="BI82" s="144">
        <v>524</v>
      </c>
      <c r="BJ82" s="24" t="str">
        <f>+G79</f>
        <v>82115-0EA00 M</v>
      </c>
      <c r="BK82" s="24">
        <f>+J82</f>
        <v>0</v>
      </c>
      <c r="BL82" s="24">
        <f t="shared" ref="BL82" si="441">+K82</f>
        <v>0</v>
      </c>
      <c r="BM82" s="24">
        <f t="shared" ref="BM82" si="442">+L82</f>
        <v>0</v>
      </c>
      <c r="BN82" s="24">
        <f t="shared" ref="BN82" si="443">+M82</f>
        <v>0</v>
      </c>
      <c r="BO82" s="24">
        <f t="shared" ref="BO82" si="444">+N82</f>
        <v>0</v>
      </c>
      <c r="BP82" s="24">
        <f t="shared" ref="BP82" si="445">+O82</f>
        <v>0</v>
      </c>
      <c r="BQ82" s="24">
        <f t="shared" ref="BQ82" si="446">+P82</f>
        <v>0</v>
      </c>
      <c r="BR82" s="24">
        <f t="shared" ref="BR82" si="447">+Q82</f>
        <v>412</v>
      </c>
      <c r="BS82" s="24">
        <f t="shared" ref="BS82" si="448">+R82</f>
        <v>0</v>
      </c>
      <c r="BT82" s="24">
        <f t="shared" ref="BT82" si="449">+S82</f>
        <v>464</v>
      </c>
      <c r="BU82" s="24">
        <f t="shared" ref="BU82" si="450">+T82</f>
        <v>460</v>
      </c>
      <c r="BV82" s="24">
        <f t="shared" ref="BV82" si="451">+U82</f>
        <v>432</v>
      </c>
      <c r="BW82" s="24">
        <f t="shared" ref="BW82" si="452">+V82</f>
        <v>332</v>
      </c>
      <c r="BX82" s="24">
        <f t="shared" ref="BX82" si="453">+W82</f>
        <v>240</v>
      </c>
      <c r="BY82" s="24">
        <f t="shared" ref="BY82" si="454">+X82</f>
        <v>180</v>
      </c>
      <c r="BZ82" s="24">
        <f t="shared" ref="BZ82" si="455">+Y82</f>
        <v>180</v>
      </c>
      <c r="CA82" s="24">
        <f t="shared" ref="CA82" si="456">+Z82</f>
        <v>240</v>
      </c>
      <c r="CB82" s="24">
        <f t="shared" ref="CB82" si="457">+AA82</f>
        <v>328</v>
      </c>
      <c r="CC82" s="24">
        <f t="shared" ref="CC82" si="458">+AB82</f>
        <v>332</v>
      </c>
      <c r="CD82" s="24">
        <f t="shared" ref="CD82" si="459">+AC82</f>
        <v>328</v>
      </c>
      <c r="CE82" s="24">
        <f t="shared" ref="CE82" si="460">+AD82</f>
        <v>280</v>
      </c>
      <c r="CF82" s="24">
        <f t="shared" ref="CF82" si="461">+AE82</f>
        <v>276</v>
      </c>
      <c r="CG82" s="24">
        <f t="shared" ref="CG82" si="462">+AF82</f>
        <v>228</v>
      </c>
      <c r="CH82" s="24">
        <f t="shared" ref="CH82" si="463">+AG82</f>
        <v>320</v>
      </c>
      <c r="CI82" s="24">
        <f t="shared" ref="CI82" si="464">+AH82</f>
        <v>196</v>
      </c>
      <c r="CJ82" s="24">
        <f t="shared" ref="CJ82" si="465">+AI82</f>
        <v>264</v>
      </c>
      <c r="CK82" s="24">
        <f t="shared" ref="CK82" si="466">+AJ82</f>
        <v>380</v>
      </c>
      <c r="CL82" s="24">
        <f t="shared" ref="CL82" si="467">+AK82</f>
        <v>380</v>
      </c>
      <c r="CM82" s="24">
        <f t="shared" ref="CM82" si="468">+AL82</f>
        <v>536</v>
      </c>
      <c r="CN82" s="24">
        <f t="shared" ref="CN82" si="469">+AM82</f>
        <v>524</v>
      </c>
      <c r="CO82" s="24">
        <f t="shared" ref="CO82" si="470">+AN82</f>
        <v>524</v>
      </c>
      <c r="CP82" s="166">
        <f t="shared" ref="CP82" si="471">+AO82</f>
        <v>524</v>
      </c>
      <c r="CQ82" s="166">
        <f t="shared" ref="CQ82" si="472">+AP82</f>
        <v>524</v>
      </c>
      <c r="CR82">
        <f t="shared" ref="CR82" si="473">+AQ82</f>
        <v>524</v>
      </c>
      <c r="CS82">
        <f t="shared" ref="CS82" si="474">+AR82</f>
        <v>524</v>
      </c>
      <c r="CT82">
        <f t="shared" ref="CT82" si="475">+AS82</f>
        <v>524</v>
      </c>
      <c r="CU82">
        <f t="shared" ref="CU82" si="476">+AT82</f>
        <v>524</v>
      </c>
      <c r="CV82">
        <f t="shared" ref="CV82" si="477">+AU82</f>
        <v>524</v>
      </c>
      <c r="CW82">
        <f t="shared" ref="CW82" si="478">+AV82</f>
        <v>524</v>
      </c>
      <c r="CX82">
        <f t="shared" ref="CX82" si="479">+AW82</f>
        <v>524</v>
      </c>
      <c r="CY82">
        <f t="shared" ref="CY82" si="480">+AX82</f>
        <v>524</v>
      </c>
      <c r="CZ82">
        <f t="shared" ref="CZ82" si="481">+AY82</f>
        <v>524</v>
      </c>
      <c r="DA82">
        <f t="shared" ref="DA82" si="482">+AZ82</f>
        <v>524</v>
      </c>
      <c r="DB82">
        <f t="shared" ref="DB82" si="483">+BA82</f>
        <v>524</v>
      </c>
      <c r="DC82">
        <f t="shared" ref="DC82" si="484">+BB82</f>
        <v>524</v>
      </c>
      <c r="DD82">
        <f t="shared" ref="DD82" si="485">+BC82</f>
        <v>524</v>
      </c>
      <c r="DE82">
        <f t="shared" ref="DE82" si="486">+BD82</f>
        <v>524</v>
      </c>
      <c r="DF82">
        <f t="shared" ref="DF82" si="487">+BE82</f>
        <v>524</v>
      </c>
      <c r="DG82">
        <f t="shared" ref="DG82" si="488">+BF82</f>
        <v>524</v>
      </c>
      <c r="DH82">
        <f t="shared" ref="DH82" si="489">+BG82</f>
        <v>524</v>
      </c>
      <c r="DI82">
        <f t="shared" ref="DI82" si="490">+BH82</f>
        <v>524</v>
      </c>
      <c r="DJ82">
        <f t="shared" ref="DJ82" si="491">+BI82</f>
        <v>524</v>
      </c>
      <c r="DL82" s="24">
        <f t="shared" si="427"/>
        <v>0</v>
      </c>
      <c r="DM82" s="24">
        <f t="shared" si="428"/>
        <v>0</v>
      </c>
      <c r="DN82" s="24">
        <f t="shared" si="429"/>
        <v>876</v>
      </c>
      <c r="DO82" s="24">
        <f t="shared" si="430"/>
        <v>1644</v>
      </c>
      <c r="DP82" s="24">
        <f t="shared" si="431"/>
        <v>1080</v>
      </c>
      <c r="DQ82" s="24">
        <f t="shared" si="432"/>
        <v>1112</v>
      </c>
      <c r="DR82" s="24">
        <f t="shared" si="433"/>
        <v>1540</v>
      </c>
      <c r="DS82" s="24">
        <f t="shared" si="434"/>
        <v>2108</v>
      </c>
      <c r="DT82" s="24">
        <f t="shared" si="435"/>
        <v>2620</v>
      </c>
      <c r="DU82">
        <f t="shared" si="436"/>
        <v>2096</v>
      </c>
      <c r="DV82">
        <f t="shared" si="437"/>
        <v>2096</v>
      </c>
      <c r="DW82">
        <f t="shared" si="438"/>
        <v>2620</v>
      </c>
    </row>
    <row r="83" spans="1:127" x14ac:dyDescent="0.25">
      <c r="A83" s="22">
        <f t="shared" si="375"/>
        <v>77</v>
      </c>
      <c r="B83" s="59" t="str">
        <f t="shared" si="439"/>
        <v>F0013547812</v>
      </c>
      <c r="C83" s="214" t="str">
        <f t="shared" si="440"/>
        <v>82115-0EA00 M</v>
      </c>
      <c r="D83" s="58" t="e">
        <f>VLOOKUP(B83,'Timing Table'!B:G,6,0)</f>
        <v>#N/A</v>
      </c>
      <c r="E83" s="22" t="e">
        <f>VLOOKUP(B83,'Timing Table'!B:D,3,0)</f>
        <v>#N/A</v>
      </c>
      <c r="F83" s="155" t="s">
        <v>77</v>
      </c>
      <c r="G83" s="181">
        <v>82115</v>
      </c>
      <c r="H83" s="10" t="s">
        <v>172</v>
      </c>
      <c r="I83" s="12" t="s">
        <v>78</v>
      </c>
      <c r="J83" s="152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412</v>
      </c>
      <c r="R83" s="153">
        <v>412</v>
      </c>
      <c r="S83" s="153">
        <v>876</v>
      </c>
      <c r="T83" s="153">
        <v>1336</v>
      </c>
      <c r="U83" s="153">
        <v>1768</v>
      </c>
      <c r="V83" s="153">
        <v>2100</v>
      </c>
      <c r="W83" s="153">
        <v>2340</v>
      </c>
      <c r="X83" s="153">
        <v>2520</v>
      </c>
      <c r="Y83" s="153">
        <v>2700</v>
      </c>
      <c r="Z83" s="153">
        <v>2940</v>
      </c>
      <c r="AA83" s="153">
        <v>3268</v>
      </c>
      <c r="AB83" s="153">
        <v>3600</v>
      </c>
      <c r="AC83" s="153">
        <v>3928</v>
      </c>
      <c r="AD83" s="153">
        <v>4208</v>
      </c>
      <c r="AE83" s="153">
        <v>4484</v>
      </c>
      <c r="AF83" s="153">
        <v>4712</v>
      </c>
      <c r="AG83" s="153">
        <v>5032</v>
      </c>
      <c r="AH83" s="153">
        <v>5228</v>
      </c>
      <c r="AI83" s="153">
        <v>5492</v>
      </c>
      <c r="AJ83" s="153">
        <v>5872</v>
      </c>
      <c r="AK83" s="153">
        <v>6252</v>
      </c>
      <c r="AL83" s="153">
        <v>6788</v>
      </c>
      <c r="AM83" s="153">
        <v>7312</v>
      </c>
      <c r="AN83" s="153">
        <v>7836</v>
      </c>
      <c r="AO83" s="153">
        <v>8360</v>
      </c>
      <c r="AP83" s="153">
        <v>8884</v>
      </c>
      <c r="AQ83" s="153">
        <v>9408</v>
      </c>
      <c r="AR83" s="153">
        <v>9932</v>
      </c>
      <c r="AS83" s="153">
        <v>10456</v>
      </c>
      <c r="AT83" s="153">
        <v>10980</v>
      </c>
      <c r="AU83" s="153">
        <v>11504</v>
      </c>
      <c r="AV83" s="153">
        <v>12028</v>
      </c>
      <c r="AW83" s="153">
        <v>12552</v>
      </c>
      <c r="AX83" s="153">
        <v>13076</v>
      </c>
      <c r="AY83" s="153">
        <v>13600</v>
      </c>
      <c r="AZ83" s="153">
        <v>14124</v>
      </c>
      <c r="BA83" s="153">
        <v>14648</v>
      </c>
      <c r="BB83" s="153">
        <v>15172</v>
      </c>
      <c r="BC83" s="153">
        <v>15696</v>
      </c>
      <c r="BD83" s="153">
        <v>16220</v>
      </c>
      <c r="BE83" s="153">
        <v>16744</v>
      </c>
      <c r="BF83" s="153">
        <v>17268</v>
      </c>
      <c r="BG83" s="153">
        <v>17792</v>
      </c>
      <c r="BH83" s="153">
        <v>18316</v>
      </c>
      <c r="BI83" s="154">
        <v>18840</v>
      </c>
      <c r="DL83">
        <f t="shared" si="427"/>
        <v>0</v>
      </c>
      <c r="DM83">
        <f t="shared" si="428"/>
        <v>0</v>
      </c>
      <c r="DN83">
        <f t="shared" si="429"/>
        <v>0</v>
      </c>
      <c r="DO83">
        <f t="shared" si="430"/>
        <v>0</v>
      </c>
      <c r="DP83">
        <f t="shared" si="431"/>
        <v>0</v>
      </c>
      <c r="DQ83">
        <f t="shared" si="432"/>
        <v>0</v>
      </c>
      <c r="DR83">
        <f t="shared" si="433"/>
        <v>0</v>
      </c>
      <c r="DS83">
        <f t="shared" si="434"/>
        <v>0</v>
      </c>
      <c r="DT83">
        <f t="shared" si="435"/>
        <v>0</v>
      </c>
      <c r="DU83">
        <f t="shared" si="436"/>
        <v>0</v>
      </c>
      <c r="DV83">
        <f t="shared" si="437"/>
        <v>0</v>
      </c>
      <c r="DW83">
        <f t="shared" si="438"/>
        <v>0</v>
      </c>
    </row>
    <row r="84" spans="1:127" x14ac:dyDescent="0.25">
      <c r="A84" s="22">
        <f t="shared" si="375"/>
        <v>78</v>
      </c>
      <c r="B84" s="59" t="str">
        <f t="shared" si="439"/>
        <v>F0013547812</v>
      </c>
      <c r="C84" s="214" t="str">
        <f t="shared" si="440"/>
        <v>82115-0EA00 M</v>
      </c>
      <c r="D84" s="58" t="e">
        <f>VLOOKUP(B84,'Timing Table'!B:G,6,0)</f>
        <v>#N/A</v>
      </c>
      <c r="E84" s="22" t="e">
        <f>VLOOKUP(B84,'Timing Table'!B:D,3,0)</f>
        <v>#N/A</v>
      </c>
      <c r="F84" s="155" t="s">
        <v>79</v>
      </c>
      <c r="G84" s="199">
        <v>0</v>
      </c>
      <c r="H84" s="184" t="s">
        <v>80</v>
      </c>
      <c r="I84" s="185"/>
      <c r="J84" s="200"/>
      <c r="K84" s="156"/>
      <c r="L84" s="157" t="s">
        <v>0</v>
      </c>
      <c r="M84" s="157" t="s">
        <v>0</v>
      </c>
      <c r="N84" s="157" t="s">
        <v>0</v>
      </c>
      <c r="O84" s="157" t="s">
        <v>0</v>
      </c>
      <c r="P84" s="157" t="s">
        <v>0</v>
      </c>
      <c r="Q84" s="157" t="s">
        <v>0</v>
      </c>
      <c r="R84" s="157" t="s">
        <v>0</v>
      </c>
      <c r="S84" s="157" t="s">
        <v>0</v>
      </c>
      <c r="T84" s="157" t="s">
        <v>0</v>
      </c>
      <c r="U84" s="157" t="s">
        <v>0</v>
      </c>
      <c r="V84" s="157" t="s">
        <v>0</v>
      </c>
      <c r="W84" s="157" t="s">
        <v>0</v>
      </c>
      <c r="X84" s="157" t="s">
        <v>0</v>
      </c>
      <c r="Y84" s="157" t="s">
        <v>0</v>
      </c>
      <c r="Z84" s="157" t="s">
        <v>0</v>
      </c>
      <c r="AA84" s="157" t="s">
        <v>0</v>
      </c>
      <c r="AB84" s="157" t="s">
        <v>0</v>
      </c>
      <c r="AC84" s="157" t="s">
        <v>0</v>
      </c>
      <c r="AD84" s="157" t="s">
        <v>0</v>
      </c>
      <c r="AE84" s="157" t="s">
        <v>0</v>
      </c>
      <c r="AF84" s="157" t="s">
        <v>0</v>
      </c>
      <c r="AG84" s="157" t="s">
        <v>0</v>
      </c>
      <c r="AH84" s="157" t="s">
        <v>0</v>
      </c>
      <c r="AI84" s="157" t="s">
        <v>0</v>
      </c>
      <c r="AJ84" s="157" t="s">
        <v>0</v>
      </c>
      <c r="AK84" s="157" t="s">
        <v>0</v>
      </c>
      <c r="AL84" s="157" t="s">
        <v>0</v>
      </c>
      <c r="AM84" s="157" t="s">
        <v>0</v>
      </c>
      <c r="AN84" s="157" t="s">
        <v>0</v>
      </c>
      <c r="AO84" s="157" t="s">
        <v>0</v>
      </c>
      <c r="AP84" s="157" t="s">
        <v>0</v>
      </c>
      <c r="AQ84" s="157" t="s">
        <v>0</v>
      </c>
      <c r="AR84" s="157" t="s">
        <v>0</v>
      </c>
      <c r="AS84" s="157" t="s">
        <v>0</v>
      </c>
      <c r="AT84" s="157" t="s">
        <v>0</v>
      </c>
      <c r="AU84" s="157" t="s">
        <v>0</v>
      </c>
      <c r="AV84" s="157" t="s">
        <v>0</v>
      </c>
      <c r="AW84" s="157" t="s">
        <v>0</v>
      </c>
      <c r="AX84" s="157" t="s">
        <v>0</v>
      </c>
      <c r="AY84" s="157" t="s">
        <v>0</v>
      </c>
      <c r="AZ84" s="157" t="s">
        <v>0</v>
      </c>
      <c r="BA84" s="157" t="s">
        <v>0</v>
      </c>
      <c r="BB84" s="157" t="s">
        <v>0</v>
      </c>
      <c r="BC84" s="157" t="s">
        <v>0</v>
      </c>
      <c r="BD84" s="157" t="s">
        <v>0</v>
      </c>
      <c r="BE84" s="157" t="s">
        <v>0</v>
      </c>
      <c r="BF84" s="157" t="s">
        <v>0</v>
      </c>
      <c r="BG84" s="157" t="s">
        <v>0</v>
      </c>
      <c r="BH84" s="157" t="s">
        <v>0</v>
      </c>
      <c r="BI84" s="158"/>
      <c r="DL84">
        <f t="shared" si="427"/>
        <v>0</v>
      </c>
      <c r="DM84">
        <f t="shared" si="428"/>
        <v>0</v>
      </c>
      <c r="DN84">
        <f t="shared" si="429"/>
        <v>0</v>
      </c>
      <c r="DO84">
        <f t="shared" si="430"/>
        <v>0</v>
      </c>
      <c r="DP84">
        <f t="shared" si="431"/>
        <v>0</v>
      </c>
      <c r="DQ84">
        <f t="shared" si="432"/>
        <v>0</v>
      </c>
      <c r="DR84">
        <f t="shared" si="433"/>
        <v>0</v>
      </c>
      <c r="DS84">
        <f t="shared" si="434"/>
        <v>0</v>
      </c>
      <c r="DT84">
        <f t="shared" si="435"/>
        <v>0</v>
      </c>
      <c r="DU84">
        <f t="shared" si="436"/>
        <v>0</v>
      </c>
      <c r="DV84">
        <f t="shared" si="437"/>
        <v>0</v>
      </c>
      <c r="DW84">
        <f t="shared" si="438"/>
        <v>0</v>
      </c>
    </row>
    <row r="85" spans="1:127" x14ac:dyDescent="0.25">
      <c r="A85" s="22">
        <f t="shared" si="375"/>
        <v>79</v>
      </c>
      <c r="B85" s="59" t="str">
        <f t="shared" si="439"/>
        <v>F0013547812</v>
      </c>
      <c r="C85" s="214" t="str">
        <f t="shared" si="440"/>
        <v>82115-0EA00 M</v>
      </c>
      <c r="D85" s="58" t="e">
        <f>VLOOKUP(B85,'Timing Table'!B:G,6,0)</f>
        <v>#N/A</v>
      </c>
      <c r="E85" s="22" t="e">
        <f>VLOOKUP(B85,'Timing Table'!B:D,3,0)</f>
        <v>#N/A</v>
      </c>
      <c r="F85" s="159" t="s">
        <v>81</v>
      </c>
      <c r="G85" s="160" t="s">
        <v>60</v>
      </c>
      <c r="H85" s="201" t="s">
        <v>60</v>
      </c>
      <c r="I85" s="183" t="s">
        <v>60</v>
      </c>
      <c r="J85" s="183" t="s">
        <v>0</v>
      </c>
      <c r="K85" s="183" t="s">
        <v>0</v>
      </c>
      <c r="L85" s="183" t="s">
        <v>0</v>
      </c>
      <c r="M85" s="183" t="s">
        <v>0</v>
      </c>
      <c r="N85" s="183" t="s">
        <v>0</v>
      </c>
      <c r="O85" s="183" t="s">
        <v>0</v>
      </c>
      <c r="P85" s="183" t="s">
        <v>0</v>
      </c>
      <c r="Q85" s="183" t="s">
        <v>0</v>
      </c>
      <c r="R85" s="183" t="s">
        <v>0</v>
      </c>
      <c r="S85" s="183" t="s">
        <v>0</v>
      </c>
      <c r="T85" s="183" t="s">
        <v>0</v>
      </c>
      <c r="U85" s="183" t="s">
        <v>0</v>
      </c>
      <c r="V85" s="183" t="s">
        <v>0</v>
      </c>
      <c r="W85" s="183" t="s">
        <v>0</v>
      </c>
      <c r="X85" s="183" t="s">
        <v>0</v>
      </c>
      <c r="Y85" s="183" t="s">
        <v>0</v>
      </c>
      <c r="Z85" s="183" t="s">
        <v>0</v>
      </c>
      <c r="AA85" s="183" t="s">
        <v>0</v>
      </c>
      <c r="AB85" s="183" t="s">
        <v>0</v>
      </c>
      <c r="AC85" s="183" t="s">
        <v>0</v>
      </c>
      <c r="AD85" s="183" t="s">
        <v>0</v>
      </c>
      <c r="AE85" s="183" t="s">
        <v>0</v>
      </c>
      <c r="AF85" s="183" t="s">
        <v>0</v>
      </c>
      <c r="AG85" s="183" t="s">
        <v>0</v>
      </c>
      <c r="AH85" s="183" t="s">
        <v>0</v>
      </c>
      <c r="AI85" s="183" t="s">
        <v>0</v>
      </c>
      <c r="AJ85" s="183" t="s">
        <v>0</v>
      </c>
      <c r="AK85" s="183" t="s">
        <v>0</v>
      </c>
      <c r="AL85" s="183" t="s">
        <v>0</v>
      </c>
      <c r="AM85" s="183" t="s">
        <v>0</v>
      </c>
      <c r="AN85" s="183" t="s">
        <v>0</v>
      </c>
      <c r="AO85" s="183" t="s">
        <v>0</v>
      </c>
      <c r="AP85" s="183" t="s">
        <v>0</v>
      </c>
      <c r="AQ85" s="183" t="s">
        <v>0</v>
      </c>
      <c r="AR85" s="183" t="s">
        <v>0</v>
      </c>
      <c r="AS85" s="183" t="s">
        <v>0</v>
      </c>
      <c r="AT85" s="183" t="s">
        <v>0</v>
      </c>
      <c r="AU85" s="183" t="s">
        <v>0</v>
      </c>
      <c r="AV85" s="183" t="s">
        <v>0</v>
      </c>
      <c r="AW85" s="183" t="s">
        <v>0</v>
      </c>
      <c r="AX85" s="183" t="s">
        <v>0</v>
      </c>
      <c r="AY85" s="183" t="s">
        <v>0</v>
      </c>
      <c r="AZ85" s="183" t="s">
        <v>0</v>
      </c>
      <c r="BA85" s="183" t="s">
        <v>0</v>
      </c>
      <c r="BB85" s="183" t="s">
        <v>0</v>
      </c>
      <c r="BC85" s="183" t="s">
        <v>0</v>
      </c>
      <c r="BD85" s="183" t="s">
        <v>0</v>
      </c>
      <c r="BE85" s="183" t="s">
        <v>0</v>
      </c>
      <c r="BF85" s="183" t="s">
        <v>0</v>
      </c>
      <c r="BG85" s="183" t="s">
        <v>0</v>
      </c>
      <c r="BH85" s="183" t="s">
        <v>0</v>
      </c>
      <c r="BI85" s="161"/>
      <c r="DL85">
        <f t="shared" si="427"/>
        <v>0</v>
      </c>
      <c r="DM85">
        <f t="shared" si="428"/>
        <v>0</v>
      </c>
      <c r="DN85">
        <f t="shared" si="429"/>
        <v>0</v>
      </c>
      <c r="DO85">
        <f t="shared" si="430"/>
        <v>0</v>
      </c>
      <c r="DP85">
        <f t="shared" si="431"/>
        <v>0</v>
      </c>
      <c r="DQ85">
        <f t="shared" si="432"/>
        <v>0</v>
      </c>
      <c r="DR85">
        <f t="shared" si="433"/>
        <v>0</v>
      </c>
      <c r="DS85">
        <f t="shared" si="434"/>
        <v>0</v>
      </c>
      <c r="DT85">
        <f t="shared" si="435"/>
        <v>0</v>
      </c>
      <c r="DU85">
        <f t="shared" si="436"/>
        <v>0</v>
      </c>
      <c r="DV85">
        <f t="shared" si="437"/>
        <v>0</v>
      </c>
      <c r="DW85">
        <f t="shared" si="438"/>
        <v>0</v>
      </c>
    </row>
    <row r="86" spans="1:127" x14ac:dyDescent="0.25">
      <c r="A86" s="22">
        <f t="shared" si="375"/>
        <v>80</v>
      </c>
      <c r="B86" s="59" t="str">
        <f t="shared" si="439"/>
        <v>F0013547812</v>
      </c>
      <c r="C86" s="214" t="str">
        <f t="shared" si="440"/>
        <v>82115-0EA00 M</v>
      </c>
      <c r="D86" s="58" t="e">
        <f>VLOOKUP(B86,'Timing Table'!B:G,6,0)</f>
        <v>#N/A</v>
      </c>
      <c r="E86" s="22" t="e">
        <f>VLOOKUP(B86,'Timing Table'!B:D,3,0)</f>
        <v>#N/A</v>
      </c>
      <c r="F86" s="188" t="s">
        <v>60</v>
      </c>
      <c r="G86" s="162" t="s">
        <v>60</v>
      </c>
      <c r="H86" s="163" t="s">
        <v>60</v>
      </c>
      <c r="I86" s="164" t="s">
        <v>60</v>
      </c>
      <c r="J86" s="164" t="s">
        <v>0</v>
      </c>
      <c r="K86" s="164" t="s">
        <v>0</v>
      </c>
      <c r="L86" s="164" t="s">
        <v>0</v>
      </c>
      <c r="M86" s="164" t="s">
        <v>0</v>
      </c>
      <c r="N86" s="164" t="s">
        <v>0</v>
      </c>
      <c r="O86" s="164" t="s">
        <v>0</v>
      </c>
      <c r="P86" s="164" t="s">
        <v>0</v>
      </c>
      <c r="Q86" s="164" t="s">
        <v>0</v>
      </c>
      <c r="R86" s="164" t="s">
        <v>0</v>
      </c>
      <c r="S86" s="164" t="s">
        <v>0</v>
      </c>
      <c r="T86" s="164" t="s">
        <v>0</v>
      </c>
      <c r="U86" s="164" t="s">
        <v>0</v>
      </c>
      <c r="V86" s="164" t="s">
        <v>0</v>
      </c>
      <c r="W86" s="164" t="s">
        <v>0</v>
      </c>
      <c r="X86" s="164" t="s">
        <v>0</v>
      </c>
      <c r="Y86" s="164" t="s">
        <v>0</v>
      </c>
      <c r="Z86" s="164" t="s">
        <v>0</v>
      </c>
      <c r="AA86" s="164" t="s">
        <v>0</v>
      </c>
      <c r="AB86" s="164" t="s">
        <v>0</v>
      </c>
      <c r="AC86" s="164" t="s">
        <v>0</v>
      </c>
      <c r="AD86" s="164" t="s">
        <v>0</v>
      </c>
      <c r="AE86" s="164" t="s">
        <v>0</v>
      </c>
      <c r="AF86" s="164" t="s">
        <v>0</v>
      </c>
      <c r="AG86" s="164" t="s">
        <v>0</v>
      </c>
      <c r="AH86" s="164" t="s">
        <v>0</v>
      </c>
      <c r="AI86" s="164" t="s">
        <v>0</v>
      </c>
      <c r="AJ86" s="164" t="s">
        <v>0</v>
      </c>
      <c r="AK86" s="164" t="s">
        <v>0</v>
      </c>
      <c r="AL86" s="164" t="s">
        <v>0</v>
      </c>
      <c r="AM86" s="164" t="s">
        <v>0</v>
      </c>
      <c r="AN86" s="164" t="s">
        <v>0</v>
      </c>
      <c r="AO86" s="164" t="s">
        <v>0</v>
      </c>
      <c r="AP86" s="164" t="s">
        <v>0</v>
      </c>
      <c r="AQ86" s="164" t="s">
        <v>0</v>
      </c>
      <c r="AR86" s="164" t="s">
        <v>0</v>
      </c>
      <c r="AS86" s="164" t="s">
        <v>0</v>
      </c>
      <c r="AT86" s="164" t="s">
        <v>0</v>
      </c>
      <c r="AU86" s="164" t="s">
        <v>0</v>
      </c>
      <c r="AV86" s="164" t="s">
        <v>0</v>
      </c>
      <c r="AW86" s="164" t="s">
        <v>0</v>
      </c>
      <c r="AX86" s="164" t="s">
        <v>0</v>
      </c>
      <c r="AY86" s="164" t="s">
        <v>0</v>
      </c>
      <c r="AZ86" s="164" t="s">
        <v>0</v>
      </c>
      <c r="BA86" s="164" t="s">
        <v>0</v>
      </c>
      <c r="BB86" s="164" t="s">
        <v>0</v>
      </c>
      <c r="BC86" s="164" t="s">
        <v>0</v>
      </c>
      <c r="BD86" s="164" t="s">
        <v>0</v>
      </c>
      <c r="BE86" s="164" t="s">
        <v>0</v>
      </c>
      <c r="BF86" s="164" t="s">
        <v>0</v>
      </c>
      <c r="BG86" s="164" t="s">
        <v>0</v>
      </c>
      <c r="BH86" s="164" t="s">
        <v>0</v>
      </c>
      <c r="BI86" s="189"/>
      <c r="DL86">
        <f t="shared" si="427"/>
        <v>0</v>
      </c>
      <c r="DM86">
        <f t="shared" si="428"/>
        <v>0</v>
      </c>
      <c r="DN86">
        <f t="shared" si="429"/>
        <v>0</v>
      </c>
      <c r="DO86">
        <f t="shared" si="430"/>
        <v>0</v>
      </c>
      <c r="DP86">
        <f t="shared" si="431"/>
        <v>0</v>
      </c>
      <c r="DQ86">
        <f t="shared" si="432"/>
        <v>0</v>
      </c>
      <c r="DR86">
        <f t="shared" si="433"/>
        <v>0</v>
      </c>
      <c r="DS86">
        <f t="shared" si="434"/>
        <v>0</v>
      </c>
      <c r="DT86">
        <f t="shared" si="435"/>
        <v>0</v>
      </c>
      <c r="DU86">
        <f t="shared" si="436"/>
        <v>0</v>
      </c>
      <c r="DV86">
        <f t="shared" si="437"/>
        <v>0</v>
      </c>
      <c r="DW86">
        <f t="shared" si="438"/>
        <v>0</v>
      </c>
    </row>
    <row r="87" spans="1:127" x14ac:dyDescent="0.25">
      <c r="A87" s="22">
        <f t="shared" si="375"/>
        <v>81</v>
      </c>
      <c r="B87" s="59" t="str">
        <f t="shared" si="439"/>
        <v>F0013547909</v>
      </c>
      <c r="C87" s="214" t="str">
        <f t="shared" si="440"/>
        <v>82115-0E440.</v>
      </c>
      <c r="D87" s="58" t="e">
        <f>VLOOKUP(B87,'Timing Table'!B:G,6,0)</f>
        <v>#N/A</v>
      </c>
      <c r="E87" s="22" t="e">
        <f>VLOOKUP(B87,'Timing Table'!B:D,3,0)</f>
        <v>#N/A</v>
      </c>
      <c r="F87" s="155" t="s">
        <v>61</v>
      </c>
      <c r="G87" s="181">
        <v>5501017954</v>
      </c>
      <c r="H87" s="155" t="s">
        <v>62</v>
      </c>
      <c r="I87" s="181">
        <v>91</v>
      </c>
      <c r="J87" s="155" t="s">
        <v>63</v>
      </c>
      <c r="K87" s="160">
        <v>1146061</v>
      </c>
      <c r="L87" s="161"/>
      <c r="M87" s="190" t="s">
        <v>64</v>
      </c>
      <c r="N87" s="191"/>
      <c r="O87" s="192">
        <v>46086</v>
      </c>
      <c r="P87" s="155" t="s">
        <v>65</v>
      </c>
      <c r="Q87" s="181">
        <v>4</v>
      </c>
      <c r="R87" s="6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0</v>
      </c>
      <c r="AF87" s="7" t="s">
        <v>0</v>
      </c>
      <c r="AG87" s="7" t="s">
        <v>0</v>
      </c>
      <c r="AH87" s="7" t="s">
        <v>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0</v>
      </c>
      <c r="AX87" s="7" t="s">
        <v>0</v>
      </c>
      <c r="AY87" s="7" t="s">
        <v>0</v>
      </c>
      <c r="AZ87" s="7" t="s">
        <v>0</v>
      </c>
      <c r="BA87" s="7" t="s">
        <v>0</v>
      </c>
      <c r="BB87" s="7" t="s">
        <v>0</v>
      </c>
      <c r="BC87" s="7" t="s">
        <v>0</v>
      </c>
      <c r="BD87" s="7" t="s">
        <v>0</v>
      </c>
      <c r="BE87" s="7" t="s">
        <v>0</v>
      </c>
      <c r="BF87" s="7" t="s">
        <v>0</v>
      </c>
      <c r="BG87" s="7" t="s">
        <v>0</v>
      </c>
      <c r="BH87" s="7" t="s">
        <v>0</v>
      </c>
      <c r="BI87" s="8"/>
      <c r="DL87">
        <f t="shared" si="427"/>
        <v>0</v>
      </c>
      <c r="DM87">
        <f t="shared" si="428"/>
        <v>0</v>
      </c>
      <c r="DN87">
        <f t="shared" si="429"/>
        <v>0</v>
      </c>
      <c r="DO87">
        <f t="shared" si="430"/>
        <v>0</v>
      </c>
      <c r="DP87">
        <f t="shared" si="431"/>
        <v>0</v>
      </c>
      <c r="DQ87">
        <f t="shared" si="432"/>
        <v>0</v>
      </c>
      <c r="DR87">
        <f t="shared" si="433"/>
        <v>0</v>
      </c>
      <c r="DS87">
        <f t="shared" si="434"/>
        <v>0</v>
      </c>
      <c r="DT87">
        <f t="shared" si="435"/>
        <v>0</v>
      </c>
      <c r="DU87">
        <f t="shared" si="436"/>
        <v>0</v>
      </c>
      <c r="DV87">
        <f t="shared" si="437"/>
        <v>0</v>
      </c>
      <c r="DW87">
        <f t="shared" si="438"/>
        <v>0</v>
      </c>
    </row>
    <row r="88" spans="1:127" x14ac:dyDescent="0.25">
      <c r="A88" s="22">
        <f t="shared" si="375"/>
        <v>82</v>
      </c>
      <c r="B88" s="59" t="str">
        <f t="shared" si="439"/>
        <v>F0013547909</v>
      </c>
      <c r="C88" s="214" t="str">
        <f t="shared" si="440"/>
        <v>82115-0E440.</v>
      </c>
      <c r="D88" s="58" t="e">
        <f>VLOOKUP(B88,'Timing Table'!B:G,6,0)</f>
        <v>#N/A</v>
      </c>
      <c r="E88" s="22" t="e">
        <f>VLOOKUP(B88,'Timing Table'!B:D,3,0)</f>
        <v>#N/A</v>
      </c>
      <c r="F88" s="155" t="s">
        <v>66</v>
      </c>
      <c r="G88" s="181" t="s">
        <v>331</v>
      </c>
      <c r="H88" s="155" t="s">
        <v>67</v>
      </c>
      <c r="I88" s="182" t="s">
        <v>332</v>
      </c>
      <c r="J88" s="183"/>
      <c r="K88" s="183"/>
      <c r="L88" s="161"/>
      <c r="M88" s="155" t="s">
        <v>68</v>
      </c>
      <c r="N88" s="181">
        <v>2023</v>
      </c>
      <c r="O88" s="184" t="s">
        <v>69</v>
      </c>
      <c r="P88" s="185"/>
      <c r="Q88" s="193" t="s">
        <v>329</v>
      </c>
      <c r="R88" s="156" t="s">
        <v>0</v>
      </c>
      <c r="S88" s="157" t="s">
        <v>0</v>
      </c>
      <c r="T88" s="157" t="s">
        <v>0</v>
      </c>
      <c r="U88" s="157" t="s">
        <v>0</v>
      </c>
      <c r="V88" s="157" t="s">
        <v>0</v>
      </c>
      <c r="W88" s="157" t="s">
        <v>0</v>
      </c>
      <c r="X88" s="157" t="s">
        <v>0</v>
      </c>
      <c r="Y88" s="157" t="s">
        <v>0</v>
      </c>
      <c r="Z88" s="157" t="s">
        <v>0</v>
      </c>
      <c r="AA88" s="157" t="s">
        <v>0</v>
      </c>
      <c r="AB88" s="157" t="s">
        <v>0</v>
      </c>
      <c r="AC88" s="157" t="s">
        <v>0</v>
      </c>
      <c r="AD88" s="157" t="s">
        <v>0</v>
      </c>
      <c r="AE88" s="157" t="s">
        <v>0</v>
      </c>
      <c r="AF88" s="157" t="s">
        <v>0</v>
      </c>
      <c r="AG88" s="157" t="s">
        <v>0</v>
      </c>
      <c r="AH88" s="157" t="s">
        <v>0</v>
      </c>
      <c r="AI88" s="157" t="s">
        <v>0</v>
      </c>
      <c r="AJ88" s="157" t="s">
        <v>0</v>
      </c>
      <c r="AK88" s="157" t="s">
        <v>0</v>
      </c>
      <c r="AL88" s="157" t="s">
        <v>0</v>
      </c>
      <c r="AM88" s="157" t="s">
        <v>0</v>
      </c>
      <c r="AN88" s="157" t="s">
        <v>0</v>
      </c>
      <c r="AO88" s="157" t="s">
        <v>0</v>
      </c>
      <c r="AP88" s="157" t="s">
        <v>0</v>
      </c>
      <c r="AQ88" s="157" t="s">
        <v>0</v>
      </c>
      <c r="AR88" s="157" t="s">
        <v>0</v>
      </c>
      <c r="AS88" s="157" t="s">
        <v>0</v>
      </c>
      <c r="AT88" s="157" t="s">
        <v>0</v>
      </c>
      <c r="AU88" s="157" t="s">
        <v>0</v>
      </c>
      <c r="AV88" s="157" t="s">
        <v>0</v>
      </c>
      <c r="AW88" s="157" t="s">
        <v>0</v>
      </c>
      <c r="AX88" s="157" t="s">
        <v>0</v>
      </c>
      <c r="AY88" s="157" t="s">
        <v>0</v>
      </c>
      <c r="AZ88" s="157" t="s">
        <v>0</v>
      </c>
      <c r="BA88" s="157" t="s">
        <v>0</v>
      </c>
      <c r="BB88" s="157" t="s">
        <v>0</v>
      </c>
      <c r="BC88" s="157" t="s">
        <v>0</v>
      </c>
      <c r="BD88" s="157" t="s">
        <v>0</v>
      </c>
      <c r="BE88" s="157" t="s">
        <v>0</v>
      </c>
      <c r="BF88" s="157" t="s">
        <v>0</v>
      </c>
      <c r="BG88" s="157" t="s">
        <v>0</v>
      </c>
      <c r="BH88" s="157" t="s">
        <v>0</v>
      </c>
      <c r="BI88" s="158"/>
      <c r="DL88">
        <f t="shared" si="427"/>
        <v>0</v>
      </c>
      <c r="DM88">
        <f t="shared" si="428"/>
        <v>0</v>
      </c>
      <c r="DN88">
        <f t="shared" si="429"/>
        <v>0</v>
      </c>
      <c r="DO88">
        <f t="shared" si="430"/>
        <v>0</v>
      </c>
      <c r="DP88">
        <f t="shared" si="431"/>
        <v>0</v>
      </c>
      <c r="DQ88">
        <f t="shared" si="432"/>
        <v>0</v>
      </c>
      <c r="DR88">
        <f t="shared" si="433"/>
        <v>0</v>
      </c>
      <c r="DS88">
        <f t="shared" si="434"/>
        <v>0</v>
      </c>
      <c r="DT88">
        <f t="shared" si="435"/>
        <v>0</v>
      </c>
      <c r="DU88">
        <f t="shared" si="436"/>
        <v>0</v>
      </c>
      <c r="DV88">
        <f t="shared" si="437"/>
        <v>0</v>
      </c>
      <c r="DW88">
        <f t="shared" si="438"/>
        <v>0</v>
      </c>
    </row>
    <row r="89" spans="1:127" x14ac:dyDescent="0.25">
      <c r="A89" s="22">
        <f t="shared" si="375"/>
        <v>83</v>
      </c>
      <c r="B89" s="59" t="str">
        <f t="shared" si="439"/>
        <v>F0013547909</v>
      </c>
      <c r="C89" s="214" t="str">
        <f t="shared" si="440"/>
        <v>82115-0E440.</v>
      </c>
      <c r="D89" s="58" t="e">
        <f>VLOOKUP(B89,'Timing Table'!B:G,6,0)</f>
        <v>#N/A</v>
      </c>
      <c r="E89" s="22" t="e">
        <f>VLOOKUP(B89,'Timing Table'!B:D,3,0)</f>
        <v>#N/A</v>
      </c>
      <c r="F89" s="155" t="s">
        <v>70</v>
      </c>
      <c r="G89" s="181" t="s">
        <v>333</v>
      </c>
      <c r="H89" s="155" t="s">
        <v>71</v>
      </c>
      <c r="I89" s="182" t="s">
        <v>60</v>
      </c>
      <c r="J89" s="161" t="s">
        <v>0</v>
      </c>
      <c r="K89" s="194" t="s">
        <v>0</v>
      </c>
      <c r="L89" s="195" t="s">
        <v>0</v>
      </c>
      <c r="M89" s="179" t="s">
        <v>0</v>
      </c>
      <c r="N89" s="179" t="s">
        <v>0</v>
      </c>
      <c r="O89" s="179" t="s">
        <v>0</v>
      </c>
      <c r="P89" s="179" t="s">
        <v>0</v>
      </c>
      <c r="Q89" s="179" t="s">
        <v>1</v>
      </c>
      <c r="R89" s="179" t="s">
        <v>2</v>
      </c>
      <c r="S89" s="179" t="s">
        <v>0</v>
      </c>
      <c r="T89" s="179" t="s">
        <v>0</v>
      </c>
      <c r="U89" s="179" t="s">
        <v>0</v>
      </c>
      <c r="V89" s="179" t="s">
        <v>0</v>
      </c>
      <c r="W89" s="179" t="s">
        <v>0</v>
      </c>
      <c r="X89" s="179" t="s">
        <v>0</v>
      </c>
      <c r="Y89" s="179" t="s">
        <v>0</v>
      </c>
      <c r="Z89" s="179" t="s">
        <v>3</v>
      </c>
      <c r="AA89" s="179" t="s">
        <v>0</v>
      </c>
      <c r="AB89" s="179" t="s">
        <v>0</v>
      </c>
      <c r="AC89" s="179" t="s">
        <v>0</v>
      </c>
      <c r="AD89" s="179" t="s">
        <v>0</v>
      </c>
      <c r="AE89" s="179" t="s">
        <v>0</v>
      </c>
      <c r="AF89" s="179" t="s">
        <v>0</v>
      </c>
      <c r="AG89" s="179" t="s">
        <v>0</v>
      </c>
      <c r="AH89" s="179" t="s">
        <v>0</v>
      </c>
      <c r="AI89" s="179" t="s">
        <v>0</v>
      </c>
      <c r="AJ89" s="179" t="s">
        <v>0</v>
      </c>
      <c r="AK89" s="179" t="s">
        <v>0</v>
      </c>
      <c r="AL89" s="179" t="s">
        <v>0</v>
      </c>
      <c r="AM89" s="179" t="s">
        <v>0</v>
      </c>
      <c r="AN89" s="179" t="s">
        <v>0</v>
      </c>
      <c r="AO89" s="179" t="s">
        <v>0</v>
      </c>
      <c r="AP89" s="179" t="s">
        <v>0</v>
      </c>
      <c r="AQ89" s="179" t="s">
        <v>0</v>
      </c>
      <c r="AR89" s="179" t="s">
        <v>0</v>
      </c>
      <c r="AS89" s="179" t="s">
        <v>0</v>
      </c>
      <c r="AT89" s="179" t="s">
        <v>0</v>
      </c>
      <c r="AU89" s="179" t="s">
        <v>0</v>
      </c>
      <c r="AV89" s="179" t="s">
        <v>0</v>
      </c>
      <c r="AW89" s="179" t="s">
        <v>0</v>
      </c>
      <c r="AX89" s="179" t="s">
        <v>0</v>
      </c>
      <c r="AY89" s="179" t="s">
        <v>0</v>
      </c>
      <c r="AZ89" s="179" t="s">
        <v>0</v>
      </c>
      <c r="BA89" s="179" t="s">
        <v>0</v>
      </c>
      <c r="BB89" s="179" t="s">
        <v>0</v>
      </c>
      <c r="BC89" s="179" t="s">
        <v>0</v>
      </c>
      <c r="BD89" s="179" t="s">
        <v>0</v>
      </c>
      <c r="BE89" s="179" t="s">
        <v>0</v>
      </c>
      <c r="BF89" s="179" t="s">
        <v>0</v>
      </c>
      <c r="BG89" s="179" t="s">
        <v>0</v>
      </c>
      <c r="BH89" s="179" t="s">
        <v>0</v>
      </c>
      <c r="BI89" s="180" t="s">
        <v>4</v>
      </c>
      <c r="DL89">
        <f t="shared" si="427"/>
        <v>0</v>
      </c>
      <c r="DM89">
        <f t="shared" si="428"/>
        <v>0</v>
      </c>
      <c r="DN89">
        <f t="shared" si="429"/>
        <v>0</v>
      </c>
      <c r="DO89">
        <f t="shared" si="430"/>
        <v>0</v>
      </c>
      <c r="DP89">
        <f t="shared" si="431"/>
        <v>0</v>
      </c>
      <c r="DQ89">
        <f t="shared" si="432"/>
        <v>0</v>
      </c>
      <c r="DR89">
        <f t="shared" si="433"/>
        <v>0</v>
      </c>
      <c r="DS89">
        <f t="shared" si="434"/>
        <v>0</v>
      </c>
      <c r="DT89">
        <f t="shared" si="435"/>
        <v>0</v>
      </c>
      <c r="DU89">
        <f t="shared" si="436"/>
        <v>0</v>
      </c>
      <c r="DV89">
        <f t="shared" si="437"/>
        <v>0</v>
      </c>
      <c r="DW89">
        <f t="shared" si="438"/>
        <v>0</v>
      </c>
    </row>
    <row r="90" spans="1:127" x14ac:dyDescent="0.25">
      <c r="A90" s="22">
        <f t="shared" si="375"/>
        <v>84</v>
      </c>
      <c r="B90" s="59" t="str">
        <f t="shared" si="439"/>
        <v>F0013547909</v>
      </c>
      <c r="C90" s="214" t="str">
        <f t="shared" si="440"/>
        <v>82115-0E440.</v>
      </c>
      <c r="D90" s="58" t="e">
        <f>VLOOKUP(B90,'Timing Table'!B:G,6,0)</f>
        <v>#N/A</v>
      </c>
      <c r="E90" s="22" t="e">
        <f>VLOOKUP(B90,'Timing Table'!B:D,3,0)</f>
        <v>#N/A</v>
      </c>
      <c r="F90" s="155" t="s">
        <v>72</v>
      </c>
      <c r="G90" s="181">
        <v>15736</v>
      </c>
      <c r="H90" s="196" t="s">
        <v>413</v>
      </c>
      <c r="I90" s="197" t="s">
        <v>73</v>
      </c>
      <c r="J90" s="13">
        <v>46041</v>
      </c>
      <c r="K90" s="14">
        <v>46048</v>
      </c>
      <c r="L90" s="14">
        <v>46055</v>
      </c>
      <c r="M90" s="14">
        <v>46062</v>
      </c>
      <c r="N90" s="14">
        <v>46069</v>
      </c>
      <c r="O90" s="14">
        <v>46076</v>
      </c>
      <c r="P90" s="14">
        <v>46083</v>
      </c>
      <c r="Q90" s="14">
        <v>46090</v>
      </c>
      <c r="R90" s="14">
        <v>46097</v>
      </c>
      <c r="S90" s="14">
        <v>46104</v>
      </c>
      <c r="T90" s="14">
        <v>46111</v>
      </c>
      <c r="U90" s="14">
        <v>46118</v>
      </c>
      <c r="V90" s="14">
        <v>46125</v>
      </c>
      <c r="W90" s="14">
        <v>46132</v>
      </c>
      <c r="X90" s="14">
        <v>46139</v>
      </c>
      <c r="Y90" s="14">
        <v>46146</v>
      </c>
      <c r="Z90" s="14">
        <v>46153</v>
      </c>
      <c r="AA90" s="14">
        <v>46160</v>
      </c>
      <c r="AB90" s="14">
        <v>46167</v>
      </c>
      <c r="AC90" s="14">
        <v>46174</v>
      </c>
      <c r="AD90" s="14">
        <v>46181</v>
      </c>
      <c r="AE90" s="14">
        <v>46188</v>
      </c>
      <c r="AF90" s="14">
        <v>46195</v>
      </c>
      <c r="AG90" s="14">
        <v>46202</v>
      </c>
      <c r="AH90" s="14">
        <v>46209</v>
      </c>
      <c r="AI90" s="14">
        <v>46216</v>
      </c>
      <c r="AJ90" s="14">
        <v>46223</v>
      </c>
      <c r="AK90" s="14">
        <v>46230</v>
      </c>
      <c r="AL90" s="14">
        <v>46237</v>
      </c>
      <c r="AM90" s="14">
        <v>46244</v>
      </c>
      <c r="AN90" s="14">
        <v>46251</v>
      </c>
      <c r="AO90" s="14">
        <v>46258</v>
      </c>
      <c r="AP90" s="14">
        <v>46265</v>
      </c>
      <c r="AQ90" s="14">
        <v>46272</v>
      </c>
      <c r="AR90" s="14">
        <v>46279</v>
      </c>
      <c r="AS90" s="14">
        <v>46286</v>
      </c>
      <c r="AT90" s="14">
        <v>46293</v>
      </c>
      <c r="AU90" s="14">
        <v>46300</v>
      </c>
      <c r="AV90" s="14">
        <v>46307</v>
      </c>
      <c r="AW90" s="14">
        <v>46314</v>
      </c>
      <c r="AX90" s="14">
        <v>46321</v>
      </c>
      <c r="AY90" s="14">
        <v>46328</v>
      </c>
      <c r="AZ90" s="14">
        <v>46335</v>
      </c>
      <c r="BA90" s="14">
        <v>46342</v>
      </c>
      <c r="BB90" s="14">
        <v>46349</v>
      </c>
      <c r="BC90" s="14">
        <v>46356</v>
      </c>
      <c r="BD90" s="14">
        <v>46363</v>
      </c>
      <c r="BE90" s="14">
        <v>46370</v>
      </c>
      <c r="BF90" s="14">
        <v>46377</v>
      </c>
      <c r="BG90" s="14">
        <v>46384</v>
      </c>
      <c r="BH90" s="14">
        <v>46391</v>
      </c>
      <c r="BI90" s="15">
        <v>46398</v>
      </c>
      <c r="DL90">
        <f t="shared" si="427"/>
        <v>0</v>
      </c>
      <c r="DM90">
        <f t="shared" si="428"/>
        <v>0</v>
      </c>
      <c r="DN90">
        <f t="shared" si="429"/>
        <v>0</v>
      </c>
      <c r="DO90">
        <f t="shared" si="430"/>
        <v>0</v>
      </c>
      <c r="DP90">
        <f t="shared" si="431"/>
        <v>0</v>
      </c>
      <c r="DQ90">
        <f t="shared" si="432"/>
        <v>0</v>
      </c>
      <c r="DR90">
        <f t="shared" si="433"/>
        <v>0</v>
      </c>
      <c r="DS90">
        <f t="shared" si="434"/>
        <v>0</v>
      </c>
      <c r="DT90">
        <f t="shared" si="435"/>
        <v>0</v>
      </c>
      <c r="DU90">
        <f t="shared" si="436"/>
        <v>0</v>
      </c>
      <c r="DV90">
        <f t="shared" si="437"/>
        <v>0</v>
      </c>
      <c r="DW90">
        <f t="shared" si="438"/>
        <v>0</v>
      </c>
    </row>
    <row r="91" spans="1:127" x14ac:dyDescent="0.25">
      <c r="A91" s="22">
        <f t="shared" si="375"/>
        <v>85</v>
      </c>
      <c r="B91" s="59" t="str">
        <f t="shared" si="439"/>
        <v>F0013547909</v>
      </c>
      <c r="C91" s="214" t="str">
        <f t="shared" si="440"/>
        <v>82115-0E440.</v>
      </c>
      <c r="D91" s="58" t="e">
        <f>VLOOKUP(B91,'Timing Table'!B:G,6,0)</f>
        <v>#N/A</v>
      </c>
      <c r="E91" s="22" t="e">
        <f>VLOOKUP(B91,'Timing Table'!B:D,3,0)</f>
        <v>#N/A</v>
      </c>
      <c r="F91" s="155" t="s">
        <v>74</v>
      </c>
      <c r="G91" s="181">
        <v>16744</v>
      </c>
      <c r="H91" s="5" t="s">
        <v>60</v>
      </c>
      <c r="I91" s="11" t="s">
        <v>147</v>
      </c>
      <c r="J91" s="16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17"/>
      <c r="DL91">
        <f t="shared" si="427"/>
        <v>0</v>
      </c>
      <c r="DM91">
        <f t="shared" si="428"/>
        <v>0</v>
      </c>
      <c r="DN91">
        <f t="shared" si="429"/>
        <v>0</v>
      </c>
      <c r="DO91">
        <f t="shared" si="430"/>
        <v>0</v>
      </c>
      <c r="DP91">
        <f t="shared" si="431"/>
        <v>0</v>
      </c>
      <c r="DQ91">
        <f t="shared" si="432"/>
        <v>0</v>
      </c>
      <c r="DR91">
        <f t="shared" si="433"/>
        <v>0</v>
      </c>
      <c r="DS91">
        <f t="shared" si="434"/>
        <v>0</v>
      </c>
      <c r="DT91">
        <f t="shared" si="435"/>
        <v>0</v>
      </c>
      <c r="DU91">
        <f t="shared" si="436"/>
        <v>0</v>
      </c>
      <c r="DV91">
        <f t="shared" si="437"/>
        <v>0</v>
      </c>
      <c r="DW91">
        <f t="shared" si="438"/>
        <v>0</v>
      </c>
    </row>
    <row r="92" spans="1:127" x14ac:dyDescent="0.25">
      <c r="A92" s="22">
        <f t="shared" si="375"/>
        <v>86</v>
      </c>
      <c r="B92" s="59" t="str">
        <f t="shared" si="439"/>
        <v>F0013547909</v>
      </c>
      <c r="C92" s="214" t="str">
        <f t="shared" si="440"/>
        <v>82115-0E440.</v>
      </c>
      <c r="D92" s="58" t="e">
        <f>VLOOKUP(B92,'Timing Table'!B:G,6,0)</f>
        <v>#N/A</v>
      </c>
      <c r="E92" s="22" t="e">
        <f>VLOOKUP(B92,'Timing Table'!B:D,3,0)</f>
        <v>#N/A</v>
      </c>
      <c r="F92" s="155" t="s">
        <v>75</v>
      </c>
      <c r="G92" s="198" t="s">
        <v>175</v>
      </c>
      <c r="H92" s="9" t="s">
        <v>173</v>
      </c>
      <c r="I92" s="11" t="s">
        <v>76</v>
      </c>
      <c r="J92" s="143">
        <v>1224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144">
        <v>0</v>
      </c>
      <c r="BJ92" s="24" t="str">
        <f>+G89</f>
        <v>82115-0E440.</v>
      </c>
      <c r="BK92" s="24">
        <f>+J92</f>
        <v>1224</v>
      </c>
      <c r="BL92" s="24">
        <f t="shared" ref="BL92" si="492">+K92</f>
        <v>0</v>
      </c>
      <c r="BM92" s="24">
        <f t="shared" ref="BM92" si="493">+L92</f>
        <v>0</v>
      </c>
      <c r="BN92" s="24">
        <f t="shared" ref="BN92" si="494">+M92</f>
        <v>0</v>
      </c>
      <c r="BO92" s="24">
        <f t="shared" ref="BO92" si="495">+N92</f>
        <v>0</v>
      </c>
      <c r="BP92" s="24">
        <f t="shared" ref="BP92" si="496">+O92</f>
        <v>0</v>
      </c>
      <c r="BQ92" s="24">
        <f t="shared" ref="BQ92" si="497">+P92</f>
        <v>0</v>
      </c>
      <c r="BR92" s="24">
        <f t="shared" ref="BR92" si="498">+Q92</f>
        <v>0</v>
      </c>
      <c r="BS92" s="24">
        <f t="shared" ref="BS92" si="499">+R92</f>
        <v>0</v>
      </c>
      <c r="BT92" s="24">
        <f t="shared" ref="BT92" si="500">+S92</f>
        <v>0</v>
      </c>
      <c r="BU92" s="24">
        <f t="shared" ref="BU92" si="501">+T92</f>
        <v>0</v>
      </c>
      <c r="BV92" s="24">
        <f t="shared" ref="BV92" si="502">+U92</f>
        <v>0</v>
      </c>
      <c r="BW92" s="24">
        <f t="shared" ref="BW92" si="503">+V92</f>
        <v>0</v>
      </c>
      <c r="BX92" s="24">
        <f t="shared" ref="BX92" si="504">+W92</f>
        <v>0</v>
      </c>
      <c r="BY92" s="24">
        <f t="shared" ref="BY92" si="505">+X92</f>
        <v>0</v>
      </c>
      <c r="BZ92" s="24">
        <f t="shared" ref="BZ92" si="506">+Y92</f>
        <v>0</v>
      </c>
      <c r="CA92" s="24">
        <f t="shared" ref="CA92" si="507">+Z92</f>
        <v>0</v>
      </c>
      <c r="CB92" s="24">
        <f t="shared" ref="CB92" si="508">+AA92</f>
        <v>0</v>
      </c>
      <c r="CC92" s="24">
        <f t="shared" ref="CC92" si="509">+AB92</f>
        <v>0</v>
      </c>
      <c r="CD92" s="24">
        <f t="shared" ref="CD92" si="510">+AC92</f>
        <v>0</v>
      </c>
      <c r="CE92" s="24">
        <f t="shared" ref="CE92" si="511">+AD92</f>
        <v>0</v>
      </c>
      <c r="CF92" s="24">
        <f t="shared" ref="CF92" si="512">+AE92</f>
        <v>0</v>
      </c>
      <c r="CG92" s="24">
        <f t="shared" ref="CG92" si="513">+AF92</f>
        <v>0</v>
      </c>
      <c r="CH92" s="24">
        <f t="shared" ref="CH92" si="514">+AG92</f>
        <v>0</v>
      </c>
      <c r="CI92" s="24">
        <f t="shared" ref="CI92" si="515">+AH92</f>
        <v>0</v>
      </c>
      <c r="CJ92" s="24">
        <f t="shared" ref="CJ92" si="516">+AI92</f>
        <v>0</v>
      </c>
      <c r="CK92" s="24">
        <f t="shared" ref="CK92" si="517">+AJ92</f>
        <v>0</v>
      </c>
      <c r="CL92" s="24">
        <f t="shared" ref="CL92" si="518">+AK92</f>
        <v>0</v>
      </c>
      <c r="CM92" s="24">
        <f t="shared" ref="CM92" si="519">+AL92</f>
        <v>0</v>
      </c>
      <c r="CN92" s="24">
        <f t="shared" ref="CN92" si="520">+AM92</f>
        <v>0</v>
      </c>
      <c r="CO92" s="24">
        <f t="shared" ref="CO92" si="521">+AN92</f>
        <v>0</v>
      </c>
      <c r="CP92" s="166">
        <f t="shared" ref="CP92" si="522">+AO92</f>
        <v>0</v>
      </c>
      <c r="CQ92" s="166">
        <f t="shared" ref="CQ92" si="523">+AP92</f>
        <v>0</v>
      </c>
      <c r="CR92">
        <f t="shared" ref="CR92" si="524">+AQ92</f>
        <v>0</v>
      </c>
      <c r="CS92">
        <f t="shared" ref="CS92" si="525">+AR92</f>
        <v>0</v>
      </c>
      <c r="CT92">
        <f t="shared" ref="CT92" si="526">+AS92</f>
        <v>0</v>
      </c>
      <c r="CU92">
        <f t="shared" ref="CU92" si="527">+AT92</f>
        <v>0</v>
      </c>
      <c r="CV92">
        <f t="shared" ref="CV92" si="528">+AU92</f>
        <v>0</v>
      </c>
      <c r="CW92">
        <f t="shared" ref="CW92" si="529">+AV92</f>
        <v>0</v>
      </c>
      <c r="CX92">
        <f t="shared" ref="CX92" si="530">+AW92</f>
        <v>0</v>
      </c>
      <c r="CY92">
        <f t="shared" ref="CY92" si="531">+AX92</f>
        <v>0</v>
      </c>
      <c r="CZ92">
        <f t="shared" ref="CZ92" si="532">+AY92</f>
        <v>0</v>
      </c>
      <c r="DA92">
        <f t="shared" ref="DA92" si="533">+AZ92</f>
        <v>0</v>
      </c>
      <c r="DB92">
        <f t="shared" ref="DB92" si="534">+BA92</f>
        <v>0</v>
      </c>
      <c r="DC92">
        <f t="shared" ref="DC92" si="535">+BB92</f>
        <v>0</v>
      </c>
      <c r="DD92">
        <f t="shared" ref="DD92" si="536">+BC92</f>
        <v>0</v>
      </c>
      <c r="DE92">
        <f t="shared" ref="DE92" si="537">+BD92</f>
        <v>0</v>
      </c>
      <c r="DF92">
        <f t="shared" ref="DF92" si="538">+BE92</f>
        <v>0</v>
      </c>
      <c r="DG92">
        <f t="shared" ref="DG92" si="539">+BF92</f>
        <v>0</v>
      </c>
      <c r="DH92">
        <f t="shared" ref="DH92" si="540">+BG92</f>
        <v>0</v>
      </c>
      <c r="DI92">
        <f t="shared" ref="DI92" si="541">+BH92</f>
        <v>0</v>
      </c>
      <c r="DJ92">
        <f t="shared" ref="DJ92" si="542">+BI92</f>
        <v>0</v>
      </c>
      <c r="DL92" s="24">
        <f t="shared" si="427"/>
        <v>1224</v>
      </c>
      <c r="DM92" s="24">
        <f t="shared" si="428"/>
        <v>0</v>
      </c>
      <c r="DN92" s="24">
        <f t="shared" si="429"/>
        <v>0</v>
      </c>
      <c r="DO92" s="24">
        <f t="shared" si="430"/>
        <v>0</v>
      </c>
      <c r="DP92" s="24">
        <f t="shared" si="431"/>
        <v>0</v>
      </c>
      <c r="DQ92" s="24">
        <f t="shared" si="432"/>
        <v>0</v>
      </c>
      <c r="DR92" s="24">
        <f t="shared" si="433"/>
        <v>0</v>
      </c>
      <c r="DS92" s="24">
        <f t="shared" si="434"/>
        <v>0</v>
      </c>
      <c r="DT92" s="24">
        <f t="shared" si="435"/>
        <v>0</v>
      </c>
      <c r="DU92">
        <f t="shared" si="436"/>
        <v>0</v>
      </c>
      <c r="DV92">
        <f t="shared" si="437"/>
        <v>0</v>
      </c>
      <c r="DW92">
        <f t="shared" si="438"/>
        <v>0</v>
      </c>
    </row>
    <row r="93" spans="1:127" x14ac:dyDescent="0.25">
      <c r="A93" s="22">
        <f t="shared" si="375"/>
        <v>87</v>
      </c>
      <c r="B93" s="59" t="str">
        <f t="shared" si="439"/>
        <v>F0013547909</v>
      </c>
      <c r="C93" s="214" t="str">
        <f t="shared" si="440"/>
        <v>82115-0E440.</v>
      </c>
      <c r="D93" s="58" t="e">
        <f>VLOOKUP(B93,'Timing Table'!B:G,6,0)</f>
        <v>#N/A</v>
      </c>
      <c r="E93" s="22" t="e">
        <f>VLOOKUP(B93,'Timing Table'!B:D,3,0)</f>
        <v>#N/A</v>
      </c>
      <c r="F93" s="155" t="s">
        <v>77</v>
      </c>
      <c r="G93" s="181">
        <v>82115</v>
      </c>
      <c r="H93" s="10" t="s">
        <v>173</v>
      </c>
      <c r="I93" s="12" t="s">
        <v>78</v>
      </c>
      <c r="J93" s="152">
        <v>15736</v>
      </c>
      <c r="K93" s="153">
        <v>15736</v>
      </c>
      <c r="L93" s="153">
        <v>15736</v>
      </c>
      <c r="M93" s="153">
        <v>15736</v>
      </c>
      <c r="N93" s="153">
        <v>15736</v>
      </c>
      <c r="O93" s="153">
        <v>15736</v>
      </c>
      <c r="P93" s="153">
        <v>15736</v>
      </c>
      <c r="Q93" s="153">
        <v>15736</v>
      </c>
      <c r="R93" s="153">
        <v>15736</v>
      </c>
      <c r="S93" s="153">
        <v>15736</v>
      </c>
      <c r="T93" s="153">
        <v>15736</v>
      </c>
      <c r="U93" s="153">
        <v>15736</v>
      </c>
      <c r="V93" s="153">
        <v>15736</v>
      </c>
      <c r="W93" s="153">
        <v>15736</v>
      </c>
      <c r="X93" s="153">
        <v>15736</v>
      </c>
      <c r="Y93" s="153">
        <v>15736</v>
      </c>
      <c r="Z93" s="153">
        <v>15736</v>
      </c>
      <c r="AA93" s="153">
        <v>15736</v>
      </c>
      <c r="AB93" s="153">
        <v>15736</v>
      </c>
      <c r="AC93" s="153">
        <v>15736</v>
      </c>
      <c r="AD93" s="153">
        <v>15736</v>
      </c>
      <c r="AE93" s="153">
        <v>15736</v>
      </c>
      <c r="AF93" s="153">
        <v>15736</v>
      </c>
      <c r="AG93" s="153">
        <v>15736</v>
      </c>
      <c r="AH93" s="153">
        <v>15736</v>
      </c>
      <c r="AI93" s="153">
        <v>15736</v>
      </c>
      <c r="AJ93" s="153">
        <v>15736</v>
      </c>
      <c r="AK93" s="153">
        <v>15736</v>
      </c>
      <c r="AL93" s="153">
        <v>15736</v>
      </c>
      <c r="AM93" s="153">
        <v>15736</v>
      </c>
      <c r="AN93" s="153">
        <v>15736</v>
      </c>
      <c r="AO93" s="153">
        <v>15736</v>
      </c>
      <c r="AP93" s="153">
        <v>15736</v>
      </c>
      <c r="AQ93" s="153">
        <v>15736</v>
      </c>
      <c r="AR93" s="153">
        <v>15736</v>
      </c>
      <c r="AS93" s="153">
        <v>15736</v>
      </c>
      <c r="AT93" s="153">
        <v>15736</v>
      </c>
      <c r="AU93" s="153">
        <v>15736</v>
      </c>
      <c r="AV93" s="153">
        <v>15736</v>
      </c>
      <c r="AW93" s="153">
        <v>15736</v>
      </c>
      <c r="AX93" s="153">
        <v>15736</v>
      </c>
      <c r="AY93" s="153">
        <v>15736</v>
      </c>
      <c r="AZ93" s="153">
        <v>15736</v>
      </c>
      <c r="BA93" s="153">
        <v>15736</v>
      </c>
      <c r="BB93" s="153">
        <v>15736</v>
      </c>
      <c r="BC93" s="153">
        <v>15736</v>
      </c>
      <c r="BD93" s="153">
        <v>15736</v>
      </c>
      <c r="BE93" s="153">
        <v>15736</v>
      </c>
      <c r="BF93" s="153">
        <v>15736</v>
      </c>
      <c r="BG93" s="153">
        <v>15736</v>
      </c>
      <c r="BH93" s="153">
        <v>15736</v>
      </c>
      <c r="BI93" s="153">
        <v>15736</v>
      </c>
      <c r="DL93">
        <f t="shared" si="427"/>
        <v>0</v>
      </c>
      <c r="DM93">
        <f t="shared" si="428"/>
        <v>0</v>
      </c>
      <c r="DN93">
        <f t="shared" si="429"/>
        <v>0</v>
      </c>
      <c r="DO93">
        <f t="shared" si="430"/>
        <v>0</v>
      </c>
      <c r="DP93">
        <f t="shared" si="431"/>
        <v>0</v>
      </c>
      <c r="DQ93">
        <f t="shared" si="432"/>
        <v>0</v>
      </c>
      <c r="DR93">
        <f t="shared" si="433"/>
        <v>0</v>
      </c>
      <c r="DS93">
        <f t="shared" si="434"/>
        <v>0</v>
      </c>
      <c r="DT93">
        <f t="shared" si="435"/>
        <v>0</v>
      </c>
      <c r="DU93">
        <f t="shared" si="436"/>
        <v>0</v>
      </c>
      <c r="DV93">
        <f t="shared" si="437"/>
        <v>0</v>
      </c>
      <c r="DW93">
        <f t="shared" si="438"/>
        <v>0</v>
      </c>
    </row>
    <row r="94" spans="1:127" x14ac:dyDescent="0.25">
      <c r="A94" s="22">
        <f t="shared" si="375"/>
        <v>88</v>
      </c>
      <c r="B94" s="59" t="str">
        <f t="shared" si="439"/>
        <v>F0013547909</v>
      </c>
      <c r="C94" s="214" t="str">
        <f t="shared" si="440"/>
        <v>82115-0E440.</v>
      </c>
      <c r="D94" s="58" t="e">
        <f>VLOOKUP(B94,'Timing Table'!B:G,6,0)</f>
        <v>#N/A</v>
      </c>
      <c r="E94" s="22" t="e">
        <f>VLOOKUP(B94,'Timing Table'!B:D,3,0)</f>
        <v>#N/A</v>
      </c>
      <c r="F94" s="155" t="s">
        <v>79</v>
      </c>
      <c r="G94" s="199">
        <v>14512</v>
      </c>
      <c r="H94" s="184" t="s">
        <v>80</v>
      </c>
      <c r="I94" s="185"/>
      <c r="J94" s="200" t="s">
        <v>507</v>
      </c>
      <c r="K94" s="156"/>
      <c r="L94" s="157" t="s">
        <v>0</v>
      </c>
      <c r="M94" s="157" t="s">
        <v>0</v>
      </c>
      <c r="N94" s="157" t="s">
        <v>0</v>
      </c>
      <c r="O94" s="157" t="s">
        <v>0</v>
      </c>
      <c r="P94" s="157" t="s">
        <v>0</v>
      </c>
      <c r="Q94" s="157" t="s">
        <v>0</v>
      </c>
      <c r="R94" s="157" t="s">
        <v>0</v>
      </c>
      <c r="S94" s="157" t="s">
        <v>0</v>
      </c>
      <c r="T94" s="157" t="s">
        <v>0</v>
      </c>
      <c r="U94" s="157" t="s">
        <v>0</v>
      </c>
      <c r="V94" s="157" t="s">
        <v>0</v>
      </c>
      <c r="W94" s="157" t="s">
        <v>0</v>
      </c>
      <c r="X94" s="157" t="s">
        <v>0</v>
      </c>
      <c r="Y94" s="157" t="s">
        <v>0</v>
      </c>
      <c r="Z94" s="157" t="s">
        <v>0</v>
      </c>
      <c r="AA94" s="157" t="s">
        <v>0</v>
      </c>
      <c r="AB94" s="157" t="s">
        <v>0</v>
      </c>
      <c r="AC94" s="157" t="s">
        <v>0</v>
      </c>
      <c r="AD94" s="157" t="s">
        <v>0</v>
      </c>
      <c r="AE94" s="157" t="s">
        <v>0</v>
      </c>
      <c r="AF94" s="157" t="s">
        <v>0</v>
      </c>
      <c r="AG94" s="157" t="s">
        <v>0</v>
      </c>
      <c r="AH94" s="157" t="s">
        <v>0</v>
      </c>
      <c r="AI94" s="157" t="s">
        <v>0</v>
      </c>
      <c r="AJ94" s="157" t="s">
        <v>0</v>
      </c>
      <c r="AK94" s="157" t="s">
        <v>0</v>
      </c>
      <c r="AL94" s="157" t="s">
        <v>0</v>
      </c>
      <c r="AM94" s="157" t="s">
        <v>0</v>
      </c>
      <c r="AN94" s="157" t="s">
        <v>0</v>
      </c>
      <c r="AO94" s="157" t="s">
        <v>0</v>
      </c>
      <c r="AP94" s="157" t="s">
        <v>0</v>
      </c>
      <c r="AQ94" s="157" t="s">
        <v>0</v>
      </c>
      <c r="AR94" s="157" t="s">
        <v>0</v>
      </c>
      <c r="AS94" s="157" t="s">
        <v>0</v>
      </c>
      <c r="AT94" s="157" t="s">
        <v>0</v>
      </c>
      <c r="AU94" s="157" t="s">
        <v>0</v>
      </c>
      <c r="AV94" s="157" t="s">
        <v>0</v>
      </c>
      <c r="AW94" s="157" t="s">
        <v>0</v>
      </c>
      <c r="AX94" s="157" t="s">
        <v>0</v>
      </c>
      <c r="AY94" s="157" t="s">
        <v>0</v>
      </c>
      <c r="AZ94" s="157" t="s">
        <v>0</v>
      </c>
      <c r="BA94" s="157" t="s">
        <v>0</v>
      </c>
      <c r="BB94" s="157" t="s">
        <v>0</v>
      </c>
      <c r="BC94" s="157" t="s">
        <v>0</v>
      </c>
      <c r="BD94" s="157" t="s">
        <v>0</v>
      </c>
      <c r="BE94" s="157" t="s">
        <v>0</v>
      </c>
      <c r="BF94" s="157" t="s">
        <v>0</v>
      </c>
      <c r="BG94" s="157" t="s">
        <v>0</v>
      </c>
      <c r="BH94" s="157" t="s">
        <v>0</v>
      </c>
      <c r="BI94" s="158"/>
      <c r="DL94">
        <f t="shared" si="427"/>
        <v>0</v>
      </c>
      <c r="DM94">
        <f t="shared" si="428"/>
        <v>0</v>
      </c>
      <c r="DN94">
        <f t="shared" si="429"/>
        <v>0</v>
      </c>
      <c r="DO94">
        <f t="shared" si="430"/>
        <v>0</v>
      </c>
      <c r="DP94">
        <f t="shared" si="431"/>
        <v>0</v>
      </c>
      <c r="DQ94">
        <f t="shared" si="432"/>
        <v>0</v>
      </c>
      <c r="DR94">
        <f t="shared" si="433"/>
        <v>0</v>
      </c>
      <c r="DS94">
        <f t="shared" si="434"/>
        <v>0</v>
      </c>
      <c r="DT94">
        <f t="shared" si="435"/>
        <v>0</v>
      </c>
      <c r="DU94">
        <f t="shared" si="436"/>
        <v>0</v>
      </c>
      <c r="DV94">
        <f t="shared" si="437"/>
        <v>0</v>
      </c>
      <c r="DW94">
        <f t="shared" si="438"/>
        <v>0</v>
      </c>
    </row>
    <row r="95" spans="1:127" x14ac:dyDescent="0.25">
      <c r="A95" s="22">
        <f t="shared" si="375"/>
        <v>89</v>
      </c>
      <c r="B95" s="59" t="str">
        <f t="shared" si="439"/>
        <v>F0013547909</v>
      </c>
      <c r="C95" s="214" t="str">
        <f>IF(F95=$F$7,#REF!,C94)</f>
        <v>82115-0E440.</v>
      </c>
      <c r="D95" s="58" t="e">
        <f>VLOOKUP(B95,'Timing Table'!B:G,6,0)</f>
        <v>#N/A</v>
      </c>
      <c r="E95" s="22" t="e">
        <f>VLOOKUP(B95,'Timing Table'!B:D,3,0)</f>
        <v>#N/A</v>
      </c>
      <c r="F95" s="159" t="s">
        <v>81</v>
      </c>
      <c r="G95" s="160" t="s">
        <v>60</v>
      </c>
      <c r="H95" s="201" t="s">
        <v>60</v>
      </c>
      <c r="I95" s="183" t="s">
        <v>60</v>
      </c>
      <c r="J95" s="183" t="s">
        <v>0</v>
      </c>
      <c r="K95" s="183" t="s">
        <v>0</v>
      </c>
      <c r="L95" s="183" t="s">
        <v>0</v>
      </c>
      <c r="M95" s="183" t="s">
        <v>0</v>
      </c>
      <c r="N95" s="183" t="s">
        <v>0</v>
      </c>
      <c r="O95" s="183" t="s">
        <v>0</v>
      </c>
      <c r="P95" s="183" t="s">
        <v>0</v>
      </c>
      <c r="Q95" s="183" t="s">
        <v>0</v>
      </c>
      <c r="R95" s="183" t="s">
        <v>0</v>
      </c>
      <c r="S95" s="183" t="s">
        <v>0</v>
      </c>
      <c r="T95" s="183" t="s">
        <v>0</v>
      </c>
      <c r="U95" s="183" t="s">
        <v>0</v>
      </c>
      <c r="V95" s="183" t="s">
        <v>0</v>
      </c>
      <c r="W95" s="183" t="s">
        <v>0</v>
      </c>
      <c r="X95" s="183" t="s">
        <v>0</v>
      </c>
      <c r="Y95" s="183" t="s">
        <v>0</v>
      </c>
      <c r="Z95" s="183" t="s">
        <v>0</v>
      </c>
      <c r="AA95" s="183" t="s">
        <v>0</v>
      </c>
      <c r="AB95" s="183" t="s">
        <v>0</v>
      </c>
      <c r="AC95" s="183" t="s">
        <v>0</v>
      </c>
      <c r="AD95" s="183" t="s">
        <v>0</v>
      </c>
      <c r="AE95" s="183" t="s">
        <v>0</v>
      </c>
      <c r="AF95" s="183" t="s">
        <v>0</v>
      </c>
      <c r="AG95" s="183" t="s">
        <v>0</v>
      </c>
      <c r="AH95" s="183" t="s">
        <v>0</v>
      </c>
      <c r="AI95" s="183" t="s">
        <v>0</v>
      </c>
      <c r="AJ95" s="183" t="s">
        <v>0</v>
      </c>
      <c r="AK95" s="183" t="s">
        <v>0</v>
      </c>
      <c r="AL95" s="183" t="s">
        <v>0</v>
      </c>
      <c r="AM95" s="183" t="s">
        <v>0</v>
      </c>
      <c r="AN95" s="183" t="s">
        <v>0</v>
      </c>
      <c r="AO95" s="183" t="s">
        <v>0</v>
      </c>
      <c r="AP95" s="183" t="s">
        <v>0</v>
      </c>
      <c r="AQ95" s="183" t="s">
        <v>0</v>
      </c>
      <c r="AR95" s="183" t="s">
        <v>0</v>
      </c>
      <c r="AS95" s="183" t="s">
        <v>0</v>
      </c>
      <c r="AT95" s="183" t="s">
        <v>0</v>
      </c>
      <c r="AU95" s="183" t="s">
        <v>0</v>
      </c>
      <c r="AV95" s="183" t="s">
        <v>0</v>
      </c>
      <c r="AW95" s="183" t="s">
        <v>0</v>
      </c>
      <c r="AX95" s="183" t="s">
        <v>0</v>
      </c>
      <c r="AY95" s="183" t="s">
        <v>0</v>
      </c>
      <c r="AZ95" s="183" t="s">
        <v>0</v>
      </c>
      <c r="BA95" s="183" t="s">
        <v>0</v>
      </c>
      <c r="BB95" s="183" t="s">
        <v>0</v>
      </c>
      <c r="BC95" s="183" t="s">
        <v>0</v>
      </c>
      <c r="BD95" s="183" t="s">
        <v>0</v>
      </c>
      <c r="BE95" s="183" t="s">
        <v>0</v>
      </c>
      <c r="BF95" s="183" t="s">
        <v>0</v>
      </c>
      <c r="BG95" s="183" t="s">
        <v>0</v>
      </c>
      <c r="BH95" s="183" t="s">
        <v>0</v>
      </c>
      <c r="BI95" s="161"/>
      <c r="DL95">
        <f t="shared" si="427"/>
        <v>0</v>
      </c>
      <c r="DM95">
        <f t="shared" si="428"/>
        <v>0</v>
      </c>
      <c r="DN95">
        <f t="shared" si="429"/>
        <v>0</v>
      </c>
      <c r="DO95">
        <f t="shared" si="430"/>
        <v>0</v>
      </c>
      <c r="DP95">
        <f t="shared" si="431"/>
        <v>0</v>
      </c>
      <c r="DQ95">
        <f t="shared" si="432"/>
        <v>0</v>
      </c>
      <c r="DR95">
        <f t="shared" si="433"/>
        <v>0</v>
      </c>
      <c r="DS95">
        <f t="shared" si="434"/>
        <v>0</v>
      </c>
      <c r="DT95">
        <f t="shared" si="435"/>
        <v>0</v>
      </c>
      <c r="DU95">
        <f t="shared" si="436"/>
        <v>0</v>
      </c>
      <c r="DV95">
        <f t="shared" si="437"/>
        <v>0</v>
      </c>
      <c r="DW95">
        <f t="shared" si="438"/>
        <v>0</v>
      </c>
    </row>
    <row r="96" spans="1:127" x14ac:dyDescent="0.25">
      <c r="A96" s="22">
        <f t="shared" si="375"/>
        <v>90</v>
      </c>
      <c r="B96" s="59" t="str">
        <f>IF(F96=$F$7,#REF!,B95)</f>
        <v>F0013547909</v>
      </c>
      <c r="C96" s="214" t="str">
        <f>IF(F96=$F$7,#REF!,C95)</f>
        <v>82115-0E440.</v>
      </c>
      <c r="D96" s="58" t="e">
        <f>VLOOKUP(B96,'Timing Table'!B:G,6,0)</f>
        <v>#N/A</v>
      </c>
      <c r="E96" s="22" t="e">
        <f>VLOOKUP(B96,'Timing Table'!B:D,3,0)</f>
        <v>#N/A</v>
      </c>
      <c r="F96" s="188" t="s">
        <v>60</v>
      </c>
      <c r="G96" s="162" t="s">
        <v>60</v>
      </c>
      <c r="H96" s="163" t="s">
        <v>60</v>
      </c>
      <c r="I96" s="164" t="s">
        <v>60</v>
      </c>
      <c r="J96" s="164" t="s">
        <v>0</v>
      </c>
      <c r="K96" s="164" t="s">
        <v>0</v>
      </c>
      <c r="L96" s="164" t="s">
        <v>0</v>
      </c>
      <c r="M96" s="164" t="s">
        <v>0</v>
      </c>
      <c r="N96" s="164" t="s">
        <v>0</v>
      </c>
      <c r="O96" s="164" t="s">
        <v>0</v>
      </c>
      <c r="P96" s="164" t="s">
        <v>0</v>
      </c>
      <c r="Q96" s="164" t="s">
        <v>0</v>
      </c>
      <c r="R96" s="164" t="s">
        <v>0</v>
      </c>
      <c r="S96" s="164" t="s">
        <v>0</v>
      </c>
      <c r="T96" s="164" t="s">
        <v>0</v>
      </c>
      <c r="U96" s="164" t="s">
        <v>0</v>
      </c>
      <c r="V96" s="164" t="s">
        <v>0</v>
      </c>
      <c r="W96" s="164" t="s">
        <v>0</v>
      </c>
      <c r="X96" s="164" t="s">
        <v>0</v>
      </c>
      <c r="Y96" s="164" t="s">
        <v>0</v>
      </c>
      <c r="Z96" s="164" t="s">
        <v>0</v>
      </c>
      <c r="AA96" s="164" t="s">
        <v>0</v>
      </c>
      <c r="AB96" s="164" t="s">
        <v>0</v>
      </c>
      <c r="AC96" s="164" t="s">
        <v>0</v>
      </c>
      <c r="AD96" s="164" t="s">
        <v>0</v>
      </c>
      <c r="AE96" s="164" t="s">
        <v>0</v>
      </c>
      <c r="AF96" s="164" t="s">
        <v>0</v>
      </c>
      <c r="AG96" s="164" t="s">
        <v>0</v>
      </c>
      <c r="AH96" s="164" t="s">
        <v>0</v>
      </c>
      <c r="AI96" s="164" t="s">
        <v>0</v>
      </c>
      <c r="AJ96" s="164" t="s">
        <v>0</v>
      </c>
      <c r="AK96" s="164" t="s">
        <v>0</v>
      </c>
      <c r="AL96" s="164" t="s">
        <v>0</v>
      </c>
      <c r="AM96" s="164" t="s">
        <v>0</v>
      </c>
      <c r="AN96" s="164" t="s">
        <v>0</v>
      </c>
      <c r="AO96" s="164" t="s">
        <v>0</v>
      </c>
      <c r="AP96" s="164" t="s">
        <v>0</v>
      </c>
      <c r="AQ96" s="164" t="s">
        <v>0</v>
      </c>
      <c r="AR96" s="164" t="s">
        <v>0</v>
      </c>
      <c r="AS96" s="164" t="s">
        <v>0</v>
      </c>
      <c r="AT96" s="164" t="s">
        <v>0</v>
      </c>
      <c r="AU96" s="164" t="s">
        <v>0</v>
      </c>
      <c r="AV96" s="164" t="s">
        <v>0</v>
      </c>
      <c r="AW96" s="164" t="s">
        <v>0</v>
      </c>
      <c r="AX96" s="164" t="s">
        <v>0</v>
      </c>
      <c r="AY96" s="164" t="s">
        <v>0</v>
      </c>
      <c r="AZ96" s="164" t="s">
        <v>0</v>
      </c>
      <c r="BA96" s="164" t="s">
        <v>0</v>
      </c>
      <c r="BB96" s="164" t="s">
        <v>0</v>
      </c>
      <c r="BC96" s="164" t="s">
        <v>0</v>
      </c>
      <c r="BD96" s="164" t="s">
        <v>0</v>
      </c>
      <c r="BE96" s="164" t="s">
        <v>0</v>
      </c>
      <c r="BF96" s="164" t="s">
        <v>0</v>
      </c>
      <c r="BG96" s="164" t="s">
        <v>0</v>
      </c>
      <c r="BH96" s="164" t="s">
        <v>0</v>
      </c>
      <c r="BI96" s="189"/>
      <c r="DL96">
        <f t="shared" si="427"/>
        <v>0</v>
      </c>
      <c r="DM96">
        <f t="shared" si="428"/>
        <v>0</v>
      </c>
      <c r="DN96">
        <f t="shared" si="429"/>
        <v>0</v>
      </c>
      <c r="DO96">
        <f t="shared" si="430"/>
        <v>0</v>
      </c>
      <c r="DP96">
        <f t="shared" si="431"/>
        <v>0</v>
      </c>
      <c r="DQ96">
        <f t="shared" si="432"/>
        <v>0</v>
      </c>
      <c r="DR96">
        <f t="shared" si="433"/>
        <v>0</v>
      </c>
      <c r="DS96">
        <f t="shared" si="434"/>
        <v>0</v>
      </c>
      <c r="DT96">
        <f t="shared" si="435"/>
        <v>0</v>
      </c>
      <c r="DU96">
        <f t="shared" si="436"/>
        <v>0</v>
      </c>
      <c r="DV96">
        <f t="shared" si="437"/>
        <v>0</v>
      </c>
      <c r="DW96">
        <f t="shared" si="438"/>
        <v>0</v>
      </c>
    </row>
    <row r="97" spans="1:127" x14ac:dyDescent="0.25">
      <c r="A97" s="22">
        <f t="shared" si="375"/>
        <v>91</v>
      </c>
      <c r="B97" s="59" t="str">
        <f>IF(F97=$F$7,G98,#REF!)</f>
        <v>F0013547911</v>
      </c>
      <c r="C97" s="214" t="str">
        <f>IF(F97=$F$7,G99,#REF!)</f>
        <v>82115-0E440 L</v>
      </c>
      <c r="D97" s="58" t="e">
        <f>VLOOKUP(B97,'Timing Table'!B:G,6,0)</f>
        <v>#N/A</v>
      </c>
      <c r="E97" s="22" t="e">
        <f>VLOOKUP(B97,'Timing Table'!B:D,3,0)</f>
        <v>#N/A</v>
      </c>
      <c r="F97" s="155" t="s">
        <v>61</v>
      </c>
      <c r="G97" s="181">
        <v>5501065659</v>
      </c>
      <c r="H97" s="155" t="s">
        <v>62</v>
      </c>
      <c r="I97" s="181">
        <v>9</v>
      </c>
      <c r="J97" s="155" t="s">
        <v>63</v>
      </c>
      <c r="K97" s="160">
        <v>1179878</v>
      </c>
      <c r="L97" s="161"/>
      <c r="M97" s="190" t="s">
        <v>64</v>
      </c>
      <c r="N97" s="191"/>
      <c r="O97" s="192">
        <v>46086</v>
      </c>
      <c r="P97" s="155" t="s">
        <v>65</v>
      </c>
      <c r="Q97" s="181">
        <v>4</v>
      </c>
      <c r="R97" s="6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7" t="s">
        <v>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0</v>
      </c>
      <c r="AG97" s="7" t="s">
        <v>0</v>
      </c>
      <c r="AH97" s="7" t="s">
        <v>0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0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0</v>
      </c>
      <c r="AX97" s="7" t="s">
        <v>0</v>
      </c>
      <c r="AY97" s="7" t="s">
        <v>0</v>
      </c>
      <c r="AZ97" s="7" t="s">
        <v>0</v>
      </c>
      <c r="BA97" s="7" t="s">
        <v>0</v>
      </c>
      <c r="BB97" s="7" t="s">
        <v>0</v>
      </c>
      <c r="BC97" s="7" t="s">
        <v>0</v>
      </c>
      <c r="BD97" s="7" t="s">
        <v>0</v>
      </c>
      <c r="BE97" s="7" t="s">
        <v>0</v>
      </c>
      <c r="BF97" s="7" t="s">
        <v>0</v>
      </c>
      <c r="BG97" s="7" t="s">
        <v>0</v>
      </c>
      <c r="BH97" s="7" t="s">
        <v>0</v>
      </c>
      <c r="BI97" s="8"/>
      <c r="DL97">
        <f t="shared" si="427"/>
        <v>0</v>
      </c>
      <c r="DM97">
        <f t="shared" si="428"/>
        <v>0</v>
      </c>
      <c r="DN97">
        <f t="shared" si="429"/>
        <v>0</v>
      </c>
      <c r="DO97">
        <f t="shared" si="430"/>
        <v>0</v>
      </c>
      <c r="DP97">
        <f t="shared" si="431"/>
        <v>0</v>
      </c>
      <c r="DQ97">
        <f t="shared" si="432"/>
        <v>0</v>
      </c>
      <c r="DR97">
        <f t="shared" si="433"/>
        <v>0</v>
      </c>
      <c r="DS97">
        <f t="shared" si="434"/>
        <v>0</v>
      </c>
      <c r="DT97">
        <f t="shared" si="435"/>
        <v>0</v>
      </c>
      <c r="DU97">
        <f t="shared" si="436"/>
        <v>0</v>
      </c>
      <c r="DV97">
        <f t="shared" si="437"/>
        <v>0</v>
      </c>
      <c r="DW97">
        <f t="shared" si="438"/>
        <v>0</v>
      </c>
    </row>
    <row r="98" spans="1:127" x14ac:dyDescent="0.25">
      <c r="A98" s="22">
        <f t="shared" si="375"/>
        <v>92</v>
      </c>
      <c r="B98" s="59" t="str">
        <f t="shared" si="439"/>
        <v>F0013547911</v>
      </c>
      <c r="C98" s="214" t="str">
        <f t="shared" si="440"/>
        <v>82115-0E440 L</v>
      </c>
      <c r="D98" s="58" t="e">
        <f>VLOOKUP(B98,'Timing Table'!B:G,6,0)</f>
        <v>#N/A</v>
      </c>
      <c r="E98" s="22" t="e">
        <f>VLOOKUP(B98,'Timing Table'!B:D,3,0)</f>
        <v>#N/A</v>
      </c>
      <c r="F98" s="155" t="s">
        <v>66</v>
      </c>
      <c r="G98" s="181" t="s">
        <v>488</v>
      </c>
      <c r="H98" s="155" t="s">
        <v>67</v>
      </c>
      <c r="I98" s="182" t="s">
        <v>489</v>
      </c>
      <c r="J98" s="183"/>
      <c r="K98" s="183"/>
      <c r="L98" s="161"/>
      <c r="M98" s="155" t="s">
        <v>68</v>
      </c>
      <c r="N98" s="181">
        <v>2023</v>
      </c>
      <c r="O98" s="184" t="s">
        <v>69</v>
      </c>
      <c r="P98" s="185"/>
      <c r="Q98" s="193" t="s">
        <v>485</v>
      </c>
      <c r="R98" s="156" t="s">
        <v>0</v>
      </c>
      <c r="S98" s="157"/>
      <c r="T98" s="157"/>
      <c r="U98" s="157" t="s">
        <v>0</v>
      </c>
      <c r="V98" s="157" t="s">
        <v>0</v>
      </c>
      <c r="W98" s="157" t="s">
        <v>0</v>
      </c>
      <c r="X98" s="157" t="s">
        <v>0</v>
      </c>
      <c r="Y98" s="157" t="s">
        <v>0</v>
      </c>
      <c r="Z98" s="157" t="s">
        <v>0</v>
      </c>
      <c r="AA98" s="157" t="s">
        <v>0</v>
      </c>
      <c r="AB98" s="157" t="s">
        <v>0</v>
      </c>
      <c r="AC98" s="157" t="s">
        <v>0</v>
      </c>
      <c r="AD98" s="157" t="s">
        <v>0</v>
      </c>
      <c r="AE98" s="157" t="s">
        <v>0</v>
      </c>
      <c r="AF98" s="157" t="s">
        <v>0</v>
      </c>
      <c r="AG98" s="157" t="s">
        <v>0</v>
      </c>
      <c r="AH98" s="157" t="s">
        <v>0</v>
      </c>
      <c r="AI98" s="157" t="s">
        <v>0</v>
      </c>
      <c r="AJ98" s="157" t="s">
        <v>0</v>
      </c>
      <c r="AK98" s="157" t="s">
        <v>0</v>
      </c>
      <c r="AL98" s="157" t="s">
        <v>0</v>
      </c>
      <c r="AM98" s="157" t="s">
        <v>0</v>
      </c>
      <c r="AN98" s="157" t="s">
        <v>0</v>
      </c>
      <c r="AO98" s="157" t="s">
        <v>0</v>
      </c>
      <c r="AP98" s="157" t="s">
        <v>0</v>
      </c>
      <c r="AQ98" s="157" t="s">
        <v>0</v>
      </c>
      <c r="AR98" s="157" t="s">
        <v>0</v>
      </c>
      <c r="AS98" s="157" t="s">
        <v>0</v>
      </c>
      <c r="AT98" s="157" t="s">
        <v>0</v>
      </c>
      <c r="AU98" s="157" t="s">
        <v>0</v>
      </c>
      <c r="AV98" s="157" t="s">
        <v>0</v>
      </c>
      <c r="AW98" s="157" t="s">
        <v>0</v>
      </c>
      <c r="AX98" s="157" t="s">
        <v>0</v>
      </c>
      <c r="AY98" s="157" t="s">
        <v>0</v>
      </c>
      <c r="AZ98" s="157" t="s">
        <v>0</v>
      </c>
      <c r="BA98" s="157" t="s">
        <v>0</v>
      </c>
      <c r="BB98" s="157" t="s">
        <v>0</v>
      </c>
      <c r="BC98" s="157" t="s">
        <v>0</v>
      </c>
      <c r="BD98" s="157" t="s">
        <v>0</v>
      </c>
      <c r="BE98" s="157" t="s">
        <v>0</v>
      </c>
      <c r="BF98" s="157" t="s">
        <v>0</v>
      </c>
      <c r="BG98" s="157" t="s">
        <v>0</v>
      </c>
      <c r="BH98" s="157" t="s">
        <v>0</v>
      </c>
      <c r="BI98" s="158"/>
      <c r="DL98">
        <f t="shared" si="427"/>
        <v>0</v>
      </c>
      <c r="DM98">
        <f t="shared" si="428"/>
        <v>0</v>
      </c>
      <c r="DN98">
        <f t="shared" si="429"/>
        <v>0</v>
      </c>
      <c r="DO98">
        <f t="shared" si="430"/>
        <v>0</v>
      </c>
      <c r="DP98">
        <f t="shared" si="431"/>
        <v>0</v>
      </c>
      <c r="DQ98">
        <f t="shared" si="432"/>
        <v>0</v>
      </c>
      <c r="DR98">
        <f t="shared" si="433"/>
        <v>0</v>
      </c>
      <c r="DS98">
        <f t="shared" si="434"/>
        <v>0</v>
      </c>
      <c r="DT98">
        <f t="shared" si="435"/>
        <v>0</v>
      </c>
      <c r="DU98">
        <f t="shared" si="436"/>
        <v>0</v>
      </c>
      <c r="DV98">
        <f t="shared" si="437"/>
        <v>0</v>
      </c>
      <c r="DW98">
        <f t="shared" si="438"/>
        <v>0</v>
      </c>
    </row>
    <row r="99" spans="1:127" x14ac:dyDescent="0.25">
      <c r="A99" s="22">
        <f t="shared" si="375"/>
        <v>93</v>
      </c>
      <c r="B99" s="59" t="str">
        <f t="shared" si="439"/>
        <v>F0013547911</v>
      </c>
      <c r="C99" s="214" t="str">
        <f t="shared" si="440"/>
        <v>82115-0E440 L</v>
      </c>
      <c r="D99" s="58" t="e">
        <f>VLOOKUP(B99,'Timing Table'!B:G,6,0)</f>
        <v>#N/A</v>
      </c>
      <c r="E99" s="22" t="e">
        <f>VLOOKUP(B99,'Timing Table'!B:D,3,0)</f>
        <v>#N/A</v>
      </c>
      <c r="F99" s="155" t="s">
        <v>70</v>
      </c>
      <c r="G99" s="181" t="s">
        <v>480</v>
      </c>
      <c r="H99" s="155" t="s">
        <v>71</v>
      </c>
      <c r="I99" s="182" t="s">
        <v>60</v>
      </c>
      <c r="J99" s="161" t="s">
        <v>0</v>
      </c>
      <c r="K99" s="194" t="s">
        <v>0</v>
      </c>
      <c r="L99" s="195" t="s">
        <v>0</v>
      </c>
      <c r="M99" s="179" t="s">
        <v>0</v>
      </c>
      <c r="N99" s="179" t="s">
        <v>0</v>
      </c>
      <c r="O99" s="179" t="s">
        <v>0</v>
      </c>
      <c r="P99" s="179" t="s">
        <v>0</v>
      </c>
      <c r="Q99" s="179" t="s">
        <v>1</v>
      </c>
      <c r="R99" s="179" t="s">
        <v>2</v>
      </c>
      <c r="S99" s="179" t="s">
        <v>0</v>
      </c>
      <c r="T99" s="179" t="s">
        <v>0</v>
      </c>
      <c r="U99" s="179" t="s">
        <v>0</v>
      </c>
      <c r="V99" s="179" t="s">
        <v>0</v>
      </c>
      <c r="W99" s="179" t="s">
        <v>0</v>
      </c>
      <c r="X99" s="179" t="s">
        <v>0</v>
      </c>
      <c r="Y99" s="179" t="s">
        <v>0</v>
      </c>
      <c r="Z99" s="179" t="s">
        <v>3</v>
      </c>
      <c r="AA99" s="179" t="s">
        <v>0</v>
      </c>
      <c r="AB99" s="179" t="s">
        <v>0</v>
      </c>
      <c r="AC99" s="179" t="s">
        <v>0</v>
      </c>
      <c r="AD99" s="179" t="s">
        <v>0</v>
      </c>
      <c r="AE99" s="179" t="s">
        <v>0</v>
      </c>
      <c r="AF99" s="179" t="s">
        <v>0</v>
      </c>
      <c r="AG99" s="179" t="s">
        <v>0</v>
      </c>
      <c r="AH99" s="179" t="s">
        <v>0</v>
      </c>
      <c r="AI99" s="179" t="s">
        <v>0</v>
      </c>
      <c r="AJ99" s="179" t="s">
        <v>0</v>
      </c>
      <c r="AK99" s="179" t="s">
        <v>0</v>
      </c>
      <c r="AL99" s="179" t="s">
        <v>0</v>
      </c>
      <c r="AM99" s="179" t="s">
        <v>0</v>
      </c>
      <c r="AN99" s="179" t="s">
        <v>0</v>
      </c>
      <c r="AO99" s="179" t="s">
        <v>0</v>
      </c>
      <c r="AP99" s="179" t="s">
        <v>0</v>
      </c>
      <c r="AQ99" s="179" t="s">
        <v>0</v>
      </c>
      <c r="AR99" s="179" t="s">
        <v>0</v>
      </c>
      <c r="AS99" s="179" t="s">
        <v>0</v>
      </c>
      <c r="AT99" s="179" t="s">
        <v>0</v>
      </c>
      <c r="AU99" s="179" t="s">
        <v>0</v>
      </c>
      <c r="AV99" s="179" t="s">
        <v>0</v>
      </c>
      <c r="AW99" s="179" t="s">
        <v>0</v>
      </c>
      <c r="AX99" s="179" t="s">
        <v>0</v>
      </c>
      <c r="AY99" s="179" t="s">
        <v>0</v>
      </c>
      <c r="AZ99" s="179" t="s">
        <v>0</v>
      </c>
      <c r="BA99" s="179" t="s">
        <v>0</v>
      </c>
      <c r="BB99" s="179" t="s">
        <v>0</v>
      </c>
      <c r="BC99" s="179" t="s">
        <v>0</v>
      </c>
      <c r="BD99" s="179" t="s">
        <v>0</v>
      </c>
      <c r="BE99" s="179" t="s">
        <v>0</v>
      </c>
      <c r="BF99" s="179" t="s">
        <v>0</v>
      </c>
      <c r="BG99" s="179" t="s">
        <v>0</v>
      </c>
      <c r="BH99" s="179" t="s">
        <v>0</v>
      </c>
      <c r="BI99" s="180" t="s">
        <v>4</v>
      </c>
      <c r="DL99">
        <f t="shared" si="427"/>
        <v>0</v>
      </c>
      <c r="DM99">
        <f t="shared" si="428"/>
        <v>0</v>
      </c>
      <c r="DN99">
        <f t="shared" si="429"/>
        <v>0</v>
      </c>
      <c r="DO99">
        <f t="shared" si="430"/>
        <v>0</v>
      </c>
      <c r="DP99">
        <f t="shared" si="431"/>
        <v>0</v>
      </c>
      <c r="DQ99">
        <f t="shared" si="432"/>
        <v>0</v>
      </c>
      <c r="DR99">
        <f t="shared" si="433"/>
        <v>0</v>
      </c>
      <c r="DS99">
        <f t="shared" si="434"/>
        <v>0</v>
      </c>
      <c r="DT99">
        <f t="shared" si="435"/>
        <v>0</v>
      </c>
      <c r="DU99">
        <f t="shared" si="436"/>
        <v>0</v>
      </c>
      <c r="DV99">
        <f t="shared" si="437"/>
        <v>0</v>
      </c>
      <c r="DW99">
        <f t="shared" si="438"/>
        <v>0</v>
      </c>
    </row>
    <row r="100" spans="1:127" x14ac:dyDescent="0.25">
      <c r="A100" s="22">
        <f t="shared" si="375"/>
        <v>94</v>
      </c>
      <c r="B100" s="59" t="str">
        <f t="shared" si="439"/>
        <v>F0013547911</v>
      </c>
      <c r="C100" s="214" t="str">
        <f t="shared" si="440"/>
        <v>82115-0E440 L</v>
      </c>
      <c r="D100" s="58" t="e">
        <f>VLOOKUP(B100,'Timing Table'!B:G,6,0)</f>
        <v>#N/A</v>
      </c>
      <c r="E100" s="22" t="e">
        <f>VLOOKUP(B100,'Timing Table'!B:D,3,0)</f>
        <v>#N/A</v>
      </c>
      <c r="F100" s="155" t="s">
        <v>72</v>
      </c>
      <c r="G100" s="181">
        <v>3336</v>
      </c>
      <c r="H100" s="196" t="s">
        <v>413</v>
      </c>
      <c r="I100" s="197" t="s">
        <v>73</v>
      </c>
      <c r="J100" s="13">
        <v>46041</v>
      </c>
      <c r="K100" s="14">
        <v>46048</v>
      </c>
      <c r="L100" s="14">
        <v>46055</v>
      </c>
      <c r="M100" s="14">
        <v>46062</v>
      </c>
      <c r="N100" s="14">
        <v>46069</v>
      </c>
      <c r="O100" s="14">
        <v>46076</v>
      </c>
      <c r="P100" s="14">
        <v>46083</v>
      </c>
      <c r="Q100" s="14">
        <v>46090</v>
      </c>
      <c r="R100" s="14">
        <v>46097</v>
      </c>
      <c r="S100" s="14">
        <v>46104</v>
      </c>
      <c r="T100" s="14">
        <v>46111</v>
      </c>
      <c r="U100" s="14">
        <v>46118</v>
      </c>
      <c r="V100" s="14">
        <v>46125</v>
      </c>
      <c r="W100" s="14">
        <v>46132</v>
      </c>
      <c r="X100" s="14">
        <v>46139</v>
      </c>
      <c r="Y100" s="14">
        <v>46146</v>
      </c>
      <c r="Z100" s="14">
        <v>46153</v>
      </c>
      <c r="AA100" s="14">
        <v>46160</v>
      </c>
      <c r="AB100" s="14">
        <v>46167</v>
      </c>
      <c r="AC100" s="14">
        <v>46174</v>
      </c>
      <c r="AD100" s="14">
        <v>46181</v>
      </c>
      <c r="AE100" s="14">
        <v>46188</v>
      </c>
      <c r="AF100" s="14">
        <v>46195</v>
      </c>
      <c r="AG100" s="14">
        <v>46202</v>
      </c>
      <c r="AH100" s="14">
        <v>46209</v>
      </c>
      <c r="AI100" s="14">
        <v>46216</v>
      </c>
      <c r="AJ100" s="14">
        <v>46223</v>
      </c>
      <c r="AK100" s="14">
        <v>46230</v>
      </c>
      <c r="AL100" s="14">
        <v>46237</v>
      </c>
      <c r="AM100" s="14">
        <v>46244</v>
      </c>
      <c r="AN100" s="14">
        <v>46251</v>
      </c>
      <c r="AO100" s="14">
        <v>46258</v>
      </c>
      <c r="AP100" s="14">
        <v>46265</v>
      </c>
      <c r="AQ100" s="14">
        <v>46272</v>
      </c>
      <c r="AR100" s="14">
        <v>46279</v>
      </c>
      <c r="AS100" s="14">
        <v>46286</v>
      </c>
      <c r="AT100" s="14">
        <v>46293</v>
      </c>
      <c r="AU100" s="14">
        <v>46300</v>
      </c>
      <c r="AV100" s="14">
        <v>46307</v>
      </c>
      <c r="AW100" s="14">
        <v>46314</v>
      </c>
      <c r="AX100" s="14">
        <v>46321</v>
      </c>
      <c r="AY100" s="14">
        <v>46328</v>
      </c>
      <c r="AZ100" s="14">
        <v>46335</v>
      </c>
      <c r="BA100" s="14">
        <v>46342</v>
      </c>
      <c r="BB100" s="14">
        <v>46349</v>
      </c>
      <c r="BC100" s="14">
        <v>46356</v>
      </c>
      <c r="BD100" s="14">
        <v>46363</v>
      </c>
      <c r="BE100" s="14">
        <v>46370</v>
      </c>
      <c r="BF100" s="14">
        <v>46377</v>
      </c>
      <c r="BG100" s="14">
        <v>46384</v>
      </c>
      <c r="BH100" s="14">
        <v>46391</v>
      </c>
      <c r="BI100" s="15">
        <v>46398</v>
      </c>
      <c r="DL100">
        <f t="shared" si="427"/>
        <v>0</v>
      </c>
      <c r="DM100">
        <f t="shared" si="428"/>
        <v>0</v>
      </c>
      <c r="DN100">
        <f t="shared" si="429"/>
        <v>0</v>
      </c>
      <c r="DO100">
        <f t="shared" si="430"/>
        <v>0</v>
      </c>
      <c r="DP100">
        <f t="shared" si="431"/>
        <v>0</v>
      </c>
      <c r="DQ100">
        <f t="shared" si="432"/>
        <v>0</v>
      </c>
      <c r="DR100">
        <f t="shared" si="433"/>
        <v>0</v>
      </c>
      <c r="DS100">
        <f t="shared" si="434"/>
        <v>0</v>
      </c>
      <c r="DT100">
        <f t="shared" si="435"/>
        <v>0</v>
      </c>
      <c r="DU100">
        <f t="shared" si="436"/>
        <v>0</v>
      </c>
      <c r="DV100">
        <f t="shared" si="437"/>
        <v>0</v>
      </c>
      <c r="DW100">
        <f t="shared" si="438"/>
        <v>0</v>
      </c>
    </row>
    <row r="101" spans="1:127" x14ac:dyDescent="0.25">
      <c r="A101" s="22">
        <f t="shared" si="375"/>
        <v>95</v>
      </c>
      <c r="B101" s="59" t="str">
        <f t="shared" si="439"/>
        <v>F0013547911</v>
      </c>
      <c r="C101" s="214" t="str">
        <f t="shared" si="440"/>
        <v>82115-0E440 L</v>
      </c>
      <c r="D101" s="58" t="e">
        <f>VLOOKUP(B101,'Timing Table'!B:G,6,0)</f>
        <v>#N/A</v>
      </c>
      <c r="E101" s="22" t="e">
        <f>VLOOKUP(B101,'Timing Table'!B:D,3,0)</f>
        <v>#N/A</v>
      </c>
      <c r="F101" s="155" t="s">
        <v>74</v>
      </c>
      <c r="G101" s="181">
        <v>5960</v>
      </c>
      <c r="H101" s="5" t="s">
        <v>60</v>
      </c>
      <c r="I101" s="11" t="s">
        <v>147</v>
      </c>
      <c r="J101" s="16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17"/>
      <c r="DL101">
        <f t="shared" si="427"/>
        <v>0</v>
      </c>
      <c r="DM101">
        <f t="shared" si="428"/>
        <v>0</v>
      </c>
      <c r="DN101">
        <f t="shared" si="429"/>
        <v>0</v>
      </c>
      <c r="DO101">
        <f t="shared" si="430"/>
        <v>0</v>
      </c>
      <c r="DP101">
        <f t="shared" si="431"/>
        <v>0</v>
      </c>
      <c r="DQ101">
        <f t="shared" si="432"/>
        <v>0</v>
      </c>
      <c r="DR101">
        <f t="shared" si="433"/>
        <v>0</v>
      </c>
      <c r="DS101">
        <f t="shared" si="434"/>
        <v>0</v>
      </c>
      <c r="DT101">
        <f t="shared" si="435"/>
        <v>0</v>
      </c>
      <c r="DU101">
        <f t="shared" si="436"/>
        <v>0</v>
      </c>
      <c r="DV101">
        <f t="shared" si="437"/>
        <v>0</v>
      </c>
      <c r="DW101">
        <f t="shared" si="438"/>
        <v>0</v>
      </c>
    </row>
    <row r="102" spans="1:127" x14ac:dyDescent="0.25">
      <c r="A102" s="22">
        <f t="shared" si="375"/>
        <v>96</v>
      </c>
      <c r="B102" s="59" t="str">
        <f t="shared" si="439"/>
        <v>F0013547911</v>
      </c>
      <c r="C102" s="214" t="str">
        <f t="shared" si="440"/>
        <v>82115-0E440 L</v>
      </c>
      <c r="D102" s="58" t="e">
        <f>VLOOKUP(B102,'Timing Table'!B:G,6,0)</f>
        <v>#N/A</v>
      </c>
      <c r="E102" s="22" t="e">
        <f>VLOOKUP(B102,'Timing Table'!B:D,3,0)</f>
        <v>#N/A</v>
      </c>
      <c r="F102" s="155" t="s">
        <v>75</v>
      </c>
      <c r="G102" s="198" t="s">
        <v>175</v>
      </c>
      <c r="H102" s="9" t="s">
        <v>173</v>
      </c>
      <c r="I102" s="11" t="s">
        <v>76</v>
      </c>
      <c r="J102" s="143">
        <v>260</v>
      </c>
      <c r="K102" s="64">
        <v>364</v>
      </c>
      <c r="L102" s="64">
        <v>380</v>
      </c>
      <c r="M102" s="64">
        <v>600</v>
      </c>
      <c r="N102" s="64">
        <v>936</v>
      </c>
      <c r="O102" s="64">
        <v>476</v>
      </c>
      <c r="P102" s="64">
        <v>128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144">
        <v>0</v>
      </c>
      <c r="BJ102" s="24" t="str">
        <f>+G99</f>
        <v>82115-0E440 L</v>
      </c>
      <c r="BK102" s="24">
        <f>+J102</f>
        <v>260</v>
      </c>
      <c r="BL102" s="24">
        <f t="shared" ref="BL102" si="543">+K102</f>
        <v>364</v>
      </c>
      <c r="BM102" s="24">
        <f t="shared" ref="BM102" si="544">+L102</f>
        <v>380</v>
      </c>
      <c r="BN102" s="24">
        <f t="shared" ref="BN102" si="545">+M102</f>
        <v>600</v>
      </c>
      <c r="BO102" s="24">
        <f t="shared" ref="BO102" si="546">+N102</f>
        <v>936</v>
      </c>
      <c r="BP102" s="24">
        <f t="shared" ref="BP102" si="547">+O102</f>
        <v>476</v>
      </c>
      <c r="BQ102" s="24">
        <f t="shared" ref="BQ102" si="548">+P102</f>
        <v>128</v>
      </c>
      <c r="BR102" s="24">
        <f t="shared" ref="BR102" si="549">+Q102</f>
        <v>0</v>
      </c>
      <c r="BS102" s="24">
        <f t="shared" ref="BS102" si="550">+R102</f>
        <v>0</v>
      </c>
      <c r="BT102" s="24">
        <f t="shared" ref="BT102" si="551">+S102</f>
        <v>0</v>
      </c>
      <c r="BU102" s="24">
        <f t="shared" ref="BU102" si="552">+T102</f>
        <v>0</v>
      </c>
      <c r="BV102" s="24">
        <f t="shared" ref="BV102" si="553">+U102</f>
        <v>0</v>
      </c>
      <c r="BW102" s="24">
        <f t="shared" ref="BW102" si="554">+V102</f>
        <v>0</v>
      </c>
      <c r="BX102" s="24">
        <f t="shared" ref="BX102" si="555">+W102</f>
        <v>0</v>
      </c>
      <c r="BY102" s="24">
        <f t="shared" ref="BY102" si="556">+X102</f>
        <v>0</v>
      </c>
      <c r="BZ102" s="24">
        <f t="shared" ref="BZ102" si="557">+Y102</f>
        <v>0</v>
      </c>
      <c r="CA102" s="24">
        <f t="shared" ref="CA102" si="558">+Z102</f>
        <v>0</v>
      </c>
      <c r="CB102" s="24">
        <f t="shared" ref="CB102" si="559">+AA102</f>
        <v>0</v>
      </c>
      <c r="CC102" s="24">
        <f t="shared" ref="CC102" si="560">+AB102</f>
        <v>0</v>
      </c>
      <c r="CD102" s="24">
        <f t="shared" ref="CD102" si="561">+AC102</f>
        <v>0</v>
      </c>
      <c r="CE102" s="24">
        <f t="shared" ref="CE102" si="562">+AD102</f>
        <v>0</v>
      </c>
      <c r="CF102" s="24">
        <f t="shared" ref="CF102" si="563">+AE102</f>
        <v>0</v>
      </c>
      <c r="CG102" s="24">
        <f t="shared" ref="CG102" si="564">+AF102</f>
        <v>0</v>
      </c>
      <c r="CH102" s="24">
        <f t="shared" ref="CH102" si="565">+AG102</f>
        <v>0</v>
      </c>
      <c r="CI102" s="24">
        <f t="shared" ref="CI102" si="566">+AH102</f>
        <v>0</v>
      </c>
      <c r="CJ102" s="24">
        <f t="shared" ref="CJ102" si="567">+AI102</f>
        <v>0</v>
      </c>
      <c r="CK102" s="24">
        <f t="shared" ref="CK102" si="568">+AJ102</f>
        <v>0</v>
      </c>
      <c r="CL102" s="24">
        <f t="shared" ref="CL102" si="569">+AK102</f>
        <v>0</v>
      </c>
      <c r="CM102" s="24">
        <f t="shared" ref="CM102" si="570">+AL102</f>
        <v>0</v>
      </c>
      <c r="CN102" s="24">
        <f t="shared" ref="CN102" si="571">+AM102</f>
        <v>0</v>
      </c>
      <c r="CO102" s="24">
        <f t="shared" ref="CO102" si="572">+AN102</f>
        <v>0</v>
      </c>
      <c r="CP102" s="166">
        <f t="shared" ref="CP102" si="573">+AO102</f>
        <v>0</v>
      </c>
      <c r="CQ102" s="166">
        <f t="shared" ref="CQ102" si="574">+AP102</f>
        <v>0</v>
      </c>
      <c r="CR102">
        <f t="shared" ref="CR102" si="575">+AQ102</f>
        <v>0</v>
      </c>
      <c r="CS102">
        <f t="shared" ref="CS102" si="576">+AR102</f>
        <v>0</v>
      </c>
      <c r="CT102">
        <f t="shared" ref="CT102" si="577">+AS102</f>
        <v>0</v>
      </c>
      <c r="CU102">
        <f t="shared" ref="CU102" si="578">+AT102</f>
        <v>0</v>
      </c>
      <c r="CV102">
        <f t="shared" ref="CV102" si="579">+AU102</f>
        <v>0</v>
      </c>
      <c r="CW102">
        <f t="shared" ref="CW102" si="580">+AV102</f>
        <v>0</v>
      </c>
      <c r="CX102">
        <f t="shared" ref="CX102" si="581">+AW102</f>
        <v>0</v>
      </c>
      <c r="CY102">
        <f t="shared" ref="CY102" si="582">+AX102</f>
        <v>0</v>
      </c>
      <c r="CZ102">
        <f t="shared" ref="CZ102" si="583">+AY102</f>
        <v>0</v>
      </c>
      <c r="DA102">
        <f t="shared" ref="DA102" si="584">+AZ102</f>
        <v>0</v>
      </c>
      <c r="DB102">
        <f t="shared" ref="DB102" si="585">+BA102</f>
        <v>0</v>
      </c>
      <c r="DC102">
        <f t="shared" ref="DC102" si="586">+BB102</f>
        <v>0</v>
      </c>
      <c r="DD102">
        <f t="shared" ref="DD102" si="587">+BC102</f>
        <v>0</v>
      </c>
      <c r="DE102">
        <f t="shared" ref="DE102" si="588">+BD102</f>
        <v>0</v>
      </c>
      <c r="DF102">
        <f t="shared" ref="DF102" si="589">+BE102</f>
        <v>0</v>
      </c>
      <c r="DG102">
        <f t="shared" ref="DG102" si="590">+BF102</f>
        <v>0</v>
      </c>
      <c r="DH102">
        <f t="shared" ref="DH102" si="591">+BG102</f>
        <v>0</v>
      </c>
      <c r="DI102">
        <f t="shared" ref="DI102" si="592">+BH102</f>
        <v>0</v>
      </c>
      <c r="DJ102">
        <f t="shared" ref="DJ102" si="593">+BI102</f>
        <v>0</v>
      </c>
      <c r="DL102" s="24">
        <f t="shared" si="427"/>
        <v>624</v>
      </c>
      <c r="DM102" s="24">
        <f t="shared" si="428"/>
        <v>2392</v>
      </c>
      <c r="DN102" s="24">
        <f t="shared" si="429"/>
        <v>128</v>
      </c>
      <c r="DO102" s="24">
        <f t="shared" si="430"/>
        <v>0</v>
      </c>
      <c r="DP102" s="24">
        <f t="shared" si="431"/>
        <v>0</v>
      </c>
      <c r="DQ102" s="24">
        <f t="shared" si="432"/>
        <v>0</v>
      </c>
      <c r="DR102" s="24">
        <f t="shared" si="433"/>
        <v>0</v>
      </c>
      <c r="DS102" s="24">
        <f t="shared" si="434"/>
        <v>0</v>
      </c>
      <c r="DT102" s="24">
        <f t="shared" si="435"/>
        <v>0</v>
      </c>
      <c r="DU102">
        <f t="shared" si="436"/>
        <v>0</v>
      </c>
      <c r="DV102">
        <f t="shared" si="437"/>
        <v>0</v>
      </c>
      <c r="DW102">
        <f t="shared" si="438"/>
        <v>0</v>
      </c>
    </row>
    <row r="103" spans="1:127" x14ac:dyDescent="0.25">
      <c r="A103" s="22">
        <f t="shared" si="375"/>
        <v>97</v>
      </c>
      <c r="B103" s="59" t="str">
        <f t="shared" si="439"/>
        <v>F0013547911</v>
      </c>
      <c r="C103" s="214" t="str">
        <f t="shared" si="440"/>
        <v>82115-0E440 L</v>
      </c>
      <c r="D103" s="58" t="e">
        <f>VLOOKUP(B103,'Timing Table'!B:G,6,0)</f>
        <v>#N/A</v>
      </c>
      <c r="E103" s="22" t="e">
        <f>VLOOKUP(B103,'Timing Table'!B:D,3,0)</f>
        <v>#N/A</v>
      </c>
      <c r="F103" s="155" t="s">
        <v>77</v>
      </c>
      <c r="G103" s="181">
        <v>82115</v>
      </c>
      <c r="H103" s="10" t="s">
        <v>173</v>
      </c>
      <c r="I103" s="12" t="s">
        <v>78</v>
      </c>
      <c r="J103" s="152">
        <v>260</v>
      </c>
      <c r="K103" s="153">
        <v>624</v>
      </c>
      <c r="L103" s="153">
        <v>1004</v>
      </c>
      <c r="M103" s="153">
        <v>1604</v>
      </c>
      <c r="N103" s="153">
        <v>2540</v>
      </c>
      <c r="O103" s="153">
        <v>3016</v>
      </c>
      <c r="P103" s="153">
        <v>3144</v>
      </c>
      <c r="Q103" s="153">
        <v>3144</v>
      </c>
      <c r="R103" s="153">
        <v>3144</v>
      </c>
      <c r="S103" s="153">
        <v>3144</v>
      </c>
      <c r="T103" s="153">
        <v>3144</v>
      </c>
      <c r="U103" s="153">
        <v>3144</v>
      </c>
      <c r="V103" s="153">
        <v>3144</v>
      </c>
      <c r="W103" s="153">
        <v>3144</v>
      </c>
      <c r="X103" s="153">
        <v>3144</v>
      </c>
      <c r="Y103" s="153">
        <v>3144</v>
      </c>
      <c r="Z103" s="153">
        <v>3144</v>
      </c>
      <c r="AA103" s="153">
        <v>3144</v>
      </c>
      <c r="AB103" s="153">
        <v>3144</v>
      </c>
      <c r="AC103" s="153">
        <v>3144</v>
      </c>
      <c r="AD103" s="153">
        <v>3144</v>
      </c>
      <c r="AE103" s="153">
        <v>3144</v>
      </c>
      <c r="AF103" s="153">
        <v>3144</v>
      </c>
      <c r="AG103" s="153">
        <v>3144</v>
      </c>
      <c r="AH103" s="153">
        <v>3144</v>
      </c>
      <c r="AI103" s="153">
        <v>3144</v>
      </c>
      <c r="AJ103" s="153">
        <v>3144</v>
      </c>
      <c r="AK103" s="153">
        <v>3144</v>
      </c>
      <c r="AL103" s="153">
        <v>3144</v>
      </c>
      <c r="AM103" s="153">
        <v>3144</v>
      </c>
      <c r="AN103" s="153">
        <v>3144</v>
      </c>
      <c r="AO103" s="153">
        <v>3144</v>
      </c>
      <c r="AP103" s="153">
        <v>3144</v>
      </c>
      <c r="AQ103" s="153">
        <v>3144</v>
      </c>
      <c r="AR103" s="153">
        <v>3144</v>
      </c>
      <c r="AS103" s="153">
        <v>3144</v>
      </c>
      <c r="AT103" s="153">
        <v>3144</v>
      </c>
      <c r="AU103" s="153">
        <v>3144</v>
      </c>
      <c r="AV103" s="153">
        <v>3144</v>
      </c>
      <c r="AW103" s="153">
        <v>3144</v>
      </c>
      <c r="AX103" s="153">
        <v>3144</v>
      </c>
      <c r="AY103" s="153">
        <v>3144</v>
      </c>
      <c r="AZ103" s="153">
        <v>3144</v>
      </c>
      <c r="BA103" s="153">
        <v>3144</v>
      </c>
      <c r="BB103" s="153">
        <v>3144</v>
      </c>
      <c r="BC103" s="153">
        <v>3144</v>
      </c>
      <c r="BD103" s="153">
        <v>3144</v>
      </c>
      <c r="BE103" s="153">
        <v>3144</v>
      </c>
      <c r="BF103" s="153">
        <v>3144</v>
      </c>
      <c r="BG103" s="153">
        <v>3144</v>
      </c>
      <c r="BH103" s="153">
        <v>3144</v>
      </c>
      <c r="BI103" s="153">
        <v>3144</v>
      </c>
      <c r="DL103">
        <f t="shared" si="427"/>
        <v>0</v>
      </c>
      <c r="DM103">
        <f t="shared" si="428"/>
        <v>0</v>
      </c>
      <c r="DN103">
        <f t="shared" si="429"/>
        <v>0</v>
      </c>
      <c r="DO103">
        <f t="shared" si="430"/>
        <v>0</v>
      </c>
      <c r="DP103">
        <f t="shared" si="431"/>
        <v>0</v>
      </c>
      <c r="DQ103">
        <f t="shared" si="432"/>
        <v>0</v>
      </c>
      <c r="DR103">
        <f t="shared" si="433"/>
        <v>0</v>
      </c>
      <c r="DS103">
        <f t="shared" si="434"/>
        <v>0</v>
      </c>
      <c r="DT103">
        <f t="shared" si="435"/>
        <v>0</v>
      </c>
      <c r="DU103">
        <f t="shared" si="436"/>
        <v>0</v>
      </c>
      <c r="DV103">
        <f t="shared" si="437"/>
        <v>0</v>
      </c>
      <c r="DW103">
        <f t="shared" si="438"/>
        <v>0</v>
      </c>
    </row>
    <row r="104" spans="1:127" x14ac:dyDescent="0.25">
      <c r="A104" s="22">
        <f t="shared" si="375"/>
        <v>98</v>
      </c>
      <c r="B104" s="59" t="str">
        <f t="shared" si="439"/>
        <v>F0013547911</v>
      </c>
      <c r="C104" s="214" t="str">
        <f t="shared" si="440"/>
        <v>82115-0E440 L</v>
      </c>
      <c r="D104" s="58" t="e">
        <f>VLOOKUP(B104,'Timing Table'!B:G,6,0)</f>
        <v>#N/A</v>
      </c>
      <c r="E104" s="22" t="e">
        <f>VLOOKUP(B104,'Timing Table'!B:D,3,0)</f>
        <v>#N/A</v>
      </c>
      <c r="F104" s="155" t="s">
        <v>79</v>
      </c>
      <c r="G104" s="199">
        <v>0</v>
      </c>
      <c r="H104" s="184" t="s">
        <v>80</v>
      </c>
      <c r="I104" s="185"/>
      <c r="J104" s="200"/>
      <c r="K104" s="156"/>
      <c r="L104" s="157" t="s">
        <v>0</v>
      </c>
      <c r="M104" s="157" t="s">
        <v>0</v>
      </c>
      <c r="N104" s="157" t="s">
        <v>0</v>
      </c>
      <c r="O104" s="157" t="s">
        <v>0</v>
      </c>
      <c r="P104" s="157" t="s">
        <v>0</v>
      </c>
      <c r="Q104" s="157">
        <v>-1</v>
      </c>
      <c r="R104" s="157" t="s">
        <v>0</v>
      </c>
      <c r="S104" s="157" t="s">
        <v>0</v>
      </c>
      <c r="T104" s="157" t="s">
        <v>0</v>
      </c>
      <c r="U104" s="157" t="s">
        <v>0</v>
      </c>
      <c r="V104" s="157" t="s">
        <v>0</v>
      </c>
      <c r="W104" s="157" t="s">
        <v>0</v>
      </c>
      <c r="X104" s="157" t="s">
        <v>0</v>
      </c>
      <c r="Y104" s="157" t="s">
        <v>0</v>
      </c>
      <c r="Z104" s="157" t="s">
        <v>0</v>
      </c>
      <c r="AA104" s="157" t="s">
        <v>0</v>
      </c>
      <c r="AB104" s="157" t="s">
        <v>0</v>
      </c>
      <c r="AC104" s="157" t="s">
        <v>0</v>
      </c>
      <c r="AD104" s="157" t="s">
        <v>0</v>
      </c>
      <c r="AE104" s="157" t="s">
        <v>0</v>
      </c>
      <c r="AF104" s="157" t="s">
        <v>0</v>
      </c>
      <c r="AG104" s="157" t="s">
        <v>0</v>
      </c>
      <c r="AH104" s="157" t="s">
        <v>0</v>
      </c>
      <c r="AI104" s="157" t="s">
        <v>0</v>
      </c>
      <c r="AJ104" s="157" t="s">
        <v>0</v>
      </c>
      <c r="AK104" s="157" t="s">
        <v>0</v>
      </c>
      <c r="AL104" s="157" t="s">
        <v>0</v>
      </c>
      <c r="AM104" s="157" t="s">
        <v>0</v>
      </c>
      <c r="AN104" s="157" t="s">
        <v>0</v>
      </c>
      <c r="AO104" s="157" t="s">
        <v>0</v>
      </c>
      <c r="AP104" s="157" t="s">
        <v>0</v>
      </c>
      <c r="AQ104" s="157" t="s">
        <v>0</v>
      </c>
      <c r="AR104" s="157" t="s">
        <v>0</v>
      </c>
      <c r="AS104" s="157" t="s">
        <v>0</v>
      </c>
      <c r="AT104" s="157" t="s">
        <v>0</v>
      </c>
      <c r="AU104" s="157" t="s">
        <v>0</v>
      </c>
      <c r="AV104" s="157" t="s">
        <v>0</v>
      </c>
      <c r="AW104" s="157" t="s">
        <v>0</v>
      </c>
      <c r="AX104" s="157" t="s">
        <v>0</v>
      </c>
      <c r="AY104" s="157" t="s">
        <v>0</v>
      </c>
      <c r="AZ104" s="157" t="s">
        <v>0</v>
      </c>
      <c r="BA104" s="157" t="s">
        <v>0</v>
      </c>
      <c r="BB104" s="157" t="s">
        <v>0</v>
      </c>
      <c r="BC104" s="157" t="s">
        <v>0</v>
      </c>
      <c r="BD104" s="157" t="s">
        <v>0</v>
      </c>
      <c r="BE104" s="157" t="s">
        <v>0</v>
      </c>
      <c r="BF104" s="157" t="s">
        <v>0</v>
      </c>
      <c r="BG104" s="157" t="s">
        <v>0</v>
      </c>
      <c r="BH104" s="157" t="s">
        <v>0</v>
      </c>
      <c r="BI104" s="158"/>
      <c r="DL104">
        <f t="shared" si="427"/>
        <v>0</v>
      </c>
      <c r="DM104">
        <f t="shared" si="428"/>
        <v>0</v>
      </c>
      <c r="DN104">
        <f t="shared" si="429"/>
        <v>0</v>
      </c>
      <c r="DO104">
        <f t="shared" si="430"/>
        <v>0</v>
      </c>
      <c r="DP104">
        <f t="shared" si="431"/>
        <v>0</v>
      </c>
      <c r="DQ104">
        <f t="shared" si="432"/>
        <v>0</v>
      </c>
      <c r="DR104">
        <f t="shared" si="433"/>
        <v>0</v>
      </c>
      <c r="DS104">
        <f t="shared" si="434"/>
        <v>0</v>
      </c>
      <c r="DT104">
        <f t="shared" si="435"/>
        <v>0</v>
      </c>
      <c r="DU104">
        <f t="shared" si="436"/>
        <v>0</v>
      </c>
      <c r="DV104">
        <f t="shared" si="437"/>
        <v>0</v>
      </c>
      <c r="DW104">
        <f t="shared" si="438"/>
        <v>0</v>
      </c>
    </row>
    <row r="105" spans="1:127" x14ac:dyDescent="0.25">
      <c r="A105" s="22">
        <f t="shared" si="375"/>
        <v>99</v>
      </c>
      <c r="B105" s="59" t="str">
        <f t="shared" si="439"/>
        <v>F0013547911</v>
      </c>
      <c r="C105" s="214" t="str">
        <f t="shared" si="440"/>
        <v>82115-0E440 L</v>
      </c>
      <c r="D105" s="58" t="e">
        <f>VLOOKUP(B105,'Timing Table'!B:G,6,0)</f>
        <v>#N/A</v>
      </c>
      <c r="E105" s="22" t="e">
        <f>VLOOKUP(B105,'Timing Table'!B:D,3,0)</f>
        <v>#N/A</v>
      </c>
      <c r="F105" s="159" t="s">
        <v>81</v>
      </c>
      <c r="G105" s="160" t="s">
        <v>60</v>
      </c>
      <c r="H105" s="201" t="s">
        <v>60</v>
      </c>
      <c r="I105" s="183" t="s">
        <v>60</v>
      </c>
      <c r="J105" s="183" t="s">
        <v>0</v>
      </c>
      <c r="K105" s="183" t="s">
        <v>0</v>
      </c>
      <c r="L105" s="183" t="s">
        <v>0</v>
      </c>
      <c r="M105" s="183" t="s">
        <v>0</v>
      </c>
      <c r="N105" s="183" t="s">
        <v>0</v>
      </c>
      <c r="O105" s="183" t="s">
        <v>0</v>
      </c>
      <c r="P105" s="183" t="s">
        <v>0</v>
      </c>
      <c r="Q105" s="183" t="s">
        <v>514</v>
      </c>
      <c r="R105" s="183"/>
      <c r="S105" s="183" t="s">
        <v>0</v>
      </c>
      <c r="T105" s="183" t="s">
        <v>0</v>
      </c>
      <c r="U105" s="183" t="s">
        <v>0</v>
      </c>
      <c r="V105" s="183" t="s">
        <v>0</v>
      </c>
      <c r="W105" s="183" t="s">
        <v>0</v>
      </c>
      <c r="X105" s="183" t="s">
        <v>0</v>
      </c>
      <c r="Y105" s="183" t="s">
        <v>0</v>
      </c>
      <c r="Z105" s="183" t="s">
        <v>0</v>
      </c>
      <c r="AA105" s="183" t="s">
        <v>0</v>
      </c>
      <c r="AB105" s="183" t="s">
        <v>0</v>
      </c>
      <c r="AC105" s="183" t="s">
        <v>0</v>
      </c>
      <c r="AD105" s="183" t="s">
        <v>0</v>
      </c>
      <c r="AE105" s="183" t="s">
        <v>0</v>
      </c>
      <c r="AF105" s="183" t="s">
        <v>0</v>
      </c>
      <c r="AG105" s="183" t="s">
        <v>0</v>
      </c>
      <c r="AH105" s="183" t="s">
        <v>0</v>
      </c>
      <c r="AI105" s="183" t="s">
        <v>0</v>
      </c>
      <c r="AJ105" s="183" t="s">
        <v>0</v>
      </c>
      <c r="AK105" s="183" t="s">
        <v>0</v>
      </c>
      <c r="AL105" s="183" t="s">
        <v>0</v>
      </c>
      <c r="AM105" s="183" t="s">
        <v>0</v>
      </c>
      <c r="AN105" s="183" t="s">
        <v>0</v>
      </c>
      <c r="AO105" s="183" t="s">
        <v>0</v>
      </c>
      <c r="AP105" s="183" t="s">
        <v>0</v>
      </c>
      <c r="AQ105" s="183" t="s">
        <v>0</v>
      </c>
      <c r="AR105" s="183" t="s">
        <v>0</v>
      </c>
      <c r="AS105" s="183" t="s">
        <v>0</v>
      </c>
      <c r="AT105" s="183" t="s">
        <v>0</v>
      </c>
      <c r="AU105" s="183" t="s">
        <v>0</v>
      </c>
      <c r="AV105" s="183" t="s">
        <v>0</v>
      </c>
      <c r="AW105" s="183" t="s">
        <v>0</v>
      </c>
      <c r="AX105" s="183" t="s">
        <v>0</v>
      </c>
      <c r="AY105" s="183" t="s">
        <v>0</v>
      </c>
      <c r="AZ105" s="183" t="s">
        <v>0</v>
      </c>
      <c r="BA105" s="183" t="s">
        <v>0</v>
      </c>
      <c r="BB105" s="183" t="s">
        <v>0</v>
      </c>
      <c r="BC105" s="183" t="s">
        <v>0</v>
      </c>
      <c r="BD105" s="183" t="s">
        <v>0</v>
      </c>
      <c r="BE105" s="183" t="s">
        <v>0</v>
      </c>
      <c r="BF105" s="183" t="s">
        <v>0</v>
      </c>
      <c r="BG105" s="183" t="s">
        <v>0</v>
      </c>
      <c r="BH105" s="183" t="s">
        <v>0</v>
      </c>
      <c r="BI105" s="161"/>
      <c r="DL105">
        <f t="shared" si="427"/>
        <v>0</v>
      </c>
      <c r="DM105">
        <f t="shared" si="428"/>
        <v>0</v>
      </c>
      <c r="DN105">
        <f t="shared" si="429"/>
        <v>0</v>
      </c>
      <c r="DO105">
        <f t="shared" si="430"/>
        <v>0</v>
      </c>
      <c r="DP105">
        <f t="shared" si="431"/>
        <v>0</v>
      </c>
      <c r="DQ105">
        <f t="shared" si="432"/>
        <v>0</v>
      </c>
      <c r="DR105">
        <f t="shared" si="433"/>
        <v>0</v>
      </c>
      <c r="DS105">
        <f t="shared" si="434"/>
        <v>0</v>
      </c>
      <c r="DT105">
        <f t="shared" si="435"/>
        <v>0</v>
      </c>
      <c r="DU105">
        <f t="shared" si="436"/>
        <v>0</v>
      </c>
      <c r="DV105">
        <f t="shared" si="437"/>
        <v>0</v>
      </c>
      <c r="DW105">
        <f t="shared" si="438"/>
        <v>0</v>
      </c>
    </row>
    <row r="106" spans="1:127" x14ac:dyDescent="0.25">
      <c r="A106" s="22">
        <f t="shared" si="375"/>
        <v>100</v>
      </c>
      <c r="B106" s="59" t="str">
        <f t="shared" si="439"/>
        <v>F0013547911</v>
      </c>
      <c r="C106" s="214" t="str">
        <f t="shared" si="440"/>
        <v>82115-0E440 L</v>
      </c>
      <c r="D106" s="58" t="e">
        <f>VLOOKUP(B106,'Timing Table'!B:G,6,0)</f>
        <v>#N/A</v>
      </c>
      <c r="E106" s="22" t="e">
        <f>VLOOKUP(B106,'Timing Table'!B:D,3,0)</f>
        <v>#N/A</v>
      </c>
      <c r="F106" s="188" t="s">
        <v>60</v>
      </c>
      <c r="G106" s="162" t="s">
        <v>60</v>
      </c>
      <c r="H106" s="163" t="s">
        <v>60</v>
      </c>
      <c r="I106" s="164" t="s">
        <v>60</v>
      </c>
      <c r="J106" s="164" t="s">
        <v>0</v>
      </c>
      <c r="K106" s="164" t="s">
        <v>0</v>
      </c>
      <c r="L106" s="164" t="s">
        <v>0</v>
      </c>
      <c r="M106" s="164" t="s">
        <v>0</v>
      </c>
      <c r="N106" s="164" t="s">
        <v>0</v>
      </c>
      <c r="O106" s="164" t="s">
        <v>0</v>
      </c>
      <c r="P106" s="164" t="s">
        <v>0</v>
      </c>
      <c r="Q106" s="164" t="s">
        <v>0</v>
      </c>
      <c r="R106" s="164" t="s">
        <v>0</v>
      </c>
      <c r="S106" s="164" t="s">
        <v>0</v>
      </c>
      <c r="T106" s="164" t="s">
        <v>0</v>
      </c>
      <c r="U106" s="164" t="s">
        <v>0</v>
      </c>
      <c r="V106" s="164" t="s">
        <v>0</v>
      </c>
      <c r="W106" s="164" t="s">
        <v>0</v>
      </c>
      <c r="X106" s="164" t="s">
        <v>0</v>
      </c>
      <c r="Y106" s="164" t="s">
        <v>0</v>
      </c>
      <c r="Z106" s="164" t="s">
        <v>0</v>
      </c>
      <c r="AA106" s="164" t="s">
        <v>0</v>
      </c>
      <c r="AB106" s="164" t="s">
        <v>0</v>
      </c>
      <c r="AC106" s="164" t="s">
        <v>0</v>
      </c>
      <c r="AD106" s="164" t="s">
        <v>0</v>
      </c>
      <c r="AE106" s="164" t="s">
        <v>0</v>
      </c>
      <c r="AF106" s="164" t="s">
        <v>0</v>
      </c>
      <c r="AG106" s="164" t="s">
        <v>0</v>
      </c>
      <c r="AH106" s="164" t="s">
        <v>0</v>
      </c>
      <c r="AI106" s="164" t="s">
        <v>0</v>
      </c>
      <c r="AJ106" s="164" t="s">
        <v>0</v>
      </c>
      <c r="AK106" s="164" t="s">
        <v>0</v>
      </c>
      <c r="AL106" s="164" t="s">
        <v>0</v>
      </c>
      <c r="AM106" s="164" t="s">
        <v>0</v>
      </c>
      <c r="AN106" s="164" t="s">
        <v>0</v>
      </c>
      <c r="AO106" s="164" t="s">
        <v>0</v>
      </c>
      <c r="AP106" s="164" t="s">
        <v>0</v>
      </c>
      <c r="AQ106" s="164" t="s">
        <v>0</v>
      </c>
      <c r="AR106" s="164" t="s">
        <v>0</v>
      </c>
      <c r="AS106" s="164" t="s">
        <v>0</v>
      </c>
      <c r="AT106" s="164" t="s">
        <v>0</v>
      </c>
      <c r="AU106" s="164" t="s">
        <v>0</v>
      </c>
      <c r="AV106" s="164" t="s">
        <v>0</v>
      </c>
      <c r="AW106" s="164" t="s">
        <v>0</v>
      </c>
      <c r="AX106" s="164" t="s">
        <v>0</v>
      </c>
      <c r="AY106" s="164" t="s">
        <v>0</v>
      </c>
      <c r="AZ106" s="164" t="s">
        <v>0</v>
      </c>
      <c r="BA106" s="164" t="s">
        <v>0</v>
      </c>
      <c r="BB106" s="164" t="s">
        <v>0</v>
      </c>
      <c r="BC106" s="164" t="s">
        <v>0</v>
      </c>
      <c r="BD106" s="164" t="s">
        <v>0</v>
      </c>
      <c r="BE106" s="164" t="s">
        <v>0</v>
      </c>
      <c r="BF106" s="164" t="s">
        <v>0</v>
      </c>
      <c r="BG106" s="164" t="s">
        <v>0</v>
      </c>
      <c r="BH106" s="164" t="s">
        <v>0</v>
      </c>
      <c r="BI106" s="189"/>
      <c r="DL106">
        <f t="shared" si="427"/>
        <v>0</v>
      </c>
      <c r="DM106">
        <f t="shared" si="428"/>
        <v>0</v>
      </c>
      <c r="DN106">
        <f t="shared" si="429"/>
        <v>0</v>
      </c>
      <c r="DO106">
        <f t="shared" si="430"/>
        <v>0</v>
      </c>
      <c r="DP106">
        <f t="shared" si="431"/>
        <v>0</v>
      </c>
      <c r="DQ106">
        <f t="shared" si="432"/>
        <v>0</v>
      </c>
      <c r="DR106">
        <f t="shared" si="433"/>
        <v>0</v>
      </c>
      <c r="DS106">
        <f t="shared" si="434"/>
        <v>0</v>
      </c>
      <c r="DT106">
        <f t="shared" si="435"/>
        <v>0</v>
      </c>
      <c r="DU106">
        <f t="shared" si="436"/>
        <v>0</v>
      </c>
      <c r="DV106">
        <f t="shared" si="437"/>
        <v>0</v>
      </c>
      <c r="DW106">
        <f t="shared" si="438"/>
        <v>0</v>
      </c>
    </row>
    <row r="107" spans="1:127" x14ac:dyDescent="0.25">
      <c r="A107" s="22">
        <f t="shared" si="375"/>
        <v>101</v>
      </c>
      <c r="B107" s="59" t="str">
        <f t="shared" si="439"/>
        <v>F0013547912</v>
      </c>
      <c r="C107" s="214" t="str">
        <f t="shared" si="440"/>
        <v>82115-0E440 M</v>
      </c>
      <c r="D107" s="58" t="e">
        <f>VLOOKUP(B107,'Timing Table'!B:G,6,0)</f>
        <v>#N/A</v>
      </c>
      <c r="E107" s="22" t="e">
        <f>VLOOKUP(B107,'Timing Table'!B:D,3,0)</f>
        <v>#N/A</v>
      </c>
      <c r="F107" s="155" t="s">
        <v>61</v>
      </c>
      <c r="G107" s="181">
        <v>5501060667</v>
      </c>
      <c r="H107" s="155" t="s">
        <v>62</v>
      </c>
      <c r="I107" s="181">
        <v>18</v>
      </c>
      <c r="J107" s="155" t="s">
        <v>63</v>
      </c>
      <c r="K107" s="160">
        <v>1210844</v>
      </c>
      <c r="L107" s="161"/>
      <c r="M107" s="190" t="s">
        <v>64</v>
      </c>
      <c r="N107" s="191"/>
      <c r="O107" s="192">
        <v>46086</v>
      </c>
      <c r="P107" s="155" t="s">
        <v>65</v>
      </c>
      <c r="Q107" s="181">
        <v>4</v>
      </c>
      <c r="R107" s="6" t="s">
        <v>0</v>
      </c>
      <c r="S107" s="7" t="s">
        <v>0</v>
      </c>
      <c r="T107" s="7" t="s">
        <v>0</v>
      </c>
      <c r="U107" s="7" t="s">
        <v>0</v>
      </c>
      <c r="V107" s="7" t="s">
        <v>0</v>
      </c>
      <c r="W107" s="7" t="s">
        <v>0</v>
      </c>
      <c r="X107" s="7" t="s">
        <v>0</v>
      </c>
      <c r="Y107" s="7" t="s">
        <v>0</v>
      </c>
      <c r="Z107" s="7" t="s">
        <v>0</v>
      </c>
      <c r="AA107" s="7" t="s">
        <v>0</v>
      </c>
      <c r="AB107" s="7" t="s">
        <v>0</v>
      </c>
      <c r="AC107" s="7" t="s">
        <v>0</v>
      </c>
      <c r="AD107" s="7" t="s">
        <v>0</v>
      </c>
      <c r="AE107" s="7" t="s">
        <v>0</v>
      </c>
      <c r="AF107" s="7" t="s">
        <v>0</v>
      </c>
      <c r="AG107" s="7" t="s">
        <v>0</v>
      </c>
      <c r="AH107" s="7" t="s">
        <v>0</v>
      </c>
      <c r="AI107" s="7" t="s">
        <v>0</v>
      </c>
      <c r="AJ107" s="7" t="s">
        <v>0</v>
      </c>
      <c r="AK107" s="7" t="s">
        <v>0</v>
      </c>
      <c r="AL107" s="7" t="s">
        <v>0</v>
      </c>
      <c r="AM107" s="7" t="s">
        <v>0</v>
      </c>
      <c r="AN107" s="7" t="s">
        <v>0</v>
      </c>
      <c r="AO107" s="7" t="s">
        <v>0</v>
      </c>
      <c r="AP107" s="7" t="s">
        <v>0</v>
      </c>
      <c r="AQ107" s="7" t="s">
        <v>0</v>
      </c>
      <c r="AR107" s="7" t="s">
        <v>0</v>
      </c>
      <c r="AS107" s="7" t="s">
        <v>0</v>
      </c>
      <c r="AT107" s="7" t="s">
        <v>0</v>
      </c>
      <c r="AU107" s="7" t="s">
        <v>0</v>
      </c>
      <c r="AV107" s="7" t="s">
        <v>0</v>
      </c>
      <c r="AW107" s="7" t="s">
        <v>0</v>
      </c>
      <c r="AX107" s="7" t="s">
        <v>0</v>
      </c>
      <c r="AY107" s="7" t="s">
        <v>0</v>
      </c>
      <c r="AZ107" s="7" t="s">
        <v>0</v>
      </c>
      <c r="BA107" s="7" t="s">
        <v>0</v>
      </c>
      <c r="BB107" s="7" t="s">
        <v>0</v>
      </c>
      <c r="BC107" s="7" t="s">
        <v>0</v>
      </c>
      <c r="BD107" s="7" t="s">
        <v>0</v>
      </c>
      <c r="BE107" s="7" t="s">
        <v>0</v>
      </c>
      <c r="BF107" s="7" t="s">
        <v>0</v>
      </c>
      <c r="BG107" s="7" t="s">
        <v>0</v>
      </c>
      <c r="BH107" s="7" t="s">
        <v>0</v>
      </c>
      <c r="BI107" s="8"/>
      <c r="DL107">
        <f t="shared" si="427"/>
        <v>0</v>
      </c>
      <c r="DM107">
        <f t="shared" si="428"/>
        <v>0</v>
      </c>
      <c r="DN107">
        <f t="shared" si="429"/>
        <v>0</v>
      </c>
      <c r="DO107">
        <f t="shared" si="430"/>
        <v>0</v>
      </c>
      <c r="DP107">
        <f t="shared" si="431"/>
        <v>0</v>
      </c>
      <c r="DQ107">
        <f t="shared" si="432"/>
        <v>0</v>
      </c>
      <c r="DR107">
        <f t="shared" si="433"/>
        <v>0</v>
      </c>
      <c r="DS107">
        <f t="shared" si="434"/>
        <v>0</v>
      </c>
      <c r="DT107">
        <f t="shared" si="435"/>
        <v>0</v>
      </c>
      <c r="DU107">
        <f t="shared" si="436"/>
        <v>0</v>
      </c>
      <c r="DV107">
        <f t="shared" si="437"/>
        <v>0</v>
      </c>
      <c r="DW107">
        <f t="shared" si="438"/>
        <v>0</v>
      </c>
    </row>
    <row r="108" spans="1:127" x14ac:dyDescent="0.25">
      <c r="A108" s="22">
        <f t="shared" si="375"/>
        <v>102</v>
      </c>
      <c r="B108" s="59" t="str">
        <f t="shared" si="439"/>
        <v>F0013547912</v>
      </c>
      <c r="C108" s="214" t="str">
        <f t="shared" si="440"/>
        <v>82115-0E440 M</v>
      </c>
      <c r="D108" s="58" t="e">
        <f>VLOOKUP(B108,'Timing Table'!B:G,6,0)</f>
        <v>#N/A</v>
      </c>
      <c r="E108" s="22" t="e">
        <f>VLOOKUP(B108,'Timing Table'!B:D,3,0)</f>
        <v>#N/A</v>
      </c>
      <c r="F108" s="155" t="s">
        <v>66</v>
      </c>
      <c r="G108" s="181" t="s">
        <v>459</v>
      </c>
      <c r="H108" s="155" t="s">
        <v>67</v>
      </c>
      <c r="I108" s="182" t="s">
        <v>460</v>
      </c>
      <c r="J108" s="183"/>
      <c r="K108" s="183"/>
      <c r="L108" s="161"/>
      <c r="M108" s="155" t="s">
        <v>68</v>
      </c>
      <c r="N108" s="181">
        <v>2023</v>
      </c>
      <c r="O108" s="184" t="s">
        <v>69</v>
      </c>
      <c r="P108" s="185"/>
      <c r="Q108" s="193" t="s">
        <v>458</v>
      </c>
      <c r="R108" s="156" t="s">
        <v>0</v>
      </c>
      <c r="S108" s="157"/>
      <c r="T108" s="157"/>
      <c r="U108" s="157" t="s">
        <v>0</v>
      </c>
      <c r="V108" s="157" t="s">
        <v>0</v>
      </c>
      <c r="W108" s="157" t="s">
        <v>0</v>
      </c>
      <c r="X108" s="157" t="s">
        <v>0</v>
      </c>
      <c r="Y108" s="157" t="s">
        <v>0</v>
      </c>
      <c r="Z108" s="157" t="s">
        <v>0</v>
      </c>
      <c r="AA108" s="157" t="s">
        <v>0</v>
      </c>
      <c r="AB108" s="157" t="s">
        <v>0</v>
      </c>
      <c r="AC108" s="157" t="s">
        <v>0</v>
      </c>
      <c r="AD108" s="157" t="s">
        <v>0</v>
      </c>
      <c r="AE108" s="157" t="s">
        <v>0</v>
      </c>
      <c r="AF108" s="157" t="s">
        <v>0</v>
      </c>
      <c r="AG108" s="157" t="s">
        <v>0</v>
      </c>
      <c r="AH108" s="157" t="s">
        <v>0</v>
      </c>
      <c r="AI108" s="157" t="s">
        <v>0</v>
      </c>
      <c r="AJ108" s="157" t="s">
        <v>0</v>
      </c>
      <c r="AK108" s="157" t="s">
        <v>0</v>
      </c>
      <c r="AL108" s="157" t="s">
        <v>0</v>
      </c>
      <c r="AM108" s="157" t="s">
        <v>0</v>
      </c>
      <c r="AN108" s="157" t="s">
        <v>0</v>
      </c>
      <c r="AO108" s="157" t="s">
        <v>0</v>
      </c>
      <c r="AP108" s="157" t="s">
        <v>0</v>
      </c>
      <c r="AQ108" s="157" t="s">
        <v>0</v>
      </c>
      <c r="AR108" s="157" t="s">
        <v>0</v>
      </c>
      <c r="AS108" s="157" t="s">
        <v>0</v>
      </c>
      <c r="AT108" s="157" t="s">
        <v>0</v>
      </c>
      <c r="AU108" s="157" t="s">
        <v>0</v>
      </c>
      <c r="AV108" s="157" t="s">
        <v>0</v>
      </c>
      <c r="AW108" s="157" t="s">
        <v>0</v>
      </c>
      <c r="AX108" s="157" t="s">
        <v>0</v>
      </c>
      <c r="AY108" s="157" t="s">
        <v>0</v>
      </c>
      <c r="AZ108" s="157" t="s">
        <v>0</v>
      </c>
      <c r="BA108" s="157" t="s">
        <v>0</v>
      </c>
      <c r="BB108" s="157" t="s">
        <v>0</v>
      </c>
      <c r="BC108" s="157" t="s">
        <v>0</v>
      </c>
      <c r="BD108" s="157" t="s">
        <v>0</v>
      </c>
      <c r="BE108" s="157" t="s">
        <v>0</v>
      </c>
      <c r="BF108" s="157" t="s">
        <v>0</v>
      </c>
      <c r="BG108" s="157" t="s">
        <v>0</v>
      </c>
      <c r="BH108" s="157" t="s">
        <v>0</v>
      </c>
      <c r="BI108" s="158"/>
      <c r="DL108">
        <f t="shared" si="427"/>
        <v>0</v>
      </c>
      <c r="DM108">
        <f t="shared" si="428"/>
        <v>0</v>
      </c>
      <c r="DN108">
        <f t="shared" si="429"/>
        <v>0</v>
      </c>
      <c r="DO108">
        <f t="shared" si="430"/>
        <v>0</v>
      </c>
      <c r="DP108">
        <f t="shared" si="431"/>
        <v>0</v>
      </c>
      <c r="DQ108">
        <f t="shared" si="432"/>
        <v>0</v>
      </c>
      <c r="DR108">
        <f t="shared" si="433"/>
        <v>0</v>
      </c>
      <c r="DS108">
        <f t="shared" si="434"/>
        <v>0</v>
      </c>
      <c r="DT108">
        <f t="shared" si="435"/>
        <v>0</v>
      </c>
      <c r="DU108">
        <f t="shared" si="436"/>
        <v>0</v>
      </c>
      <c r="DV108">
        <f t="shared" si="437"/>
        <v>0</v>
      </c>
      <c r="DW108">
        <f t="shared" si="438"/>
        <v>0</v>
      </c>
    </row>
    <row r="109" spans="1:127" x14ac:dyDescent="0.25">
      <c r="A109" s="22">
        <f t="shared" si="375"/>
        <v>103</v>
      </c>
      <c r="B109" s="59" t="str">
        <f t="shared" si="439"/>
        <v>F0013547912</v>
      </c>
      <c r="C109" s="214" t="str">
        <f t="shared" si="440"/>
        <v>82115-0E440 M</v>
      </c>
      <c r="D109" s="58" t="e">
        <f>VLOOKUP(B109,'Timing Table'!B:G,6,0)</f>
        <v>#N/A</v>
      </c>
      <c r="E109" s="22" t="e">
        <f>VLOOKUP(B109,'Timing Table'!B:D,3,0)</f>
        <v>#N/A</v>
      </c>
      <c r="F109" s="155" t="s">
        <v>70</v>
      </c>
      <c r="G109" s="181" t="s">
        <v>490</v>
      </c>
      <c r="H109" s="155" t="s">
        <v>71</v>
      </c>
      <c r="I109" s="182" t="s">
        <v>60</v>
      </c>
      <c r="J109" s="161" t="s">
        <v>0</v>
      </c>
      <c r="K109" s="194" t="s">
        <v>0</v>
      </c>
      <c r="L109" s="195" t="s">
        <v>0</v>
      </c>
      <c r="M109" s="179" t="s">
        <v>0</v>
      </c>
      <c r="N109" s="179" t="s">
        <v>0</v>
      </c>
      <c r="O109" s="179" t="s">
        <v>0</v>
      </c>
      <c r="P109" s="179" t="s">
        <v>0</v>
      </c>
      <c r="Q109" s="179" t="s">
        <v>1</v>
      </c>
      <c r="R109" s="179" t="s">
        <v>2</v>
      </c>
      <c r="S109" s="179" t="s">
        <v>0</v>
      </c>
      <c r="T109" s="179" t="s">
        <v>0</v>
      </c>
      <c r="U109" s="179" t="s">
        <v>0</v>
      </c>
      <c r="V109" s="179" t="s">
        <v>0</v>
      </c>
      <c r="W109" s="179" t="s">
        <v>0</v>
      </c>
      <c r="X109" s="179" t="s">
        <v>0</v>
      </c>
      <c r="Y109" s="179" t="s">
        <v>0</v>
      </c>
      <c r="Z109" s="179" t="s">
        <v>3</v>
      </c>
      <c r="AA109" s="179" t="s">
        <v>0</v>
      </c>
      <c r="AB109" s="179" t="s">
        <v>0</v>
      </c>
      <c r="AC109" s="179" t="s">
        <v>0</v>
      </c>
      <c r="AD109" s="179" t="s">
        <v>0</v>
      </c>
      <c r="AE109" s="179" t="s">
        <v>0</v>
      </c>
      <c r="AF109" s="179" t="s">
        <v>0</v>
      </c>
      <c r="AG109" s="179" t="s">
        <v>0</v>
      </c>
      <c r="AH109" s="179" t="s">
        <v>0</v>
      </c>
      <c r="AI109" s="179" t="s">
        <v>0</v>
      </c>
      <c r="AJ109" s="179" t="s">
        <v>0</v>
      </c>
      <c r="AK109" s="179" t="s">
        <v>0</v>
      </c>
      <c r="AL109" s="179" t="s">
        <v>0</v>
      </c>
      <c r="AM109" s="179" t="s">
        <v>0</v>
      </c>
      <c r="AN109" s="179" t="s">
        <v>0</v>
      </c>
      <c r="AO109" s="179" t="s">
        <v>0</v>
      </c>
      <c r="AP109" s="179" t="s">
        <v>0</v>
      </c>
      <c r="AQ109" s="179" t="s">
        <v>0</v>
      </c>
      <c r="AR109" s="179" t="s">
        <v>0</v>
      </c>
      <c r="AS109" s="179" t="s">
        <v>0</v>
      </c>
      <c r="AT109" s="179" t="s">
        <v>0</v>
      </c>
      <c r="AU109" s="179" t="s">
        <v>0</v>
      </c>
      <c r="AV109" s="179" t="s">
        <v>0</v>
      </c>
      <c r="AW109" s="179" t="s">
        <v>0</v>
      </c>
      <c r="AX109" s="179" t="s">
        <v>0</v>
      </c>
      <c r="AY109" s="179" t="s">
        <v>0</v>
      </c>
      <c r="AZ109" s="179" t="s">
        <v>0</v>
      </c>
      <c r="BA109" s="179" t="s">
        <v>0</v>
      </c>
      <c r="BB109" s="179" t="s">
        <v>0</v>
      </c>
      <c r="BC109" s="179" t="s">
        <v>0</v>
      </c>
      <c r="BD109" s="179" t="s">
        <v>0</v>
      </c>
      <c r="BE109" s="179" t="s">
        <v>0</v>
      </c>
      <c r="BF109" s="179" t="s">
        <v>0</v>
      </c>
      <c r="BG109" s="179" t="s">
        <v>0</v>
      </c>
      <c r="BH109" s="179" t="s">
        <v>0</v>
      </c>
      <c r="BI109" s="180" t="s">
        <v>4</v>
      </c>
      <c r="DL109">
        <f t="shared" si="427"/>
        <v>0</v>
      </c>
      <c r="DM109">
        <f t="shared" si="428"/>
        <v>0</v>
      </c>
      <c r="DN109">
        <f t="shared" si="429"/>
        <v>0</v>
      </c>
      <c r="DO109">
        <f t="shared" si="430"/>
        <v>0</v>
      </c>
      <c r="DP109">
        <f t="shared" si="431"/>
        <v>0</v>
      </c>
      <c r="DQ109">
        <f t="shared" si="432"/>
        <v>0</v>
      </c>
      <c r="DR109">
        <f t="shared" si="433"/>
        <v>0</v>
      </c>
      <c r="DS109">
        <f t="shared" si="434"/>
        <v>0</v>
      </c>
      <c r="DT109">
        <f t="shared" si="435"/>
        <v>0</v>
      </c>
      <c r="DU109">
        <f t="shared" si="436"/>
        <v>0</v>
      </c>
      <c r="DV109">
        <f t="shared" si="437"/>
        <v>0</v>
      </c>
      <c r="DW109">
        <f t="shared" si="438"/>
        <v>0</v>
      </c>
    </row>
    <row r="110" spans="1:127" x14ac:dyDescent="0.25">
      <c r="A110" s="22">
        <f t="shared" si="375"/>
        <v>104</v>
      </c>
      <c r="B110" s="59" t="str">
        <f t="shared" si="439"/>
        <v>F0013547912</v>
      </c>
      <c r="C110" s="214" t="str">
        <f t="shared" si="440"/>
        <v>82115-0E440 M</v>
      </c>
      <c r="D110" s="58" t="e">
        <f>VLOOKUP(B110,'Timing Table'!B:G,6,0)</f>
        <v>#N/A</v>
      </c>
      <c r="E110" s="22" t="e">
        <f>VLOOKUP(B110,'Timing Table'!B:D,3,0)</f>
        <v>#N/A</v>
      </c>
      <c r="F110" s="155" t="s">
        <v>72</v>
      </c>
      <c r="G110" s="181">
        <v>1016</v>
      </c>
      <c r="H110" s="196" t="s">
        <v>413</v>
      </c>
      <c r="I110" s="197" t="s">
        <v>73</v>
      </c>
      <c r="J110" s="13">
        <v>46041</v>
      </c>
      <c r="K110" s="14">
        <v>46048</v>
      </c>
      <c r="L110" s="14">
        <v>46055</v>
      </c>
      <c r="M110" s="14">
        <v>46062</v>
      </c>
      <c r="N110" s="14">
        <v>46069</v>
      </c>
      <c r="O110" s="14">
        <v>46076</v>
      </c>
      <c r="P110" s="14">
        <v>46083</v>
      </c>
      <c r="Q110" s="14">
        <v>46090</v>
      </c>
      <c r="R110" s="14">
        <v>46097</v>
      </c>
      <c r="S110" s="14">
        <v>46104</v>
      </c>
      <c r="T110" s="14">
        <v>46111</v>
      </c>
      <c r="U110" s="14">
        <v>46118</v>
      </c>
      <c r="V110" s="14">
        <v>46125</v>
      </c>
      <c r="W110" s="14">
        <v>46132</v>
      </c>
      <c r="X110" s="14">
        <v>46139</v>
      </c>
      <c r="Y110" s="14">
        <v>46146</v>
      </c>
      <c r="Z110" s="14">
        <v>46153</v>
      </c>
      <c r="AA110" s="14">
        <v>46160</v>
      </c>
      <c r="AB110" s="14">
        <v>46167</v>
      </c>
      <c r="AC110" s="14">
        <v>46174</v>
      </c>
      <c r="AD110" s="14">
        <v>46181</v>
      </c>
      <c r="AE110" s="14">
        <v>46188</v>
      </c>
      <c r="AF110" s="14">
        <v>46195</v>
      </c>
      <c r="AG110" s="14">
        <v>46202</v>
      </c>
      <c r="AH110" s="14">
        <v>46209</v>
      </c>
      <c r="AI110" s="14">
        <v>46216</v>
      </c>
      <c r="AJ110" s="14">
        <v>46223</v>
      </c>
      <c r="AK110" s="14">
        <v>46230</v>
      </c>
      <c r="AL110" s="14">
        <v>46237</v>
      </c>
      <c r="AM110" s="14">
        <v>46244</v>
      </c>
      <c r="AN110" s="14">
        <v>46251</v>
      </c>
      <c r="AO110" s="14">
        <v>46258</v>
      </c>
      <c r="AP110" s="14">
        <v>46265</v>
      </c>
      <c r="AQ110" s="14">
        <v>46272</v>
      </c>
      <c r="AR110" s="14">
        <v>46279</v>
      </c>
      <c r="AS110" s="14">
        <v>46286</v>
      </c>
      <c r="AT110" s="14">
        <v>46293</v>
      </c>
      <c r="AU110" s="14">
        <v>46300</v>
      </c>
      <c r="AV110" s="14">
        <v>46307</v>
      </c>
      <c r="AW110" s="14">
        <v>46314</v>
      </c>
      <c r="AX110" s="14">
        <v>46321</v>
      </c>
      <c r="AY110" s="14">
        <v>46328</v>
      </c>
      <c r="AZ110" s="14">
        <v>46335</v>
      </c>
      <c r="BA110" s="14">
        <v>46342</v>
      </c>
      <c r="BB110" s="14">
        <v>46349</v>
      </c>
      <c r="BC110" s="14">
        <v>46356</v>
      </c>
      <c r="BD110" s="14">
        <v>46363</v>
      </c>
      <c r="BE110" s="14">
        <v>46370</v>
      </c>
      <c r="BF110" s="14">
        <v>46377</v>
      </c>
      <c r="BG110" s="14">
        <v>46384</v>
      </c>
      <c r="BH110" s="14">
        <v>46391</v>
      </c>
      <c r="BI110" s="15">
        <v>46398</v>
      </c>
      <c r="DL110">
        <f t="shared" si="427"/>
        <v>0</v>
      </c>
      <c r="DM110">
        <f t="shared" si="428"/>
        <v>0</v>
      </c>
      <c r="DN110">
        <f t="shared" si="429"/>
        <v>0</v>
      </c>
      <c r="DO110">
        <f t="shared" si="430"/>
        <v>0</v>
      </c>
      <c r="DP110">
        <f t="shared" si="431"/>
        <v>0</v>
      </c>
      <c r="DQ110">
        <f t="shared" si="432"/>
        <v>0</v>
      </c>
      <c r="DR110">
        <f t="shared" si="433"/>
        <v>0</v>
      </c>
      <c r="DS110">
        <f t="shared" si="434"/>
        <v>0</v>
      </c>
      <c r="DT110">
        <f t="shared" si="435"/>
        <v>0</v>
      </c>
      <c r="DU110">
        <f t="shared" si="436"/>
        <v>0</v>
      </c>
      <c r="DV110">
        <f t="shared" si="437"/>
        <v>0</v>
      </c>
      <c r="DW110">
        <f t="shared" si="438"/>
        <v>0</v>
      </c>
    </row>
    <row r="111" spans="1:127" x14ac:dyDescent="0.25">
      <c r="A111" s="22">
        <f t="shared" si="375"/>
        <v>105</v>
      </c>
      <c r="B111" s="59" t="str">
        <f t="shared" si="439"/>
        <v>F0013547912</v>
      </c>
      <c r="C111" s="214" t="str">
        <f t="shared" si="440"/>
        <v>82115-0E440 M</v>
      </c>
      <c r="D111" s="58" t="e">
        <f>VLOOKUP(B111,'Timing Table'!B:G,6,0)</f>
        <v>#N/A</v>
      </c>
      <c r="E111" s="22" t="e">
        <f>VLOOKUP(B111,'Timing Table'!B:D,3,0)</f>
        <v>#N/A</v>
      </c>
      <c r="F111" s="155" t="s">
        <v>74</v>
      </c>
      <c r="G111" s="181">
        <v>3716</v>
      </c>
      <c r="H111" s="5" t="s">
        <v>60</v>
      </c>
      <c r="I111" s="11" t="s">
        <v>147</v>
      </c>
      <c r="J111" s="16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17"/>
      <c r="DL111">
        <f t="shared" si="427"/>
        <v>0</v>
      </c>
      <c r="DM111">
        <f t="shared" si="428"/>
        <v>0</v>
      </c>
      <c r="DN111">
        <f t="shared" si="429"/>
        <v>0</v>
      </c>
      <c r="DO111">
        <f t="shared" si="430"/>
        <v>0</v>
      </c>
      <c r="DP111">
        <f t="shared" si="431"/>
        <v>0</v>
      </c>
      <c r="DQ111">
        <f t="shared" si="432"/>
        <v>0</v>
      </c>
      <c r="DR111">
        <f t="shared" si="433"/>
        <v>0</v>
      </c>
      <c r="DS111">
        <f t="shared" si="434"/>
        <v>0</v>
      </c>
      <c r="DT111">
        <f t="shared" si="435"/>
        <v>0</v>
      </c>
      <c r="DU111">
        <f t="shared" si="436"/>
        <v>0</v>
      </c>
      <c r="DV111">
        <f t="shared" si="437"/>
        <v>0</v>
      </c>
      <c r="DW111">
        <f t="shared" si="438"/>
        <v>0</v>
      </c>
    </row>
    <row r="112" spans="1:127" x14ac:dyDescent="0.25">
      <c r="A112" s="22">
        <f t="shared" si="375"/>
        <v>106</v>
      </c>
      <c r="B112" s="59" t="str">
        <f t="shared" si="439"/>
        <v>F0013547912</v>
      </c>
      <c r="C112" s="214" t="str">
        <f t="shared" si="440"/>
        <v>82115-0E440 M</v>
      </c>
      <c r="D112" s="58" t="e">
        <f>VLOOKUP(B112,'Timing Table'!B:G,6,0)</f>
        <v>#N/A</v>
      </c>
      <c r="E112" s="22" t="e">
        <f>VLOOKUP(B112,'Timing Table'!B:D,3,0)</f>
        <v>#N/A</v>
      </c>
      <c r="F112" s="155" t="s">
        <v>75</v>
      </c>
      <c r="G112" s="198" t="s">
        <v>486</v>
      </c>
      <c r="H112" s="9" t="s">
        <v>173</v>
      </c>
      <c r="I112" s="11" t="s">
        <v>76</v>
      </c>
      <c r="J112" s="143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192</v>
      </c>
      <c r="Q112" s="64">
        <v>428</v>
      </c>
      <c r="R112" s="64">
        <v>0</v>
      </c>
      <c r="S112" s="64">
        <v>416</v>
      </c>
      <c r="T112" s="64">
        <v>412</v>
      </c>
      <c r="U112" s="64">
        <v>364</v>
      </c>
      <c r="V112" s="64">
        <v>360</v>
      </c>
      <c r="W112" s="64">
        <v>224</v>
      </c>
      <c r="X112" s="64">
        <v>168</v>
      </c>
      <c r="Y112" s="64">
        <v>168</v>
      </c>
      <c r="Z112" s="64">
        <v>220</v>
      </c>
      <c r="AA112" s="64">
        <v>308</v>
      </c>
      <c r="AB112" s="64">
        <v>304</v>
      </c>
      <c r="AC112" s="64">
        <v>308</v>
      </c>
      <c r="AD112" s="64">
        <v>260</v>
      </c>
      <c r="AE112" s="64">
        <v>260</v>
      </c>
      <c r="AF112" s="64">
        <v>212</v>
      </c>
      <c r="AG112" s="64">
        <v>296</v>
      </c>
      <c r="AH112" s="64">
        <v>176</v>
      </c>
      <c r="AI112" s="64">
        <v>252</v>
      </c>
      <c r="AJ112" s="64">
        <v>352</v>
      </c>
      <c r="AK112" s="64">
        <v>352</v>
      </c>
      <c r="AL112" s="64">
        <v>492</v>
      </c>
      <c r="AM112" s="64">
        <v>492</v>
      </c>
      <c r="AN112" s="64">
        <v>492</v>
      </c>
      <c r="AO112" s="64">
        <v>492</v>
      </c>
      <c r="AP112" s="64">
        <v>492</v>
      </c>
      <c r="AQ112" s="64">
        <v>492</v>
      </c>
      <c r="AR112" s="64">
        <v>492</v>
      </c>
      <c r="AS112" s="64">
        <v>492</v>
      </c>
      <c r="AT112" s="64">
        <v>492</v>
      </c>
      <c r="AU112" s="64">
        <v>492</v>
      </c>
      <c r="AV112" s="64">
        <v>492</v>
      </c>
      <c r="AW112" s="64">
        <v>492</v>
      </c>
      <c r="AX112" s="64">
        <v>492</v>
      </c>
      <c r="AY112" s="64">
        <v>492</v>
      </c>
      <c r="AZ112" s="64">
        <v>492</v>
      </c>
      <c r="BA112" s="64">
        <v>492</v>
      </c>
      <c r="BB112" s="64">
        <v>492</v>
      </c>
      <c r="BC112" s="64">
        <v>492</v>
      </c>
      <c r="BD112" s="64">
        <v>492</v>
      </c>
      <c r="BE112" s="64">
        <v>492</v>
      </c>
      <c r="BF112" s="64">
        <v>492</v>
      </c>
      <c r="BG112" s="64">
        <v>492</v>
      </c>
      <c r="BH112" s="64">
        <v>492</v>
      </c>
      <c r="BI112" s="144">
        <v>492</v>
      </c>
      <c r="BJ112" s="24" t="str">
        <f>+G109</f>
        <v>82115-0E440 M</v>
      </c>
      <c r="BK112" s="24">
        <f>+J112</f>
        <v>0</v>
      </c>
      <c r="BL112" s="24">
        <f t="shared" ref="BL112" si="594">+K112</f>
        <v>0</v>
      </c>
      <c r="BM112" s="24">
        <f t="shared" ref="BM112" si="595">+L112</f>
        <v>0</v>
      </c>
      <c r="BN112" s="24">
        <f t="shared" ref="BN112" si="596">+M112</f>
        <v>0</v>
      </c>
      <c r="BO112" s="24">
        <f t="shared" ref="BO112" si="597">+N112</f>
        <v>0</v>
      </c>
      <c r="BP112" s="24">
        <f t="shared" ref="BP112" si="598">+O112</f>
        <v>0</v>
      </c>
      <c r="BQ112" s="24">
        <f t="shared" ref="BQ112" si="599">+P112</f>
        <v>192</v>
      </c>
      <c r="BR112" s="24">
        <f t="shared" ref="BR112" si="600">+Q112</f>
        <v>428</v>
      </c>
      <c r="BS112" s="24">
        <f t="shared" ref="BS112" si="601">+R112</f>
        <v>0</v>
      </c>
      <c r="BT112" s="24">
        <f t="shared" ref="BT112" si="602">+S112</f>
        <v>416</v>
      </c>
      <c r="BU112" s="24">
        <f t="shared" ref="BU112" si="603">+T112</f>
        <v>412</v>
      </c>
      <c r="BV112" s="24">
        <f t="shared" ref="BV112" si="604">+U112</f>
        <v>364</v>
      </c>
      <c r="BW112" s="24">
        <f t="shared" ref="BW112" si="605">+V112</f>
        <v>360</v>
      </c>
      <c r="BX112" s="24">
        <f t="shared" ref="BX112" si="606">+W112</f>
        <v>224</v>
      </c>
      <c r="BY112" s="24">
        <f t="shared" ref="BY112" si="607">+X112</f>
        <v>168</v>
      </c>
      <c r="BZ112" s="24">
        <f t="shared" ref="BZ112" si="608">+Y112</f>
        <v>168</v>
      </c>
      <c r="CA112" s="24">
        <f t="shared" ref="CA112" si="609">+Z112</f>
        <v>220</v>
      </c>
      <c r="CB112" s="24">
        <f t="shared" ref="CB112" si="610">+AA112</f>
        <v>308</v>
      </c>
      <c r="CC112" s="24">
        <f t="shared" ref="CC112" si="611">+AB112</f>
        <v>304</v>
      </c>
      <c r="CD112" s="24">
        <f t="shared" ref="CD112" si="612">+AC112</f>
        <v>308</v>
      </c>
      <c r="CE112" s="24">
        <f t="shared" ref="CE112" si="613">+AD112</f>
        <v>260</v>
      </c>
      <c r="CF112" s="24">
        <f t="shared" ref="CF112" si="614">+AE112</f>
        <v>260</v>
      </c>
      <c r="CG112" s="24">
        <f t="shared" ref="CG112" si="615">+AF112</f>
        <v>212</v>
      </c>
      <c r="CH112" s="24">
        <f t="shared" ref="CH112" si="616">+AG112</f>
        <v>296</v>
      </c>
      <c r="CI112" s="24">
        <f t="shared" ref="CI112" si="617">+AH112</f>
        <v>176</v>
      </c>
      <c r="CJ112" s="24">
        <f t="shared" ref="CJ112" si="618">+AI112</f>
        <v>252</v>
      </c>
      <c r="CK112" s="24">
        <f t="shared" ref="CK112" si="619">+AJ112</f>
        <v>352</v>
      </c>
      <c r="CL112" s="24">
        <f t="shared" ref="CL112" si="620">+AK112</f>
        <v>352</v>
      </c>
      <c r="CM112" s="24">
        <f t="shared" ref="CM112" si="621">+AL112</f>
        <v>492</v>
      </c>
      <c r="CN112" s="24">
        <f t="shared" ref="CN112" si="622">+AM112</f>
        <v>492</v>
      </c>
      <c r="CO112" s="24">
        <f t="shared" ref="CO112" si="623">+AN112</f>
        <v>492</v>
      </c>
      <c r="CP112" s="166">
        <f t="shared" ref="CP112" si="624">+AO112</f>
        <v>492</v>
      </c>
      <c r="CQ112" s="166">
        <f t="shared" ref="CQ112" si="625">+AP112</f>
        <v>492</v>
      </c>
      <c r="CR112">
        <f t="shared" ref="CR112" si="626">+AQ112</f>
        <v>492</v>
      </c>
      <c r="CS112">
        <f t="shared" ref="CS112" si="627">+AR112</f>
        <v>492</v>
      </c>
      <c r="CT112">
        <f t="shared" ref="CT112" si="628">+AS112</f>
        <v>492</v>
      </c>
      <c r="CU112">
        <f t="shared" ref="CU112" si="629">+AT112</f>
        <v>492</v>
      </c>
      <c r="CV112">
        <f t="shared" ref="CV112" si="630">+AU112</f>
        <v>492</v>
      </c>
      <c r="CW112">
        <f t="shared" ref="CW112" si="631">+AV112</f>
        <v>492</v>
      </c>
      <c r="CX112">
        <f t="shared" ref="CX112" si="632">+AW112</f>
        <v>492</v>
      </c>
      <c r="CY112">
        <f t="shared" ref="CY112" si="633">+AX112</f>
        <v>492</v>
      </c>
      <c r="CZ112">
        <f t="shared" ref="CZ112" si="634">+AY112</f>
        <v>492</v>
      </c>
      <c r="DA112">
        <f t="shared" ref="DA112" si="635">+AZ112</f>
        <v>492</v>
      </c>
      <c r="DB112">
        <f t="shared" ref="DB112" si="636">+BA112</f>
        <v>492</v>
      </c>
      <c r="DC112">
        <f t="shared" ref="DC112" si="637">+BB112</f>
        <v>492</v>
      </c>
      <c r="DD112">
        <f t="shared" ref="DD112" si="638">+BC112</f>
        <v>492</v>
      </c>
      <c r="DE112">
        <f t="shared" ref="DE112" si="639">+BD112</f>
        <v>492</v>
      </c>
      <c r="DF112">
        <f t="shared" ref="DF112" si="640">+BE112</f>
        <v>492</v>
      </c>
      <c r="DG112">
        <f t="shared" ref="DG112" si="641">+BF112</f>
        <v>492</v>
      </c>
      <c r="DH112">
        <f t="shared" ref="DH112" si="642">+BG112</f>
        <v>492</v>
      </c>
      <c r="DI112">
        <f t="shared" ref="DI112" si="643">+BH112</f>
        <v>492</v>
      </c>
      <c r="DJ112">
        <f t="shared" ref="DJ112" si="644">+BI112</f>
        <v>492</v>
      </c>
      <c r="DL112" s="24">
        <f t="shared" si="427"/>
        <v>0</v>
      </c>
      <c r="DM112" s="24">
        <f t="shared" si="428"/>
        <v>0</v>
      </c>
      <c r="DN112" s="24">
        <f t="shared" si="429"/>
        <v>1036</v>
      </c>
      <c r="DO112" s="24">
        <f t="shared" si="430"/>
        <v>1528</v>
      </c>
      <c r="DP112" s="24">
        <f t="shared" si="431"/>
        <v>1000</v>
      </c>
      <c r="DQ112" s="24">
        <f t="shared" si="432"/>
        <v>1040</v>
      </c>
      <c r="DR112" s="24">
        <f t="shared" si="433"/>
        <v>1428</v>
      </c>
      <c r="DS112" s="24">
        <f t="shared" si="434"/>
        <v>1968</v>
      </c>
      <c r="DT112" s="24">
        <f t="shared" si="435"/>
        <v>2460</v>
      </c>
      <c r="DU112">
        <f t="shared" si="436"/>
        <v>1968</v>
      </c>
      <c r="DV112">
        <f t="shared" si="437"/>
        <v>1968</v>
      </c>
      <c r="DW112">
        <f t="shared" si="438"/>
        <v>2460</v>
      </c>
    </row>
    <row r="113" spans="1:127" x14ac:dyDescent="0.25">
      <c r="A113" s="22">
        <f t="shared" si="375"/>
        <v>107</v>
      </c>
      <c r="B113" s="59" t="str">
        <f t="shared" si="439"/>
        <v>F0013547912</v>
      </c>
      <c r="C113" s="214" t="str">
        <f t="shared" si="440"/>
        <v>82115-0E440 M</v>
      </c>
      <c r="D113" s="58" t="e">
        <f>VLOOKUP(B113,'Timing Table'!B:G,6,0)</f>
        <v>#N/A</v>
      </c>
      <c r="E113" s="22" t="e">
        <f>VLOOKUP(B113,'Timing Table'!B:D,3,0)</f>
        <v>#N/A</v>
      </c>
      <c r="F113" s="155" t="s">
        <v>77</v>
      </c>
      <c r="G113" s="181">
        <v>82115</v>
      </c>
      <c r="H113" s="10" t="s">
        <v>173</v>
      </c>
      <c r="I113" s="12" t="s">
        <v>78</v>
      </c>
      <c r="J113" s="152">
        <v>0</v>
      </c>
      <c r="K113" s="153">
        <v>0</v>
      </c>
      <c r="L113" s="153">
        <v>0</v>
      </c>
      <c r="M113" s="153">
        <v>0</v>
      </c>
      <c r="N113" s="153">
        <v>0</v>
      </c>
      <c r="O113" s="153">
        <v>0</v>
      </c>
      <c r="P113" s="153">
        <v>192</v>
      </c>
      <c r="Q113" s="153">
        <v>620</v>
      </c>
      <c r="R113" s="153">
        <v>620</v>
      </c>
      <c r="S113" s="153">
        <v>1036</v>
      </c>
      <c r="T113" s="153">
        <v>1448</v>
      </c>
      <c r="U113" s="153">
        <v>1812</v>
      </c>
      <c r="V113" s="153">
        <v>2172</v>
      </c>
      <c r="W113" s="153">
        <v>2396</v>
      </c>
      <c r="X113" s="153">
        <v>2564</v>
      </c>
      <c r="Y113" s="153">
        <v>2732</v>
      </c>
      <c r="Z113" s="153">
        <v>2952</v>
      </c>
      <c r="AA113" s="153">
        <v>3260</v>
      </c>
      <c r="AB113" s="153">
        <v>3564</v>
      </c>
      <c r="AC113" s="153">
        <v>3872</v>
      </c>
      <c r="AD113" s="153">
        <v>4132</v>
      </c>
      <c r="AE113" s="153">
        <v>4392</v>
      </c>
      <c r="AF113" s="153">
        <v>4604</v>
      </c>
      <c r="AG113" s="153">
        <v>4900</v>
      </c>
      <c r="AH113" s="153">
        <v>5076</v>
      </c>
      <c r="AI113" s="153">
        <v>5328</v>
      </c>
      <c r="AJ113" s="153">
        <v>5680</v>
      </c>
      <c r="AK113" s="153">
        <v>6032</v>
      </c>
      <c r="AL113" s="153">
        <v>6524</v>
      </c>
      <c r="AM113" s="153">
        <v>7016</v>
      </c>
      <c r="AN113" s="153">
        <v>7508</v>
      </c>
      <c r="AO113" s="153">
        <v>8000</v>
      </c>
      <c r="AP113" s="153">
        <v>8492</v>
      </c>
      <c r="AQ113" s="153">
        <v>8984</v>
      </c>
      <c r="AR113" s="153">
        <v>9476</v>
      </c>
      <c r="AS113" s="153">
        <v>9968</v>
      </c>
      <c r="AT113" s="153">
        <v>10460</v>
      </c>
      <c r="AU113" s="153">
        <v>10952</v>
      </c>
      <c r="AV113" s="153">
        <v>11444</v>
      </c>
      <c r="AW113" s="153">
        <v>11936</v>
      </c>
      <c r="AX113" s="153">
        <v>12428</v>
      </c>
      <c r="AY113" s="153">
        <v>12920</v>
      </c>
      <c r="AZ113" s="153">
        <v>13412</v>
      </c>
      <c r="BA113" s="153">
        <v>13904</v>
      </c>
      <c r="BB113" s="153">
        <v>14396</v>
      </c>
      <c r="BC113" s="153">
        <v>14888</v>
      </c>
      <c r="BD113" s="153">
        <v>15380</v>
      </c>
      <c r="BE113" s="153">
        <v>15872</v>
      </c>
      <c r="BF113" s="153">
        <v>16364</v>
      </c>
      <c r="BG113" s="153">
        <v>16856</v>
      </c>
      <c r="BH113" s="153">
        <v>17348</v>
      </c>
      <c r="BI113" s="153">
        <v>17840</v>
      </c>
      <c r="DL113">
        <f t="shared" si="427"/>
        <v>0</v>
      </c>
      <c r="DM113">
        <f t="shared" si="428"/>
        <v>0</v>
      </c>
      <c r="DN113">
        <f t="shared" si="429"/>
        <v>0</v>
      </c>
      <c r="DO113">
        <f t="shared" si="430"/>
        <v>0</v>
      </c>
      <c r="DP113">
        <f t="shared" si="431"/>
        <v>0</v>
      </c>
      <c r="DQ113">
        <f t="shared" si="432"/>
        <v>0</v>
      </c>
      <c r="DR113">
        <f t="shared" si="433"/>
        <v>0</v>
      </c>
      <c r="DS113">
        <f t="shared" si="434"/>
        <v>0</v>
      </c>
      <c r="DT113">
        <f t="shared" si="435"/>
        <v>0</v>
      </c>
      <c r="DU113">
        <f t="shared" si="436"/>
        <v>0</v>
      </c>
      <c r="DV113">
        <f t="shared" si="437"/>
        <v>0</v>
      </c>
      <c r="DW113">
        <f t="shared" si="438"/>
        <v>0</v>
      </c>
    </row>
    <row r="114" spans="1:127" x14ac:dyDescent="0.25">
      <c r="A114" s="22">
        <f t="shared" si="375"/>
        <v>108</v>
      </c>
      <c r="B114" s="59" t="str">
        <f t="shared" si="439"/>
        <v>F0013547912</v>
      </c>
      <c r="C114" s="214" t="str">
        <f t="shared" si="440"/>
        <v>82115-0E440 M</v>
      </c>
      <c r="D114" s="58" t="e">
        <f>VLOOKUP(B114,'Timing Table'!B:G,6,0)</f>
        <v>#N/A</v>
      </c>
      <c r="E114" s="22" t="e">
        <f>VLOOKUP(B114,'Timing Table'!B:D,3,0)</f>
        <v>#N/A</v>
      </c>
      <c r="F114" s="155" t="s">
        <v>79</v>
      </c>
      <c r="G114" s="199">
        <v>0</v>
      </c>
      <c r="H114" s="184" t="s">
        <v>80</v>
      </c>
      <c r="I114" s="185"/>
      <c r="J114" s="200"/>
      <c r="K114" s="156"/>
      <c r="L114" s="157" t="s">
        <v>0</v>
      </c>
      <c r="M114" s="157" t="s">
        <v>0</v>
      </c>
      <c r="N114" s="157" t="s">
        <v>0</v>
      </c>
      <c r="O114" s="157" t="s">
        <v>0</v>
      </c>
      <c r="P114" s="157" t="s">
        <v>0</v>
      </c>
      <c r="Q114" s="157">
        <v>1.2291666666666667</v>
      </c>
      <c r="R114" s="157" t="s">
        <v>0</v>
      </c>
      <c r="S114" s="157" t="s">
        <v>0</v>
      </c>
      <c r="T114" s="157" t="s">
        <v>0</v>
      </c>
      <c r="U114" s="157" t="s">
        <v>0</v>
      </c>
      <c r="V114" s="157" t="s">
        <v>0</v>
      </c>
      <c r="W114" s="157" t="s">
        <v>0</v>
      </c>
      <c r="X114" s="157" t="s">
        <v>0</v>
      </c>
      <c r="Y114" s="157" t="s">
        <v>0</v>
      </c>
      <c r="Z114" s="157" t="s">
        <v>0</v>
      </c>
      <c r="AA114" s="157" t="s">
        <v>0</v>
      </c>
      <c r="AB114" s="157" t="s">
        <v>0</v>
      </c>
      <c r="AC114" s="157" t="s">
        <v>0</v>
      </c>
      <c r="AD114" s="157" t="s">
        <v>0</v>
      </c>
      <c r="AE114" s="157" t="s">
        <v>0</v>
      </c>
      <c r="AF114" s="157" t="s">
        <v>0</v>
      </c>
      <c r="AG114" s="157" t="s">
        <v>0</v>
      </c>
      <c r="AH114" s="157" t="s">
        <v>0</v>
      </c>
      <c r="AI114" s="157" t="s">
        <v>0</v>
      </c>
      <c r="AJ114" s="157" t="s">
        <v>0</v>
      </c>
      <c r="AK114" s="157" t="s">
        <v>0</v>
      </c>
      <c r="AL114" s="157" t="s">
        <v>0</v>
      </c>
      <c r="AM114" s="157" t="s">
        <v>0</v>
      </c>
      <c r="AN114" s="157" t="s">
        <v>0</v>
      </c>
      <c r="AO114" s="157" t="s">
        <v>0</v>
      </c>
      <c r="AP114" s="157" t="s">
        <v>0</v>
      </c>
      <c r="AQ114" s="157" t="s">
        <v>0</v>
      </c>
      <c r="AR114" s="157" t="s">
        <v>0</v>
      </c>
      <c r="AS114" s="157" t="s">
        <v>0</v>
      </c>
      <c r="AT114" s="157" t="s">
        <v>0</v>
      </c>
      <c r="AU114" s="157" t="s">
        <v>0</v>
      </c>
      <c r="AV114" s="157" t="s">
        <v>0</v>
      </c>
      <c r="AW114" s="157" t="s">
        <v>0</v>
      </c>
      <c r="AX114" s="157" t="s">
        <v>0</v>
      </c>
      <c r="AY114" s="157" t="s">
        <v>0</v>
      </c>
      <c r="AZ114" s="157" t="s">
        <v>0</v>
      </c>
      <c r="BA114" s="157" t="s">
        <v>0</v>
      </c>
      <c r="BB114" s="157" t="s">
        <v>0</v>
      </c>
      <c r="BC114" s="157" t="s">
        <v>0</v>
      </c>
      <c r="BD114" s="157" t="s">
        <v>0</v>
      </c>
      <c r="BE114" s="157" t="s">
        <v>0</v>
      </c>
      <c r="BF114" s="157" t="s">
        <v>0</v>
      </c>
      <c r="BG114" s="157" t="s">
        <v>0</v>
      </c>
      <c r="BH114" s="157" t="s">
        <v>0</v>
      </c>
      <c r="BI114" s="158"/>
      <c r="DL114">
        <f t="shared" si="427"/>
        <v>0</v>
      </c>
      <c r="DM114">
        <f t="shared" si="428"/>
        <v>0</v>
      </c>
      <c r="DN114">
        <f t="shared" si="429"/>
        <v>0</v>
      </c>
      <c r="DO114">
        <f t="shared" si="430"/>
        <v>0</v>
      </c>
      <c r="DP114">
        <f t="shared" si="431"/>
        <v>0</v>
      </c>
      <c r="DQ114">
        <f t="shared" si="432"/>
        <v>0</v>
      </c>
      <c r="DR114">
        <f t="shared" si="433"/>
        <v>0</v>
      </c>
      <c r="DS114">
        <f t="shared" si="434"/>
        <v>0</v>
      </c>
      <c r="DT114">
        <f t="shared" si="435"/>
        <v>0</v>
      </c>
      <c r="DU114">
        <f t="shared" si="436"/>
        <v>0</v>
      </c>
      <c r="DV114">
        <f t="shared" si="437"/>
        <v>0</v>
      </c>
      <c r="DW114">
        <f t="shared" si="438"/>
        <v>0</v>
      </c>
    </row>
    <row r="115" spans="1:127" x14ac:dyDescent="0.25">
      <c r="A115" s="22">
        <f t="shared" si="375"/>
        <v>109</v>
      </c>
      <c r="B115" s="59" t="str">
        <f t="shared" si="439"/>
        <v>F0013547912</v>
      </c>
      <c r="C115" s="214" t="str">
        <f>IF(F115=$F$7,#REF!,C114)</f>
        <v>82115-0E440 M</v>
      </c>
      <c r="D115" s="58" t="e">
        <f>VLOOKUP(B115,'Timing Table'!B:G,6,0)</f>
        <v>#N/A</v>
      </c>
      <c r="E115" s="22" t="e">
        <f>VLOOKUP(B115,'Timing Table'!B:D,3,0)</f>
        <v>#N/A</v>
      </c>
      <c r="F115" s="159" t="s">
        <v>81</v>
      </c>
      <c r="G115" s="160" t="s">
        <v>60</v>
      </c>
      <c r="H115" s="201" t="s">
        <v>60</v>
      </c>
      <c r="I115" s="183" t="s">
        <v>60</v>
      </c>
      <c r="J115" s="183" t="s">
        <v>0</v>
      </c>
      <c r="K115" s="183" t="s">
        <v>0</v>
      </c>
      <c r="L115" s="183" t="s">
        <v>0</v>
      </c>
      <c r="M115" s="183" t="s">
        <v>0</v>
      </c>
      <c r="N115" s="183" t="s">
        <v>0</v>
      </c>
      <c r="O115" s="183" t="s">
        <v>0</v>
      </c>
      <c r="P115" s="183" t="s">
        <v>0</v>
      </c>
      <c r="Q115" s="183" t="s">
        <v>515</v>
      </c>
      <c r="R115" s="183"/>
      <c r="S115" s="183" t="s">
        <v>0</v>
      </c>
      <c r="T115" s="183" t="s">
        <v>0</v>
      </c>
      <c r="U115" s="183" t="s">
        <v>0</v>
      </c>
      <c r="V115" s="183" t="s">
        <v>0</v>
      </c>
      <c r="W115" s="183" t="s">
        <v>0</v>
      </c>
      <c r="X115" s="183" t="s">
        <v>0</v>
      </c>
      <c r="Y115" s="183" t="s">
        <v>0</v>
      </c>
      <c r="Z115" s="183" t="s">
        <v>0</v>
      </c>
      <c r="AA115" s="183" t="s">
        <v>0</v>
      </c>
      <c r="AB115" s="183" t="s">
        <v>0</v>
      </c>
      <c r="AC115" s="183" t="s">
        <v>0</v>
      </c>
      <c r="AD115" s="183" t="s">
        <v>0</v>
      </c>
      <c r="AE115" s="183" t="s">
        <v>0</v>
      </c>
      <c r="AF115" s="183" t="s">
        <v>0</v>
      </c>
      <c r="AG115" s="183" t="s">
        <v>0</v>
      </c>
      <c r="AH115" s="183" t="s">
        <v>0</v>
      </c>
      <c r="AI115" s="183" t="s">
        <v>0</v>
      </c>
      <c r="AJ115" s="183" t="s">
        <v>0</v>
      </c>
      <c r="AK115" s="183" t="s">
        <v>0</v>
      </c>
      <c r="AL115" s="183" t="s">
        <v>0</v>
      </c>
      <c r="AM115" s="183" t="s">
        <v>0</v>
      </c>
      <c r="AN115" s="183" t="s">
        <v>0</v>
      </c>
      <c r="AO115" s="183" t="s">
        <v>0</v>
      </c>
      <c r="AP115" s="183" t="s">
        <v>0</v>
      </c>
      <c r="AQ115" s="183" t="s">
        <v>0</v>
      </c>
      <c r="AR115" s="183" t="s">
        <v>0</v>
      </c>
      <c r="AS115" s="183" t="s">
        <v>0</v>
      </c>
      <c r="AT115" s="183" t="s">
        <v>0</v>
      </c>
      <c r="AU115" s="183" t="s">
        <v>0</v>
      </c>
      <c r="AV115" s="183" t="s">
        <v>0</v>
      </c>
      <c r="AW115" s="183" t="s">
        <v>0</v>
      </c>
      <c r="AX115" s="183" t="s">
        <v>0</v>
      </c>
      <c r="AY115" s="183" t="s">
        <v>0</v>
      </c>
      <c r="AZ115" s="183" t="s">
        <v>0</v>
      </c>
      <c r="BA115" s="183" t="s">
        <v>0</v>
      </c>
      <c r="BB115" s="183" t="s">
        <v>0</v>
      </c>
      <c r="BC115" s="183" t="s">
        <v>0</v>
      </c>
      <c r="BD115" s="183" t="s">
        <v>0</v>
      </c>
      <c r="BE115" s="183" t="s">
        <v>0</v>
      </c>
      <c r="BF115" s="183" t="s">
        <v>0</v>
      </c>
      <c r="BG115" s="183" t="s">
        <v>0</v>
      </c>
      <c r="BH115" s="183" t="s">
        <v>0</v>
      </c>
      <c r="BI115" s="161"/>
      <c r="DL115">
        <f t="shared" si="427"/>
        <v>0</v>
      </c>
      <c r="DM115">
        <f t="shared" si="428"/>
        <v>0</v>
      </c>
      <c r="DN115">
        <f t="shared" si="429"/>
        <v>0</v>
      </c>
      <c r="DO115">
        <f t="shared" si="430"/>
        <v>0</v>
      </c>
      <c r="DP115">
        <f t="shared" si="431"/>
        <v>0</v>
      </c>
      <c r="DQ115">
        <f t="shared" si="432"/>
        <v>0</v>
      </c>
      <c r="DR115">
        <f t="shared" si="433"/>
        <v>0</v>
      </c>
      <c r="DS115">
        <f t="shared" si="434"/>
        <v>0</v>
      </c>
      <c r="DT115">
        <f t="shared" si="435"/>
        <v>0</v>
      </c>
      <c r="DU115">
        <f t="shared" si="436"/>
        <v>0</v>
      </c>
      <c r="DV115">
        <f t="shared" si="437"/>
        <v>0</v>
      </c>
      <c r="DW115">
        <f t="shared" si="438"/>
        <v>0</v>
      </c>
    </row>
    <row r="116" spans="1:127" x14ac:dyDescent="0.25">
      <c r="A116" s="22">
        <f t="shared" si="375"/>
        <v>110</v>
      </c>
      <c r="B116" s="59" t="str">
        <f>IF(F116=$F$7,#REF!,B115)</f>
        <v>F0013547912</v>
      </c>
      <c r="C116" s="214" t="str">
        <f>IF(F116=$F$7,#REF!,C115)</f>
        <v>82115-0E440 M</v>
      </c>
      <c r="D116" s="58" t="e">
        <f>VLOOKUP(B116,'Timing Table'!B:G,6,0)</f>
        <v>#N/A</v>
      </c>
      <c r="E116" s="22" t="e">
        <f>VLOOKUP(B116,'Timing Table'!B:D,3,0)</f>
        <v>#N/A</v>
      </c>
      <c r="F116" s="188" t="s">
        <v>60</v>
      </c>
      <c r="G116" s="162" t="s">
        <v>60</v>
      </c>
      <c r="H116" s="163" t="s">
        <v>60</v>
      </c>
      <c r="I116" s="164" t="s">
        <v>60</v>
      </c>
      <c r="J116" s="164" t="s">
        <v>0</v>
      </c>
      <c r="K116" s="164" t="s">
        <v>0</v>
      </c>
      <c r="L116" s="164" t="s">
        <v>0</v>
      </c>
      <c r="M116" s="164" t="s">
        <v>0</v>
      </c>
      <c r="N116" s="164" t="s">
        <v>0</v>
      </c>
      <c r="O116" s="164" t="s">
        <v>0</v>
      </c>
      <c r="P116" s="164" t="s">
        <v>0</v>
      </c>
      <c r="Q116" s="164" t="s">
        <v>0</v>
      </c>
      <c r="R116" s="164" t="s">
        <v>0</v>
      </c>
      <c r="S116" s="164" t="s">
        <v>0</v>
      </c>
      <c r="T116" s="164" t="s">
        <v>0</v>
      </c>
      <c r="U116" s="164" t="s">
        <v>0</v>
      </c>
      <c r="V116" s="164" t="s">
        <v>0</v>
      </c>
      <c r="W116" s="164" t="s">
        <v>0</v>
      </c>
      <c r="X116" s="164" t="s">
        <v>0</v>
      </c>
      <c r="Y116" s="164" t="s">
        <v>0</v>
      </c>
      <c r="Z116" s="164" t="s">
        <v>0</v>
      </c>
      <c r="AA116" s="164" t="s">
        <v>0</v>
      </c>
      <c r="AB116" s="164" t="s">
        <v>0</v>
      </c>
      <c r="AC116" s="164" t="s">
        <v>0</v>
      </c>
      <c r="AD116" s="164" t="s">
        <v>0</v>
      </c>
      <c r="AE116" s="164" t="s">
        <v>0</v>
      </c>
      <c r="AF116" s="164" t="s">
        <v>0</v>
      </c>
      <c r="AG116" s="164" t="s">
        <v>0</v>
      </c>
      <c r="AH116" s="164" t="s">
        <v>0</v>
      </c>
      <c r="AI116" s="164" t="s">
        <v>0</v>
      </c>
      <c r="AJ116" s="164" t="s">
        <v>0</v>
      </c>
      <c r="AK116" s="164" t="s">
        <v>0</v>
      </c>
      <c r="AL116" s="164" t="s">
        <v>0</v>
      </c>
      <c r="AM116" s="164" t="s">
        <v>0</v>
      </c>
      <c r="AN116" s="164" t="s">
        <v>0</v>
      </c>
      <c r="AO116" s="164" t="s">
        <v>0</v>
      </c>
      <c r="AP116" s="164" t="s">
        <v>0</v>
      </c>
      <c r="AQ116" s="164" t="s">
        <v>0</v>
      </c>
      <c r="AR116" s="164" t="s">
        <v>0</v>
      </c>
      <c r="AS116" s="164" t="s">
        <v>0</v>
      </c>
      <c r="AT116" s="164" t="s">
        <v>0</v>
      </c>
      <c r="AU116" s="164" t="s">
        <v>0</v>
      </c>
      <c r="AV116" s="164" t="s">
        <v>0</v>
      </c>
      <c r="AW116" s="164" t="s">
        <v>0</v>
      </c>
      <c r="AX116" s="164" t="s">
        <v>0</v>
      </c>
      <c r="AY116" s="164" t="s">
        <v>0</v>
      </c>
      <c r="AZ116" s="164" t="s">
        <v>0</v>
      </c>
      <c r="BA116" s="164" t="s">
        <v>0</v>
      </c>
      <c r="BB116" s="164" t="s">
        <v>0</v>
      </c>
      <c r="BC116" s="164" t="s">
        <v>0</v>
      </c>
      <c r="BD116" s="164" t="s">
        <v>0</v>
      </c>
      <c r="BE116" s="164" t="s">
        <v>0</v>
      </c>
      <c r="BF116" s="164" t="s">
        <v>0</v>
      </c>
      <c r="BG116" s="164" t="s">
        <v>0</v>
      </c>
      <c r="BH116" s="164" t="s">
        <v>0</v>
      </c>
      <c r="BI116" s="189"/>
      <c r="DL116">
        <f t="shared" si="427"/>
        <v>0</v>
      </c>
      <c r="DM116">
        <f t="shared" si="428"/>
        <v>0</v>
      </c>
      <c r="DN116">
        <f t="shared" si="429"/>
        <v>0</v>
      </c>
      <c r="DO116">
        <f t="shared" si="430"/>
        <v>0</v>
      </c>
      <c r="DP116">
        <f t="shared" si="431"/>
        <v>0</v>
      </c>
      <c r="DQ116">
        <f t="shared" si="432"/>
        <v>0</v>
      </c>
      <c r="DR116">
        <f t="shared" si="433"/>
        <v>0</v>
      </c>
      <c r="DS116">
        <f t="shared" si="434"/>
        <v>0</v>
      </c>
      <c r="DT116">
        <f t="shared" si="435"/>
        <v>0</v>
      </c>
      <c r="DU116">
        <f t="shared" si="436"/>
        <v>0</v>
      </c>
      <c r="DV116">
        <f t="shared" si="437"/>
        <v>0</v>
      </c>
      <c r="DW116">
        <f t="shared" si="438"/>
        <v>0</v>
      </c>
    </row>
    <row r="117" spans="1:127" x14ac:dyDescent="0.25">
      <c r="A117" s="22">
        <f t="shared" si="375"/>
        <v>111</v>
      </c>
      <c r="B117" s="59" t="str">
        <f>IF(F117=$F$7,G118,#REF!)</f>
        <v>F0013548009</v>
      </c>
      <c r="C117" s="214" t="str">
        <f>IF(F117=$F$7,G119,#REF!)</f>
        <v>82115-0E460.</v>
      </c>
      <c r="D117" s="58" t="e">
        <f>VLOOKUP(B117,'Timing Table'!B:G,6,0)</f>
        <v>#N/A</v>
      </c>
      <c r="E117" s="22" t="e">
        <f>VLOOKUP(B117,'Timing Table'!B:D,3,0)</f>
        <v>#N/A</v>
      </c>
      <c r="F117" s="155" t="s">
        <v>61</v>
      </c>
      <c r="G117" s="181">
        <v>5501017956</v>
      </c>
      <c r="H117" s="155" t="s">
        <v>62</v>
      </c>
      <c r="I117" s="181">
        <v>91</v>
      </c>
      <c r="J117" s="155" t="s">
        <v>63</v>
      </c>
      <c r="K117" s="160">
        <v>1146063</v>
      </c>
      <c r="L117" s="161"/>
      <c r="M117" s="190" t="s">
        <v>64</v>
      </c>
      <c r="N117" s="191"/>
      <c r="O117" s="192">
        <v>46086</v>
      </c>
      <c r="P117" s="155" t="s">
        <v>65</v>
      </c>
      <c r="Q117" s="181">
        <v>4</v>
      </c>
      <c r="R117" s="6" t="s">
        <v>0</v>
      </c>
      <c r="S117" s="7" t="s">
        <v>0</v>
      </c>
      <c r="T117" s="7" t="s">
        <v>0</v>
      </c>
      <c r="U117" s="7" t="s">
        <v>0</v>
      </c>
      <c r="V117" s="7" t="s">
        <v>0</v>
      </c>
      <c r="W117" s="7" t="s">
        <v>0</v>
      </c>
      <c r="X117" s="7" t="s">
        <v>0</v>
      </c>
      <c r="Y117" s="7" t="s">
        <v>0</v>
      </c>
      <c r="Z117" s="7" t="s">
        <v>0</v>
      </c>
      <c r="AA117" s="7" t="s">
        <v>0</v>
      </c>
      <c r="AB117" s="7" t="s">
        <v>0</v>
      </c>
      <c r="AC117" s="7" t="s">
        <v>0</v>
      </c>
      <c r="AD117" s="7" t="s">
        <v>0</v>
      </c>
      <c r="AE117" s="7" t="s">
        <v>0</v>
      </c>
      <c r="AF117" s="7" t="s">
        <v>0</v>
      </c>
      <c r="AG117" s="7" t="s">
        <v>0</v>
      </c>
      <c r="AH117" s="7" t="s">
        <v>0</v>
      </c>
      <c r="AI117" s="7" t="s">
        <v>0</v>
      </c>
      <c r="AJ117" s="7" t="s">
        <v>0</v>
      </c>
      <c r="AK117" s="7" t="s">
        <v>0</v>
      </c>
      <c r="AL117" s="7" t="s">
        <v>0</v>
      </c>
      <c r="AM117" s="7" t="s">
        <v>0</v>
      </c>
      <c r="AN117" s="7" t="s">
        <v>0</v>
      </c>
      <c r="AO117" s="7" t="s">
        <v>0</v>
      </c>
      <c r="AP117" s="7" t="s">
        <v>0</v>
      </c>
      <c r="AQ117" s="7" t="s">
        <v>0</v>
      </c>
      <c r="AR117" s="7" t="s">
        <v>0</v>
      </c>
      <c r="AS117" s="7" t="s">
        <v>0</v>
      </c>
      <c r="AT117" s="7" t="s">
        <v>0</v>
      </c>
      <c r="AU117" s="7" t="s">
        <v>0</v>
      </c>
      <c r="AV117" s="7" t="s">
        <v>0</v>
      </c>
      <c r="AW117" s="7" t="s">
        <v>0</v>
      </c>
      <c r="AX117" s="7" t="s">
        <v>0</v>
      </c>
      <c r="AY117" s="7" t="s">
        <v>0</v>
      </c>
      <c r="AZ117" s="7" t="s">
        <v>0</v>
      </c>
      <c r="BA117" s="7" t="s">
        <v>0</v>
      </c>
      <c r="BB117" s="7" t="s">
        <v>0</v>
      </c>
      <c r="BC117" s="7" t="s">
        <v>0</v>
      </c>
      <c r="BD117" s="7" t="s">
        <v>0</v>
      </c>
      <c r="BE117" s="7" t="s">
        <v>0</v>
      </c>
      <c r="BF117" s="7" t="s">
        <v>0</v>
      </c>
      <c r="BG117" s="7" t="s">
        <v>0</v>
      </c>
      <c r="BH117" s="7" t="s">
        <v>0</v>
      </c>
      <c r="BI117" s="8"/>
      <c r="DL117">
        <f t="shared" si="427"/>
        <v>0</v>
      </c>
      <c r="DM117">
        <f t="shared" si="428"/>
        <v>0</v>
      </c>
      <c r="DN117">
        <f t="shared" si="429"/>
        <v>0</v>
      </c>
      <c r="DO117">
        <f t="shared" si="430"/>
        <v>0</v>
      </c>
      <c r="DP117">
        <f t="shared" si="431"/>
        <v>0</v>
      </c>
      <c r="DQ117">
        <f t="shared" si="432"/>
        <v>0</v>
      </c>
      <c r="DR117">
        <f t="shared" si="433"/>
        <v>0</v>
      </c>
      <c r="DS117">
        <f t="shared" si="434"/>
        <v>0</v>
      </c>
      <c r="DT117">
        <f t="shared" si="435"/>
        <v>0</v>
      </c>
      <c r="DU117">
        <f t="shared" si="436"/>
        <v>0</v>
      </c>
      <c r="DV117">
        <f t="shared" si="437"/>
        <v>0</v>
      </c>
      <c r="DW117">
        <f t="shared" si="438"/>
        <v>0</v>
      </c>
    </row>
    <row r="118" spans="1:127" x14ac:dyDescent="0.25">
      <c r="A118" s="22">
        <f t="shared" si="375"/>
        <v>112</v>
      </c>
      <c r="B118" s="59" t="str">
        <f t="shared" ref="B118:B145" si="645">IF(F118=$F$7,G119,B117)</f>
        <v>F0013548009</v>
      </c>
      <c r="C118" s="214" t="str">
        <f t="shared" ref="C118:C144" si="646">IF(F118=$F$7,G120,C117)</f>
        <v>82115-0E460.</v>
      </c>
      <c r="D118" s="58" t="e">
        <f>VLOOKUP(B118,'Timing Table'!B:G,6,0)</f>
        <v>#N/A</v>
      </c>
      <c r="E118" s="22" t="e">
        <f>VLOOKUP(B118,'Timing Table'!B:D,3,0)</f>
        <v>#N/A</v>
      </c>
      <c r="F118" s="155" t="s">
        <v>66</v>
      </c>
      <c r="G118" s="181" t="s">
        <v>334</v>
      </c>
      <c r="H118" s="155" t="s">
        <v>67</v>
      </c>
      <c r="I118" s="182" t="s">
        <v>335</v>
      </c>
      <c r="J118" s="183"/>
      <c r="K118" s="183"/>
      <c r="L118" s="161"/>
      <c r="M118" s="155" t="s">
        <v>68</v>
      </c>
      <c r="N118" s="181">
        <v>2023</v>
      </c>
      <c r="O118" s="184" t="s">
        <v>69</v>
      </c>
      <c r="P118" s="185"/>
      <c r="Q118" s="193" t="s">
        <v>329</v>
      </c>
      <c r="R118" s="156" t="s">
        <v>0</v>
      </c>
      <c r="S118" s="157" t="s">
        <v>0</v>
      </c>
      <c r="T118" s="157" t="s">
        <v>0</v>
      </c>
      <c r="U118" s="157" t="s">
        <v>0</v>
      </c>
      <c r="V118" s="157" t="s">
        <v>0</v>
      </c>
      <c r="W118" s="157" t="s">
        <v>0</v>
      </c>
      <c r="X118" s="157" t="s">
        <v>0</v>
      </c>
      <c r="Y118" s="157" t="s">
        <v>0</v>
      </c>
      <c r="Z118" s="157" t="s">
        <v>0</v>
      </c>
      <c r="AA118" s="157" t="s">
        <v>0</v>
      </c>
      <c r="AB118" s="157" t="s">
        <v>0</v>
      </c>
      <c r="AC118" s="157" t="s">
        <v>0</v>
      </c>
      <c r="AD118" s="157" t="s">
        <v>0</v>
      </c>
      <c r="AE118" s="157" t="s">
        <v>0</v>
      </c>
      <c r="AF118" s="157" t="s">
        <v>0</v>
      </c>
      <c r="AG118" s="157" t="s">
        <v>0</v>
      </c>
      <c r="AH118" s="157" t="s">
        <v>0</v>
      </c>
      <c r="AI118" s="157" t="s">
        <v>0</v>
      </c>
      <c r="AJ118" s="157" t="s">
        <v>0</v>
      </c>
      <c r="AK118" s="157" t="s">
        <v>0</v>
      </c>
      <c r="AL118" s="157" t="s">
        <v>0</v>
      </c>
      <c r="AM118" s="157" t="s">
        <v>0</v>
      </c>
      <c r="AN118" s="157" t="s">
        <v>0</v>
      </c>
      <c r="AO118" s="157" t="s">
        <v>0</v>
      </c>
      <c r="AP118" s="157" t="s">
        <v>0</v>
      </c>
      <c r="AQ118" s="157" t="s">
        <v>0</v>
      </c>
      <c r="AR118" s="157" t="s">
        <v>0</v>
      </c>
      <c r="AS118" s="157" t="s">
        <v>0</v>
      </c>
      <c r="AT118" s="157" t="s">
        <v>0</v>
      </c>
      <c r="AU118" s="157" t="s">
        <v>0</v>
      </c>
      <c r="AV118" s="157" t="s">
        <v>0</v>
      </c>
      <c r="AW118" s="157" t="s">
        <v>0</v>
      </c>
      <c r="AX118" s="157" t="s">
        <v>0</v>
      </c>
      <c r="AY118" s="157" t="s">
        <v>0</v>
      </c>
      <c r="AZ118" s="157" t="s">
        <v>0</v>
      </c>
      <c r="BA118" s="157" t="s">
        <v>0</v>
      </c>
      <c r="BB118" s="157" t="s">
        <v>0</v>
      </c>
      <c r="BC118" s="157" t="s">
        <v>0</v>
      </c>
      <c r="BD118" s="157" t="s">
        <v>0</v>
      </c>
      <c r="BE118" s="157" t="s">
        <v>0</v>
      </c>
      <c r="BF118" s="157" t="s">
        <v>0</v>
      </c>
      <c r="BG118" s="157" t="s">
        <v>0</v>
      </c>
      <c r="BH118" s="157" t="s">
        <v>0</v>
      </c>
      <c r="BI118" s="158"/>
      <c r="DL118">
        <f t="shared" si="427"/>
        <v>0</v>
      </c>
      <c r="DM118">
        <f t="shared" si="428"/>
        <v>0</v>
      </c>
      <c r="DN118">
        <f t="shared" si="429"/>
        <v>0</v>
      </c>
      <c r="DO118">
        <f t="shared" si="430"/>
        <v>0</v>
      </c>
      <c r="DP118">
        <f t="shared" si="431"/>
        <v>0</v>
      </c>
      <c r="DQ118">
        <f t="shared" si="432"/>
        <v>0</v>
      </c>
      <c r="DR118">
        <f t="shared" si="433"/>
        <v>0</v>
      </c>
      <c r="DS118">
        <f t="shared" si="434"/>
        <v>0</v>
      </c>
      <c r="DT118">
        <f t="shared" si="435"/>
        <v>0</v>
      </c>
      <c r="DU118">
        <f t="shared" si="436"/>
        <v>0</v>
      </c>
      <c r="DV118">
        <f t="shared" si="437"/>
        <v>0</v>
      </c>
      <c r="DW118">
        <f t="shared" si="438"/>
        <v>0</v>
      </c>
    </row>
    <row r="119" spans="1:127" x14ac:dyDescent="0.25">
      <c r="A119" s="22">
        <f t="shared" si="375"/>
        <v>113</v>
      </c>
      <c r="B119" s="59" t="str">
        <f t="shared" si="645"/>
        <v>F0013548009</v>
      </c>
      <c r="C119" s="214" t="str">
        <f t="shared" si="646"/>
        <v>82115-0E460.</v>
      </c>
      <c r="D119" s="58" t="e">
        <f>VLOOKUP(B119,'Timing Table'!B:G,6,0)</f>
        <v>#N/A</v>
      </c>
      <c r="E119" s="22" t="e">
        <f>VLOOKUP(B119,'Timing Table'!B:D,3,0)</f>
        <v>#N/A</v>
      </c>
      <c r="F119" s="155" t="s">
        <v>70</v>
      </c>
      <c r="G119" s="181" t="s">
        <v>336</v>
      </c>
      <c r="H119" s="155" t="s">
        <v>71</v>
      </c>
      <c r="I119" s="182" t="s">
        <v>60</v>
      </c>
      <c r="J119" s="161" t="s">
        <v>0</v>
      </c>
      <c r="K119" s="194" t="s">
        <v>0</v>
      </c>
      <c r="L119" s="195" t="s">
        <v>0</v>
      </c>
      <c r="M119" s="179" t="s">
        <v>0</v>
      </c>
      <c r="N119" s="179" t="s">
        <v>0</v>
      </c>
      <c r="O119" s="179" t="s">
        <v>0</v>
      </c>
      <c r="P119" s="179" t="s">
        <v>0</v>
      </c>
      <c r="Q119" s="179" t="s">
        <v>1</v>
      </c>
      <c r="R119" s="179" t="s">
        <v>2</v>
      </c>
      <c r="S119" s="179" t="s">
        <v>0</v>
      </c>
      <c r="T119" s="179" t="s">
        <v>0</v>
      </c>
      <c r="U119" s="179" t="s">
        <v>0</v>
      </c>
      <c r="V119" s="179" t="s">
        <v>0</v>
      </c>
      <c r="W119" s="179" t="s">
        <v>0</v>
      </c>
      <c r="X119" s="179" t="s">
        <v>0</v>
      </c>
      <c r="Y119" s="179" t="s">
        <v>0</v>
      </c>
      <c r="Z119" s="179" t="s">
        <v>3</v>
      </c>
      <c r="AA119" s="179" t="s">
        <v>0</v>
      </c>
      <c r="AB119" s="179" t="s">
        <v>0</v>
      </c>
      <c r="AC119" s="179" t="s">
        <v>0</v>
      </c>
      <c r="AD119" s="179" t="s">
        <v>0</v>
      </c>
      <c r="AE119" s="179" t="s">
        <v>0</v>
      </c>
      <c r="AF119" s="179" t="s">
        <v>0</v>
      </c>
      <c r="AG119" s="179" t="s">
        <v>0</v>
      </c>
      <c r="AH119" s="179" t="s">
        <v>0</v>
      </c>
      <c r="AI119" s="179" t="s">
        <v>0</v>
      </c>
      <c r="AJ119" s="179" t="s">
        <v>0</v>
      </c>
      <c r="AK119" s="179" t="s">
        <v>0</v>
      </c>
      <c r="AL119" s="179" t="s">
        <v>0</v>
      </c>
      <c r="AM119" s="179" t="s">
        <v>0</v>
      </c>
      <c r="AN119" s="179" t="s">
        <v>0</v>
      </c>
      <c r="AO119" s="179" t="s">
        <v>0</v>
      </c>
      <c r="AP119" s="179" t="s">
        <v>0</v>
      </c>
      <c r="AQ119" s="179" t="s">
        <v>0</v>
      </c>
      <c r="AR119" s="179" t="s">
        <v>0</v>
      </c>
      <c r="AS119" s="179" t="s">
        <v>0</v>
      </c>
      <c r="AT119" s="179" t="s">
        <v>0</v>
      </c>
      <c r="AU119" s="179" t="s">
        <v>0</v>
      </c>
      <c r="AV119" s="179" t="s">
        <v>0</v>
      </c>
      <c r="AW119" s="179" t="s">
        <v>0</v>
      </c>
      <c r="AX119" s="179" t="s">
        <v>0</v>
      </c>
      <c r="AY119" s="179" t="s">
        <v>0</v>
      </c>
      <c r="AZ119" s="179" t="s">
        <v>0</v>
      </c>
      <c r="BA119" s="179" t="s">
        <v>0</v>
      </c>
      <c r="BB119" s="179" t="s">
        <v>0</v>
      </c>
      <c r="BC119" s="179" t="s">
        <v>0</v>
      </c>
      <c r="BD119" s="179" t="s">
        <v>0</v>
      </c>
      <c r="BE119" s="179" t="s">
        <v>0</v>
      </c>
      <c r="BF119" s="179" t="s">
        <v>0</v>
      </c>
      <c r="BG119" s="179" t="s">
        <v>0</v>
      </c>
      <c r="BH119" s="179" t="s">
        <v>0</v>
      </c>
      <c r="BI119" s="180" t="s">
        <v>4</v>
      </c>
      <c r="DL119">
        <f t="shared" si="427"/>
        <v>0</v>
      </c>
      <c r="DM119">
        <f t="shared" si="428"/>
        <v>0</v>
      </c>
      <c r="DN119">
        <f t="shared" si="429"/>
        <v>0</v>
      </c>
      <c r="DO119">
        <f t="shared" si="430"/>
        <v>0</v>
      </c>
      <c r="DP119">
        <f t="shared" si="431"/>
        <v>0</v>
      </c>
      <c r="DQ119">
        <f t="shared" si="432"/>
        <v>0</v>
      </c>
      <c r="DR119">
        <f t="shared" si="433"/>
        <v>0</v>
      </c>
      <c r="DS119">
        <f t="shared" si="434"/>
        <v>0</v>
      </c>
      <c r="DT119">
        <f t="shared" si="435"/>
        <v>0</v>
      </c>
      <c r="DU119">
        <f t="shared" si="436"/>
        <v>0</v>
      </c>
      <c r="DV119">
        <f t="shared" si="437"/>
        <v>0</v>
      </c>
      <c r="DW119">
        <f t="shared" si="438"/>
        <v>0</v>
      </c>
    </row>
    <row r="120" spans="1:127" x14ac:dyDescent="0.25">
      <c r="A120" s="22">
        <f t="shared" si="375"/>
        <v>114</v>
      </c>
      <c r="B120" s="59" t="str">
        <f t="shared" si="645"/>
        <v>F0013548009</v>
      </c>
      <c r="C120" s="214" t="str">
        <f t="shared" si="646"/>
        <v>82115-0E460.</v>
      </c>
      <c r="D120" s="58" t="e">
        <f>VLOOKUP(B120,'Timing Table'!B:G,6,0)</f>
        <v>#N/A</v>
      </c>
      <c r="E120" s="22" t="e">
        <f>VLOOKUP(B120,'Timing Table'!B:D,3,0)</f>
        <v>#N/A</v>
      </c>
      <c r="F120" s="155" t="s">
        <v>72</v>
      </c>
      <c r="G120" s="181">
        <v>18912</v>
      </c>
      <c r="H120" s="196" t="s">
        <v>413</v>
      </c>
      <c r="I120" s="197" t="s">
        <v>73</v>
      </c>
      <c r="J120" s="13">
        <v>46041</v>
      </c>
      <c r="K120" s="14">
        <v>46048</v>
      </c>
      <c r="L120" s="14">
        <v>46055</v>
      </c>
      <c r="M120" s="14">
        <v>46062</v>
      </c>
      <c r="N120" s="14">
        <v>46069</v>
      </c>
      <c r="O120" s="14">
        <v>46076</v>
      </c>
      <c r="P120" s="14">
        <v>46083</v>
      </c>
      <c r="Q120" s="14">
        <v>46090</v>
      </c>
      <c r="R120" s="14">
        <v>46097</v>
      </c>
      <c r="S120" s="14">
        <v>46104</v>
      </c>
      <c r="T120" s="14">
        <v>46111</v>
      </c>
      <c r="U120" s="14">
        <v>46118</v>
      </c>
      <c r="V120" s="14">
        <v>46125</v>
      </c>
      <c r="W120" s="14">
        <v>46132</v>
      </c>
      <c r="X120" s="14">
        <v>46139</v>
      </c>
      <c r="Y120" s="14">
        <v>46146</v>
      </c>
      <c r="Z120" s="14">
        <v>46153</v>
      </c>
      <c r="AA120" s="14">
        <v>46160</v>
      </c>
      <c r="AB120" s="14">
        <v>46167</v>
      </c>
      <c r="AC120" s="14">
        <v>46174</v>
      </c>
      <c r="AD120" s="14">
        <v>46181</v>
      </c>
      <c r="AE120" s="14">
        <v>46188</v>
      </c>
      <c r="AF120" s="14">
        <v>46195</v>
      </c>
      <c r="AG120" s="14">
        <v>46202</v>
      </c>
      <c r="AH120" s="14">
        <v>46209</v>
      </c>
      <c r="AI120" s="14">
        <v>46216</v>
      </c>
      <c r="AJ120" s="14">
        <v>46223</v>
      </c>
      <c r="AK120" s="14">
        <v>46230</v>
      </c>
      <c r="AL120" s="14">
        <v>46237</v>
      </c>
      <c r="AM120" s="14">
        <v>46244</v>
      </c>
      <c r="AN120" s="14">
        <v>46251</v>
      </c>
      <c r="AO120" s="14">
        <v>46258</v>
      </c>
      <c r="AP120" s="14">
        <v>46265</v>
      </c>
      <c r="AQ120" s="14">
        <v>46272</v>
      </c>
      <c r="AR120" s="14">
        <v>46279</v>
      </c>
      <c r="AS120" s="14">
        <v>46286</v>
      </c>
      <c r="AT120" s="14">
        <v>46293</v>
      </c>
      <c r="AU120" s="14">
        <v>46300</v>
      </c>
      <c r="AV120" s="14">
        <v>46307</v>
      </c>
      <c r="AW120" s="14">
        <v>46314</v>
      </c>
      <c r="AX120" s="14">
        <v>46321</v>
      </c>
      <c r="AY120" s="14">
        <v>46328</v>
      </c>
      <c r="AZ120" s="14">
        <v>46335</v>
      </c>
      <c r="BA120" s="14">
        <v>46342</v>
      </c>
      <c r="BB120" s="14">
        <v>46349</v>
      </c>
      <c r="BC120" s="14">
        <v>46356</v>
      </c>
      <c r="BD120" s="14">
        <v>46363</v>
      </c>
      <c r="BE120" s="14">
        <v>46370</v>
      </c>
      <c r="BF120" s="14">
        <v>46377</v>
      </c>
      <c r="BG120" s="14">
        <v>46384</v>
      </c>
      <c r="BH120" s="14">
        <v>46391</v>
      </c>
      <c r="BI120" s="15">
        <v>46398</v>
      </c>
      <c r="DL120">
        <f t="shared" si="427"/>
        <v>0</v>
      </c>
      <c r="DM120">
        <f t="shared" si="428"/>
        <v>0</v>
      </c>
      <c r="DN120">
        <f t="shared" si="429"/>
        <v>0</v>
      </c>
      <c r="DO120">
        <f t="shared" si="430"/>
        <v>0</v>
      </c>
      <c r="DP120">
        <f t="shared" si="431"/>
        <v>0</v>
      </c>
      <c r="DQ120">
        <f t="shared" si="432"/>
        <v>0</v>
      </c>
      <c r="DR120">
        <f t="shared" si="433"/>
        <v>0</v>
      </c>
      <c r="DS120">
        <f t="shared" si="434"/>
        <v>0</v>
      </c>
      <c r="DT120">
        <f t="shared" si="435"/>
        <v>0</v>
      </c>
      <c r="DU120">
        <f t="shared" si="436"/>
        <v>0</v>
      </c>
      <c r="DV120">
        <f t="shared" si="437"/>
        <v>0</v>
      </c>
      <c r="DW120">
        <f t="shared" si="438"/>
        <v>0</v>
      </c>
    </row>
    <row r="121" spans="1:127" x14ac:dyDescent="0.25">
      <c r="A121" s="22">
        <f t="shared" si="375"/>
        <v>115</v>
      </c>
      <c r="B121" s="59" t="str">
        <f t="shared" si="645"/>
        <v>F0013548009</v>
      </c>
      <c r="C121" s="214" t="str">
        <f t="shared" si="646"/>
        <v>82115-0E460.</v>
      </c>
      <c r="D121" s="58" t="e">
        <f>VLOOKUP(B121,'Timing Table'!B:G,6,0)</f>
        <v>#N/A</v>
      </c>
      <c r="E121" s="22" t="e">
        <f>VLOOKUP(B121,'Timing Table'!B:D,3,0)</f>
        <v>#N/A</v>
      </c>
      <c r="F121" s="155" t="s">
        <v>74</v>
      </c>
      <c r="G121" s="181">
        <v>19908</v>
      </c>
      <c r="H121" s="5" t="s">
        <v>60</v>
      </c>
      <c r="I121" s="11" t="s">
        <v>147</v>
      </c>
      <c r="J121" s="16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17"/>
      <c r="DL121">
        <f t="shared" si="427"/>
        <v>0</v>
      </c>
      <c r="DM121">
        <f t="shared" si="428"/>
        <v>0</v>
      </c>
      <c r="DN121">
        <f t="shared" si="429"/>
        <v>0</v>
      </c>
      <c r="DO121">
        <f t="shared" si="430"/>
        <v>0</v>
      </c>
      <c r="DP121">
        <f t="shared" si="431"/>
        <v>0</v>
      </c>
      <c r="DQ121">
        <f t="shared" si="432"/>
        <v>0</v>
      </c>
      <c r="DR121">
        <f t="shared" si="433"/>
        <v>0</v>
      </c>
      <c r="DS121">
        <f t="shared" si="434"/>
        <v>0</v>
      </c>
      <c r="DT121">
        <f t="shared" si="435"/>
        <v>0</v>
      </c>
      <c r="DU121">
        <f t="shared" si="436"/>
        <v>0</v>
      </c>
      <c r="DV121">
        <f t="shared" si="437"/>
        <v>0</v>
      </c>
      <c r="DW121">
        <f t="shared" si="438"/>
        <v>0</v>
      </c>
    </row>
    <row r="122" spans="1:127" x14ac:dyDescent="0.25">
      <c r="A122" s="22">
        <f t="shared" si="375"/>
        <v>116</v>
      </c>
      <c r="B122" s="59" t="str">
        <f t="shared" si="645"/>
        <v>F0013548009</v>
      </c>
      <c r="C122" s="214" t="str">
        <f t="shared" si="646"/>
        <v>82115-0E460.</v>
      </c>
      <c r="D122" s="58" t="e">
        <f>VLOOKUP(B122,'Timing Table'!B:G,6,0)</f>
        <v>#N/A</v>
      </c>
      <c r="E122" s="22" t="e">
        <f>VLOOKUP(B122,'Timing Table'!B:D,3,0)</f>
        <v>#N/A</v>
      </c>
      <c r="F122" s="155" t="s">
        <v>75</v>
      </c>
      <c r="G122" s="198" t="s">
        <v>175</v>
      </c>
      <c r="H122" s="9" t="s">
        <v>174</v>
      </c>
      <c r="I122" s="11" t="s">
        <v>76</v>
      </c>
      <c r="J122" s="143">
        <v>896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144">
        <v>0</v>
      </c>
      <c r="BJ122" s="24" t="str">
        <f>+G119</f>
        <v>82115-0E460.</v>
      </c>
      <c r="BK122" s="24">
        <f>+J122</f>
        <v>896</v>
      </c>
      <c r="BL122" s="24">
        <f t="shared" ref="BL122" si="647">+K122</f>
        <v>0</v>
      </c>
      <c r="BM122" s="24">
        <f t="shared" ref="BM122" si="648">+L122</f>
        <v>0</v>
      </c>
      <c r="BN122" s="24">
        <f t="shared" ref="BN122" si="649">+M122</f>
        <v>0</v>
      </c>
      <c r="BO122" s="24">
        <f t="shared" ref="BO122" si="650">+N122</f>
        <v>0</v>
      </c>
      <c r="BP122" s="24">
        <f t="shared" ref="BP122" si="651">+O122</f>
        <v>0</v>
      </c>
      <c r="BQ122" s="24">
        <f t="shared" ref="BQ122" si="652">+P122</f>
        <v>0</v>
      </c>
      <c r="BR122" s="24">
        <f t="shared" ref="BR122" si="653">+Q122</f>
        <v>0</v>
      </c>
      <c r="BS122" s="24">
        <f t="shared" ref="BS122" si="654">+R122</f>
        <v>0</v>
      </c>
      <c r="BT122" s="24">
        <f t="shared" ref="BT122" si="655">+S122</f>
        <v>0</v>
      </c>
      <c r="BU122" s="24">
        <f t="shared" ref="BU122" si="656">+T122</f>
        <v>0</v>
      </c>
      <c r="BV122" s="24">
        <f t="shared" ref="BV122" si="657">+U122</f>
        <v>0</v>
      </c>
      <c r="BW122" s="24">
        <f t="shared" ref="BW122" si="658">+V122</f>
        <v>0</v>
      </c>
      <c r="BX122" s="24">
        <f t="shared" ref="BX122" si="659">+W122</f>
        <v>0</v>
      </c>
      <c r="BY122" s="24">
        <f t="shared" ref="BY122" si="660">+X122</f>
        <v>0</v>
      </c>
      <c r="BZ122" s="24">
        <f t="shared" ref="BZ122" si="661">+Y122</f>
        <v>0</v>
      </c>
      <c r="CA122" s="24">
        <f t="shared" ref="CA122" si="662">+Z122</f>
        <v>0</v>
      </c>
      <c r="CB122" s="24">
        <f t="shared" ref="CB122" si="663">+AA122</f>
        <v>0</v>
      </c>
      <c r="CC122" s="24">
        <f t="shared" ref="CC122" si="664">+AB122</f>
        <v>0</v>
      </c>
      <c r="CD122" s="24">
        <f t="shared" ref="CD122" si="665">+AC122</f>
        <v>0</v>
      </c>
      <c r="CE122" s="24">
        <f t="shared" ref="CE122" si="666">+AD122</f>
        <v>0</v>
      </c>
      <c r="CF122" s="24">
        <f t="shared" ref="CF122" si="667">+AE122</f>
        <v>0</v>
      </c>
      <c r="CG122" s="24">
        <f t="shared" ref="CG122" si="668">+AF122</f>
        <v>0</v>
      </c>
      <c r="CH122" s="24">
        <f t="shared" ref="CH122" si="669">+AG122</f>
        <v>0</v>
      </c>
      <c r="CI122" s="24">
        <f t="shared" ref="CI122" si="670">+AH122</f>
        <v>0</v>
      </c>
      <c r="CJ122" s="24">
        <f t="shared" ref="CJ122" si="671">+AI122</f>
        <v>0</v>
      </c>
      <c r="CK122" s="24">
        <f t="shared" ref="CK122" si="672">+AJ122</f>
        <v>0</v>
      </c>
      <c r="CL122" s="24">
        <f t="shared" ref="CL122" si="673">+AK122</f>
        <v>0</v>
      </c>
      <c r="CM122" s="24">
        <f t="shared" ref="CM122" si="674">+AL122</f>
        <v>0</v>
      </c>
      <c r="CN122" s="24">
        <f t="shared" ref="CN122" si="675">+AM122</f>
        <v>0</v>
      </c>
      <c r="CO122" s="24">
        <f t="shared" ref="CO122" si="676">+AN122</f>
        <v>0</v>
      </c>
      <c r="CP122" s="166">
        <f t="shared" ref="CP122" si="677">+AO122</f>
        <v>0</v>
      </c>
      <c r="CQ122" s="166">
        <f t="shared" ref="CQ122" si="678">+AP122</f>
        <v>0</v>
      </c>
      <c r="CR122">
        <f t="shared" ref="CR122" si="679">+AQ122</f>
        <v>0</v>
      </c>
      <c r="CS122">
        <f t="shared" ref="CS122" si="680">+AR122</f>
        <v>0</v>
      </c>
      <c r="CT122">
        <f t="shared" ref="CT122" si="681">+AS122</f>
        <v>0</v>
      </c>
      <c r="CU122">
        <f t="shared" ref="CU122" si="682">+AT122</f>
        <v>0</v>
      </c>
      <c r="CV122">
        <f t="shared" ref="CV122" si="683">+AU122</f>
        <v>0</v>
      </c>
      <c r="CW122">
        <f t="shared" ref="CW122" si="684">+AV122</f>
        <v>0</v>
      </c>
      <c r="CX122">
        <f t="shared" ref="CX122" si="685">+AW122</f>
        <v>0</v>
      </c>
      <c r="CY122">
        <f t="shared" ref="CY122" si="686">+AX122</f>
        <v>0</v>
      </c>
      <c r="CZ122">
        <f t="shared" ref="CZ122" si="687">+AY122</f>
        <v>0</v>
      </c>
      <c r="DA122">
        <f t="shared" ref="DA122" si="688">+AZ122</f>
        <v>0</v>
      </c>
      <c r="DB122">
        <f t="shared" ref="DB122" si="689">+BA122</f>
        <v>0</v>
      </c>
      <c r="DC122">
        <f t="shared" ref="DC122" si="690">+BB122</f>
        <v>0</v>
      </c>
      <c r="DD122">
        <f t="shared" ref="DD122" si="691">+BC122</f>
        <v>0</v>
      </c>
      <c r="DE122">
        <f t="shared" ref="DE122" si="692">+BD122</f>
        <v>0</v>
      </c>
      <c r="DF122">
        <f t="shared" ref="DF122" si="693">+BE122</f>
        <v>0</v>
      </c>
      <c r="DG122">
        <f t="shared" ref="DG122" si="694">+BF122</f>
        <v>0</v>
      </c>
      <c r="DH122">
        <f t="shared" ref="DH122" si="695">+BG122</f>
        <v>0</v>
      </c>
      <c r="DI122">
        <f t="shared" ref="DI122" si="696">+BH122</f>
        <v>0</v>
      </c>
      <c r="DJ122">
        <f t="shared" ref="DJ122" si="697">+BI122</f>
        <v>0</v>
      </c>
      <c r="DL122" s="24">
        <f t="shared" si="427"/>
        <v>896</v>
      </c>
      <c r="DM122" s="24">
        <f t="shared" si="428"/>
        <v>0</v>
      </c>
      <c r="DN122" s="24">
        <f t="shared" si="429"/>
        <v>0</v>
      </c>
      <c r="DO122" s="24">
        <f t="shared" si="430"/>
        <v>0</v>
      </c>
      <c r="DP122" s="24">
        <f t="shared" si="431"/>
        <v>0</v>
      </c>
      <c r="DQ122" s="24">
        <f t="shared" si="432"/>
        <v>0</v>
      </c>
      <c r="DR122" s="24">
        <f t="shared" si="433"/>
        <v>0</v>
      </c>
      <c r="DS122" s="24">
        <f t="shared" si="434"/>
        <v>0</v>
      </c>
      <c r="DT122" s="24">
        <f t="shared" si="435"/>
        <v>0</v>
      </c>
      <c r="DU122">
        <f t="shared" si="436"/>
        <v>0</v>
      </c>
      <c r="DV122">
        <f t="shared" si="437"/>
        <v>0</v>
      </c>
      <c r="DW122">
        <f t="shared" si="438"/>
        <v>0</v>
      </c>
    </row>
    <row r="123" spans="1:127" x14ac:dyDescent="0.25">
      <c r="A123" s="22">
        <f t="shared" si="375"/>
        <v>117</v>
      </c>
      <c r="B123" s="59" t="str">
        <f t="shared" si="645"/>
        <v>F0013548009</v>
      </c>
      <c r="C123" s="214" t="str">
        <f t="shared" si="646"/>
        <v>82115-0E460.</v>
      </c>
      <c r="D123" s="58" t="e">
        <f>VLOOKUP(B123,'Timing Table'!B:G,6,0)</f>
        <v>#N/A</v>
      </c>
      <c r="E123" s="22" t="e">
        <f>VLOOKUP(B123,'Timing Table'!B:D,3,0)</f>
        <v>#N/A</v>
      </c>
      <c r="F123" s="155" t="s">
        <v>77</v>
      </c>
      <c r="G123" s="181">
        <v>82115</v>
      </c>
      <c r="H123" s="10" t="s">
        <v>174</v>
      </c>
      <c r="I123" s="12" t="s">
        <v>78</v>
      </c>
      <c r="J123" s="152">
        <v>18912</v>
      </c>
      <c r="K123" s="153">
        <v>18912</v>
      </c>
      <c r="L123" s="153">
        <v>18912</v>
      </c>
      <c r="M123" s="153">
        <v>18912</v>
      </c>
      <c r="N123" s="153">
        <v>18912</v>
      </c>
      <c r="O123" s="153">
        <v>18912</v>
      </c>
      <c r="P123" s="153">
        <v>18912</v>
      </c>
      <c r="Q123" s="153">
        <v>18912</v>
      </c>
      <c r="R123" s="153">
        <v>18912</v>
      </c>
      <c r="S123" s="153">
        <v>18912</v>
      </c>
      <c r="T123" s="153">
        <v>18912</v>
      </c>
      <c r="U123" s="153">
        <v>18912</v>
      </c>
      <c r="V123" s="153">
        <v>18912</v>
      </c>
      <c r="W123" s="153">
        <v>18912</v>
      </c>
      <c r="X123" s="153">
        <v>18912</v>
      </c>
      <c r="Y123" s="153">
        <v>18912</v>
      </c>
      <c r="Z123" s="153">
        <v>18912</v>
      </c>
      <c r="AA123" s="153">
        <v>18912</v>
      </c>
      <c r="AB123" s="153">
        <v>18912</v>
      </c>
      <c r="AC123" s="153">
        <v>18912</v>
      </c>
      <c r="AD123" s="153">
        <v>18912</v>
      </c>
      <c r="AE123" s="153">
        <v>18912</v>
      </c>
      <c r="AF123" s="153">
        <v>18912</v>
      </c>
      <c r="AG123" s="153">
        <v>18912</v>
      </c>
      <c r="AH123" s="153">
        <v>18912</v>
      </c>
      <c r="AI123" s="153">
        <v>18912</v>
      </c>
      <c r="AJ123" s="153">
        <v>18912</v>
      </c>
      <c r="AK123" s="153">
        <v>18912</v>
      </c>
      <c r="AL123" s="153">
        <v>18912</v>
      </c>
      <c r="AM123" s="153">
        <v>18912</v>
      </c>
      <c r="AN123" s="153">
        <v>18912</v>
      </c>
      <c r="AO123" s="153">
        <v>18912</v>
      </c>
      <c r="AP123" s="153">
        <v>18912</v>
      </c>
      <c r="AQ123" s="153">
        <v>18912</v>
      </c>
      <c r="AR123" s="153">
        <v>18912</v>
      </c>
      <c r="AS123" s="153">
        <v>18912</v>
      </c>
      <c r="AT123" s="153">
        <v>18912</v>
      </c>
      <c r="AU123" s="153">
        <v>18912</v>
      </c>
      <c r="AV123" s="153">
        <v>18912</v>
      </c>
      <c r="AW123" s="153">
        <v>18912</v>
      </c>
      <c r="AX123" s="153">
        <v>18912</v>
      </c>
      <c r="AY123" s="153">
        <v>18912</v>
      </c>
      <c r="AZ123" s="153">
        <v>18912</v>
      </c>
      <c r="BA123" s="153">
        <v>18912</v>
      </c>
      <c r="BB123" s="153">
        <v>18912</v>
      </c>
      <c r="BC123" s="153">
        <v>18912</v>
      </c>
      <c r="BD123" s="153">
        <v>18912</v>
      </c>
      <c r="BE123" s="153">
        <v>18912</v>
      </c>
      <c r="BF123" s="153">
        <v>18912</v>
      </c>
      <c r="BG123" s="153">
        <v>18912</v>
      </c>
      <c r="BH123" s="153">
        <v>18912</v>
      </c>
      <c r="BI123" s="153">
        <v>18912</v>
      </c>
      <c r="DL123">
        <f t="shared" si="427"/>
        <v>0</v>
      </c>
      <c r="DM123">
        <f t="shared" si="428"/>
        <v>0</v>
      </c>
      <c r="DN123">
        <f t="shared" si="429"/>
        <v>0</v>
      </c>
      <c r="DO123">
        <f t="shared" si="430"/>
        <v>0</v>
      </c>
      <c r="DP123">
        <f t="shared" si="431"/>
        <v>0</v>
      </c>
      <c r="DQ123">
        <f t="shared" si="432"/>
        <v>0</v>
      </c>
      <c r="DR123">
        <f t="shared" si="433"/>
        <v>0</v>
      </c>
      <c r="DS123">
        <f t="shared" si="434"/>
        <v>0</v>
      </c>
      <c r="DT123">
        <f t="shared" si="435"/>
        <v>0</v>
      </c>
      <c r="DU123">
        <f t="shared" si="436"/>
        <v>0</v>
      </c>
      <c r="DV123">
        <f t="shared" si="437"/>
        <v>0</v>
      </c>
      <c r="DW123">
        <f t="shared" si="438"/>
        <v>0</v>
      </c>
    </row>
    <row r="124" spans="1:127" x14ac:dyDescent="0.25">
      <c r="A124" s="22">
        <f t="shared" si="375"/>
        <v>118</v>
      </c>
      <c r="B124" s="59" t="str">
        <f t="shared" si="645"/>
        <v>F0013548009</v>
      </c>
      <c r="C124" s="214" t="str">
        <f t="shared" si="646"/>
        <v>82115-0E460.</v>
      </c>
      <c r="D124" s="58" t="e">
        <f>VLOOKUP(B124,'Timing Table'!B:G,6,0)</f>
        <v>#N/A</v>
      </c>
      <c r="E124" s="22" t="e">
        <f>VLOOKUP(B124,'Timing Table'!B:D,3,0)</f>
        <v>#N/A</v>
      </c>
      <c r="F124" s="155" t="s">
        <v>79</v>
      </c>
      <c r="G124" s="199">
        <v>18016</v>
      </c>
      <c r="H124" s="184" t="s">
        <v>80</v>
      </c>
      <c r="I124" s="185"/>
      <c r="J124" s="200" t="s">
        <v>507</v>
      </c>
      <c r="K124" s="156"/>
      <c r="L124" s="157" t="s">
        <v>0</v>
      </c>
      <c r="M124" s="157" t="s">
        <v>0</v>
      </c>
      <c r="N124" s="157" t="s">
        <v>0</v>
      </c>
      <c r="O124" s="157" t="s">
        <v>0</v>
      </c>
      <c r="P124" s="157" t="s">
        <v>0</v>
      </c>
      <c r="Q124" s="157" t="s">
        <v>0</v>
      </c>
      <c r="R124" s="157" t="s">
        <v>0</v>
      </c>
      <c r="S124" s="157" t="s">
        <v>0</v>
      </c>
      <c r="T124" s="157" t="s">
        <v>0</v>
      </c>
      <c r="U124" s="157" t="s">
        <v>0</v>
      </c>
      <c r="V124" s="157" t="s">
        <v>0</v>
      </c>
      <c r="W124" s="157" t="s">
        <v>0</v>
      </c>
      <c r="X124" s="157" t="s">
        <v>0</v>
      </c>
      <c r="Y124" s="157" t="s">
        <v>0</v>
      </c>
      <c r="Z124" s="157" t="s">
        <v>0</v>
      </c>
      <c r="AA124" s="157" t="s">
        <v>0</v>
      </c>
      <c r="AB124" s="157" t="s">
        <v>0</v>
      </c>
      <c r="AC124" s="157" t="s">
        <v>0</v>
      </c>
      <c r="AD124" s="157" t="s">
        <v>0</v>
      </c>
      <c r="AE124" s="157" t="s">
        <v>0</v>
      </c>
      <c r="AF124" s="157" t="s">
        <v>0</v>
      </c>
      <c r="AG124" s="157" t="s">
        <v>0</v>
      </c>
      <c r="AH124" s="157" t="s">
        <v>0</v>
      </c>
      <c r="AI124" s="157" t="s">
        <v>0</v>
      </c>
      <c r="AJ124" s="157" t="s">
        <v>0</v>
      </c>
      <c r="AK124" s="157" t="s">
        <v>0</v>
      </c>
      <c r="AL124" s="157" t="s">
        <v>0</v>
      </c>
      <c r="AM124" s="157" t="s">
        <v>0</v>
      </c>
      <c r="AN124" s="157" t="s">
        <v>0</v>
      </c>
      <c r="AO124" s="157" t="s">
        <v>0</v>
      </c>
      <c r="AP124" s="157" t="s">
        <v>0</v>
      </c>
      <c r="AQ124" s="157" t="s">
        <v>0</v>
      </c>
      <c r="AR124" s="157" t="s">
        <v>0</v>
      </c>
      <c r="AS124" s="157" t="s">
        <v>0</v>
      </c>
      <c r="AT124" s="157" t="s">
        <v>0</v>
      </c>
      <c r="AU124" s="157" t="s">
        <v>0</v>
      </c>
      <c r="AV124" s="157" t="s">
        <v>0</v>
      </c>
      <c r="AW124" s="157" t="s">
        <v>0</v>
      </c>
      <c r="AX124" s="157" t="s">
        <v>0</v>
      </c>
      <c r="AY124" s="157" t="s">
        <v>0</v>
      </c>
      <c r="AZ124" s="157" t="s">
        <v>0</v>
      </c>
      <c r="BA124" s="157" t="s">
        <v>0</v>
      </c>
      <c r="BB124" s="157" t="s">
        <v>0</v>
      </c>
      <c r="BC124" s="157" t="s">
        <v>0</v>
      </c>
      <c r="BD124" s="157" t="s">
        <v>0</v>
      </c>
      <c r="BE124" s="157" t="s">
        <v>0</v>
      </c>
      <c r="BF124" s="157" t="s">
        <v>0</v>
      </c>
      <c r="BG124" s="157" t="s">
        <v>0</v>
      </c>
      <c r="BH124" s="157" t="s">
        <v>0</v>
      </c>
      <c r="BI124" s="158"/>
      <c r="DL124">
        <f t="shared" si="427"/>
        <v>0</v>
      </c>
      <c r="DM124">
        <f t="shared" si="428"/>
        <v>0</v>
      </c>
      <c r="DN124">
        <f t="shared" si="429"/>
        <v>0</v>
      </c>
      <c r="DO124">
        <f t="shared" si="430"/>
        <v>0</v>
      </c>
      <c r="DP124">
        <f t="shared" si="431"/>
        <v>0</v>
      </c>
      <c r="DQ124">
        <f t="shared" si="432"/>
        <v>0</v>
      </c>
      <c r="DR124">
        <f t="shared" si="433"/>
        <v>0</v>
      </c>
      <c r="DS124">
        <f t="shared" si="434"/>
        <v>0</v>
      </c>
      <c r="DT124">
        <f t="shared" si="435"/>
        <v>0</v>
      </c>
      <c r="DU124">
        <f t="shared" si="436"/>
        <v>0</v>
      </c>
      <c r="DV124">
        <f t="shared" si="437"/>
        <v>0</v>
      </c>
      <c r="DW124">
        <f t="shared" si="438"/>
        <v>0</v>
      </c>
    </row>
    <row r="125" spans="1:127" x14ac:dyDescent="0.25">
      <c r="A125" s="22">
        <f t="shared" si="375"/>
        <v>119</v>
      </c>
      <c r="B125" s="59" t="str">
        <f t="shared" si="645"/>
        <v>F0013548009</v>
      </c>
      <c r="C125" s="214" t="str">
        <f t="shared" si="646"/>
        <v>82115-0E460.</v>
      </c>
      <c r="D125" s="58" t="e">
        <f>VLOOKUP(B125,'Timing Table'!B:G,6,0)</f>
        <v>#N/A</v>
      </c>
      <c r="E125" s="22" t="e">
        <f>VLOOKUP(B125,'Timing Table'!B:D,3,0)</f>
        <v>#N/A</v>
      </c>
      <c r="F125" s="159" t="s">
        <v>81</v>
      </c>
      <c r="G125" s="160" t="s">
        <v>60</v>
      </c>
      <c r="H125" s="201" t="s">
        <v>60</v>
      </c>
      <c r="I125" s="183" t="s">
        <v>60</v>
      </c>
      <c r="J125" s="183" t="s">
        <v>0</v>
      </c>
      <c r="K125" s="183" t="s">
        <v>0</v>
      </c>
      <c r="L125" s="183" t="s">
        <v>0</v>
      </c>
      <c r="M125" s="183" t="s">
        <v>0</v>
      </c>
      <c r="N125" s="183" t="s">
        <v>0</v>
      </c>
      <c r="O125" s="183" t="s">
        <v>0</v>
      </c>
      <c r="P125" s="183" t="s">
        <v>0</v>
      </c>
      <c r="Q125" s="183" t="s">
        <v>0</v>
      </c>
      <c r="R125" s="183" t="s">
        <v>0</v>
      </c>
      <c r="S125" s="183" t="s">
        <v>0</v>
      </c>
      <c r="T125" s="183" t="s">
        <v>0</v>
      </c>
      <c r="U125" s="183" t="s">
        <v>0</v>
      </c>
      <c r="V125" s="183" t="s">
        <v>0</v>
      </c>
      <c r="W125" s="183" t="s">
        <v>0</v>
      </c>
      <c r="X125" s="183" t="s">
        <v>0</v>
      </c>
      <c r="Y125" s="183" t="s">
        <v>0</v>
      </c>
      <c r="Z125" s="183" t="s">
        <v>0</v>
      </c>
      <c r="AA125" s="183" t="s">
        <v>0</v>
      </c>
      <c r="AB125" s="183" t="s">
        <v>0</v>
      </c>
      <c r="AC125" s="183" t="s">
        <v>0</v>
      </c>
      <c r="AD125" s="183" t="s">
        <v>0</v>
      </c>
      <c r="AE125" s="183" t="s">
        <v>0</v>
      </c>
      <c r="AF125" s="183" t="s">
        <v>0</v>
      </c>
      <c r="AG125" s="183" t="s">
        <v>0</v>
      </c>
      <c r="AH125" s="183" t="s">
        <v>0</v>
      </c>
      <c r="AI125" s="183" t="s">
        <v>0</v>
      </c>
      <c r="AJ125" s="183" t="s">
        <v>0</v>
      </c>
      <c r="AK125" s="183" t="s">
        <v>0</v>
      </c>
      <c r="AL125" s="183" t="s">
        <v>0</v>
      </c>
      <c r="AM125" s="183" t="s">
        <v>0</v>
      </c>
      <c r="AN125" s="183" t="s">
        <v>0</v>
      </c>
      <c r="AO125" s="183" t="s">
        <v>0</v>
      </c>
      <c r="AP125" s="183" t="s">
        <v>0</v>
      </c>
      <c r="AQ125" s="183" t="s">
        <v>0</v>
      </c>
      <c r="AR125" s="183" t="s">
        <v>0</v>
      </c>
      <c r="AS125" s="183" t="s">
        <v>0</v>
      </c>
      <c r="AT125" s="183" t="s">
        <v>0</v>
      </c>
      <c r="AU125" s="183" t="s">
        <v>0</v>
      </c>
      <c r="AV125" s="183" t="s">
        <v>0</v>
      </c>
      <c r="AW125" s="183" t="s">
        <v>0</v>
      </c>
      <c r="AX125" s="183" t="s">
        <v>0</v>
      </c>
      <c r="AY125" s="183" t="s">
        <v>0</v>
      </c>
      <c r="AZ125" s="183" t="s">
        <v>0</v>
      </c>
      <c r="BA125" s="183" t="s">
        <v>0</v>
      </c>
      <c r="BB125" s="183" t="s">
        <v>0</v>
      </c>
      <c r="BC125" s="183" t="s">
        <v>0</v>
      </c>
      <c r="BD125" s="183" t="s">
        <v>0</v>
      </c>
      <c r="BE125" s="183" t="s">
        <v>0</v>
      </c>
      <c r="BF125" s="183" t="s">
        <v>0</v>
      </c>
      <c r="BG125" s="183" t="s">
        <v>0</v>
      </c>
      <c r="BH125" s="183" t="s">
        <v>0</v>
      </c>
      <c r="BI125" s="161"/>
      <c r="DL125">
        <f t="shared" si="427"/>
        <v>0</v>
      </c>
      <c r="DM125">
        <f t="shared" si="428"/>
        <v>0</v>
      </c>
      <c r="DN125">
        <f t="shared" si="429"/>
        <v>0</v>
      </c>
      <c r="DO125">
        <f t="shared" si="430"/>
        <v>0</v>
      </c>
      <c r="DP125">
        <f t="shared" si="431"/>
        <v>0</v>
      </c>
      <c r="DQ125">
        <f t="shared" si="432"/>
        <v>0</v>
      </c>
      <c r="DR125">
        <f t="shared" si="433"/>
        <v>0</v>
      </c>
      <c r="DS125">
        <f t="shared" si="434"/>
        <v>0</v>
      </c>
      <c r="DT125">
        <f t="shared" si="435"/>
        <v>0</v>
      </c>
      <c r="DU125">
        <f t="shared" si="436"/>
        <v>0</v>
      </c>
      <c r="DV125">
        <f t="shared" si="437"/>
        <v>0</v>
      </c>
      <c r="DW125">
        <f t="shared" si="438"/>
        <v>0</v>
      </c>
    </row>
    <row r="126" spans="1:127" x14ac:dyDescent="0.25">
      <c r="A126" s="22">
        <f t="shared" si="375"/>
        <v>120</v>
      </c>
      <c r="B126" s="59" t="str">
        <f t="shared" si="645"/>
        <v>F0013548009</v>
      </c>
      <c r="C126" s="214" t="str">
        <f t="shared" si="646"/>
        <v>82115-0E460.</v>
      </c>
      <c r="D126" s="58" t="e">
        <f>VLOOKUP(B126,'Timing Table'!B:G,6,0)</f>
        <v>#N/A</v>
      </c>
      <c r="E126" s="22" t="e">
        <f>VLOOKUP(B126,'Timing Table'!B:D,3,0)</f>
        <v>#N/A</v>
      </c>
      <c r="F126" s="188" t="s">
        <v>60</v>
      </c>
      <c r="G126" s="162" t="s">
        <v>60</v>
      </c>
      <c r="H126" s="163" t="s">
        <v>60</v>
      </c>
      <c r="I126" s="164" t="s">
        <v>60</v>
      </c>
      <c r="J126" s="164" t="s">
        <v>0</v>
      </c>
      <c r="K126" s="164" t="s">
        <v>0</v>
      </c>
      <c r="L126" s="164" t="s">
        <v>0</v>
      </c>
      <c r="M126" s="164" t="s">
        <v>0</v>
      </c>
      <c r="N126" s="164" t="s">
        <v>0</v>
      </c>
      <c r="O126" s="164" t="s">
        <v>0</v>
      </c>
      <c r="P126" s="164" t="s">
        <v>0</v>
      </c>
      <c r="Q126" s="164" t="s">
        <v>0</v>
      </c>
      <c r="R126" s="164" t="s">
        <v>0</v>
      </c>
      <c r="S126" s="164" t="s">
        <v>0</v>
      </c>
      <c r="T126" s="164" t="s">
        <v>0</v>
      </c>
      <c r="U126" s="164" t="s">
        <v>0</v>
      </c>
      <c r="V126" s="164" t="s">
        <v>0</v>
      </c>
      <c r="W126" s="164" t="s">
        <v>0</v>
      </c>
      <c r="X126" s="164" t="s">
        <v>0</v>
      </c>
      <c r="Y126" s="164" t="s">
        <v>0</v>
      </c>
      <c r="Z126" s="164" t="s">
        <v>0</v>
      </c>
      <c r="AA126" s="164" t="s">
        <v>0</v>
      </c>
      <c r="AB126" s="164" t="s">
        <v>0</v>
      </c>
      <c r="AC126" s="164" t="s">
        <v>0</v>
      </c>
      <c r="AD126" s="164" t="s">
        <v>0</v>
      </c>
      <c r="AE126" s="164" t="s">
        <v>0</v>
      </c>
      <c r="AF126" s="164" t="s">
        <v>0</v>
      </c>
      <c r="AG126" s="164" t="s">
        <v>0</v>
      </c>
      <c r="AH126" s="164" t="s">
        <v>0</v>
      </c>
      <c r="AI126" s="164" t="s">
        <v>0</v>
      </c>
      <c r="AJ126" s="164" t="s">
        <v>0</v>
      </c>
      <c r="AK126" s="164" t="s">
        <v>0</v>
      </c>
      <c r="AL126" s="164" t="s">
        <v>0</v>
      </c>
      <c r="AM126" s="164" t="s">
        <v>0</v>
      </c>
      <c r="AN126" s="164" t="s">
        <v>0</v>
      </c>
      <c r="AO126" s="164" t="s">
        <v>0</v>
      </c>
      <c r="AP126" s="164" t="s">
        <v>0</v>
      </c>
      <c r="AQ126" s="164" t="s">
        <v>0</v>
      </c>
      <c r="AR126" s="164" t="s">
        <v>0</v>
      </c>
      <c r="AS126" s="164" t="s">
        <v>0</v>
      </c>
      <c r="AT126" s="164" t="s">
        <v>0</v>
      </c>
      <c r="AU126" s="164" t="s">
        <v>0</v>
      </c>
      <c r="AV126" s="164" t="s">
        <v>0</v>
      </c>
      <c r="AW126" s="164" t="s">
        <v>0</v>
      </c>
      <c r="AX126" s="164" t="s">
        <v>0</v>
      </c>
      <c r="AY126" s="164" t="s">
        <v>0</v>
      </c>
      <c r="AZ126" s="164" t="s">
        <v>0</v>
      </c>
      <c r="BA126" s="164" t="s">
        <v>0</v>
      </c>
      <c r="BB126" s="164" t="s">
        <v>0</v>
      </c>
      <c r="BC126" s="164" t="s">
        <v>0</v>
      </c>
      <c r="BD126" s="164" t="s">
        <v>0</v>
      </c>
      <c r="BE126" s="164" t="s">
        <v>0</v>
      </c>
      <c r="BF126" s="164" t="s">
        <v>0</v>
      </c>
      <c r="BG126" s="164" t="s">
        <v>0</v>
      </c>
      <c r="BH126" s="164" t="s">
        <v>0</v>
      </c>
      <c r="BI126" s="189"/>
      <c r="DL126">
        <f t="shared" si="427"/>
        <v>0</v>
      </c>
      <c r="DM126">
        <f t="shared" si="428"/>
        <v>0</v>
      </c>
      <c r="DN126">
        <f t="shared" si="429"/>
        <v>0</v>
      </c>
      <c r="DO126">
        <f t="shared" si="430"/>
        <v>0</v>
      </c>
      <c r="DP126">
        <f t="shared" si="431"/>
        <v>0</v>
      </c>
      <c r="DQ126">
        <f t="shared" si="432"/>
        <v>0</v>
      </c>
      <c r="DR126">
        <f t="shared" si="433"/>
        <v>0</v>
      </c>
      <c r="DS126">
        <f t="shared" si="434"/>
        <v>0</v>
      </c>
      <c r="DT126">
        <f t="shared" si="435"/>
        <v>0</v>
      </c>
      <c r="DU126">
        <f t="shared" si="436"/>
        <v>0</v>
      </c>
      <c r="DV126">
        <f t="shared" si="437"/>
        <v>0</v>
      </c>
      <c r="DW126">
        <f t="shared" si="438"/>
        <v>0</v>
      </c>
    </row>
    <row r="127" spans="1:127" x14ac:dyDescent="0.25">
      <c r="A127" s="22">
        <f t="shared" si="375"/>
        <v>121</v>
      </c>
      <c r="B127" s="59" t="str">
        <f t="shared" si="645"/>
        <v>F0013548011</v>
      </c>
      <c r="C127" s="214" t="str">
        <f t="shared" si="646"/>
        <v>82115-0E460 L</v>
      </c>
      <c r="D127" s="58" t="e">
        <f>VLOOKUP(B127,'Timing Table'!B:G,6,0)</f>
        <v>#N/A</v>
      </c>
      <c r="E127" s="22" t="e">
        <f>VLOOKUP(B127,'Timing Table'!B:D,3,0)</f>
        <v>#N/A</v>
      </c>
      <c r="F127" s="155" t="s">
        <v>61</v>
      </c>
      <c r="G127" s="181">
        <v>5501065661</v>
      </c>
      <c r="H127" s="155" t="s">
        <v>62</v>
      </c>
      <c r="I127" s="181">
        <v>9</v>
      </c>
      <c r="J127" s="155" t="s">
        <v>63</v>
      </c>
      <c r="K127" s="160">
        <v>1179880</v>
      </c>
      <c r="L127" s="161"/>
      <c r="M127" s="190" t="s">
        <v>64</v>
      </c>
      <c r="N127" s="191"/>
      <c r="O127" s="192">
        <v>46086</v>
      </c>
      <c r="P127" s="155" t="s">
        <v>65</v>
      </c>
      <c r="Q127" s="181">
        <v>4</v>
      </c>
      <c r="R127" s="6" t="s">
        <v>0</v>
      </c>
      <c r="S127" s="7" t="s">
        <v>0</v>
      </c>
      <c r="T127" s="7" t="s">
        <v>0</v>
      </c>
      <c r="U127" s="7" t="s">
        <v>0</v>
      </c>
      <c r="V127" s="7" t="s">
        <v>0</v>
      </c>
      <c r="W127" s="7" t="s">
        <v>0</v>
      </c>
      <c r="X127" s="7" t="s">
        <v>0</v>
      </c>
      <c r="Y127" s="7" t="s">
        <v>0</v>
      </c>
      <c r="Z127" s="7" t="s">
        <v>0</v>
      </c>
      <c r="AA127" s="7" t="s">
        <v>0</v>
      </c>
      <c r="AB127" s="7" t="s">
        <v>0</v>
      </c>
      <c r="AC127" s="7" t="s">
        <v>0</v>
      </c>
      <c r="AD127" s="7" t="s">
        <v>0</v>
      </c>
      <c r="AE127" s="7" t="s">
        <v>0</v>
      </c>
      <c r="AF127" s="7" t="s">
        <v>0</v>
      </c>
      <c r="AG127" s="7" t="s">
        <v>0</v>
      </c>
      <c r="AH127" s="7" t="s">
        <v>0</v>
      </c>
      <c r="AI127" s="7" t="s">
        <v>0</v>
      </c>
      <c r="AJ127" s="7" t="s">
        <v>0</v>
      </c>
      <c r="AK127" s="7" t="s">
        <v>0</v>
      </c>
      <c r="AL127" s="7" t="s">
        <v>0</v>
      </c>
      <c r="AM127" s="7" t="s">
        <v>0</v>
      </c>
      <c r="AN127" s="7" t="s">
        <v>0</v>
      </c>
      <c r="AO127" s="7" t="s">
        <v>0</v>
      </c>
      <c r="AP127" s="7" t="s">
        <v>0</v>
      </c>
      <c r="AQ127" s="7" t="s">
        <v>0</v>
      </c>
      <c r="AR127" s="7" t="s">
        <v>0</v>
      </c>
      <c r="AS127" s="7" t="s">
        <v>0</v>
      </c>
      <c r="AT127" s="7" t="s">
        <v>0</v>
      </c>
      <c r="AU127" s="7" t="s">
        <v>0</v>
      </c>
      <c r="AV127" s="7" t="s">
        <v>0</v>
      </c>
      <c r="AW127" s="7" t="s">
        <v>0</v>
      </c>
      <c r="AX127" s="7" t="s">
        <v>0</v>
      </c>
      <c r="AY127" s="7" t="s">
        <v>0</v>
      </c>
      <c r="AZ127" s="7" t="s">
        <v>0</v>
      </c>
      <c r="BA127" s="7" t="s">
        <v>0</v>
      </c>
      <c r="BB127" s="7" t="s">
        <v>0</v>
      </c>
      <c r="BC127" s="7" t="s">
        <v>0</v>
      </c>
      <c r="BD127" s="7" t="s">
        <v>0</v>
      </c>
      <c r="BE127" s="7" t="s">
        <v>0</v>
      </c>
      <c r="BF127" s="7" t="s">
        <v>0</v>
      </c>
      <c r="BG127" s="7" t="s">
        <v>0</v>
      </c>
      <c r="BH127" s="7" t="s">
        <v>0</v>
      </c>
      <c r="BI127" s="8"/>
      <c r="DL127">
        <f t="shared" si="427"/>
        <v>0</v>
      </c>
      <c r="DM127">
        <f t="shared" si="428"/>
        <v>0</v>
      </c>
      <c r="DN127">
        <f t="shared" si="429"/>
        <v>0</v>
      </c>
      <c r="DO127">
        <f t="shared" si="430"/>
        <v>0</v>
      </c>
      <c r="DP127">
        <f t="shared" si="431"/>
        <v>0</v>
      </c>
      <c r="DQ127">
        <f t="shared" si="432"/>
        <v>0</v>
      </c>
      <c r="DR127">
        <f t="shared" si="433"/>
        <v>0</v>
      </c>
      <c r="DS127">
        <f t="shared" si="434"/>
        <v>0</v>
      </c>
      <c r="DT127">
        <f t="shared" si="435"/>
        <v>0</v>
      </c>
      <c r="DU127">
        <f t="shared" si="436"/>
        <v>0</v>
      </c>
      <c r="DV127">
        <f t="shared" si="437"/>
        <v>0</v>
      </c>
      <c r="DW127">
        <f t="shared" si="438"/>
        <v>0</v>
      </c>
    </row>
    <row r="128" spans="1:127" x14ac:dyDescent="0.25">
      <c r="A128" s="22">
        <f t="shared" si="375"/>
        <v>122</v>
      </c>
      <c r="B128" s="59" t="str">
        <f t="shared" si="645"/>
        <v>F0013548011</v>
      </c>
      <c r="C128" s="214" t="str">
        <f t="shared" si="646"/>
        <v>82115-0E460 L</v>
      </c>
      <c r="D128" s="58" t="e">
        <f>VLOOKUP(B128,'Timing Table'!B:G,6,0)</f>
        <v>#N/A</v>
      </c>
      <c r="E128" s="22" t="e">
        <f>VLOOKUP(B128,'Timing Table'!B:D,3,0)</f>
        <v>#N/A</v>
      </c>
      <c r="F128" s="155" t="s">
        <v>66</v>
      </c>
      <c r="G128" s="181" t="s">
        <v>491</v>
      </c>
      <c r="H128" s="155" t="s">
        <v>67</v>
      </c>
      <c r="I128" s="182" t="s">
        <v>492</v>
      </c>
      <c r="J128" s="183"/>
      <c r="K128" s="183"/>
      <c r="L128" s="161"/>
      <c r="M128" s="155" t="s">
        <v>68</v>
      </c>
      <c r="N128" s="181">
        <v>2025</v>
      </c>
      <c r="O128" s="184" t="s">
        <v>69</v>
      </c>
      <c r="P128" s="185"/>
      <c r="Q128" s="193" t="s">
        <v>485</v>
      </c>
      <c r="R128" s="156" t="s">
        <v>0</v>
      </c>
      <c r="S128" s="157"/>
      <c r="T128" s="157"/>
      <c r="U128" s="157" t="s">
        <v>0</v>
      </c>
      <c r="V128" s="157" t="s">
        <v>0</v>
      </c>
      <c r="W128" s="157" t="s">
        <v>0</v>
      </c>
      <c r="X128" s="157" t="s">
        <v>0</v>
      </c>
      <c r="Y128" s="157" t="s">
        <v>0</v>
      </c>
      <c r="Z128" s="157" t="s">
        <v>0</v>
      </c>
      <c r="AA128" s="157" t="s">
        <v>0</v>
      </c>
      <c r="AB128" s="157" t="s">
        <v>0</v>
      </c>
      <c r="AC128" s="157" t="s">
        <v>0</v>
      </c>
      <c r="AD128" s="157" t="s">
        <v>0</v>
      </c>
      <c r="AE128" s="157" t="s">
        <v>0</v>
      </c>
      <c r="AF128" s="157" t="s">
        <v>0</v>
      </c>
      <c r="AG128" s="157" t="s">
        <v>0</v>
      </c>
      <c r="AH128" s="157" t="s">
        <v>0</v>
      </c>
      <c r="AI128" s="157" t="s">
        <v>0</v>
      </c>
      <c r="AJ128" s="157" t="s">
        <v>0</v>
      </c>
      <c r="AK128" s="157" t="s">
        <v>0</v>
      </c>
      <c r="AL128" s="157" t="s">
        <v>0</v>
      </c>
      <c r="AM128" s="157" t="s">
        <v>0</v>
      </c>
      <c r="AN128" s="157" t="s">
        <v>0</v>
      </c>
      <c r="AO128" s="157" t="s">
        <v>0</v>
      </c>
      <c r="AP128" s="157" t="s">
        <v>0</v>
      </c>
      <c r="AQ128" s="157" t="s">
        <v>0</v>
      </c>
      <c r="AR128" s="157" t="s">
        <v>0</v>
      </c>
      <c r="AS128" s="157" t="s">
        <v>0</v>
      </c>
      <c r="AT128" s="157" t="s">
        <v>0</v>
      </c>
      <c r="AU128" s="157" t="s">
        <v>0</v>
      </c>
      <c r="AV128" s="157" t="s">
        <v>0</v>
      </c>
      <c r="AW128" s="157" t="s">
        <v>0</v>
      </c>
      <c r="AX128" s="157" t="s">
        <v>0</v>
      </c>
      <c r="AY128" s="157" t="s">
        <v>0</v>
      </c>
      <c r="AZ128" s="157" t="s">
        <v>0</v>
      </c>
      <c r="BA128" s="157" t="s">
        <v>0</v>
      </c>
      <c r="BB128" s="157" t="s">
        <v>0</v>
      </c>
      <c r="BC128" s="157" t="s">
        <v>0</v>
      </c>
      <c r="BD128" s="157" t="s">
        <v>0</v>
      </c>
      <c r="BE128" s="157" t="s">
        <v>0</v>
      </c>
      <c r="BF128" s="157" t="s">
        <v>0</v>
      </c>
      <c r="BG128" s="157" t="s">
        <v>0</v>
      </c>
      <c r="BH128" s="157" t="s">
        <v>0</v>
      </c>
      <c r="BI128" s="158"/>
      <c r="DL128">
        <f t="shared" si="427"/>
        <v>0</v>
      </c>
      <c r="DM128">
        <f t="shared" si="428"/>
        <v>0</v>
      </c>
      <c r="DN128">
        <f t="shared" si="429"/>
        <v>0</v>
      </c>
      <c r="DO128">
        <f t="shared" si="430"/>
        <v>0</v>
      </c>
      <c r="DP128">
        <f t="shared" si="431"/>
        <v>0</v>
      </c>
      <c r="DQ128">
        <f t="shared" si="432"/>
        <v>0</v>
      </c>
      <c r="DR128">
        <f t="shared" si="433"/>
        <v>0</v>
      </c>
      <c r="DS128">
        <f t="shared" si="434"/>
        <v>0</v>
      </c>
      <c r="DT128">
        <f t="shared" si="435"/>
        <v>0</v>
      </c>
      <c r="DU128">
        <f t="shared" si="436"/>
        <v>0</v>
      </c>
      <c r="DV128">
        <f t="shared" si="437"/>
        <v>0</v>
      </c>
      <c r="DW128">
        <f t="shared" si="438"/>
        <v>0</v>
      </c>
    </row>
    <row r="129" spans="1:127" x14ac:dyDescent="0.25">
      <c r="A129" s="22">
        <f t="shared" si="375"/>
        <v>123</v>
      </c>
      <c r="B129" s="59" t="str">
        <f t="shared" si="645"/>
        <v>F0013548011</v>
      </c>
      <c r="C129" s="214" t="str">
        <f t="shared" si="646"/>
        <v>82115-0E460 L</v>
      </c>
      <c r="D129" s="58" t="e">
        <f>VLOOKUP(B129,'Timing Table'!B:G,6,0)</f>
        <v>#N/A</v>
      </c>
      <c r="E129" s="22" t="e">
        <f>VLOOKUP(B129,'Timing Table'!B:D,3,0)</f>
        <v>#N/A</v>
      </c>
      <c r="F129" s="155" t="s">
        <v>70</v>
      </c>
      <c r="G129" s="181" t="s">
        <v>481</v>
      </c>
      <c r="H129" s="155" t="s">
        <v>71</v>
      </c>
      <c r="I129" s="182" t="s">
        <v>60</v>
      </c>
      <c r="J129" s="161" t="s">
        <v>0</v>
      </c>
      <c r="K129" s="194" t="s">
        <v>0</v>
      </c>
      <c r="L129" s="195" t="s">
        <v>0</v>
      </c>
      <c r="M129" s="179" t="s">
        <v>0</v>
      </c>
      <c r="N129" s="179" t="s">
        <v>0</v>
      </c>
      <c r="O129" s="179" t="s">
        <v>0</v>
      </c>
      <c r="P129" s="179" t="s">
        <v>0</v>
      </c>
      <c r="Q129" s="179" t="s">
        <v>1</v>
      </c>
      <c r="R129" s="179" t="s">
        <v>2</v>
      </c>
      <c r="S129" s="179" t="s">
        <v>0</v>
      </c>
      <c r="T129" s="179" t="s">
        <v>0</v>
      </c>
      <c r="U129" s="179" t="s">
        <v>0</v>
      </c>
      <c r="V129" s="179" t="s">
        <v>0</v>
      </c>
      <c r="W129" s="179" t="s">
        <v>0</v>
      </c>
      <c r="X129" s="179" t="s">
        <v>0</v>
      </c>
      <c r="Y129" s="179" t="s">
        <v>0</v>
      </c>
      <c r="Z129" s="179" t="s">
        <v>3</v>
      </c>
      <c r="AA129" s="179" t="s">
        <v>0</v>
      </c>
      <c r="AB129" s="179" t="s">
        <v>0</v>
      </c>
      <c r="AC129" s="179" t="s">
        <v>0</v>
      </c>
      <c r="AD129" s="179" t="s">
        <v>0</v>
      </c>
      <c r="AE129" s="179" t="s">
        <v>0</v>
      </c>
      <c r="AF129" s="179" t="s">
        <v>0</v>
      </c>
      <c r="AG129" s="179" t="s">
        <v>0</v>
      </c>
      <c r="AH129" s="179" t="s">
        <v>0</v>
      </c>
      <c r="AI129" s="179" t="s">
        <v>0</v>
      </c>
      <c r="AJ129" s="179" t="s">
        <v>0</v>
      </c>
      <c r="AK129" s="179" t="s">
        <v>0</v>
      </c>
      <c r="AL129" s="179" t="s">
        <v>0</v>
      </c>
      <c r="AM129" s="179" t="s">
        <v>0</v>
      </c>
      <c r="AN129" s="179" t="s">
        <v>0</v>
      </c>
      <c r="AO129" s="179" t="s">
        <v>0</v>
      </c>
      <c r="AP129" s="179" t="s">
        <v>0</v>
      </c>
      <c r="AQ129" s="179" t="s">
        <v>0</v>
      </c>
      <c r="AR129" s="179" t="s">
        <v>0</v>
      </c>
      <c r="AS129" s="179" t="s">
        <v>0</v>
      </c>
      <c r="AT129" s="179" t="s">
        <v>0</v>
      </c>
      <c r="AU129" s="179" t="s">
        <v>0</v>
      </c>
      <c r="AV129" s="179" t="s">
        <v>0</v>
      </c>
      <c r="AW129" s="179" t="s">
        <v>0</v>
      </c>
      <c r="AX129" s="179" t="s">
        <v>0</v>
      </c>
      <c r="AY129" s="179" t="s">
        <v>0</v>
      </c>
      <c r="AZ129" s="179" t="s">
        <v>0</v>
      </c>
      <c r="BA129" s="179" t="s">
        <v>0</v>
      </c>
      <c r="BB129" s="179" t="s">
        <v>0</v>
      </c>
      <c r="BC129" s="179" t="s">
        <v>0</v>
      </c>
      <c r="BD129" s="179" t="s">
        <v>0</v>
      </c>
      <c r="BE129" s="179" t="s">
        <v>0</v>
      </c>
      <c r="BF129" s="179" t="s">
        <v>0</v>
      </c>
      <c r="BG129" s="179" t="s">
        <v>0</v>
      </c>
      <c r="BH129" s="179" t="s">
        <v>0</v>
      </c>
      <c r="BI129" s="180" t="s">
        <v>4</v>
      </c>
      <c r="DL129">
        <f t="shared" si="427"/>
        <v>0</v>
      </c>
      <c r="DM129">
        <f t="shared" si="428"/>
        <v>0</v>
      </c>
      <c r="DN129">
        <f t="shared" si="429"/>
        <v>0</v>
      </c>
      <c r="DO129">
        <f t="shared" si="430"/>
        <v>0</v>
      </c>
      <c r="DP129">
        <f t="shared" si="431"/>
        <v>0</v>
      </c>
      <c r="DQ129">
        <f t="shared" si="432"/>
        <v>0</v>
      </c>
      <c r="DR129">
        <f t="shared" si="433"/>
        <v>0</v>
      </c>
      <c r="DS129">
        <f t="shared" si="434"/>
        <v>0</v>
      </c>
      <c r="DT129">
        <f t="shared" si="435"/>
        <v>0</v>
      </c>
      <c r="DU129">
        <f t="shared" si="436"/>
        <v>0</v>
      </c>
      <c r="DV129">
        <f t="shared" si="437"/>
        <v>0</v>
      </c>
      <c r="DW129">
        <f t="shared" si="438"/>
        <v>0</v>
      </c>
    </row>
    <row r="130" spans="1:127" x14ac:dyDescent="0.25">
      <c r="A130" s="22">
        <f t="shared" si="375"/>
        <v>124</v>
      </c>
      <c r="B130" s="59" t="str">
        <f t="shared" si="645"/>
        <v>F0013548011</v>
      </c>
      <c r="C130" s="214" t="str">
        <f t="shared" si="646"/>
        <v>82115-0E460 L</v>
      </c>
      <c r="D130" s="58" t="e">
        <f>VLOOKUP(B130,'Timing Table'!B:G,6,0)</f>
        <v>#N/A</v>
      </c>
      <c r="E130" s="22" t="e">
        <f>VLOOKUP(B130,'Timing Table'!B:D,3,0)</f>
        <v>#N/A</v>
      </c>
      <c r="F130" s="155" t="s">
        <v>72</v>
      </c>
      <c r="G130" s="181">
        <v>2636</v>
      </c>
      <c r="H130" s="196" t="s">
        <v>413</v>
      </c>
      <c r="I130" s="197" t="s">
        <v>73</v>
      </c>
      <c r="J130" s="13">
        <v>46041</v>
      </c>
      <c r="K130" s="14">
        <v>46048</v>
      </c>
      <c r="L130" s="14">
        <v>46055</v>
      </c>
      <c r="M130" s="14">
        <v>46062</v>
      </c>
      <c r="N130" s="14">
        <v>46069</v>
      </c>
      <c r="O130" s="14">
        <v>46076</v>
      </c>
      <c r="P130" s="14">
        <v>46083</v>
      </c>
      <c r="Q130" s="14">
        <v>46090</v>
      </c>
      <c r="R130" s="14">
        <v>46097</v>
      </c>
      <c r="S130" s="14">
        <v>46104</v>
      </c>
      <c r="T130" s="14">
        <v>46111</v>
      </c>
      <c r="U130" s="14">
        <v>46118</v>
      </c>
      <c r="V130" s="14">
        <v>46125</v>
      </c>
      <c r="W130" s="14">
        <v>46132</v>
      </c>
      <c r="X130" s="14">
        <v>46139</v>
      </c>
      <c r="Y130" s="14">
        <v>46146</v>
      </c>
      <c r="Z130" s="14">
        <v>46153</v>
      </c>
      <c r="AA130" s="14">
        <v>46160</v>
      </c>
      <c r="AB130" s="14">
        <v>46167</v>
      </c>
      <c r="AC130" s="14">
        <v>46174</v>
      </c>
      <c r="AD130" s="14">
        <v>46181</v>
      </c>
      <c r="AE130" s="14">
        <v>46188</v>
      </c>
      <c r="AF130" s="14">
        <v>46195</v>
      </c>
      <c r="AG130" s="14">
        <v>46202</v>
      </c>
      <c r="AH130" s="14">
        <v>46209</v>
      </c>
      <c r="AI130" s="14">
        <v>46216</v>
      </c>
      <c r="AJ130" s="14">
        <v>46223</v>
      </c>
      <c r="AK130" s="14">
        <v>46230</v>
      </c>
      <c r="AL130" s="14">
        <v>46237</v>
      </c>
      <c r="AM130" s="14">
        <v>46244</v>
      </c>
      <c r="AN130" s="14">
        <v>46251</v>
      </c>
      <c r="AO130" s="14">
        <v>46258</v>
      </c>
      <c r="AP130" s="14">
        <v>46265</v>
      </c>
      <c r="AQ130" s="14">
        <v>46272</v>
      </c>
      <c r="AR130" s="14">
        <v>46279</v>
      </c>
      <c r="AS130" s="14">
        <v>46286</v>
      </c>
      <c r="AT130" s="14">
        <v>46293</v>
      </c>
      <c r="AU130" s="14">
        <v>46300</v>
      </c>
      <c r="AV130" s="14">
        <v>46307</v>
      </c>
      <c r="AW130" s="14">
        <v>46314</v>
      </c>
      <c r="AX130" s="14">
        <v>46321</v>
      </c>
      <c r="AY130" s="14">
        <v>46328</v>
      </c>
      <c r="AZ130" s="14">
        <v>46335</v>
      </c>
      <c r="BA130" s="14">
        <v>46342</v>
      </c>
      <c r="BB130" s="14">
        <v>46349</v>
      </c>
      <c r="BC130" s="14">
        <v>46356</v>
      </c>
      <c r="BD130" s="14">
        <v>46363</v>
      </c>
      <c r="BE130" s="14">
        <v>46370</v>
      </c>
      <c r="BF130" s="14">
        <v>46377</v>
      </c>
      <c r="BG130" s="14">
        <v>46384</v>
      </c>
      <c r="BH130" s="14">
        <v>46391</v>
      </c>
      <c r="BI130" s="15">
        <v>46398</v>
      </c>
      <c r="DL130">
        <f t="shared" si="427"/>
        <v>0</v>
      </c>
      <c r="DM130">
        <f t="shared" si="428"/>
        <v>0</v>
      </c>
      <c r="DN130">
        <f t="shared" si="429"/>
        <v>0</v>
      </c>
      <c r="DO130">
        <f t="shared" si="430"/>
        <v>0</v>
      </c>
      <c r="DP130">
        <f t="shared" si="431"/>
        <v>0</v>
      </c>
      <c r="DQ130">
        <f t="shared" si="432"/>
        <v>0</v>
      </c>
      <c r="DR130">
        <f t="shared" si="433"/>
        <v>0</v>
      </c>
      <c r="DS130">
        <f t="shared" si="434"/>
        <v>0</v>
      </c>
      <c r="DT130">
        <f t="shared" si="435"/>
        <v>0</v>
      </c>
      <c r="DU130">
        <f t="shared" si="436"/>
        <v>0</v>
      </c>
      <c r="DV130">
        <f t="shared" si="437"/>
        <v>0</v>
      </c>
      <c r="DW130">
        <f t="shared" si="438"/>
        <v>0</v>
      </c>
    </row>
    <row r="131" spans="1:127" x14ac:dyDescent="0.25">
      <c r="A131" s="22">
        <f t="shared" si="375"/>
        <v>125</v>
      </c>
      <c r="B131" s="59" t="str">
        <f t="shared" si="645"/>
        <v>F0013548011</v>
      </c>
      <c r="C131" s="214" t="str">
        <f t="shared" si="646"/>
        <v>82115-0E460 L</v>
      </c>
      <c r="D131" s="58" t="e">
        <f>VLOOKUP(B131,'Timing Table'!B:G,6,0)</f>
        <v>#N/A</v>
      </c>
      <c r="E131" s="22" t="e">
        <f>VLOOKUP(B131,'Timing Table'!B:D,3,0)</f>
        <v>#N/A</v>
      </c>
      <c r="F131" s="155" t="s">
        <v>74</v>
      </c>
      <c r="G131" s="181">
        <v>4984</v>
      </c>
      <c r="H131" s="5" t="s">
        <v>60</v>
      </c>
      <c r="I131" s="11" t="s">
        <v>147</v>
      </c>
      <c r="J131" s="16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17"/>
      <c r="DL131">
        <f t="shared" si="427"/>
        <v>0</v>
      </c>
      <c r="DM131">
        <f t="shared" si="428"/>
        <v>0</v>
      </c>
      <c r="DN131">
        <f t="shared" si="429"/>
        <v>0</v>
      </c>
      <c r="DO131">
        <f t="shared" si="430"/>
        <v>0</v>
      </c>
      <c r="DP131">
        <f t="shared" si="431"/>
        <v>0</v>
      </c>
      <c r="DQ131">
        <f t="shared" si="432"/>
        <v>0</v>
      </c>
      <c r="DR131">
        <f t="shared" si="433"/>
        <v>0</v>
      </c>
      <c r="DS131">
        <f t="shared" si="434"/>
        <v>0</v>
      </c>
      <c r="DT131">
        <f t="shared" si="435"/>
        <v>0</v>
      </c>
      <c r="DU131">
        <f t="shared" si="436"/>
        <v>0</v>
      </c>
      <c r="DV131">
        <f t="shared" si="437"/>
        <v>0</v>
      </c>
      <c r="DW131">
        <f t="shared" si="438"/>
        <v>0</v>
      </c>
    </row>
    <row r="132" spans="1:127" x14ac:dyDescent="0.25">
      <c r="A132" s="22">
        <f t="shared" si="375"/>
        <v>126</v>
      </c>
      <c r="B132" s="59" t="str">
        <f t="shared" si="645"/>
        <v>F0013548011</v>
      </c>
      <c r="C132" s="214" t="str">
        <f t="shared" si="646"/>
        <v>82115-0E460 L</v>
      </c>
      <c r="D132" s="58" t="e">
        <f>VLOOKUP(B132,'Timing Table'!B:G,6,0)</f>
        <v>#N/A</v>
      </c>
      <c r="E132" s="22" t="e">
        <f>VLOOKUP(B132,'Timing Table'!B:D,3,0)</f>
        <v>#N/A</v>
      </c>
      <c r="F132" s="155" t="s">
        <v>75</v>
      </c>
      <c r="G132" s="198" t="s">
        <v>486</v>
      </c>
      <c r="H132" s="9" t="s">
        <v>174</v>
      </c>
      <c r="I132" s="11" t="s">
        <v>76</v>
      </c>
      <c r="J132" s="143">
        <v>204</v>
      </c>
      <c r="K132" s="64">
        <v>408</v>
      </c>
      <c r="L132" s="64">
        <v>504</v>
      </c>
      <c r="M132" s="64">
        <v>0</v>
      </c>
      <c r="N132" s="64">
        <v>264</v>
      </c>
      <c r="O132" s="64">
        <v>380</v>
      </c>
      <c r="P132" s="64">
        <v>792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0</v>
      </c>
      <c r="BH132" s="64">
        <v>0</v>
      </c>
      <c r="BI132" s="144">
        <v>0</v>
      </c>
      <c r="BJ132" s="24" t="str">
        <f>+G129</f>
        <v>82115-0E460 L</v>
      </c>
      <c r="BK132" s="24">
        <f>+J132</f>
        <v>204</v>
      </c>
      <c r="BL132" s="24">
        <f t="shared" ref="BL132" si="698">+K132</f>
        <v>408</v>
      </c>
      <c r="BM132" s="24">
        <f t="shared" ref="BM132" si="699">+L132</f>
        <v>504</v>
      </c>
      <c r="BN132" s="24">
        <f t="shared" ref="BN132" si="700">+M132</f>
        <v>0</v>
      </c>
      <c r="BO132" s="24">
        <f t="shared" ref="BO132" si="701">+N132</f>
        <v>264</v>
      </c>
      <c r="BP132" s="24">
        <f t="shared" ref="BP132" si="702">+O132</f>
        <v>380</v>
      </c>
      <c r="BQ132" s="24">
        <f t="shared" ref="BQ132" si="703">+P132</f>
        <v>792</v>
      </c>
      <c r="BR132" s="24">
        <f t="shared" ref="BR132" si="704">+Q132</f>
        <v>0</v>
      </c>
      <c r="BS132" s="24">
        <f t="shared" ref="BS132" si="705">+R132</f>
        <v>0</v>
      </c>
      <c r="BT132" s="24">
        <f t="shared" ref="BT132" si="706">+S132</f>
        <v>0</v>
      </c>
      <c r="BU132" s="24">
        <f t="shared" ref="BU132" si="707">+T132</f>
        <v>0</v>
      </c>
      <c r="BV132" s="24">
        <f t="shared" ref="BV132" si="708">+U132</f>
        <v>0</v>
      </c>
      <c r="BW132" s="24">
        <f t="shared" ref="BW132" si="709">+V132</f>
        <v>0</v>
      </c>
      <c r="BX132" s="24">
        <f t="shared" ref="BX132" si="710">+W132</f>
        <v>0</v>
      </c>
      <c r="BY132" s="24">
        <f t="shared" ref="BY132" si="711">+X132</f>
        <v>0</v>
      </c>
      <c r="BZ132" s="24">
        <f t="shared" ref="BZ132" si="712">+Y132</f>
        <v>0</v>
      </c>
      <c r="CA132" s="24">
        <f t="shared" ref="CA132" si="713">+Z132</f>
        <v>0</v>
      </c>
      <c r="CB132" s="24">
        <f t="shared" ref="CB132" si="714">+AA132</f>
        <v>0</v>
      </c>
      <c r="CC132" s="24">
        <f t="shared" ref="CC132" si="715">+AB132</f>
        <v>0</v>
      </c>
      <c r="CD132" s="24">
        <f t="shared" ref="CD132" si="716">+AC132</f>
        <v>0</v>
      </c>
      <c r="CE132" s="24">
        <f t="shared" ref="CE132" si="717">+AD132</f>
        <v>0</v>
      </c>
      <c r="CF132" s="24">
        <f t="shared" ref="CF132" si="718">+AE132</f>
        <v>0</v>
      </c>
      <c r="CG132" s="24">
        <f t="shared" ref="CG132" si="719">+AF132</f>
        <v>0</v>
      </c>
      <c r="CH132" s="24">
        <f t="shared" ref="CH132" si="720">+AG132</f>
        <v>0</v>
      </c>
      <c r="CI132" s="24">
        <f t="shared" ref="CI132" si="721">+AH132</f>
        <v>0</v>
      </c>
      <c r="CJ132" s="24">
        <f t="shared" ref="CJ132" si="722">+AI132</f>
        <v>0</v>
      </c>
      <c r="CK132" s="24">
        <f t="shared" ref="CK132" si="723">+AJ132</f>
        <v>0</v>
      </c>
      <c r="CL132" s="24">
        <f t="shared" ref="CL132" si="724">+AK132</f>
        <v>0</v>
      </c>
      <c r="CM132" s="24">
        <f t="shared" ref="CM132" si="725">+AL132</f>
        <v>0</v>
      </c>
      <c r="CN132" s="24">
        <f t="shared" ref="CN132" si="726">+AM132</f>
        <v>0</v>
      </c>
      <c r="CO132" s="24">
        <f t="shared" ref="CO132" si="727">+AN132</f>
        <v>0</v>
      </c>
      <c r="CP132" s="166">
        <f t="shared" ref="CP132" si="728">+AO132</f>
        <v>0</v>
      </c>
      <c r="CQ132" s="166">
        <f t="shared" ref="CQ132" si="729">+AP132</f>
        <v>0</v>
      </c>
      <c r="CR132">
        <f t="shared" ref="CR132" si="730">+AQ132</f>
        <v>0</v>
      </c>
      <c r="CS132">
        <f t="shared" ref="CS132" si="731">+AR132</f>
        <v>0</v>
      </c>
      <c r="CT132">
        <f t="shared" ref="CT132" si="732">+AS132</f>
        <v>0</v>
      </c>
      <c r="CU132">
        <f t="shared" ref="CU132" si="733">+AT132</f>
        <v>0</v>
      </c>
      <c r="CV132">
        <f t="shared" ref="CV132" si="734">+AU132</f>
        <v>0</v>
      </c>
      <c r="CW132">
        <f t="shared" ref="CW132" si="735">+AV132</f>
        <v>0</v>
      </c>
      <c r="CX132">
        <f t="shared" ref="CX132" si="736">+AW132</f>
        <v>0</v>
      </c>
      <c r="CY132">
        <f t="shared" ref="CY132" si="737">+AX132</f>
        <v>0</v>
      </c>
      <c r="CZ132">
        <f t="shared" ref="CZ132" si="738">+AY132</f>
        <v>0</v>
      </c>
      <c r="DA132">
        <f t="shared" ref="DA132" si="739">+AZ132</f>
        <v>0</v>
      </c>
      <c r="DB132">
        <f t="shared" ref="DB132" si="740">+BA132</f>
        <v>0</v>
      </c>
      <c r="DC132">
        <f t="shared" ref="DC132" si="741">+BB132</f>
        <v>0</v>
      </c>
      <c r="DD132">
        <f t="shared" ref="DD132" si="742">+BC132</f>
        <v>0</v>
      </c>
      <c r="DE132">
        <f t="shared" ref="DE132" si="743">+BD132</f>
        <v>0</v>
      </c>
      <c r="DF132">
        <f t="shared" ref="DF132" si="744">+BE132</f>
        <v>0</v>
      </c>
      <c r="DG132">
        <f t="shared" ref="DG132" si="745">+BF132</f>
        <v>0</v>
      </c>
      <c r="DH132">
        <f t="shared" ref="DH132" si="746">+BG132</f>
        <v>0</v>
      </c>
      <c r="DI132">
        <f t="shared" ref="DI132" si="747">+BH132</f>
        <v>0</v>
      </c>
      <c r="DJ132">
        <f t="shared" ref="DJ132" si="748">+BI132</f>
        <v>0</v>
      </c>
      <c r="DL132" s="24">
        <f t="shared" si="427"/>
        <v>612</v>
      </c>
      <c r="DM132" s="24">
        <f t="shared" si="428"/>
        <v>1148</v>
      </c>
      <c r="DN132" s="24">
        <f t="shared" si="429"/>
        <v>792</v>
      </c>
      <c r="DO132" s="24">
        <f t="shared" si="430"/>
        <v>0</v>
      </c>
      <c r="DP132" s="24">
        <f t="shared" si="431"/>
        <v>0</v>
      </c>
      <c r="DQ132" s="24">
        <f t="shared" si="432"/>
        <v>0</v>
      </c>
      <c r="DR132" s="24">
        <f t="shared" si="433"/>
        <v>0</v>
      </c>
      <c r="DS132" s="24">
        <f t="shared" si="434"/>
        <v>0</v>
      </c>
      <c r="DT132" s="24">
        <f t="shared" si="435"/>
        <v>0</v>
      </c>
      <c r="DU132">
        <f t="shared" si="436"/>
        <v>0</v>
      </c>
      <c r="DV132">
        <f t="shared" si="437"/>
        <v>0</v>
      </c>
      <c r="DW132">
        <f t="shared" si="438"/>
        <v>0</v>
      </c>
    </row>
    <row r="133" spans="1:127" x14ac:dyDescent="0.25">
      <c r="A133" s="22">
        <f t="shared" si="375"/>
        <v>127</v>
      </c>
      <c r="B133" s="59" t="str">
        <f t="shared" si="645"/>
        <v>F0013548011</v>
      </c>
      <c r="C133" s="214" t="str">
        <f t="shared" si="646"/>
        <v>82115-0E460 L</v>
      </c>
      <c r="D133" s="58" t="e">
        <f>VLOOKUP(B133,'Timing Table'!B:G,6,0)</f>
        <v>#N/A</v>
      </c>
      <c r="E133" s="22" t="e">
        <f>VLOOKUP(B133,'Timing Table'!B:D,3,0)</f>
        <v>#N/A</v>
      </c>
      <c r="F133" s="155" t="s">
        <v>77</v>
      </c>
      <c r="G133" s="181">
        <v>82115</v>
      </c>
      <c r="H133" s="10" t="s">
        <v>174</v>
      </c>
      <c r="I133" s="12" t="s">
        <v>78</v>
      </c>
      <c r="J133" s="152">
        <v>204</v>
      </c>
      <c r="K133" s="153">
        <v>612</v>
      </c>
      <c r="L133" s="153">
        <v>1116</v>
      </c>
      <c r="M133" s="153">
        <v>1116</v>
      </c>
      <c r="N133" s="153">
        <v>1380</v>
      </c>
      <c r="O133" s="153">
        <v>1760</v>
      </c>
      <c r="P133" s="153">
        <v>2552</v>
      </c>
      <c r="Q133" s="153">
        <v>2552</v>
      </c>
      <c r="R133" s="153">
        <v>2552</v>
      </c>
      <c r="S133" s="153">
        <v>2552</v>
      </c>
      <c r="T133" s="153">
        <v>2552</v>
      </c>
      <c r="U133" s="153">
        <v>2552</v>
      </c>
      <c r="V133" s="153">
        <v>2552</v>
      </c>
      <c r="W133" s="153">
        <v>2552</v>
      </c>
      <c r="X133" s="153">
        <v>2552</v>
      </c>
      <c r="Y133" s="153">
        <v>2552</v>
      </c>
      <c r="Z133" s="153">
        <v>2552</v>
      </c>
      <c r="AA133" s="153">
        <v>2552</v>
      </c>
      <c r="AB133" s="153">
        <v>2552</v>
      </c>
      <c r="AC133" s="153">
        <v>2552</v>
      </c>
      <c r="AD133" s="153">
        <v>2552</v>
      </c>
      <c r="AE133" s="153">
        <v>2552</v>
      </c>
      <c r="AF133" s="153">
        <v>2552</v>
      </c>
      <c r="AG133" s="153">
        <v>2552</v>
      </c>
      <c r="AH133" s="153">
        <v>2552</v>
      </c>
      <c r="AI133" s="153">
        <v>2552</v>
      </c>
      <c r="AJ133" s="153">
        <v>2552</v>
      </c>
      <c r="AK133" s="153">
        <v>2552</v>
      </c>
      <c r="AL133" s="153">
        <v>2552</v>
      </c>
      <c r="AM133" s="153">
        <v>2552</v>
      </c>
      <c r="AN133" s="153">
        <v>2552</v>
      </c>
      <c r="AO133" s="153">
        <v>2552</v>
      </c>
      <c r="AP133" s="153">
        <v>2552</v>
      </c>
      <c r="AQ133" s="153">
        <v>2552</v>
      </c>
      <c r="AR133" s="153">
        <v>2552</v>
      </c>
      <c r="AS133" s="153">
        <v>2552</v>
      </c>
      <c r="AT133" s="153">
        <v>2552</v>
      </c>
      <c r="AU133" s="153">
        <v>2552</v>
      </c>
      <c r="AV133" s="153">
        <v>2552</v>
      </c>
      <c r="AW133" s="153">
        <v>2552</v>
      </c>
      <c r="AX133" s="153">
        <v>2552</v>
      </c>
      <c r="AY133" s="153">
        <v>2552</v>
      </c>
      <c r="AZ133" s="153">
        <v>2552</v>
      </c>
      <c r="BA133" s="153">
        <v>2552</v>
      </c>
      <c r="BB133" s="153">
        <v>2552</v>
      </c>
      <c r="BC133" s="153">
        <v>2552</v>
      </c>
      <c r="BD133" s="153">
        <v>2552</v>
      </c>
      <c r="BE133" s="153">
        <v>2552</v>
      </c>
      <c r="BF133" s="153">
        <v>2552</v>
      </c>
      <c r="BG133" s="153">
        <v>2552</v>
      </c>
      <c r="BH133" s="153">
        <v>2552</v>
      </c>
      <c r="BI133" s="153">
        <v>2552</v>
      </c>
      <c r="DL133">
        <f t="shared" si="427"/>
        <v>0</v>
      </c>
      <c r="DM133">
        <f t="shared" si="428"/>
        <v>0</v>
      </c>
      <c r="DN133">
        <f t="shared" si="429"/>
        <v>0</v>
      </c>
      <c r="DO133">
        <f t="shared" si="430"/>
        <v>0</v>
      </c>
      <c r="DP133">
        <f t="shared" si="431"/>
        <v>0</v>
      </c>
      <c r="DQ133">
        <f t="shared" si="432"/>
        <v>0</v>
      </c>
      <c r="DR133">
        <f t="shared" si="433"/>
        <v>0</v>
      </c>
      <c r="DS133">
        <f t="shared" si="434"/>
        <v>0</v>
      </c>
      <c r="DT133">
        <f t="shared" si="435"/>
        <v>0</v>
      </c>
      <c r="DU133">
        <f t="shared" si="436"/>
        <v>0</v>
      </c>
      <c r="DV133">
        <f t="shared" si="437"/>
        <v>0</v>
      </c>
      <c r="DW133">
        <f t="shared" si="438"/>
        <v>0</v>
      </c>
    </row>
    <row r="134" spans="1:127" x14ac:dyDescent="0.25">
      <c r="A134" s="22">
        <f t="shared" si="375"/>
        <v>128</v>
      </c>
      <c r="B134" s="59" t="str">
        <f t="shared" si="645"/>
        <v>F0013548011</v>
      </c>
      <c r="C134" s="214" t="str">
        <f t="shared" si="646"/>
        <v>82115-0E460 L</v>
      </c>
      <c r="D134" s="58" t="e">
        <f>VLOOKUP(B134,'Timing Table'!B:G,6,0)</f>
        <v>#N/A</v>
      </c>
      <c r="E134" s="22" t="e">
        <f>VLOOKUP(B134,'Timing Table'!B:D,3,0)</f>
        <v>#N/A</v>
      </c>
      <c r="F134" s="155" t="s">
        <v>79</v>
      </c>
      <c r="G134" s="199">
        <v>0</v>
      </c>
      <c r="H134" s="184" t="s">
        <v>80</v>
      </c>
      <c r="I134" s="185"/>
      <c r="J134" s="200"/>
      <c r="K134" s="156"/>
      <c r="L134" s="157" t="s">
        <v>0</v>
      </c>
      <c r="M134" s="157" t="s">
        <v>0</v>
      </c>
      <c r="N134" s="157" t="s">
        <v>0</v>
      </c>
      <c r="O134" s="157" t="s">
        <v>0</v>
      </c>
      <c r="P134" s="157" t="s">
        <v>0</v>
      </c>
      <c r="Q134" s="157">
        <v>-1</v>
      </c>
      <c r="R134" s="157" t="s">
        <v>0</v>
      </c>
      <c r="S134" s="157" t="s">
        <v>0</v>
      </c>
      <c r="T134" s="157" t="s">
        <v>0</v>
      </c>
      <c r="U134" s="157" t="s">
        <v>0</v>
      </c>
      <c r="V134" s="157" t="s">
        <v>0</v>
      </c>
      <c r="W134" s="157" t="s">
        <v>0</v>
      </c>
      <c r="X134" s="157" t="s">
        <v>0</v>
      </c>
      <c r="Y134" s="157" t="s">
        <v>0</v>
      </c>
      <c r="Z134" s="157" t="s">
        <v>0</v>
      </c>
      <c r="AA134" s="157" t="s">
        <v>0</v>
      </c>
      <c r="AB134" s="157" t="s">
        <v>0</v>
      </c>
      <c r="AC134" s="157" t="s">
        <v>0</v>
      </c>
      <c r="AD134" s="157" t="s">
        <v>0</v>
      </c>
      <c r="AE134" s="157" t="s">
        <v>0</v>
      </c>
      <c r="AF134" s="157" t="s">
        <v>0</v>
      </c>
      <c r="AG134" s="157" t="s">
        <v>0</v>
      </c>
      <c r="AH134" s="157" t="s">
        <v>0</v>
      </c>
      <c r="AI134" s="157" t="s">
        <v>0</v>
      </c>
      <c r="AJ134" s="157" t="s">
        <v>0</v>
      </c>
      <c r="AK134" s="157" t="s">
        <v>0</v>
      </c>
      <c r="AL134" s="157" t="s">
        <v>0</v>
      </c>
      <c r="AM134" s="157" t="s">
        <v>0</v>
      </c>
      <c r="AN134" s="157" t="s">
        <v>0</v>
      </c>
      <c r="AO134" s="157" t="s">
        <v>0</v>
      </c>
      <c r="AP134" s="157" t="s">
        <v>0</v>
      </c>
      <c r="AQ134" s="157" t="s">
        <v>0</v>
      </c>
      <c r="AR134" s="157" t="s">
        <v>0</v>
      </c>
      <c r="AS134" s="157" t="s">
        <v>0</v>
      </c>
      <c r="AT134" s="157" t="s">
        <v>0</v>
      </c>
      <c r="AU134" s="157" t="s">
        <v>0</v>
      </c>
      <c r="AV134" s="157" t="s">
        <v>0</v>
      </c>
      <c r="AW134" s="157" t="s">
        <v>0</v>
      </c>
      <c r="AX134" s="157" t="s">
        <v>0</v>
      </c>
      <c r="AY134" s="157" t="s">
        <v>0</v>
      </c>
      <c r="AZ134" s="157" t="s">
        <v>0</v>
      </c>
      <c r="BA134" s="157" t="s">
        <v>0</v>
      </c>
      <c r="BB134" s="157" t="s">
        <v>0</v>
      </c>
      <c r="BC134" s="157" t="s">
        <v>0</v>
      </c>
      <c r="BD134" s="157" t="s">
        <v>0</v>
      </c>
      <c r="BE134" s="157" t="s">
        <v>0</v>
      </c>
      <c r="BF134" s="157" t="s">
        <v>0</v>
      </c>
      <c r="BG134" s="157" t="s">
        <v>0</v>
      </c>
      <c r="BH134" s="157" t="s">
        <v>0</v>
      </c>
      <c r="BI134" s="158"/>
      <c r="DL134">
        <f t="shared" si="427"/>
        <v>0</v>
      </c>
      <c r="DM134">
        <f t="shared" si="428"/>
        <v>0</v>
      </c>
      <c r="DN134">
        <f t="shared" si="429"/>
        <v>0</v>
      </c>
      <c r="DO134">
        <f t="shared" si="430"/>
        <v>0</v>
      </c>
      <c r="DP134">
        <f t="shared" si="431"/>
        <v>0</v>
      </c>
      <c r="DQ134">
        <f t="shared" si="432"/>
        <v>0</v>
      </c>
      <c r="DR134">
        <f t="shared" si="433"/>
        <v>0</v>
      </c>
      <c r="DS134">
        <f t="shared" si="434"/>
        <v>0</v>
      </c>
      <c r="DT134">
        <f t="shared" si="435"/>
        <v>0</v>
      </c>
      <c r="DU134">
        <f t="shared" si="436"/>
        <v>0</v>
      </c>
      <c r="DV134">
        <f t="shared" si="437"/>
        <v>0</v>
      </c>
      <c r="DW134">
        <f t="shared" si="438"/>
        <v>0</v>
      </c>
    </row>
    <row r="135" spans="1:127" x14ac:dyDescent="0.25">
      <c r="A135" s="22">
        <f t="shared" ref="A135:A198" si="749">+A134+1</f>
        <v>129</v>
      </c>
      <c r="B135" s="59" t="str">
        <f t="shared" si="645"/>
        <v>F0013548011</v>
      </c>
      <c r="C135" s="214" t="str">
        <f t="shared" si="646"/>
        <v>82115-0E460 L</v>
      </c>
      <c r="D135" s="58" t="e">
        <f>VLOOKUP(B135,'Timing Table'!B:G,6,0)</f>
        <v>#N/A</v>
      </c>
      <c r="E135" s="22" t="e">
        <f>VLOOKUP(B135,'Timing Table'!B:D,3,0)</f>
        <v>#N/A</v>
      </c>
      <c r="F135" s="159" t="s">
        <v>81</v>
      </c>
      <c r="G135" s="160" t="s">
        <v>60</v>
      </c>
      <c r="H135" s="201" t="s">
        <v>60</v>
      </c>
      <c r="I135" s="183" t="s">
        <v>60</v>
      </c>
      <c r="J135" s="183" t="s">
        <v>0</v>
      </c>
      <c r="K135" s="183" t="s">
        <v>0</v>
      </c>
      <c r="L135" s="183" t="s">
        <v>0</v>
      </c>
      <c r="M135" s="183" t="s">
        <v>0</v>
      </c>
      <c r="N135" s="183" t="s">
        <v>0</v>
      </c>
      <c r="O135" s="183" t="s">
        <v>0</v>
      </c>
      <c r="P135" s="183" t="s">
        <v>0</v>
      </c>
      <c r="Q135" s="183" t="s">
        <v>516</v>
      </c>
      <c r="R135" s="183"/>
      <c r="S135" s="183" t="s">
        <v>0</v>
      </c>
      <c r="T135" s="183" t="s">
        <v>0</v>
      </c>
      <c r="U135" s="183" t="s">
        <v>0</v>
      </c>
      <c r="V135" s="183" t="s">
        <v>0</v>
      </c>
      <c r="W135" s="183" t="s">
        <v>0</v>
      </c>
      <c r="X135" s="183" t="s">
        <v>0</v>
      </c>
      <c r="Y135" s="183" t="s">
        <v>0</v>
      </c>
      <c r="Z135" s="183" t="s">
        <v>0</v>
      </c>
      <c r="AA135" s="183" t="s">
        <v>0</v>
      </c>
      <c r="AB135" s="183" t="s">
        <v>0</v>
      </c>
      <c r="AC135" s="183" t="s">
        <v>0</v>
      </c>
      <c r="AD135" s="183" t="s">
        <v>0</v>
      </c>
      <c r="AE135" s="183" t="s">
        <v>0</v>
      </c>
      <c r="AF135" s="183" t="s">
        <v>0</v>
      </c>
      <c r="AG135" s="183" t="s">
        <v>0</v>
      </c>
      <c r="AH135" s="183" t="s">
        <v>0</v>
      </c>
      <c r="AI135" s="183" t="s">
        <v>0</v>
      </c>
      <c r="AJ135" s="183" t="s">
        <v>0</v>
      </c>
      <c r="AK135" s="183" t="s">
        <v>0</v>
      </c>
      <c r="AL135" s="183" t="s">
        <v>0</v>
      </c>
      <c r="AM135" s="183" t="s">
        <v>0</v>
      </c>
      <c r="AN135" s="183" t="s">
        <v>0</v>
      </c>
      <c r="AO135" s="183" t="s">
        <v>0</v>
      </c>
      <c r="AP135" s="183" t="s">
        <v>0</v>
      </c>
      <c r="AQ135" s="183" t="s">
        <v>0</v>
      </c>
      <c r="AR135" s="183" t="s">
        <v>0</v>
      </c>
      <c r="AS135" s="183" t="s">
        <v>0</v>
      </c>
      <c r="AT135" s="183" t="s">
        <v>0</v>
      </c>
      <c r="AU135" s="183" t="s">
        <v>0</v>
      </c>
      <c r="AV135" s="183" t="s">
        <v>0</v>
      </c>
      <c r="AW135" s="183" t="s">
        <v>0</v>
      </c>
      <c r="AX135" s="183" t="s">
        <v>0</v>
      </c>
      <c r="AY135" s="183" t="s">
        <v>0</v>
      </c>
      <c r="AZ135" s="183" t="s">
        <v>0</v>
      </c>
      <c r="BA135" s="183" t="s">
        <v>0</v>
      </c>
      <c r="BB135" s="183" t="s">
        <v>0</v>
      </c>
      <c r="BC135" s="183" t="s">
        <v>0</v>
      </c>
      <c r="BD135" s="183" t="s">
        <v>0</v>
      </c>
      <c r="BE135" s="183" t="s">
        <v>0</v>
      </c>
      <c r="BF135" s="183" t="s">
        <v>0</v>
      </c>
      <c r="BG135" s="183" t="s">
        <v>0</v>
      </c>
      <c r="BH135" s="183" t="s">
        <v>0</v>
      </c>
      <c r="BI135" s="161"/>
      <c r="DL135">
        <f t="shared" si="427"/>
        <v>0</v>
      </c>
      <c r="DM135">
        <f t="shared" si="428"/>
        <v>0</v>
      </c>
      <c r="DN135">
        <f t="shared" si="429"/>
        <v>0</v>
      </c>
      <c r="DO135">
        <f t="shared" si="430"/>
        <v>0</v>
      </c>
      <c r="DP135">
        <f t="shared" si="431"/>
        <v>0</v>
      </c>
      <c r="DQ135">
        <f t="shared" si="432"/>
        <v>0</v>
      </c>
      <c r="DR135">
        <f t="shared" si="433"/>
        <v>0</v>
      </c>
      <c r="DS135">
        <f t="shared" si="434"/>
        <v>0</v>
      </c>
      <c r="DT135">
        <f t="shared" si="435"/>
        <v>0</v>
      </c>
      <c r="DU135">
        <f t="shared" si="436"/>
        <v>0</v>
      </c>
      <c r="DV135">
        <f t="shared" si="437"/>
        <v>0</v>
      </c>
      <c r="DW135">
        <f t="shared" si="438"/>
        <v>0</v>
      </c>
    </row>
    <row r="136" spans="1:127" x14ac:dyDescent="0.25">
      <c r="A136" s="22">
        <f t="shared" si="749"/>
        <v>130</v>
      </c>
      <c r="B136" s="59" t="str">
        <f t="shared" si="645"/>
        <v>F0013548011</v>
      </c>
      <c r="C136" s="214" t="str">
        <f t="shared" si="646"/>
        <v>82115-0E460 L</v>
      </c>
      <c r="D136" s="58" t="e">
        <f>VLOOKUP(B136,'Timing Table'!B:G,6,0)</f>
        <v>#N/A</v>
      </c>
      <c r="E136" s="22" t="e">
        <f>VLOOKUP(B136,'Timing Table'!B:D,3,0)</f>
        <v>#N/A</v>
      </c>
      <c r="F136" s="188" t="s">
        <v>60</v>
      </c>
      <c r="G136" s="162" t="s">
        <v>60</v>
      </c>
      <c r="H136" s="163" t="s">
        <v>60</v>
      </c>
      <c r="I136" s="164" t="s">
        <v>60</v>
      </c>
      <c r="J136" s="164" t="s">
        <v>0</v>
      </c>
      <c r="K136" s="164" t="s">
        <v>0</v>
      </c>
      <c r="L136" s="164" t="s">
        <v>0</v>
      </c>
      <c r="M136" s="164" t="s">
        <v>0</v>
      </c>
      <c r="N136" s="164" t="s">
        <v>0</v>
      </c>
      <c r="O136" s="164" t="s">
        <v>0</v>
      </c>
      <c r="P136" s="164" t="s">
        <v>0</v>
      </c>
      <c r="Q136" s="164" t="s">
        <v>0</v>
      </c>
      <c r="R136" s="164" t="s">
        <v>0</v>
      </c>
      <c r="S136" s="164" t="s">
        <v>0</v>
      </c>
      <c r="T136" s="164" t="s">
        <v>0</v>
      </c>
      <c r="U136" s="164" t="s">
        <v>0</v>
      </c>
      <c r="V136" s="164" t="s">
        <v>0</v>
      </c>
      <c r="W136" s="164" t="s">
        <v>0</v>
      </c>
      <c r="X136" s="164" t="s">
        <v>0</v>
      </c>
      <c r="Y136" s="164" t="s">
        <v>0</v>
      </c>
      <c r="Z136" s="164" t="s">
        <v>0</v>
      </c>
      <c r="AA136" s="164" t="s">
        <v>0</v>
      </c>
      <c r="AB136" s="164" t="s">
        <v>0</v>
      </c>
      <c r="AC136" s="164" t="s">
        <v>0</v>
      </c>
      <c r="AD136" s="164" t="s">
        <v>0</v>
      </c>
      <c r="AE136" s="164" t="s">
        <v>0</v>
      </c>
      <c r="AF136" s="164" t="s">
        <v>0</v>
      </c>
      <c r="AG136" s="164" t="s">
        <v>0</v>
      </c>
      <c r="AH136" s="164" t="s">
        <v>0</v>
      </c>
      <c r="AI136" s="164" t="s">
        <v>0</v>
      </c>
      <c r="AJ136" s="164" t="s">
        <v>0</v>
      </c>
      <c r="AK136" s="164" t="s">
        <v>0</v>
      </c>
      <c r="AL136" s="164" t="s">
        <v>0</v>
      </c>
      <c r="AM136" s="164" t="s">
        <v>0</v>
      </c>
      <c r="AN136" s="164" t="s">
        <v>0</v>
      </c>
      <c r="AO136" s="164" t="s">
        <v>0</v>
      </c>
      <c r="AP136" s="164" t="s">
        <v>0</v>
      </c>
      <c r="AQ136" s="164" t="s">
        <v>0</v>
      </c>
      <c r="AR136" s="164" t="s">
        <v>0</v>
      </c>
      <c r="AS136" s="164" t="s">
        <v>0</v>
      </c>
      <c r="AT136" s="164" t="s">
        <v>0</v>
      </c>
      <c r="AU136" s="164" t="s">
        <v>0</v>
      </c>
      <c r="AV136" s="164" t="s">
        <v>0</v>
      </c>
      <c r="AW136" s="164" t="s">
        <v>0</v>
      </c>
      <c r="AX136" s="164" t="s">
        <v>0</v>
      </c>
      <c r="AY136" s="164" t="s">
        <v>0</v>
      </c>
      <c r="AZ136" s="164" t="s">
        <v>0</v>
      </c>
      <c r="BA136" s="164" t="s">
        <v>0</v>
      </c>
      <c r="BB136" s="164" t="s">
        <v>0</v>
      </c>
      <c r="BC136" s="164" t="s">
        <v>0</v>
      </c>
      <c r="BD136" s="164" t="s">
        <v>0</v>
      </c>
      <c r="BE136" s="164" t="s">
        <v>0</v>
      </c>
      <c r="BF136" s="164" t="s">
        <v>0</v>
      </c>
      <c r="BG136" s="164" t="s">
        <v>0</v>
      </c>
      <c r="BH136" s="164" t="s">
        <v>0</v>
      </c>
      <c r="BI136" s="189"/>
      <c r="DL136">
        <f t="shared" si="427"/>
        <v>0</v>
      </c>
      <c r="DM136">
        <f t="shared" si="428"/>
        <v>0</v>
      </c>
      <c r="DN136">
        <f t="shared" si="429"/>
        <v>0</v>
      </c>
      <c r="DO136">
        <f t="shared" si="430"/>
        <v>0</v>
      </c>
      <c r="DP136">
        <f t="shared" si="431"/>
        <v>0</v>
      </c>
      <c r="DQ136">
        <f t="shared" si="432"/>
        <v>0</v>
      </c>
      <c r="DR136">
        <f t="shared" si="433"/>
        <v>0</v>
      </c>
      <c r="DS136">
        <f t="shared" si="434"/>
        <v>0</v>
      </c>
      <c r="DT136">
        <f t="shared" si="435"/>
        <v>0</v>
      </c>
      <c r="DU136">
        <f t="shared" si="436"/>
        <v>0</v>
      </c>
      <c r="DV136">
        <f t="shared" si="437"/>
        <v>0</v>
      </c>
      <c r="DW136">
        <f t="shared" si="438"/>
        <v>0</v>
      </c>
    </row>
    <row r="137" spans="1:127" x14ac:dyDescent="0.25">
      <c r="A137" s="22">
        <f t="shared" si="749"/>
        <v>131</v>
      </c>
      <c r="B137" s="59" t="str">
        <f t="shared" si="645"/>
        <v>F0013548012</v>
      </c>
      <c r="C137" s="214" t="str">
        <f t="shared" si="646"/>
        <v>82115-0E460 M</v>
      </c>
      <c r="D137" s="58" t="e">
        <f>VLOOKUP(B137,'Timing Table'!B:G,6,0)</f>
        <v>#N/A</v>
      </c>
      <c r="E137" s="22" t="e">
        <f>VLOOKUP(B137,'Timing Table'!B:D,3,0)</f>
        <v>#N/A</v>
      </c>
      <c r="F137" s="155" t="s">
        <v>61</v>
      </c>
      <c r="G137" s="181">
        <v>5501060669</v>
      </c>
      <c r="H137" s="155" t="s">
        <v>62</v>
      </c>
      <c r="I137" s="181">
        <v>18</v>
      </c>
      <c r="J137" s="155" t="s">
        <v>63</v>
      </c>
      <c r="K137" s="160">
        <v>1210846</v>
      </c>
      <c r="L137" s="161"/>
      <c r="M137" s="190" t="s">
        <v>64</v>
      </c>
      <c r="N137" s="191"/>
      <c r="O137" s="192">
        <v>46086</v>
      </c>
      <c r="P137" s="155" t="s">
        <v>65</v>
      </c>
      <c r="Q137" s="181">
        <v>4</v>
      </c>
      <c r="R137" s="6" t="s">
        <v>0</v>
      </c>
      <c r="S137" s="7" t="s">
        <v>0</v>
      </c>
      <c r="T137" s="7" t="s">
        <v>0</v>
      </c>
      <c r="U137" s="7" t="s">
        <v>0</v>
      </c>
      <c r="V137" s="7" t="s">
        <v>0</v>
      </c>
      <c r="W137" s="7" t="s">
        <v>0</v>
      </c>
      <c r="X137" s="7" t="s">
        <v>0</v>
      </c>
      <c r="Y137" s="7" t="s">
        <v>0</v>
      </c>
      <c r="Z137" s="7" t="s">
        <v>0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0</v>
      </c>
      <c r="AF137" s="7" t="s">
        <v>0</v>
      </c>
      <c r="AG137" s="7" t="s">
        <v>0</v>
      </c>
      <c r="AH137" s="7" t="s">
        <v>0</v>
      </c>
      <c r="AI137" s="7" t="s">
        <v>0</v>
      </c>
      <c r="AJ137" s="7" t="s">
        <v>0</v>
      </c>
      <c r="AK137" s="7" t="s">
        <v>0</v>
      </c>
      <c r="AL137" s="7" t="s">
        <v>0</v>
      </c>
      <c r="AM137" s="7" t="s">
        <v>0</v>
      </c>
      <c r="AN137" s="7" t="s">
        <v>0</v>
      </c>
      <c r="AO137" s="7" t="s">
        <v>0</v>
      </c>
      <c r="AP137" s="7" t="s">
        <v>0</v>
      </c>
      <c r="AQ137" s="7" t="s">
        <v>0</v>
      </c>
      <c r="AR137" s="7" t="s">
        <v>0</v>
      </c>
      <c r="AS137" s="7" t="s">
        <v>0</v>
      </c>
      <c r="AT137" s="7" t="s">
        <v>0</v>
      </c>
      <c r="AU137" s="7" t="s">
        <v>0</v>
      </c>
      <c r="AV137" s="7" t="s">
        <v>0</v>
      </c>
      <c r="AW137" s="7" t="s">
        <v>0</v>
      </c>
      <c r="AX137" s="7" t="s">
        <v>0</v>
      </c>
      <c r="AY137" s="7" t="s">
        <v>0</v>
      </c>
      <c r="AZ137" s="7" t="s">
        <v>0</v>
      </c>
      <c r="BA137" s="7" t="s">
        <v>0</v>
      </c>
      <c r="BB137" s="7" t="s">
        <v>0</v>
      </c>
      <c r="BC137" s="7" t="s">
        <v>0</v>
      </c>
      <c r="BD137" s="7" t="s">
        <v>0</v>
      </c>
      <c r="BE137" s="7" t="s">
        <v>0</v>
      </c>
      <c r="BF137" s="7" t="s">
        <v>0</v>
      </c>
      <c r="BG137" s="7" t="s">
        <v>0</v>
      </c>
      <c r="BH137" s="7" t="s">
        <v>0</v>
      </c>
      <c r="BI137" s="8"/>
      <c r="DL137">
        <f t="shared" si="427"/>
        <v>0</v>
      </c>
      <c r="DM137">
        <f t="shared" si="428"/>
        <v>0</v>
      </c>
      <c r="DN137">
        <f t="shared" si="429"/>
        <v>0</v>
      </c>
      <c r="DO137">
        <f t="shared" si="430"/>
        <v>0</v>
      </c>
      <c r="DP137">
        <f t="shared" si="431"/>
        <v>0</v>
      </c>
      <c r="DQ137">
        <f t="shared" si="432"/>
        <v>0</v>
      </c>
      <c r="DR137">
        <f t="shared" si="433"/>
        <v>0</v>
      </c>
      <c r="DS137">
        <f t="shared" si="434"/>
        <v>0</v>
      </c>
      <c r="DT137">
        <f t="shared" si="435"/>
        <v>0</v>
      </c>
      <c r="DU137">
        <f t="shared" si="436"/>
        <v>0</v>
      </c>
      <c r="DV137">
        <f t="shared" si="437"/>
        <v>0</v>
      </c>
      <c r="DW137">
        <f t="shared" si="438"/>
        <v>0</v>
      </c>
    </row>
    <row r="138" spans="1:127" x14ac:dyDescent="0.25">
      <c r="A138" s="22">
        <f t="shared" si="749"/>
        <v>132</v>
      </c>
      <c r="B138" s="59" t="str">
        <f t="shared" si="645"/>
        <v>F0013548012</v>
      </c>
      <c r="C138" s="214" t="str">
        <f t="shared" si="646"/>
        <v>82115-0E460 M</v>
      </c>
      <c r="D138" s="58" t="e">
        <f>VLOOKUP(B138,'Timing Table'!B:G,6,0)</f>
        <v>#N/A</v>
      </c>
      <c r="E138" s="22" t="e">
        <f>VLOOKUP(B138,'Timing Table'!B:D,3,0)</f>
        <v>#N/A</v>
      </c>
      <c r="F138" s="155" t="s">
        <v>66</v>
      </c>
      <c r="G138" s="181" t="s">
        <v>461</v>
      </c>
      <c r="H138" s="155" t="s">
        <v>67</v>
      </c>
      <c r="I138" s="182" t="s">
        <v>462</v>
      </c>
      <c r="J138" s="183"/>
      <c r="K138" s="183"/>
      <c r="L138" s="161"/>
      <c r="M138" s="155" t="s">
        <v>68</v>
      </c>
      <c r="N138" s="181">
        <v>2025</v>
      </c>
      <c r="O138" s="184" t="s">
        <v>69</v>
      </c>
      <c r="P138" s="185"/>
      <c r="Q138" s="193" t="s">
        <v>458</v>
      </c>
      <c r="R138" s="156" t="s">
        <v>0</v>
      </c>
      <c r="S138" s="157"/>
      <c r="T138" s="157"/>
      <c r="U138" s="157" t="s">
        <v>0</v>
      </c>
      <c r="V138" s="157" t="s">
        <v>0</v>
      </c>
      <c r="W138" s="157" t="s">
        <v>0</v>
      </c>
      <c r="X138" s="157" t="s">
        <v>0</v>
      </c>
      <c r="Y138" s="157" t="s">
        <v>0</v>
      </c>
      <c r="Z138" s="157" t="s">
        <v>0</v>
      </c>
      <c r="AA138" s="157" t="s">
        <v>0</v>
      </c>
      <c r="AB138" s="157" t="s">
        <v>0</v>
      </c>
      <c r="AC138" s="157" t="s">
        <v>0</v>
      </c>
      <c r="AD138" s="157" t="s">
        <v>0</v>
      </c>
      <c r="AE138" s="157" t="s">
        <v>0</v>
      </c>
      <c r="AF138" s="157" t="s">
        <v>0</v>
      </c>
      <c r="AG138" s="157" t="s">
        <v>0</v>
      </c>
      <c r="AH138" s="157" t="s">
        <v>0</v>
      </c>
      <c r="AI138" s="157" t="s">
        <v>0</v>
      </c>
      <c r="AJ138" s="157" t="s">
        <v>0</v>
      </c>
      <c r="AK138" s="157" t="s">
        <v>0</v>
      </c>
      <c r="AL138" s="157" t="s">
        <v>0</v>
      </c>
      <c r="AM138" s="157" t="s">
        <v>0</v>
      </c>
      <c r="AN138" s="157" t="s">
        <v>0</v>
      </c>
      <c r="AO138" s="157" t="s">
        <v>0</v>
      </c>
      <c r="AP138" s="157" t="s">
        <v>0</v>
      </c>
      <c r="AQ138" s="157" t="s">
        <v>0</v>
      </c>
      <c r="AR138" s="157" t="s">
        <v>0</v>
      </c>
      <c r="AS138" s="157" t="s">
        <v>0</v>
      </c>
      <c r="AT138" s="157" t="s">
        <v>0</v>
      </c>
      <c r="AU138" s="157" t="s">
        <v>0</v>
      </c>
      <c r="AV138" s="157" t="s">
        <v>0</v>
      </c>
      <c r="AW138" s="157" t="s">
        <v>0</v>
      </c>
      <c r="AX138" s="157" t="s">
        <v>0</v>
      </c>
      <c r="AY138" s="157" t="s">
        <v>0</v>
      </c>
      <c r="AZ138" s="157" t="s">
        <v>0</v>
      </c>
      <c r="BA138" s="157" t="s">
        <v>0</v>
      </c>
      <c r="BB138" s="157" t="s">
        <v>0</v>
      </c>
      <c r="BC138" s="157" t="s">
        <v>0</v>
      </c>
      <c r="BD138" s="157" t="s">
        <v>0</v>
      </c>
      <c r="BE138" s="157" t="s">
        <v>0</v>
      </c>
      <c r="BF138" s="157" t="s">
        <v>0</v>
      </c>
      <c r="BG138" s="157" t="s">
        <v>0</v>
      </c>
      <c r="BH138" s="157" t="s">
        <v>0</v>
      </c>
      <c r="BI138" s="158"/>
      <c r="DL138">
        <f t="shared" si="427"/>
        <v>0</v>
      </c>
      <c r="DM138">
        <f t="shared" si="428"/>
        <v>0</v>
      </c>
      <c r="DN138">
        <f t="shared" si="429"/>
        <v>0</v>
      </c>
      <c r="DO138">
        <f t="shared" si="430"/>
        <v>0</v>
      </c>
      <c r="DP138">
        <f t="shared" si="431"/>
        <v>0</v>
      </c>
      <c r="DQ138">
        <f t="shared" si="432"/>
        <v>0</v>
      </c>
      <c r="DR138">
        <f t="shared" si="433"/>
        <v>0</v>
      </c>
      <c r="DS138">
        <f t="shared" si="434"/>
        <v>0</v>
      </c>
      <c r="DT138">
        <f t="shared" si="435"/>
        <v>0</v>
      </c>
      <c r="DU138">
        <f t="shared" si="436"/>
        <v>0</v>
      </c>
      <c r="DV138">
        <f t="shared" si="437"/>
        <v>0</v>
      </c>
      <c r="DW138">
        <f t="shared" si="438"/>
        <v>0</v>
      </c>
    </row>
    <row r="139" spans="1:127" x14ac:dyDescent="0.25">
      <c r="A139" s="22">
        <f t="shared" si="749"/>
        <v>133</v>
      </c>
      <c r="B139" s="59" t="str">
        <f t="shared" si="645"/>
        <v>F0013548012</v>
      </c>
      <c r="C139" s="214" t="str">
        <f t="shared" si="646"/>
        <v>82115-0E460 M</v>
      </c>
      <c r="D139" s="58" t="e">
        <f>VLOOKUP(B139,'Timing Table'!B:G,6,0)</f>
        <v>#N/A</v>
      </c>
      <c r="E139" s="22" t="e">
        <f>VLOOKUP(B139,'Timing Table'!B:D,3,0)</f>
        <v>#N/A</v>
      </c>
      <c r="F139" s="155" t="s">
        <v>70</v>
      </c>
      <c r="G139" s="181" t="s">
        <v>493</v>
      </c>
      <c r="H139" s="155" t="s">
        <v>71</v>
      </c>
      <c r="I139" s="182" t="s">
        <v>60</v>
      </c>
      <c r="J139" s="161" t="s">
        <v>0</v>
      </c>
      <c r="K139" s="194" t="s">
        <v>0</v>
      </c>
      <c r="L139" s="195" t="s">
        <v>0</v>
      </c>
      <c r="M139" s="179" t="s">
        <v>0</v>
      </c>
      <c r="N139" s="179" t="s">
        <v>0</v>
      </c>
      <c r="O139" s="179" t="s">
        <v>0</v>
      </c>
      <c r="P139" s="179" t="s">
        <v>0</v>
      </c>
      <c r="Q139" s="179" t="s">
        <v>1</v>
      </c>
      <c r="R139" s="179" t="s">
        <v>2</v>
      </c>
      <c r="S139" s="179" t="s">
        <v>0</v>
      </c>
      <c r="T139" s="179" t="s">
        <v>0</v>
      </c>
      <c r="U139" s="179" t="s">
        <v>0</v>
      </c>
      <c r="V139" s="179" t="s">
        <v>0</v>
      </c>
      <c r="W139" s="179" t="s">
        <v>0</v>
      </c>
      <c r="X139" s="179" t="s">
        <v>0</v>
      </c>
      <c r="Y139" s="179" t="s">
        <v>0</v>
      </c>
      <c r="Z139" s="179" t="s">
        <v>3</v>
      </c>
      <c r="AA139" s="179" t="s">
        <v>0</v>
      </c>
      <c r="AB139" s="179" t="s">
        <v>0</v>
      </c>
      <c r="AC139" s="179" t="s">
        <v>0</v>
      </c>
      <c r="AD139" s="179" t="s">
        <v>0</v>
      </c>
      <c r="AE139" s="179" t="s">
        <v>0</v>
      </c>
      <c r="AF139" s="179" t="s">
        <v>0</v>
      </c>
      <c r="AG139" s="179" t="s">
        <v>0</v>
      </c>
      <c r="AH139" s="179" t="s">
        <v>0</v>
      </c>
      <c r="AI139" s="179" t="s">
        <v>0</v>
      </c>
      <c r="AJ139" s="179" t="s">
        <v>0</v>
      </c>
      <c r="AK139" s="179" t="s">
        <v>0</v>
      </c>
      <c r="AL139" s="179" t="s">
        <v>0</v>
      </c>
      <c r="AM139" s="179" t="s">
        <v>0</v>
      </c>
      <c r="AN139" s="179" t="s">
        <v>0</v>
      </c>
      <c r="AO139" s="179" t="s">
        <v>0</v>
      </c>
      <c r="AP139" s="179" t="s">
        <v>0</v>
      </c>
      <c r="AQ139" s="179" t="s">
        <v>0</v>
      </c>
      <c r="AR139" s="179" t="s">
        <v>0</v>
      </c>
      <c r="AS139" s="179" t="s">
        <v>0</v>
      </c>
      <c r="AT139" s="179" t="s">
        <v>0</v>
      </c>
      <c r="AU139" s="179" t="s">
        <v>0</v>
      </c>
      <c r="AV139" s="179" t="s">
        <v>0</v>
      </c>
      <c r="AW139" s="179" t="s">
        <v>0</v>
      </c>
      <c r="AX139" s="179" t="s">
        <v>0</v>
      </c>
      <c r="AY139" s="179" t="s">
        <v>0</v>
      </c>
      <c r="AZ139" s="179" t="s">
        <v>0</v>
      </c>
      <c r="BA139" s="179" t="s">
        <v>0</v>
      </c>
      <c r="BB139" s="179" t="s">
        <v>0</v>
      </c>
      <c r="BC139" s="179" t="s">
        <v>0</v>
      </c>
      <c r="BD139" s="179" t="s">
        <v>0</v>
      </c>
      <c r="BE139" s="179" t="s">
        <v>0</v>
      </c>
      <c r="BF139" s="179" t="s">
        <v>0</v>
      </c>
      <c r="BG139" s="179" t="s">
        <v>0</v>
      </c>
      <c r="BH139" s="179" t="s">
        <v>0</v>
      </c>
      <c r="BI139" s="180" t="s">
        <v>4</v>
      </c>
      <c r="DL139">
        <f t="shared" si="427"/>
        <v>0</v>
      </c>
      <c r="DM139">
        <f t="shared" si="428"/>
        <v>0</v>
      </c>
      <c r="DN139">
        <f t="shared" si="429"/>
        <v>0</v>
      </c>
      <c r="DO139">
        <f t="shared" si="430"/>
        <v>0</v>
      </c>
      <c r="DP139">
        <f t="shared" si="431"/>
        <v>0</v>
      </c>
      <c r="DQ139">
        <f t="shared" si="432"/>
        <v>0</v>
      </c>
      <c r="DR139">
        <f t="shared" si="433"/>
        <v>0</v>
      </c>
      <c r="DS139">
        <f t="shared" si="434"/>
        <v>0</v>
      </c>
      <c r="DT139">
        <f t="shared" si="435"/>
        <v>0</v>
      </c>
      <c r="DU139">
        <f t="shared" si="436"/>
        <v>0</v>
      </c>
      <c r="DV139">
        <f t="shared" si="437"/>
        <v>0</v>
      </c>
      <c r="DW139">
        <f t="shared" si="438"/>
        <v>0</v>
      </c>
    </row>
    <row r="140" spans="1:127" x14ac:dyDescent="0.25">
      <c r="A140" s="22">
        <f t="shared" si="749"/>
        <v>134</v>
      </c>
      <c r="B140" s="59" t="str">
        <f t="shared" si="645"/>
        <v>F0013548012</v>
      </c>
      <c r="C140" s="214" t="str">
        <f t="shared" si="646"/>
        <v>82115-0E460 M</v>
      </c>
      <c r="D140" s="58" t="e">
        <f>VLOOKUP(B140,'Timing Table'!B:G,6,0)</f>
        <v>#N/A</v>
      </c>
      <c r="E140" s="22" t="e">
        <f>VLOOKUP(B140,'Timing Table'!B:D,3,0)</f>
        <v>#N/A</v>
      </c>
      <c r="F140" s="155" t="s">
        <v>72</v>
      </c>
      <c r="G140" s="181">
        <v>1116</v>
      </c>
      <c r="H140" s="196" t="s">
        <v>413</v>
      </c>
      <c r="I140" s="197" t="s">
        <v>73</v>
      </c>
      <c r="J140" s="13">
        <v>46041</v>
      </c>
      <c r="K140" s="14">
        <v>46048</v>
      </c>
      <c r="L140" s="14">
        <v>46055</v>
      </c>
      <c r="M140" s="14">
        <v>46062</v>
      </c>
      <c r="N140" s="14">
        <v>46069</v>
      </c>
      <c r="O140" s="14">
        <v>46076</v>
      </c>
      <c r="P140" s="14">
        <v>46083</v>
      </c>
      <c r="Q140" s="14">
        <v>46090</v>
      </c>
      <c r="R140" s="14">
        <v>46097</v>
      </c>
      <c r="S140" s="14">
        <v>46104</v>
      </c>
      <c r="T140" s="14">
        <v>46111</v>
      </c>
      <c r="U140" s="14">
        <v>46118</v>
      </c>
      <c r="V140" s="14">
        <v>46125</v>
      </c>
      <c r="W140" s="14">
        <v>46132</v>
      </c>
      <c r="X140" s="14">
        <v>46139</v>
      </c>
      <c r="Y140" s="14">
        <v>46146</v>
      </c>
      <c r="Z140" s="14">
        <v>46153</v>
      </c>
      <c r="AA140" s="14">
        <v>46160</v>
      </c>
      <c r="AB140" s="14">
        <v>46167</v>
      </c>
      <c r="AC140" s="14">
        <v>46174</v>
      </c>
      <c r="AD140" s="14">
        <v>46181</v>
      </c>
      <c r="AE140" s="14">
        <v>46188</v>
      </c>
      <c r="AF140" s="14">
        <v>46195</v>
      </c>
      <c r="AG140" s="14">
        <v>46202</v>
      </c>
      <c r="AH140" s="14">
        <v>46209</v>
      </c>
      <c r="AI140" s="14">
        <v>46216</v>
      </c>
      <c r="AJ140" s="14">
        <v>46223</v>
      </c>
      <c r="AK140" s="14">
        <v>46230</v>
      </c>
      <c r="AL140" s="14">
        <v>46237</v>
      </c>
      <c r="AM140" s="14">
        <v>46244</v>
      </c>
      <c r="AN140" s="14">
        <v>46251</v>
      </c>
      <c r="AO140" s="14">
        <v>46258</v>
      </c>
      <c r="AP140" s="14">
        <v>46265</v>
      </c>
      <c r="AQ140" s="14">
        <v>46272</v>
      </c>
      <c r="AR140" s="14">
        <v>46279</v>
      </c>
      <c r="AS140" s="14">
        <v>46286</v>
      </c>
      <c r="AT140" s="14">
        <v>46293</v>
      </c>
      <c r="AU140" s="14">
        <v>46300</v>
      </c>
      <c r="AV140" s="14">
        <v>46307</v>
      </c>
      <c r="AW140" s="14">
        <v>46314</v>
      </c>
      <c r="AX140" s="14">
        <v>46321</v>
      </c>
      <c r="AY140" s="14">
        <v>46328</v>
      </c>
      <c r="AZ140" s="14">
        <v>46335</v>
      </c>
      <c r="BA140" s="14">
        <v>46342</v>
      </c>
      <c r="BB140" s="14">
        <v>46349</v>
      </c>
      <c r="BC140" s="14">
        <v>46356</v>
      </c>
      <c r="BD140" s="14">
        <v>46363</v>
      </c>
      <c r="BE140" s="14">
        <v>46370</v>
      </c>
      <c r="BF140" s="14">
        <v>46377</v>
      </c>
      <c r="BG140" s="14">
        <v>46384</v>
      </c>
      <c r="BH140" s="14">
        <v>46391</v>
      </c>
      <c r="BI140" s="15">
        <v>46398</v>
      </c>
      <c r="DL140">
        <f t="shared" si="427"/>
        <v>0</v>
      </c>
      <c r="DM140">
        <f t="shared" si="428"/>
        <v>0</v>
      </c>
      <c r="DN140">
        <f t="shared" si="429"/>
        <v>0</v>
      </c>
      <c r="DO140">
        <f t="shared" si="430"/>
        <v>0</v>
      </c>
      <c r="DP140">
        <f t="shared" si="431"/>
        <v>0</v>
      </c>
      <c r="DQ140">
        <f t="shared" si="432"/>
        <v>0</v>
      </c>
      <c r="DR140">
        <f t="shared" si="433"/>
        <v>0</v>
      </c>
      <c r="DS140">
        <f t="shared" si="434"/>
        <v>0</v>
      </c>
      <c r="DT140">
        <f t="shared" si="435"/>
        <v>0</v>
      </c>
      <c r="DU140">
        <f t="shared" si="436"/>
        <v>0</v>
      </c>
      <c r="DV140">
        <f t="shared" si="437"/>
        <v>0</v>
      </c>
      <c r="DW140">
        <f t="shared" si="438"/>
        <v>0</v>
      </c>
    </row>
    <row r="141" spans="1:127" x14ac:dyDescent="0.25">
      <c r="A141" s="22">
        <f t="shared" si="749"/>
        <v>135</v>
      </c>
      <c r="B141" s="59" t="str">
        <f t="shared" si="645"/>
        <v>F0013548012</v>
      </c>
      <c r="C141" s="214" t="str">
        <f t="shared" si="646"/>
        <v>82115-0E460 M</v>
      </c>
      <c r="D141" s="58" t="e">
        <f>VLOOKUP(B141,'Timing Table'!B:G,6,0)</f>
        <v>#N/A</v>
      </c>
      <c r="E141" s="22" t="e">
        <f>VLOOKUP(B141,'Timing Table'!B:D,3,0)</f>
        <v>#N/A</v>
      </c>
      <c r="F141" s="155" t="s">
        <v>74</v>
      </c>
      <c r="G141" s="181">
        <v>3780</v>
      </c>
      <c r="H141" s="5" t="s">
        <v>60</v>
      </c>
      <c r="I141" s="11" t="s">
        <v>147</v>
      </c>
      <c r="J141" s="16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17"/>
      <c r="DL141">
        <f t="shared" ref="DL141:DL204" si="750">SUM(BK141:BL141)</f>
        <v>0</v>
      </c>
      <c r="DM141">
        <f t="shared" ref="DM141:DM204" si="751">SUM(BM141:BP141)</f>
        <v>0</v>
      </c>
      <c r="DN141">
        <f t="shared" ref="DN141:DN204" si="752">SUM(BQ141:BT141)</f>
        <v>0</v>
      </c>
      <c r="DO141">
        <f t="shared" ref="DO141:DO204" si="753">SUM(BU141:BY141)</f>
        <v>0</v>
      </c>
      <c r="DP141">
        <f t="shared" ref="DP141:DP204" si="754">SUM(BZ141:CC141)</f>
        <v>0</v>
      </c>
      <c r="DQ141">
        <f t="shared" ref="DQ141:DQ204" si="755">SUM(CD141:CG141)</f>
        <v>0</v>
      </c>
      <c r="DR141">
        <f t="shared" ref="DR141:DR204" si="756">SUM(CH141:CL141)</f>
        <v>0</v>
      </c>
      <c r="DS141">
        <f t="shared" ref="DS141:DS204" si="757">SUM(CM141:CP141)</f>
        <v>0</v>
      </c>
      <c r="DT141">
        <f t="shared" ref="DT141:DT204" si="758">SUM(CQ141:CU141)</f>
        <v>0</v>
      </c>
      <c r="DU141">
        <f t="shared" ref="DU141:DU204" si="759">SUM(CV141:CY141)</f>
        <v>0</v>
      </c>
      <c r="DV141">
        <f t="shared" ref="DV141:DV204" si="760">SUM(CZ141:DC141)</f>
        <v>0</v>
      </c>
      <c r="DW141">
        <f t="shared" ref="DW141:DW204" si="761">SUM(DD141:DH141)</f>
        <v>0</v>
      </c>
    </row>
    <row r="142" spans="1:127" x14ac:dyDescent="0.25">
      <c r="A142" s="22">
        <f t="shared" si="749"/>
        <v>136</v>
      </c>
      <c r="B142" s="59" t="str">
        <f t="shared" si="645"/>
        <v>F0013548012</v>
      </c>
      <c r="C142" s="214" t="str">
        <f t="shared" si="646"/>
        <v>82115-0E460 M</v>
      </c>
      <c r="D142" s="58" t="e">
        <f>VLOOKUP(B142,'Timing Table'!B:G,6,0)</f>
        <v>#N/A</v>
      </c>
      <c r="E142" s="22" t="e">
        <f>VLOOKUP(B142,'Timing Table'!B:D,3,0)</f>
        <v>#N/A</v>
      </c>
      <c r="F142" s="155" t="s">
        <v>75</v>
      </c>
      <c r="G142" s="198" t="s">
        <v>517</v>
      </c>
      <c r="H142" s="9" t="s">
        <v>174</v>
      </c>
      <c r="I142" s="11" t="s">
        <v>76</v>
      </c>
      <c r="J142" s="143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12</v>
      </c>
      <c r="Q142" s="64">
        <v>532</v>
      </c>
      <c r="R142" s="64">
        <v>0</v>
      </c>
      <c r="S142" s="64">
        <v>480</v>
      </c>
      <c r="T142" s="64">
        <v>500</v>
      </c>
      <c r="U142" s="64">
        <v>392</v>
      </c>
      <c r="V142" s="64">
        <v>328</v>
      </c>
      <c r="W142" s="64">
        <v>240</v>
      </c>
      <c r="X142" s="64">
        <v>180</v>
      </c>
      <c r="Y142" s="64">
        <v>180</v>
      </c>
      <c r="Z142" s="64">
        <v>236</v>
      </c>
      <c r="AA142" s="64">
        <v>328</v>
      </c>
      <c r="AB142" s="64">
        <v>328</v>
      </c>
      <c r="AC142" s="64">
        <v>328</v>
      </c>
      <c r="AD142" s="64">
        <v>280</v>
      </c>
      <c r="AE142" s="64">
        <v>276</v>
      </c>
      <c r="AF142" s="64">
        <v>232</v>
      </c>
      <c r="AG142" s="64">
        <v>312</v>
      </c>
      <c r="AH142" s="64">
        <v>196</v>
      </c>
      <c r="AI142" s="64">
        <v>264</v>
      </c>
      <c r="AJ142" s="64">
        <v>384</v>
      </c>
      <c r="AK142" s="64">
        <v>372</v>
      </c>
      <c r="AL142" s="64">
        <v>536</v>
      </c>
      <c r="AM142" s="64">
        <v>524</v>
      </c>
      <c r="AN142" s="64">
        <v>524</v>
      </c>
      <c r="AO142" s="64">
        <v>524</v>
      </c>
      <c r="AP142" s="64">
        <v>524</v>
      </c>
      <c r="AQ142" s="64">
        <v>524</v>
      </c>
      <c r="AR142" s="64">
        <v>524</v>
      </c>
      <c r="AS142" s="64">
        <v>524</v>
      </c>
      <c r="AT142" s="64">
        <v>524</v>
      </c>
      <c r="AU142" s="64">
        <v>524</v>
      </c>
      <c r="AV142" s="64">
        <v>524</v>
      </c>
      <c r="AW142" s="64">
        <v>524</v>
      </c>
      <c r="AX142" s="64">
        <v>524</v>
      </c>
      <c r="AY142" s="64">
        <v>524</v>
      </c>
      <c r="AZ142" s="64">
        <v>524</v>
      </c>
      <c r="BA142" s="64">
        <v>524</v>
      </c>
      <c r="BB142" s="64">
        <v>524</v>
      </c>
      <c r="BC142" s="64">
        <v>524</v>
      </c>
      <c r="BD142" s="64">
        <v>524</v>
      </c>
      <c r="BE142" s="64">
        <v>524</v>
      </c>
      <c r="BF142" s="64">
        <v>524</v>
      </c>
      <c r="BG142" s="64">
        <v>524</v>
      </c>
      <c r="BH142" s="64">
        <v>524</v>
      </c>
      <c r="BI142" s="144">
        <v>524</v>
      </c>
      <c r="BJ142" s="24" t="str">
        <f>+G139</f>
        <v>82115-0E460 M</v>
      </c>
      <c r="BK142" s="24">
        <f>+J142</f>
        <v>0</v>
      </c>
      <c r="BL142" s="24">
        <f t="shared" ref="BL142" si="762">+K142</f>
        <v>0</v>
      </c>
      <c r="BM142" s="24">
        <f t="shared" ref="BM142" si="763">+L142</f>
        <v>0</v>
      </c>
      <c r="BN142" s="24">
        <f t="shared" ref="BN142" si="764">+M142</f>
        <v>0</v>
      </c>
      <c r="BO142" s="24">
        <f t="shared" ref="BO142" si="765">+N142</f>
        <v>0</v>
      </c>
      <c r="BP142" s="24">
        <f t="shared" ref="BP142" si="766">+O142</f>
        <v>0</v>
      </c>
      <c r="BQ142" s="24">
        <f t="shared" ref="BQ142" si="767">+P142</f>
        <v>12</v>
      </c>
      <c r="BR142" s="24">
        <f t="shared" ref="BR142" si="768">+Q142</f>
        <v>532</v>
      </c>
      <c r="BS142" s="24">
        <f t="shared" ref="BS142" si="769">+R142</f>
        <v>0</v>
      </c>
      <c r="BT142" s="24">
        <f t="shared" ref="BT142" si="770">+S142</f>
        <v>480</v>
      </c>
      <c r="BU142" s="24">
        <f t="shared" ref="BU142" si="771">+T142</f>
        <v>500</v>
      </c>
      <c r="BV142" s="24">
        <f t="shared" ref="BV142" si="772">+U142</f>
        <v>392</v>
      </c>
      <c r="BW142" s="24">
        <f t="shared" ref="BW142" si="773">+V142</f>
        <v>328</v>
      </c>
      <c r="BX142" s="24">
        <f t="shared" ref="BX142" si="774">+W142</f>
        <v>240</v>
      </c>
      <c r="BY142" s="24">
        <f t="shared" ref="BY142" si="775">+X142</f>
        <v>180</v>
      </c>
      <c r="BZ142" s="24">
        <f t="shared" ref="BZ142" si="776">+Y142</f>
        <v>180</v>
      </c>
      <c r="CA142" s="24">
        <f t="shared" ref="CA142" si="777">+Z142</f>
        <v>236</v>
      </c>
      <c r="CB142" s="24">
        <f t="shared" ref="CB142" si="778">+AA142</f>
        <v>328</v>
      </c>
      <c r="CC142" s="24">
        <f t="shared" ref="CC142" si="779">+AB142</f>
        <v>328</v>
      </c>
      <c r="CD142" s="24">
        <f t="shared" ref="CD142" si="780">+AC142</f>
        <v>328</v>
      </c>
      <c r="CE142" s="24">
        <f t="shared" ref="CE142" si="781">+AD142</f>
        <v>280</v>
      </c>
      <c r="CF142" s="24">
        <f t="shared" ref="CF142" si="782">+AE142</f>
        <v>276</v>
      </c>
      <c r="CG142" s="24">
        <f t="shared" ref="CG142" si="783">+AF142</f>
        <v>232</v>
      </c>
      <c r="CH142" s="24">
        <f t="shared" ref="CH142" si="784">+AG142</f>
        <v>312</v>
      </c>
      <c r="CI142" s="24">
        <f t="shared" ref="CI142" si="785">+AH142</f>
        <v>196</v>
      </c>
      <c r="CJ142" s="24">
        <f t="shared" ref="CJ142" si="786">+AI142</f>
        <v>264</v>
      </c>
      <c r="CK142" s="24">
        <f t="shared" ref="CK142" si="787">+AJ142</f>
        <v>384</v>
      </c>
      <c r="CL142" s="24">
        <f t="shared" ref="CL142" si="788">+AK142</f>
        <v>372</v>
      </c>
      <c r="CM142" s="24">
        <f t="shared" ref="CM142" si="789">+AL142</f>
        <v>536</v>
      </c>
      <c r="CN142" s="24">
        <f t="shared" ref="CN142" si="790">+AM142</f>
        <v>524</v>
      </c>
      <c r="CO142" s="24">
        <f t="shared" ref="CO142" si="791">+AN142</f>
        <v>524</v>
      </c>
      <c r="CP142" s="166">
        <f t="shared" ref="CP142" si="792">+AO142</f>
        <v>524</v>
      </c>
      <c r="CQ142" s="166">
        <f t="shared" ref="CQ142" si="793">+AP142</f>
        <v>524</v>
      </c>
      <c r="CR142">
        <f t="shared" ref="CR142" si="794">+AQ142</f>
        <v>524</v>
      </c>
      <c r="CS142">
        <f t="shared" ref="CS142" si="795">+AR142</f>
        <v>524</v>
      </c>
      <c r="CT142">
        <f t="shared" ref="CT142" si="796">+AS142</f>
        <v>524</v>
      </c>
      <c r="CU142">
        <f t="shared" ref="CU142" si="797">+AT142</f>
        <v>524</v>
      </c>
      <c r="CV142">
        <f t="shared" ref="CV142" si="798">+AU142</f>
        <v>524</v>
      </c>
      <c r="CW142">
        <f t="shared" ref="CW142" si="799">+AV142</f>
        <v>524</v>
      </c>
      <c r="CX142">
        <f t="shared" ref="CX142" si="800">+AW142</f>
        <v>524</v>
      </c>
      <c r="CY142">
        <f t="shared" ref="CY142" si="801">+AX142</f>
        <v>524</v>
      </c>
      <c r="CZ142">
        <f t="shared" ref="CZ142" si="802">+AY142</f>
        <v>524</v>
      </c>
      <c r="DA142">
        <f t="shared" ref="DA142" si="803">+AZ142</f>
        <v>524</v>
      </c>
      <c r="DB142">
        <f t="shared" ref="DB142" si="804">+BA142</f>
        <v>524</v>
      </c>
      <c r="DC142">
        <f t="shared" ref="DC142" si="805">+BB142</f>
        <v>524</v>
      </c>
      <c r="DD142">
        <f t="shared" ref="DD142" si="806">+BC142</f>
        <v>524</v>
      </c>
      <c r="DE142">
        <f t="shared" ref="DE142" si="807">+BD142</f>
        <v>524</v>
      </c>
      <c r="DF142">
        <f t="shared" ref="DF142" si="808">+BE142</f>
        <v>524</v>
      </c>
      <c r="DG142">
        <f t="shared" ref="DG142" si="809">+BF142</f>
        <v>524</v>
      </c>
      <c r="DH142">
        <f t="shared" ref="DH142" si="810">+BG142</f>
        <v>524</v>
      </c>
      <c r="DI142">
        <f t="shared" ref="DI142" si="811">+BH142</f>
        <v>524</v>
      </c>
      <c r="DJ142">
        <f t="shared" ref="DJ142" si="812">+BI142</f>
        <v>524</v>
      </c>
      <c r="DL142" s="24">
        <f t="shared" si="750"/>
        <v>0</v>
      </c>
      <c r="DM142" s="24">
        <f t="shared" si="751"/>
        <v>0</v>
      </c>
      <c r="DN142" s="24">
        <f t="shared" si="752"/>
        <v>1024</v>
      </c>
      <c r="DO142" s="24">
        <f t="shared" si="753"/>
        <v>1640</v>
      </c>
      <c r="DP142" s="24">
        <f t="shared" si="754"/>
        <v>1072</v>
      </c>
      <c r="DQ142" s="24">
        <f t="shared" si="755"/>
        <v>1116</v>
      </c>
      <c r="DR142" s="24">
        <f t="shared" si="756"/>
        <v>1528</v>
      </c>
      <c r="DS142" s="24">
        <f t="shared" si="757"/>
        <v>2108</v>
      </c>
      <c r="DT142" s="24">
        <f t="shared" si="758"/>
        <v>2620</v>
      </c>
      <c r="DU142">
        <f t="shared" si="759"/>
        <v>2096</v>
      </c>
      <c r="DV142">
        <f t="shared" si="760"/>
        <v>2096</v>
      </c>
      <c r="DW142">
        <f t="shared" si="761"/>
        <v>2620</v>
      </c>
    </row>
    <row r="143" spans="1:127" x14ac:dyDescent="0.25">
      <c r="A143" s="22">
        <f t="shared" si="749"/>
        <v>137</v>
      </c>
      <c r="B143" s="59" t="str">
        <f t="shared" si="645"/>
        <v>F0013548012</v>
      </c>
      <c r="C143" s="214" t="str">
        <f t="shared" si="646"/>
        <v>82115-0E460 M</v>
      </c>
      <c r="D143" s="58" t="e">
        <f>VLOOKUP(B143,'Timing Table'!B:G,6,0)</f>
        <v>#N/A</v>
      </c>
      <c r="E143" s="22" t="e">
        <f>VLOOKUP(B143,'Timing Table'!B:D,3,0)</f>
        <v>#N/A</v>
      </c>
      <c r="F143" s="155" t="s">
        <v>77</v>
      </c>
      <c r="G143" s="181">
        <v>82115</v>
      </c>
      <c r="H143" s="10" t="s">
        <v>174</v>
      </c>
      <c r="I143" s="12" t="s">
        <v>78</v>
      </c>
      <c r="J143" s="152">
        <v>0</v>
      </c>
      <c r="K143" s="153">
        <v>0</v>
      </c>
      <c r="L143" s="153">
        <v>0</v>
      </c>
      <c r="M143" s="153">
        <v>0</v>
      </c>
      <c r="N143" s="153">
        <v>0</v>
      </c>
      <c r="O143" s="153">
        <v>0</v>
      </c>
      <c r="P143" s="153">
        <v>12</v>
      </c>
      <c r="Q143" s="153">
        <v>544</v>
      </c>
      <c r="R143" s="153">
        <v>544</v>
      </c>
      <c r="S143" s="153">
        <v>1024</v>
      </c>
      <c r="T143" s="153">
        <v>1524</v>
      </c>
      <c r="U143" s="153">
        <v>1916</v>
      </c>
      <c r="V143" s="153">
        <v>2244</v>
      </c>
      <c r="W143" s="153">
        <v>2484</v>
      </c>
      <c r="X143" s="153">
        <v>2664</v>
      </c>
      <c r="Y143" s="153">
        <v>2844</v>
      </c>
      <c r="Z143" s="153">
        <v>3080</v>
      </c>
      <c r="AA143" s="153">
        <v>3408</v>
      </c>
      <c r="AB143" s="153">
        <v>3736</v>
      </c>
      <c r="AC143" s="153">
        <v>4064</v>
      </c>
      <c r="AD143" s="153">
        <v>4344</v>
      </c>
      <c r="AE143" s="153">
        <v>4620</v>
      </c>
      <c r="AF143" s="153">
        <v>4852</v>
      </c>
      <c r="AG143" s="153">
        <v>5164</v>
      </c>
      <c r="AH143" s="153">
        <v>5360</v>
      </c>
      <c r="AI143" s="153">
        <v>5624</v>
      </c>
      <c r="AJ143" s="153">
        <v>6008</v>
      </c>
      <c r="AK143" s="153">
        <v>6380</v>
      </c>
      <c r="AL143" s="153">
        <v>6916</v>
      </c>
      <c r="AM143" s="153">
        <v>7440</v>
      </c>
      <c r="AN143" s="153">
        <v>7964</v>
      </c>
      <c r="AO143" s="153">
        <v>8488</v>
      </c>
      <c r="AP143" s="153">
        <v>9012</v>
      </c>
      <c r="AQ143" s="153">
        <v>9536</v>
      </c>
      <c r="AR143" s="153">
        <v>10060</v>
      </c>
      <c r="AS143" s="153">
        <v>10584</v>
      </c>
      <c r="AT143" s="153">
        <v>11108</v>
      </c>
      <c r="AU143" s="153">
        <v>11632</v>
      </c>
      <c r="AV143" s="153">
        <v>12156</v>
      </c>
      <c r="AW143" s="153">
        <v>12680</v>
      </c>
      <c r="AX143" s="153">
        <v>13204</v>
      </c>
      <c r="AY143" s="153">
        <v>13728</v>
      </c>
      <c r="AZ143" s="153">
        <v>14252</v>
      </c>
      <c r="BA143" s="153">
        <v>14776</v>
      </c>
      <c r="BB143" s="153">
        <v>15300</v>
      </c>
      <c r="BC143" s="153">
        <v>15824</v>
      </c>
      <c r="BD143" s="153">
        <v>16348</v>
      </c>
      <c r="BE143" s="153">
        <v>16872</v>
      </c>
      <c r="BF143" s="153">
        <v>17396</v>
      </c>
      <c r="BG143" s="153">
        <v>17920</v>
      </c>
      <c r="BH143" s="153">
        <v>18444</v>
      </c>
      <c r="BI143" s="154">
        <v>18968</v>
      </c>
      <c r="DL143">
        <f t="shared" si="750"/>
        <v>0</v>
      </c>
      <c r="DM143">
        <f t="shared" si="751"/>
        <v>0</v>
      </c>
      <c r="DN143">
        <f t="shared" si="752"/>
        <v>0</v>
      </c>
      <c r="DO143">
        <f t="shared" si="753"/>
        <v>0</v>
      </c>
      <c r="DP143">
        <f t="shared" si="754"/>
        <v>0</v>
      </c>
      <c r="DQ143">
        <f t="shared" si="755"/>
        <v>0</v>
      </c>
      <c r="DR143">
        <f t="shared" si="756"/>
        <v>0</v>
      </c>
      <c r="DS143">
        <f t="shared" si="757"/>
        <v>0</v>
      </c>
      <c r="DT143">
        <f t="shared" si="758"/>
        <v>0</v>
      </c>
      <c r="DU143">
        <f t="shared" si="759"/>
        <v>0</v>
      </c>
      <c r="DV143">
        <f t="shared" si="760"/>
        <v>0</v>
      </c>
      <c r="DW143">
        <f t="shared" si="761"/>
        <v>0</v>
      </c>
    </row>
    <row r="144" spans="1:127" x14ac:dyDescent="0.25">
      <c r="A144" s="22">
        <f t="shared" si="749"/>
        <v>138</v>
      </c>
      <c r="B144" s="59" t="str">
        <f t="shared" si="645"/>
        <v>F0013548012</v>
      </c>
      <c r="C144" s="214" t="str">
        <f t="shared" si="646"/>
        <v>82115-0E460 M</v>
      </c>
      <c r="D144" s="58" t="e">
        <f>VLOOKUP(B144,'Timing Table'!B:G,6,0)</f>
        <v>#N/A</v>
      </c>
      <c r="E144" s="22" t="e">
        <f>VLOOKUP(B144,'Timing Table'!B:D,3,0)</f>
        <v>#N/A</v>
      </c>
      <c r="F144" s="155" t="s">
        <v>79</v>
      </c>
      <c r="G144" s="199">
        <v>0</v>
      </c>
      <c r="H144" s="184" t="s">
        <v>80</v>
      </c>
      <c r="I144" s="185"/>
      <c r="J144" s="200"/>
      <c r="K144" s="156"/>
      <c r="L144" s="157" t="s">
        <v>0</v>
      </c>
      <c r="M144" s="157" t="s">
        <v>0</v>
      </c>
      <c r="N144" s="157" t="s">
        <v>0</v>
      </c>
      <c r="O144" s="157" t="s">
        <v>0</v>
      </c>
      <c r="P144" s="157" t="s">
        <v>0</v>
      </c>
      <c r="Q144" s="157">
        <v>43.333333333333336</v>
      </c>
      <c r="R144" s="157" t="s">
        <v>0</v>
      </c>
      <c r="S144" s="157" t="s">
        <v>0</v>
      </c>
      <c r="T144" s="157" t="s">
        <v>0</v>
      </c>
      <c r="U144" s="157" t="s">
        <v>0</v>
      </c>
      <c r="V144" s="157" t="s">
        <v>0</v>
      </c>
      <c r="W144" s="157" t="s">
        <v>0</v>
      </c>
      <c r="X144" s="157" t="s">
        <v>0</v>
      </c>
      <c r="Y144" s="157" t="s">
        <v>0</v>
      </c>
      <c r="Z144" s="157" t="s">
        <v>0</v>
      </c>
      <c r="AA144" s="157" t="s">
        <v>0</v>
      </c>
      <c r="AB144" s="157" t="s">
        <v>0</v>
      </c>
      <c r="AC144" s="157" t="s">
        <v>0</v>
      </c>
      <c r="AD144" s="157" t="s">
        <v>0</v>
      </c>
      <c r="AE144" s="157" t="s">
        <v>0</v>
      </c>
      <c r="AF144" s="157" t="s">
        <v>0</v>
      </c>
      <c r="AG144" s="157" t="s">
        <v>0</v>
      </c>
      <c r="AH144" s="157" t="s">
        <v>0</v>
      </c>
      <c r="AI144" s="157" t="s">
        <v>0</v>
      </c>
      <c r="AJ144" s="157" t="s">
        <v>0</v>
      </c>
      <c r="AK144" s="157" t="s">
        <v>0</v>
      </c>
      <c r="AL144" s="157" t="s">
        <v>0</v>
      </c>
      <c r="AM144" s="157" t="s">
        <v>0</v>
      </c>
      <c r="AN144" s="157" t="s">
        <v>0</v>
      </c>
      <c r="AO144" s="157" t="s">
        <v>0</v>
      </c>
      <c r="AP144" s="157" t="s">
        <v>0</v>
      </c>
      <c r="AQ144" s="157" t="s">
        <v>0</v>
      </c>
      <c r="AR144" s="157" t="s">
        <v>0</v>
      </c>
      <c r="AS144" s="157" t="s">
        <v>0</v>
      </c>
      <c r="AT144" s="157" t="s">
        <v>0</v>
      </c>
      <c r="AU144" s="157" t="s">
        <v>0</v>
      </c>
      <c r="AV144" s="157" t="s">
        <v>0</v>
      </c>
      <c r="AW144" s="157" t="s">
        <v>0</v>
      </c>
      <c r="AX144" s="157" t="s">
        <v>0</v>
      </c>
      <c r="AY144" s="157" t="s">
        <v>0</v>
      </c>
      <c r="AZ144" s="157" t="s">
        <v>0</v>
      </c>
      <c r="BA144" s="157" t="s">
        <v>0</v>
      </c>
      <c r="BB144" s="157" t="s">
        <v>0</v>
      </c>
      <c r="BC144" s="157" t="s">
        <v>0</v>
      </c>
      <c r="BD144" s="157" t="s">
        <v>0</v>
      </c>
      <c r="BE144" s="157" t="s">
        <v>0</v>
      </c>
      <c r="BF144" s="157" t="s">
        <v>0</v>
      </c>
      <c r="BG144" s="157" t="s">
        <v>0</v>
      </c>
      <c r="BH144" s="157" t="s">
        <v>0</v>
      </c>
      <c r="BI144" s="158"/>
      <c r="DL144">
        <f t="shared" si="750"/>
        <v>0</v>
      </c>
      <c r="DM144">
        <f t="shared" si="751"/>
        <v>0</v>
      </c>
      <c r="DN144">
        <f t="shared" si="752"/>
        <v>0</v>
      </c>
      <c r="DO144">
        <f t="shared" si="753"/>
        <v>0</v>
      </c>
      <c r="DP144">
        <f t="shared" si="754"/>
        <v>0</v>
      </c>
      <c r="DQ144">
        <f t="shared" si="755"/>
        <v>0</v>
      </c>
      <c r="DR144">
        <f t="shared" si="756"/>
        <v>0</v>
      </c>
      <c r="DS144">
        <f t="shared" si="757"/>
        <v>0</v>
      </c>
      <c r="DT144">
        <f t="shared" si="758"/>
        <v>0</v>
      </c>
      <c r="DU144">
        <f t="shared" si="759"/>
        <v>0</v>
      </c>
      <c r="DV144">
        <f t="shared" si="760"/>
        <v>0</v>
      </c>
      <c r="DW144">
        <f t="shared" si="761"/>
        <v>0</v>
      </c>
    </row>
    <row r="145" spans="1:127" x14ac:dyDescent="0.25">
      <c r="A145" s="22">
        <f t="shared" si="749"/>
        <v>139</v>
      </c>
      <c r="B145" s="59" t="str">
        <f t="shared" si="645"/>
        <v>F0013548012</v>
      </c>
      <c r="C145" s="214" t="str">
        <f>IF(F145=$F$7,#REF!,C144)</f>
        <v>82115-0E460 M</v>
      </c>
      <c r="D145" s="58" t="e">
        <f>VLOOKUP(B145,'Timing Table'!B:G,6,0)</f>
        <v>#N/A</v>
      </c>
      <c r="E145" s="22" t="e">
        <f>VLOOKUP(B145,'Timing Table'!B:D,3,0)</f>
        <v>#N/A</v>
      </c>
      <c r="F145" s="159" t="s">
        <v>81</v>
      </c>
      <c r="G145" s="160" t="s">
        <v>60</v>
      </c>
      <c r="H145" s="201" t="s">
        <v>60</v>
      </c>
      <c r="I145" s="183" t="s">
        <v>60</v>
      </c>
      <c r="J145" s="183" t="s">
        <v>0</v>
      </c>
      <c r="K145" s="183" t="s">
        <v>0</v>
      </c>
      <c r="L145" s="183" t="s">
        <v>0</v>
      </c>
      <c r="M145" s="183" t="s">
        <v>0</v>
      </c>
      <c r="N145" s="183" t="s">
        <v>0</v>
      </c>
      <c r="O145" s="183" t="s">
        <v>0</v>
      </c>
      <c r="P145" s="183" t="s">
        <v>0</v>
      </c>
      <c r="Q145" s="183" t="s">
        <v>518</v>
      </c>
      <c r="R145" s="183"/>
      <c r="S145" s="183" t="s">
        <v>0</v>
      </c>
      <c r="T145" s="183" t="s">
        <v>0</v>
      </c>
      <c r="U145" s="183" t="s">
        <v>0</v>
      </c>
      <c r="V145" s="183" t="s">
        <v>0</v>
      </c>
      <c r="W145" s="183" t="s">
        <v>0</v>
      </c>
      <c r="X145" s="183" t="s">
        <v>0</v>
      </c>
      <c r="Y145" s="183" t="s">
        <v>0</v>
      </c>
      <c r="Z145" s="183" t="s">
        <v>0</v>
      </c>
      <c r="AA145" s="183" t="s">
        <v>0</v>
      </c>
      <c r="AB145" s="183" t="s">
        <v>0</v>
      </c>
      <c r="AC145" s="183" t="s">
        <v>0</v>
      </c>
      <c r="AD145" s="183" t="s">
        <v>0</v>
      </c>
      <c r="AE145" s="183" t="s">
        <v>0</v>
      </c>
      <c r="AF145" s="183" t="s">
        <v>0</v>
      </c>
      <c r="AG145" s="183" t="s">
        <v>0</v>
      </c>
      <c r="AH145" s="183" t="s">
        <v>0</v>
      </c>
      <c r="AI145" s="183" t="s">
        <v>0</v>
      </c>
      <c r="AJ145" s="183" t="s">
        <v>0</v>
      </c>
      <c r="AK145" s="183" t="s">
        <v>0</v>
      </c>
      <c r="AL145" s="183" t="s">
        <v>0</v>
      </c>
      <c r="AM145" s="183" t="s">
        <v>0</v>
      </c>
      <c r="AN145" s="183" t="s">
        <v>0</v>
      </c>
      <c r="AO145" s="183" t="s">
        <v>0</v>
      </c>
      <c r="AP145" s="183" t="s">
        <v>0</v>
      </c>
      <c r="AQ145" s="183" t="s">
        <v>0</v>
      </c>
      <c r="AR145" s="183" t="s">
        <v>0</v>
      </c>
      <c r="AS145" s="183" t="s">
        <v>0</v>
      </c>
      <c r="AT145" s="183" t="s">
        <v>0</v>
      </c>
      <c r="AU145" s="183" t="s">
        <v>0</v>
      </c>
      <c r="AV145" s="183" t="s">
        <v>0</v>
      </c>
      <c r="AW145" s="183" t="s">
        <v>0</v>
      </c>
      <c r="AX145" s="183" t="s">
        <v>0</v>
      </c>
      <c r="AY145" s="183" t="s">
        <v>0</v>
      </c>
      <c r="AZ145" s="183" t="s">
        <v>0</v>
      </c>
      <c r="BA145" s="183" t="s">
        <v>0</v>
      </c>
      <c r="BB145" s="183" t="s">
        <v>0</v>
      </c>
      <c r="BC145" s="183" t="s">
        <v>0</v>
      </c>
      <c r="BD145" s="183" t="s">
        <v>0</v>
      </c>
      <c r="BE145" s="183" t="s">
        <v>0</v>
      </c>
      <c r="BF145" s="183" t="s">
        <v>0</v>
      </c>
      <c r="BG145" s="183" t="s">
        <v>0</v>
      </c>
      <c r="BH145" s="183" t="s">
        <v>0</v>
      </c>
      <c r="BI145" s="161"/>
      <c r="DL145">
        <f t="shared" si="750"/>
        <v>0</v>
      </c>
      <c r="DM145">
        <f t="shared" si="751"/>
        <v>0</v>
      </c>
      <c r="DN145">
        <f t="shared" si="752"/>
        <v>0</v>
      </c>
      <c r="DO145">
        <f t="shared" si="753"/>
        <v>0</v>
      </c>
      <c r="DP145">
        <f t="shared" si="754"/>
        <v>0</v>
      </c>
      <c r="DQ145">
        <f t="shared" si="755"/>
        <v>0</v>
      </c>
      <c r="DR145">
        <f t="shared" si="756"/>
        <v>0</v>
      </c>
      <c r="DS145">
        <f t="shared" si="757"/>
        <v>0</v>
      </c>
      <c r="DT145">
        <f t="shared" si="758"/>
        <v>0</v>
      </c>
      <c r="DU145">
        <f t="shared" si="759"/>
        <v>0</v>
      </c>
      <c r="DV145">
        <f t="shared" si="760"/>
        <v>0</v>
      </c>
      <c r="DW145">
        <f t="shared" si="761"/>
        <v>0</v>
      </c>
    </row>
    <row r="146" spans="1:127" x14ac:dyDescent="0.25">
      <c r="A146" s="22">
        <f t="shared" si="749"/>
        <v>140</v>
      </c>
      <c r="B146" s="59" t="str">
        <f>IF(F146=$F$7,#REF!,B145)</f>
        <v>F0013548012</v>
      </c>
      <c r="C146" s="214" t="str">
        <f>IF(F146=$F$7,#REF!,C145)</f>
        <v>82115-0E460 M</v>
      </c>
      <c r="D146" s="58" t="e">
        <f>VLOOKUP(B146,'Timing Table'!B:G,6,0)</f>
        <v>#N/A</v>
      </c>
      <c r="E146" s="22" t="e">
        <f>VLOOKUP(B146,'Timing Table'!B:D,3,0)</f>
        <v>#N/A</v>
      </c>
      <c r="F146" s="188" t="s">
        <v>60</v>
      </c>
      <c r="G146" s="162" t="s">
        <v>60</v>
      </c>
      <c r="H146" s="163" t="s">
        <v>60</v>
      </c>
      <c r="I146" s="164" t="s">
        <v>60</v>
      </c>
      <c r="J146" s="164" t="s">
        <v>0</v>
      </c>
      <c r="K146" s="164" t="s">
        <v>0</v>
      </c>
      <c r="L146" s="164" t="s">
        <v>0</v>
      </c>
      <c r="M146" s="164" t="s">
        <v>0</v>
      </c>
      <c r="N146" s="164" t="s">
        <v>0</v>
      </c>
      <c r="O146" s="164" t="s">
        <v>0</v>
      </c>
      <c r="P146" s="164" t="s">
        <v>0</v>
      </c>
      <c r="Q146" s="164" t="s">
        <v>0</v>
      </c>
      <c r="R146" s="164" t="s">
        <v>0</v>
      </c>
      <c r="S146" s="164" t="s">
        <v>0</v>
      </c>
      <c r="T146" s="164" t="s">
        <v>0</v>
      </c>
      <c r="U146" s="164" t="s">
        <v>0</v>
      </c>
      <c r="V146" s="164" t="s">
        <v>0</v>
      </c>
      <c r="W146" s="164" t="s">
        <v>0</v>
      </c>
      <c r="X146" s="164" t="s">
        <v>0</v>
      </c>
      <c r="Y146" s="164" t="s">
        <v>0</v>
      </c>
      <c r="Z146" s="164" t="s">
        <v>0</v>
      </c>
      <c r="AA146" s="164" t="s">
        <v>0</v>
      </c>
      <c r="AB146" s="164" t="s">
        <v>0</v>
      </c>
      <c r="AC146" s="164" t="s">
        <v>0</v>
      </c>
      <c r="AD146" s="164" t="s">
        <v>0</v>
      </c>
      <c r="AE146" s="164" t="s">
        <v>0</v>
      </c>
      <c r="AF146" s="164" t="s">
        <v>0</v>
      </c>
      <c r="AG146" s="164" t="s">
        <v>0</v>
      </c>
      <c r="AH146" s="164" t="s">
        <v>0</v>
      </c>
      <c r="AI146" s="164" t="s">
        <v>0</v>
      </c>
      <c r="AJ146" s="164" t="s">
        <v>0</v>
      </c>
      <c r="AK146" s="164" t="s">
        <v>0</v>
      </c>
      <c r="AL146" s="164" t="s">
        <v>0</v>
      </c>
      <c r="AM146" s="164" t="s">
        <v>0</v>
      </c>
      <c r="AN146" s="164" t="s">
        <v>0</v>
      </c>
      <c r="AO146" s="164" t="s">
        <v>0</v>
      </c>
      <c r="AP146" s="164" t="s">
        <v>0</v>
      </c>
      <c r="AQ146" s="164" t="s">
        <v>0</v>
      </c>
      <c r="AR146" s="164" t="s">
        <v>0</v>
      </c>
      <c r="AS146" s="164" t="s">
        <v>0</v>
      </c>
      <c r="AT146" s="164" t="s">
        <v>0</v>
      </c>
      <c r="AU146" s="164" t="s">
        <v>0</v>
      </c>
      <c r="AV146" s="164" t="s">
        <v>0</v>
      </c>
      <c r="AW146" s="164" t="s">
        <v>0</v>
      </c>
      <c r="AX146" s="164" t="s">
        <v>0</v>
      </c>
      <c r="AY146" s="164" t="s">
        <v>0</v>
      </c>
      <c r="AZ146" s="164" t="s">
        <v>0</v>
      </c>
      <c r="BA146" s="164" t="s">
        <v>0</v>
      </c>
      <c r="BB146" s="164" t="s">
        <v>0</v>
      </c>
      <c r="BC146" s="164" t="s">
        <v>0</v>
      </c>
      <c r="BD146" s="164" t="s">
        <v>0</v>
      </c>
      <c r="BE146" s="164" t="s">
        <v>0</v>
      </c>
      <c r="BF146" s="164" t="s">
        <v>0</v>
      </c>
      <c r="BG146" s="164" t="s">
        <v>0</v>
      </c>
      <c r="BH146" s="164" t="s">
        <v>0</v>
      </c>
      <c r="BI146" s="189"/>
      <c r="DL146">
        <f t="shared" si="750"/>
        <v>0</v>
      </c>
      <c r="DM146">
        <f t="shared" si="751"/>
        <v>0</v>
      </c>
      <c r="DN146">
        <f t="shared" si="752"/>
        <v>0</v>
      </c>
      <c r="DO146">
        <f t="shared" si="753"/>
        <v>0</v>
      </c>
      <c r="DP146">
        <f t="shared" si="754"/>
        <v>0</v>
      </c>
      <c r="DQ146">
        <f t="shared" si="755"/>
        <v>0</v>
      </c>
      <c r="DR146">
        <f t="shared" si="756"/>
        <v>0</v>
      </c>
      <c r="DS146">
        <f t="shared" si="757"/>
        <v>0</v>
      </c>
      <c r="DT146">
        <f t="shared" si="758"/>
        <v>0</v>
      </c>
      <c r="DU146">
        <f t="shared" si="759"/>
        <v>0</v>
      </c>
      <c r="DV146">
        <f t="shared" si="760"/>
        <v>0</v>
      </c>
      <c r="DW146">
        <f t="shared" si="761"/>
        <v>0</v>
      </c>
    </row>
    <row r="147" spans="1:127" x14ac:dyDescent="0.25">
      <c r="A147" s="22">
        <f t="shared" si="749"/>
        <v>141</v>
      </c>
      <c r="B147" s="59" t="str">
        <f t="shared" ref="B147:B155" si="813">IF(F147=$F$7,G148,B146)</f>
        <v>F0013548109</v>
      </c>
      <c r="C147" s="214" t="str">
        <f t="shared" ref="C147:C154" si="814">IF(F147=$F$7,G149,C146)</f>
        <v>82115-0E450.</v>
      </c>
      <c r="D147" s="58" t="e">
        <f>VLOOKUP(B147,'Timing Table'!B:G,6,0)</f>
        <v>#N/A</v>
      </c>
      <c r="E147" s="22" t="e">
        <f>VLOOKUP(B147,'Timing Table'!B:D,3,0)</f>
        <v>#N/A</v>
      </c>
      <c r="F147" s="155" t="s">
        <v>61</v>
      </c>
      <c r="G147" s="181">
        <v>5501017955</v>
      </c>
      <c r="H147" s="155" t="s">
        <v>62</v>
      </c>
      <c r="I147" s="181">
        <v>91</v>
      </c>
      <c r="J147" s="155" t="s">
        <v>63</v>
      </c>
      <c r="K147" s="160">
        <v>1146062</v>
      </c>
      <c r="L147" s="161"/>
      <c r="M147" s="190" t="s">
        <v>64</v>
      </c>
      <c r="N147" s="191"/>
      <c r="O147" s="192">
        <v>46086</v>
      </c>
      <c r="P147" s="155" t="s">
        <v>65</v>
      </c>
      <c r="Q147" s="181">
        <v>4</v>
      </c>
      <c r="R147" s="6" t="s">
        <v>0</v>
      </c>
      <c r="S147" s="7" t="s">
        <v>0</v>
      </c>
      <c r="T147" s="7" t="s">
        <v>0</v>
      </c>
      <c r="U147" s="7" t="s">
        <v>0</v>
      </c>
      <c r="V147" s="7" t="s">
        <v>0</v>
      </c>
      <c r="W147" s="7" t="s">
        <v>0</v>
      </c>
      <c r="X147" s="7" t="s">
        <v>0</v>
      </c>
      <c r="Y147" s="7" t="s">
        <v>0</v>
      </c>
      <c r="Z147" s="7" t="s">
        <v>0</v>
      </c>
      <c r="AA147" s="7" t="s">
        <v>0</v>
      </c>
      <c r="AB147" s="7" t="s">
        <v>0</v>
      </c>
      <c r="AC147" s="7" t="s">
        <v>0</v>
      </c>
      <c r="AD147" s="7" t="s">
        <v>0</v>
      </c>
      <c r="AE147" s="7" t="s">
        <v>0</v>
      </c>
      <c r="AF147" s="7" t="s">
        <v>0</v>
      </c>
      <c r="AG147" s="7" t="s">
        <v>0</v>
      </c>
      <c r="AH147" s="7" t="s">
        <v>0</v>
      </c>
      <c r="AI147" s="7" t="s">
        <v>0</v>
      </c>
      <c r="AJ147" s="7" t="s">
        <v>0</v>
      </c>
      <c r="AK147" s="7" t="s">
        <v>0</v>
      </c>
      <c r="AL147" s="7" t="s">
        <v>0</v>
      </c>
      <c r="AM147" s="7" t="s">
        <v>0</v>
      </c>
      <c r="AN147" s="7" t="s">
        <v>0</v>
      </c>
      <c r="AO147" s="7" t="s">
        <v>0</v>
      </c>
      <c r="AP147" s="7" t="s">
        <v>0</v>
      </c>
      <c r="AQ147" s="7" t="s">
        <v>0</v>
      </c>
      <c r="AR147" s="7" t="s">
        <v>0</v>
      </c>
      <c r="AS147" s="7" t="s">
        <v>0</v>
      </c>
      <c r="AT147" s="7" t="s">
        <v>0</v>
      </c>
      <c r="AU147" s="7" t="s">
        <v>0</v>
      </c>
      <c r="AV147" s="7" t="s">
        <v>0</v>
      </c>
      <c r="AW147" s="7" t="s">
        <v>0</v>
      </c>
      <c r="AX147" s="7" t="s">
        <v>0</v>
      </c>
      <c r="AY147" s="7" t="s">
        <v>0</v>
      </c>
      <c r="AZ147" s="7" t="s">
        <v>0</v>
      </c>
      <c r="BA147" s="7" t="s">
        <v>0</v>
      </c>
      <c r="BB147" s="7" t="s">
        <v>0</v>
      </c>
      <c r="BC147" s="7" t="s">
        <v>0</v>
      </c>
      <c r="BD147" s="7" t="s">
        <v>0</v>
      </c>
      <c r="BE147" s="7" t="s">
        <v>0</v>
      </c>
      <c r="BF147" s="7" t="s">
        <v>0</v>
      </c>
      <c r="BG147" s="7" t="s">
        <v>0</v>
      </c>
      <c r="BH147" s="7" t="s">
        <v>0</v>
      </c>
      <c r="BI147" s="8"/>
      <c r="DL147">
        <f t="shared" si="750"/>
        <v>0</v>
      </c>
      <c r="DM147">
        <f t="shared" si="751"/>
        <v>0</v>
      </c>
      <c r="DN147">
        <f t="shared" si="752"/>
        <v>0</v>
      </c>
      <c r="DO147">
        <f t="shared" si="753"/>
        <v>0</v>
      </c>
      <c r="DP147">
        <f t="shared" si="754"/>
        <v>0</v>
      </c>
      <c r="DQ147">
        <f t="shared" si="755"/>
        <v>0</v>
      </c>
      <c r="DR147">
        <f t="shared" si="756"/>
        <v>0</v>
      </c>
      <c r="DS147">
        <f t="shared" si="757"/>
        <v>0</v>
      </c>
      <c r="DT147">
        <f t="shared" si="758"/>
        <v>0</v>
      </c>
      <c r="DU147">
        <f t="shared" si="759"/>
        <v>0</v>
      </c>
      <c r="DV147">
        <f t="shared" si="760"/>
        <v>0</v>
      </c>
      <c r="DW147">
        <f t="shared" si="761"/>
        <v>0</v>
      </c>
    </row>
    <row r="148" spans="1:127" x14ac:dyDescent="0.25">
      <c r="A148" s="22">
        <f t="shared" si="749"/>
        <v>142</v>
      </c>
      <c r="B148" s="59" t="str">
        <f t="shared" si="813"/>
        <v>F0013548109</v>
      </c>
      <c r="C148" s="214" t="str">
        <f t="shared" si="814"/>
        <v>82115-0E450.</v>
      </c>
      <c r="D148" s="58" t="e">
        <f>VLOOKUP(B148,'Timing Table'!B:G,6,0)</f>
        <v>#N/A</v>
      </c>
      <c r="E148" s="22" t="e">
        <f>VLOOKUP(B148,'Timing Table'!B:D,3,0)</f>
        <v>#N/A</v>
      </c>
      <c r="F148" s="155" t="s">
        <v>66</v>
      </c>
      <c r="G148" s="181" t="s">
        <v>337</v>
      </c>
      <c r="H148" s="155" t="s">
        <v>67</v>
      </c>
      <c r="I148" s="182" t="s">
        <v>338</v>
      </c>
      <c r="J148" s="183"/>
      <c r="K148" s="183"/>
      <c r="L148" s="161"/>
      <c r="M148" s="155" t="s">
        <v>68</v>
      </c>
      <c r="N148" s="181">
        <v>2023</v>
      </c>
      <c r="O148" s="184" t="s">
        <v>69</v>
      </c>
      <c r="P148" s="185"/>
      <c r="Q148" s="193" t="s">
        <v>329</v>
      </c>
      <c r="R148" s="156" t="s">
        <v>0</v>
      </c>
      <c r="S148" s="157" t="s">
        <v>0</v>
      </c>
      <c r="T148" s="157" t="s">
        <v>0</v>
      </c>
      <c r="U148" s="157" t="s">
        <v>0</v>
      </c>
      <c r="V148" s="157" t="s">
        <v>0</v>
      </c>
      <c r="W148" s="157" t="s">
        <v>0</v>
      </c>
      <c r="X148" s="157" t="s">
        <v>0</v>
      </c>
      <c r="Y148" s="157" t="s">
        <v>0</v>
      </c>
      <c r="Z148" s="157" t="s">
        <v>0</v>
      </c>
      <c r="AA148" s="157" t="s">
        <v>0</v>
      </c>
      <c r="AB148" s="157" t="s">
        <v>0</v>
      </c>
      <c r="AC148" s="157" t="s">
        <v>0</v>
      </c>
      <c r="AD148" s="157" t="s">
        <v>0</v>
      </c>
      <c r="AE148" s="157" t="s">
        <v>0</v>
      </c>
      <c r="AF148" s="157" t="s">
        <v>0</v>
      </c>
      <c r="AG148" s="157" t="s">
        <v>0</v>
      </c>
      <c r="AH148" s="157" t="s">
        <v>0</v>
      </c>
      <c r="AI148" s="157" t="s">
        <v>0</v>
      </c>
      <c r="AJ148" s="157" t="s">
        <v>0</v>
      </c>
      <c r="AK148" s="157" t="s">
        <v>0</v>
      </c>
      <c r="AL148" s="157" t="s">
        <v>0</v>
      </c>
      <c r="AM148" s="157" t="s">
        <v>0</v>
      </c>
      <c r="AN148" s="157" t="s">
        <v>0</v>
      </c>
      <c r="AO148" s="157" t="s">
        <v>0</v>
      </c>
      <c r="AP148" s="157" t="s">
        <v>0</v>
      </c>
      <c r="AQ148" s="157" t="s">
        <v>0</v>
      </c>
      <c r="AR148" s="157" t="s">
        <v>0</v>
      </c>
      <c r="AS148" s="157" t="s">
        <v>0</v>
      </c>
      <c r="AT148" s="157" t="s">
        <v>0</v>
      </c>
      <c r="AU148" s="157" t="s">
        <v>0</v>
      </c>
      <c r="AV148" s="157" t="s">
        <v>0</v>
      </c>
      <c r="AW148" s="157" t="s">
        <v>0</v>
      </c>
      <c r="AX148" s="157" t="s">
        <v>0</v>
      </c>
      <c r="AY148" s="157" t="s">
        <v>0</v>
      </c>
      <c r="AZ148" s="157" t="s">
        <v>0</v>
      </c>
      <c r="BA148" s="157" t="s">
        <v>0</v>
      </c>
      <c r="BB148" s="157" t="s">
        <v>0</v>
      </c>
      <c r="BC148" s="157" t="s">
        <v>0</v>
      </c>
      <c r="BD148" s="157" t="s">
        <v>0</v>
      </c>
      <c r="BE148" s="157" t="s">
        <v>0</v>
      </c>
      <c r="BF148" s="157" t="s">
        <v>0</v>
      </c>
      <c r="BG148" s="157" t="s">
        <v>0</v>
      </c>
      <c r="BH148" s="157" t="s">
        <v>0</v>
      </c>
      <c r="BI148" s="158"/>
      <c r="DL148">
        <f t="shared" si="750"/>
        <v>0</v>
      </c>
      <c r="DM148">
        <f t="shared" si="751"/>
        <v>0</v>
      </c>
      <c r="DN148">
        <f t="shared" si="752"/>
        <v>0</v>
      </c>
      <c r="DO148">
        <f t="shared" si="753"/>
        <v>0</v>
      </c>
      <c r="DP148">
        <f t="shared" si="754"/>
        <v>0</v>
      </c>
      <c r="DQ148">
        <f t="shared" si="755"/>
        <v>0</v>
      </c>
      <c r="DR148">
        <f t="shared" si="756"/>
        <v>0</v>
      </c>
      <c r="DS148">
        <f t="shared" si="757"/>
        <v>0</v>
      </c>
      <c r="DT148">
        <f t="shared" si="758"/>
        <v>0</v>
      </c>
      <c r="DU148">
        <f t="shared" si="759"/>
        <v>0</v>
      </c>
      <c r="DV148">
        <f t="shared" si="760"/>
        <v>0</v>
      </c>
      <c r="DW148">
        <f t="shared" si="761"/>
        <v>0</v>
      </c>
    </row>
    <row r="149" spans="1:127" x14ac:dyDescent="0.25">
      <c r="A149" s="22">
        <f t="shared" si="749"/>
        <v>143</v>
      </c>
      <c r="B149" s="59" t="str">
        <f t="shared" si="813"/>
        <v>F0013548109</v>
      </c>
      <c r="C149" s="214" t="str">
        <f t="shared" si="814"/>
        <v>82115-0E450.</v>
      </c>
      <c r="D149" s="58" t="e">
        <f>VLOOKUP(B149,'Timing Table'!B:G,6,0)</f>
        <v>#N/A</v>
      </c>
      <c r="E149" s="22" t="e">
        <f>VLOOKUP(B149,'Timing Table'!B:D,3,0)</f>
        <v>#N/A</v>
      </c>
      <c r="F149" s="155" t="s">
        <v>70</v>
      </c>
      <c r="G149" s="181" t="s">
        <v>339</v>
      </c>
      <c r="H149" s="155" t="s">
        <v>71</v>
      </c>
      <c r="I149" s="182" t="s">
        <v>60</v>
      </c>
      <c r="J149" s="161" t="s">
        <v>0</v>
      </c>
      <c r="K149" s="194" t="s">
        <v>0</v>
      </c>
      <c r="L149" s="195" t="s">
        <v>0</v>
      </c>
      <c r="M149" s="179" t="s">
        <v>0</v>
      </c>
      <c r="N149" s="179" t="s">
        <v>0</v>
      </c>
      <c r="O149" s="179" t="s">
        <v>0</v>
      </c>
      <c r="P149" s="179" t="s">
        <v>0</v>
      </c>
      <c r="Q149" s="179" t="s">
        <v>1</v>
      </c>
      <c r="R149" s="179" t="s">
        <v>2</v>
      </c>
      <c r="S149" s="179" t="s">
        <v>0</v>
      </c>
      <c r="T149" s="179" t="s">
        <v>0</v>
      </c>
      <c r="U149" s="179" t="s">
        <v>0</v>
      </c>
      <c r="V149" s="179" t="s">
        <v>0</v>
      </c>
      <c r="W149" s="179" t="s">
        <v>0</v>
      </c>
      <c r="X149" s="179" t="s">
        <v>0</v>
      </c>
      <c r="Y149" s="179" t="s">
        <v>0</v>
      </c>
      <c r="Z149" s="179" t="s">
        <v>3</v>
      </c>
      <c r="AA149" s="179" t="s">
        <v>0</v>
      </c>
      <c r="AB149" s="179" t="s">
        <v>0</v>
      </c>
      <c r="AC149" s="179" t="s">
        <v>0</v>
      </c>
      <c r="AD149" s="179" t="s">
        <v>0</v>
      </c>
      <c r="AE149" s="179" t="s">
        <v>0</v>
      </c>
      <c r="AF149" s="179" t="s">
        <v>0</v>
      </c>
      <c r="AG149" s="179" t="s">
        <v>0</v>
      </c>
      <c r="AH149" s="179" t="s">
        <v>0</v>
      </c>
      <c r="AI149" s="179" t="s">
        <v>0</v>
      </c>
      <c r="AJ149" s="179" t="s">
        <v>0</v>
      </c>
      <c r="AK149" s="179" t="s">
        <v>0</v>
      </c>
      <c r="AL149" s="179" t="s">
        <v>0</v>
      </c>
      <c r="AM149" s="179" t="s">
        <v>0</v>
      </c>
      <c r="AN149" s="179" t="s">
        <v>0</v>
      </c>
      <c r="AO149" s="179" t="s">
        <v>0</v>
      </c>
      <c r="AP149" s="179" t="s">
        <v>0</v>
      </c>
      <c r="AQ149" s="179" t="s">
        <v>0</v>
      </c>
      <c r="AR149" s="179" t="s">
        <v>0</v>
      </c>
      <c r="AS149" s="179" t="s">
        <v>0</v>
      </c>
      <c r="AT149" s="179" t="s">
        <v>0</v>
      </c>
      <c r="AU149" s="179" t="s">
        <v>0</v>
      </c>
      <c r="AV149" s="179" t="s">
        <v>0</v>
      </c>
      <c r="AW149" s="179" t="s">
        <v>0</v>
      </c>
      <c r="AX149" s="179" t="s">
        <v>0</v>
      </c>
      <c r="AY149" s="179" t="s">
        <v>0</v>
      </c>
      <c r="AZ149" s="179" t="s">
        <v>0</v>
      </c>
      <c r="BA149" s="179" t="s">
        <v>0</v>
      </c>
      <c r="BB149" s="179" t="s">
        <v>0</v>
      </c>
      <c r="BC149" s="179" t="s">
        <v>0</v>
      </c>
      <c r="BD149" s="179" t="s">
        <v>0</v>
      </c>
      <c r="BE149" s="179" t="s">
        <v>0</v>
      </c>
      <c r="BF149" s="179" t="s">
        <v>0</v>
      </c>
      <c r="BG149" s="179" t="s">
        <v>0</v>
      </c>
      <c r="BH149" s="179" t="s">
        <v>0</v>
      </c>
      <c r="BI149" s="180" t="s">
        <v>4</v>
      </c>
      <c r="DL149">
        <f t="shared" si="750"/>
        <v>0</v>
      </c>
      <c r="DM149">
        <f t="shared" si="751"/>
        <v>0</v>
      </c>
      <c r="DN149">
        <f t="shared" si="752"/>
        <v>0</v>
      </c>
      <c r="DO149">
        <f t="shared" si="753"/>
        <v>0</v>
      </c>
      <c r="DP149">
        <f t="shared" si="754"/>
        <v>0</v>
      </c>
      <c r="DQ149">
        <f t="shared" si="755"/>
        <v>0</v>
      </c>
      <c r="DR149">
        <f t="shared" si="756"/>
        <v>0</v>
      </c>
      <c r="DS149">
        <f t="shared" si="757"/>
        <v>0</v>
      </c>
      <c r="DT149">
        <f t="shared" si="758"/>
        <v>0</v>
      </c>
      <c r="DU149">
        <f t="shared" si="759"/>
        <v>0</v>
      </c>
      <c r="DV149">
        <f t="shared" si="760"/>
        <v>0</v>
      </c>
      <c r="DW149">
        <f t="shared" si="761"/>
        <v>0</v>
      </c>
    </row>
    <row r="150" spans="1:127" x14ac:dyDescent="0.25">
      <c r="A150" s="22">
        <f t="shared" si="749"/>
        <v>144</v>
      </c>
      <c r="B150" s="59" t="str">
        <f t="shared" si="813"/>
        <v>F0013548109</v>
      </c>
      <c r="C150" s="214" t="str">
        <f t="shared" si="814"/>
        <v>82115-0E450.</v>
      </c>
      <c r="D150" s="58" t="e">
        <f>VLOOKUP(B150,'Timing Table'!B:G,6,0)</f>
        <v>#N/A</v>
      </c>
      <c r="E150" s="22" t="e">
        <f>VLOOKUP(B150,'Timing Table'!B:D,3,0)</f>
        <v>#N/A</v>
      </c>
      <c r="F150" s="155" t="s">
        <v>72</v>
      </c>
      <c r="G150" s="181">
        <v>13492</v>
      </c>
      <c r="H150" s="196" t="s">
        <v>414</v>
      </c>
      <c r="I150" s="197" t="s">
        <v>73</v>
      </c>
      <c r="J150" s="13">
        <v>46041</v>
      </c>
      <c r="K150" s="14">
        <v>46048</v>
      </c>
      <c r="L150" s="14">
        <v>46055</v>
      </c>
      <c r="M150" s="14">
        <v>46062</v>
      </c>
      <c r="N150" s="14">
        <v>46069</v>
      </c>
      <c r="O150" s="14">
        <v>46076</v>
      </c>
      <c r="P150" s="14">
        <v>46083</v>
      </c>
      <c r="Q150" s="14">
        <v>46090</v>
      </c>
      <c r="R150" s="14">
        <v>46097</v>
      </c>
      <c r="S150" s="14">
        <v>46104</v>
      </c>
      <c r="T150" s="14">
        <v>46111</v>
      </c>
      <c r="U150" s="14">
        <v>46118</v>
      </c>
      <c r="V150" s="14">
        <v>46125</v>
      </c>
      <c r="W150" s="14">
        <v>46132</v>
      </c>
      <c r="X150" s="14">
        <v>46139</v>
      </c>
      <c r="Y150" s="14">
        <v>46146</v>
      </c>
      <c r="Z150" s="14">
        <v>46153</v>
      </c>
      <c r="AA150" s="14">
        <v>46160</v>
      </c>
      <c r="AB150" s="14">
        <v>46167</v>
      </c>
      <c r="AC150" s="14">
        <v>46174</v>
      </c>
      <c r="AD150" s="14">
        <v>46181</v>
      </c>
      <c r="AE150" s="14">
        <v>46188</v>
      </c>
      <c r="AF150" s="14">
        <v>46195</v>
      </c>
      <c r="AG150" s="14">
        <v>46202</v>
      </c>
      <c r="AH150" s="14">
        <v>46209</v>
      </c>
      <c r="AI150" s="14">
        <v>46216</v>
      </c>
      <c r="AJ150" s="14">
        <v>46223</v>
      </c>
      <c r="AK150" s="14">
        <v>46230</v>
      </c>
      <c r="AL150" s="14">
        <v>46237</v>
      </c>
      <c r="AM150" s="14">
        <v>46244</v>
      </c>
      <c r="AN150" s="14">
        <v>46251</v>
      </c>
      <c r="AO150" s="14">
        <v>46258</v>
      </c>
      <c r="AP150" s="14">
        <v>46265</v>
      </c>
      <c r="AQ150" s="14">
        <v>46272</v>
      </c>
      <c r="AR150" s="14">
        <v>46279</v>
      </c>
      <c r="AS150" s="14">
        <v>46286</v>
      </c>
      <c r="AT150" s="14">
        <v>46293</v>
      </c>
      <c r="AU150" s="14">
        <v>46300</v>
      </c>
      <c r="AV150" s="14">
        <v>46307</v>
      </c>
      <c r="AW150" s="14">
        <v>46314</v>
      </c>
      <c r="AX150" s="14">
        <v>46321</v>
      </c>
      <c r="AY150" s="14">
        <v>46328</v>
      </c>
      <c r="AZ150" s="14">
        <v>46335</v>
      </c>
      <c r="BA150" s="14">
        <v>46342</v>
      </c>
      <c r="BB150" s="14">
        <v>46349</v>
      </c>
      <c r="BC150" s="14">
        <v>46356</v>
      </c>
      <c r="BD150" s="14">
        <v>46363</v>
      </c>
      <c r="BE150" s="14">
        <v>46370</v>
      </c>
      <c r="BF150" s="14">
        <v>46377</v>
      </c>
      <c r="BG150" s="14">
        <v>46384</v>
      </c>
      <c r="BH150" s="14">
        <v>46391</v>
      </c>
      <c r="BI150" s="15">
        <v>46398</v>
      </c>
      <c r="DL150">
        <f t="shared" si="750"/>
        <v>0</v>
      </c>
      <c r="DM150">
        <f t="shared" si="751"/>
        <v>0</v>
      </c>
      <c r="DN150">
        <f t="shared" si="752"/>
        <v>0</v>
      </c>
      <c r="DO150">
        <f t="shared" si="753"/>
        <v>0</v>
      </c>
      <c r="DP150">
        <f t="shared" si="754"/>
        <v>0</v>
      </c>
      <c r="DQ150">
        <f t="shared" si="755"/>
        <v>0</v>
      </c>
      <c r="DR150">
        <f t="shared" si="756"/>
        <v>0</v>
      </c>
      <c r="DS150">
        <f t="shared" si="757"/>
        <v>0</v>
      </c>
      <c r="DT150">
        <f t="shared" si="758"/>
        <v>0</v>
      </c>
      <c r="DU150">
        <f t="shared" si="759"/>
        <v>0</v>
      </c>
      <c r="DV150">
        <f t="shared" si="760"/>
        <v>0</v>
      </c>
      <c r="DW150">
        <f t="shared" si="761"/>
        <v>0</v>
      </c>
    </row>
    <row r="151" spans="1:127" x14ac:dyDescent="0.25">
      <c r="A151" s="22">
        <f t="shared" si="749"/>
        <v>145</v>
      </c>
      <c r="B151" s="59" t="str">
        <f t="shared" si="813"/>
        <v>F0013548109</v>
      </c>
      <c r="C151" s="214" t="str">
        <f t="shared" si="814"/>
        <v>82115-0E450.</v>
      </c>
      <c r="D151" s="58" t="e">
        <f>VLOOKUP(B151,'Timing Table'!B:G,6,0)</f>
        <v>#N/A</v>
      </c>
      <c r="E151" s="22" t="e">
        <f>VLOOKUP(B151,'Timing Table'!B:D,3,0)</f>
        <v>#N/A</v>
      </c>
      <c r="F151" s="155" t="s">
        <v>74</v>
      </c>
      <c r="G151" s="181">
        <v>14212</v>
      </c>
      <c r="H151" s="5" t="s">
        <v>60</v>
      </c>
      <c r="I151" s="11" t="s">
        <v>147</v>
      </c>
      <c r="J151" s="16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17"/>
      <c r="DL151">
        <f t="shared" si="750"/>
        <v>0</v>
      </c>
      <c r="DM151">
        <f t="shared" si="751"/>
        <v>0</v>
      </c>
      <c r="DN151">
        <f t="shared" si="752"/>
        <v>0</v>
      </c>
      <c r="DO151">
        <f t="shared" si="753"/>
        <v>0</v>
      </c>
      <c r="DP151">
        <f t="shared" si="754"/>
        <v>0</v>
      </c>
      <c r="DQ151">
        <f t="shared" si="755"/>
        <v>0</v>
      </c>
      <c r="DR151">
        <f t="shared" si="756"/>
        <v>0</v>
      </c>
      <c r="DS151">
        <f t="shared" si="757"/>
        <v>0</v>
      </c>
      <c r="DT151">
        <f t="shared" si="758"/>
        <v>0</v>
      </c>
      <c r="DU151">
        <f t="shared" si="759"/>
        <v>0</v>
      </c>
      <c r="DV151">
        <f t="shared" si="760"/>
        <v>0</v>
      </c>
      <c r="DW151">
        <f t="shared" si="761"/>
        <v>0</v>
      </c>
    </row>
    <row r="152" spans="1:127" x14ac:dyDescent="0.25">
      <c r="A152" s="22">
        <f t="shared" si="749"/>
        <v>146</v>
      </c>
      <c r="B152" s="59" t="str">
        <f t="shared" si="813"/>
        <v>F0013548109</v>
      </c>
      <c r="C152" s="214" t="str">
        <f t="shared" si="814"/>
        <v>82115-0E450.</v>
      </c>
      <c r="D152" s="58" t="e">
        <f>VLOOKUP(B152,'Timing Table'!B:G,6,0)</f>
        <v>#N/A</v>
      </c>
      <c r="E152" s="22" t="e">
        <f>VLOOKUP(B152,'Timing Table'!B:D,3,0)</f>
        <v>#N/A</v>
      </c>
      <c r="F152" s="155" t="s">
        <v>75</v>
      </c>
      <c r="G152" s="198" t="s">
        <v>175</v>
      </c>
      <c r="H152" s="9" t="s">
        <v>176</v>
      </c>
      <c r="I152" s="11" t="s">
        <v>76</v>
      </c>
      <c r="J152" s="143">
        <v>276</v>
      </c>
      <c r="K152" s="64">
        <v>176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>
        <v>0</v>
      </c>
      <c r="AA152" s="64">
        <v>0</v>
      </c>
      <c r="AB152" s="64">
        <v>0</v>
      </c>
      <c r="AC152" s="64">
        <v>0</v>
      </c>
      <c r="AD152" s="64">
        <v>0</v>
      </c>
      <c r="AE152" s="64">
        <v>0</v>
      </c>
      <c r="AF152" s="64">
        <v>0</v>
      </c>
      <c r="AG152" s="64">
        <v>0</v>
      </c>
      <c r="AH152" s="64">
        <v>0</v>
      </c>
      <c r="AI152" s="64">
        <v>0</v>
      </c>
      <c r="AJ152" s="64">
        <v>0</v>
      </c>
      <c r="AK152" s="64">
        <v>0</v>
      </c>
      <c r="AL152" s="64">
        <v>0</v>
      </c>
      <c r="AM152" s="64">
        <v>0</v>
      </c>
      <c r="AN152" s="64">
        <v>0</v>
      </c>
      <c r="AO152" s="64">
        <v>0</v>
      </c>
      <c r="AP152" s="64">
        <v>0</v>
      </c>
      <c r="AQ152" s="64">
        <v>0</v>
      </c>
      <c r="AR152" s="64">
        <v>0</v>
      </c>
      <c r="AS152" s="64">
        <v>0</v>
      </c>
      <c r="AT152" s="64">
        <v>0</v>
      </c>
      <c r="AU152" s="64">
        <v>0</v>
      </c>
      <c r="AV152" s="64">
        <v>0</v>
      </c>
      <c r="AW152" s="64">
        <v>0</v>
      </c>
      <c r="AX152" s="64">
        <v>0</v>
      </c>
      <c r="AY152" s="64">
        <v>0</v>
      </c>
      <c r="AZ152" s="64">
        <v>0</v>
      </c>
      <c r="BA152" s="64">
        <v>0</v>
      </c>
      <c r="BB152" s="64">
        <v>0</v>
      </c>
      <c r="BC152" s="64">
        <v>0</v>
      </c>
      <c r="BD152" s="64">
        <v>0</v>
      </c>
      <c r="BE152" s="64">
        <v>0</v>
      </c>
      <c r="BF152" s="64">
        <v>0</v>
      </c>
      <c r="BG152" s="64">
        <v>0</v>
      </c>
      <c r="BH152" s="64">
        <v>0</v>
      </c>
      <c r="BI152" s="144">
        <v>0</v>
      </c>
      <c r="BJ152" s="24" t="str">
        <f>+G149</f>
        <v>82115-0E450.</v>
      </c>
      <c r="BK152" s="24">
        <f>+J152</f>
        <v>276</v>
      </c>
      <c r="BL152" s="24">
        <f t="shared" ref="BL152" si="815">+K152</f>
        <v>176</v>
      </c>
      <c r="BM152" s="24">
        <f t="shared" ref="BM152" si="816">+L152</f>
        <v>0</v>
      </c>
      <c r="BN152" s="24">
        <f t="shared" ref="BN152" si="817">+M152</f>
        <v>0</v>
      </c>
      <c r="BO152" s="24">
        <f t="shared" ref="BO152" si="818">+N152</f>
        <v>0</v>
      </c>
      <c r="BP152" s="24">
        <f t="shared" ref="BP152" si="819">+O152</f>
        <v>0</v>
      </c>
      <c r="BQ152" s="24">
        <f t="shared" ref="BQ152" si="820">+P152</f>
        <v>0</v>
      </c>
      <c r="BR152" s="24">
        <f t="shared" ref="BR152" si="821">+Q152</f>
        <v>0</v>
      </c>
      <c r="BS152" s="24">
        <f t="shared" ref="BS152" si="822">+R152</f>
        <v>0</v>
      </c>
      <c r="BT152" s="24">
        <f t="shared" ref="BT152" si="823">+S152</f>
        <v>0</v>
      </c>
      <c r="BU152" s="24">
        <f t="shared" ref="BU152" si="824">+T152</f>
        <v>0</v>
      </c>
      <c r="BV152" s="24">
        <f t="shared" ref="BV152" si="825">+U152</f>
        <v>0</v>
      </c>
      <c r="BW152" s="24">
        <f t="shared" ref="BW152" si="826">+V152</f>
        <v>0</v>
      </c>
      <c r="BX152" s="24">
        <f t="shared" ref="BX152" si="827">+W152</f>
        <v>0</v>
      </c>
      <c r="BY152" s="24">
        <f t="shared" ref="BY152" si="828">+X152</f>
        <v>0</v>
      </c>
      <c r="BZ152" s="24">
        <f t="shared" ref="BZ152" si="829">+Y152</f>
        <v>0</v>
      </c>
      <c r="CA152" s="24">
        <f t="shared" ref="CA152" si="830">+Z152</f>
        <v>0</v>
      </c>
      <c r="CB152" s="24">
        <f t="shared" ref="CB152" si="831">+AA152</f>
        <v>0</v>
      </c>
      <c r="CC152" s="24">
        <f t="shared" ref="CC152" si="832">+AB152</f>
        <v>0</v>
      </c>
      <c r="CD152" s="24">
        <f t="shared" ref="CD152" si="833">+AC152</f>
        <v>0</v>
      </c>
      <c r="CE152" s="24">
        <f t="shared" ref="CE152" si="834">+AD152</f>
        <v>0</v>
      </c>
      <c r="CF152" s="24">
        <f t="shared" ref="CF152" si="835">+AE152</f>
        <v>0</v>
      </c>
      <c r="CG152" s="24">
        <f t="shared" ref="CG152" si="836">+AF152</f>
        <v>0</v>
      </c>
      <c r="CH152" s="24">
        <f t="shared" ref="CH152" si="837">+AG152</f>
        <v>0</v>
      </c>
      <c r="CI152" s="24">
        <f t="shared" ref="CI152" si="838">+AH152</f>
        <v>0</v>
      </c>
      <c r="CJ152" s="24">
        <f t="shared" ref="CJ152" si="839">+AI152</f>
        <v>0</v>
      </c>
      <c r="CK152" s="24">
        <f t="shared" ref="CK152" si="840">+AJ152</f>
        <v>0</v>
      </c>
      <c r="CL152" s="24">
        <f t="shared" ref="CL152" si="841">+AK152</f>
        <v>0</v>
      </c>
      <c r="CM152" s="24">
        <f t="shared" ref="CM152" si="842">+AL152</f>
        <v>0</v>
      </c>
      <c r="CN152" s="24">
        <f t="shared" ref="CN152" si="843">+AM152</f>
        <v>0</v>
      </c>
      <c r="CO152" s="24">
        <f t="shared" ref="CO152" si="844">+AN152</f>
        <v>0</v>
      </c>
      <c r="CP152" s="166">
        <f t="shared" ref="CP152" si="845">+AO152</f>
        <v>0</v>
      </c>
      <c r="CQ152" s="166">
        <f t="shared" ref="CQ152" si="846">+AP152</f>
        <v>0</v>
      </c>
      <c r="CR152">
        <f t="shared" ref="CR152" si="847">+AQ152</f>
        <v>0</v>
      </c>
      <c r="CS152">
        <f t="shared" ref="CS152" si="848">+AR152</f>
        <v>0</v>
      </c>
      <c r="CT152">
        <f t="shared" ref="CT152" si="849">+AS152</f>
        <v>0</v>
      </c>
      <c r="CU152">
        <f t="shared" ref="CU152" si="850">+AT152</f>
        <v>0</v>
      </c>
      <c r="CV152">
        <f t="shared" ref="CV152" si="851">+AU152</f>
        <v>0</v>
      </c>
      <c r="CW152">
        <f t="shared" ref="CW152" si="852">+AV152</f>
        <v>0</v>
      </c>
      <c r="CX152">
        <f t="shared" ref="CX152" si="853">+AW152</f>
        <v>0</v>
      </c>
      <c r="CY152">
        <f t="shared" ref="CY152" si="854">+AX152</f>
        <v>0</v>
      </c>
      <c r="CZ152">
        <f t="shared" ref="CZ152" si="855">+AY152</f>
        <v>0</v>
      </c>
      <c r="DA152">
        <f t="shared" ref="DA152" si="856">+AZ152</f>
        <v>0</v>
      </c>
      <c r="DB152">
        <f t="shared" ref="DB152" si="857">+BA152</f>
        <v>0</v>
      </c>
      <c r="DC152">
        <f t="shared" ref="DC152" si="858">+BB152</f>
        <v>0</v>
      </c>
      <c r="DD152">
        <f t="shared" ref="DD152" si="859">+BC152</f>
        <v>0</v>
      </c>
      <c r="DE152">
        <f t="shared" ref="DE152" si="860">+BD152</f>
        <v>0</v>
      </c>
      <c r="DF152">
        <f t="shared" ref="DF152" si="861">+BE152</f>
        <v>0</v>
      </c>
      <c r="DG152">
        <f t="shared" ref="DG152" si="862">+BF152</f>
        <v>0</v>
      </c>
      <c r="DH152">
        <f t="shared" ref="DH152" si="863">+BG152</f>
        <v>0</v>
      </c>
      <c r="DI152">
        <f t="shared" ref="DI152" si="864">+BH152</f>
        <v>0</v>
      </c>
      <c r="DJ152">
        <f t="shared" ref="DJ152" si="865">+BI152</f>
        <v>0</v>
      </c>
      <c r="DL152" s="24">
        <f t="shared" si="750"/>
        <v>452</v>
      </c>
      <c r="DM152" s="24">
        <f t="shared" si="751"/>
        <v>0</v>
      </c>
      <c r="DN152" s="24">
        <f t="shared" si="752"/>
        <v>0</v>
      </c>
      <c r="DO152" s="24">
        <f t="shared" si="753"/>
        <v>0</v>
      </c>
      <c r="DP152" s="24">
        <f t="shared" si="754"/>
        <v>0</v>
      </c>
      <c r="DQ152" s="24">
        <f t="shared" si="755"/>
        <v>0</v>
      </c>
      <c r="DR152" s="24">
        <f t="shared" si="756"/>
        <v>0</v>
      </c>
      <c r="DS152" s="24">
        <f t="shared" si="757"/>
        <v>0</v>
      </c>
      <c r="DT152" s="24">
        <f t="shared" si="758"/>
        <v>0</v>
      </c>
      <c r="DU152">
        <f t="shared" si="759"/>
        <v>0</v>
      </c>
      <c r="DV152">
        <f t="shared" si="760"/>
        <v>0</v>
      </c>
      <c r="DW152">
        <f t="shared" si="761"/>
        <v>0</v>
      </c>
    </row>
    <row r="153" spans="1:127" x14ac:dyDescent="0.25">
      <c r="A153" s="22">
        <f t="shared" si="749"/>
        <v>147</v>
      </c>
      <c r="B153" s="59" t="str">
        <f t="shared" si="813"/>
        <v>F0013548109</v>
      </c>
      <c r="C153" s="214" t="str">
        <f t="shared" si="814"/>
        <v>82115-0E450.</v>
      </c>
      <c r="D153" s="58" t="e">
        <f>VLOOKUP(B153,'Timing Table'!B:G,6,0)</f>
        <v>#N/A</v>
      </c>
      <c r="E153" s="22" t="e">
        <f>VLOOKUP(B153,'Timing Table'!B:D,3,0)</f>
        <v>#N/A</v>
      </c>
      <c r="F153" s="155" t="s">
        <v>77</v>
      </c>
      <c r="G153" s="181">
        <v>82115</v>
      </c>
      <c r="H153" s="10" t="s">
        <v>176</v>
      </c>
      <c r="I153" s="12" t="s">
        <v>78</v>
      </c>
      <c r="J153" s="152">
        <v>13316</v>
      </c>
      <c r="K153" s="153">
        <v>13492</v>
      </c>
      <c r="L153" s="153">
        <v>13492</v>
      </c>
      <c r="M153" s="153">
        <v>13492</v>
      </c>
      <c r="N153" s="153">
        <v>13492</v>
      </c>
      <c r="O153" s="153">
        <v>13492</v>
      </c>
      <c r="P153" s="153">
        <v>13492</v>
      </c>
      <c r="Q153" s="153">
        <v>13492</v>
      </c>
      <c r="R153" s="153">
        <v>13492</v>
      </c>
      <c r="S153" s="153">
        <v>13492</v>
      </c>
      <c r="T153" s="153">
        <v>13492</v>
      </c>
      <c r="U153" s="153">
        <v>13492</v>
      </c>
      <c r="V153" s="153">
        <v>13492</v>
      </c>
      <c r="W153" s="153">
        <v>13492</v>
      </c>
      <c r="X153" s="153">
        <v>13492</v>
      </c>
      <c r="Y153" s="153">
        <v>13492</v>
      </c>
      <c r="Z153" s="153">
        <v>13492</v>
      </c>
      <c r="AA153" s="153">
        <v>13492</v>
      </c>
      <c r="AB153" s="153">
        <v>13492</v>
      </c>
      <c r="AC153" s="153">
        <v>13492</v>
      </c>
      <c r="AD153" s="153">
        <v>13492</v>
      </c>
      <c r="AE153" s="153">
        <v>13492</v>
      </c>
      <c r="AF153" s="153">
        <v>13492</v>
      </c>
      <c r="AG153" s="153">
        <v>13492</v>
      </c>
      <c r="AH153" s="153">
        <v>13492</v>
      </c>
      <c r="AI153" s="153">
        <v>13492</v>
      </c>
      <c r="AJ153" s="153">
        <v>13492</v>
      </c>
      <c r="AK153" s="153">
        <v>13492</v>
      </c>
      <c r="AL153" s="153">
        <v>13492</v>
      </c>
      <c r="AM153" s="153">
        <v>13492</v>
      </c>
      <c r="AN153" s="153">
        <v>13492</v>
      </c>
      <c r="AO153" s="153">
        <v>13492</v>
      </c>
      <c r="AP153" s="153">
        <v>13492</v>
      </c>
      <c r="AQ153" s="153">
        <v>13492</v>
      </c>
      <c r="AR153" s="153">
        <v>13492</v>
      </c>
      <c r="AS153" s="153">
        <v>13492</v>
      </c>
      <c r="AT153" s="153">
        <v>13492</v>
      </c>
      <c r="AU153" s="153">
        <v>13492</v>
      </c>
      <c r="AV153" s="153">
        <v>13492</v>
      </c>
      <c r="AW153" s="153">
        <v>13492</v>
      </c>
      <c r="AX153" s="153">
        <v>13492</v>
      </c>
      <c r="AY153" s="153">
        <v>13492</v>
      </c>
      <c r="AZ153" s="153">
        <v>13492</v>
      </c>
      <c r="BA153" s="153">
        <v>13492</v>
      </c>
      <c r="BB153" s="153">
        <v>13492</v>
      </c>
      <c r="BC153" s="153">
        <v>13492</v>
      </c>
      <c r="BD153" s="153">
        <v>13492</v>
      </c>
      <c r="BE153" s="153">
        <v>13492</v>
      </c>
      <c r="BF153" s="153">
        <v>13492</v>
      </c>
      <c r="BG153" s="153">
        <v>13492</v>
      </c>
      <c r="BH153" s="153">
        <v>13492</v>
      </c>
      <c r="BI153" s="154">
        <v>13492</v>
      </c>
      <c r="DL153">
        <f t="shared" si="750"/>
        <v>0</v>
      </c>
      <c r="DM153">
        <f t="shared" si="751"/>
        <v>0</v>
      </c>
      <c r="DN153">
        <f t="shared" si="752"/>
        <v>0</v>
      </c>
      <c r="DO153">
        <f t="shared" si="753"/>
        <v>0</v>
      </c>
      <c r="DP153">
        <f t="shared" si="754"/>
        <v>0</v>
      </c>
      <c r="DQ153">
        <f t="shared" si="755"/>
        <v>0</v>
      </c>
      <c r="DR153">
        <f t="shared" si="756"/>
        <v>0</v>
      </c>
      <c r="DS153">
        <f t="shared" si="757"/>
        <v>0</v>
      </c>
      <c r="DT153">
        <f t="shared" si="758"/>
        <v>0</v>
      </c>
      <c r="DU153">
        <f t="shared" si="759"/>
        <v>0</v>
      </c>
      <c r="DV153">
        <f t="shared" si="760"/>
        <v>0</v>
      </c>
      <c r="DW153">
        <f t="shared" si="761"/>
        <v>0</v>
      </c>
    </row>
    <row r="154" spans="1:127" x14ac:dyDescent="0.25">
      <c r="A154" s="22">
        <f t="shared" si="749"/>
        <v>148</v>
      </c>
      <c r="B154" s="59" t="str">
        <f t="shared" si="813"/>
        <v>F0013548109</v>
      </c>
      <c r="C154" s="214" t="str">
        <f t="shared" si="814"/>
        <v>82115-0E450.</v>
      </c>
      <c r="D154" s="58" t="e">
        <f>VLOOKUP(B154,'Timing Table'!B:G,6,0)</f>
        <v>#N/A</v>
      </c>
      <c r="E154" s="22" t="e">
        <f>VLOOKUP(B154,'Timing Table'!B:D,3,0)</f>
        <v>#N/A</v>
      </c>
      <c r="F154" s="155" t="s">
        <v>79</v>
      </c>
      <c r="G154" s="199">
        <v>13040</v>
      </c>
      <c r="H154" s="184" t="s">
        <v>80</v>
      </c>
      <c r="I154" s="185"/>
      <c r="J154" s="200" t="s">
        <v>507</v>
      </c>
      <c r="K154" s="156"/>
      <c r="L154" s="157" t="s">
        <v>0</v>
      </c>
      <c r="M154" s="157" t="s">
        <v>0</v>
      </c>
      <c r="N154" s="157" t="s">
        <v>0</v>
      </c>
      <c r="O154" s="157" t="s">
        <v>0</v>
      </c>
      <c r="P154" s="157" t="s">
        <v>0</v>
      </c>
      <c r="Q154" s="157" t="s">
        <v>0</v>
      </c>
      <c r="R154" s="157" t="s">
        <v>0</v>
      </c>
      <c r="S154" s="157" t="s">
        <v>0</v>
      </c>
      <c r="T154" s="157" t="s">
        <v>0</v>
      </c>
      <c r="U154" s="157" t="s">
        <v>0</v>
      </c>
      <c r="V154" s="157" t="s">
        <v>0</v>
      </c>
      <c r="W154" s="157" t="s">
        <v>0</v>
      </c>
      <c r="X154" s="157" t="s">
        <v>0</v>
      </c>
      <c r="Y154" s="157" t="s">
        <v>0</v>
      </c>
      <c r="Z154" s="157" t="s">
        <v>0</v>
      </c>
      <c r="AA154" s="157" t="s">
        <v>0</v>
      </c>
      <c r="AB154" s="157" t="s">
        <v>0</v>
      </c>
      <c r="AC154" s="157" t="s">
        <v>0</v>
      </c>
      <c r="AD154" s="157" t="s">
        <v>0</v>
      </c>
      <c r="AE154" s="157" t="s">
        <v>0</v>
      </c>
      <c r="AF154" s="157" t="s">
        <v>0</v>
      </c>
      <c r="AG154" s="157" t="s">
        <v>0</v>
      </c>
      <c r="AH154" s="157" t="s">
        <v>0</v>
      </c>
      <c r="AI154" s="157" t="s">
        <v>0</v>
      </c>
      <c r="AJ154" s="157" t="s">
        <v>0</v>
      </c>
      <c r="AK154" s="157" t="s">
        <v>0</v>
      </c>
      <c r="AL154" s="157" t="s">
        <v>0</v>
      </c>
      <c r="AM154" s="157" t="s">
        <v>0</v>
      </c>
      <c r="AN154" s="157" t="s">
        <v>0</v>
      </c>
      <c r="AO154" s="157" t="s">
        <v>0</v>
      </c>
      <c r="AP154" s="157" t="s">
        <v>0</v>
      </c>
      <c r="AQ154" s="157" t="s">
        <v>0</v>
      </c>
      <c r="AR154" s="157" t="s">
        <v>0</v>
      </c>
      <c r="AS154" s="157" t="s">
        <v>0</v>
      </c>
      <c r="AT154" s="157" t="s">
        <v>0</v>
      </c>
      <c r="AU154" s="157" t="s">
        <v>0</v>
      </c>
      <c r="AV154" s="157" t="s">
        <v>0</v>
      </c>
      <c r="AW154" s="157" t="s">
        <v>0</v>
      </c>
      <c r="AX154" s="157" t="s">
        <v>0</v>
      </c>
      <c r="AY154" s="157" t="s">
        <v>0</v>
      </c>
      <c r="AZ154" s="157" t="s">
        <v>0</v>
      </c>
      <c r="BA154" s="157" t="s">
        <v>0</v>
      </c>
      <c r="BB154" s="157" t="s">
        <v>0</v>
      </c>
      <c r="BC154" s="157" t="s">
        <v>0</v>
      </c>
      <c r="BD154" s="157" t="s">
        <v>0</v>
      </c>
      <c r="BE154" s="157" t="s">
        <v>0</v>
      </c>
      <c r="BF154" s="157" t="s">
        <v>0</v>
      </c>
      <c r="BG154" s="157" t="s">
        <v>0</v>
      </c>
      <c r="BH154" s="157" t="s">
        <v>0</v>
      </c>
      <c r="BI154" s="158"/>
      <c r="DL154">
        <f t="shared" si="750"/>
        <v>0</v>
      </c>
      <c r="DM154">
        <f t="shared" si="751"/>
        <v>0</v>
      </c>
      <c r="DN154">
        <f t="shared" si="752"/>
        <v>0</v>
      </c>
      <c r="DO154">
        <f t="shared" si="753"/>
        <v>0</v>
      </c>
      <c r="DP154">
        <f t="shared" si="754"/>
        <v>0</v>
      </c>
      <c r="DQ154">
        <f t="shared" si="755"/>
        <v>0</v>
      </c>
      <c r="DR154">
        <f t="shared" si="756"/>
        <v>0</v>
      </c>
      <c r="DS154">
        <f t="shared" si="757"/>
        <v>0</v>
      </c>
      <c r="DT154">
        <f t="shared" si="758"/>
        <v>0</v>
      </c>
      <c r="DU154">
        <f t="shared" si="759"/>
        <v>0</v>
      </c>
      <c r="DV154">
        <f t="shared" si="760"/>
        <v>0</v>
      </c>
      <c r="DW154">
        <f t="shared" si="761"/>
        <v>0</v>
      </c>
    </row>
    <row r="155" spans="1:127" x14ac:dyDescent="0.25">
      <c r="A155" s="22">
        <f t="shared" si="749"/>
        <v>149</v>
      </c>
      <c r="B155" s="59" t="str">
        <f t="shared" si="813"/>
        <v>F0013548109</v>
      </c>
      <c r="C155" s="214" t="str">
        <f>IF(F155=$F$7,#REF!,C154)</f>
        <v>82115-0E450.</v>
      </c>
      <c r="D155" s="58" t="e">
        <f>VLOOKUP(B155,'Timing Table'!B:G,6,0)</f>
        <v>#N/A</v>
      </c>
      <c r="E155" s="22" t="e">
        <f>VLOOKUP(B155,'Timing Table'!B:D,3,0)</f>
        <v>#N/A</v>
      </c>
      <c r="F155" s="159" t="s">
        <v>81</v>
      </c>
      <c r="G155" s="160" t="s">
        <v>60</v>
      </c>
      <c r="H155" s="201" t="s">
        <v>60</v>
      </c>
      <c r="I155" s="183" t="s">
        <v>60</v>
      </c>
      <c r="J155" s="183" t="s">
        <v>0</v>
      </c>
      <c r="K155" s="183" t="s">
        <v>0</v>
      </c>
      <c r="L155" s="183" t="s">
        <v>0</v>
      </c>
      <c r="M155" s="183" t="s">
        <v>0</v>
      </c>
      <c r="N155" s="183" t="s">
        <v>0</v>
      </c>
      <c r="O155" s="183" t="s">
        <v>0</v>
      </c>
      <c r="P155" s="183" t="s">
        <v>0</v>
      </c>
      <c r="Q155" s="183" t="s">
        <v>0</v>
      </c>
      <c r="R155" s="183" t="s">
        <v>0</v>
      </c>
      <c r="S155" s="183" t="s">
        <v>0</v>
      </c>
      <c r="T155" s="183" t="s">
        <v>0</v>
      </c>
      <c r="U155" s="183" t="s">
        <v>0</v>
      </c>
      <c r="V155" s="183" t="s">
        <v>0</v>
      </c>
      <c r="W155" s="183" t="s">
        <v>0</v>
      </c>
      <c r="X155" s="183" t="s">
        <v>0</v>
      </c>
      <c r="Y155" s="183" t="s">
        <v>0</v>
      </c>
      <c r="Z155" s="183" t="s">
        <v>0</v>
      </c>
      <c r="AA155" s="183" t="s">
        <v>0</v>
      </c>
      <c r="AB155" s="183" t="s">
        <v>0</v>
      </c>
      <c r="AC155" s="183" t="s">
        <v>0</v>
      </c>
      <c r="AD155" s="183" t="s">
        <v>0</v>
      </c>
      <c r="AE155" s="183" t="s">
        <v>0</v>
      </c>
      <c r="AF155" s="183" t="s">
        <v>0</v>
      </c>
      <c r="AG155" s="183" t="s">
        <v>0</v>
      </c>
      <c r="AH155" s="183" t="s">
        <v>0</v>
      </c>
      <c r="AI155" s="183" t="s">
        <v>0</v>
      </c>
      <c r="AJ155" s="183" t="s">
        <v>0</v>
      </c>
      <c r="AK155" s="183" t="s">
        <v>0</v>
      </c>
      <c r="AL155" s="183" t="s">
        <v>0</v>
      </c>
      <c r="AM155" s="183" t="s">
        <v>0</v>
      </c>
      <c r="AN155" s="183" t="s">
        <v>0</v>
      </c>
      <c r="AO155" s="183" t="s">
        <v>0</v>
      </c>
      <c r="AP155" s="183" t="s">
        <v>0</v>
      </c>
      <c r="AQ155" s="183" t="s">
        <v>0</v>
      </c>
      <c r="AR155" s="183" t="s">
        <v>0</v>
      </c>
      <c r="AS155" s="183" t="s">
        <v>0</v>
      </c>
      <c r="AT155" s="183" t="s">
        <v>0</v>
      </c>
      <c r="AU155" s="183" t="s">
        <v>0</v>
      </c>
      <c r="AV155" s="183" t="s">
        <v>0</v>
      </c>
      <c r="AW155" s="183" t="s">
        <v>0</v>
      </c>
      <c r="AX155" s="183" t="s">
        <v>0</v>
      </c>
      <c r="AY155" s="183" t="s">
        <v>0</v>
      </c>
      <c r="AZ155" s="183" t="s">
        <v>0</v>
      </c>
      <c r="BA155" s="183" t="s">
        <v>0</v>
      </c>
      <c r="BB155" s="183" t="s">
        <v>0</v>
      </c>
      <c r="BC155" s="183" t="s">
        <v>0</v>
      </c>
      <c r="BD155" s="183" t="s">
        <v>0</v>
      </c>
      <c r="BE155" s="183" t="s">
        <v>0</v>
      </c>
      <c r="BF155" s="183" t="s">
        <v>0</v>
      </c>
      <c r="BG155" s="183" t="s">
        <v>0</v>
      </c>
      <c r="BH155" s="183" t="s">
        <v>0</v>
      </c>
      <c r="BI155" s="161"/>
      <c r="DL155">
        <f t="shared" si="750"/>
        <v>0</v>
      </c>
      <c r="DM155">
        <f t="shared" si="751"/>
        <v>0</v>
      </c>
      <c r="DN155">
        <f t="shared" si="752"/>
        <v>0</v>
      </c>
      <c r="DO155">
        <f t="shared" si="753"/>
        <v>0</v>
      </c>
      <c r="DP155">
        <f t="shared" si="754"/>
        <v>0</v>
      </c>
      <c r="DQ155">
        <f t="shared" si="755"/>
        <v>0</v>
      </c>
      <c r="DR155">
        <f t="shared" si="756"/>
        <v>0</v>
      </c>
      <c r="DS155">
        <f t="shared" si="757"/>
        <v>0</v>
      </c>
      <c r="DT155">
        <f t="shared" si="758"/>
        <v>0</v>
      </c>
      <c r="DU155">
        <f t="shared" si="759"/>
        <v>0</v>
      </c>
      <c r="DV155">
        <f t="shared" si="760"/>
        <v>0</v>
      </c>
      <c r="DW155">
        <f t="shared" si="761"/>
        <v>0</v>
      </c>
    </row>
    <row r="156" spans="1:127" x14ac:dyDescent="0.25">
      <c r="A156" s="22">
        <f t="shared" si="749"/>
        <v>150</v>
      </c>
      <c r="B156" s="59" t="str">
        <f>IF(F156=$F$7,#REF!,B155)</f>
        <v>F0013548109</v>
      </c>
      <c r="C156" s="214" t="str">
        <f>IF(F156=$F$7,#REF!,C155)</f>
        <v>82115-0E450.</v>
      </c>
      <c r="D156" s="58" t="e">
        <f>VLOOKUP(B156,'Timing Table'!B:G,6,0)</f>
        <v>#N/A</v>
      </c>
      <c r="E156" s="22" t="e">
        <f>VLOOKUP(B156,'Timing Table'!B:D,3,0)</f>
        <v>#N/A</v>
      </c>
      <c r="F156" s="188" t="s">
        <v>60</v>
      </c>
      <c r="G156" s="162" t="s">
        <v>60</v>
      </c>
      <c r="H156" s="163" t="s">
        <v>60</v>
      </c>
      <c r="I156" s="164" t="s">
        <v>60</v>
      </c>
      <c r="J156" s="164" t="s">
        <v>0</v>
      </c>
      <c r="K156" s="164" t="s">
        <v>0</v>
      </c>
      <c r="L156" s="164" t="s">
        <v>0</v>
      </c>
      <c r="M156" s="164" t="s">
        <v>0</v>
      </c>
      <c r="N156" s="164" t="s">
        <v>0</v>
      </c>
      <c r="O156" s="164" t="s">
        <v>0</v>
      </c>
      <c r="P156" s="164" t="s">
        <v>0</v>
      </c>
      <c r="Q156" s="164" t="s">
        <v>0</v>
      </c>
      <c r="R156" s="164" t="s">
        <v>0</v>
      </c>
      <c r="S156" s="164" t="s">
        <v>0</v>
      </c>
      <c r="T156" s="164" t="s">
        <v>0</v>
      </c>
      <c r="U156" s="164" t="s">
        <v>0</v>
      </c>
      <c r="V156" s="164" t="s">
        <v>0</v>
      </c>
      <c r="W156" s="164" t="s">
        <v>0</v>
      </c>
      <c r="X156" s="164" t="s">
        <v>0</v>
      </c>
      <c r="Y156" s="164" t="s">
        <v>0</v>
      </c>
      <c r="Z156" s="164" t="s">
        <v>0</v>
      </c>
      <c r="AA156" s="164" t="s">
        <v>0</v>
      </c>
      <c r="AB156" s="164" t="s">
        <v>0</v>
      </c>
      <c r="AC156" s="164" t="s">
        <v>0</v>
      </c>
      <c r="AD156" s="164" t="s">
        <v>0</v>
      </c>
      <c r="AE156" s="164" t="s">
        <v>0</v>
      </c>
      <c r="AF156" s="164" t="s">
        <v>0</v>
      </c>
      <c r="AG156" s="164" t="s">
        <v>0</v>
      </c>
      <c r="AH156" s="164" t="s">
        <v>0</v>
      </c>
      <c r="AI156" s="164" t="s">
        <v>0</v>
      </c>
      <c r="AJ156" s="164" t="s">
        <v>0</v>
      </c>
      <c r="AK156" s="164" t="s">
        <v>0</v>
      </c>
      <c r="AL156" s="164" t="s">
        <v>0</v>
      </c>
      <c r="AM156" s="164" t="s">
        <v>0</v>
      </c>
      <c r="AN156" s="164" t="s">
        <v>0</v>
      </c>
      <c r="AO156" s="164" t="s">
        <v>0</v>
      </c>
      <c r="AP156" s="164" t="s">
        <v>0</v>
      </c>
      <c r="AQ156" s="164" t="s">
        <v>0</v>
      </c>
      <c r="AR156" s="164" t="s">
        <v>0</v>
      </c>
      <c r="AS156" s="164" t="s">
        <v>0</v>
      </c>
      <c r="AT156" s="164" t="s">
        <v>0</v>
      </c>
      <c r="AU156" s="164" t="s">
        <v>0</v>
      </c>
      <c r="AV156" s="164" t="s">
        <v>0</v>
      </c>
      <c r="AW156" s="164" t="s">
        <v>0</v>
      </c>
      <c r="AX156" s="164" t="s">
        <v>0</v>
      </c>
      <c r="AY156" s="164" t="s">
        <v>0</v>
      </c>
      <c r="AZ156" s="164" t="s">
        <v>0</v>
      </c>
      <c r="BA156" s="164" t="s">
        <v>0</v>
      </c>
      <c r="BB156" s="164" t="s">
        <v>0</v>
      </c>
      <c r="BC156" s="164" t="s">
        <v>0</v>
      </c>
      <c r="BD156" s="164" t="s">
        <v>0</v>
      </c>
      <c r="BE156" s="164" t="s">
        <v>0</v>
      </c>
      <c r="BF156" s="164" t="s">
        <v>0</v>
      </c>
      <c r="BG156" s="164" t="s">
        <v>0</v>
      </c>
      <c r="BH156" s="164" t="s">
        <v>0</v>
      </c>
      <c r="BI156" s="189"/>
      <c r="DL156">
        <f t="shared" si="750"/>
        <v>0</v>
      </c>
      <c r="DM156">
        <f t="shared" si="751"/>
        <v>0</v>
      </c>
      <c r="DN156">
        <f t="shared" si="752"/>
        <v>0</v>
      </c>
      <c r="DO156">
        <f t="shared" si="753"/>
        <v>0</v>
      </c>
      <c r="DP156">
        <f t="shared" si="754"/>
        <v>0</v>
      </c>
      <c r="DQ156">
        <f t="shared" si="755"/>
        <v>0</v>
      </c>
      <c r="DR156">
        <f t="shared" si="756"/>
        <v>0</v>
      </c>
      <c r="DS156">
        <f t="shared" si="757"/>
        <v>0</v>
      </c>
      <c r="DT156">
        <f t="shared" si="758"/>
        <v>0</v>
      </c>
      <c r="DU156">
        <f t="shared" si="759"/>
        <v>0</v>
      </c>
      <c r="DV156">
        <f t="shared" si="760"/>
        <v>0</v>
      </c>
      <c r="DW156">
        <f t="shared" si="761"/>
        <v>0</v>
      </c>
    </row>
    <row r="157" spans="1:127" x14ac:dyDescent="0.25">
      <c r="A157" s="22">
        <f t="shared" si="749"/>
        <v>151</v>
      </c>
      <c r="B157" s="59" t="str">
        <f t="shared" ref="B157:B165" si="866">IF(F157=$F$7,G158,B156)</f>
        <v>F0013548111</v>
      </c>
      <c r="C157" s="214" t="str">
        <f t="shared" ref="C157:C164" si="867">IF(F157=$F$7,G159,C156)</f>
        <v>82115-0E450 L</v>
      </c>
      <c r="D157" s="58" t="e">
        <f>VLOOKUP(B157,'Timing Table'!B:G,6,0)</f>
        <v>#N/A</v>
      </c>
      <c r="E157" s="22" t="e">
        <f>VLOOKUP(B157,'Timing Table'!B:D,3,0)</f>
        <v>#N/A</v>
      </c>
      <c r="F157" s="155" t="s">
        <v>61</v>
      </c>
      <c r="G157" s="181">
        <v>5501065660</v>
      </c>
      <c r="H157" s="155" t="s">
        <v>62</v>
      </c>
      <c r="I157" s="181">
        <v>9</v>
      </c>
      <c r="J157" s="155" t="s">
        <v>63</v>
      </c>
      <c r="K157" s="160">
        <v>1179879</v>
      </c>
      <c r="L157" s="161"/>
      <c r="M157" s="190" t="s">
        <v>64</v>
      </c>
      <c r="N157" s="191"/>
      <c r="O157" s="192">
        <v>46086</v>
      </c>
      <c r="P157" s="155" t="s">
        <v>65</v>
      </c>
      <c r="Q157" s="181">
        <v>4</v>
      </c>
      <c r="R157" s="6" t="s">
        <v>0</v>
      </c>
      <c r="S157" s="7" t="s">
        <v>0</v>
      </c>
      <c r="T157" s="7" t="s">
        <v>0</v>
      </c>
      <c r="U157" s="7" t="s">
        <v>0</v>
      </c>
      <c r="V157" s="7" t="s">
        <v>0</v>
      </c>
      <c r="W157" s="7" t="s">
        <v>0</v>
      </c>
      <c r="X157" s="7" t="s">
        <v>0</v>
      </c>
      <c r="Y157" s="7" t="s">
        <v>0</v>
      </c>
      <c r="Z157" s="7" t="s">
        <v>0</v>
      </c>
      <c r="AA157" s="7" t="s">
        <v>0</v>
      </c>
      <c r="AB157" s="7" t="s">
        <v>0</v>
      </c>
      <c r="AC157" s="7" t="s">
        <v>0</v>
      </c>
      <c r="AD157" s="7" t="s">
        <v>0</v>
      </c>
      <c r="AE157" s="7" t="s">
        <v>0</v>
      </c>
      <c r="AF157" s="7" t="s">
        <v>0</v>
      </c>
      <c r="AG157" s="7" t="s">
        <v>0</v>
      </c>
      <c r="AH157" s="7" t="s">
        <v>0</v>
      </c>
      <c r="AI157" s="7" t="s">
        <v>0</v>
      </c>
      <c r="AJ157" s="7" t="s">
        <v>0</v>
      </c>
      <c r="AK157" s="7" t="s">
        <v>0</v>
      </c>
      <c r="AL157" s="7" t="s">
        <v>0</v>
      </c>
      <c r="AM157" s="7" t="s">
        <v>0</v>
      </c>
      <c r="AN157" s="7" t="s">
        <v>0</v>
      </c>
      <c r="AO157" s="7" t="s">
        <v>0</v>
      </c>
      <c r="AP157" s="7" t="s">
        <v>0</v>
      </c>
      <c r="AQ157" s="7" t="s">
        <v>0</v>
      </c>
      <c r="AR157" s="7" t="s">
        <v>0</v>
      </c>
      <c r="AS157" s="7" t="s">
        <v>0</v>
      </c>
      <c r="AT157" s="7" t="s">
        <v>0</v>
      </c>
      <c r="AU157" s="7" t="s">
        <v>0</v>
      </c>
      <c r="AV157" s="7" t="s">
        <v>0</v>
      </c>
      <c r="AW157" s="7" t="s">
        <v>0</v>
      </c>
      <c r="AX157" s="7" t="s">
        <v>0</v>
      </c>
      <c r="AY157" s="7" t="s">
        <v>0</v>
      </c>
      <c r="AZ157" s="7" t="s">
        <v>0</v>
      </c>
      <c r="BA157" s="7" t="s">
        <v>0</v>
      </c>
      <c r="BB157" s="7" t="s">
        <v>0</v>
      </c>
      <c r="BC157" s="7" t="s">
        <v>0</v>
      </c>
      <c r="BD157" s="7" t="s">
        <v>0</v>
      </c>
      <c r="BE157" s="7" t="s">
        <v>0</v>
      </c>
      <c r="BF157" s="7" t="s">
        <v>0</v>
      </c>
      <c r="BG157" s="7" t="s">
        <v>0</v>
      </c>
      <c r="BH157" s="7" t="s">
        <v>0</v>
      </c>
      <c r="BI157" s="8"/>
      <c r="DL157">
        <f t="shared" si="750"/>
        <v>0</v>
      </c>
      <c r="DM157">
        <f t="shared" si="751"/>
        <v>0</v>
      </c>
      <c r="DN157">
        <f t="shared" si="752"/>
        <v>0</v>
      </c>
      <c r="DO157">
        <f t="shared" si="753"/>
        <v>0</v>
      </c>
      <c r="DP157">
        <f t="shared" si="754"/>
        <v>0</v>
      </c>
      <c r="DQ157">
        <f t="shared" si="755"/>
        <v>0</v>
      </c>
      <c r="DR157">
        <f t="shared" si="756"/>
        <v>0</v>
      </c>
      <c r="DS157">
        <f t="shared" si="757"/>
        <v>0</v>
      </c>
      <c r="DT157">
        <f t="shared" si="758"/>
        <v>0</v>
      </c>
      <c r="DU157">
        <f t="shared" si="759"/>
        <v>0</v>
      </c>
      <c r="DV157">
        <f t="shared" si="760"/>
        <v>0</v>
      </c>
      <c r="DW157">
        <f t="shared" si="761"/>
        <v>0</v>
      </c>
    </row>
    <row r="158" spans="1:127" x14ac:dyDescent="0.25">
      <c r="A158" s="22">
        <f t="shared" si="749"/>
        <v>152</v>
      </c>
      <c r="B158" s="59" t="str">
        <f t="shared" si="866"/>
        <v>F0013548111</v>
      </c>
      <c r="C158" s="214" t="str">
        <f t="shared" si="867"/>
        <v>82115-0E450 L</v>
      </c>
      <c r="D158" s="58" t="e">
        <f>VLOOKUP(B158,'Timing Table'!B:G,6,0)</f>
        <v>#N/A</v>
      </c>
      <c r="E158" s="22" t="e">
        <f>VLOOKUP(B158,'Timing Table'!B:D,3,0)</f>
        <v>#N/A</v>
      </c>
      <c r="F158" s="155" t="s">
        <v>66</v>
      </c>
      <c r="G158" s="181" t="s">
        <v>494</v>
      </c>
      <c r="H158" s="155" t="s">
        <v>67</v>
      </c>
      <c r="I158" s="182" t="s">
        <v>495</v>
      </c>
      <c r="J158" s="183"/>
      <c r="K158" s="183"/>
      <c r="L158" s="161"/>
      <c r="M158" s="155" t="s">
        <v>68</v>
      </c>
      <c r="N158" s="181">
        <v>2023</v>
      </c>
      <c r="O158" s="184" t="s">
        <v>69</v>
      </c>
      <c r="P158" s="185"/>
      <c r="Q158" s="193" t="s">
        <v>485</v>
      </c>
      <c r="R158" s="156" t="s">
        <v>0</v>
      </c>
      <c r="S158" s="157"/>
      <c r="T158" s="157"/>
      <c r="U158" s="157" t="s">
        <v>0</v>
      </c>
      <c r="V158" s="157" t="s">
        <v>0</v>
      </c>
      <c r="W158" s="157" t="s">
        <v>0</v>
      </c>
      <c r="X158" s="157" t="s">
        <v>0</v>
      </c>
      <c r="Y158" s="157" t="s">
        <v>0</v>
      </c>
      <c r="Z158" s="157" t="s">
        <v>0</v>
      </c>
      <c r="AA158" s="157" t="s">
        <v>0</v>
      </c>
      <c r="AB158" s="157" t="s">
        <v>0</v>
      </c>
      <c r="AC158" s="157" t="s">
        <v>0</v>
      </c>
      <c r="AD158" s="157" t="s">
        <v>0</v>
      </c>
      <c r="AE158" s="157" t="s">
        <v>0</v>
      </c>
      <c r="AF158" s="157" t="s">
        <v>0</v>
      </c>
      <c r="AG158" s="157" t="s">
        <v>0</v>
      </c>
      <c r="AH158" s="157" t="s">
        <v>0</v>
      </c>
      <c r="AI158" s="157" t="s">
        <v>0</v>
      </c>
      <c r="AJ158" s="157" t="s">
        <v>0</v>
      </c>
      <c r="AK158" s="157" t="s">
        <v>0</v>
      </c>
      <c r="AL158" s="157" t="s">
        <v>0</v>
      </c>
      <c r="AM158" s="157" t="s">
        <v>0</v>
      </c>
      <c r="AN158" s="157" t="s">
        <v>0</v>
      </c>
      <c r="AO158" s="157" t="s">
        <v>0</v>
      </c>
      <c r="AP158" s="157" t="s">
        <v>0</v>
      </c>
      <c r="AQ158" s="157" t="s">
        <v>0</v>
      </c>
      <c r="AR158" s="157" t="s">
        <v>0</v>
      </c>
      <c r="AS158" s="157" t="s">
        <v>0</v>
      </c>
      <c r="AT158" s="157" t="s">
        <v>0</v>
      </c>
      <c r="AU158" s="157" t="s">
        <v>0</v>
      </c>
      <c r="AV158" s="157" t="s">
        <v>0</v>
      </c>
      <c r="AW158" s="157" t="s">
        <v>0</v>
      </c>
      <c r="AX158" s="157" t="s">
        <v>0</v>
      </c>
      <c r="AY158" s="157" t="s">
        <v>0</v>
      </c>
      <c r="AZ158" s="157" t="s">
        <v>0</v>
      </c>
      <c r="BA158" s="157" t="s">
        <v>0</v>
      </c>
      <c r="BB158" s="157" t="s">
        <v>0</v>
      </c>
      <c r="BC158" s="157" t="s">
        <v>0</v>
      </c>
      <c r="BD158" s="157" t="s">
        <v>0</v>
      </c>
      <c r="BE158" s="157" t="s">
        <v>0</v>
      </c>
      <c r="BF158" s="157" t="s">
        <v>0</v>
      </c>
      <c r="BG158" s="157" t="s">
        <v>0</v>
      </c>
      <c r="BH158" s="157" t="s">
        <v>0</v>
      </c>
      <c r="BI158" s="158"/>
      <c r="DL158">
        <f t="shared" si="750"/>
        <v>0</v>
      </c>
      <c r="DM158">
        <f t="shared" si="751"/>
        <v>0</v>
      </c>
      <c r="DN158">
        <f t="shared" si="752"/>
        <v>0</v>
      </c>
      <c r="DO158">
        <f t="shared" si="753"/>
        <v>0</v>
      </c>
      <c r="DP158">
        <f t="shared" si="754"/>
        <v>0</v>
      </c>
      <c r="DQ158">
        <f t="shared" si="755"/>
        <v>0</v>
      </c>
      <c r="DR158">
        <f t="shared" si="756"/>
        <v>0</v>
      </c>
      <c r="DS158">
        <f t="shared" si="757"/>
        <v>0</v>
      </c>
      <c r="DT158">
        <f t="shared" si="758"/>
        <v>0</v>
      </c>
      <c r="DU158">
        <f t="shared" si="759"/>
        <v>0</v>
      </c>
      <c r="DV158">
        <f t="shared" si="760"/>
        <v>0</v>
      </c>
      <c r="DW158">
        <f t="shared" si="761"/>
        <v>0</v>
      </c>
    </row>
    <row r="159" spans="1:127" x14ac:dyDescent="0.25">
      <c r="A159" s="22">
        <f t="shared" si="749"/>
        <v>153</v>
      </c>
      <c r="B159" s="59" t="str">
        <f t="shared" si="866"/>
        <v>F0013548111</v>
      </c>
      <c r="C159" s="214" t="str">
        <f t="shared" si="867"/>
        <v>82115-0E450 L</v>
      </c>
      <c r="D159" s="58" t="e">
        <f>VLOOKUP(B159,'Timing Table'!B:G,6,0)</f>
        <v>#N/A</v>
      </c>
      <c r="E159" s="22" t="e">
        <f>VLOOKUP(B159,'Timing Table'!B:D,3,0)</f>
        <v>#N/A</v>
      </c>
      <c r="F159" s="155" t="s">
        <v>70</v>
      </c>
      <c r="G159" s="181" t="s">
        <v>482</v>
      </c>
      <c r="H159" s="155" t="s">
        <v>71</v>
      </c>
      <c r="I159" s="182" t="s">
        <v>60</v>
      </c>
      <c r="J159" s="161" t="s">
        <v>0</v>
      </c>
      <c r="K159" s="194" t="s">
        <v>0</v>
      </c>
      <c r="L159" s="195" t="s">
        <v>0</v>
      </c>
      <c r="M159" s="179" t="s">
        <v>0</v>
      </c>
      <c r="N159" s="179" t="s">
        <v>0</v>
      </c>
      <c r="O159" s="179" t="s">
        <v>0</v>
      </c>
      <c r="P159" s="179" t="s">
        <v>0</v>
      </c>
      <c r="Q159" s="179" t="s">
        <v>1</v>
      </c>
      <c r="R159" s="179" t="s">
        <v>2</v>
      </c>
      <c r="S159" s="179" t="s">
        <v>0</v>
      </c>
      <c r="T159" s="179" t="s">
        <v>0</v>
      </c>
      <c r="U159" s="179" t="s">
        <v>0</v>
      </c>
      <c r="V159" s="179" t="s">
        <v>0</v>
      </c>
      <c r="W159" s="179" t="s">
        <v>0</v>
      </c>
      <c r="X159" s="179" t="s">
        <v>0</v>
      </c>
      <c r="Y159" s="179" t="s">
        <v>0</v>
      </c>
      <c r="Z159" s="179" t="s">
        <v>3</v>
      </c>
      <c r="AA159" s="179" t="s">
        <v>0</v>
      </c>
      <c r="AB159" s="179" t="s">
        <v>0</v>
      </c>
      <c r="AC159" s="179" t="s">
        <v>0</v>
      </c>
      <c r="AD159" s="179" t="s">
        <v>0</v>
      </c>
      <c r="AE159" s="179" t="s">
        <v>0</v>
      </c>
      <c r="AF159" s="179" t="s">
        <v>0</v>
      </c>
      <c r="AG159" s="179" t="s">
        <v>0</v>
      </c>
      <c r="AH159" s="179" t="s">
        <v>0</v>
      </c>
      <c r="AI159" s="179" t="s">
        <v>0</v>
      </c>
      <c r="AJ159" s="179" t="s">
        <v>0</v>
      </c>
      <c r="AK159" s="179" t="s">
        <v>0</v>
      </c>
      <c r="AL159" s="179" t="s">
        <v>0</v>
      </c>
      <c r="AM159" s="179" t="s">
        <v>0</v>
      </c>
      <c r="AN159" s="179" t="s">
        <v>0</v>
      </c>
      <c r="AO159" s="179" t="s">
        <v>0</v>
      </c>
      <c r="AP159" s="179" t="s">
        <v>0</v>
      </c>
      <c r="AQ159" s="179" t="s">
        <v>0</v>
      </c>
      <c r="AR159" s="179" t="s">
        <v>0</v>
      </c>
      <c r="AS159" s="179" t="s">
        <v>0</v>
      </c>
      <c r="AT159" s="179" t="s">
        <v>0</v>
      </c>
      <c r="AU159" s="179" t="s">
        <v>0</v>
      </c>
      <c r="AV159" s="179" t="s">
        <v>0</v>
      </c>
      <c r="AW159" s="179" t="s">
        <v>0</v>
      </c>
      <c r="AX159" s="179" t="s">
        <v>0</v>
      </c>
      <c r="AY159" s="179" t="s">
        <v>0</v>
      </c>
      <c r="AZ159" s="179" t="s">
        <v>0</v>
      </c>
      <c r="BA159" s="179" t="s">
        <v>0</v>
      </c>
      <c r="BB159" s="179" t="s">
        <v>0</v>
      </c>
      <c r="BC159" s="179" t="s">
        <v>0</v>
      </c>
      <c r="BD159" s="179" t="s">
        <v>0</v>
      </c>
      <c r="BE159" s="179" t="s">
        <v>0</v>
      </c>
      <c r="BF159" s="179" t="s">
        <v>0</v>
      </c>
      <c r="BG159" s="179" t="s">
        <v>0</v>
      </c>
      <c r="BH159" s="179" t="s">
        <v>0</v>
      </c>
      <c r="BI159" s="180" t="s">
        <v>4</v>
      </c>
      <c r="DL159">
        <f t="shared" si="750"/>
        <v>0</v>
      </c>
      <c r="DM159">
        <f t="shared" si="751"/>
        <v>0</v>
      </c>
      <c r="DN159">
        <f t="shared" si="752"/>
        <v>0</v>
      </c>
      <c r="DO159">
        <f t="shared" si="753"/>
        <v>0</v>
      </c>
      <c r="DP159">
        <f t="shared" si="754"/>
        <v>0</v>
      </c>
      <c r="DQ159">
        <f t="shared" si="755"/>
        <v>0</v>
      </c>
      <c r="DR159">
        <f t="shared" si="756"/>
        <v>0</v>
      </c>
      <c r="DS159">
        <f t="shared" si="757"/>
        <v>0</v>
      </c>
      <c r="DT159">
        <f t="shared" si="758"/>
        <v>0</v>
      </c>
      <c r="DU159">
        <f t="shared" si="759"/>
        <v>0</v>
      </c>
      <c r="DV159">
        <f t="shared" si="760"/>
        <v>0</v>
      </c>
      <c r="DW159">
        <f t="shared" si="761"/>
        <v>0</v>
      </c>
    </row>
    <row r="160" spans="1:127" x14ac:dyDescent="0.25">
      <c r="A160" s="22">
        <f t="shared" si="749"/>
        <v>154</v>
      </c>
      <c r="B160" s="59" t="str">
        <f t="shared" si="866"/>
        <v>F0013548111</v>
      </c>
      <c r="C160" s="214" t="str">
        <f t="shared" si="867"/>
        <v>82115-0E450 L</v>
      </c>
      <c r="D160" s="58" t="e">
        <f>VLOOKUP(B160,'Timing Table'!B:G,6,0)</f>
        <v>#N/A</v>
      </c>
      <c r="E160" s="22" t="e">
        <f>VLOOKUP(B160,'Timing Table'!B:D,3,0)</f>
        <v>#N/A</v>
      </c>
      <c r="F160" s="155" t="s">
        <v>72</v>
      </c>
      <c r="G160" s="181">
        <v>1736</v>
      </c>
      <c r="H160" s="196" t="s">
        <v>414</v>
      </c>
      <c r="I160" s="197" t="s">
        <v>73</v>
      </c>
      <c r="J160" s="13">
        <v>46041</v>
      </c>
      <c r="K160" s="14">
        <v>46048</v>
      </c>
      <c r="L160" s="14">
        <v>46055</v>
      </c>
      <c r="M160" s="14">
        <v>46062</v>
      </c>
      <c r="N160" s="14">
        <v>46069</v>
      </c>
      <c r="O160" s="14">
        <v>46076</v>
      </c>
      <c r="P160" s="14">
        <v>46083</v>
      </c>
      <c r="Q160" s="14">
        <v>46090</v>
      </c>
      <c r="R160" s="14">
        <v>46097</v>
      </c>
      <c r="S160" s="14">
        <v>46104</v>
      </c>
      <c r="T160" s="14">
        <v>46111</v>
      </c>
      <c r="U160" s="14">
        <v>46118</v>
      </c>
      <c r="V160" s="14">
        <v>46125</v>
      </c>
      <c r="W160" s="14">
        <v>46132</v>
      </c>
      <c r="X160" s="14">
        <v>46139</v>
      </c>
      <c r="Y160" s="14">
        <v>46146</v>
      </c>
      <c r="Z160" s="14">
        <v>46153</v>
      </c>
      <c r="AA160" s="14">
        <v>46160</v>
      </c>
      <c r="AB160" s="14">
        <v>46167</v>
      </c>
      <c r="AC160" s="14">
        <v>46174</v>
      </c>
      <c r="AD160" s="14">
        <v>46181</v>
      </c>
      <c r="AE160" s="14">
        <v>46188</v>
      </c>
      <c r="AF160" s="14">
        <v>46195</v>
      </c>
      <c r="AG160" s="14">
        <v>46202</v>
      </c>
      <c r="AH160" s="14">
        <v>46209</v>
      </c>
      <c r="AI160" s="14">
        <v>46216</v>
      </c>
      <c r="AJ160" s="14">
        <v>46223</v>
      </c>
      <c r="AK160" s="14">
        <v>46230</v>
      </c>
      <c r="AL160" s="14">
        <v>46237</v>
      </c>
      <c r="AM160" s="14">
        <v>46244</v>
      </c>
      <c r="AN160" s="14">
        <v>46251</v>
      </c>
      <c r="AO160" s="14">
        <v>46258</v>
      </c>
      <c r="AP160" s="14">
        <v>46265</v>
      </c>
      <c r="AQ160" s="14">
        <v>46272</v>
      </c>
      <c r="AR160" s="14">
        <v>46279</v>
      </c>
      <c r="AS160" s="14">
        <v>46286</v>
      </c>
      <c r="AT160" s="14">
        <v>46293</v>
      </c>
      <c r="AU160" s="14">
        <v>46300</v>
      </c>
      <c r="AV160" s="14">
        <v>46307</v>
      </c>
      <c r="AW160" s="14">
        <v>46314</v>
      </c>
      <c r="AX160" s="14">
        <v>46321</v>
      </c>
      <c r="AY160" s="14">
        <v>46328</v>
      </c>
      <c r="AZ160" s="14">
        <v>46335</v>
      </c>
      <c r="BA160" s="14">
        <v>46342</v>
      </c>
      <c r="BB160" s="14">
        <v>46349</v>
      </c>
      <c r="BC160" s="14">
        <v>46356</v>
      </c>
      <c r="BD160" s="14">
        <v>46363</v>
      </c>
      <c r="BE160" s="14">
        <v>46370</v>
      </c>
      <c r="BF160" s="14">
        <v>46377</v>
      </c>
      <c r="BG160" s="14">
        <v>46384</v>
      </c>
      <c r="BH160" s="14">
        <v>46391</v>
      </c>
      <c r="BI160" s="15">
        <v>46398</v>
      </c>
      <c r="DL160">
        <f t="shared" si="750"/>
        <v>0</v>
      </c>
      <c r="DM160">
        <f t="shared" si="751"/>
        <v>0</v>
      </c>
      <c r="DN160">
        <f t="shared" si="752"/>
        <v>0</v>
      </c>
      <c r="DO160">
        <f t="shared" si="753"/>
        <v>0</v>
      </c>
      <c r="DP160">
        <f t="shared" si="754"/>
        <v>0</v>
      </c>
      <c r="DQ160">
        <f t="shared" si="755"/>
        <v>0</v>
      </c>
      <c r="DR160">
        <f t="shared" si="756"/>
        <v>0</v>
      </c>
      <c r="DS160">
        <f t="shared" si="757"/>
        <v>0</v>
      </c>
      <c r="DT160">
        <f t="shared" si="758"/>
        <v>0</v>
      </c>
      <c r="DU160">
        <f t="shared" si="759"/>
        <v>0</v>
      </c>
      <c r="DV160">
        <f t="shared" si="760"/>
        <v>0</v>
      </c>
      <c r="DW160">
        <f t="shared" si="761"/>
        <v>0</v>
      </c>
    </row>
    <row r="161" spans="1:127" x14ac:dyDescent="0.25">
      <c r="A161" s="22">
        <f t="shared" si="749"/>
        <v>155</v>
      </c>
      <c r="B161" s="59" t="str">
        <f t="shared" si="866"/>
        <v>F0013548111</v>
      </c>
      <c r="C161" s="214" t="str">
        <f t="shared" si="867"/>
        <v>82115-0E450 L</v>
      </c>
      <c r="D161" s="58" t="e">
        <f>VLOOKUP(B161,'Timing Table'!B:G,6,0)</f>
        <v>#N/A</v>
      </c>
      <c r="E161" s="22" t="e">
        <f>VLOOKUP(B161,'Timing Table'!B:D,3,0)</f>
        <v>#N/A</v>
      </c>
      <c r="F161" s="155" t="s">
        <v>74</v>
      </c>
      <c r="G161" s="181">
        <v>2904</v>
      </c>
      <c r="H161" s="5" t="s">
        <v>60</v>
      </c>
      <c r="I161" s="11" t="s">
        <v>147</v>
      </c>
      <c r="J161" s="16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17"/>
      <c r="DL161">
        <f t="shared" si="750"/>
        <v>0</v>
      </c>
      <c r="DM161">
        <f t="shared" si="751"/>
        <v>0</v>
      </c>
      <c r="DN161">
        <f t="shared" si="752"/>
        <v>0</v>
      </c>
      <c r="DO161">
        <f t="shared" si="753"/>
        <v>0</v>
      </c>
      <c r="DP161">
        <f t="shared" si="754"/>
        <v>0</v>
      </c>
      <c r="DQ161">
        <f t="shared" si="755"/>
        <v>0</v>
      </c>
      <c r="DR161">
        <f t="shared" si="756"/>
        <v>0</v>
      </c>
      <c r="DS161">
        <f t="shared" si="757"/>
        <v>0</v>
      </c>
      <c r="DT161">
        <f t="shared" si="758"/>
        <v>0</v>
      </c>
      <c r="DU161">
        <f t="shared" si="759"/>
        <v>0</v>
      </c>
      <c r="DV161">
        <f t="shared" si="760"/>
        <v>0</v>
      </c>
      <c r="DW161">
        <f t="shared" si="761"/>
        <v>0</v>
      </c>
    </row>
    <row r="162" spans="1:127" x14ac:dyDescent="0.25">
      <c r="A162" s="22">
        <f t="shared" si="749"/>
        <v>156</v>
      </c>
      <c r="B162" s="59" t="str">
        <f t="shared" si="866"/>
        <v>F0013548111</v>
      </c>
      <c r="C162" s="214" t="str">
        <f t="shared" si="867"/>
        <v>82115-0E450 L</v>
      </c>
      <c r="D162" s="58" t="e">
        <f>VLOOKUP(B162,'Timing Table'!B:G,6,0)</f>
        <v>#N/A</v>
      </c>
      <c r="E162" s="22" t="e">
        <f>VLOOKUP(B162,'Timing Table'!B:D,3,0)</f>
        <v>#N/A</v>
      </c>
      <c r="F162" s="155" t="s">
        <v>75</v>
      </c>
      <c r="G162" s="198" t="s">
        <v>486</v>
      </c>
      <c r="H162" s="9" t="s">
        <v>176</v>
      </c>
      <c r="I162" s="11" t="s">
        <v>76</v>
      </c>
      <c r="J162" s="143">
        <v>196</v>
      </c>
      <c r="K162" s="64">
        <v>240</v>
      </c>
      <c r="L162" s="64">
        <v>64</v>
      </c>
      <c r="M162" s="64">
        <v>448</v>
      </c>
      <c r="N162" s="64">
        <v>196</v>
      </c>
      <c r="O162" s="64">
        <v>216</v>
      </c>
      <c r="P162" s="64">
        <v>72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0</v>
      </c>
      <c r="AK162" s="64">
        <v>0</v>
      </c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0</v>
      </c>
      <c r="BH162" s="64">
        <v>0</v>
      </c>
      <c r="BI162" s="144">
        <v>0</v>
      </c>
      <c r="BJ162" s="24" t="str">
        <f>+G159</f>
        <v>82115-0E450 L</v>
      </c>
      <c r="BK162" s="24">
        <f>+J162</f>
        <v>196</v>
      </c>
      <c r="BL162" s="24">
        <f t="shared" ref="BL162" si="868">+K162</f>
        <v>240</v>
      </c>
      <c r="BM162" s="24">
        <f t="shared" ref="BM162" si="869">+L162</f>
        <v>64</v>
      </c>
      <c r="BN162" s="24">
        <f t="shared" ref="BN162" si="870">+M162</f>
        <v>448</v>
      </c>
      <c r="BO162" s="24">
        <f t="shared" ref="BO162" si="871">+N162</f>
        <v>196</v>
      </c>
      <c r="BP162" s="24">
        <f t="shared" ref="BP162" si="872">+O162</f>
        <v>216</v>
      </c>
      <c r="BQ162" s="24">
        <f t="shared" ref="BQ162" si="873">+P162</f>
        <v>72</v>
      </c>
      <c r="BR162" s="24">
        <f t="shared" ref="BR162" si="874">+Q162</f>
        <v>0</v>
      </c>
      <c r="BS162" s="24">
        <f t="shared" ref="BS162" si="875">+R162</f>
        <v>0</v>
      </c>
      <c r="BT162" s="24">
        <f t="shared" ref="BT162" si="876">+S162</f>
        <v>0</v>
      </c>
      <c r="BU162" s="24">
        <f t="shared" ref="BU162" si="877">+T162</f>
        <v>0</v>
      </c>
      <c r="BV162" s="24">
        <f t="shared" ref="BV162" si="878">+U162</f>
        <v>0</v>
      </c>
      <c r="BW162" s="24">
        <f t="shared" ref="BW162" si="879">+V162</f>
        <v>0</v>
      </c>
      <c r="BX162" s="24">
        <f t="shared" ref="BX162" si="880">+W162</f>
        <v>0</v>
      </c>
      <c r="BY162" s="24">
        <f t="shared" ref="BY162" si="881">+X162</f>
        <v>0</v>
      </c>
      <c r="BZ162" s="24">
        <f t="shared" ref="BZ162" si="882">+Y162</f>
        <v>0</v>
      </c>
      <c r="CA162" s="24">
        <f t="shared" ref="CA162" si="883">+Z162</f>
        <v>0</v>
      </c>
      <c r="CB162" s="24">
        <f t="shared" ref="CB162" si="884">+AA162</f>
        <v>0</v>
      </c>
      <c r="CC162" s="24">
        <f t="shared" ref="CC162" si="885">+AB162</f>
        <v>0</v>
      </c>
      <c r="CD162" s="24">
        <f t="shared" ref="CD162" si="886">+AC162</f>
        <v>0</v>
      </c>
      <c r="CE162" s="24">
        <f t="shared" ref="CE162" si="887">+AD162</f>
        <v>0</v>
      </c>
      <c r="CF162" s="24">
        <f t="shared" ref="CF162" si="888">+AE162</f>
        <v>0</v>
      </c>
      <c r="CG162" s="24">
        <f t="shared" ref="CG162" si="889">+AF162</f>
        <v>0</v>
      </c>
      <c r="CH162" s="24">
        <f t="shared" ref="CH162" si="890">+AG162</f>
        <v>0</v>
      </c>
      <c r="CI162" s="24">
        <f t="shared" ref="CI162" si="891">+AH162</f>
        <v>0</v>
      </c>
      <c r="CJ162" s="24">
        <f t="shared" ref="CJ162" si="892">+AI162</f>
        <v>0</v>
      </c>
      <c r="CK162" s="24">
        <f t="shared" ref="CK162" si="893">+AJ162</f>
        <v>0</v>
      </c>
      <c r="CL162" s="24">
        <f t="shared" ref="CL162" si="894">+AK162</f>
        <v>0</v>
      </c>
      <c r="CM162" s="24">
        <f t="shared" ref="CM162" si="895">+AL162</f>
        <v>0</v>
      </c>
      <c r="CN162" s="24">
        <f t="shared" ref="CN162" si="896">+AM162</f>
        <v>0</v>
      </c>
      <c r="CO162" s="24">
        <f t="shared" ref="CO162" si="897">+AN162</f>
        <v>0</v>
      </c>
      <c r="CP162" s="166">
        <f t="shared" ref="CP162" si="898">+AO162</f>
        <v>0</v>
      </c>
      <c r="CQ162" s="166">
        <f t="shared" ref="CQ162" si="899">+AP162</f>
        <v>0</v>
      </c>
      <c r="CR162">
        <f t="shared" ref="CR162" si="900">+AQ162</f>
        <v>0</v>
      </c>
      <c r="CS162">
        <f t="shared" ref="CS162" si="901">+AR162</f>
        <v>0</v>
      </c>
      <c r="CT162">
        <f t="shared" ref="CT162" si="902">+AS162</f>
        <v>0</v>
      </c>
      <c r="CU162">
        <f t="shared" ref="CU162" si="903">+AT162</f>
        <v>0</v>
      </c>
      <c r="CV162">
        <f t="shared" ref="CV162" si="904">+AU162</f>
        <v>0</v>
      </c>
      <c r="CW162">
        <f t="shared" ref="CW162" si="905">+AV162</f>
        <v>0</v>
      </c>
      <c r="CX162">
        <f t="shared" ref="CX162" si="906">+AW162</f>
        <v>0</v>
      </c>
      <c r="CY162">
        <f t="shared" ref="CY162" si="907">+AX162</f>
        <v>0</v>
      </c>
      <c r="CZ162">
        <f t="shared" ref="CZ162" si="908">+AY162</f>
        <v>0</v>
      </c>
      <c r="DA162">
        <f t="shared" ref="DA162" si="909">+AZ162</f>
        <v>0</v>
      </c>
      <c r="DB162">
        <f t="shared" ref="DB162" si="910">+BA162</f>
        <v>0</v>
      </c>
      <c r="DC162">
        <f t="shared" ref="DC162" si="911">+BB162</f>
        <v>0</v>
      </c>
      <c r="DD162">
        <f t="shared" ref="DD162" si="912">+BC162</f>
        <v>0</v>
      </c>
      <c r="DE162">
        <f t="shared" ref="DE162" si="913">+BD162</f>
        <v>0</v>
      </c>
      <c r="DF162">
        <f t="shared" ref="DF162" si="914">+BE162</f>
        <v>0</v>
      </c>
      <c r="DG162">
        <f t="shared" ref="DG162" si="915">+BF162</f>
        <v>0</v>
      </c>
      <c r="DH162">
        <f t="shared" ref="DH162" si="916">+BG162</f>
        <v>0</v>
      </c>
      <c r="DI162">
        <f t="shared" ref="DI162" si="917">+BH162</f>
        <v>0</v>
      </c>
      <c r="DJ162">
        <f t="shared" ref="DJ162" si="918">+BI162</f>
        <v>0</v>
      </c>
      <c r="DL162" s="24">
        <f t="shared" si="750"/>
        <v>436</v>
      </c>
      <c r="DM162" s="24">
        <f t="shared" si="751"/>
        <v>924</v>
      </c>
      <c r="DN162" s="24">
        <f t="shared" si="752"/>
        <v>72</v>
      </c>
      <c r="DO162" s="24">
        <f t="shared" si="753"/>
        <v>0</v>
      </c>
      <c r="DP162" s="24">
        <f t="shared" si="754"/>
        <v>0</v>
      </c>
      <c r="DQ162" s="24">
        <f t="shared" si="755"/>
        <v>0</v>
      </c>
      <c r="DR162" s="24">
        <f t="shared" si="756"/>
        <v>0</v>
      </c>
      <c r="DS162" s="24">
        <f t="shared" si="757"/>
        <v>0</v>
      </c>
      <c r="DT162" s="24">
        <f t="shared" si="758"/>
        <v>0</v>
      </c>
      <c r="DU162">
        <f t="shared" si="759"/>
        <v>0</v>
      </c>
      <c r="DV162">
        <f t="shared" si="760"/>
        <v>0</v>
      </c>
      <c r="DW162">
        <f t="shared" si="761"/>
        <v>0</v>
      </c>
    </row>
    <row r="163" spans="1:127" x14ac:dyDescent="0.25">
      <c r="A163" s="22">
        <f t="shared" si="749"/>
        <v>157</v>
      </c>
      <c r="B163" s="59" t="str">
        <f t="shared" si="866"/>
        <v>F0013548111</v>
      </c>
      <c r="C163" s="214" t="str">
        <f t="shared" si="867"/>
        <v>82115-0E450 L</v>
      </c>
      <c r="D163" s="58" t="e">
        <f>VLOOKUP(B163,'Timing Table'!B:G,6,0)</f>
        <v>#N/A</v>
      </c>
      <c r="E163" s="22" t="e">
        <f>VLOOKUP(B163,'Timing Table'!B:D,3,0)</f>
        <v>#N/A</v>
      </c>
      <c r="F163" s="155" t="s">
        <v>77</v>
      </c>
      <c r="G163" s="181">
        <v>82115</v>
      </c>
      <c r="H163" s="10" t="s">
        <v>176</v>
      </c>
      <c r="I163" s="12" t="s">
        <v>78</v>
      </c>
      <c r="J163" s="152">
        <v>196</v>
      </c>
      <c r="K163" s="153">
        <v>436</v>
      </c>
      <c r="L163" s="153">
        <v>500</v>
      </c>
      <c r="M163" s="153">
        <v>948</v>
      </c>
      <c r="N163" s="153">
        <v>1144</v>
      </c>
      <c r="O163" s="153">
        <v>1360</v>
      </c>
      <c r="P163" s="153">
        <v>1432</v>
      </c>
      <c r="Q163" s="153">
        <v>1432</v>
      </c>
      <c r="R163" s="153">
        <v>1432</v>
      </c>
      <c r="S163" s="153">
        <v>1432</v>
      </c>
      <c r="T163" s="153">
        <v>1432</v>
      </c>
      <c r="U163" s="153">
        <v>1432</v>
      </c>
      <c r="V163" s="153">
        <v>1432</v>
      </c>
      <c r="W163" s="153">
        <v>1432</v>
      </c>
      <c r="X163" s="153">
        <v>1432</v>
      </c>
      <c r="Y163" s="153">
        <v>1432</v>
      </c>
      <c r="Z163" s="153">
        <v>1432</v>
      </c>
      <c r="AA163" s="153">
        <v>1432</v>
      </c>
      <c r="AB163" s="153">
        <v>1432</v>
      </c>
      <c r="AC163" s="153">
        <v>1432</v>
      </c>
      <c r="AD163" s="153">
        <v>1432</v>
      </c>
      <c r="AE163" s="153">
        <v>1432</v>
      </c>
      <c r="AF163" s="153">
        <v>1432</v>
      </c>
      <c r="AG163" s="153">
        <v>1432</v>
      </c>
      <c r="AH163" s="153">
        <v>1432</v>
      </c>
      <c r="AI163" s="153">
        <v>1432</v>
      </c>
      <c r="AJ163" s="153">
        <v>1432</v>
      </c>
      <c r="AK163" s="153">
        <v>1432</v>
      </c>
      <c r="AL163" s="153">
        <v>1432</v>
      </c>
      <c r="AM163" s="153">
        <v>1432</v>
      </c>
      <c r="AN163" s="153">
        <v>1432</v>
      </c>
      <c r="AO163" s="153">
        <v>1432</v>
      </c>
      <c r="AP163" s="153">
        <v>1432</v>
      </c>
      <c r="AQ163" s="153">
        <v>1432</v>
      </c>
      <c r="AR163" s="153">
        <v>1432</v>
      </c>
      <c r="AS163" s="153">
        <v>1432</v>
      </c>
      <c r="AT163" s="153">
        <v>1432</v>
      </c>
      <c r="AU163" s="153">
        <v>1432</v>
      </c>
      <c r="AV163" s="153">
        <v>1432</v>
      </c>
      <c r="AW163" s="153">
        <v>1432</v>
      </c>
      <c r="AX163" s="153">
        <v>1432</v>
      </c>
      <c r="AY163" s="153">
        <v>1432</v>
      </c>
      <c r="AZ163" s="153">
        <v>1432</v>
      </c>
      <c r="BA163" s="153">
        <v>1432</v>
      </c>
      <c r="BB163" s="153">
        <v>1432</v>
      </c>
      <c r="BC163" s="153">
        <v>1432</v>
      </c>
      <c r="BD163" s="153">
        <v>1432</v>
      </c>
      <c r="BE163" s="153">
        <v>1432</v>
      </c>
      <c r="BF163" s="153">
        <v>1432</v>
      </c>
      <c r="BG163" s="153">
        <v>1432</v>
      </c>
      <c r="BH163" s="153">
        <v>1432</v>
      </c>
      <c r="BI163" s="154">
        <v>1432</v>
      </c>
      <c r="DL163">
        <f t="shared" si="750"/>
        <v>0</v>
      </c>
      <c r="DM163">
        <f t="shared" si="751"/>
        <v>0</v>
      </c>
      <c r="DN163">
        <f t="shared" si="752"/>
        <v>0</v>
      </c>
      <c r="DO163">
        <f t="shared" si="753"/>
        <v>0</v>
      </c>
      <c r="DP163">
        <f t="shared" si="754"/>
        <v>0</v>
      </c>
      <c r="DQ163">
        <f t="shared" si="755"/>
        <v>0</v>
      </c>
      <c r="DR163">
        <f t="shared" si="756"/>
        <v>0</v>
      </c>
      <c r="DS163">
        <f t="shared" si="757"/>
        <v>0</v>
      </c>
      <c r="DT163">
        <f t="shared" si="758"/>
        <v>0</v>
      </c>
      <c r="DU163">
        <f t="shared" si="759"/>
        <v>0</v>
      </c>
      <c r="DV163">
        <f t="shared" si="760"/>
        <v>0</v>
      </c>
      <c r="DW163">
        <f t="shared" si="761"/>
        <v>0</v>
      </c>
    </row>
    <row r="164" spans="1:127" x14ac:dyDescent="0.25">
      <c r="A164" s="22">
        <f t="shared" si="749"/>
        <v>158</v>
      </c>
      <c r="B164" s="59" t="str">
        <f t="shared" si="866"/>
        <v>F0013548111</v>
      </c>
      <c r="C164" s="214" t="str">
        <f t="shared" si="867"/>
        <v>82115-0E450 L</v>
      </c>
      <c r="D164" s="58" t="e">
        <f>VLOOKUP(B164,'Timing Table'!B:G,6,0)</f>
        <v>#N/A</v>
      </c>
      <c r="E164" s="22" t="e">
        <f>VLOOKUP(B164,'Timing Table'!B:D,3,0)</f>
        <v>#N/A</v>
      </c>
      <c r="F164" s="155" t="s">
        <v>79</v>
      </c>
      <c r="G164" s="199">
        <v>0</v>
      </c>
      <c r="H164" s="184" t="s">
        <v>80</v>
      </c>
      <c r="I164" s="185"/>
      <c r="J164" s="200"/>
      <c r="K164" s="156"/>
      <c r="L164" s="157" t="s">
        <v>0</v>
      </c>
      <c r="M164" s="157" t="s">
        <v>0</v>
      </c>
      <c r="N164" s="157" t="s">
        <v>0</v>
      </c>
      <c r="O164" s="157" t="s">
        <v>0</v>
      </c>
      <c r="P164" s="157" t="s">
        <v>0</v>
      </c>
      <c r="Q164" s="157">
        <v>-1</v>
      </c>
      <c r="R164" s="157" t="s">
        <v>0</v>
      </c>
      <c r="S164" s="157" t="s">
        <v>0</v>
      </c>
      <c r="T164" s="157" t="s">
        <v>0</v>
      </c>
      <c r="U164" s="157" t="s">
        <v>0</v>
      </c>
      <c r="V164" s="157" t="s">
        <v>0</v>
      </c>
      <c r="W164" s="157" t="s">
        <v>0</v>
      </c>
      <c r="X164" s="157" t="s">
        <v>0</v>
      </c>
      <c r="Y164" s="157" t="s">
        <v>0</v>
      </c>
      <c r="Z164" s="157" t="s">
        <v>0</v>
      </c>
      <c r="AA164" s="157" t="s">
        <v>0</v>
      </c>
      <c r="AB164" s="157" t="s">
        <v>0</v>
      </c>
      <c r="AC164" s="157" t="s">
        <v>0</v>
      </c>
      <c r="AD164" s="157" t="s">
        <v>0</v>
      </c>
      <c r="AE164" s="157" t="s">
        <v>0</v>
      </c>
      <c r="AF164" s="157" t="s">
        <v>0</v>
      </c>
      <c r="AG164" s="157" t="s">
        <v>0</v>
      </c>
      <c r="AH164" s="157" t="s">
        <v>0</v>
      </c>
      <c r="AI164" s="157" t="s">
        <v>0</v>
      </c>
      <c r="AJ164" s="157" t="s">
        <v>0</v>
      </c>
      <c r="AK164" s="157" t="s">
        <v>0</v>
      </c>
      <c r="AL164" s="157" t="s">
        <v>0</v>
      </c>
      <c r="AM164" s="157" t="s">
        <v>0</v>
      </c>
      <c r="AN164" s="157" t="s">
        <v>0</v>
      </c>
      <c r="AO164" s="157" t="s">
        <v>0</v>
      </c>
      <c r="AP164" s="157" t="s">
        <v>0</v>
      </c>
      <c r="AQ164" s="157" t="s">
        <v>0</v>
      </c>
      <c r="AR164" s="157" t="s">
        <v>0</v>
      </c>
      <c r="AS164" s="157" t="s">
        <v>0</v>
      </c>
      <c r="AT164" s="157" t="s">
        <v>0</v>
      </c>
      <c r="AU164" s="157" t="s">
        <v>0</v>
      </c>
      <c r="AV164" s="157" t="s">
        <v>0</v>
      </c>
      <c r="AW164" s="157" t="s">
        <v>0</v>
      </c>
      <c r="AX164" s="157" t="s">
        <v>0</v>
      </c>
      <c r="AY164" s="157" t="s">
        <v>0</v>
      </c>
      <c r="AZ164" s="157" t="s">
        <v>0</v>
      </c>
      <c r="BA164" s="157" t="s">
        <v>0</v>
      </c>
      <c r="BB164" s="157" t="s">
        <v>0</v>
      </c>
      <c r="BC164" s="157" t="s">
        <v>0</v>
      </c>
      <c r="BD164" s="157" t="s">
        <v>0</v>
      </c>
      <c r="BE164" s="157" t="s">
        <v>0</v>
      </c>
      <c r="BF164" s="157" t="s">
        <v>0</v>
      </c>
      <c r="BG164" s="157" t="s">
        <v>0</v>
      </c>
      <c r="BH164" s="157" t="s">
        <v>0</v>
      </c>
      <c r="BI164" s="158"/>
      <c r="DL164">
        <f t="shared" si="750"/>
        <v>0</v>
      </c>
      <c r="DM164">
        <f t="shared" si="751"/>
        <v>0</v>
      </c>
      <c r="DN164">
        <f t="shared" si="752"/>
        <v>0</v>
      </c>
      <c r="DO164">
        <f t="shared" si="753"/>
        <v>0</v>
      </c>
      <c r="DP164">
        <f t="shared" si="754"/>
        <v>0</v>
      </c>
      <c r="DQ164">
        <f t="shared" si="755"/>
        <v>0</v>
      </c>
      <c r="DR164">
        <f t="shared" si="756"/>
        <v>0</v>
      </c>
      <c r="DS164">
        <f t="shared" si="757"/>
        <v>0</v>
      </c>
      <c r="DT164">
        <f t="shared" si="758"/>
        <v>0</v>
      </c>
      <c r="DU164">
        <f t="shared" si="759"/>
        <v>0</v>
      </c>
      <c r="DV164">
        <f t="shared" si="760"/>
        <v>0</v>
      </c>
      <c r="DW164">
        <f t="shared" si="761"/>
        <v>0</v>
      </c>
    </row>
    <row r="165" spans="1:127" x14ac:dyDescent="0.25">
      <c r="A165" s="22">
        <f t="shared" si="749"/>
        <v>159</v>
      </c>
      <c r="B165" s="59" t="str">
        <f t="shared" si="866"/>
        <v>F0013548111</v>
      </c>
      <c r="C165" s="214" t="str">
        <f>IF(F165=$F$7,#REF!,C164)</f>
        <v>82115-0E450 L</v>
      </c>
      <c r="D165" s="58" t="e">
        <f>VLOOKUP(B165,'Timing Table'!B:G,6,0)</f>
        <v>#N/A</v>
      </c>
      <c r="E165" s="22" t="e">
        <f>VLOOKUP(B165,'Timing Table'!B:D,3,0)</f>
        <v>#N/A</v>
      </c>
      <c r="F165" s="159" t="s">
        <v>81</v>
      </c>
      <c r="G165" s="160" t="s">
        <v>60</v>
      </c>
      <c r="H165" s="201" t="s">
        <v>60</v>
      </c>
      <c r="I165" s="183" t="s">
        <v>60</v>
      </c>
      <c r="J165" s="183" t="s">
        <v>0</v>
      </c>
      <c r="K165" s="183" t="s">
        <v>0</v>
      </c>
      <c r="L165" s="183" t="s">
        <v>0</v>
      </c>
      <c r="M165" s="183" t="s">
        <v>0</v>
      </c>
      <c r="N165" s="183" t="s">
        <v>0</v>
      </c>
      <c r="O165" s="183" t="s">
        <v>0</v>
      </c>
      <c r="P165" s="183" t="s">
        <v>0</v>
      </c>
      <c r="Q165" s="183" t="s">
        <v>519</v>
      </c>
      <c r="R165" s="183"/>
      <c r="S165" s="183" t="s">
        <v>0</v>
      </c>
      <c r="T165" s="183" t="s">
        <v>0</v>
      </c>
      <c r="U165" s="183" t="s">
        <v>0</v>
      </c>
      <c r="V165" s="183" t="s">
        <v>0</v>
      </c>
      <c r="W165" s="183" t="s">
        <v>0</v>
      </c>
      <c r="X165" s="183" t="s">
        <v>0</v>
      </c>
      <c r="Y165" s="183" t="s">
        <v>0</v>
      </c>
      <c r="Z165" s="183" t="s">
        <v>0</v>
      </c>
      <c r="AA165" s="183" t="s">
        <v>0</v>
      </c>
      <c r="AB165" s="183" t="s">
        <v>0</v>
      </c>
      <c r="AC165" s="183" t="s">
        <v>0</v>
      </c>
      <c r="AD165" s="183" t="s">
        <v>0</v>
      </c>
      <c r="AE165" s="183" t="s">
        <v>0</v>
      </c>
      <c r="AF165" s="183" t="s">
        <v>0</v>
      </c>
      <c r="AG165" s="183" t="s">
        <v>0</v>
      </c>
      <c r="AH165" s="183" t="s">
        <v>0</v>
      </c>
      <c r="AI165" s="183" t="s">
        <v>0</v>
      </c>
      <c r="AJ165" s="183" t="s">
        <v>0</v>
      </c>
      <c r="AK165" s="183" t="s">
        <v>0</v>
      </c>
      <c r="AL165" s="183" t="s">
        <v>0</v>
      </c>
      <c r="AM165" s="183" t="s">
        <v>0</v>
      </c>
      <c r="AN165" s="183" t="s">
        <v>0</v>
      </c>
      <c r="AO165" s="183" t="s">
        <v>0</v>
      </c>
      <c r="AP165" s="183" t="s">
        <v>0</v>
      </c>
      <c r="AQ165" s="183" t="s">
        <v>0</v>
      </c>
      <c r="AR165" s="183" t="s">
        <v>0</v>
      </c>
      <c r="AS165" s="183" t="s">
        <v>0</v>
      </c>
      <c r="AT165" s="183" t="s">
        <v>0</v>
      </c>
      <c r="AU165" s="183" t="s">
        <v>0</v>
      </c>
      <c r="AV165" s="183" t="s">
        <v>0</v>
      </c>
      <c r="AW165" s="183" t="s">
        <v>0</v>
      </c>
      <c r="AX165" s="183" t="s">
        <v>0</v>
      </c>
      <c r="AY165" s="183" t="s">
        <v>0</v>
      </c>
      <c r="AZ165" s="183" t="s">
        <v>0</v>
      </c>
      <c r="BA165" s="183" t="s">
        <v>0</v>
      </c>
      <c r="BB165" s="183" t="s">
        <v>0</v>
      </c>
      <c r="BC165" s="183" t="s">
        <v>0</v>
      </c>
      <c r="BD165" s="183" t="s">
        <v>0</v>
      </c>
      <c r="BE165" s="183" t="s">
        <v>0</v>
      </c>
      <c r="BF165" s="183" t="s">
        <v>0</v>
      </c>
      <c r="BG165" s="183" t="s">
        <v>0</v>
      </c>
      <c r="BH165" s="183" t="s">
        <v>0</v>
      </c>
      <c r="BI165" s="161"/>
      <c r="DL165">
        <f t="shared" si="750"/>
        <v>0</v>
      </c>
      <c r="DM165">
        <f t="shared" si="751"/>
        <v>0</v>
      </c>
      <c r="DN165">
        <f t="shared" si="752"/>
        <v>0</v>
      </c>
      <c r="DO165">
        <f t="shared" si="753"/>
        <v>0</v>
      </c>
      <c r="DP165">
        <f t="shared" si="754"/>
        <v>0</v>
      </c>
      <c r="DQ165">
        <f t="shared" si="755"/>
        <v>0</v>
      </c>
      <c r="DR165">
        <f t="shared" si="756"/>
        <v>0</v>
      </c>
      <c r="DS165">
        <f t="shared" si="757"/>
        <v>0</v>
      </c>
      <c r="DT165">
        <f t="shared" si="758"/>
        <v>0</v>
      </c>
      <c r="DU165">
        <f t="shared" si="759"/>
        <v>0</v>
      </c>
      <c r="DV165">
        <f t="shared" si="760"/>
        <v>0</v>
      </c>
      <c r="DW165">
        <f t="shared" si="761"/>
        <v>0</v>
      </c>
    </row>
    <row r="166" spans="1:127" x14ac:dyDescent="0.25">
      <c r="A166" s="22">
        <f t="shared" si="749"/>
        <v>160</v>
      </c>
      <c r="B166" s="59" t="str">
        <f>IF(F166=$F$7,#REF!,B165)</f>
        <v>F0013548111</v>
      </c>
      <c r="C166" s="214" t="str">
        <f>IF(F166=$F$7,#REF!,C165)</f>
        <v>82115-0E450 L</v>
      </c>
      <c r="D166" s="58" t="e">
        <f>VLOOKUP(B166,'Timing Table'!B:G,6,0)</f>
        <v>#N/A</v>
      </c>
      <c r="E166" s="22" t="e">
        <f>VLOOKUP(B166,'Timing Table'!B:D,3,0)</f>
        <v>#N/A</v>
      </c>
      <c r="F166" s="188" t="s">
        <v>60</v>
      </c>
      <c r="G166" s="162" t="s">
        <v>60</v>
      </c>
      <c r="H166" s="163" t="s">
        <v>60</v>
      </c>
      <c r="I166" s="164" t="s">
        <v>60</v>
      </c>
      <c r="J166" s="164" t="s">
        <v>0</v>
      </c>
      <c r="K166" s="164" t="s">
        <v>0</v>
      </c>
      <c r="L166" s="164" t="s">
        <v>0</v>
      </c>
      <c r="M166" s="164" t="s">
        <v>0</v>
      </c>
      <c r="N166" s="164" t="s">
        <v>0</v>
      </c>
      <c r="O166" s="164" t="s">
        <v>0</v>
      </c>
      <c r="P166" s="164" t="s">
        <v>0</v>
      </c>
      <c r="Q166" s="164" t="s">
        <v>0</v>
      </c>
      <c r="R166" s="164" t="s">
        <v>0</v>
      </c>
      <c r="S166" s="164" t="s">
        <v>0</v>
      </c>
      <c r="T166" s="164" t="s">
        <v>0</v>
      </c>
      <c r="U166" s="164" t="s">
        <v>0</v>
      </c>
      <c r="V166" s="164" t="s">
        <v>0</v>
      </c>
      <c r="W166" s="164" t="s">
        <v>0</v>
      </c>
      <c r="X166" s="164" t="s">
        <v>0</v>
      </c>
      <c r="Y166" s="164" t="s">
        <v>0</v>
      </c>
      <c r="Z166" s="164" t="s">
        <v>0</v>
      </c>
      <c r="AA166" s="164" t="s">
        <v>0</v>
      </c>
      <c r="AB166" s="164" t="s">
        <v>0</v>
      </c>
      <c r="AC166" s="164" t="s">
        <v>0</v>
      </c>
      <c r="AD166" s="164" t="s">
        <v>0</v>
      </c>
      <c r="AE166" s="164" t="s">
        <v>0</v>
      </c>
      <c r="AF166" s="164" t="s">
        <v>0</v>
      </c>
      <c r="AG166" s="164" t="s">
        <v>0</v>
      </c>
      <c r="AH166" s="164" t="s">
        <v>0</v>
      </c>
      <c r="AI166" s="164" t="s">
        <v>0</v>
      </c>
      <c r="AJ166" s="164" t="s">
        <v>0</v>
      </c>
      <c r="AK166" s="164" t="s">
        <v>0</v>
      </c>
      <c r="AL166" s="164" t="s">
        <v>0</v>
      </c>
      <c r="AM166" s="164" t="s">
        <v>0</v>
      </c>
      <c r="AN166" s="164" t="s">
        <v>0</v>
      </c>
      <c r="AO166" s="164" t="s">
        <v>0</v>
      </c>
      <c r="AP166" s="164" t="s">
        <v>0</v>
      </c>
      <c r="AQ166" s="164" t="s">
        <v>0</v>
      </c>
      <c r="AR166" s="164" t="s">
        <v>0</v>
      </c>
      <c r="AS166" s="164" t="s">
        <v>0</v>
      </c>
      <c r="AT166" s="164" t="s">
        <v>0</v>
      </c>
      <c r="AU166" s="164" t="s">
        <v>0</v>
      </c>
      <c r="AV166" s="164" t="s">
        <v>0</v>
      </c>
      <c r="AW166" s="164" t="s">
        <v>0</v>
      </c>
      <c r="AX166" s="164" t="s">
        <v>0</v>
      </c>
      <c r="AY166" s="164" t="s">
        <v>0</v>
      </c>
      <c r="AZ166" s="164" t="s">
        <v>0</v>
      </c>
      <c r="BA166" s="164" t="s">
        <v>0</v>
      </c>
      <c r="BB166" s="164" t="s">
        <v>0</v>
      </c>
      <c r="BC166" s="164" t="s">
        <v>0</v>
      </c>
      <c r="BD166" s="164" t="s">
        <v>0</v>
      </c>
      <c r="BE166" s="164" t="s">
        <v>0</v>
      </c>
      <c r="BF166" s="164" t="s">
        <v>0</v>
      </c>
      <c r="BG166" s="164" t="s">
        <v>0</v>
      </c>
      <c r="BH166" s="164" t="s">
        <v>0</v>
      </c>
      <c r="BI166" s="189"/>
      <c r="DL166">
        <f t="shared" si="750"/>
        <v>0</v>
      </c>
      <c r="DM166">
        <f t="shared" si="751"/>
        <v>0</v>
      </c>
      <c r="DN166">
        <f t="shared" si="752"/>
        <v>0</v>
      </c>
      <c r="DO166">
        <f t="shared" si="753"/>
        <v>0</v>
      </c>
      <c r="DP166">
        <f t="shared" si="754"/>
        <v>0</v>
      </c>
      <c r="DQ166">
        <f t="shared" si="755"/>
        <v>0</v>
      </c>
      <c r="DR166">
        <f t="shared" si="756"/>
        <v>0</v>
      </c>
      <c r="DS166">
        <f t="shared" si="757"/>
        <v>0</v>
      </c>
      <c r="DT166">
        <f t="shared" si="758"/>
        <v>0</v>
      </c>
      <c r="DU166">
        <f t="shared" si="759"/>
        <v>0</v>
      </c>
      <c r="DV166">
        <f t="shared" si="760"/>
        <v>0</v>
      </c>
      <c r="DW166">
        <f t="shared" si="761"/>
        <v>0</v>
      </c>
    </row>
    <row r="167" spans="1:127" x14ac:dyDescent="0.25">
      <c r="A167" s="22">
        <f t="shared" si="749"/>
        <v>161</v>
      </c>
      <c r="B167" s="59" t="str">
        <f t="shared" ref="B167:B230" si="919">IF(F167=$F$7,G168,B166)</f>
        <v>F0013548112</v>
      </c>
      <c r="C167" s="214" t="str">
        <f t="shared" ref="C167:C230" si="920">IF(F167=$F$7,G169,C166)</f>
        <v>82115-0E450 M</v>
      </c>
      <c r="D167" s="58" t="e">
        <f>VLOOKUP(B167,'Timing Table'!B:G,6,0)</f>
        <v>#N/A</v>
      </c>
      <c r="E167" s="22" t="e">
        <f>VLOOKUP(B167,'Timing Table'!B:D,3,0)</f>
        <v>#N/A</v>
      </c>
      <c r="F167" s="155" t="s">
        <v>61</v>
      </c>
      <c r="G167" s="181">
        <v>5501060668</v>
      </c>
      <c r="H167" s="155" t="s">
        <v>62</v>
      </c>
      <c r="I167" s="181">
        <v>18</v>
      </c>
      <c r="J167" s="155" t="s">
        <v>63</v>
      </c>
      <c r="K167" s="160">
        <v>1210845</v>
      </c>
      <c r="L167" s="161"/>
      <c r="M167" s="190" t="s">
        <v>64</v>
      </c>
      <c r="N167" s="191"/>
      <c r="O167" s="192">
        <v>46086</v>
      </c>
      <c r="P167" s="155" t="s">
        <v>65</v>
      </c>
      <c r="Q167" s="181">
        <v>4</v>
      </c>
      <c r="R167" s="6" t="s">
        <v>0</v>
      </c>
      <c r="S167" s="7" t="s">
        <v>0</v>
      </c>
      <c r="T167" s="7" t="s">
        <v>0</v>
      </c>
      <c r="U167" s="7" t="s">
        <v>0</v>
      </c>
      <c r="V167" s="7" t="s">
        <v>0</v>
      </c>
      <c r="W167" s="7" t="s">
        <v>0</v>
      </c>
      <c r="X167" s="7" t="s">
        <v>0</v>
      </c>
      <c r="Y167" s="7" t="s">
        <v>0</v>
      </c>
      <c r="Z167" s="7" t="s">
        <v>0</v>
      </c>
      <c r="AA167" s="7" t="s">
        <v>0</v>
      </c>
      <c r="AB167" s="7" t="s">
        <v>0</v>
      </c>
      <c r="AC167" s="7" t="s">
        <v>0</v>
      </c>
      <c r="AD167" s="7" t="s">
        <v>0</v>
      </c>
      <c r="AE167" s="7" t="s">
        <v>0</v>
      </c>
      <c r="AF167" s="7" t="s">
        <v>0</v>
      </c>
      <c r="AG167" s="7" t="s">
        <v>0</v>
      </c>
      <c r="AH167" s="7" t="s">
        <v>0</v>
      </c>
      <c r="AI167" s="7" t="s">
        <v>0</v>
      </c>
      <c r="AJ167" s="7" t="s">
        <v>0</v>
      </c>
      <c r="AK167" s="7" t="s">
        <v>0</v>
      </c>
      <c r="AL167" s="7" t="s">
        <v>0</v>
      </c>
      <c r="AM167" s="7" t="s">
        <v>0</v>
      </c>
      <c r="AN167" s="7" t="s">
        <v>0</v>
      </c>
      <c r="AO167" s="7" t="s">
        <v>0</v>
      </c>
      <c r="AP167" s="7" t="s">
        <v>0</v>
      </c>
      <c r="AQ167" s="7" t="s">
        <v>0</v>
      </c>
      <c r="AR167" s="7" t="s">
        <v>0</v>
      </c>
      <c r="AS167" s="7" t="s">
        <v>0</v>
      </c>
      <c r="AT167" s="7" t="s">
        <v>0</v>
      </c>
      <c r="AU167" s="7" t="s">
        <v>0</v>
      </c>
      <c r="AV167" s="7" t="s">
        <v>0</v>
      </c>
      <c r="AW167" s="7" t="s">
        <v>0</v>
      </c>
      <c r="AX167" s="7" t="s">
        <v>0</v>
      </c>
      <c r="AY167" s="7" t="s">
        <v>0</v>
      </c>
      <c r="AZ167" s="7" t="s">
        <v>0</v>
      </c>
      <c r="BA167" s="7" t="s">
        <v>0</v>
      </c>
      <c r="BB167" s="7" t="s">
        <v>0</v>
      </c>
      <c r="BC167" s="7" t="s">
        <v>0</v>
      </c>
      <c r="BD167" s="7" t="s">
        <v>0</v>
      </c>
      <c r="BE167" s="7" t="s">
        <v>0</v>
      </c>
      <c r="BF167" s="7" t="s">
        <v>0</v>
      </c>
      <c r="BG167" s="7" t="s">
        <v>0</v>
      </c>
      <c r="BH167" s="7" t="s">
        <v>0</v>
      </c>
      <c r="BI167" s="8"/>
      <c r="DL167">
        <f t="shared" si="750"/>
        <v>0</v>
      </c>
      <c r="DM167">
        <f t="shared" si="751"/>
        <v>0</v>
      </c>
      <c r="DN167">
        <f t="shared" si="752"/>
        <v>0</v>
      </c>
      <c r="DO167">
        <f t="shared" si="753"/>
        <v>0</v>
      </c>
      <c r="DP167">
        <f t="shared" si="754"/>
        <v>0</v>
      </c>
      <c r="DQ167">
        <f t="shared" si="755"/>
        <v>0</v>
      </c>
      <c r="DR167">
        <f t="shared" si="756"/>
        <v>0</v>
      </c>
      <c r="DS167">
        <f t="shared" si="757"/>
        <v>0</v>
      </c>
      <c r="DT167">
        <f t="shared" si="758"/>
        <v>0</v>
      </c>
      <c r="DU167">
        <f t="shared" si="759"/>
        <v>0</v>
      </c>
      <c r="DV167">
        <f t="shared" si="760"/>
        <v>0</v>
      </c>
      <c r="DW167">
        <f t="shared" si="761"/>
        <v>0</v>
      </c>
    </row>
    <row r="168" spans="1:127" x14ac:dyDescent="0.25">
      <c r="A168" s="22">
        <f t="shared" si="749"/>
        <v>162</v>
      </c>
      <c r="B168" s="59" t="str">
        <f t="shared" si="919"/>
        <v>F0013548112</v>
      </c>
      <c r="C168" s="214" t="str">
        <f t="shared" si="920"/>
        <v>82115-0E450 M</v>
      </c>
      <c r="D168" s="58" t="e">
        <f>VLOOKUP(B168,'Timing Table'!B:G,6,0)</f>
        <v>#N/A</v>
      </c>
      <c r="E168" s="22" t="e">
        <f>VLOOKUP(B168,'Timing Table'!B:D,3,0)</f>
        <v>#N/A</v>
      </c>
      <c r="F168" s="155" t="s">
        <v>66</v>
      </c>
      <c r="G168" s="181" t="s">
        <v>463</v>
      </c>
      <c r="H168" s="155" t="s">
        <v>67</v>
      </c>
      <c r="I168" s="182" t="s">
        <v>464</v>
      </c>
      <c r="J168" s="183"/>
      <c r="K168" s="183"/>
      <c r="L168" s="161"/>
      <c r="M168" s="155" t="s">
        <v>68</v>
      </c>
      <c r="N168" s="181">
        <v>2025</v>
      </c>
      <c r="O168" s="184" t="s">
        <v>69</v>
      </c>
      <c r="P168" s="185"/>
      <c r="Q168" s="193" t="s">
        <v>458</v>
      </c>
      <c r="R168" s="156" t="s">
        <v>0</v>
      </c>
      <c r="S168" s="157"/>
      <c r="T168" s="157"/>
      <c r="U168" s="157" t="s">
        <v>0</v>
      </c>
      <c r="V168" s="157" t="s">
        <v>0</v>
      </c>
      <c r="W168" s="157" t="s">
        <v>0</v>
      </c>
      <c r="X168" s="157" t="s">
        <v>0</v>
      </c>
      <c r="Y168" s="157" t="s">
        <v>0</v>
      </c>
      <c r="Z168" s="157" t="s">
        <v>0</v>
      </c>
      <c r="AA168" s="157" t="s">
        <v>0</v>
      </c>
      <c r="AB168" s="157" t="s">
        <v>0</v>
      </c>
      <c r="AC168" s="157" t="s">
        <v>0</v>
      </c>
      <c r="AD168" s="157" t="s">
        <v>0</v>
      </c>
      <c r="AE168" s="157" t="s">
        <v>0</v>
      </c>
      <c r="AF168" s="157" t="s">
        <v>0</v>
      </c>
      <c r="AG168" s="157" t="s">
        <v>0</v>
      </c>
      <c r="AH168" s="157" t="s">
        <v>0</v>
      </c>
      <c r="AI168" s="157" t="s">
        <v>0</v>
      </c>
      <c r="AJ168" s="157" t="s">
        <v>0</v>
      </c>
      <c r="AK168" s="157" t="s">
        <v>0</v>
      </c>
      <c r="AL168" s="157" t="s">
        <v>0</v>
      </c>
      <c r="AM168" s="157" t="s">
        <v>0</v>
      </c>
      <c r="AN168" s="157" t="s">
        <v>0</v>
      </c>
      <c r="AO168" s="157" t="s">
        <v>0</v>
      </c>
      <c r="AP168" s="157" t="s">
        <v>0</v>
      </c>
      <c r="AQ168" s="157" t="s">
        <v>0</v>
      </c>
      <c r="AR168" s="157" t="s">
        <v>0</v>
      </c>
      <c r="AS168" s="157" t="s">
        <v>0</v>
      </c>
      <c r="AT168" s="157" t="s">
        <v>0</v>
      </c>
      <c r="AU168" s="157" t="s">
        <v>0</v>
      </c>
      <c r="AV168" s="157" t="s">
        <v>0</v>
      </c>
      <c r="AW168" s="157" t="s">
        <v>0</v>
      </c>
      <c r="AX168" s="157" t="s">
        <v>0</v>
      </c>
      <c r="AY168" s="157" t="s">
        <v>0</v>
      </c>
      <c r="AZ168" s="157" t="s">
        <v>0</v>
      </c>
      <c r="BA168" s="157" t="s">
        <v>0</v>
      </c>
      <c r="BB168" s="157" t="s">
        <v>0</v>
      </c>
      <c r="BC168" s="157" t="s">
        <v>0</v>
      </c>
      <c r="BD168" s="157" t="s">
        <v>0</v>
      </c>
      <c r="BE168" s="157" t="s">
        <v>0</v>
      </c>
      <c r="BF168" s="157" t="s">
        <v>0</v>
      </c>
      <c r="BG168" s="157" t="s">
        <v>0</v>
      </c>
      <c r="BH168" s="157" t="s">
        <v>0</v>
      </c>
      <c r="BI168" s="158"/>
      <c r="DL168">
        <f t="shared" si="750"/>
        <v>0</v>
      </c>
      <c r="DM168">
        <f t="shared" si="751"/>
        <v>0</v>
      </c>
      <c r="DN168">
        <f t="shared" si="752"/>
        <v>0</v>
      </c>
      <c r="DO168">
        <f t="shared" si="753"/>
        <v>0</v>
      </c>
      <c r="DP168">
        <f t="shared" si="754"/>
        <v>0</v>
      </c>
      <c r="DQ168">
        <f t="shared" si="755"/>
        <v>0</v>
      </c>
      <c r="DR168">
        <f t="shared" si="756"/>
        <v>0</v>
      </c>
      <c r="DS168">
        <f t="shared" si="757"/>
        <v>0</v>
      </c>
      <c r="DT168">
        <f t="shared" si="758"/>
        <v>0</v>
      </c>
      <c r="DU168">
        <f t="shared" si="759"/>
        <v>0</v>
      </c>
      <c r="DV168">
        <f t="shared" si="760"/>
        <v>0</v>
      </c>
      <c r="DW168">
        <f t="shared" si="761"/>
        <v>0</v>
      </c>
    </row>
    <row r="169" spans="1:127" x14ac:dyDescent="0.25">
      <c r="A169" s="22">
        <f t="shared" si="749"/>
        <v>163</v>
      </c>
      <c r="B169" s="59" t="str">
        <f t="shared" si="919"/>
        <v>F0013548112</v>
      </c>
      <c r="C169" s="214" t="str">
        <f t="shared" si="920"/>
        <v>82115-0E450 M</v>
      </c>
      <c r="D169" s="58" t="e">
        <f>VLOOKUP(B169,'Timing Table'!B:G,6,0)</f>
        <v>#N/A</v>
      </c>
      <c r="E169" s="22" t="e">
        <f>VLOOKUP(B169,'Timing Table'!B:D,3,0)</f>
        <v>#N/A</v>
      </c>
      <c r="F169" s="155" t="s">
        <v>70</v>
      </c>
      <c r="G169" s="181" t="s">
        <v>496</v>
      </c>
      <c r="H169" s="155" t="s">
        <v>71</v>
      </c>
      <c r="I169" s="182" t="s">
        <v>60</v>
      </c>
      <c r="J169" s="161" t="s">
        <v>0</v>
      </c>
      <c r="K169" s="194" t="s">
        <v>0</v>
      </c>
      <c r="L169" s="195" t="s">
        <v>0</v>
      </c>
      <c r="M169" s="179" t="s">
        <v>0</v>
      </c>
      <c r="N169" s="179" t="s">
        <v>0</v>
      </c>
      <c r="O169" s="179" t="s">
        <v>0</v>
      </c>
      <c r="P169" s="179" t="s">
        <v>0</v>
      </c>
      <c r="Q169" s="179" t="s">
        <v>1</v>
      </c>
      <c r="R169" s="179" t="s">
        <v>2</v>
      </c>
      <c r="S169" s="179" t="s">
        <v>0</v>
      </c>
      <c r="T169" s="179" t="s">
        <v>0</v>
      </c>
      <c r="U169" s="179" t="s">
        <v>0</v>
      </c>
      <c r="V169" s="179" t="s">
        <v>0</v>
      </c>
      <c r="W169" s="179" t="s">
        <v>0</v>
      </c>
      <c r="X169" s="179" t="s">
        <v>0</v>
      </c>
      <c r="Y169" s="179" t="s">
        <v>0</v>
      </c>
      <c r="Z169" s="179" t="s">
        <v>3</v>
      </c>
      <c r="AA169" s="179" t="s">
        <v>0</v>
      </c>
      <c r="AB169" s="179" t="s">
        <v>0</v>
      </c>
      <c r="AC169" s="179" t="s">
        <v>0</v>
      </c>
      <c r="AD169" s="179" t="s">
        <v>0</v>
      </c>
      <c r="AE169" s="179" t="s">
        <v>0</v>
      </c>
      <c r="AF169" s="179" t="s">
        <v>0</v>
      </c>
      <c r="AG169" s="179" t="s">
        <v>0</v>
      </c>
      <c r="AH169" s="179" t="s">
        <v>0</v>
      </c>
      <c r="AI169" s="179" t="s">
        <v>0</v>
      </c>
      <c r="AJ169" s="179" t="s">
        <v>0</v>
      </c>
      <c r="AK169" s="179" t="s">
        <v>0</v>
      </c>
      <c r="AL169" s="179" t="s">
        <v>0</v>
      </c>
      <c r="AM169" s="179" t="s">
        <v>0</v>
      </c>
      <c r="AN169" s="179" t="s">
        <v>0</v>
      </c>
      <c r="AO169" s="179" t="s">
        <v>0</v>
      </c>
      <c r="AP169" s="179" t="s">
        <v>0</v>
      </c>
      <c r="AQ169" s="179" t="s">
        <v>0</v>
      </c>
      <c r="AR169" s="179" t="s">
        <v>0</v>
      </c>
      <c r="AS169" s="179" t="s">
        <v>0</v>
      </c>
      <c r="AT169" s="179" t="s">
        <v>0</v>
      </c>
      <c r="AU169" s="179" t="s">
        <v>0</v>
      </c>
      <c r="AV169" s="179" t="s">
        <v>0</v>
      </c>
      <c r="AW169" s="179" t="s">
        <v>0</v>
      </c>
      <c r="AX169" s="179" t="s">
        <v>0</v>
      </c>
      <c r="AY169" s="179" t="s">
        <v>0</v>
      </c>
      <c r="AZ169" s="179" t="s">
        <v>0</v>
      </c>
      <c r="BA169" s="179" t="s">
        <v>0</v>
      </c>
      <c r="BB169" s="179" t="s">
        <v>0</v>
      </c>
      <c r="BC169" s="179" t="s">
        <v>0</v>
      </c>
      <c r="BD169" s="179" t="s">
        <v>0</v>
      </c>
      <c r="BE169" s="179" t="s">
        <v>0</v>
      </c>
      <c r="BF169" s="179" t="s">
        <v>0</v>
      </c>
      <c r="BG169" s="179" t="s">
        <v>0</v>
      </c>
      <c r="BH169" s="179" t="s">
        <v>0</v>
      </c>
      <c r="BI169" s="180" t="s">
        <v>4</v>
      </c>
      <c r="DL169">
        <f t="shared" si="750"/>
        <v>0</v>
      </c>
      <c r="DM169">
        <f t="shared" si="751"/>
        <v>0</v>
      </c>
      <c r="DN169">
        <f t="shared" si="752"/>
        <v>0</v>
      </c>
      <c r="DO169">
        <f t="shared" si="753"/>
        <v>0</v>
      </c>
      <c r="DP169">
        <f t="shared" si="754"/>
        <v>0</v>
      </c>
      <c r="DQ169">
        <f t="shared" si="755"/>
        <v>0</v>
      </c>
      <c r="DR169">
        <f t="shared" si="756"/>
        <v>0</v>
      </c>
      <c r="DS169">
        <f t="shared" si="757"/>
        <v>0</v>
      </c>
      <c r="DT169">
        <f t="shared" si="758"/>
        <v>0</v>
      </c>
      <c r="DU169">
        <f t="shared" si="759"/>
        <v>0</v>
      </c>
      <c r="DV169">
        <f t="shared" si="760"/>
        <v>0</v>
      </c>
      <c r="DW169">
        <f t="shared" si="761"/>
        <v>0</v>
      </c>
    </row>
    <row r="170" spans="1:127" x14ac:dyDescent="0.25">
      <c r="A170" s="22">
        <f t="shared" si="749"/>
        <v>164</v>
      </c>
      <c r="B170" s="59" t="str">
        <f t="shared" si="919"/>
        <v>F0013548112</v>
      </c>
      <c r="C170" s="214" t="str">
        <f t="shared" si="920"/>
        <v>82115-0E450 M</v>
      </c>
      <c r="D170" s="58" t="e">
        <f>VLOOKUP(B170,'Timing Table'!B:G,6,0)</f>
        <v>#N/A</v>
      </c>
      <c r="E170" s="22" t="e">
        <f>VLOOKUP(B170,'Timing Table'!B:D,3,0)</f>
        <v>#N/A</v>
      </c>
      <c r="F170" s="155" t="s">
        <v>72</v>
      </c>
      <c r="G170" s="181">
        <v>672</v>
      </c>
      <c r="H170" s="196" t="s">
        <v>414</v>
      </c>
      <c r="I170" s="197" t="s">
        <v>73</v>
      </c>
      <c r="J170" s="13">
        <v>46041</v>
      </c>
      <c r="K170" s="14">
        <v>46048</v>
      </c>
      <c r="L170" s="14">
        <v>46055</v>
      </c>
      <c r="M170" s="14">
        <v>46062</v>
      </c>
      <c r="N170" s="14">
        <v>46069</v>
      </c>
      <c r="O170" s="14">
        <v>46076</v>
      </c>
      <c r="P170" s="14">
        <v>46083</v>
      </c>
      <c r="Q170" s="14">
        <v>46090</v>
      </c>
      <c r="R170" s="14">
        <v>46097</v>
      </c>
      <c r="S170" s="14">
        <v>46104</v>
      </c>
      <c r="T170" s="14">
        <v>46111</v>
      </c>
      <c r="U170" s="14">
        <v>46118</v>
      </c>
      <c r="V170" s="14">
        <v>46125</v>
      </c>
      <c r="W170" s="14">
        <v>46132</v>
      </c>
      <c r="X170" s="14">
        <v>46139</v>
      </c>
      <c r="Y170" s="14">
        <v>46146</v>
      </c>
      <c r="Z170" s="14">
        <v>46153</v>
      </c>
      <c r="AA170" s="14">
        <v>46160</v>
      </c>
      <c r="AB170" s="14">
        <v>46167</v>
      </c>
      <c r="AC170" s="14">
        <v>46174</v>
      </c>
      <c r="AD170" s="14">
        <v>46181</v>
      </c>
      <c r="AE170" s="14">
        <v>46188</v>
      </c>
      <c r="AF170" s="14">
        <v>46195</v>
      </c>
      <c r="AG170" s="14">
        <v>46202</v>
      </c>
      <c r="AH170" s="14">
        <v>46209</v>
      </c>
      <c r="AI170" s="14">
        <v>46216</v>
      </c>
      <c r="AJ170" s="14">
        <v>46223</v>
      </c>
      <c r="AK170" s="14">
        <v>46230</v>
      </c>
      <c r="AL170" s="14">
        <v>46237</v>
      </c>
      <c r="AM170" s="14">
        <v>46244</v>
      </c>
      <c r="AN170" s="14">
        <v>46251</v>
      </c>
      <c r="AO170" s="14">
        <v>46258</v>
      </c>
      <c r="AP170" s="14">
        <v>46265</v>
      </c>
      <c r="AQ170" s="14">
        <v>46272</v>
      </c>
      <c r="AR170" s="14">
        <v>46279</v>
      </c>
      <c r="AS170" s="14">
        <v>46286</v>
      </c>
      <c r="AT170" s="14">
        <v>46293</v>
      </c>
      <c r="AU170" s="14">
        <v>46300</v>
      </c>
      <c r="AV170" s="14">
        <v>46307</v>
      </c>
      <c r="AW170" s="14">
        <v>46314</v>
      </c>
      <c r="AX170" s="14">
        <v>46321</v>
      </c>
      <c r="AY170" s="14">
        <v>46328</v>
      </c>
      <c r="AZ170" s="14">
        <v>46335</v>
      </c>
      <c r="BA170" s="14">
        <v>46342</v>
      </c>
      <c r="BB170" s="14">
        <v>46349</v>
      </c>
      <c r="BC170" s="14">
        <v>46356</v>
      </c>
      <c r="BD170" s="14">
        <v>46363</v>
      </c>
      <c r="BE170" s="14">
        <v>46370</v>
      </c>
      <c r="BF170" s="14">
        <v>46377</v>
      </c>
      <c r="BG170" s="14">
        <v>46384</v>
      </c>
      <c r="BH170" s="14">
        <v>46391</v>
      </c>
      <c r="BI170" s="15">
        <v>46398</v>
      </c>
      <c r="DL170">
        <f t="shared" si="750"/>
        <v>0</v>
      </c>
      <c r="DM170">
        <f t="shared" si="751"/>
        <v>0</v>
      </c>
      <c r="DN170">
        <f t="shared" si="752"/>
        <v>0</v>
      </c>
      <c r="DO170">
        <f t="shared" si="753"/>
        <v>0</v>
      </c>
      <c r="DP170">
        <f t="shared" si="754"/>
        <v>0</v>
      </c>
      <c r="DQ170">
        <f t="shared" si="755"/>
        <v>0</v>
      </c>
      <c r="DR170">
        <f t="shared" si="756"/>
        <v>0</v>
      </c>
      <c r="DS170">
        <f t="shared" si="757"/>
        <v>0</v>
      </c>
      <c r="DT170">
        <f t="shared" si="758"/>
        <v>0</v>
      </c>
      <c r="DU170">
        <f t="shared" si="759"/>
        <v>0</v>
      </c>
      <c r="DV170">
        <f t="shared" si="760"/>
        <v>0</v>
      </c>
      <c r="DW170">
        <f t="shared" si="761"/>
        <v>0</v>
      </c>
    </row>
    <row r="171" spans="1:127" x14ac:dyDescent="0.25">
      <c r="A171" s="22">
        <f t="shared" si="749"/>
        <v>165</v>
      </c>
      <c r="B171" s="59" t="str">
        <f t="shared" si="919"/>
        <v>F0013548112</v>
      </c>
      <c r="C171" s="214" t="str">
        <f t="shared" si="920"/>
        <v>82115-0E450 M</v>
      </c>
      <c r="D171" s="58" t="e">
        <f>VLOOKUP(B171,'Timing Table'!B:G,6,0)</f>
        <v>#N/A</v>
      </c>
      <c r="E171" s="22" t="e">
        <f>VLOOKUP(B171,'Timing Table'!B:D,3,0)</f>
        <v>#N/A</v>
      </c>
      <c r="F171" s="155" t="s">
        <v>74</v>
      </c>
      <c r="G171" s="181">
        <v>1768</v>
      </c>
      <c r="H171" s="5" t="s">
        <v>60</v>
      </c>
      <c r="I171" s="11" t="s">
        <v>147</v>
      </c>
      <c r="J171" s="16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17"/>
      <c r="DL171">
        <f t="shared" si="750"/>
        <v>0</v>
      </c>
      <c r="DM171">
        <f t="shared" si="751"/>
        <v>0</v>
      </c>
      <c r="DN171">
        <f t="shared" si="752"/>
        <v>0</v>
      </c>
      <c r="DO171">
        <f t="shared" si="753"/>
        <v>0</v>
      </c>
      <c r="DP171">
        <f t="shared" si="754"/>
        <v>0</v>
      </c>
      <c r="DQ171">
        <f t="shared" si="755"/>
        <v>0</v>
      </c>
      <c r="DR171">
        <f t="shared" si="756"/>
        <v>0</v>
      </c>
      <c r="DS171">
        <f t="shared" si="757"/>
        <v>0</v>
      </c>
      <c r="DT171">
        <f t="shared" si="758"/>
        <v>0</v>
      </c>
      <c r="DU171">
        <f t="shared" si="759"/>
        <v>0</v>
      </c>
      <c r="DV171">
        <f t="shared" si="760"/>
        <v>0</v>
      </c>
      <c r="DW171">
        <f t="shared" si="761"/>
        <v>0</v>
      </c>
    </row>
    <row r="172" spans="1:127" x14ac:dyDescent="0.25">
      <c r="A172" s="22">
        <f t="shared" si="749"/>
        <v>166</v>
      </c>
      <c r="B172" s="59" t="str">
        <f t="shared" si="919"/>
        <v>F0013548112</v>
      </c>
      <c r="C172" s="214" t="str">
        <f t="shared" si="920"/>
        <v>82115-0E450 M</v>
      </c>
      <c r="D172" s="58" t="e">
        <f>VLOOKUP(B172,'Timing Table'!B:G,6,0)</f>
        <v>#N/A</v>
      </c>
      <c r="E172" s="22" t="e">
        <f>VLOOKUP(B172,'Timing Table'!B:D,3,0)</f>
        <v>#N/A</v>
      </c>
      <c r="F172" s="155" t="s">
        <v>75</v>
      </c>
      <c r="G172" s="198" t="s">
        <v>513</v>
      </c>
      <c r="H172" s="9" t="s">
        <v>176</v>
      </c>
      <c r="I172" s="11" t="s">
        <v>76</v>
      </c>
      <c r="J172" s="143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100</v>
      </c>
      <c r="Q172" s="64">
        <v>264</v>
      </c>
      <c r="R172" s="64">
        <v>0</v>
      </c>
      <c r="S172" s="64">
        <v>364</v>
      </c>
      <c r="T172" s="64">
        <v>188</v>
      </c>
      <c r="U172" s="64">
        <v>188</v>
      </c>
      <c r="V172" s="64">
        <v>176</v>
      </c>
      <c r="W172" s="64">
        <v>108</v>
      </c>
      <c r="X172" s="64">
        <v>84</v>
      </c>
      <c r="Y172" s="64">
        <v>80</v>
      </c>
      <c r="Z172" s="64">
        <v>108</v>
      </c>
      <c r="AA172" s="64">
        <v>152</v>
      </c>
      <c r="AB172" s="64">
        <v>148</v>
      </c>
      <c r="AC172" s="64">
        <v>148</v>
      </c>
      <c r="AD172" s="64">
        <v>120</v>
      </c>
      <c r="AE172" s="64">
        <v>160</v>
      </c>
      <c r="AF172" s="64">
        <v>104</v>
      </c>
      <c r="AG172" s="64">
        <v>144</v>
      </c>
      <c r="AH172" s="64">
        <v>60</v>
      </c>
      <c r="AI172" s="64">
        <v>120</v>
      </c>
      <c r="AJ172" s="64">
        <v>172</v>
      </c>
      <c r="AK172" s="64">
        <v>172</v>
      </c>
      <c r="AL172" s="64">
        <v>276</v>
      </c>
      <c r="AM172" s="64">
        <v>204</v>
      </c>
      <c r="AN172" s="64">
        <v>204</v>
      </c>
      <c r="AO172" s="64">
        <v>204</v>
      </c>
      <c r="AP172" s="64">
        <v>204</v>
      </c>
      <c r="AQ172" s="64">
        <v>204</v>
      </c>
      <c r="AR172" s="64">
        <v>204</v>
      </c>
      <c r="AS172" s="64">
        <v>204</v>
      </c>
      <c r="AT172" s="64">
        <v>204</v>
      </c>
      <c r="AU172" s="64">
        <v>204</v>
      </c>
      <c r="AV172" s="64">
        <v>204</v>
      </c>
      <c r="AW172" s="64">
        <v>204</v>
      </c>
      <c r="AX172" s="64">
        <v>204</v>
      </c>
      <c r="AY172" s="64">
        <v>204</v>
      </c>
      <c r="AZ172" s="64">
        <v>204</v>
      </c>
      <c r="BA172" s="64">
        <v>204</v>
      </c>
      <c r="BB172" s="64">
        <v>204</v>
      </c>
      <c r="BC172" s="64">
        <v>204</v>
      </c>
      <c r="BD172" s="64">
        <v>204</v>
      </c>
      <c r="BE172" s="64">
        <v>204</v>
      </c>
      <c r="BF172" s="64">
        <v>204</v>
      </c>
      <c r="BG172" s="64">
        <v>204</v>
      </c>
      <c r="BH172" s="64">
        <v>204</v>
      </c>
      <c r="BI172" s="144">
        <v>204</v>
      </c>
      <c r="BJ172" s="24" t="str">
        <f>+G169</f>
        <v>82115-0E450 M</v>
      </c>
      <c r="BK172" s="24">
        <f>+J172</f>
        <v>0</v>
      </c>
      <c r="BL172" s="24">
        <f t="shared" ref="BL172" si="921">+K172</f>
        <v>0</v>
      </c>
      <c r="BM172" s="24">
        <f t="shared" ref="BM172" si="922">+L172</f>
        <v>0</v>
      </c>
      <c r="BN172" s="24">
        <f t="shared" ref="BN172" si="923">+M172</f>
        <v>0</v>
      </c>
      <c r="BO172" s="24">
        <f t="shared" ref="BO172" si="924">+N172</f>
        <v>0</v>
      </c>
      <c r="BP172" s="24">
        <f t="shared" ref="BP172" si="925">+O172</f>
        <v>0</v>
      </c>
      <c r="BQ172" s="24">
        <f t="shared" ref="BQ172" si="926">+P172</f>
        <v>100</v>
      </c>
      <c r="BR172" s="24">
        <f t="shared" ref="BR172" si="927">+Q172</f>
        <v>264</v>
      </c>
      <c r="BS172" s="24">
        <f t="shared" ref="BS172" si="928">+R172</f>
        <v>0</v>
      </c>
      <c r="BT172" s="24">
        <f t="shared" ref="BT172" si="929">+S172</f>
        <v>364</v>
      </c>
      <c r="BU172" s="24">
        <f t="shared" ref="BU172" si="930">+T172</f>
        <v>188</v>
      </c>
      <c r="BV172" s="24">
        <f t="shared" ref="BV172" si="931">+U172</f>
        <v>188</v>
      </c>
      <c r="BW172" s="24">
        <f t="shared" ref="BW172" si="932">+V172</f>
        <v>176</v>
      </c>
      <c r="BX172" s="24">
        <f t="shared" ref="BX172" si="933">+W172</f>
        <v>108</v>
      </c>
      <c r="BY172" s="24">
        <f t="shared" ref="BY172" si="934">+X172</f>
        <v>84</v>
      </c>
      <c r="BZ172" s="24">
        <f t="shared" ref="BZ172" si="935">+Y172</f>
        <v>80</v>
      </c>
      <c r="CA172" s="24">
        <f t="shared" ref="CA172" si="936">+Z172</f>
        <v>108</v>
      </c>
      <c r="CB172" s="24">
        <f t="shared" ref="CB172" si="937">+AA172</f>
        <v>152</v>
      </c>
      <c r="CC172" s="24">
        <f t="shared" ref="CC172" si="938">+AB172</f>
        <v>148</v>
      </c>
      <c r="CD172" s="24">
        <f t="shared" ref="CD172" si="939">+AC172</f>
        <v>148</v>
      </c>
      <c r="CE172" s="24">
        <f t="shared" ref="CE172" si="940">+AD172</f>
        <v>120</v>
      </c>
      <c r="CF172" s="24">
        <f t="shared" ref="CF172" si="941">+AE172</f>
        <v>160</v>
      </c>
      <c r="CG172" s="24">
        <f t="shared" ref="CG172" si="942">+AF172</f>
        <v>104</v>
      </c>
      <c r="CH172" s="24">
        <f t="shared" ref="CH172" si="943">+AG172</f>
        <v>144</v>
      </c>
      <c r="CI172" s="24">
        <f t="shared" ref="CI172" si="944">+AH172</f>
        <v>60</v>
      </c>
      <c r="CJ172" s="24">
        <f t="shared" ref="CJ172" si="945">+AI172</f>
        <v>120</v>
      </c>
      <c r="CK172" s="24">
        <f t="shared" ref="CK172" si="946">+AJ172</f>
        <v>172</v>
      </c>
      <c r="CL172" s="24">
        <f t="shared" ref="CL172" si="947">+AK172</f>
        <v>172</v>
      </c>
      <c r="CM172" s="24">
        <f t="shared" ref="CM172" si="948">+AL172</f>
        <v>276</v>
      </c>
      <c r="CN172" s="24">
        <f t="shared" ref="CN172" si="949">+AM172</f>
        <v>204</v>
      </c>
      <c r="CO172" s="24">
        <f t="shared" ref="CO172" si="950">+AN172</f>
        <v>204</v>
      </c>
      <c r="CP172" s="166">
        <f t="shared" ref="CP172" si="951">+AO172</f>
        <v>204</v>
      </c>
      <c r="CQ172" s="166">
        <f t="shared" ref="CQ172" si="952">+AP172</f>
        <v>204</v>
      </c>
      <c r="CR172">
        <f t="shared" ref="CR172" si="953">+AQ172</f>
        <v>204</v>
      </c>
      <c r="CS172">
        <f t="shared" ref="CS172" si="954">+AR172</f>
        <v>204</v>
      </c>
      <c r="CT172">
        <f t="shared" ref="CT172" si="955">+AS172</f>
        <v>204</v>
      </c>
      <c r="CU172">
        <f t="shared" ref="CU172" si="956">+AT172</f>
        <v>204</v>
      </c>
      <c r="CV172">
        <f t="shared" ref="CV172" si="957">+AU172</f>
        <v>204</v>
      </c>
      <c r="CW172">
        <f t="shared" ref="CW172" si="958">+AV172</f>
        <v>204</v>
      </c>
      <c r="CX172">
        <f t="shared" ref="CX172" si="959">+AW172</f>
        <v>204</v>
      </c>
      <c r="CY172">
        <f t="shared" ref="CY172" si="960">+AX172</f>
        <v>204</v>
      </c>
      <c r="CZ172">
        <f t="shared" ref="CZ172" si="961">+AY172</f>
        <v>204</v>
      </c>
      <c r="DA172">
        <f t="shared" ref="DA172" si="962">+AZ172</f>
        <v>204</v>
      </c>
      <c r="DB172">
        <f t="shared" ref="DB172" si="963">+BA172</f>
        <v>204</v>
      </c>
      <c r="DC172">
        <f t="shared" ref="DC172" si="964">+BB172</f>
        <v>204</v>
      </c>
      <c r="DD172">
        <f t="shared" ref="DD172" si="965">+BC172</f>
        <v>204</v>
      </c>
      <c r="DE172">
        <f t="shared" ref="DE172" si="966">+BD172</f>
        <v>204</v>
      </c>
      <c r="DF172">
        <f t="shared" ref="DF172" si="967">+BE172</f>
        <v>204</v>
      </c>
      <c r="DG172">
        <f t="shared" ref="DG172" si="968">+BF172</f>
        <v>204</v>
      </c>
      <c r="DH172">
        <f t="shared" ref="DH172" si="969">+BG172</f>
        <v>204</v>
      </c>
      <c r="DI172">
        <f t="shared" ref="DI172" si="970">+BH172</f>
        <v>204</v>
      </c>
      <c r="DJ172">
        <f t="shared" ref="DJ172" si="971">+BI172</f>
        <v>204</v>
      </c>
      <c r="DL172" s="24">
        <f t="shared" si="750"/>
        <v>0</v>
      </c>
      <c r="DM172" s="24">
        <f t="shared" si="751"/>
        <v>0</v>
      </c>
      <c r="DN172" s="24">
        <f t="shared" si="752"/>
        <v>728</v>
      </c>
      <c r="DO172" s="24">
        <f t="shared" si="753"/>
        <v>744</v>
      </c>
      <c r="DP172" s="24">
        <f t="shared" si="754"/>
        <v>488</v>
      </c>
      <c r="DQ172" s="24">
        <f t="shared" si="755"/>
        <v>532</v>
      </c>
      <c r="DR172" s="24">
        <f t="shared" si="756"/>
        <v>668</v>
      </c>
      <c r="DS172" s="24">
        <f t="shared" si="757"/>
        <v>888</v>
      </c>
      <c r="DT172" s="24">
        <f t="shared" si="758"/>
        <v>1020</v>
      </c>
      <c r="DU172">
        <f t="shared" si="759"/>
        <v>816</v>
      </c>
      <c r="DV172">
        <f t="shared" si="760"/>
        <v>816</v>
      </c>
      <c r="DW172">
        <f t="shared" si="761"/>
        <v>1020</v>
      </c>
    </row>
    <row r="173" spans="1:127" x14ac:dyDescent="0.25">
      <c r="A173" s="22">
        <f t="shared" si="749"/>
        <v>167</v>
      </c>
      <c r="B173" s="59" t="str">
        <f t="shared" si="919"/>
        <v>F0013548112</v>
      </c>
      <c r="C173" s="214" t="str">
        <f t="shared" si="920"/>
        <v>82115-0E450 M</v>
      </c>
      <c r="D173" s="58" t="e">
        <f>VLOOKUP(B173,'Timing Table'!B:G,6,0)</f>
        <v>#N/A</v>
      </c>
      <c r="E173" s="22" t="e">
        <f>VLOOKUP(B173,'Timing Table'!B:D,3,0)</f>
        <v>#N/A</v>
      </c>
      <c r="F173" s="155" t="s">
        <v>77</v>
      </c>
      <c r="G173" s="181">
        <v>82115</v>
      </c>
      <c r="H173" s="10" t="s">
        <v>176</v>
      </c>
      <c r="I173" s="12" t="s">
        <v>78</v>
      </c>
      <c r="J173" s="152">
        <v>0</v>
      </c>
      <c r="K173" s="153">
        <v>0</v>
      </c>
      <c r="L173" s="153">
        <v>0</v>
      </c>
      <c r="M173" s="153">
        <v>0</v>
      </c>
      <c r="N173" s="153">
        <v>0</v>
      </c>
      <c r="O173" s="153">
        <v>0</v>
      </c>
      <c r="P173" s="153">
        <v>100</v>
      </c>
      <c r="Q173" s="153">
        <v>364</v>
      </c>
      <c r="R173" s="153">
        <v>364</v>
      </c>
      <c r="S173" s="153">
        <v>728</v>
      </c>
      <c r="T173" s="153">
        <v>916</v>
      </c>
      <c r="U173" s="153">
        <v>1104</v>
      </c>
      <c r="V173" s="153">
        <v>1280</v>
      </c>
      <c r="W173" s="153">
        <v>1388</v>
      </c>
      <c r="X173" s="153">
        <v>1472</v>
      </c>
      <c r="Y173" s="153">
        <v>1552</v>
      </c>
      <c r="Z173" s="153">
        <v>1660</v>
      </c>
      <c r="AA173" s="153">
        <v>1812</v>
      </c>
      <c r="AB173" s="153">
        <v>1960</v>
      </c>
      <c r="AC173" s="153">
        <v>2108</v>
      </c>
      <c r="AD173" s="153">
        <v>2228</v>
      </c>
      <c r="AE173" s="153">
        <v>2388</v>
      </c>
      <c r="AF173" s="153">
        <v>2492</v>
      </c>
      <c r="AG173" s="153">
        <v>2636</v>
      </c>
      <c r="AH173" s="153">
        <v>2696</v>
      </c>
      <c r="AI173" s="153">
        <v>2816</v>
      </c>
      <c r="AJ173" s="153">
        <v>2988</v>
      </c>
      <c r="AK173" s="153">
        <v>3160</v>
      </c>
      <c r="AL173" s="153">
        <v>3436</v>
      </c>
      <c r="AM173" s="153">
        <v>3640</v>
      </c>
      <c r="AN173" s="153">
        <v>3844</v>
      </c>
      <c r="AO173" s="153">
        <v>4048</v>
      </c>
      <c r="AP173" s="153">
        <v>4252</v>
      </c>
      <c r="AQ173" s="153">
        <v>4456</v>
      </c>
      <c r="AR173" s="153">
        <v>4660</v>
      </c>
      <c r="AS173" s="153">
        <v>4864</v>
      </c>
      <c r="AT173" s="153">
        <v>5068</v>
      </c>
      <c r="AU173" s="153">
        <v>5272</v>
      </c>
      <c r="AV173" s="153">
        <v>5476</v>
      </c>
      <c r="AW173" s="153">
        <v>5680</v>
      </c>
      <c r="AX173" s="153">
        <v>5884</v>
      </c>
      <c r="AY173" s="153">
        <v>6088</v>
      </c>
      <c r="AZ173" s="153">
        <v>6292</v>
      </c>
      <c r="BA173" s="153">
        <v>6496</v>
      </c>
      <c r="BB173" s="153">
        <v>6700</v>
      </c>
      <c r="BC173" s="153">
        <v>6904</v>
      </c>
      <c r="BD173" s="153">
        <v>7108</v>
      </c>
      <c r="BE173" s="153">
        <v>7312</v>
      </c>
      <c r="BF173" s="153">
        <v>7516</v>
      </c>
      <c r="BG173" s="153">
        <v>7720</v>
      </c>
      <c r="BH173" s="153">
        <v>7924</v>
      </c>
      <c r="BI173" s="154">
        <v>8128</v>
      </c>
      <c r="DL173">
        <f t="shared" si="750"/>
        <v>0</v>
      </c>
      <c r="DM173">
        <f t="shared" si="751"/>
        <v>0</v>
      </c>
      <c r="DN173">
        <f t="shared" si="752"/>
        <v>0</v>
      </c>
      <c r="DO173">
        <f t="shared" si="753"/>
        <v>0</v>
      </c>
      <c r="DP173">
        <f t="shared" si="754"/>
        <v>0</v>
      </c>
      <c r="DQ173">
        <f t="shared" si="755"/>
        <v>0</v>
      </c>
      <c r="DR173">
        <f t="shared" si="756"/>
        <v>0</v>
      </c>
      <c r="DS173">
        <f t="shared" si="757"/>
        <v>0</v>
      </c>
      <c r="DT173">
        <f t="shared" si="758"/>
        <v>0</v>
      </c>
      <c r="DU173">
        <f t="shared" si="759"/>
        <v>0</v>
      </c>
      <c r="DV173">
        <f t="shared" si="760"/>
        <v>0</v>
      </c>
      <c r="DW173">
        <f t="shared" si="761"/>
        <v>0</v>
      </c>
    </row>
    <row r="174" spans="1:127" x14ac:dyDescent="0.25">
      <c r="A174" s="22">
        <f t="shared" si="749"/>
        <v>168</v>
      </c>
      <c r="B174" s="59" t="str">
        <f t="shared" si="919"/>
        <v>F0013548112</v>
      </c>
      <c r="C174" s="214" t="str">
        <f t="shared" si="920"/>
        <v>82115-0E450 M</v>
      </c>
      <c r="D174" s="58" t="e">
        <f>VLOOKUP(B174,'Timing Table'!B:G,6,0)</f>
        <v>#N/A</v>
      </c>
      <c r="E174" s="22" t="e">
        <f>VLOOKUP(B174,'Timing Table'!B:D,3,0)</f>
        <v>#N/A</v>
      </c>
      <c r="F174" s="155" t="s">
        <v>79</v>
      </c>
      <c r="G174" s="199">
        <v>0</v>
      </c>
      <c r="H174" s="184" t="s">
        <v>80</v>
      </c>
      <c r="I174" s="185"/>
      <c r="J174" s="200"/>
      <c r="K174" s="156"/>
      <c r="L174" s="157" t="s">
        <v>0</v>
      </c>
      <c r="M174" s="157" t="s">
        <v>0</v>
      </c>
      <c r="N174" s="157" t="s">
        <v>0</v>
      </c>
      <c r="O174" s="157" t="s">
        <v>0</v>
      </c>
      <c r="P174" s="157" t="s">
        <v>0</v>
      </c>
      <c r="Q174" s="157">
        <v>1.64</v>
      </c>
      <c r="R174" s="157" t="s">
        <v>0</v>
      </c>
      <c r="S174" s="157" t="s">
        <v>0</v>
      </c>
      <c r="T174" s="157" t="s">
        <v>0</v>
      </c>
      <c r="U174" s="157" t="s">
        <v>0</v>
      </c>
      <c r="V174" s="157" t="s">
        <v>0</v>
      </c>
      <c r="W174" s="157" t="s">
        <v>0</v>
      </c>
      <c r="X174" s="157" t="s">
        <v>0</v>
      </c>
      <c r="Y174" s="157" t="s">
        <v>0</v>
      </c>
      <c r="Z174" s="157" t="s">
        <v>0</v>
      </c>
      <c r="AA174" s="157" t="s">
        <v>0</v>
      </c>
      <c r="AB174" s="157" t="s">
        <v>0</v>
      </c>
      <c r="AC174" s="157" t="s">
        <v>0</v>
      </c>
      <c r="AD174" s="157" t="s">
        <v>0</v>
      </c>
      <c r="AE174" s="157" t="s">
        <v>0</v>
      </c>
      <c r="AF174" s="157" t="s">
        <v>0</v>
      </c>
      <c r="AG174" s="157" t="s">
        <v>0</v>
      </c>
      <c r="AH174" s="157" t="s">
        <v>0</v>
      </c>
      <c r="AI174" s="157" t="s">
        <v>0</v>
      </c>
      <c r="AJ174" s="157" t="s">
        <v>0</v>
      </c>
      <c r="AK174" s="157" t="s">
        <v>0</v>
      </c>
      <c r="AL174" s="157" t="s">
        <v>0</v>
      </c>
      <c r="AM174" s="157" t="s">
        <v>0</v>
      </c>
      <c r="AN174" s="157" t="s">
        <v>0</v>
      </c>
      <c r="AO174" s="157" t="s">
        <v>0</v>
      </c>
      <c r="AP174" s="157" t="s">
        <v>0</v>
      </c>
      <c r="AQ174" s="157" t="s">
        <v>0</v>
      </c>
      <c r="AR174" s="157" t="s">
        <v>0</v>
      </c>
      <c r="AS174" s="157" t="s">
        <v>0</v>
      </c>
      <c r="AT174" s="157" t="s">
        <v>0</v>
      </c>
      <c r="AU174" s="157" t="s">
        <v>0</v>
      </c>
      <c r="AV174" s="157" t="s">
        <v>0</v>
      </c>
      <c r="AW174" s="157" t="s">
        <v>0</v>
      </c>
      <c r="AX174" s="157" t="s">
        <v>0</v>
      </c>
      <c r="AY174" s="157" t="s">
        <v>0</v>
      </c>
      <c r="AZ174" s="157" t="s">
        <v>0</v>
      </c>
      <c r="BA174" s="157" t="s">
        <v>0</v>
      </c>
      <c r="BB174" s="157" t="s">
        <v>0</v>
      </c>
      <c r="BC174" s="157" t="s">
        <v>0</v>
      </c>
      <c r="BD174" s="157" t="s">
        <v>0</v>
      </c>
      <c r="BE174" s="157" t="s">
        <v>0</v>
      </c>
      <c r="BF174" s="157" t="s">
        <v>0</v>
      </c>
      <c r="BG174" s="157" t="s">
        <v>0</v>
      </c>
      <c r="BH174" s="157" t="s">
        <v>0</v>
      </c>
      <c r="BI174" s="158"/>
      <c r="DL174">
        <f t="shared" si="750"/>
        <v>0</v>
      </c>
      <c r="DM174">
        <f t="shared" si="751"/>
        <v>0</v>
      </c>
      <c r="DN174">
        <f t="shared" si="752"/>
        <v>0</v>
      </c>
      <c r="DO174">
        <f t="shared" si="753"/>
        <v>0</v>
      </c>
      <c r="DP174">
        <f t="shared" si="754"/>
        <v>0</v>
      </c>
      <c r="DQ174">
        <f t="shared" si="755"/>
        <v>0</v>
      </c>
      <c r="DR174">
        <f t="shared" si="756"/>
        <v>0</v>
      </c>
      <c r="DS174">
        <f t="shared" si="757"/>
        <v>0</v>
      </c>
      <c r="DT174">
        <f t="shared" si="758"/>
        <v>0</v>
      </c>
      <c r="DU174">
        <f t="shared" si="759"/>
        <v>0</v>
      </c>
      <c r="DV174">
        <f t="shared" si="760"/>
        <v>0</v>
      </c>
      <c r="DW174">
        <f t="shared" si="761"/>
        <v>0</v>
      </c>
    </row>
    <row r="175" spans="1:127" x14ac:dyDescent="0.25">
      <c r="A175" s="22">
        <f t="shared" si="749"/>
        <v>169</v>
      </c>
      <c r="B175" s="59" t="str">
        <f t="shared" si="919"/>
        <v>F0013548112</v>
      </c>
      <c r="C175" s="214" t="str">
        <f t="shared" si="920"/>
        <v>82115-0E450 M</v>
      </c>
      <c r="D175" s="58" t="e">
        <f>VLOOKUP(B175,'Timing Table'!B:G,6,0)</f>
        <v>#N/A</v>
      </c>
      <c r="E175" s="22" t="e">
        <f>VLOOKUP(B175,'Timing Table'!B:D,3,0)</f>
        <v>#N/A</v>
      </c>
      <c r="F175" s="159" t="s">
        <v>81</v>
      </c>
      <c r="G175" s="160" t="s">
        <v>60</v>
      </c>
      <c r="H175" s="201" t="s">
        <v>60</v>
      </c>
      <c r="I175" s="183" t="s">
        <v>60</v>
      </c>
      <c r="J175" s="183" t="s">
        <v>0</v>
      </c>
      <c r="K175" s="183" t="s">
        <v>0</v>
      </c>
      <c r="L175" s="183" t="s">
        <v>0</v>
      </c>
      <c r="M175" s="183" t="s">
        <v>0</v>
      </c>
      <c r="N175" s="183" t="s">
        <v>0</v>
      </c>
      <c r="O175" s="183" t="s">
        <v>0</v>
      </c>
      <c r="P175" s="183" t="s">
        <v>0</v>
      </c>
      <c r="Q175" s="183" t="s">
        <v>520</v>
      </c>
      <c r="R175" s="183"/>
      <c r="S175" s="183" t="s">
        <v>0</v>
      </c>
      <c r="T175" s="183" t="s">
        <v>0</v>
      </c>
      <c r="U175" s="183" t="s">
        <v>0</v>
      </c>
      <c r="V175" s="183" t="s">
        <v>0</v>
      </c>
      <c r="W175" s="183" t="s">
        <v>0</v>
      </c>
      <c r="X175" s="183" t="s">
        <v>0</v>
      </c>
      <c r="Y175" s="183" t="s">
        <v>0</v>
      </c>
      <c r="Z175" s="183" t="s">
        <v>0</v>
      </c>
      <c r="AA175" s="183" t="s">
        <v>0</v>
      </c>
      <c r="AB175" s="183" t="s">
        <v>0</v>
      </c>
      <c r="AC175" s="183" t="s">
        <v>0</v>
      </c>
      <c r="AD175" s="183" t="s">
        <v>0</v>
      </c>
      <c r="AE175" s="183" t="s">
        <v>0</v>
      </c>
      <c r="AF175" s="183" t="s">
        <v>0</v>
      </c>
      <c r="AG175" s="183" t="s">
        <v>0</v>
      </c>
      <c r="AH175" s="183" t="s">
        <v>0</v>
      </c>
      <c r="AI175" s="183" t="s">
        <v>0</v>
      </c>
      <c r="AJ175" s="183" t="s">
        <v>0</v>
      </c>
      <c r="AK175" s="183" t="s">
        <v>0</v>
      </c>
      <c r="AL175" s="183" t="s">
        <v>0</v>
      </c>
      <c r="AM175" s="183" t="s">
        <v>0</v>
      </c>
      <c r="AN175" s="183" t="s">
        <v>0</v>
      </c>
      <c r="AO175" s="183" t="s">
        <v>0</v>
      </c>
      <c r="AP175" s="183" t="s">
        <v>0</v>
      </c>
      <c r="AQ175" s="183" t="s">
        <v>0</v>
      </c>
      <c r="AR175" s="183" t="s">
        <v>0</v>
      </c>
      <c r="AS175" s="183" t="s">
        <v>0</v>
      </c>
      <c r="AT175" s="183" t="s">
        <v>0</v>
      </c>
      <c r="AU175" s="183" t="s">
        <v>0</v>
      </c>
      <c r="AV175" s="183" t="s">
        <v>0</v>
      </c>
      <c r="AW175" s="183" t="s">
        <v>0</v>
      </c>
      <c r="AX175" s="183" t="s">
        <v>0</v>
      </c>
      <c r="AY175" s="183" t="s">
        <v>0</v>
      </c>
      <c r="AZ175" s="183" t="s">
        <v>0</v>
      </c>
      <c r="BA175" s="183" t="s">
        <v>0</v>
      </c>
      <c r="BB175" s="183" t="s">
        <v>0</v>
      </c>
      <c r="BC175" s="183" t="s">
        <v>0</v>
      </c>
      <c r="BD175" s="183" t="s">
        <v>0</v>
      </c>
      <c r="BE175" s="183" t="s">
        <v>0</v>
      </c>
      <c r="BF175" s="183" t="s">
        <v>0</v>
      </c>
      <c r="BG175" s="183" t="s">
        <v>0</v>
      </c>
      <c r="BH175" s="183" t="s">
        <v>0</v>
      </c>
      <c r="BI175" s="161"/>
      <c r="DL175">
        <f t="shared" si="750"/>
        <v>0</v>
      </c>
      <c r="DM175">
        <f t="shared" si="751"/>
        <v>0</v>
      </c>
      <c r="DN175">
        <f t="shared" si="752"/>
        <v>0</v>
      </c>
      <c r="DO175">
        <f t="shared" si="753"/>
        <v>0</v>
      </c>
      <c r="DP175">
        <f t="shared" si="754"/>
        <v>0</v>
      </c>
      <c r="DQ175">
        <f t="shared" si="755"/>
        <v>0</v>
      </c>
      <c r="DR175">
        <f t="shared" si="756"/>
        <v>0</v>
      </c>
      <c r="DS175">
        <f t="shared" si="757"/>
        <v>0</v>
      </c>
      <c r="DT175">
        <f t="shared" si="758"/>
        <v>0</v>
      </c>
      <c r="DU175">
        <f t="shared" si="759"/>
        <v>0</v>
      </c>
      <c r="DV175">
        <f t="shared" si="760"/>
        <v>0</v>
      </c>
      <c r="DW175">
        <f t="shared" si="761"/>
        <v>0</v>
      </c>
    </row>
    <row r="176" spans="1:127" x14ac:dyDescent="0.25">
      <c r="A176" s="22">
        <f t="shared" si="749"/>
        <v>170</v>
      </c>
      <c r="B176" s="59" t="str">
        <f t="shared" si="919"/>
        <v>F0013548112</v>
      </c>
      <c r="C176" s="214" t="str">
        <f t="shared" si="920"/>
        <v>82115-0E450 M</v>
      </c>
      <c r="D176" s="58" t="e">
        <f>VLOOKUP(B176,'Timing Table'!B:G,6,0)</f>
        <v>#N/A</v>
      </c>
      <c r="E176" s="22" t="e">
        <f>VLOOKUP(B176,'Timing Table'!B:D,3,0)</f>
        <v>#N/A</v>
      </c>
      <c r="F176" s="188" t="s">
        <v>60</v>
      </c>
      <c r="G176" s="162" t="s">
        <v>60</v>
      </c>
      <c r="H176" s="163" t="s">
        <v>60</v>
      </c>
      <c r="I176" s="164" t="s">
        <v>60</v>
      </c>
      <c r="J176" s="164" t="s">
        <v>0</v>
      </c>
      <c r="K176" s="164" t="s">
        <v>0</v>
      </c>
      <c r="L176" s="164" t="s">
        <v>0</v>
      </c>
      <c r="M176" s="164" t="s">
        <v>0</v>
      </c>
      <c r="N176" s="164" t="s">
        <v>0</v>
      </c>
      <c r="O176" s="164" t="s">
        <v>0</v>
      </c>
      <c r="P176" s="164" t="s">
        <v>0</v>
      </c>
      <c r="Q176" s="164" t="s">
        <v>0</v>
      </c>
      <c r="R176" s="164" t="s">
        <v>0</v>
      </c>
      <c r="S176" s="164" t="s">
        <v>0</v>
      </c>
      <c r="T176" s="164" t="s">
        <v>0</v>
      </c>
      <c r="U176" s="164" t="s">
        <v>0</v>
      </c>
      <c r="V176" s="164" t="s">
        <v>0</v>
      </c>
      <c r="W176" s="164" t="s">
        <v>0</v>
      </c>
      <c r="X176" s="164" t="s">
        <v>0</v>
      </c>
      <c r="Y176" s="164" t="s">
        <v>0</v>
      </c>
      <c r="Z176" s="164" t="s">
        <v>0</v>
      </c>
      <c r="AA176" s="164" t="s">
        <v>0</v>
      </c>
      <c r="AB176" s="164" t="s">
        <v>0</v>
      </c>
      <c r="AC176" s="164" t="s">
        <v>0</v>
      </c>
      <c r="AD176" s="164" t="s">
        <v>0</v>
      </c>
      <c r="AE176" s="164" t="s">
        <v>0</v>
      </c>
      <c r="AF176" s="164" t="s">
        <v>0</v>
      </c>
      <c r="AG176" s="164" t="s">
        <v>0</v>
      </c>
      <c r="AH176" s="164" t="s">
        <v>0</v>
      </c>
      <c r="AI176" s="164" t="s">
        <v>0</v>
      </c>
      <c r="AJ176" s="164" t="s">
        <v>0</v>
      </c>
      <c r="AK176" s="164" t="s">
        <v>0</v>
      </c>
      <c r="AL176" s="164" t="s">
        <v>0</v>
      </c>
      <c r="AM176" s="164" t="s">
        <v>0</v>
      </c>
      <c r="AN176" s="164" t="s">
        <v>0</v>
      </c>
      <c r="AO176" s="164" t="s">
        <v>0</v>
      </c>
      <c r="AP176" s="164" t="s">
        <v>0</v>
      </c>
      <c r="AQ176" s="164" t="s">
        <v>0</v>
      </c>
      <c r="AR176" s="164" t="s">
        <v>0</v>
      </c>
      <c r="AS176" s="164" t="s">
        <v>0</v>
      </c>
      <c r="AT176" s="164" t="s">
        <v>0</v>
      </c>
      <c r="AU176" s="164" t="s">
        <v>0</v>
      </c>
      <c r="AV176" s="164" t="s">
        <v>0</v>
      </c>
      <c r="AW176" s="164" t="s">
        <v>0</v>
      </c>
      <c r="AX176" s="164" t="s">
        <v>0</v>
      </c>
      <c r="AY176" s="164" t="s">
        <v>0</v>
      </c>
      <c r="AZ176" s="164" t="s">
        <v>0</v>
      </c>
      <c r="BA176" s="164" t="s">
        <v>0</v>
      </c>
      <c r="BB176" s="164" t="s">
        <v>0</v>
      </c>
      <c r="BC176" s="164" t="s">
        <v>0</v>
      </c>
      <c r="BD176" s="164" t="s">
        <v>0</v>
      </c>
      <c r="BE176" s="164" t="s">
        <v>0</v>
      </c>
      <c r="BF176" s="164" t="s">
        <v>0</v>
      </c>
      <c r="BG176" s="164" t="s">
        <v>0</v>
      </c>
      <c r="BH176" s="164" t="s">
        <v>0</v>
      </c>
      <c r="BI176" s="189"/>
      <c r="DL176">
        <f t="shared" si="750"/>
        <v>0</v>
      </c>
      <c r="DM176">
        <f t="shared" si="751"/>
        <v>0</v>
      </c>
      <c r="DN176">
        <f t="shared" si="752"/>
        <v>0</v>
      </c>
      <c r="DO176">
        <f t="shared" si="753"/>
        <v>0</v>
      </c>
      <c r="DP176">
        <f t="shared" si="754"/>
        <v>0</v>
      </c>
      <c r="DQ176">
        <f t="shared" si="755"/>
        <v>0</v>
      </c>
      <c r="DR176">
        <f t="shared" si="756"/>
        <v>0</v>
      </c>
      <c r="DS176">
        <f t="shared" si="757"/>
        <v>0</v>
      </c>
      <c r="DT176">
        <f t="shared" si="758"/>
        <v>0</v>
      </c>
      <c r="DU176">
        <f t="shared" si="759"/>
        <v>0</v>
      </c>
      <c r="DV176">
        <f t="shared" si="760"/>
        <v>0</v>
      </c>
      <c r="DW176">
        <f t="shared" si="761"/>
        <v>0</v>
      </c>
    </row>
    <row r="177" spans="1:127" x14ac:dyDescent="0.25">
      <c r="A177" s="22">
        <f t="shared" si="749"/>
        <v>171</v>
      </c>
      <c r="B177" s="59" t="str">
        <f t="shared" si="919"/>
        <v>F0014825701</v>
      </c>
      <c r="C177" s="214" t="str">
        <f t="shared" si="920"/>
        <v>82115-0E310</v>
      </c>
      <c r="D177" s="58" t="e">
        <f>VLOOKUP(B177,'Timing Table'!B:G,6,0)</f>
        <v>#N/A</v>
      </c>
      <c r="E177" s="22" t="e">
        <f>VLOOKUP(B177,'Timing Table'!B:D,3,0)</f>
        <v>#N/A</v>
      </c>
      <c r="F177" s="155" t="s">
        <v>61</v>
      </c>
      <c r="G177" s="181">
        <v>5500990628</v>
      </c>
      <c r="H177" s="155" t="s">
        <v>62</v>
      </c>
      <c r="I177" s="181">
        <v>156</v>
      </c>
      <c r="J177" s="155" t="s">
        <v>63</v>
      </c>
      <c r="K177" s="160">
        <v>1121469</v>
      </c>
      <c r="L177" s="161"/>
      <c r="M177" s="190" t="s">
        <v>64</v>
      </c>
      <c r="N177" s="191"/>
      <c r="O177" s="192">
        <v>46086</v>
      </c>
      <c r="P177" s="155" t="s">
        <v>65</v>
      </c>
      <c r="Q177" s="181">
        <v>4</v>
      </c>
      <c r="R177" s="6" t="s">
        <v>0</v>
      </c>
      <c r="S177" s="7" t="s">
        <v>0</v>
      </c>
      <c r="T177" s="7" t="s">
        <v>0</v>
      </c>
      <c r="U177" s="7" t="s">
        <v>0</v>
      </c>
      <c r="V177" s="7" t="s">
        <v>0</v>
      </c>
      <c r="W177" s="7" t="s">
        <v>0</v>
      </c>
      <c r="X177" s="7" t="s">
        <v>0</v>
      </c>
      <c r="Y177" s="7" t="s">
        <v>0</v>
      </c>
      <c r="Z177" s="7" t="s">
        <v>0</v>
      </c>
      <c r="AA177" s="7" t="s">
        <v>0</v>
      </c>
      <c r="AB177" s="7" t="s">
        <v>0</v>
      </c>
      <c r="AC177" s="7" t="s">
        <v>0</v>
      </c>
      <c r="AD177" s="7" t="s">
        <v>0</v>
      </c>
      <c r="AE177" s="7" t="s">
        <v>0</v>
      </c>
      <c r="AF177" s="7" t="s">
        <v>0</v>
      </c>
      <c r="AG177" s="7" t="s">
        <v>0</v>
      </c>
      <c r="AH177" s="7" t="s">
        <v>0</v>
      </c>
      <c r="AI177" s="7" t="s">
        <v>0</v>
      </c>
      <c r="AJ177" s="7" t="s">
        <v>0</v>
      </c>
      <c r="AK177" s="7" t="s">
        <v>0</v>
      </c>
      <c r="AL177" s="7" t="s">
        <v>0</v>
      </c>
      <c r="AM177" s="7" t="s">
        <v>0</v>
      </c>
      <c r="AN177" s="7" t="s">
        <v>0</v>
      </c>
      <c r="AO177" s="7" t="s">
        <v>0</v>
      </c>
      <c r="AP177" s="7" t="s">
        <v>0</v>
      </c>
      <c r="AQ177" s="7" t="s">
        <v>0</v>
      </c>
      <c r="AR177" s="7" t="s">
        <v>0</v>
      </c>
      <c r="AS177" s="7" t="s">
        <v>0</v>
      </c>
      <c r="AT177" s="7" t="s">
        <v>0</v>
      </c>
      <c r="AU177" s="7" t="s">
        <v>0</v>
      </c>
      <c r="AV177" s="7" t="s">
        <v>0</v>
      </c>
      <c r="AW177" s="7" t="s">
        <v>0</v>
      </c>
      <c r="AX177" s="7" t="s">
        <v>0</v>
      </c>
      <c r="AY177" s="7" t="s">
        <v>0</v>
      </c>
      <c r="AZ177" s="7" t="s">
        <v>0</v>
      </c>
      <c r="BA177" s="7" t="s">
        <v>0</v>
      </c>
      <c r="BB177" s="7" t="s">
        <v>0</v>
      </c>
      <c r="BC177" s="7" t="s">
        <v>0</v>
      </c>
      <c r="BD177" s="7" t="s">
        <v>0</v>
      </c>
      <c r="BE177" s="7" t="s">
        <v>0</v>
      </c>
      <c r="BF177" s="7" t="s">
        <v>0</v>
      </c>
      <c r="BG177" s="7" t="s">
        <v>0</v>
      </c>
      <c r="BH177" s="7" t="s">
        <v>0</v>
      </c>
      <c r="BI177" s="8"/>
      <c r="DL177">
        <f t="shared" si="750"/>
        <v>0</v>
      </c>
      <c r="DM177">
        <f t="shared" si="751"/>
        <v>0</v>
      </c>
      <c r="DN177">
        <f t="shared" si="752"/>
        <v>0</v>
      </c>
      <c r="DO177">
        <f t="shared" si="753"/>
        <v>0</v>
      </c>
      <c r="DP177">
        <f t="shared" si="754"/>
        <v>0</v>
      </c>
      <c r="DQ177">
        <f t="shared" si="755"/>
        <v>0</v>
      </c>
      <c r="DR177">
        <f t="shared" si="756"/>
        <v>0</v>
      </c>
      <c r="DS177">
        <f t="shared" si="757"/>
        <v>0</v>
      </c>
      <c r="DT177">
        <f t="shared" si="758"/>
        <v>0</v>
      </c>
      <c r="DU177">
        <f t="shared" si="759"/>
        <v>0</v>
      </c>
      <c r="DV177">
        <f t="shared" si="760"/>
        <v>0</v>
      </c>
      <c r="DW177">
        <f t="shared" si="761"/>
        <v>0</v>
      </c>
    </row>
    <row r="178" spans="1:127" x14ac:dyDescent="0.25">
      <c r="A178" s="22">
        <f t="shared" si="749"/>
        <v>172</v>
      </c>
      <c r="B178" s="59" t="str">
        <f t="shared" si="919"/>
        <v>F0014825701</v>
      </c>
      <c r="C178" s="214" t="str">
        <f t="shared" si="920"/>
        <v>82115-0E310</v>
      </c>
      <c r="D178" s="58" t="e">
        <f>VLOOKUP(B178,'Timing Table'!B:G,6,0)</f>
        <v>#N/A</v>
      </c>
      <c r="E178" s="22" t="e">
        <f>VLOOKUP(B178,'Timing Table'!B:D,3,0)</f>
        <v>#N/A</v>
      </c>
      <c r="F178" s="155" t="s">
        <v>66</v>
      </c>
      <c r="G178" s="181" t="s">
        <v>263</v>
      </c>
      <c r="H178" s="155" t="s">
        <v>67</v>
      </c>
      <c r="I178" s="182" t="s">
        <v>264</v>
      </c>
      <c r="J178" s="183"/>
      <c r="K178" s="183"/>
      <c r="L178" s="161"/>
      <c r="M178" s="155" t="s">
        <v>68</v>
      </c>
      <c r="N178" s="181">
        <v>2025</v>
      </c>
      <c r="O178" s="184" t="s">
        <v>69</v>
      </c>
      <c r="P178" s="185"/>
      <c r="Q178" s="193" t="s">
        <v>265</v>
      </c>
      <c r="R178" s="156" t="s">
        <v>0</v>
      </c>
      <c r="S178" s="157" t="s">
        <v>0</v>
      </c>
      <c r="T178" s="157" t="s">
        <v>0</v>
      </c>
      <c r="U178" s="157" t="s">
        <v>0</v>
      </c>
      <c r="V178" s="157" t="s">
        <v>0</v>
      </c>
      <c r="W178" s="157" t="s">
        <v>0</v>
      </c>
      <c r="X178" s="157" t="s">
        <v>0</v>
      </c>
      <c r="Y178" s="157" t="s">
        <v>0</v>
      </c>
      <c r="Z178" s="157" t="s">
        <v>0</v>
      </c>
      <c r="AA178" s="157" t="s">
        <v>0</v>
      </c>
      <c r="AB178" s="157" t="s">
        <v>0</v>
      </c>
      <c r="AC178" s="157" t="s">
        <v>0</v>
      </c>
      <c r="AD178" s="157" t="s">
        <v>0</v>
      </c>
      <c r="AE178" s="157" t="s">
        <v>0</v>
      </c>
      <c r="AF178" s="157" t="s">
        <v>0</v>
      </c>
      <c r="AG178" s="157" t="s">
        <v>0</v>
      </c>
      <c r="AH178" s="157" t="s">
        <v>0</v>
      </c>
      <c r="AI178" s="157" t="s">
        <v>0</v>
      </c>
      <c r="AJ178" s="157" t="s">
        <v>0</v>
      </c>
      <c r="AK178" s="157" t="s">
        <v>0</v>
      </c>
      <c r="AL178" s="157" t="s">
        <v>0</v>
      </c>
      <c r="AM178" s="157" t="s">
        <v>0</v>
      </c>
      <c r="AN178" s="157" t="s">
        <v>0</v>
      </c>
      <c r="AO178" s="157" t="s">
        <v>0</v>
      </c>
      <c r="AP178" s="157" t="s">
        <v>0</v>
      </c>
      <c r="AQ178" s="157" t="s">
        <v>0</v>
      </c>
      <c r="AR178" s="157" t="s">
        <v>0</v>
      </c>
      <c r="AS178" s="157" t="s">
        <v>0</v>
      </c>
      <c r="AT178" s="157" t="s">
        <v>0</v>
      </c>
      <c r="AU178" s="157" t="s">
        <v>0</v>
      </c>
      <c r="AV178" s="157" t="s">
        <v>0</v>
      </c>
      <c r="AW178" s="157" t="s">
        <v>0</v>
      </c>
      <c r="AX178" s="157" t="s">
        <v>0</v>
      </c>
      <c r="AY178" s="157" t="s">
        <v>0</v>
      </c>
      <c r="AZ178" s="157" t="s">
        <v>0</v>
      </c>
      <c r="BA178" s="157" t="s">
        <v>0</v>
      </c>
      <c r="BB178" s="157" t="s">
        <v>0</v>
      </c>
      <c r="BC178" s="157" t="s">
        <v>0</v>
      </c>
      <c r="BD178" s="157" t="s">
        <v>0</v>
      </c>
      <c r="BE178" s="157" t="s">
        <v>0</v>
      </c>
      <c r="BF178" s="157" t="s">
        <v>0</v>
      </c>
      <c r="BG178" s="157" t="s">
        <v>0</v>
      </c>
      <c r="BH178" s="157" t="s">
        <v>0</v>
      </c>
      <c r="BI178" s="158"/>
      <c r="DL178">
        <f t="shared" si="750"/>
        <v>0</v>
      </c>
      <c r="DM178">
        <f t="shared" si="751"/>
        <v>0</v>
      </c>
      <c r="DN178">
        <f t="shared" si="752"/>
        <v>0</v>
      </c>
      <c r="DO178">
        <f t="shared" si="753"/>
        <v>0</v>
      </c>
      <c r="DP178">
        <f t="shared" si="754"/>
        <v>0</v>
      </c>
      <c r="DQ178">
        <f t="shared" si="755"/>
        <v>0</v>
      </c>
      <c r="DR178">
        <f t="shared" si="756"/>
        <v>0</v>
      </c>
      <c r="DS178">
        <f t="shared" si="757"/>
        <v>0</v>
      </c>
      <c r="DT178">
        <f t="shared" si="758"/>
        <v>0</v>
      </c>
      <c r="DU178">
        <f t="shared" si="759"/>
        <v>0</v>
      </c>
      <c r="DV178">
        <f t="shared" si="760"/>
        <v>0</v>
      </c>
      <c r="DW178">
        <f t="shared" si="761"/>
        <v>0</v>
      </c>
    </row>
    <row r="179" spans="1:127" x14ac:dyDescent="0.25">
      <c r="A179" s="22">
        <f t="shared" si="749"/>
        <v>173</v>
      </c>
      <c r="B179" s="59" t="str">
        <f t="shared" si="919"/>
        <v>F0014825701</v>
      </c>
      <c r="C179" s="214" t="str">
        <f t="shared" si="920"/>
        <v>82115-0E310</v>
      </c>
      <c r="D179" s="58" t="e">
        <f>VLOOKUP(B179,'Timing Table'!B:G,6,0)</f>
        <v>#N/A</v>
      </c>
      <c r="E179" s="22" t="e">
        <f>VLOOKUP(B179,'Timing Table'!B:D,3,0)</f>
        <v>#N/A</v>
      </c>
      <c r="F179" s="155" t="s">
        <v>70</v>
      </c>
      <c r="G179" s="181" t="s">
        <v>241</v>
      </c>
      <c r="H179" s="155" t="s">
        <v>71</v>
      </c>
      <c r="I179" s="182" t="s">
        <v>60</v>
      </c>
      <c r="J179" s="161" t="s">
        <v>0</v>
      </c>
      <c r="K179" s="194" t="s">
        <v>0</v>
      </c>
      <c r="L179" s="195" t="s">
        <v>0</v>
      </c>
      <c r="M179" s="179" t="s">
        <v>0</v>
      </c>
      <c r="N179" s="179" t="s">
        <v>0</v>
      </c>
      <c r="O179" s="179" t="s">
        <v>0</v>
      </c>
      <c r="P179" s="179" t="s">
        <v>0</v>
      </c>
      <c r="Q179" s="179" t="s">
        <v>1</v>
      </c>
      <c r="R179" s="179" t="s">
        <v>2</v>
      </c>
      <c r="S179" s="179" t="s">
        <v>0</v>
      </c>
      <c r="T179" s="179" t="s">
        <v>0</v>
      </c>
      <c r="U179" s="179" t="s">
        <v>0</v>
      </c>
      <c r="V179" s="179" t="s">
        <v>0</v>
      </c>
      <c r="W179" s="179" t="s">
        <v>0</v>
      </c>
      <c r="X179" s="179" t="s">
        <v>0</v>
      </c>
      <c r="Y179" s="179" t="s">
        <v>0</v>
      </c>
      <c r="Z179" s="179" t="s">
        <v>3</v>
      </c>
      <c r="AA179" s="179" t="s">
        <v>0</v>
      </c>
      <c r="AB179" s="179" t="s">
        <v>0</v>
      </c>
      <c r="AC179" s="179" t="s">
        <v>0</v>
      </c>
      <c r="AD179" s="179" t="s">
        <v>0</v>
      </c>
      <c r="AE179" s="179" t="s">
        <v>0</v>
      </c>
      <c r="AF179" s="179" t="s">
        <v>0</v>
      </c>
      <c r="AG179" s="179" t="s">
        <v>0</v>
      </c>
      <c r="AH179" s="179" t="s">
        <v>0</v>
      </c>
      <c r="AI179" s="179" t="s">
        <v>0</v>
      </c>
      <c r="AJ179" s="179" t="s">
        <v>0</v>
      </c>
      <c r="AK179" s="179" t="s">
        <v>0</v>
      </c>
      <c r="AL179" s="179" t="s">
        <v>0</v>
      </c>
      <c r="AM179" s="179" t="s">
        <v>0</v>
      </c>
      <c r="AN179" s="179" t="s">
        <v>0</v>
      </c>
      <c r="AO179" s="179" t="s">
        <v>0</v>
      </c>
      <c r="AP179" s="179" t="s">
        <v>0</v>
      </c>
      <c r="AQ179" s="179" t="s">
        <v>0</v>
      </c>
      <c r="AR179" s="179" t="s">
        <v>0</v>
      </c>
      <c r="AS179" s="179" t="s">
        <v>0</v>
      </c>
      <c r="AT179" s="179" t="s">
        <v>0</v>
      </c>
      <c r="AU179" s="179" t="s">
        <v>0</v>
      </c>
      <c r="AV179" s="179" t="s">
        <v>0</v>
      </c>
      <c r="AW179" s="179" t="s">
        <v>0</v>
      </c>
      <c r="AX179" s="179" t="s">
        <v>0</v>
      </c>
      <c r="AY179" s="179" t="s">
        <v>0</v>
      </c>
      <c r="AZ179" s="179" t="s">
        <v>0</v>
      </c>
      <c r="BA179" s="179" t="s">
        <v>0</v>
      </c>
      <c r="BB179" s="179" t="s">
        <v>0</v>
      </c>
      <c r="BC179" s="179" t="s">
        <v>0</v>
      </c>
      <c r="BD179" s="179" t="s">
        <v>0</v>
      </c>
      <c r="BE179" s="179" t="s">
        <v>0</v>
      </c>
      <c r="BF179" s="179" t="s">
        <v>0</v>
      </c>
      <c r="BG179" s="179" t="s">
        <v>0</v>
      </c>
      <c r="BH179" s="179" t="s">
        <v>0</v>
      </c>
      <c r="BI179" s="180" t="s">
        <v>4</v>
      </c>
      <c r="DL179">
        <f t="shared" si="750"/>
        <v>0</v>
      </c>
      <c r="DM179">
        <f t="shared" si="751"/>
        <v>0</v>
      </c>
      <c r="DN179">
        <f t="shared" si="752"/>
        <v>0</v>
      </c>
      <c r="DO179">
        <f t="shared" si="753"/>
        <v>0</v>
      </c>
      <c r="DP179">
        <f t="shared" si="754"/>
        <v>0</v>
      </c>
      <c r="DQ179">
        <f t="shared" si="755"/>
        <v>0</v>
      </c>
      <c r="DR179">
        <f t="shared" si="756"/>
        <v>0</v>
      </c>
      <c r="DS179">
        <f t="shared" si="757"/>
        <v>0</v>
      </c>
      <c r="DT179">
        <f t="shared" si="758"/>
        <v>0</v>
      </c>
      <c r="DU179">
        <f t="shared" si="759"/>
        <v>0</v>
      </c>
      <c r="DV179">
        <f t="shared" si="760"/>
        <v>0</v>
      </c>
      <c r="DW179">
        <f t="shared" si="761"/>
        <v>0</v>
      </c>
    </row>
    <row r="180" spans="1:127" x14ac:dyDescent="0.25">
      <c r="A180" s="22">
        <f t="shared" si="749"/>
        <v>174</v>
      </c>
      <c r="B180" s="59" t="str">
        <f t="shared" si="919"/>
        <v>F0014825701</v>
      </c>
      <c r="C180" s="214" t="str">
        <f t="shared" si="920"/>
        <v>82115-0E310</v>
      </c>
      <c r="D180" s="58" t="e">
        <f>VLOOKUP(B180,'Timing Table'!B:G,6,0)</f>
        <v>#N/A</v>
      </c>
      <c r="E180" s="22" t="e">
        <f>VLOOKUP(B180,'Timing Table'!B:D,3,0)</f>
        <v>#N/A</v>
      </c>
      <c r="F180" s="155" t="s">
        <v>72</v>
      </c>
      <c r="G180" s="181">
        <v>36</v>
      </c>
      <c r="H180" s="196" t="s">
        <v>414</v>
      </c>
      <c r="I180" s="197" t="s">
        <v>73</v>
      </c>
      <c r="J180" s="13">
        <v>46041</v>
      </c>
      <c r="K180" s="14">
        <v>46048</v>
      </c>
      <c r="L180" s="14">
        <v>46055</v>
      </c>
      <c r="M180" s="14">
        <v>46062</v>
      </c>
      <c r="N180" s="14">
        <v>46069</v>
      </c>
      <c r="O180" s="14">
        <v>46076</v>
      </c>
      <c r="P180" s="14">
        <v>46083</v>
      </c>
      <c r="Q180" s="14">
        <v>46090</v>
      </c>
      <c r="R180" s="14">
        <v>46097</v>
      </c>
      <c r="S180" s="14">
        <v>46104</v>
      </c>
      <c r="T180" s="14">
        <v>46111</v>
      </c>
      <c r="U180" s="14">
        <v>46118</v>
      </c>
      <c r="V180" s="14">
        <v>46125</v>
      </c>
      <c r="W180" s="14">
        <v>46132</v>
      </c>
      <c r="X180" s="14">
        <v>46139</v>
      </c>
      <c r="Y180" s="14">
        <v>46146</v>
      </c>
      <c r="Z180" s="14">
        <v>46153</v>
      </c>
      <c r="AA180" s="14">
        <v>46160</v>
      </c>
      <c r="AB180" s="14">
        <v>46167</v>
      </c>
      <c r="AC180" s="14">
        <v>46174</v>
      </c>
      <c r="AD180" s="14">
        <v>46181</v>
      </c>
      <c r="AE180" s="14">
        <v>46188</v>
      </c>
      <c r="AF180" s="14">
        <v>46195</v>
      </c>
      <c r="AG180" s="14">
        <v>46202</v>
      </c>
      <c r="AH180" s="14">
        <v>46209</v>
      </c>
      <c r="AI180" s="14">
        <v>46216</v>
      </c>
      <c r="AJ180" s="14">
        <v>46223</v>
      </c>
      <c r="AK180" s="14">
        <v>46230</v>
      </c>
      <c r="AL180" s="14">
        <v>46237</v>
      </c>
      <c r="AM180" s="14">
        <v>46244</v>
      </c>
      <c r="AN180" s="14">
        <v>46251</v>
      </c>
      <c r="AO180" s="14">
        <v>46258</v>
      </c>
      <c r="AP180" s="14">
        <v>46265</v>
      </c>
      <c r="AQ180" s="14">
        <v>46272</v>
      </c>
      <c r="AR180" s="14">
        <v>46279</v>
      </c>
      <c r="AS180" s="14">
        <v>46286</v>
      </c>
      <c r="AT180" s="14">
        <v>46293</v>
      </c>
      <c r="AU180" s="14">
        <v>46300</v>
      </c>
      <c r="AV180" s="14">
        <v>46307</v>
      </c>
      <c r="AW180" s="14">
        <v>46314</v>
      </c>
      <c r="AX180" s="14">
        <v>46321</v>
      </c>
      <c r="AY180" s="14">
        <v>46328</v>
      </c>
      <c r="AZ180" s="14">
        <v>46335</v>
      </c>
      <c r="BA180" s="14">
        <v>46342</v>
      </c>
      <c r="BB180" s="14">
        <v>46349</v>
      </c>
      <c r="BC180" s="14">
        <v>46356</v>
      </c>
      <c r="BD180" s="14">
        <v>46363</v>
      </c>
      <c r="BE180" s="14">
        <v>46370</v>
      </c>
      <c r="BF180" s="14">
        <v>46377</v>
      </c>
      <c r="BG180" s="14">
        <v>46384</v>
      </c>
      <c r="BH180" s="14">
        <v>46391</v>
      </c>
      <c r="BI180" s="15">
        <v>46398</v>
      </c>
      <c r="DL180">
        <f t="shared" si="750"/>
        <v>0</v>
      </c>
      <c r="DM180">
        <f t="shared" si="751"/>
        <v>0</v>
      </c>
      <c r="DN180">
        <f t="shared" si="752"/>
        <v>0</v>
      </c>
      <c r="DO180">
        <f t="shared" si="753"/>
        <v>0</v>
      </c>
      <c r="DP180">
        <f t="shared" si="754"/>
        <v>0</v>
      </c>
      <c r="DQ180">
        <f t="shared" si="755"/>
        <v>0</v>
      </c>
      <c r="DR180">
        <f t="shared" si="756"/>
        <v>0</v>
      </c>
      <c r="DS180">
        <f t="shared" si="757"/>
        <v>0</v>
      </c>
      <c r="DT180">
        <f t="shared" si="758"/>
        <v>0</v>
      </c>
      <c r="DU180">
        <f t="shared" si="759"/>
        <v>0</v>
      </c>
      <c r="DV180">
        <f t="shared" si="760"/>
        <v>0</v>
      </c>
      <c r="DW180">
        <f t="shared" si="761"/>
        <v>0</v>
      </c>
    </row>
    <row r="181" spans="1:127" x14ac:dyDescent="0.25">
      <c r="A181" s="22">
        <f t="shared" si="749"/>
        <v>175</v>
      </c>
      <c r="B181" s="59" t="str">
        <f t="shared" si="919"/>
        <v>F0014825701</v>
      </c>
      <c r="C181" s="214" t="str">
        <f t="shared" si="920"/>
        <v>82115-0E310</v>
      </c>
      <c r="D181" s="58" t="e">
        <f>VLOOKUP(B181,'Timing Table'!B:G,6,0)</f>
        <v>#N/A</v>
      </c>
      <c r="E181" s="22" t="e">
        <f>VLOOKUP(B181,'Timing Table'!B:D,3,0)</f>
        <v>#N/A</v>
      </c>
      <c r="F181" s="155" t="s">
        <v>74</v>
      </c>
      <c r="G181" s="181">
        <v>76</v>
      </c>
      <c r="H181" s="5" t="s">
        <v>60</v>
      </c>
      <c r="I181" s="11" t="s">
        <v>147</v>
      </c>
      <c r="J181" s="16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17"/>
      <c r="DL181">
        <f t="shared" si="750"/>
        <v>0</v>
      </c>
      <c r="DM181">
        <f t="shared" si="751"/>
        <v>0</v>
      </c>
      <c r="DN181">
        <f t="shared" si="752"/>
        <v>0</v>
      </c>
      <c r="DO181">
        <f t="shared" si="753"/>
        <v>0</v>
      </c>
      <c r="DP181">
        <f t="shared" si="754"/>
        <v>0</v>
      </c>
      <c r="DQ181">
        <f t="shared" si="755"/>
        <v>0</v>
      </c>
      <c r="DR181">
        <f t="shared" si="756"/>
        <v>0</v>
      </c>
      <c r="DS181">
        <f t="shared" si="757"/>
        <v>0</v>
      </c>
      <c r="DT181">
        <f t="shared" si="758"/>
        <v>0</v>
      </c>
      <c r="DU181">
        <f t="shared" si="759"/>
        <v>0</v>
      </c>
      <c r="DV181">
        <f t="shared" si="760"/>
        <v>0</v>
      </c>
      <c r="DW181">
        <f t="shared" si="761"/>
        <v>0</v>
      </c>
    </row>
    <row r="182" spans="1:127" x14ac:dyDescent="0.25">
      <c r="A182" s="22">
        <f t="shared" si="749"/>
        <v>176</v>
      </c>
      <c r="B182" s="59" t="str">
        <f t="shared" si="919"/>
        <v>F0014825701</v>
      </c>
      <c r="C182" s="214" t="str">
        <f t="shared" si="920"/>
        <v>82115-0E310</v>
      </c>
      <c r="D182" s="58" t="e">
        <f>VLOOKUP(B182,'Timing Table'!B:G,6,0)</f>
        <v>#N/A</v>
      </c>
      <c r="E182" s="22" t="e">
        <f>VLOOKUP(B182,'Timing Table'!B:D,3,0)</f>
        <v>#N/A</v>
      </c>
      <c r="F182" s="155" t="s">
        <v>75</v>
      </c>
      <c r="G182" s="198" t="s">
        <v>257</v>
      </c>
      <c r="H182" s="9" t="s">
        <v>241</v>
      </c>
      <c r="I182" s="11" t="s">
        <v>76</v>
      </c>
      <c r="J182" s="143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0</v>
      </c>
      <c r="AD182" s="64">
        <v>0</v>
      </c>
      <c r="AE182" s="64">
        <v>0</v>
      </c>
      <c r="AF182" s="64">
        <v>0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0</v>
      </c>
      <c r="BF182" s="64">
        <v>0</v>
      </c>
      <c r="BG182" s="64">
        <v>0</v>
      </c>
      <c r="BH182" s="64">
        <v>0</v>
      </c>
      <c r="BI182" s="144">
        <v>0</v>
      </c>
      <c r="BJ182" s="24" t="str">
        <f>+G179</f>
        <v>82115-0E310</v>
      </c>
      <c r="BK182" s="24">
        <f>+J182</f>
        <v>0</v>
      </c>
      <c r="BL182" s="24">
        <f t="shared" ref="BL182" si="972">+K182</f>
        <v>0</v>
      </c>
      <c r="BM182" s="24">
        <f t="shared" ref="BM182" si="973">+L182</f>
        <v>0</v>
      </c>
      <c r="BN182" s="24">
        <f t="shared" ref="BN182" si="974">+M182</f>
        <v>0</v>
      </c>
      <c r="BO182" s="24">
        <f t="shared" ref="BO182" si="975">+N182</f>
        <v>0</v>
      </c>
      <c r="BP182" s="24">
        <f t="shared" ref="BP182" si="976">+O182</f>
        <v>0</v>
      </c>
      <c r="BQ182" s="24">
        <f t="shared" ref="BQ182" si="977">+P182</f>
        <v>0</v>
      </c>
      <c r="BR182" s="24">
        <f t="shared" ref="BR182" si="978">+Q182</f>
        <v>0</v>
      </c>
      <c r="BS182" s="24">
        <f t="shared" ref="BS182" si="979">+R182</f>
        <v>0</v>
      </c>
      <c r="BT182" s="24">
        <f t="shared" ref="BT182" si="980">+S182</f>
        <v>0</v>
      </c>
      <c r="BU182" s="24">
        <f t="shared" ref="BU182" si="981">+T182</f>
        <v>0</v>
      </c>
      <c r="BV182" s="24">
        <f t="shared" ref="BV182" si="982">+U182</f>
        <v>0</v>
      </c>
      <c r="BW182" s="24">
        <f t="shared" ref="BW182" si="983">+V182</f>
        <v>0</v>
      </c>
      <c r="BX182" s="24">
        <f t="shared" ref="BX182" si="984">+W182</f>
        <v>0</v>
      </c>
      <c r="BY182" s="24">
        <f t="shared" ref="BY182" si="985">+X182</f>
        <v>0</v>
      </c>
      <c r="BZ182" s="24">
        <f t="shared" ref="BZ182" si="986">+Y182</f>
        <v>0</v>
      </c>
      <c r="CA182" s="24">
        <f t="shared" ref="CA182" si="987">+Z182</f>
        <v>0</v>
      </c>
      <c r="CB182" s="24">
        <f t="shared" ref="CB182" si="988">+AA182</f>
        <v>0</v>
      </c>
      <c r="CC182" s="24">
        <f t="shared" ref="CC182" si="989">+AB182</f>
        <v>0</v>
      </c>
      <c r="CD182" s="24">
        <f t="shared" ref="CD182" si="990">+AC182</f>
        <v>0</v>
      </c>
      <c r="CE182" s="24">
        <f t="shared" ref="CE182" si="991">+AD182</f>
        <v>0</v>
      </c>
      <c r="CF182" s="24">
        <f t="shared" ref="CF182" si="992">+AE182</f>
        <v>0</v>
      </c>
      <c r="CG182" s="24">
        <f t="shared" ref="CG182" si="993">+AF182</f>
        <v>0</v>
      </c>
      <c r="CH182" s="24">
        <f t="shared" ref="CH182" si="994">+AG182</f>
        <v>0</v>
      </c>
      <c r="CI182" s="24">
        <f t="shared" ref="CI182" si="995">+AH182</f>
        <v>0</v>
      </c>
      <c r="CJ182" s="24">
        <f t="shared" ref="CJ182" si="996">+AI182</f>
        <v>0</v>
      </c>
      <c r="CK182" s="24">
        <f t="shared" ref="CK182" si="997">+AJ182</f>
        <v>0</v>
      </c>
      <c r="CL182" s="24">
        <f t="shared" ref="CL182" si="998">+AK182</f>
        <v>0</v>
      </c>
      <c r="CM182" s="24">
        <f t="shared" ref="CM182" si="999">+AL182</f>
        <v>0</v>
      </c>
      <c r="CN182" s="24">
        <f t="shared" ref="CN182" si="1000">+AM182</f>
        <v>0</v>
      </c>
      <c r="CO182" s="24">
        <f t="shared" ref="CO182" si="1001">+AN182</f>
        <v>0</v>
      </c>
      <c r="CP182" s="166">
        <f t="shared" ref="CP182" si="1002">+AO182</f>
        <v>0</v>
      </c>
      <c r="CQ182" s="166">
        <f t="shared" ref="CQ182" si="1003">+AP182</f>
        <v>0</v>
      </c>
      <c r="CR182">
        <f t="shared" ref="CR182" si="1004">+AQ182</f>
        <v>0</v>
      </c>
      <c r="CS182">
        <f t="shared" ref="CS182" si="1005">+AR182</f>
        <v>0</v>
      </c>
      <c r="CT182">
        <f t="shared" ref="CT182" si="1006">+AS182</f>
        <v>0</v>
      </c>
      <c r="CU182">
        <f t="shared" ref="CU182" si="1007">+AT182</f>
        <v>0</v>
      </c>
      <c r="CV182">
        <f t="shared" ref="CV182" si="1008">+AU182</f>
        <v>0</v>
      </c>
      <c r="CW182">
        <f t="shared" ref="CW182" si="1009">+AV182</f>
        <v>0</v>
      </c>
      <c r="CX182">
        <f t="shared" ref="CX182" si="1010">+AW182</f>
        <v>0</v>
      </c>
      <c r="CY182">
        <f t="shared" ref="CY182" si="1011">+AX182</f>
        <v>0</v>
      </c>
      <c r="CZ182">
        <f t="shared" ref="CZ182" si="1012">+AY182</f>
        <v>0</v>
      </c>
      <c r="DA182">
        <f t="shared" ref="DA182" si="1013">+AZ182</f>
        <v>0</v>
      </c>
      <c r="DB182">
        <f t="shared" ref="DB182" si="1014">+BA182</f>
        <v>0</v>
      </c>
      <c r="DC182">
        <f t="shared" ref="DC182" si="1015">+BB182</f>
        <v>0</v>
      </c>
      <c r="DD182">
        <f t="shared" ref="DD182" si="1016">+BC182</f>
        <v>0</v>
      </c>
      <c r="DE182">
        <f t="shared" ref="DE182" si="1017">+BD182</f>
        <v>0</v>
      </c>
      <c r="DF182">
        <f t="shared" ref="DF182" si="1018">+BE182</f>
        <v>0</v>
      </c>
      <c r="DG182">
        <f t="shared" ref="DG182" si="1019">+BF182</f>
        <v>0</v>
      </c>
      <c r="DH182">
        <f t="shared" ref="DH182" si="1020">+BG182</f>
        <v>0</v>
      </c>
      <c r="DI182">
        <f t="shared" ref="DI182" si="1021">+BH182</f>
        <v>0</v>
      </c>
      <c r="DJ182">
        <f t="shared" ref="DJ182" si="1022">+BI182</f>
        <v>0</v>
      </c>
      <c r="DL182" s="24">
        <f t="shared" si="750"/>
        <v>0</v>
      </c>
      <c r="DM182" s="24">
        <f t="shared" si="751"/>
        <v>0</v>
      </c>
      <c r="DN182" s="24">
        <f t="shared" si="752"/>
        <v>0</v>
      </c>
      <c r="DO182" s="24">
        <f t="shared" si="753"/>
        <v>0</v>
      </c>
      <c r="DP182" s="24">
        <f t="shared" si="754"/>
        <v>0</v>
      </c>
      <c r="DQ182" s="24">
        <f t="shared" si="755"/>
        <v>0</v>
      </c>
      <c r="DR182" s="24">
        <f t="shared" si="756"/>
        <v>0</v>
      </c>
      <c r="DS182" s="24">
        <f t="shared" si="757"/>
        <v>0</v>
      </c>
      <c r="DT182" s="24">
        <f t="shared" si="758"/>
        <v>0</v>
      </c>
      <c r="DU182">
        <f t="shared" si="759"/>
        <v>0</v>
      </c>
      <c r="DV182">
        <f t="shared" si="760"/>
        <v>0</v>
      </c>
      <c r="DW182">
        <f t="shared" si="761"/>
        <v>0</v>
      </c>
    </row>
    <row r="183" spans="1:127" x14ac:dyDescent="0.25">
      <c r="A183" s="22">
        <f t="shared" si="749"/>
        <v>177</v>
      </c>
      <c r="B183" s="59" t="str">
        <f t="shared" si="919"/>
        <v>F0014825701</v>
      </c>
      <c r="C183" s="214" t="str">
        <f t="shared" si="920"/>
        <v>82115-0E310</v>
      </c>
      <c r="D183" s="58" t="e">
        <f>VLOOKUP(B183,'Timing Table'!B:G,6,0)</f>
        <v>#N/A</v>
      </c>
      <c r="E183" s="22" t="e">
        <f>VLOOKUP(B183,'Timing Table'!B:D,3,0)</f>
        <v>#N/A</v>
      </c>
      <c r="F183" s="155" t="s">
        <v>77</v>
      </c>
      <c r="G183" s="181">
        <v>82115</v>
      </c>
      <c r="H183" s="10" t="s">
        <v>241</v>
      </c>
      <c r="I183" s="12" t="s">
        <v>78</v>
      </c>
      <c r="J183" s="152">
        <v>36</v>
      </c>
      <c r="K183" s="153">
        <v>36</v>
      </c>
      <c r="L183" s="153">
        <v>36</v>
      </c>
      <c r="M183" s="153">
        <v>36</v>
      </c>
      <c r="N183" s="153">
        <v>36</v>
      </c>
      <c r="O183" s="153">
        <v>36</v>
      </c>
      <c r="P183" s="153">
        <v>36</v>
      </c>
      <c r="Q183" s="153">
        <v>36</v>
      </c>
      <c r="R183" s="153">
        <v>36</v>
      </c>
      <c r="S183" s="153">
        <v>36</v>
      </c>
      <c r="T183" s="153">
        <v>36</v>
      </c>
      <c r="U183" s="153">
        <v>36</v>
      </c>
      <c r="V183" s="153">
        <v>36</v>
      </c>
      <c r="W183" s="153">
        <v>36</v>
      </c>
      <c r="X183" s="153">
        <v>36</v>
      </c>
      <c r="Y183" s="153">
        <v>36</v>
      </c>
      <c r="Z183" s="153">
        <v>36</v>
      </c>
      <c r="AA183" s="153">
        <v>36</v>
      </c>
      <c r="AB183" s="153">
        <v>36</v>
      </c>
      <c r="AC183" s="153">
        <v>36</v>
      </c>
      <c r="AD183" s="153">
        <v>36</v>
      </c>
      <c r="AE183" s="153">
        <v>36</v>
      </c>
      <c r="AF183" s="153">
        <v>36</v>
      </c>
      <c r="AG183" s="153">
        <v>36</v>
      </c>
      <c r="AH183" s="153">
        <v>36</v>
      </c>
      <c r="AI183" s="153">
        <v>36</v>
      </c>
      <c r="AJ183" s="153">
        <v>36</v>
      </c>
      <c r="AK183" s="153">
        <v>36</v>
      </c>
      <c r="AL183" s="153">
        <v>36</v>
      </c>
      <c r="AM183" s="153">
        <v>36</v>
      </c>
      <c r="AN183" s="153">
        <v>36</v>
      </c>
      <c r="AO183" s="153">
        <v>36</v>
      </c>
      <c r="AP183" s="153">
        <v>36</v>
      </c>
      <c r="AQ183" s="153">
        <v>36</v>
      </c>
      <c r="AR183" s="153">
        <v>36</v>
      </c>
      <c r="AS183" s="153">
        <v>36</v>
      </c>
      <c r="AT183" s="153">
        <v>36</v>
      </c>
      <c r="AU183" s="153">
        <v>36</v>
      </c>
      <c r="AV183" s="153">
        <v>36</v>
      </c>
      <c r="AW183" s="153">
        <v>36</v>
      </c>
      <c r="AX183" s="153">
        <v>36</v>
      </c>
      <c r="AY183" s="153">
        <v>36</v>
      </c>
      <c r="AZ183" s="153">
        <v>36</v>
      </c>
      <c r="BA183" s="153">
        <v>36</v>
      </c>
      <c r="BB183" s="153">
        <v>36</v>
      </c>
      <c r="BC183" s="153">
        <v>36</v>
      </c>
      <c r="BD183" s="153">
        <v>36</v>
      </c>
      <c r="BE183" s="153">
        <v>36</v>
      </c>
      <c r="BF183" s="153">
        <v>36</v>
      </c>
      <c r="BG183" s="153">
        <v>36</v>
      </c>
      <c r="BH183" s="153">
        <v>36</v>
      </c>
      <c r="BI183" s="153">
        <v>36</v>
      </c>
      <c r="DL183">
        <f t="shared" si="750"/>
        <v>0</v>
      </c>
      <c r="DM183">
        <f t="shared" si="751"/>
        <v>0</v>
      </c>
      <c r="DN183">
        <f t="shared" si="752"/>
        <v>0</v>
      </c>
      <c r="DO183">
        <f t="shared" si="753"/>
        <v>0</v>
      </c>
      <c r="DP183">
        <f t="shared" si="754"/>
        <v>0</v>
      </c>
      <c r="DQ183">
        <f t="shared" si="755"/>
        <v>0</v>
      </c>
      <c r="DR183">
        <f t="shared" si="756"/>
        <v>0</v>
      </c>
      <c r="DS183">
        <f t="shared" si="757"/>
        <v>0</v>
      </c>
      <c r="DT183">
        <f t="shared" si="758"/>
        <v>0</v>
      </c>
      <c r="DU183">
        <f t="shared" si="759"/>
        <v>0</v>
      </c>
      <c r="DV183">
        <f t="shared" si="760"/>
        <v>0</v>
      </c>
      <c r="DW183">
        <f t="shared" si="761"/>
        <v>0</v>
      </c>
    </row>
    <row r="184" spans="1:127" x14ac:dyDescent="0.25">
      <c r="A184" s="22">
        <f t="shared" si="749"/>
        <v>178</v>
      </c>
      <c r="B184" s="59" t="str">
        <f t="shared" si="919"/>
        <v>F0014825701</v>
      </c>
      <c r="C184" s="214" t="str">
        <f t="shared" si="920"/>
        <v>82115-0E310</v>
      </c>
      <c r="D184" s="58" t="e">
        <f>VLOOKUP(B184,'Timing Table'!B:G,6,0)</f>
        <v>#N/A</v>
      </c>
      <c r="E184" s="22" t="e">
        <f>VLOOKUP(B184,'Timing Table'!B:D,3,0)</f>
        <v>#N/A</v>
      </c>
      <c r="F184" s="155" t="s">
        <v>79</v>
      </c>
      <c r="G184" s="199">
        <v>36</v>
      </c>
      <c r="H184" s="184" t="s">
        <v>80</v>
      </c>
      <c r="I184" s="185"/>
      <c r="J184" s="200" t="s">
        <v>316</v>
      </c>
      <c r="K184" s="156"/>
      <c r="L184" s="157" t="s">
        <v>0</v>
      </c>
      <c r="M184" s="157" t="s">
        <v>0</v>
      </c>
      <c r="N184" s="157" t="s">
        <v>0</v>
      </c>
      <c r="O184" s="157" t="s">
        <v>0</v>
      </c>
      <c r="P184" s="157" t="s">
        <v>0</v>
      </c>
      <c r="Q184" s="157" t="s">
        <v>0</v>
      </c>
      <c r="R184" s="157" t="s">
        <v>0</v>
      </c>
      <c r="S184" s="157" t="s">
        <v>0</v>
      </c>
      <c r="T184" s="157" t="s">
        <v>0</v>
      </c>
      <c r="U184" s="157" t="s">
        <v>0</v>
      </c>
      <c r="V184" s="157" t="s">
        <v>0</v>
      </c>
      <c r="W184" s="157" t="s">
        <v>0</v>
      </c>
      <c r="X184" s="157" t="s">
        <v>0</v>
      </c>
      <c r="Y184" s="157" t="s">
        <v>0</v>
      </c>
      <c r="Z184" s="157" t="s">
        <v>0</v>
      </c>
      <c r="AA184" s="157" t="s">
        <v>0</v>
      </c>
      <c r="AB184" s="157" t="s">
        <v>0</v>
      </c>
      <c r="AC184" s="157" t="s">
        <v>0</v>
      </c>
      <c r="AD184" s="157" t="s">
        <v>0</v>
      </c>
      <c r="AE184" s="157" t="s">
        <v>0</v>
      </c>
      <c r="AF184" s="157" t="s">
        <v>0</v>
      </c>
      <c r="AG184" s="157" t="s">
        <v>0</v>
      </c>
      <c r="AH184" s="157" t="s">
        <v>0</v>
      </c>
      <c r="AI184" s="157" t="s">
        <v>0</v>
      </c>
      <c r="AJ184" s="157" t="s">
        <v>0</v>
      </c>
      <c r="AK184" s="157" t="s">
        <v>0</v>
      </c>
      <c r="AL184" s="157" t="s">
        <v>0</v>
      </c>
      <c r="AM184" s="157" t="s">
        <v>0</v>
      </c>
      <c r="AN184" s="157" t="s">
        <v>0</v>
      </c>
      <c r="AO184" s="157" t="s">
        <v>0</v>
      </c>
      <c r="AP184" s="157" t="s">
        <v>0</v>
      </c>
      <c r="AQ184" s="157" t="s">
        <v>0</v>
      </c>
      <c r="AR184" s="157" t="s">
        <v>0</v>
      </c>
      <c r="AS184" s="157" t="s">
        <v>0</v>
      </c>
      <c r="AT184" s="157" t="s">
        <v>0</v>
      </c>
      <c r="AU184" s="157" t="s">
        <v>0</v>
      </c>
      <c r="AV184" s="157" t="s">
        <v>0</v>
      </c>
      <c r="AW184" s="157" t="s">
        <v>0</v>
      </c>
      <c r="AX184" s="157" t="s">
        <v>0</v>
      </c>
      <c r="AY184" s="157" t="s">
        <v>0</v>
      </c>
      <c r="AZ184" s="157" t="s">
        <v>0</v>
      </c>
      <c r="BA184" s="157" t="s">
        <v>0</v>
      </c>
      <c r="BB184" s="157" t="s">
        <v>0</v>
      </c>
      <c r="BC184" s="157" t="s">
        <v>0</v>
      </c>
      <c r="BD184" s="157" t="s">
        <v>0</v>
      </c>
      <c r="BE184" s="157" t="s">
        <v>0</v>
      </c>
      <c r="BF184" s="157" t="s">
        <v>0</v>
      </c>
      <c r="BG184" s="157" t="s">
        <v>0</v>
      </c>
      <c r="BH184" s="157" t="s">
        <v>0</v>
      </c>
      <c r="BI184" s="158"/>
      <c r="DL184">
        <f t="shared" si="750"/>
        <v>0</v>
      </c>
      <c r="DM184">
        <f t="shared" si="751"/>
        <v>0</v>
      </c>
      <c r="DN184">
        <f t="shared" si="752"/>
        <v>0</v>
      </c>
      <c r="DO184">
        <f t="shared" si="753"/>
        <v>0</v>
      </c>
      <c r="DP184">
        <f t="shared" si="754"/>
        <v>0</v>
      </c>
      <c r="DQ184">
        <f t="shared" si="755"/>
        <v>0</v>
      </c>
      <c r="DR184">
        <f t="shared" si="756"/>
        <v>0</v>
      </c>
      <c r="DS184">
        <f t="shared" si="757"/>
        <v>0</v>
      </c>
      <c r="DT184">
        <f t="shared" si="758"/>
        <v>0</v>
      </c>
      <c r="DU184">
        <f t="shared" si="759"/>
        <v>0</v>
      </c>
      <c r="DV184">
        <f t="shared" si="760"/>
        <v>0</v>
      </c>
      <c r="DW184">
        <f t="shared" si="761"/>
        <v>0</v>
      </c>
    </row>
    <row r="185" spans="1:127" x14ac:dyDescent="0.25">
      <c r="A185" s="22">
        <f t="shared" si="749"/>
        <v>179</v>
      </c>
      <c r="B185" s="59" t="str">
        <f t="shared" si="919"/>
        <v>F0014825701</v>
      </c>
      <c r="C185" s="214" t="str">
        <f t="shared" si="920"/>
        <v>82115-0E310</v>
      </c>
      <c r="D185" s="58" t="e">
        <f>VLOOKUP(B185,'Timing Table'!B:G,6,0)</f>
        <v>#N/A</v>
      </c>
      <c r="E185" s="22" t="e">
        <f>VLOOKUP(B185,'Timing Table'!B:D,3,0)</f>
        <v>#N/A</v>
      </c>
      <c r="F185" s="159" t="s">
        <v>81</v>
      </c>
      <c r="G185" s="160" t="s">
        <v>60</v>
      </c>
      <c r="H185" s="201" t="s">
        <v>60</v>
      </c>
      <c r="I185" s="183" t="s">
        <v>60</v>
      </c>
      <c r="J185" s="183" t="s">
        <v>0</v>
      </c>
      <c r="K185" s="183" t="s">
        <v>0</v>
      </c>
      <c r="L185" s="183" t="s">
        <v>0</v>
      </c>
      <c r="M185" s="183" t="s">
        <v>0</v>
      </c>
      <c r="N185" s="183" t="s">
        <v>0</v>
      </c>
      <c r="O185" s="183" t="s">
        <v>0</v>
      </c>
      <c r="P185" s="183" t="s">
        <v>0</v>
      </c>
      <c r="Q185" s="183" t="s">
        <v>0</v>
      </c>
      <c r="R185" s="183" t="s">
        <v>0</v>
      </c>
      <c r="S185" s="183" t="s">
        <v>0</v>
      </c>
      <c r="T185" s="183" t="s">
        <v>0</v>
      </c>
      <c r="U185" s="183" t="s">
        <v>0</v>
      </c>
      <c r="V185" s="183" t="s">
        <v>0</v>
      </c>
      <c r="W185" s="183" t="s">
        <v>0</v>
      </c>
      <c r="X185" s="183" t="s">
        <v>0</v>
      </c>
      <c r="Y185" s="183" t="s">
        <v>0</v>
      </c>
      <c r="Z185" s="183" t="s">
        <v>0</v>
      </c>
      <c r="AA185" s="183" t="s">
        <v>0</v>
      </c>
      <c r="AB185" s="183" t="s">
        <v>0</v>
      </c>
      <c r="AC185" s="183" t="s">
        <v>0</v>
      </c>
      <c r="AD185" s="183" t="s">
        <v>0</v>
      </c>
      <c r="AE185" s="183" t="s">
        <v>0</v>
      </c>
      <c r="AF185" s="183" t="s">
        <v>0</v>
      </c>
      <c r="AG185" s="183" t="s">
        <v>0</v>
      </c>
      <c r="AH185" s="183" t="s">
        <v>0</v>
      </c>
      <c r="AI185" s="183" t="s">
        <v>0</v>
      </c>
      <c r="AJ185" s="183" t="s">
        <v>0</v>
      </c>
      <c r="AK185" s="183" t="s">
        <v>0</v>
      </c>
      <c r="AL185" s="183" t="s">
        <v>0</v>
      </c>
      <c r="AM185" s="183" t="s">
        <v>0</v>
      </c>
      <c r="AN185" s="183" t="s">
        <v>0</v>
      </c>
      <c r="AO185" s="183" t="s">
        <v>0</v>
      </c>
      <c r="AP185" s="183" t="s">
        <v>0</v>
      </c>
      <c r="AQ185" s="183" t="s">
        <v>0</v>
      </c>
      <c r="AR185" s="183" t="s">
        <v>0</v>
      </c>
      <c r="AS185" s="183" t="s">
        <v>0</v>
      </c>
      <c r="AT185" s="183" t="s">
        <v>0</v>
      </c>
      <c r="AU185" s="183" t="s">
        <v>0</v>
      </c>
      <c r="AV185" s="183" t="s">
        <v>0</v>
      </c>
      <c r="AW185" s="183" t="s">
        <v>0</v>
      </c>
      <c r="AX185" s="183" t="s">
        <v>0</v>
      </c>
      <c r="AY185" s="183" t="s">
        <v>0</v>
      </c>
      <c r="AZ185" s="183" t="s">
        <v>0</v>
      </c>
      <c r="BA185" s="183" t="s">
        <v>0</v>
      </c>
      <c r="BB185" s="183" t="s">
        <v>0</v>
      </c>
      <c r="BC185" s="183" t="s">
        <v>0</v>
      </c>
      <c r="BD185" s="183" t="s">
        <v>0</v>
      </c>
      <c r="BE185" s="183" t="s">
        <v>0</v>
      </c>
      <c r="BF185" s="183" t="s">
        <v>0</v>
      </c>
      <c r="BG185" s="183" t="s">
        <v>0</v>
      </c>
      <c r="BH185" s="183" t="s">
        <v>0</v>
      </c>
      <c r="BI185" s="161"/>
      <c r="DL185">
        <f t="shared" si="750"/>
        <v>0</v>
      </c>
      <c r="DM185">
        <f t="shared" si="751"/>
        <v>0</v>
      </c>
      <c r="DN185">
        <f t="shared" si="752"/>
        <v>0</v>
      </c>
      <c r="DO185">
        <f t="shared" si="753"/>
        <v>0</v>
      </c>
      <c r="DP185">
        <f t="shared" si="754"/>
        <v>0</v>
      </c>
      <c r="DQ185">
        <f t="shared" si="755"/>
        <v>0</v>
      </c>
      <c r="DR185">
        <f t="shared" si="756"/>
        <v>0</v>
      </c>
      <c r="DS185">
        <f t="shared" si="757"/>
        <v>0</v>
      </c>
      <c r="DT185">
        <f t="shared" si="758"/>
        <v>0</v>
      </c>
      <c r="DU185">
        <f t="shared" si="759"/>
        <v>0</v>
      </c>
      <c r="DV185">
        <f t="shared" si="760"/>
        <v>0</v>
      </c>
      <c r="DW185">
        <f t="shared" si="761"/>
        <v>0</v>
      </c>
    </row>
    <row r="186" spans="1:127" x14ac:dyDescent="0.25">
      <c r="A186" s="22">
        <f t="shared" si="749"/>
        <v>180</v>
      </c>
      <c r="B186" s="59" t="str">
        <f t="shared" si="919"/>
        <v>F0014825701</v>
      </c>
      <c r="C186" s="214" t="str">
        <f t="shared" si="920"/>
        <v>82115-0E310</v>
      </c>
      <c r="D186" s="58" t="e">
        <f>VLOOKUP(B186,'Timing Table'!B:G,6,0)</f>
        <v>#N/A</v>
      </c>
      <c r="E186" s="22" t="e">
        <f>VLOOKUP(B186,'Timing Table'!B:D,3,0)</f>
        <v>#N/A</v>
      </c>
      <c r="F186" s="188" t="s">
        <v>60</v>
      </c>
      <c r="G186" s="162" t="s">
        <v>60</v>
      </c>
      <c r="H186" s="163" t="s">
        <v>60</v>
      </c>
      <c r="I186" s="164" t="s">
        <v>60</v>
      </c>
      <c r="J186" s="164" t="s">
        <v>0</v>
      </c>
      <c r="K186" s="164" t="s">
        <v>0</v>
      </c>
      <c r="L186" s="164" t="s">
        <v>0</v>
      </c>
      <c r="M186" s="164" t="s">
        <v>0</v>
      </c>
      <c r="N186" s="164" t="s">
        <v>0</v>
      </c>
      <c r="O186" s="164" t="s">
        <v>0</v>
      </c>
      <c r="P186" s="164" t="s">
        <v>0</v>
      </c>
      <c r="Q186" s="164" t="s">
        <v>0</v>
      </c>
      <c r="R186" s="164" t="s">
        <v>0</v>
      </c>
      <c r="S186" s="164" t="s">
        <v>0</v>
      </c>
      <c r="T186" s="164" t="s">
        <v>0</v>
      </c>
      <c r="U186" s="164" t="s">
        <v>0</v>
      </c>
      <c r="V186" s="164" t="s">
        <v>0</v>
      </c>
      <c r="W186" s="164" t="s">
        <v>0</v>
      </c>
      <c r="X186" s="164" t="s">
        <v>0</v>
      </c>
      <c r="Y186" s="164" t="s">
        <v>0</v>
      </c>
      <c r="Z186" s="164" t="s">
        <v>0</v>
      </c>
      <c r="AA186" s="164" t="s">
        <v>0</v>
      </c>
      <c r="AB186" s="164" t="s">
        <v>0</v>
      </c>
      <c r="AC186" s="164" t="s">
        <v>0</v>
      </c>
      <c r="AD186" s="164" t="s">
        <v>0</v>
      </c>
      <c r="AE186" s="164" t="s">
        <v>0</v>
      </c>
      <c r="AF186" s="164" t="s">
        <v>0</v>
      </c>
      <c r="AG186" s="164" t="s">
        <v>0</v>
      </c>
      <c r="AH186" s="164" t="s">
        <v>0</v>
      </c>
      <c r="AI186" s="164" t="s">
        <v>0</v>
      </c>
      <c r="AJ186" s="164" t="s">
        <v>0</v>
      </c>
      <c r="AK186" s="164" t="s">
        <v>0</v>
      </c>
      <c r="AL186" s="164" t="s">
        <v>0</v>
      </c>
      <c r="AM186" s="164" t="s">
        <v>0</v>
      </c>
      <c r="AN186" s="164" t="s">
        <v>0</v>
      </c>
      <c r="AO186" s="164" t="s">
        <v>0</v>
      </c>
      <c r="AP186" s="164" t="s">
        <v>0</v>
      </c>
      <c r="AQ186" s="164" t="s">
        <v>0</v>
      </c>
      <c r="AR186" s="164" t="s">
        <v>0</v>
      </c>
      <c r="AS186" s="164" t="s">
        <v>0</v>
      </c>
      <c r="AT186" s="164" t="s">
        <v>0</v>
      </c>
      <c r="AU186" s="164" t="s">
        <v>0</v>
      </c>
      <c r="AV186" s="164" t="s">
        <v>0</v>
      </c>
      <c r="AW186" s="164" t="s">
        <v>0</v>
      </c>
      <c r="AX186" s="164" t="s">
        <v>0</v>
      </c>
      <c r="AY186" s="164" t="s">
        <v>0</v>
      </c>
      <c r="AZ186" s="164" t="s">
        <v>0</v>
      </c>
      <c r="BA186" s="164" t="s">
        <v>0</v>
      </c>
      <c r="BB186" s="164" t="s">
        <v>0</v>
      </c>
      <c r="BC186" s="164" t="s">
        <v>0</v>
      </c>
      <c r="BD186" s="164" t="s">
        <v>0</v>
      </c>
      <c r="BE186" s="164" t="s">
        <v>0</v>
      </c>
      <c r="BF186" s="164" t="s">
        <v>0</v>
      </c>
      <c r="BG186" s="164" t="s">
        <v>0</v>
      </c>
      <c r="BH186" s="164" t="s">
        <v>0</v>
      </c>
      <c r="BI186" s="189"/>
      <c r="DL186">
        <f t="shared" si="750"/>
        <v>0</v>
      </c>
      <c r="DM186">
        <f t="shared" si="751"/>
        <v>0</v>
      </c>
      <c r="DN186">
        <f t="shared" si="752"/>
        <v>0</v>
      </c>
      <c r="DO186">
        <f t="shared" si="753"/>
        <v>0</v>
      </c>
      <c r="DP186">
        <f t="shared" si="754"/>
        <v>0</v>
      </c>
      <c r="DQ186">
        <f t="shared" si="755"/>
        <v>0</v>
      </c>
      <c r="DR186">
        <f t="shared" si="756"/>
        <v>0</v>
      </c>
      <c r="DS186">
        <f t="shared" si="757"/>
        <v>0</v>
      </c>
      <c r="DT186">
        <f t="shared" si="758"/>
        <v>0</v>
      </c>
      <c r="DU186">
        <f t="shared" si="759"/>
        <v>0</v>
      </c>
      <c r="DV186">
        <f t="shared" si="760"/>
        <v>0</v>
      </c>
      <c r="DW186">
        <f t="shared" si="761"/>
        <v>0</v>
      </c>
    </row>
    <row r="187" spans="1:127" x14ac:dyDescent="0.25">
      <c r="A187" s="22">
        <f t="shared" si="749"/>
        <v>181</v>
      </c>
      <c r="B187" s="59" t="str">
        <f t="shared" si="919"/>
        <v>F0014825702</v>
      </c>
      <c r="C187" s="214" t="str">
        <f t="shared" si="920"/>
        <v>82115-0E310 B</v>
      </c>
      <c r="D187" s="58" t="e">
        <f>VLOOKUP(B187,'Timing Table'!B:G,6,0)</f>
        <v>#N/A</v>
      </c>
      <c r="E187" s="22" t="e">
        <f>VLOOKUP(B187,'Timing Table'!B:D,3,0)</f>
        <v>#N/A</v>
      </c>
      <c r="F187" s="155" t="s">
        <v>61</v>
      </c>
      <c r="G187" s="181">
        <v>5501060672</v>
      </c>
      <c r="H187" s="155" t="s">
        <v>62</v>
      </c>
      <c r="I187" s="181">
        <v>18</v>
      </c>
      <c r="J187" s="155" t="s">
        <v>63</v>
      </c>
      <c r="K187" s="160">
        <v>1172096</v>
      </c>
      <c r="L187" s="161"/>
      <c r="M187" s="190" t="s">
        <v>64</v>
      </c>
      <c r="N187" s="191"/>
      <c r="O187" s="192">
        <v>46086</v>
      </c>
      <c r="P187" s="155" t="s">
        <v>65</v>
      </c>
      <c r="Q187" s="181">
        <v>4</v>
      </c>
      <c r="R187" s="6" t="s">
        <v>0</v>
      </c>
      <c r="S187" s="7" t="s">
        <v>0</v>
      </c>
      <c r="T187" s="7" t="s">
        <v>0</v>
      </c>
      <c r="U187" s="7" t="s">
        <v>0</v>
      </c>
      <c r="V187" s="7" t="s">
        <v>0</v>
      </c>
      <c r="W187" s="7" t="s">
        <v>0</v>
      </c>
      <c r="X187" s="7" t="s">
        <v>0</v>
      </c>
      <c r="Y187" s="7" t="s">
        <v>0</v>
      </c>
      <c r="Z187" s="7" t="s">
        <v>0</v>
      </c>
      <c r="AA187" s="7" t="s">
        <v>0</v>
      </c>
      <c r="AB187" s="7" t="s">
        <v>0</v>
      </c>
      <c r="AC187" s="7" t="s">
        <v>0</v>
      </c>
      <c r="AD187" s="7" t="s">
        <v>0</v>
      </c>
      <c r="AE187" s="7" t="s">
        <v>0</v>
      </c>
      <c r="AF187" s="7" t="s">
        <v>0</v>
      </c>
      <c r="AG187" s="7" t="s">
        <v>0</v>
      </c>
      <c r="AH187" s="7" t="s">
        <v>0</v>
      </c>
      <c r="AI187" s="7" t="s">
        <v>0</v>
      </c>
      <c r="AJ187" s="7" t="s">
        <v>0</v>
      </c>
      <c r="AK187" s="7" t="s">
        <v>0</v>
      </c>
      <c r="AL187" s="7" t="s">
        <v>0</v>
      </c>
      <c r="AM187" s="7" t="s">
        <v>0</v>
      </c>
      <c r="AN187" s="7" t="s">
        <v>0</v>
      </c>
      <c r="AO187" s="7" t="s">
        <v>0</v>
      </c>
      <c r="AP187" s="7" t="s">
        <v>0</v>
      </c>
      <c r="AQ187" s="7" t="s">
        <v>0</v>
      </c>
      <c r="AR187" s="7" t="s">
        <v>0</v>
      </c>
      <c r="AS187" s="7" t="s">
        <v>0</v>
      </c>
      <c r="AT187" s="7" t="s">
        <v>0</v>
      </c>
      <c r="AU187" s="7" t="s">
        <v>0</v>
      </c>
      <c r="AV187" s="7" t="s">
        <v>0</v>
      </c>
      <c r="AW187" s="7" t="s">
        <v>0</v>
      </c>
      <c r="AX187" s="7" t="s">
        <v>0</v>
      </c>
      <c r="AY187" s="7" t="s">
        <v>0</v>
      </c>
      <c r="AZ187" s="7" t="s">
        <v>0</v>
      </c>
      <c r="BA187" s="7" t="s">
        <v>0</v>
      </c>
      <c r="BB187" s="7" t="s">
        <v>0</v>
      </c>
      <c r="BC187" s="7" t="s">
        <v>0</v>
      </c>
      <c r="BD187" s="7" t="s">
        <v>0</v>
      </c>
      <c r="BE187" s="7" t="s">
        <v>0</v>
      </c>
      <c r="BF187" s="7" t="s">
        <v>0</v>
      </c>
      <c r="BG187" s="7" t="s">
        <v>0</v>
      </c>
      <c r="BH187" s="7" t="s">
        <v>0</v>
      </c>
      <c r="BI187" s="8"/>
      <c r="DL187">
        <f t="shared" si="750"/>
        <v>0</v>
      </c>
      <c r="DM187">
        <f t="shared" si="751"/>
        <v>0</v>
      </c>
      <c r="DN187">
        <f t="shared" si="752"/>
        <v>0</v>
      </c>
      <c r="DO187">
        <f t="shared" si="753"/>
        <v>0</v>
      </c>
      <c r="DP187">
        <f t="shared" si="754"/>
        <v>0</v>
      </c>
      <c r="DQ187">
        <f t="shared" si="755"/>
        <v>0</v>
      </c>
      <c r="DR187">
        <f t="shared" si="756"/>
        <v>0</v>
      </c>
      <c r="DS187">
        <f t="shared" si="757"/>
        <v>0</v>
      </c>
      <c r="DT187">
        <f t="shared" si="758"/>
        <v>0</v>
      </c>
      <c r="DU187">
        <f t="shared" si="759"/>
        <v>0</v>
      </c>
      <c r="DV187">
        <f t="shared" si="760"/>
        <v>0</v>
      </c>
      <c r="DW187">
        <f t="shared" si="761"/>
        <v>0</v>
      </c>
    </row>
    <row r="188" spans="1:127" x14ac:dyDescent="0.25">
      <c r="A188" s="22">
        <f t="shared" si="749"/>
        <v>182</v>
      </c>
      <c r="B188" s="59" t="str">
        <f t="shared" si="919"/>
        <v>F0014825702</v>
      </c>
      <c r="C188" s="214" t="str">
        <f t="shared" si="920"/>
        <v>82115-0E310 B</v>
      </c>
      <c r="D188" s="58" t="e">
        <f>VLOOKUP(B188,'Timing Table'!B:G,6,0)</f>
        <v>#N/A</v>
      </c>
      <c r="E188" s="22" t="e">
        <f>VLOOKUP(B188,'Timing Table'!B:D,3,0)</f>
        <v>#N/A</v>
      </c>
      <c r="F188" s="155" t="s">
        <v>66</v>
      </c>
      <c r="G188" s="181" t="s">
        <v>465</v>
      </c>
      <c r="H188" s="155" t="s">
        <v>67</v>
      </c>
      <c r="I188" s="182" t="s">
        <v>466</v>
      </c>
      <c r="J188" s="183"/>
      <c r="K188" s="183"/>
      <c r="L188" s="161"/>
      <c r="M188" s="155" t="s">
        <v>68</v>
      </c>
      <c r="N188" s="181">
        <v>2025</v>
      </c>
      <c r="O188" s="184" t="s">
        <v>69</v>
      </c>
      <c r="P188" s="185"/>
      <c r="Q188" s="193" t="s">
        <v>467</v>
      </c>
      <c r="R188" s="156" t="s">
        <v>0</v>
      </c>
      <c r="S188" s="157" t="s">
        <v>0</v>
      </c>
      <c r="T188" s="157" t="s">
        <v>0</v>
      </c>
      <c r="U188" s="157" t="s">
        <v>0</v>
      </c>
      <c r="V188" s="157" t="s">
        <v>0</v>
      </c>
      <c r="W188" s="157" t="s">
        <v>0</v>
      </c>
      <c r="X188" s="157" t="s">
        <v>0</v>
      </c>
      <c r="Y188" s="157" t="s">
        <v>0</v>
      </c>
      <c r="Z188" s="157" t="s">
        <v>0</v>
      </c>
      <c r="AA188" s="157" t="s">
        <v>0</v>
      </c>
      <c r="AB188" s="157" t="s">
        <v>0</v>
      </c>
      <c r="AC188" s="157" t="s">
        <v>0</v>
      </c>
      <c r="AD188" s="157" t="s">
        <v>0</v>
      </c>
      <c r="AE188" s="157" t="s">
        <v>0</v>
      </c>
      <c r="AF188" s="157" t="s">
        <v>0</v>
      </c>
      <c r="AG188" s="157" t="s">
        <v>0</v>
      </c>
      <c r="AH188" s="157" t="s">
        <v>0</v>
      </c>
      <c r="AI188" s="157" t="s">
        <v>0</v>
      </c>
      <c r="AJ188" s="157" t="s">
        <v>0</v>
      </c>
      <c r="AK188" s="157" t="s">
        <v>0</v>
      </c>
      <c r="AL188" s="157" t="s">
        <v>0</v>
      </c>
      <c r="AM188" s="157" t="s">
        <v>0</v>
      </c>
      <c r="AN188" s="157" t="s">
        <v>0</v>
      </c>
      <c r="AO188" s="157" t="s">
        <v>0</v>
      </c>
      <c r="AP188" s="157" t="s">
        <v>0</v>
      </c>
      <c r="AQ188" s="157" t="s">
        <v>0</v>
      </c>
      <c r="AR188" s="157" t="s">
        <v>0</v>
      </c>
      <c r="AS188" s="157" t="s">
        <v>0</v>
      </c>
      <c r="AT188" s="157" t="s">
        <v>0</v>
      </c>
      <c r="AU188" s="157" t="s">
        <v>0</v>
      </c>
      <c r="AV188" s="157" t="s">
        <v>0</v>
      </c>
      <c r="AW188" s="157" t="s">
        <v>0</v>
      </c>
      <c r="AX188" s="157" t="s">
        <v>0</v>
      </c>
      <c r="AY188" s="157" t="s">
        <v>0</v>
      </c>
      <c r="AZ188" s="157" t="s">
        <v>0</v>
      </c>
      <c r="BA188" s="157" t="s">
        <v>0</v>
      </c>
      <c r="BB188" s="157" t="s">
        <v>0</v>
      </c>
      <c r="BC188" s="157" t="s">
        <v>0</v>
      </c>
      <c r="BD188" s="157" t="s">
        <v>0</v>
      </c>
      <c r="BE188" s="157" t="s">
        <v>0</v>
      </c>
      <c r="BF188" s="157" t="s">
        <v>0</v>
      </c>
      <c r="BG188" s="157" t="s">
        <v>0</v>
      </c>
      <c r="BH188" s="157" t="s">
        <v>0</v>
      </c>
      <c r="BI188" s="158"/>
      <c r="DL188">
        <f t="shared" si="750"/>
        <v>0</v>
      </c>
      <c r="DM188">
        <f t="shared" si="751"/>
        <v>0</v>
      </c>
      <c r="DN188">
        <f t="shared" si="752"/>
        <v>0</v>
      </c>
      <c r="DO188">
        <f t="shared" si="753"/>
        <v>0</v>
      </c>
      <c r="DP188">
        <f t="shared" si="754"/>
        <v>0</v>
      </c>
      <c r="DQ188">
        <f t="shared" si="755"/>
        <v>0</v>
      </c>
      <c r="DR188">
        <f t="shared" si="756"/>
        <v>0</v>
      </c>
      <c r="DS188">
        <f t="shared" si="757"/>
        <v>0</v>
      </c>
      <c r="DT188">
        <f t="shared" si="758"/>
        <v>0</v>
      </c>
      <c r="DU188">
        <f t="shared" si="759"/>
        <v>0</v>
      </c>
      <c r="DV188">
        <f t="shared" si="760"/>
        <v>0</v>
      </c>
      <c r="DW188">
        <f t="shared" si="761"/>
        <v>0</v>
      </c>
    </row>
    <row r="189" spans="1:127" x14ac:dyDescent="0.25">
      <c r="A189" s="22">
        <f t="shared" si="749"/>
        <v>183</v>
      </c>
      <c r="B189" s="59" t="str">
        <f t="shared" si="919"/>
        <v>F0014825702</v>
      </c>
      <c r="C189" s="214" t="str">
        <f t="shared" si="920"/>
        <v>82115-0E310 B</v>
      </c>
      <c r="D189" s="58" t="e">
        <f>VLOOKUP(B189,'Timing Table'!B:G,6,0)</f>
        <v>#N/A</v>
      </c>
      <c r="E189" s="22" t="e">
        <f>VLOOKUP(B189,'Timing Table'!B:D,3,0)</f>
        <v>#N/A</v>
      </c>
      <c r="F189" s="155" t="s">
        <v>70</v>
      </c>
      <c r="G189" s="181" t="s">
        <v>470</v>
      </c>
      <c r="H189" s="155" t="s">
        <v>71</v>
      </c>
      <c r="I189" s="182" t="s">
        <v>60</v>
      </c>
      <c r="J189" s="161" t="s">
        <v>0</v>
      </c>
      <c r="K189" s="194" t="s">
        <v>0</v>
      </c>
      <c r="L189" s="195" t="s">
        <v>0</v>
      </c>
      <c r="M189" s="179" t="s">
        <v>0</v>
      </c>
      <c r="N189" s="179" t="s">
        <v>0</v>
      </c>
      <c r="O189" s="179" t="s">
        <v>0</v>
      </c>
      <c r="P189" s="179" t="s">
        <v>0</v>
      </c>
      <c r="Q189" s="179" t="s">
        <v>1</v>
      </c>
      <c r="R189" s="179" t="s">
        <v>2</v>
      </c>
      <c r="S189" s="179" t="s">
        <v>0</v>
      </c>
      <c r="T189" s="179" t="s">
        <v>0</v>
      </c>
      <c r="U189" s="179" t="s">
        <v>0</v>
      </c>
      <c r="V189" s="179" t="s">
        <v>0</v>
      </c>
      <c r="W189" s="179" t="s">
        <v>0</v>
      </c>
      <c r="X189" s="179" t="s">
        <v>0</v>
      </c>
      <c r="Y189" s="179" t="s">
        <v>0</v>
      </c>
      <c r="Z189" s="179" t="s">
        <v>3</v>
      </c>
      <c r="AA189" s="179" t="s">
        <v>0</v>
      </c>
      <c r="AB189" s="179" t="s">
        <v>0</v>
      </c>
      <c r="AC189" s="179" t="s">
        <v>0</v>
      </c>
      <c r="AD189" s="179" t="s">
        <v>0</v>
      </c>
      <c r="AE189" s="179" t="s">
        <v>0</v>
      </c>
      <c r="AF189" s="179" t="s">
        <v>0</v>
      </c>
      <c r="AG189" s="179" t="s">
        <v>0</v>
      </c>
      <c r="AH189" s="179" t="s">
        <v>0</v>
      </c>
      <c r="AI189" s="179" t="s">
        <v>0</v>
      </c>
      <c r="AJ189" s="179" t="s">
        <v>0</v>
      </c>
      <c r="AK189" s="179" t="s">
        <v>0</v>
      </c>
      <c r="AL189" s="179" t="s">
        <v>0</v>
      </c>
      <c r="AM189" s="179" t="s">
        <v>0</v>
      </c>
      <c r="AN189" s="179" t="s">
        <v>0</v>
      </c>
      <c r="AO189" s="179" t="s">
        <v>0</v>
      </c>
      <c r="AP189" s="179" t="s">
        <v>0</v>
      </c>
      <c r="AQ189" s="179" t="s">
        <v>0</v>
      </c>
      <c r="AR189" s="179" t="s">
        <v>0</v>
      </c>
      <c r="AS189" s="179" t="s">
        <v>0</v>
      </c>
      <c r="AT189" s="179" t="s">
        <v>0</v>
      </c>
      <c r="AU189" s="179" t="s">
        <v>0</v>
      </c>
      <c r="AV189" s="179" t="s">
        <v>0</v>
      </c>
      <c r="AW189" s="179" t="s">
        <v>0</v>
      </c>
      <c r="AX189" s="179" t="s">
        <v>0</v>
      </c>
      <c r="AY189" s="179" t="s">
        <v>0</v>
      </c>
      <c r="AZ189" s="179" t="s">
        <v>0</v>
      </c>
      <c r="BA189" s="179" t="s">
        <v>0</v>
      </c>
      <c r="BB189" s="179" t="s">
        <v>0</v>
      </c>
      <c r="BC189" s="179" t="s">
        <v>0</v>
      </c>
      <c r="BD189" s="179" t="s">
        <v>0</v>
      </c>
      <c r="BE189" s="179" t="s">
        <v>0</v>
      </c>
      <c r="BF189" s="179" t="s">
        <v>0</v>
      </c>
      <c r="BG189" s="179" t="s">
        <v>0</v>
      </c>
      <c r="BH189" s="179" t="s">
        <v>0</v>
      </c>
      <c r="BI189" s="180" t="s">
        <v>4</v>
      </c>
      <c r="DL189">
        <f t="shared" si="750"/>
        <v>0</v>
      </c>
      <c r="DM189">
        <f t="shared" si="751"/>
        <v>0</v>
      </c>
      <c r="DN189">
        <f t="shared" si="752"/>
        <v>0</v>
      </c>
      <c r="DO189">
        <f t="shared" si="753"/>
        <v>0</v>
      </c>
      <c r="DP189">
        <f t="shared" si="754"/>
        <v>0</v>
      </c>
      <c r="DQ189">
        <f t="shared" si="755"/>
        <v>0</v>
      </c>
      <c r="DR189">
        <f t="shared" si="756"/>
        <v>0</v>
      </c>
      <c r="DS189">
        <f t="shared" si="757"/>
        <v>0</v>
      </c>
      <c r="DT189">
        <f t="shared" si="758"/>
        <v>0</v>
      </c>
      <c r="DU189">
        <f t="shared" si="759"/>
        <v>0</v>
      </c>
      <c r="DV189">
        <f t="shared" si="760"/>
        <v>0</v>
      </c>
      <c r="DW189">
        <f t="shared" si="761"/>
        <v>0</v>
      </c>
    </row>
    <row r="190" spans="1:127" x14ac:dyDescent="0.25">
      <c r="A190" s="22">
        <f t="shared" si="749"/>
        <v>184</v>
      </c>
      <c r="B190" s="59" t="str">
        <f t="shared" si="919"/>
        <v>F0014825702</v>
      </c>
      <c r="C190" s="214" t="str">
        <f t="shared" si="920"/>
        <v>82115-0E310 B</v>
      </c>
      <c r="D190" s="58" t="e">
        <f>VLOOKUP(B190,'Timing Table'!B:G,6,0)</f>
        <v>#N/A</v>
      </c>
      <c r="E190" s="22" t="e">
        <f>VLOOKUP(B190,'Timing Table'!B:D,3,0)</f>
        <v>#N/A</v>
      </c>
      <c r="F190" s="155" t="s">
        <v>72</v>
      </c>
      <c r="G190" s="181">
        <v>0</v>
      </c>
      <c r="H190" s="196" t="s">
        <v>414</v>
      </c>
      <c r="I190" s="197" t="s">
        <v>73</v>
      </c>
      <c r="J190" s="13">
        <v>46041</v>
      </c>
      <c r="K190" s="14">
        <v>46048</v>
      </c>
      <c r="L190" s="14">
        <v>46055</v>
      </c>
      <c r="M190" s="14">
        <v>46062</v>
      </c>
      <c r="N190" s="14">
        <v>46069</v>
      </c>
      <c r="O190" s="14">
        <v>46076</v>
      </c>
      <c r="P190" s="14">
        <v>46083</v>
      </c>
      <c r="Q190" s="14">
        <v>46090</v>
      </c>
      <c r="R190" s="14">
        <v>46097</v>
      </c>
      <c r="S190" s="14">
        <v>46104</v>
      </c>
      <c r="T190" s="14">
        <v>46111</v>
      </c>
      <c r="U190" s="14">
        <v>46118</v>
      </c>
      <c r="V190" s="14">
        <v>46125</v>
      </c>
      <c r="W190" s="14">
        <v>46132</v>
      </c>
      <c r="X190" s="14">
        <v>46139</v>
      </c>
      <c r="Y190" s="14">
        <v>46146</v>
      </c>
      <c r="Z190" s="14">
        <v>46153</v>
      </c>
      <c r="AA190" s="14">
        <v>46160</v>
      </c>
      <c r="AB190" s="14">
        <v>46167</v>
      </c>
      <c r="AC190" s="14">
        <v>46174</v>
      </c>
      <c r="AD190" s="14">
        <v>46181</v>
      </c>
      <c r="AE190" s="14">
        <v>46188</v>
      </c>
      <c r="AF190" s="14">
        <v>46195</v>
      </c>
      <c r="AG190" s="14">
        <v>46202</v>
      </c>
      <c r="AH190" s="14">
        <v>46209</v>
      </c>
      <c r="AI190" s="14">
        <v>46216</v>
      </c>
      <c r="AJ190" s="14">
        <v>46223</v>
      </c>
      <c r="AK190" s="14">
        <v>46230</v>
      </c>
      <c r="AL190" s="14">
        <v>46237</v>
      </c>
      <c r="AM190" s="14">
        <v>46244</v>
      </c>
      <c r="AN190" s="14">
        <v>46251</v>
      </c>
      <c r="AO190" s="14">
        <v>46258</v>
      </c>
      <c r="AP190" s="14">
        <v>46265</v>
      </c>
      <c r="AQ190" s="14">
        <v>46272</v>
      </c>
      <c r="AR190" s="14">
        <v>46279</v>
      </c>
      <c r="AS190" s="14">
        <v>46286</v>
      </c>
      <c r="AT190" s="14">
        <v>46293</v>
      </c>
      <c r="AU190" s="14">
        <v>46300</v>
      </c>
      <c r="AV190" s="14">
        <v>46307</v>
      </c>
      <c r="AW190" s="14">
        <v>46314</v>
      </c>
      <c r="AX190" s="14">
        <v>46321</v>
      </c>
      <c r="AY190" s="14">
        <v>46328</v>
      </c>
      <c r="AZ190" s="14">
        <v>46335</v>
      </c>
      <c r="BA190" s="14">
        <v>46342</v>
      </c>
      <c r="BB190" s="14">
        <v>46349</v>
      </c>
      <c r="BC190" s="14">
        <v>46356</v>
      </c>
      <c r="BD190" s="14">
        <v>46363</v>
      </c>
      <c r="BE190" s="14">
        <v>46370</v>
      </c>
      <c r="BF190" s="14">
        <v>46377</v>
      </c>
      <c r="BG190" s="14">
        <v>46384</v>
      </c>
      <c r="BH190" s="14">
        <v>46391</v>
      </c>
      <c r="BI190" s="15">
        <v>46398</v>
      </c>
      <c r="DL190">
        <f t="shared" si="750"/>
        <v>0</v>
      </c>
      <c r="DM190">
        <f t="shared" si="751"/>
        <v>0</v>
      </c>
      <c r="DN190">
        <f t="shared" si="752"/>
        <v>0</v>
      </c>
      <c r="DO190">
        <f t="shared" si="753"/>
        <v>0</v>
      </c>
      <c r="DP190">
        <f t="shared" si="754"/>
        <v>0</v>
      </c>
      <c r="DQ190">
        <f t="shared" si="755"/>
        <v>0</v>
      </c>
      <c r="DR190">
        <f t="shared" si="756"/>
        <v>0</v>
      </c>
      <c r="DS190">
        <f t="shared" si="757"/>
        <v>0</v>
      </c>
      <c r="DT190">
        <f t="shared" si="758"/>
        <v>0</v>
      </c>
      <c r="DU190">
        <f t="shared" si="759"/>
        <v>0</v>
      </c>
      <c r="DV190">
        <f t="shared" si="760"/>
        <v>0</v>
      </c>
      <c r="DW190">
        <f t="shared" si="761"/>
        <v>0</v>
      </c>
    </row>
    <row r="191" spans="1:127" x14ac:dyDescent="0.25">
      <c r="A191" s="22">
        <f t="shared" si="749"/>
        <v>185</v>
      </c>
      <c r="B191" s="59" t="str">
        <f t="shared" si="919"/>
        <v>F0014825702</v>
      </c>
      <c r="C191" s="214" t="str">
        <f t="shared" si="920"/>
        <v>82115-0E310 B</v>
      </c>
      <c r="D191" s="58" t="e">
        <f>VLOOKUP(B191,'Timing Table'!B:G,6,0)</f>
        <v>#N/A</v>
      </c>
      <c r="E191" s="22" t="e">
        <f>VLOOKUP(B191,'Timing Table'!B:D,3,0)</f>
        <v>#N/A</v>
      </c>
      <c r="F191" s="155" t="s">
        <v>74</v>
      </c>
      <c r="G191" s="181">
        <v>0</v>
      </c>
      <c r="H191" s="5" t="s">
        <v>60</v>
      </c>
      <c r="I191" s="11" t="s">
        <v>147</v>
      </c>
      <c r="J191" s="16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17"/>
      <c r="DL191">
        <f t="shared" si="750"/>
        <v>0</v>
      </c>
      <c r="DM191">
        <f t="shared" si="751"/>
        <v>0</v>
      </c>
      <c r="DN191">
        <f t="shared" si="752"/>
        <v>0</v>
      </c>
      <c r="DO191">
        <f t="shared" si="753"/>
        <v>0</v>
      </c>
      <c r="DP191">
        <f t="shared" si="754"/>
        <v>0</v>
      </c>
      <c r="DQ191">
        <f t="shared" si="755"/>
        <v>0</v>
      </c>
      <c r="DR191">
        <f t="shared" si="756"/>
        <v>0</v>
      </c>
      <c r="DS191">
        <f t="shared" si="757"/>
        <v>0</v>
      </c>
      <c r="DT191">
        <f t="shared" si="758"/>
        <v>0</v>
      </c>
      <c r="DU191">
        <f t="shared" si="759"/>
        <v>0</v>
      </c>
      <c r="DV191">
        <f t="shared" si="760"/>
        <v>0</v>
      </c>
      <c r="DW191">
        <f t="shared" si="761"/>
        <v>0</v>
      </c>
    </row>
    <row r="192" spans="1:127" x14ac:dyDescent="0.25">
      <c r="A192" s="22">
        <f t="shared" si="749"/>
        <v>186</v>
      </c>
      <c r="B192" s="59" t="str">
        <f t="shared" si="919"/>
        <v>F0014825702</v>
      </c>
      <c r="C192" s="214" t="str">
        <f t="shared" si="920"/>
        <v>82115-0E310 B</v>
      </c>
      <c r="D192" s="58" t="e">
        <f>VLOOKUP(B192,'Timing Table'!B:G,6,0)</f>
        <v>#N/A</v>
      </c>
      <c r="E192" s="22" t="e">
        <f>VLOOKUP(B192,'Timing Table'!B:D,3,0)</f>
        <v>#N/A</v>
      </c>
      <c r="F192" s="155" t="s">
        <v>75</v>
      </c>
      <c r="G192" s="198" t="s">
        <v>257</v>
      </c>
      <c r="H192" s="9" t="s">
        <v>241</v>
      </c>
      <c r="I192" s="11" t="s">
        <v>76</v>
      </c>
      <c r="J192" s="143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0</v>
      </c>
      <c r="BH192" s="64">
        <v>0</v>
      </c>
      <c r="BI192" s="144">
        <v>0</v>
      </c>
      <c r="BJ192" s="24" t="str">
        <f>+G189</f>
        <v>82115-0E310 B</v>
      </c>
      <c r="BK192" s="24">
        <f>+J192</f>
        <v>0</v>
      </c>
      <c r="BL192" s="24">
        <f t="shared" ref="BL192" si="1023">+K192</f>
        <v>0</v>
      </c>
      <c r="BM192" s="24">
        <f t="shared" ref="BM192" si="1024">+L192</f>
        <v>0</v>
      </c>
      <c r="BN192" s="24">
        <f t="shared" ref="BN192" si="1025">+M192</f>
        <v>0</v>
      </c>
      <c r="BO192" s="24">
        <f t="shared" ref="BO192" si="1026">+N192</f>
        <v>0</v>
      </c>
      <c r="BP192" s="24">
        <f t="shared" ref="BP192" si="1027">+O192</f>
        <v>0</v>
      </c>
      <c r="BQ192" s="24">
        <f t="shared" ref="BQ192" si="1028">+P192</f>
        <v>0</v>
      </c>
      <c r="BR192" s="24">
        <f t="shared" ref="BR192" si="1029">+Q192</f>
        <v>0</v>
      </c>
      <c r="BS192" s="24">
        <f t="shared" ref="BS192" si="1030">+R192</f>
        <v>0</v>
      </c>
      <c r="BT192" s="24">
        <f t="shared" ref="BT192" si="1031">+S192</f>
        <v>0</v>
      </c>
      <c r="BU192" s="24">
        <f t="shared" ref="BU192" si="1032">+T192</f>
        <v>0</v>
      </c>
      <c r="BV192" s="24">
        <f t="shared" ref="BV192" si="1033">+U192</f>
        <v>0</v>
      </c>
      <c r="BW192" s="24">
        <f t="shared" ref="BW192" si="1034">+V192</f>
        <v>0</v>
      </c>
      <c r="BX192" s="24">
        <f t="shared" ref="BX192" si="1035">+W192</f>
        <v>0</v>
      </c>
      <c r="BY192" s="24">
        <f t="shared" ref="BY192" si="1036">+X192</f>
        <v>0</v>
      </c>
      <c r="BZ192" s="24">
        <f t="shared" ref="BZ192" si="1037">+Y192</f>
        <v>0</v>
      </c>
      <c r="CA192" s="24">
        <f t="shared" ref="CA192" si="1038">+Z192</f>
        <v>0</v>
      </c>
      <c r="CB192" s="24">
        <f t="shared" ref="CB192" si="1039">+AA192</f>
        <v>0</v>
      </c>
      <c r="CC192" s="24">
        <f t="shared" ref="CC192" si="1040">+AB192</f>
        <v>0</v>
      </c>
      <c r="CD192" s="24">
        <f t="shared" ref="CD192" si="1041">+AC192</f>
        <v>0</v>
      </c>
      <c r="CE192" s="24">
        <f t="shared" ref="CE192" si="1042">+AD192</f>
        <v>0</v>
      </c>
      <c r="CF192" s="24">
        <f t="shared" ref="CF192" si="1043">+AE192</f>
        <v>0</v>
      </c>
      <c r="CG192" s="24">
        <f t="shared" ref="CG192" si="1044">+AF192</f>
        <v>0</v>
      </c>
      <c r="CH192" s="24">
        <f t="shared" ref="CH192" si="1045">+AG192</f>
        <v>0</v>
      </c>
      <c r="CI192" s="24">
        <f t="shared" ref="CI192" si="1046">+AH192</f>
        <v>0</v>
      </c>
      <c r="CJ192" s="24">
        <f t="shared" ref="CJ192" si="1047">+AI192</f>
        <v>0</v>
      </c>
      <c r="CK192" s="24">
        <f t="shared" ref="CK192" si="1048">+AJ192</f>
        <v>0</v>
      </c>
      <c r="CL192" s="24">
        <f t="shared" ref="CL192" si="1049">+AK192</f>
        <v>0</v>
      </c>
      <c r="CM192" s="24">
        <f t="shared" ref="CM192" si="1050">+AL192</f>
        <v>0</v>
      </c>
      <c r="CN192" s="24">
        <f t="shared" ref="CN192" si="1051">+AM192</f>
        <v>0</v>
      </c>
      <c r="CO192" s="24">
        <f t="shared" ref="CO192" si="1052">+AN192</f>
        <v>0</v>
      </c>
      <c r="CP192" s="166">
        <f t="shared" ref="CP192" si="1053">+AO192</f>
        <v>0</v>
      </c>
      <c r="CQ192" s="166">
        <f t="shared" ref="CQ192" si="1054">+AP192</f>
        <v>0</v>
      </c>
      <c r="CR192">
        <f t="shared" ref="CR192" si="1055">+AQ192</f>
        <v>0</v>
      </c>
      <c r="CS192">
        <f t="shared" ref="CS192" si="1056">+AR192</f>
        <v>0</v>
      </c>
      <c r="CT192">
        <f t="shared" ref="CT192" si="1057">+AS192</f>
        <v>0</v>
      </c>
      <c r="CU192">
        <f t="shared" ref="CU192" si="1058">+AT192</f>
        <v>0</v>
      </c>
      <c r="CV192">
        <f t="shared" ref="CV192" si="1059">+AU192</f>
        <v>0</v>
      </c>
      <c r="CW192">
        <f t="shared" ref="CW192" si="1060">+AV192</f>
        <v>0</v>
      </c>
      <c r="CX192">
        <f t="shared" ref="CX192" si="1061">+AW192</f>
        <v>0</v>
      </c>
      <c r="CY192">
        <f t="shared" ref="CY192" si="1062">+AX192</f>
        <v>0</v>
      </c>
      <c r="CZ192">
        <f t="shared" ref="CZ192" si="1063">+AY192</f>
        <v>0</v>
      </c>
      <c r="DA192">
        <f t="shared" ref="DA192" si="1064">+AZ192</f>
        <v>0</v>
      </c>
      <c r="DB192">
        <f t="shared" ref="DB192" si="1065">+BA192</f>
        <v>0</v>
      </c>
      <c r="DC192">
        <f t="shared" ref="DC192" si="1066">+BB192</f>
        <v>0</v>
      </c>
      <c r="DD192">
        <f t="shared" ref="DD192" si="1067">+BC192</f>
        <v>0</v>
      </c>
      <c r="DE192">
        <f t="shared" ref="DE192" si="1068">+BD192</f>
        <v>0</v>
      </c>
      <c r="DF192">
        <f t="shared" ref="DF192" si="1069">+BE192</f>
        <v>0</v>
      </c>
      <c r="DG192">
        <f t="shared" ref="DG192" si="1070">+BF192</f>
        <v>0</v>
      </c>
      <c r="DH192">
        <f t="shared" ref="DH192" si="1071">+BG192</f>
        <v>0</v>
      </c>
      <c r="DI192">
        <f t="shared" ref="DI192" si="1072">+BH192</f>
        <v>0</v>
      </c>
      <c r="DJ192">
        <f t="shared" ref="DJ192" si="1073">+BI192</f>
        <v>0</v>
      </c>
      <c r="DL192" s="24">
        <f t="shared" si="750"/>
        <v>0</v>
      </c>
      <c r="DM192" s="24">
        <f t="shared" si="751"/>
        <v>0</v>
      </c>
      <c r="DN192" s="24">
        <f t="shared" si="752"/>
        <v>0</v>
      </c>
      <c r="DO192" s="24">
        <f t="shared" si="753"/>
        <v>0</v>
      </c>
      <c r="DP192" s="24">
        <f t="shared" si="754"/>
        <v>0</v>
      </c>
      <c r="DQ192" s="24">
        <f t="shared" si="755"/>
        <v>0</v>
      </c>
      <c r="DR192" s="24">
        <f t="shared" si="756"/>
        <v>0</v>
      </c>
      <c r="DS192" s="24">
        <f t="shared" si="757"/>
        <v>0</v>
      </c>
      <c r="DT192" s="24">
        <f t="shared" si="758"/>
        <v>0</v>
      </c>
      <c r="DU192">
        <f t="shared" si="759"/>
        <v>0</v>
      </c>
      <c r="DV192">
        <f t="shared" si="760"/>
        <v>0</v>
      </c>
      <c r="DW192">
        <f t="shared" si="761"/>
        <v>0</v>
      </c>
    </row>
    <row r="193" spans="1:127" x14ac:dyDescent="0.25">
      <c r="A193" s="22">
        <f t="shared" si="749"/>
        <v>187</v>
      </c>
      <c r="B193" s="59" t="str">
        <f t="shared" si="919"/>
        <v>F0014825702</v>
      </c>
      <c r="C193" s="214" t="str">
        <f t="shared" si="920"/>
        <v>82115-0E310 B</v>
      </c>
      <c r="D193" s="58" t="e">
        <f>VLOOKUP(B193,'Timing Table'!B:G,6,0)</f>
        <v>#N/A</v>
      </c>
      <c r="E193" s="22" t="e">
        <f>VLOOKUP(B193,'Timing Table'!B:D,3,0)</f>
        <v>#N/A</v>
      </c>
      <c r="F193" s="155" t="s">
        <v>77</v>
      </c>
      <c r="G193" s="181">
        <v>82115</v>
      </c>
      <c r="H193" s="10" t="s">
        <v>241</v>
      </c>
      <c r="I193" s="12" t="s">
        <v>78</v>
      </c>
      <c r="J193" s="152">
        <v>0</v>
      </c>
      <c r="K193" s="153">
        <v>0</v>
      </c>
      <c r="L193" s="153">
        <v>0</v>
      </c>
      <c r="M193" s="153">
        <v>0</v>
      </c>
      <c r="N193" s="153">
        <v>0</v>
      </c>
      <c r="O193" s="153">
        <v>0</v>
      </c>
      <c r="P193" s="153">
        <v>0</v>
      </c>
      <c r="Q193" s="153">
        <v>0</v>
      </c>
      <c r="R193" s="153">
        <v>0</v>
      </c>
      <c r="S193" s="153">
        <v>0</v>
      </c>
      <c r="T193" s="153">
        <v>0</v>
      </c>
      <c r="U193" s="153">
        <v>0</v>
      </c>
      <c r="V193" s="153">
        <v>0</v>
      </c>
      <c r="W193" s="153">
        <v>0</v>
      </c>
      <c r="X193" s="153">
        <v>0</v>
      </c>
      <c r="Y193" s="153">
        <v>0</v>
      </c>
      <c r="Z193" s="153">
        <v>0</v>
      </c>
      <c r="AA193" s="153">
        <v>0</v>
      </c>
      <c r="AB193" s="153">
        <v>0</v>
      </c>
      <c r="AC193" s="153">
        <v>0</v>
      </c>
      <c r="AD193" s="153">
        <v>0</v>
      </c>
      <c r="AE193" s="153">
        <v>0</v>
      </c>
      <c r="AF193" s="153">
        <v>0</v>
      </c>
      <c r="AG193" s="153">
        <v>0</v>
      </c>
      <c r="AH193" s="153">
        <v>0</v>
      </c>
      <c r="AI193" s="153">
        <v>0</v>
      </c>
      <c r="AJ193" s="153">
        <v>0</v>
      </c>
      <c r="AK193" s="153">
        <v>0</v>
      </c>
      <c r="AL193" s="153">
        <v>0</v>
      </c>
      <c r="AM193" s="153">
        <v>0</v>
      </c>
      <c r="AN193" s="153">
        <v>0</v>
      </c>
      <c r="AO193" s="153">
        <v>0</v>
      </c>
      <c r="AP193" s="153">
        <v>0</v>
      </c>
      <c r="AQ193" s="153">
        <v>0</v>
      </c>
      <c r="AR193" s="153">
        <v>0</v>
      </c>
      <c r="AS193" s="153">
        <v>0</v>
      </c>
      <c r="AT193" s="153">
        <v>0</v>
      </c>
      <c r="AU193" s="153">
        <v>0</v>
      </c>
      <c r="AV193" s="153">
        <v>0</v>
      </c>
      <c r="AW193" s="153">
        <v>0</v>
      </c>
      <c r="AX193" s="153">
        <v>0</v>
      </c>
      <c r="AY193" s="153">
        <v>0</v>
      </c>
      <c r="AZ193" s="153">
        <v>0</v>
      </c>
      <c r="BA193" s="153">
        <v>0</v>
      </c>
      <c r="BB193" s="153">
        <v>0</v>
      </c>
      <c r="BC193" s="153">
        <v>0</v>
      </c>
      <c r="BD193" s="153">
        <v>0</v>
      </c>
      <c r="BE193" s="153">
        <v>0</v>
      </c>
      <c r="BF193" s="153">
        <v>0</v>
      </c>
      <c r="BG193" s="153">
        <v>0</v>
      </c>
      <c r="BH193" s="153">
        <v>0</v>
      </c>
      <c r="BI193" s="154">
        <v>0</v>
      </c>
      <c r="DL193">
        <f t="shared" si="750"/>
        <v>0</v>
      </c>
      <c r="DM193">
        <f t="shared" si="751"/>
        <v>0</v>
      </c>
      <c r="DN193">
        <f t="shared" si="752"/>
        <v>0</v>
      </c>
      <c r="DO193">
        <f t="shared" si="753"/>
        <v>0</v>
      </c>
      <c r="DP193">
        <f t="shared" si="754"/>
        <v>0</v>
      </c>
      <c r="DQ193">
        <f t="shared" si="755"/>
        <v>0</v>
      </c>
      <c r="DR193">
        <f t="shared" si="756"/>
        <v>0</v>
      </c>
      <c r="DS193">
        <f t="shared" si="757"/>
        <v>0</v>
      </c>
      <c r="DT193">
        <f t="shared" si="758"/>
        <v>0</v>
      </c>
      <c r="DU193">
        <f t="shared" si="759"/>
        <v>0</v>
      </c>
      <c r="DV193">
        <f t="shared" si="760"/>
        <v>0</v>
      </c>
      <c r="DW193">
        <f t="shared" si="761"/>
        <v>0</v>
      </c>
    </row>
    <row r="194" spans="1:127" x14ac:dyDescent="0.25">
      <c r="A194" s="22">
        <f t="shared" si="749"/>
        <v>188</v>
      </c>
      <c r="B194" s="59" t="str">
        <f t="shared" si="919"/>
        <v>F0014825702</v>
      </c>
      <c r="C194" s="214" t="str">
        <f t="shared" si="920"/>
        <v>82115-0E310 B</v>
      </c>
      <c r="D194" s="58" t="e">
        <f>VLOOKUP(B194,'Timing Table'!B:G,6,0)</f>
        <v>#N/A</v>
      </c>
      <c r="E194" s="22" t="e">
        <f>VLOOKUP(B194,'Timing Table'!B:D,3,0)</f>
        <v>#N/A</v>
      </c>
      <c r="F194" s="155" t="s">
        <v>79</v>
      </c>
      <c r="G194" s="199">
        <v>0</v>
      </c>
      <c r="H194" s="184" t="s">
        <v>80</v>
      </c>
      <c r="I194" s="185"/>
      <c r="J194" s="200"/>
      <c r="K194" s="156"/>
      <c r="L194" s="157" t="s">
        <v>0</v>
      </c>
      <c r="M194" s="157" t="s">
        <v>0</v>
      </c>
      <c r="N194" s="157" t="s">
        <v>0</v>
      </c>
      <c r="O194" s="157" t="s">
        <v>0</v>
      </c>
      <c r="P194" s="157" t="s">
        <v>0</v>
      </c>
      <c r="Q194" s="165" t="s">
        <v>0</v>
      </c>
      <c r="R194" s="157" t="s">
        <v>0</v>
      </c>
      <c r="S194" s="157" t="s">
        <v>0</v>
      </c>
      <c r="T194" s="157" t="s">
        <v>0</v>
      </c>
      <c r="U194" s="157" t="s">
        <v>0</v>
      </c>
      <c r="V194" s="157" t="s">
        <v>0</v>
      </c>
      <c r="W194" s="157" t="s">
        <v>0</v>
      </c>
      <c r="X194" s="157" t="s">
        <v>0</v>
      </c>
      <c r="Y194" s="157" t="s">
        <v>0</v>
      </c>
      <c r="Z194" s="157" t="s">
        <v>0</v>
      </c>
      <c r="AA194" s="157" t="s">
        <v>0</v>
      </c>
      <c r="AB194" s="157" t="s">
        <v>0</v>
      </c>
      <c r="AC194" s="157" t="s">
        <v>0</v>
      </c>
      <c r="AD194" s="157" t="s">
        <v>0</v>
      </c>
      <c r="AE194" s="157" t="s">
        <v>0</v>
      </c>
      <c r="AF194" s="157" t="s">
        <v>0</v>
      </c>
      <c r="AG194" s="157" t="s">
        <v>0</v>
      </c>
      <c r="AH194" s="157" t="s">
        <v>0</v>
      </c>
      <c r="AI194" s="157" t="s">
        <v>0</v>
      </c>
      <c r="AJ194" s="157" t="s">
        <v>0</v>
      </c>
      <c r="AK194" s="157" t="s">
        <v>0</v>
      </c>
      <c r="AL194" s="157" t="s">
        <v>0</v>
      </c>
      <c r="AM194" s="157" t="s">
        <v>0</v>
      </c>
      <c r="AN194" s="157" t="s">
        <v>0</v>
      </c>
      <c r="AO194" s="157" t="s">
        <v>0</v>
      </c>
      <c r="AP194" s="157" t="s">
        <v>0</v>
      </c>
      <c r="AQ194" s="157" t="s">
        <v>0</v>
      </c>
      <c r="AR194" s="157" t="s">
        <v>0</v>
      </c>
      <c r="AS194" s="157" t="s">
        <v>0</v>
      </c>
      <c r="AT194" s="157" t="s">
        <v>0</v>
      </c>
      <c r="AU194" s="157" t="s">
        <v>0</v>
      </c>
      <c r="AV194" s="157" t="s">
        <v>0</v>
      </c>
      <c r="AW194" s="157" t="s">
        <v>0</v>
      </c>
      <c r="AX194" s="157" t="s">
        <v>0</v>
      </c>
      <c r="AY194" s="157" t="s">
        <v>0</v>
      </c>
      <c r="AZ194" s="157" t="s">
        <v>0</v>
      </c>
      <c r="BA194" s="157" t="s">
        <v>0</v>
      </c>
      <c r="BB194" s="157" t="s">
        <v>0</v>
      </c>
      <c r="BC194" s="157" t="s">
        <v>0</v>
      </c>
      <c r="BD194" s="157" t="s">
        <v>0</v>
      </c>
      <c r="BE194" s="157" t="s">
        <v>0</v>
      </c>
      <c r="BF194" s="157" t="s">
        <v>0</v>
      </c>
      <c r="BG194" s="157" t="s">
        <v>0</v>
      </c>
      <c r="BH194" s="157" t="s">
        <v>0</v>
      </c>
      <c r="BI194" s="158"/>
      <c r="DL194">
        <f t="shared" si="750"/>
        <v>0</v>
      </c>
      <c r="DM194">
        <f t="shared" si="751"/>
        <v>0</v>
      </c>
      <c r="DN194">
        <f t="shared" si="752"/>
        <v>0</v>
      </c>
      <c r="DO194">
        <f t="shared" si="753"/>
        <v>0</v>
      </c>
      <c r="DP194">
        <f t="shared" si="754"/>
        <v>0</v>
      </c>
      <c r="DQ194">
        <f t="shared" si="755"/>
        <v>0</v>
      </c>
      <c r="DR194">
        <f t="shared" si="756"/>
        <v>0</v>
      </c>
      <c r="DS194">
        <f t="shared" si="757"/>
        <v>0</v>
      </c>
      <c r="DT194">
        <f t="shared" si="758"/>
        <v>0</v>
      </c>
      <c r="DU194">
        <f t="shared" si="759"/>
        <v>0</v>
      </c>
      <c r="DV194">
        <f t="shared" si="760"/>
        <v>0</v>
      </c>
      <c r="DW194">
        <f t="shared" si="761"/>
        <v>0</v>
      </c>
    </row>
    <row r="195" spans="1:127" x14ac:dyDescent="0.25">
      <c r="A195" s="22">
        <f t="shared" si="749"/>
        <v>189</v>
      </c>
      <c r="B195" s="59" t="str">
        <f t="shared" si="919"/>
        <v>F0014825702</v>
      </c>
      <c r="C195" s="214" t="str">
        <f t="shared" si="920"/>
        <v>82115-0E310 B</v>
      </c>
      <c r="D195" s="58" t="e">
        <f>VLOOKUP(B195,'Timing Table'!B:G,6,0)</f>
        <v>#N/A</v>
      </c>
      <c r="E195" s="22" t="e">
        <f>VLOOKUP(B195,'Timing Table'!B:D,3,0)</f>
        <v>#N/A</v>
      </c>
      <c r="F195" s="159" t="s">
        <v>81</v>
      </c>
      <c r="G195" s="160" t="s">
        <v>60</v>
      </c>
      <c r="H195" s="201" t="s">
        <v>60</v>
      </c>
      <c r="I195" s="183" t="s">
        <v>60</v>
      </c>
      <c r="J195" s="183" t="s">
        <v>0</v>
      </c>
      <c r="K195" s="183" t="s">
        <v>0</v>
      </c>
      <c r="L195" s="183" t="s">
        <v>0</v>
      </c>
      <c r="M195" s="183" t="s">
        <v>0</v>
      </c>
      <c r="N195" s="183" t="s">
        <v>0</v>
      </c>
      <c r="O195" s="183" t="s">
        <v>0</v>
      </c>
      <c r="P195" s="183" t="s">
        <v>0</v>
      </c>
      <c r="Q195" s="202" t="s">
        <v>0</v>
      </c>
      <c r="R195" s="183" t="s">
        <v>0</v>
      </c>
      <c r="S195" s="183" t="s">
        <v>0</v>
      </c>
      <c r="T195" s="183" t="s">
        <v>0</v>
      </c>
      <c r="U195" s="183" t="s">
        <v>0</v>
      </c>
      <c r="V195" s="183" t="s">
        <v>0</v>
      </c>
      <c r="W195" s="183" t="s">
        <v>0</v>
      </c>
      <c r="X195" s="183" t="s">
        <v>0</v>
      </c>
      <c r="Y195" s="183" t="s">
        <v>0</v>
      </c>
      <c r="Z195" s="183" t="s">
        <v>0</v>
      </c>
      <c r="AA195" s="183" t="s">
        <v>0</v>
      </c>
      <c r="AB195" s="183" t="s">
        <v>0</v>
      </c>
      <c r="AC195" s="183" t="s">
        <v>0</v>
      </c>
      <c r="AD195" s="183" t="s">
        <v>0</v>
      </c>
      <c r="AE195" s="183" t="s">
        <v>0</v>
      </c>
      <c r="AF195" s="183" t="s">
        <v>0</v>
      </c>
      <c r="AG195" s="183" t="s">
        <v>0</v>
      </c>
      <c r="AH195" s="183" t="s">
        <v>0</v>
      </c>
      <c r="AI195" s="183" t="s">
        <v>0</v>
      </c>
      <c r="AJ195" s="183" t="s">
        <v>0</v>
      </c>
      <c r="AK195" s="183" t="s">
        <v>0</v>
      </c>
      <c r="AL195" s="183" t="s">
        <v>0</v>
      </c>
      <c r="AM195" s="183" t="s">
        <v>0</v>
      </c>
      <c r="AN195" s="183" t="s">
        <v>0</v>
      </c>
      <c r="AO195" s="183" t="s">
        <v>0</v>
      </c>
      <c r="AP195" s="183" t="s">
        <v>0</v>
      </c>
      <c r="AQ195" s="183" t="s">
        <v>0</v>
      </c>
      <c r="AR195" s="183" t="s">
        <v>0</v>
      </c>
      <c r="AS195" s="183" t="s">
        <v>0</v>
      </c>
      <c r="AT195" s="183" t="s">
        <v>0</v>
      </c>
      <c r="AU195" s="183" t="s">
        <v>0</v>
      </c>
      <c r="AV195" s="183" t="s">
        <v>0</v>
      </c>
      <c r="AW195" s="183" t="s">
        <v>0</v>
      </c>
      <c r="AX195" s="183" t="s">
        <v>0</v>
      </c>
      <c r="AY195" s="183" t="s">
        <v>0</v>
      </c>
      <c r="AZ195" s="183" t="s">
        <v>0</v>
      </c>
      <c r="BA195" s="183" t="s">
        <v>0</v>
      </c>
      <c r="BB195" s="183" t="s">
        <v>0</v>
      </c>
      <c r="BC195" s="183" t="s">
        <v>0</v>
      </c>
      <c r="BD195" s="183" t="s">
        <v>0</v>
      </c>
      <c r="BE195" s="183" t="s">
        <v>0</v>
      </c>
      <c r="BF195" s="183" t="s">
        <v>0</v>
      </c>
      <c r="BG195" s="183" t="s">
        <v>0</v>
      </c>
      <c r="BH195" s="183" t="s">
        <v>0</v>
      </c>
      <c r="BI195" s="161"/>
      <c r="DL195">
        <f t="shared" si="750"/>
        <v>0</v>
      </c>
      <c r="DM195">
        <f t="shared" si="751"/>
        <v>0</v>
      </c>
      <c r="DN195">
        <f t="shared" si="752"/>
        <v>0</v>
      </c>
      <c r="DO195">
        <f t="shared" si="753"/>
        <v>0</v>
      </c>
      <c r="DP195">
        <f t="shared" si="754"/>
        <v>0</v>
      </c>
      <c r="DQ195">
        <f t="shared" si="755"/>
        <v>0</v>
      </c>
      <c r="DR195">
        <f t="shared" si="756"/>
        <v>0</v>
      </c>
      <c r="DS195">
        <f t="shared" si="757"/>
        <v>0</v>
      </c>
      <c r="DT195">
        <f t="shared" si="758"/>
        <v>0</v>
      </c>
      <c r="DU195">
        <f t="shared" si="759"/>
        <v>0</v>
      </c>
      <c r="DV195">
        <f t="shared" si="760"/>
        <v>0</v>
      </c>
      <c r="DW195">
        <f t="shared" si="761"/>
        <v>0</v>
      </c>
    </row>
    <row r="196" spans="1:127" x14ac:dyDescent="0.25">
      <c r="A196" s="22">
        <f t="shared" si="749"/>
        <v>190</v>
      </c>
      <c r="B196" s="59" t="str">
        <f t="shared" si="919"/>
        <v>F0014825702</v>
      </c>
      <c r="C196" s="214" t="str">
        <f t="shared" si="920"/>
        <v>82115-0E310 B</v>
      </c>
      <c r="D196" s="58" t="e">
        <f>VLOOKUP(B196,'Timing Table'!B:G,6,0)</f>
        <v>#N/A</v>
      </c>
      <c r="E196" s="22" t="e">
        <f>VLOOKUP(B196,'Timing Table'!B:D,3,0)</f>
        <v>#N/A</v>
      </c>
      <c r="F196" s="188" t="s">
        <v>60</v>
      </c>
      <c r="G196" s="162" t="s">
        <v>60</v>
      </c>
      <c r="H196" s="163" t="s">
        <v>60</v>
      </c>
      <c r="I196" s="164" t="s">
        <v>60</v>
      </c>
      <c r="J196" s="164" t="s">
        <v>0</v>
      </c>
      <c r="K196" s="164" t="s">
        <v>0</v>
      </c>
      <c r="L196" s="164" t="s">
        <v>0</v>
      </c>
      <c r="M196" s="164" t="s">
        <v>0</v>
      </c>
      <c r="N196" s="164" t="s">
        <v>0</v>
      </c>
      <c r="O196" s="164" t="s">
        <v>0</v>
      </c>
      <c r="P196" s="164" t="s">
        <v>0</v>
      </c>
      <c r="Q196" s="164" t="s">
        <v>0</v>
      </c>
      <c r="R196" s="164" t="s">
        <v>0</v>
      </c>
      <c r="S196" s="164" t="s">
        <v>0</v>
      </c>
      <c r="T196" s="164" t="s">
        <v>0</v>
      </c>
      <c r="U196" s="164" t="s">
        <v>0</v>
      </c>
      <c r="V196" s="164" t="s">
        <v>0</v>
      </c>
      <c r="W196" s="164" t="s">
        <v>0</v>
      </c>
      <c r="X196" s="164" t="s">
        <v>0</v>
      </c>
      <c r="Y196" s="164" t="s">
        <v>0</v>
      </c>
      <c r="Z196" s="164" t="s">
        <v>0</v>
      </c>
      <c r="AA196" s="164" t="s">
        <v>0</v>
      </c>
      <c r="AB196" s="164" t="s">
        <v>0</v>
      </c>
      <c r="AC196" s="164" t="s">
        <v>0</v>
      </c>
      <c r="AD196" s="164" t="s">
        <v>0</v>
      </c>
      <c r="AE196" s="164" t="s">
        <v>0</v>
      </c>
      <c r="AF196" s="164" t="s">
        <v>0</v>
      </c>
      <c r="AG196" s="164" t="s">
        <v>0</v>
      </c>
      <c r="AH196" s="164" t="s">
        <v>0</v>
      </c>
      <c r="AI196" s="164" t="s">
        <v>0</v>
      </c>
      <c r="AJ196" s="164" t="s">
        <v>0</v>
      </c>
      <c r="AK196" s="164" t="s">
        <v>0</v>
      </c>
      <c r="AL196" s="164" t="s">
        <v>0</v>
      </c>
      <c r="AM196" s="164" t="s">
        <v>0</v>
      </c>
      <c r="AN196" s="164" t="s">
        <v>0</v>
      </c>
      <c r="AO196" s="164" t="s">
        <v>0</v>
      </c>
      <c r="AP196" s="164" t="s">
        <v>0</v>
      </c>
      <c r="AQ196" s="164" t="s">
        <v>0</v>
      </c>
      <c r="AR196" s="164" t="s">
        <v>0</v>
      </c>
      <c r="AS196" s="164" t="s">
        <v>0</v>
      </c>
      <c r="AT196" s="164" t="s">
        <v>0</v>
      </c>
      <c r="AU196" s="164" t="s">
        <v>0</v>
      </c>
      <c r="AV196" s="164" t="s">
        <v>0</v>
      </c>
      <c r="AW196" s="164" t="s">
        <v>0</v>
      </c>
      <c r="AX196" s="164" t="s">
        <v>0</v>
      </c>
      <c r="AY196" s="164" t="s">
        <v>0</v>
      </c>
      <c r="AZ196" s="164" t="s">
        <v>0</v>
      </c>
      <c r="BA196" s="164" t="s">
        <v>0</v>
      </c>
      <c r="BB196" s="164" t="s">
        <v>0</v>
      </c>
      <c r="BC196" s="164" t="s">
        <v>0</v>
      </c>
      <c r="BD196" s="164" t="s">
        <v>0</v>
      </c>
      <c r="BE196" s="164" t="s">
        <v>0</v>
      </c>
      <c r="BF196" s="164" t="s">
        <v>0</v>
      </c>
      <c r="BG196" s="164" t="s">
        <v>0</v>
      </c>
      <c r="BH196" s="164" t="s">
        <v>0</v>
      </c>
      <c r="BI196" s="189"/>
      <c r="DL196">
        <f t="shared" si="750"/>
        <v>0</v>
      </c>
      <c r="DM196">
        <f t="shared" si="751"/>
        <v>0</v>
      </c>
      <c r="DN196">
        <f t="shared" si="752"/>
        <v>0</v>
      </c>
      <c r="DO196">
        <f t="shared" si="753"/>
        <v>0</v>
      </c>
      <c r="DP196">
        <f t="shared" si="754"/>
        <v>0</v>
      </c>
      <c r="DQ196">
        <f t="shared" si="755"/>
        <v>0</v>
      </c>
      <c r="DR196">
        <f t="shared" si="756"/>
        <v>0</v>
      </c>
      <c r="DS196">
        <f t="shared" si="757"/>
        <v>0</v>
      </c>
      <c r="DT196">
        <f t="shared" si="758"/>
        <v>0</v>
      </c>
      <c r="DU196">
        <f t="shared" si="759"/>
        <v>0</v>
      </c>
      <c r="DV196">
        <f t="shared" si="760"/>
        <v>0</v>
      </c>
      <c r="DW196">
        <f t="shared" si="761"/>
        <v>0</v>
      </c>
    </row>
    <row r="197" spans="1:127" x14ac:dyDescent="0.25">
      <c r="A197" s="22">
        <f t="shared" si="749"/>
        <v>191</v>
      </c>
      <c r="B197" s="59" t="str">
        <f t="shared" si="919"/>
        <v>F0014825801</v>
      </c>
      <c r="C197" s="214" t="str">
        <f t="shared" si="920"/>
        <v>82115-0EZ80</v>
      </c>
      <c r="D197" s="58" t="e">
        <f>VLOOKUP(B197,'Timing Table'!B:G,6,0)</f>
        <v>#N/A</v>
      </c>
      <c r="E197" s="22" t="e">
        <f>VLOOKUP(B197,'Timing Table'!B:D,3,0)</f>
        <v>#N/A</v>
      </c>
      <c r="F197" s="155" t="s">
        <v>61</v>
      </c>
      <c r="G197" s="181">
        <v>5500990626</v>
      </c>
      <c r="H197" s="155" t="s">
        <v>62</v>
      </c>
      <c r="I197" s="181">
        <v>156</v>
      </c>
      <c r="J197" s="155" t="s">
        <v>63</v>
      </c>
      <c r="K197" s="160">
        <v>1121485</v>
      </c>
      <c r="L197" s="161"/>
      <c r="M197" s="190" t="s">
        <v>64</v>
      </c>
      <c r="N197" s="191"/>
      <c r="O197" s="192">
        <v>46086</v>
      </c>
      <c r="P197" s="155" t="s">
        <v>65</v>
      </c>
      <c r="Q197" s="181">
        <v>4</v>
      </c>
      <c r="R197" s="6" t="s">
        <v>0</v>
      </c>
      <c r="S197" s="7" t="s">
        <v>0</v>
      </c>
      <c r="T197" s="7" t="s">
        <v>0</v>
      </c>
      <c r="U197" s="7" t="s">
        <v>0</v>
      </c>
      <c r="V197" s="7" t="s">
        <v>0</v>
      </c>
      <c r="W197" s="7" t="s">
        <v>0</v>
      </c>
      <c r="X197" s="7" t="s">
        <v>0</v>
      </c>
      <c r="Y197" s="7" t="s">
        <v>0</v>
      </c>
      <c r="Z197" s="7" t="s">
        <v>0</v>
      </c>
      <c r="AA197" s="7" t="s">
        <v>0</v>
      </c>
      <c r="AB197" s="7" t="s">
        <v>0</v>
      </c>
      <c r="AC197" s="7" t="s">
        <v>0</v>
      </c>
      <c r="AD197" s="7" t="s">
        <v>0</v>
      </c>
      <c r="AE197" s="7" t="s">
        <v>0</v>
      </c>
      <c r="AF197" s="7" t="s">
        <v>0</v>
      </c>
      <c r="AG197" s="7" t="s">
        <v>0</v>
      </c>
      <c r="AH197" s="7" t="s">
        <v>0</v>
      </c>
      <c r="AI197" s="7" t="s">
        <v>0</v>
      </c>
      <c r="AJ197" s="7" t="s">
        <v>0</v>
      </c>
      <c r="AK197" s="7" t="s">
        <v>0</v>
      </c>
      <c r="AL197" s="7" t="s">
        <v>0</v>
      </c>
      <c r="AM197" s="7" t="s">
        <v>0</v>
      </c>
      <c r="AN197" s="7" t="s">
        <v>0</v>
      </c>
      <c r="AO197" s="7" t="s">
        <v>0</v>
      </c>
      <c r="AP197" s="7" t="s">
        <v>0</v>
      </c>
      <c r="AQ197" s="7" t="s">
        <v>0</v>
      </c>
      <c r="AR197" s="7" t="s">
        <v>0</v>
      </c>
      <c r="AS197" s="7" t="s">
        <v>0</v>
      </c>
      <c r="AT197" s="7" t="s">
        <v>0</v>
      </c>
      <c r="AU197" s="7" t="s">
        <v>0</v>
      </c>
      <c r="AV197" s="7" t="s">
        <v>0</v>
      </c>
      <c r="AW197" s="7" t="s">
        <v>0</v>
      </c>
      <c r="AX197" s="7" t="s">
        <v>0</v>
      </c>
      <c r="AY197" s="7" t="s">
        <v>0</v>
      </c>
      <c r="AZ197" s="7" t="s">
        <v>0</v>
      </c>
      <c r="BA197" s="7" t="s">
        <v>0</v>
      </c>
      <c r="BB197" s="7" t="s">
        <v>0</v>
      </c>
      <c r="BC197" s="7" t="s">
        <v>0</v>
      </c>
      <c r="BD197" s="7" t="s">
        <v>0</v>
      </c>
      <c r="BE197" s="7" t="s">
        <v>0</v>
      </c>
      <c r="BF197" s="7" t="s">
        <v>0</v>
      </c>
      <c r="BG197" s="7" t="s">
        <v>0</v>
      </c>
      <c r="BH197" s="7" t="s">
        <v>0</v>
      </c>
      <c r="BI197" s="8"/>
      <c r="DL197">
        <f t="shared" si="750"/>
        <v>0</v>
      </c>
      <c r="DM197">
        <f t="shared" si="751"/>
        <v>0</v>
      </c>
      <c r="DN197">
        <f t="shared" si="752"/>
        <v>0</v>
      </c>
      <c r="DO197">
        <f t="shared" si="753"/>
        <v>0</v>
      </c>
      <c r="DP197">
        <f t="shared" si="754"/>
        <v>0</v>
      </c>
      <c r="DQ197">
        <f t="shared" si="755"/>
        <v>0</v>
      </c>
      <c r="DR197">
        <f t="shared" si="756"/>
        <v>0</v>
      </c>
      <c r="DS197">
        <f t="shared" si="757"/>
        <v>0</v>
      </c>
      <c r="DT197">
        <f t="shared" si="758"/>
        <v>0</v>
      </c>
      <c r="DU197">
        <f t="shared" si="759"/>
        <v>0</v>
      </c>
      <c r="DV197">
        <f t="shared" si="760"/>
        <v>0</v>
      </c>
      <c r="DW197">
        <f t="shared" si="761"/>
        <v>0</v>
      </c>
    </row>
    <row r="198" spans="1:127" x14ac:dyDescent="0.25">
      <c r="A198" s="22">
        <f t="shared" si="749"/>
        <v>192</v>
      </c>
      <c r="B198" s="59" t="str">
        <f t="shared" si="919"/>
        <v>F0014825801</v>
      </c>
      <c r="C198" s="214" t="str">
        <f t="shared" si="920"/>
        <v>82115-0EZ80</v>
      </c>
      <c r="D198" s="58" t="e">
        <f>VLOOKUP(B198,'Timing Table'!B:G,6,0)</f>
        <v>#N/A</v>
      </c>
      <c r="E198" s="22" t="e">
        <f>VLOOKUP(B198,'Timing Table'!B:D,3,0)</f>
        <v>#N/A</v>
      </c>
      <c r="F198" s="155" t="s">
        <v>66</v>
      </c>
      <c r="G198" s="181" t="s">
        <v>266</v>
      </c>
      <c r="H198" s="155" t="s">
        <v>67</v>
      </c>
      <c r="I198" s="182" t="s">
        <v>267</v>
      </c>
      <c r="J198" s="183"/>
      <c r="K198" s="183"/>
      <c r="L198" s="161"/>
      <c r="M198" s="155" t="s">
        <v>68</v>
      </c>
      <c r="N198" s="181">
        <v>2025</v>
      </c>
      <c r="O198" s="184" t="s">
        <v>69</v>
      </c>
      <c r="P198" s="185"/>
      <c r="Q198" s="193" t="s">
        <v>265</v>
      </c>
      <c r="R198" s="156" t="s">
        <v>0</v>
      </c>
      <c r="S198" s="157" t="s">
        <v>0</v>
      </c>
      <c r="T198" s="157" t="s">
        <v>0</v>
      </c>
      <c r="U198" s="157" t="s">
        <v>0</v>
      </c>
      <c r="V198" s="157" t="s">
        <v>0</v>
      </c>
      <c r="W198" s="157" t="s">
        <v>0</v>
      </c>
      <c r="X198" s="157" t="s">
        <v>0</v>
      </c>
      <c r="Y198" s="157" t="s">
        <v>0</v>
      </c>
      <c r="Z198" s="157" t="s">
        <v>0</v>
      </c>
      <c r="AA198" s="157" t="s">
        <v>0</v>
      </c>
      <c r="AB198" s="157" t="s">
        <v>0</v>
      </c>
      <c r="AC198" s="157" t="s">
        <v>0</v>
      </c>
      <c r="AD198" s="157" t="s">
        <v>0</v>
      </c>
      <c r="AE198" s="157" t="s">
        <v>0</v>
      </c>
      <c r="AF198" s="157" t="s">
        <v>0</v>
      </c>
      <c r="AG198" s="157" t="s">
        <v>0</v>
      </c>
      <c r="AH198" s="157" t="s">
        <v>0</v>
      </c>
      <c r="AI198" s="157" t="s">
        <v>0</v>
      </c>
      <c r="AJ198" s="157" t="s">
        <v>0</v>
      </c>
      <c r="AK198" s="157" t="s">
        <v>0</v>
      </c>
      <c r="AL198" s="157" t="s">
        <v>0</v>
      </c>
      <c r="AM198" s="157" t="s">
        <v>0</v>
      </c>
      <c r="AN198" s="157" t="s">
        <v>0</v>
      </c>
      <c r="AO198" s="157" t="s">
        <v>0</v>
      </c>
      <c r="AP198" s="157" t="s">
        <v>0</v>
      </c>
      <c r="AQ198" s="157" t="s">
        <v>0</v>
      </c>
      <c r="AR198" s="157" t="s">
        <v>0</v>
      </c>
      <c r="AS198" s="157" t="s">
        <v>0</v>
      </c>
      <c r="AT198" s="157" t="s">
        <v>0</v>
      </c>
      <c r="AU198" s="157" t="s">
        <v>0</v>
      </c>
      <c r="AV198" s="157" t="s">
        <v>0</v>
      </c>
      <c r="AW198" s="157" t="s">
        <v>0</v>
      </c>
      <c r="AX198" s="157" t="s">
        <v>0</v>
      </c>
      <c r="AY198" s="157" t="s">
        <v>0</v>
      </c>
      <c r="AZ198" s="157" t="s">
        <v>0</v>
      </c>
      <c r="BA198" s="157" t="s">
        <v>0</v>
      </c>
      <c r="BB198" s="157" t="s">
        <v>0</v>
      </c>
      <c r="BC198" s="157" t="s">
        <v>0</v>
      </c>
      <c r="BD198" s="157" t="s">
        <v>0</v>
      </c>
      <c r="BE198" s="157" t="s">
        <v>0</v>
      </c>
      <c r="BF198" s="157" t="s">
        <v>0</v>
      </c>
      <c r="BG198" s="157" t="s">
        <v>0</v>
      </c>
      <c r="BH198" s="157" t="s">
        <v>0</v>
      </c>
      <c r="BI198" s="158"/>
      <c r="DL198">
        <f t="shared" si="750"/>
        <v>0</v>
      </c>
      <c r="DM198">
        <f t="shared" si="751"/>
        <v>0</v>
      </c>
      <c r="DN198">
        <f t="shared" si="752"/>
        <v>0</v>
      </c>
      <c r="DO198">
        <f t="shared" si="753"/>
        <v>0</v>
      </c>
      <c r="DP198">
        <f t="shared" si="754"/>
        <v>0</v>
      </c>
      <c r="DQ198">
        <f t="shared" si="755"/>
        <v>0</v>
      </c>
      <c r="DR198">
        <f t="shared" si="756"/>
        <v>0</v>
      </c>
      <c r="DS198">
        <f t="shared" si="757"/>
        <v>0</v>
      </c>
      <c r="DT198">
        <f t="shared" si="758"/>
        <v>0</v>
      </c>
      <c r="DU198">
        <f t="shared" si="759"/>
        <v>0</v>
      </c>
      <c r="DV198">
        <f t="shared" si="760"/>
        <v>0</v>
      </c>
      <c r="DW198">
        <f t="shared" si="761"/>
        <v>0</v>
      </c>
    </row>
    <row r="199" spans="1:127" x14ac:dyDescent="0.25">
      <c r="A199" s="22">
        <f t="shared" ref="A199:A262" si="1074">+A198+1</f>
        <v>193</v>
      </c>
      <c r="B199" s="59" t="str">
        <f t="shared" si="919"/>
        <v>F0014825801</v>
      </c>
      <c r="C199" s="214" t="str">
        <f t="shared" si="920"/>
        <v>82115-0EZ80</v>
      </c>
      <c r="D199" s="58" t="e">
        <f>VLOOKUP(B199,'Timing Table'!B:G,6,0)</f>
        <v>#N/A</v>
      </c>
      <c r="E199" s="22" t="e">
        <f>VLOOKUP(B199,'Timing Table'!B:D,3,0)</f>
        <v>#N/A</v>
      </c>
      <c r="F199" s="155" t="s">
        <v>70</v>
      </c>
      <c r="G199" s="181" t="s">
        <v>253</v>
      </c>
      <c r="H199" s="155" t="s">
        <v>71</v>
      </c>
      <c r="I199" s="182" t="s">
        <v>60</v>
      </c>
      <c r="J199" s="161" t="s">
        <v>0</v>
      </c>
      <c r="K199" s="194" t="s">
        <v>0</v>
      </c>
      <c r="L199" s="195" t="s">
        <v>0</v>
      </c>
      <c r="M199" s="179" t="s">
        <v>0</v>
      </c>
      <c r="N199" s="179" t="s">
        <v>0</v>
      </c>
      <c r="O199" s="179" t="s">
        <v>0</v>
      </c>
      <c r="P199" s="179" t="s">
        <v>0</v>
      </c>
      <c r="Q199" s="179" t="s">
        <v>1</v>
      </c>
      <c r="R199" s="179" t="s">
        <v>2</v>
      </c>
      <c r="S199" s="179" t="s">
        <v>0</v>
      </c>
      <c r="T199" s="179" t="s">
        <v>0</v>
      </c>
      <c r="U199" s="179" t="s">
        <v>0</v>
      </c>
      <c r="V199" s="179" t="s">
        <v>0</v>
      </c>
      <c r="W199" s="179" t="s">
        <v>0</v>
      </c>
      <c r="X199" s="179" t="s">
        <v>0</v>
      </c>
      <c r="Y199" s="179" t="s">
        <v>0</v>
      </c>
      <c r="Z199" s="179" t="s">
        <v>3</v>
      </c>
      <c r="AA199" s="179" t="s">
        <v>0</v>
      </c>
      <c r="AB199" s="179" t="s">
        <v>0</v>
      </c>
      <c r="AC199" s="179" t="s">
        <v>0</v>
      </c>
      <c r="AD199" s="179" t="s">
        <v>0</v>
      </c>
      <c r="AE199" s="179" t="s">
        <v>0</v>
      </c>
      <c r="AF199" s="179" t="s">
        <v>0</v>
      </c>
      <c r="AG199" s="179" t="s">
        <v>0</v>
      </c>
      <c r="AH199" s="179" t="s">
        <v>0</v>
      </c>
      <c r="AI199" s="179" t="s">
        <v>0</v>
      </c>
      <c r="AJ199" s="179" t="s">
        <v>0</v>
      </c>
      <c r="AK199" s="179" t="s">
        <v>0</v>
      </c>
      <c r="AL199" s="179" t="s">
        <v>0</v>
      </c>
      <c r="AM199" s="179" t="s">
        <v>0</v>
      </c>
      <c r="AN199" s="179" t="s">
        <v>0</v>
      </c>
      <c r="AO199" s="179" t="s">
        <v>0</v>
      </c>
      <c r="AP199" s="179" t="s">
        <v>0</v>
      </c>
      <c r="AQ199" s="179" t="s">
        <v>0</v>
      </c>
      <c r="AR199" s="179" t="s">
        <v>0</v>
      </c>
      <c r="AS199" s="179" t="s">
        <v>0</v>
      </c>
      <c r="AT199" s="179" t="s">
        <v>0</v>
      </c>
      <c r="AU199" s="179" t="s">
        <v>0</v>
      </c>
      <c r="AV199" s="179" t="s">
        <v>0</v>
      </c>
      <c r="AW199" s="179" t="s">
        <v>0</v>
      </c>
      <c r="AX199" s="179" t="s">
        <v>0</v>
      </c>
      <c r="AY199" s="179" t="s">
        <v>0</v>
      </c>
      <c r="AZ199" s="179" t="s">
        <v>0</v>
      </c>
      <c r="BA199" s="179" t="s">
        <v>0</v>
      </c>
      <c r="BB199" s="179" t="s">
        <v>0</v>
      </c>
      <c r="BC199" s="179" t="s">
        <v>0</v>
      </c>
      <c r="BD199" s="179" t="s">
        <v>0</v>
      </c>
      <c r="BE199" s="179" t="s">
        <v>0</v>
      </c>
      <c r="BF199" s="179" t="s">
        <v>0</v>
      </c>
      <c r="BG199" s="179" t="s">
        <v>0</v>
      </c>
      <c r="BH199" s="179" t="s">
        <v>0</v>
      </c>
      <c r="BI199" s="180" t="s">
        <v>4</v>
      </c>
      <c r="DL199">
        <f t="shared" si="750"/>
        <v>0</v>
      </c>
      <c r="DM199">
        <f t="shared" si="751"/>
        <v>0</v>
      </c>
      <c r="DN199">
        <f t="shared" si="752"/>
        <v>0</v>
      </c>
      <c r="DO199">
        <f t="shared" si="753"/>
        <v>0</v>
      </c>
      <c r="DP199">
        <f t="shared" si="754"/>
        <v>0</v>
      </c>
      <c r="DQ199">
        <f t="shared" si="755"/>
        <v>0</v>
      </c>
      <c r="DR199">
        <f t="shared" si="756"/>
        <v>0</v>
      </c>
      <c r="DS199">
        <f t="shared" si="757"/>
        <v>0</v>
      </c>
      <c r="DT199">
        <f t="shared" si="758"/>
        <v>0</v>
      </c>
      <c r="DU199">
        <f t="shared" si="759"/>
        <v>0</v>
      </c>
      <c r="DV199">
        <f t="shared" si="760"/>
        <v>0</v>
      </c>
      <c r="DW199">
        <f t="shared" si="761"/>
        <v>0</v>
      </c>
    </row>
    <row r="200" spans="1:127" x14ac:dyDescent="0.25">
      <c r="A200" s="22">
        <f t="shared" si="1074"/>
        <v>194</v>
      </c>
      <c r="B200" s="59" t="str">
        <f t="shared" si="919"/>
        <v>F0014825801</v>
      </c>
      <c r="C200" s="214" t="str">
        <f t="shared" si="920"/>
        <v>82115-0EZ80</v>
      </c>
      <c r="D200" s="58" t="e">
        <f>VLOOKUP(B200,'Timing Table'!B:G,6,0)</f>
        <v>#N/A</v>
      </c>
      <c r="E200" s="22" t="e">
        <f>VLOOKUP(B200,'Timing Table'!B:D,3,0)</f>
        <v>#N/A</v>
      </c>
      <c r="F200" s="155" t="s">
        <v>72</v>
      </c>
      <c r="G200" s="181">
        <v>4</v>
      </c>
      <c r="H200" s="196" t="s">
        <v>414</v>
      </c>
      <c r="I200" s="197" t="s">
        <v>73</v>
      </c>
      <c r="J200" s="13">
        <v>46041</v>
      </c>
      <c r="K200" s="14">
        <v>46048</v>
      </c>
      <c r="L200" s="14">
        <v>46055</v>
      </c>
      <c r="M200" s="14">
        <v>46062</v>
      </c>
      <c r="N200" s="14">
        <v>46069</v>
      </c>
      <c r="O200" s="14">
        <v>46076</v>
      </c>
      <c r="P200" s="14">
        <v>46083</v>
      </c>
      <c r="Q200" s="14">
        <v>46090</v>
      </c>
      <c r="R200" s="14">
        <v>46097</v>
      </c>
      <c r="S200" s="14">
        <v>46104</v>
      </c>
      <c r="T200" s="14">
        <v>46111</v>
      </c>
      <c r="U200" s="14">
        <v>46118</v>
      </c>
      <c r="V200" s="14">
        <v>46125</v>
      </c>
      <c r="W200" s="14">
        <v>46132</v>
      </c>
      <c r="X200" s="14">
        <v>46139</v>
      </c>
      <c r="Y200" s="14">
        <v>46146</v>
      </c>
      <c r="Z200" s="14">
        <v>46153</v>
      </c>
      <c r="AA200" s="14">
        <v>46160</v>
      </c>
      <c r="AB200" s="14">
        <v>46167</v>
      </c>
      <c r="AC200" s="14">
        <v>46174</v>
      </c>
      <c r="AD200" s="14">
        <v>46181</v>
      </c>
      <c r="AE200" s="14">
        <v>46188</v>
      </c>
      <c r="AF200" s="14">
        <v>46195</v>
      </c>
      <c r="AG200" s="14">
        <v>46202</v>
      </c>
      <c r="AH200" s="14">
        <v>46209</v>
      </c>
      <c r="AI200" s="14">
        <v>46216</v>
      </c>
      <c r="AJ200" s="14">
        <v>46223</v>
      </c>
      <c r="AK200" s="14">
        <v>46230</v>
      </c>
      <c r="AL200" s="14">
        <v>46237</v>
      </c>
      <c r="AM200" s="14">
        <v>46244</v>
      </c>
      <c r="AN200" s="14">
        <v>46251</v>
      </c>
      <c r="AO200" s="14">
        <v>46258</v>
      </c>
      <c r="AP200" s="14">
        <v>46265</v>
      </c>
      <c r="AQ200" s="14">
        <v>46272</v>
      </c>
      <c r="AR200" s="14">
        <v>46279</v>
      </c>
      <c r="AS200" s="14">
        <v>46286</v>
      </c>
      <c r="AT200" s="14">
        <v>46293</v>
      </c>
      <c r="AU200" s="14">
        <v>46300</v>
      </c>
      <c r="AV200" s="14">
        <v>46307</v>
      </c>
      <c r="AW200" s="14">
        <v>46314</v>
      </c>
      <c r="AX200" s="14">
        <v>46321</v>
      </c>
      <c r="AY200" s="14">
        <v>46328</v>
      </c>
      <c r="AZ200" s="14">
        <v>46335</v>
      </c>
      <c r="BA200" s="14">
        <v>46342</v>
      </c>
      <c r="BB200" s="14">
        <v>46349</v>
      </c>
      <c r="BC200" s="14">
        <v>46356</v>
      </c>
      <c r="BD200" s="14">
        <v>46363</v>
      </c>
      <c r="BE200" s="14">
        <v>46370</v>
      </c>
      <c r="BF200" s="14">
        <v>46377</v>
      </c>
      <c r="BG200" s="14">
        <v>46384</v>
      </c>
      <c r="BH200" s="14">
        <v>46391</v>
      </c>
      <c r="BI200" s="15">
        <v>46398</v>
      </c>
      <c r="DL200">
        <f t="shared" si="750"/>
        <v>0</v>
      </c>
      <c r="DM200">
        <f t="shared" si="751"/>
        <v>0</v>
      </c>
      <c r="DN200">
        <f t="shared" si="752"/>
        <v>0</v>
      </c>
      <c r="DO200">
        <f t="shared" si="753"/>
        <v>0</v>
      </c>
      <c r="DP200">
        <f t="shared" si="754"/>
        <v>0</v>
      </c>
      <c r="DQ200">
        <f t="shared" si="755"/>
        <v>0</v>
      </c>
      <c r="DR200">
        <f t="shared" si="756"/>
        <v>0</v>
      </c>
      <c r="DS200">
        <f t="shared" si="757"/>
        <v>0</v>
      </c>
      <c r="DT200">
        <f t="shared" si="758"/>
        <v>0</v>
      </c>
      <c r="DU200">
        <f t="shared" si="759"/>
        <v>0</v>
      </c>
      <c r="DV200">
        <f t="shared" si="760"/>
        <v>0</v>
      </c>
      <c r="DW200">
        <f t="shared" si="761"/>
        <v>0</v>
      </c>
    </row>
    <row r="201" spans="1:127" x14ac:dyDescent="0.25">
      <c r="A201" s="22">
        <f t="shared" si="1074"/>
        <v>195</v>
      </c>
      <c r="B201" s="59" t="str">
        <f t="shared" si="919"/>
        <v>F0014825801</v>
      </c>
      <c r="C201" s="214" t="str">
        <f t="shared" si="920"/>
        <v>82115-0EZ80</v>
      </c>
      <c r="D201" s="58" t="e">
        <f>VLOOKUP(B201,'Timing Table'!B:G,6,0)</f>
        <v>#N/A</v>
      </c>
      <c r="E201" s="22" t="e">
        <f>VLOOKUP(B201,'Timing Table'!B:D,3,0)</f>
        <v>#N/A</v>
      </c>
      <c r="F201" s="155" t="s">
        <v>74</v>
      </c>
      <c r="G201" s="181">
        <v>4</v>
      </c>
      <c r="H201" s="5" t="s">
        <v>60</v>
      </c>
      <c r="I201" s="11" t="s">
        <v>147</v>
      </c>
      <c r="J201" s="16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17"/>
      <c r="DL201">
        <f t="shared" si="750"/>
        <v>0</v>
      </c>
      <c r="DM201">
        <f t="shared" si="751"/>
        <v>0</v>
      </c>
      <c r="DN201">
        <f t="shared" si="752"/>
        <v>0</v>
      </c>
      <c r="DO201">
        <f t="shared" si="753"/>
        <v>0</v>
      </c>
      <c r="DP201">
        <f t="shared" si="754"/>
        <v>0</v>
      </c>
      <c r="DQ201">
        <f t="shared" si="755"/>
        <v>0</v>
      </c>
      <c r="DR201">
        <f t="shared" si="756"/>
        <v>0</v>
      </c>
      <c r="DS201">
        <f t="shared" si="757"/>
        <v>0</v>
      </c>
      <c r="DT201">
        <f t="shared" si="758"/>
        <v>0</v>
      </c>
      <c r="DU201">
        <f t="shared" si="759"/>
        <v>0</v>
      </c>
      <c r="DV201">
        <f t="shared" si="760"/>
        <v>0</v>
      </c>
      <c r="DW201">
        <f t="shared" si="761"/>
        <v>0</v>
      </c>
    </row>
    <row r="202" spans="1:127" x14ac:dyDescent="0.25">
      <c r="A202" s="22">
        <f t="shared" si="1074"/>
        <v>196</v>
      </c>
      <c r="B202" s="59" t="str">
        <f t="shared" si="919"/>
        <v>F0014825801</v>
      </c>
      <c r="C202" s="214" t="str">
        <f t="shared" si="920"/>
        <v>82115-0EZ80</v>
      </c>
      <c r="D202" s="58" t="e">
        <f>VLOOKUP(B202,'Timing Table'!B:G,6,0)</f>
        <v>#N/A</v>
      </c>
      <c r="E202" s="22" t="e">
        <f>VLOOKUP(B202,'Timing Table'!B:D,3,0)</f>
        <v>#N/A</v>
      </c>
      <c r="F202" s="155" t="s">
        <v>75</v>
      </c>
      <c r="G202" s="198" t="s">
        <v>257</v>
      </c>
      <c r="H202" s="9" t="s">
        <v>253</v>
      </c>
      <c r="I202" s="11" t="s">
        <v>76</v>
      </c>
      <c r="J202" s="143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0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0</v>
      </c>
      <c r="BD202" s="64">
        <v>0</v>
      </c>
      <c r="BE202" s="64">
        <v>0</v>
      </c>
      <c r="BF202" s="64">
        <v>0</v>
      </c>
      <c r="BG202" s="64">
        <v>0</v>
      </c>
      <c r="BH202" s="64">
        <v>0</v>
      </c>
      <c r="BI202" s="144">
        <v>0</v>
      </c>
      <c r="BJ202" s="24" t="str">
        <f>+G199</f>
        <v>82115-0EZ80</v>
      </c>
      <c r="BK202" s="24">
        <f>+J202</f>
        <v>0</v>
      </c>
      <c r="BL202" s="24">
        <f t="shared" ref="BL202" si="1075">+K202</f>
        <v>0</v>
      </c>
      <c r="BM202" s="24">
        <f t="shared" ref="BM202" si="1076">+L202</f>
        <v>0</v>
      </c>
      <c r="BN202" s="24">
        <f t="shared" ref="BN202" si="1077">+M202</f>
        <v>0</v>
      </c>
      <c r="BO202" s="24">
        <f t="shared" ref="BO202" si="1078">+N202</f>
        <v>0</v>
      </c>
      <c r="BP202" s="24">
        <f t="shared" ref="BP202" si="1079">+O202</f>
        <v>0</v>
      </c>
      <c r="BQ202" s="24">
        <f t="shared" ref="BQ202" si="1080">+P202</f>
        <v>0</v>
      </c>
      <c r="BR202" s="24">
        <f t="shared" ref="BR202" si="1081">+Q202</f>
        <v>0</v>
      </c>
      <c r="BS202" s="24">
        <f t="shared" ref="BS202" si="1082">+R202</f>
        <v>0</v>
      </c>
      <c r="BT202" s="24">
        <f t="shared" ref="BT202" si="1083">+S202</f>
        <v>0</v>
      </c>
      <c r="BU202" s="24">
        <f t="shared" ref="BU202" si="1084">+T202</f>
        <v>0</v>
      </c>
      <c r="BV202" s="24">
        <f t="shared" ref="BV202" si="1085">+U202</f>
        <v>0</v>
      </c>
      <c r="BW202" s="24">
        <f t="shared" ref="BW202" si="1086">+V202</f>
        <v>0</v>
      </c>
      <c r="BX202" s="24">
        <f t="shared" ref="BX202" si="1087">+W202</f>
        <v>0</v>
      </c>
      <c r="BY202" s="24">
        <f t="shared" ref="BY202" si="1088">+X202</f>
        <v>0</v>
      </c>
      <c r="BZ202" s="24">
        <f t="shared" ref="BZ202" si="1089">+Y202</f>
        <v>0</v>
      </c>
      <c r="CA202" s="24">
        <f t="shared" ref="CA202" si="1090">+Z202</f>
        <v>0</v>
      </c>
      <c r="CB202" s="24">
        <f t="shared" ref="CB202" si="1091">+AA202</f>
        <v>0</v>
      </c>
      <c r="CC202" s="24">
        <f t="shared" ref="CC202" si="1092">+AB202</f>
        <v>0</v>
      </c>
      <c r="CD202" s="24">
        <f t="shared" ref="CD202" si="1093">+AC202</f>
        <v>0</v>
      </c>
      <c r="CE202" s="24">
        <f t="shared" ref="CE202" si="1094">+AD202</f>
        <v>0</v>
      </c>
      <c r="CF202" s="24">
        <f t="shared" ref="CF202" si="1095">+AE202</f>
        <v>0</v>
      </c>
      <c r="CG202" s="24">
        <f t="shared" ref="CG202" si="1096">+AF202</f>
        <v>0</v>
      </c>
      <c r="CH202" s="24">
        <f t="shared" ref="CH202" si="1097">+AG202</f>
        <v>0</v>
      </c>
      <c r="CI202" s="24">
        <f t="shared" ref="CI202" si="1098">+AH202</f>
        <v>0</v>
      </c>
      <c r="CJ202" s="24">
        <f t="shared" ref="CJ202" si="1099">+AI202</f>
        <v>0</v>
      </c>
      <c r="CK202" s="24">
        <f t="shared" ref="CK202" si="1100">+AJ202</f>
        <v>0</v>
      </c>
      <c r="CL202" s="24">
        <f t="shared" ref="CL202" si="1101">+AK202</f>
        <v>0</v>
      </c>
      <c r="CM202" s="24">
        <f t="shared" ref="CM202" si="1102">+AL202</f>
        <v>0</v>
      </c>
      <c r="CN202" s="24">
        <f t="shared" ref="CN202" si="1103">+AM202</f>
        <v>0</v>
      </c>
      <c r="CO202" s="24">
        <f t="shared" ref="CO202" si="1104">+AN202</f>
        <v>0</v>
      </c>
      <c r="CP202" s="166">
        <f t="shared" ref="CP202" si="1105">+AO202</f>
        <v>0</v>
      </c>
      <c r="CQ202" s="166">
        <f t="shared" ref="CQ202" si="1106">+AP202</f>
        <v>0</v>
      </c>
      <c r="CR202">
        <f t="shared" ref="CR202" si="1107">+AQ202</f>
        <v>0</v>
      </c>
      <c r="CS202">
        <f t="shared" ref="CS202" si="1108">+AR202</f>
        <v>0</v>
      </c>
      <c r="CT202">
        <f t="shared" ref="CT202" si="1109">+AS202</f>
        <v>0</v>
      </c>
      <c r="CU202">
        <f t="shared" ref="CU202" si="1110">+AT202</f>
        <v>0</v>
      </c>
      <c r="CV202">
        <f t="shared" ref="CV202" si="1111">+AU202</f>
        <v>0</v>
      </c>
      <c r="CW202">
        <f t="shared" ref="CW202" si="1112">+AV202</f>
        <v>0</v>
      </c>
      <c r="CX202">
        <f t="shared" ref="CX202" si="1113">+AW202</f>
        <v>0</v>
      </c>
      <c r="CY202">
        <f t="shared" ref="CY202" si="1114">+AX202</f>
        <v>0</v>
      </c>
      <c r="CZ202">
        <f t="shared" ref="CZ202" si="1115">+AY202</f>
        <v>0</v>
      </c>
      <c r="DA202">
        <f t="shared" ref="DA202" si="1116">+AZ202</f>
        <v>0</v>
      </c>
      <c r="DB202">
        <f t="shared" ref="DB202" si="1117">+BA202</f>
        <v>0</v>
      </c>
      <c r="DC202">
        <f t="shared" ref="DC202" si="1118">+BB202</f>
        <v>0</v>
      </c>
      <c r="DD202">
        <f t="shared" ref="DD202" si="1119">+BC202</f>
        <v>0</v>
      </c>
      <c r="DE202">
        <f t="shared" ref="DE202" si="1120">+BD202</f>
        <v>0</v>
      </c>
      <c r="DF202">
        <f t="shared" ref="DF202" si="1121">+BE202</f>
        <v>0</v>
      </c>
      <c r="DG202">
        <f t="shared" ref="DG202" si="1122">+BF202</f>
        <v>0</v>
      </c>
      <c r="DH202">
        <f t="shared" ref="DH202" si="1123">+BG202</f>
        <v>0</v>
      </c>
      <c r="DI202">
        <f t="shared" ref="DI202" si="1124">+BH202</f>
        <v>0</v>
      </c>
      <c r="DJ202">
        <f t="shared" ref="DJ202" si="1125">+BI202</f>
        <v>0</v>
      </c>
      <c r="DL202" s="24">
        <f t="shared" si="750"/>
        <v>0</v>
      </c>
      <c r="DM202" s="24">
        <f t="shared" si="751"/>
        <v>0</v>
      </c>
      <c r="DN202" s="24">
        <f t="shared" si="752"/>
        <v>0</v>
      </c>
      <c r="DO202" s="24">
        <f t="shared" si="753"/>
        <v>0</v>
      </c>
      <c r="DP202" s="24">
        <f t="shared" si="754"/>
        <v>0</v>
      </c>
      <c r="DQ202" s="24">
        <f t="shared" si="755"/>
        <v>0</v>
      </c>
      <c r="DR202" s="24">
        <f t="shared" si="756"/>
        <v>0</v>
      </c>
      <c r="DS202" s="24">
        <f t="shared" si="757"/>
        <v>0</v>
      </c>
      <c r="DT202" s="24">
        <f t="shared" si="758"/>
        <v>0</v>
      </c>
      <c r="DU202">
        <f t="shared" si="759"/>
        <v>0</v>
      </c>
      <c r="DV202">
        <f t="shared" si="760"/>
        <v>0</v>
      </c>
      <c r="DW202">
        <f t="shared" si="761"/>
        <v>0</v>
      </c>
    </row>
    <row r="203" spans="1:127" x14ac:dyDescent="0.25">
      <c r="A203" s="22">
        <f t="shared" si="1074"/>
        <v>197</v>
      </c>
      <c r="B203" s="59" t="str">
        <f t="shared" si="919"/>
        <v>F0014825801</v>
      </c>
      <c r="C203" s="214" t="str">
        <f t="shared" si="920"/>
        <v>82115-0EZ80</v>
      </c>
      <c r="D203" s="58" t="e">
        <f>VLOOKUP(B203,'Timing Table'!B:G,6,0)</f>
        <v>#N/A</v>
      </c>
      <c r="E203" s="22" t="e">
        <f>VLOOKUP(B203,'Timing Table'!B:D,3,0)</f>
        <v>#N/A</v>
      </c>
      <c r="F203" s="155" t="s">
        <v>77</v>
      </c>
      <c r="G203" s="181">
        <v>82115</v>
      </c>
      <c r="H203" s="10" t="s">
        <v>253</v>
      </c>
      <c r="I203" s="12" t="s">
        <v>78</v>
      </c>
      <c r="J203" s="152">
        <v>4</v>
      </c>
      <c r="K203" s="153">
        <v>4</v>
      </c>
      <c r="L203" s="153">
        <v>4</v>
      </c>
      <c r="M203" s="153">
        <v>4</v>
      </c>
      <c r="N203" s="153">
        <v>4</v>
      </c>
      <c r="O203" s="153">
        <v>4</v>
      </c>
      <c r="P203" s="153">
        <v>4</v>
      </c>
      <c r="Q203" s="153">
        <v>4</v>
      </c>
      <c r="R203" s="153">
        <v>4</v>
      </c>
      <c r="S203" s="153">
        <v>4</v>
      </c>
      <c r="T203" s="153">
        <v>4</v>
      </c>
      <c r="U203" s="153">
        <v>4</v>
      </c>
      <c r="V203" s="153">
        <v>4</v>
      </c>
      <c r="W203" s="153">
        <v>4</v>
      </c>
      <c r="X203" s="153">
        <v>4</v>
      </c>
      <c r="Y203" s="153">
        <v>4</v>
      </c>
      <c r="Z203" s="153">
        <v>4</v>
      </c>
      <c r="AA203" s="153">
        <v>4</v>
      </c>
      <c r="AB203" s="153">
        <v>4</v>
      </c>
      <c r="AC203" s="153">
        <v>4</v>
      </c>
      <c r="AD203" s="153">
        <v>4</v>
      </c>
      <c r="AE203" s="153">
        <v>4</v>
      </c>
      <c r="AF203" s="153">
        <v>4</v>
      </c>
      <c r="AG203" s="153">
        <v>4</v>
      </c>
      <c r="AH203" s="153">
        <v>4</v>
      </c>
      <c r="AI203" s="153">
        <v>4</v>
      </c>
      <c r="AJ203" s="153">
        <v>4</v>
      </c>
      <c r="AK203" s="153">
        <v>4</v>
      </c>
      <c r="AL203" s="153">
        <v>4</v>
      </c>
      <c r="AM203" s="153">
        <v>4</v>
      </c>
      <c r="AN203" s="153">
        <v>4</v>
      </c>
      <c r="AO203" s="153">
        <v>4</v>
      </c>
      <c r="AP203" s="153">
        <v>4</v>
      </c>
      <c r="AQ203" s="153">
        <v>4</v>
      </c>
      <c r="AR203" s="153">
        <v>4</v>
      </c>
      <c r="AS203" s="153">
        <v>4</v>
      </c>
      <c r="AT203" s="153">
        <v>4</v>
      </c>
      <c r="AU203" s="153">
        <v>4</v>
      </c>
      <c r="AV203" s="153">
        <v>4</v>
      </c>
      <c r="AW203" s="153">
        <v>4</v>
      </c>
      <c r="AX203" s="153">
        <v>4</v>
      </c>
      <c r="AY203" s="153">
        <v>4</v>
      </c>
      <c r="AZ203" s="153">
        <v>4</v>
      </c>
      <c r="BA203" s="153">
        <v>4</v>
      </c>
      <c r="BB203" s="153">
        <v>4</v>
      </c>
      <c r="BC203" s="153">
        <v>4</v>
      </c>
      <c r="BD203" s="153">
        <v>4</v>
      </c>
      <c r="BE203" s="153">
        <v>4</v>
      </c>
      <c r="BF203" s="153">
        <v>4</v>
      </c>
      <c r="BG203" s="153">
        <v>4</v>
      </c>
      <c r="BH203" s="153">
        <v>4</v>
      </c>
      <c r="BI203" s="153">
        <v>4</v>
      </c>
      <c r="DL203">
        <f t="shared" si="750"/>
        <v>0</v>
      </c>
      <c r="DM203">
        <f t="shared" si="751"/>
        <v>0</v>
      </c>
      <c r="DN203">
        <f t="shared" si="752"/>
        <v>0</v>
      </c>
      <c r="DO203">
        <f t="shared" si="753"/>
        <v>0</v>
      </c>
      <c r="DP203">
        <f t="shared" si="754"/>
        <v>0</v>
      </c>
      <c r="DQ203">
        <f t="shared" si="755"/>
        <v>0</v>
      </c>
      <c r="DR203">
        <f t="shared" si="756"/>
        <v>0</v>
      </c>
      <c r="DS203">
        <f t="shared" si="757"/>
        <v>0</v>
      </c>
      <c r="DT203">
        <f t="shared" si="758"/>
        <v>0</v>
      </c>
      <c r="DU203">
        <f t="shared" si="759"/>
        <v>0</v>
      </c>
      <c r="DV203">
        <f t="shared" si="760"/>
        <v>0</v>
      </c>
      <c r="DW203">
        <f t="shared" si="761"/>
        <v>0</v>
      </c>
    </row>
    <row r="204" spans="1:127" x14ac:dyDescent="0.25">
      <c r="A204" s="22">
        <f t="shared" si="1074"/>
        <v>198</v>
      </c>
      <c r="B204" s="59" t="str">
        <f t="shared" si="919"/>
        <v>F0014825801</v>
      </c>
      <c r="C204" s="214" t="str">
        <f t="shared" si="920"/>
        <v>82115-0EZ80</v>
      </c>
      <c r="D204" s="58" t="e">
        <f>VLOOKUP(B204,'Timing Table'!B:G,6,0)</f>
        <v>#N/A</v>
      </c>
      <c r="E204" s="22" t="e">
        <f>VLOOKUP(B204,'Timing Table'!B:D,3,0)</f>
        <v>#N/A</v>
      </c>
      <c r="F204" s="155" t="s">
        <v>79</v>
      </c>
      <c r="G204" s="199">
        <v>4</v>
      </c>
      <c r="H204" s="184" t="s">
        <v>80</v>
      </c>
      <c r="I204" s="185"/>
      <c r="J204" s="200" t="s">
        <v>310</v>
      </c>
      <c r="K204" s="156"/>
      <c r="L204" s="157" t="s">
        <v>0</v>
      </c>
      <c r="M204" s="157" t="s">
        <v>0</v>
      </c>
      <c r="N204" s="157" t="s">
        <v>0</v>
      </c>
      <c r="O204" s="157" t="s">
        <v>0</v>
      </c>
      <c r="P204" s="157" t="s">
        <v>0</v>
      </c>
      <c r="Q204" s="157" t="s">
        <v>0</v>
      </c>
      <c r="R204" s="157" t="s">
        <v>0</v>
      </c>
      <c r="S204" s="157" t="s">
        <v>0</v>
      </c>
      <c r="T204" s="157" t="s">
        <v>0</v>
      </c>
      <c r="U204" s="157" t="s">
        <v>0</v>
      </c>
      <c r="V204" s="157" t="s">
        <v>0</v>
      </c>
      <c r="W204" s="157" t="s">
        <v>0</v>
      </c>
      <c r="X204" s="157" t="s">
        <v>0</v>
      </c>
      <c r="Y204" s="157" t="s">
        <v>0</v>
      </c>
      <c r="Z204" s="157" t="s">
        <v>0</v>
      </c>
      <c r="AA204" s="157" t="s">
        <v>0</v>
      </c>
      <c r="AB204" s="157" t="s">
        <v>0</v>
      </c>
      <c r="AC204" s="157" t="s">
        <v>0</v>
      </c>
      <c r="AD204" s="157" t="s">
        <v>0</v>
      </c>
      <c r="AE204" s="157" t="s">
        <v>0</v>
      </c>
      <c r="AF204" s="157" t="s">
        <v>0</v>
      </c>
      <c r="AG204" s="157" t="s">
        <v>0</v>
      </c>
      <c r="AH204" s="157" t="s">
        <v>0</v>
      </c>
      <c r="AI204" s="157" t="s">
        <v>0</v>
      </c>
      <c r="AJ204" s="157" t="s">
        <v>0</v>
      </c>
      <c r="AK204" s="157" t="s">
        <v>0</v>
      </c>
      <c r="AL204" s="157" t="s">
        <v>0</v>
      </c>
      <c r="AM204" s="157" t="s">
        <v>0</v>
      </c>
      <c r="AN204" s="157" t="s">
        <v>0</v>
      </c>
      <c r="AO204" s="157" t="s">
        <v>0</v>
      </c>
      <c r="AP204" s="157" t="s">
        <v>0</v>
      </c>
      <c r="AQ204" s="157" t="s">
        <v>0</v>
      </c>
      <c r="AR204" s="157" t="s">
        <v>0</v>
      </c>
      <c r="AS204" s="157" t="s">
        <v>0</v>
      </c>
      <c r="AT204" s="157" t="s">
        <v>0</v>
      </c>
      <c r="AU204" s="157" t="s">
        <v>0</v>
      </c>
      <c r="AV204" s="157" t="s">
        <v>0</v>
      </c>
      <c r="AW204" s="157" t="s">
        <v>0</v>
      </c>
      <c r="AX204" s="157" t="s">
        <v>0</v>
      </c>
      <c r="AY204" s="157" t="s">
        <v>0</v>
      </c>
      <c r="AZ204" s="157" t="s">
        <v>0</v>
      </c>
      <c r="BA204" s="157" t="s">
        <v>0</v>
      </c>
      <c r="BB204" s="157" t="s">
        <v>0</v>
      </c>
      <c r="BC204" s="157" t="s">
        <v>0</v>
      </c>
      <c r="BD204" s="157" t="s">
        <v>0</v>
      </c>
      <c r="BE204" s="157" t="s">
        <v>0</v>
      </c>
      <c r="BF204" s="157" t="s">
        <v>0</v>
      </c>
      <c r="BG204" s="157" t="s">
        <v>0</v>
      </c>
      <c r="BH204" s="157" t="s">
        <v>0</v>
      </c>
      <c r="BI204" s="158"/>
      <c r="DL204">
        <f t="shared" si="750"/>
        <v>0</v>
      </c>
      <c r="DM204">
        <f t="shared" si="751"/>
        <v>0</v>
      </c>
      <c r="DN204">
        <f t="shared" si="752"/>
        <v>0</v>
      </c>
      <c r="DO204">
        <f t="shared" si="753"/>
        <v>0</v>
      </c>
      <c r="DP204">
        <f t="shared" si="754"/>
        <v>0</v>
      </c>
      <c r="DQ204">
        <f t="shared" si="755"/>
        <v>0</v>
      </c>
      <c r="DR204">
        <f t="shared" si="756"/>
        <v>0</v>
      </c>
      <c r="DS204">
        <f t="shared" si="757"/>
        <v>0</v>
      </c>
      <c r="DT204">
        <f t="shared" si="758"/>
        <v>0</v>
      </c>
      <c r="DU204">
        <f t="shared" si="759"/>
        <v>0</v>
      </c>
      <c r="DV204">
        <f t="shared" si="760"/>
        <v>0</v>
      </c>
      <c r="DW204">
        <f t="shared" si="761"/>
        <v>0</v>
      </c>
    </row>
    <row r="205" spans="1:127" x14ac:dyDescent="0.25">
      <c r="A205" s="22">
        <f t="shared" si="1074"/>
        <v>199</v>
      </c>
      <c r="B205" s="59" t="str">
        <f t="shared" si="919"/>
        <v>F0014825801</v>
      </c>
      <c r="C205" s="214" t="str">
        <f t="shared" si="920"/>
        <v>82115-0EZ80</v>
      </c>
      <c r="D205" s="58" t="e">
        <f>VLOOKUP(B205,'Timing Table'!B:G,6,0)</f>
        <v>#N/A</v>
      </c>
      <c r="E205" s="22" t="e">
        <f>VLOOKUP(B205,'Timing Table'!B:D,3,0)</f>
        <v>#N/A</v>
      </c>
      <c r="F205" s="159" t="s">
        <v>81</v>
      </c>
      <c r="G205" s="160" t="s">
        <v>60</v>
      </c>
      <c r="H205" s="201" t="s">
        <v>60</v>
      </c>
      <c r="I205" s="183" t="s">
        <v>60</v>
      </c>
      <c r="J205" s="183" t="s">
        <v>0</v>
      </c>
      <c r="K205" s="183" t="s">
        <v>0</v>
      </c>
      <c r="L205" s="183" t="s">
        <v>0</v>
      </c>
      <c r="M205" s="183" t="s">
        <v>0</v>
      </c>
      <c r="N205" s="183" t="s">
        <v>0</v>
      </c>
      <c r="O205" s="183" t="s">
        <v>0</v>
      </c>
      <c r="P205" s="183" t="s">
        <v>0</v>
      </c>
      <c r="Q205" s="183" t="s">
        <v>0</v>
      </c>
      <c r="R205" s="183" t="s">
        <v>0</v>
      </c>
      <c r="S205" s="183" t="s">
        <v>0</v>
      </c>
      <c r="T205" s="183" t="s">
        <v>0</v>
      </c>
      <c r="U205" s="183" t="s">
        <v>0</v>
      </c>
      <c r="V205" s="183" t="s">
        <v>0</v>
      </c>
      <c r="W205" s="183" t="s">
        <v>0</v>
      </c>
      <c r="X205" s="183" t="s">
        <v>0</v>
      </c>
      <c r="Y205" s="183" t="s">
        <v>0</v>
      </c>
      <c r="Z205" s="183" t="s">
        <v>0</v>
      </c>
      <c r="AA205" s="183" t="s">
        <v>0</v>
      </c>
      <c r="AB205" s="183" t="s">
        <v>0</v>
      </c>
      <c r="AC205" s="183" t="s">
        <v>0</v>
      </c>
      <c r="AD205" s="183" t="s">
        <v>0</v>
      </c>
      <c r="AE205" s="183" t="s">
        <v>0</v>
      </c>
      <c r="AF205" s="183" t="s">
        <v>0</v>
      </c>
      <c r="AG205" s="183" t="s">
        <v>0</v>
      </c>
      <c r="AH205" s="183" t="s">
        <v>0</v>
      </c>
      <c r="AI205" s="183" t="s">
        <v>0</v>
      </c>
      <c r="AJ205" s="183" t="s">
        <v>0</v>
      </c>
      <c r="AK205" s="183" t="s">
        <v>0</v>
      </c>
      <c r="AL205" s="183" t="s">
        <v>0</v>
      </c>
      <c r="AM205" s="183" t="s">
        <v>0</v>
      </c>
      <c r="AN205" s="183" t="s">
        <v>0</v>
      </c>
      <c r="AO205" s="183" t="s">
        <v>0</v>
      </c>
      <c r="AP205" s="183" t="s">
        <v>0</v>
      </c>
      <c r="AQ205" s="183" t="s">
        <v>0</v>
      </c>
      <c r="AR205" s="183" t="s">
        <v>0</v>
      </c>
      <c r="AS205" s="183" t="s">
        <v>0</v>
      </c>
      <c r="AT205" s="183" t="s">
        <v>0</v>
      </c>
      <c r="AU205" s="183" t="s">
        <v>0</v>
      </c>
      <c r="AV205" s="183" t="s">
        <v>0</v>
      </c>
      <c r="AW205" s="183" t="s">
        <v>0</v>
      </c>
      <c r="AX205" s="183" t="s">
        <v>0</v>
      </c>
      <c r="AY205" s="183" t="s">
        <v>0</v>
      </c>
      <c r="AZ205" s="183" t="s">
        <v>0</v>
      </c>
      <c r="BA205" s="183" t="s">
        <v>0</v>
      </c>
      <c r="BB205" s="183" t="s">
        <v>0</v>
      </c>
      <c r="BC205" s="183" t="s">
        <v>0</v>
      </c>
      <c r="BD205" s="183" t="s">
        <v>0</v>
      </c>
      <c r="BE205" s="183" t="s">
        <v>0</v>
      </c>
      <c r="BF205" s="183" t="s">
        <v>0</v>
      </c>
      <c r="BG205" s="183" t="s">
        <v>0</v>
      </c>
      <c r="BH205" s="183" t="s">
        <v>0</v>
      </c>
      <c r="BI205" s="161"/>
      <c r="DL205">
        <f t="shared" ref="DL205:DL268" si="1126">SUM(BK205:BL205)</f>
        <v>0</v>
      </c>
      <c r="DM205">
        <f t="shared" ref="DM205:DM268" si="1127">SUM(BM205:BP205)</f>
        <v>0</v>
      </c>
      <c r="DN205">
        <f t="shared" ref="DN205:DN268" si="1128">SUM(BQ205:BT205)</f>
        <v>0</v>
      </c>
      <c r="DO205">
        <f t="shared" ref="DO205:DO268" si="1129">SUM(BU205:BY205)</f>
        <v>0</v>
      </c>
      <c r="DP205">
        <f t="shared" ref="DP205:DP268" si="1130">SUM(BZ205:CC205)</f>
        <v>0</v>
      </c>
      <c r="DQ205">
        <f t="shared" ref="DQ205:DQ268" si="1131">SUM(CD205:CG205)</f>
        <v>0</v>
      </c>
      <c r="DR205">
        <f t="shared" ref="DR205:DR268" si="1132">SUM(CH205:CL205)</f>
        <v>0</v>
      </c>
      <c r="DS205">
        <f t="shared" ref="DS205:DS268" si="1133">SUM(CM205:CP205)</f>
        <v>0</v>
      </c>
      <c r="DT205">
        <f t="shared" ref="DT205:DT268" si="1134">SUM(CQ205:CU205)</f>
        <v>0</v>
      </c>
      <c r="DU205">
        <f t="shared" ref="DU205:DU268" si="1135">SUM(CV205:CY205)</f>
        <v>0</v>
      </c>
      <c r="DV205">
        <f t="shared" ref="DV205:DV268" si="1136">SUM(CZ205:DC205)</f>
        <v>0</v>
      </c>
      <c r="DW205">
        <f t="shared" ref="DW205:DW268" si="1137">SUM(DD205:DH205)</f>
        <v>0</v>
      </c>
    </row>
    <row r="206" spans="1:127" x14ac:dyDescent="0.25">
      <c r="A206" s="22">
        <f t="shared" si="1074"/>
        <v>200</v>
      </c>
      <c r="B206" s="59" t="str">
        <f t="shared" si="919"/>
        <v>F0014825801</v>
      </c>
      <c r="C206" s="214" t="str">
        <f t="shared" si="920"/>
        <v>82115-0EZ80</v>
      </c>
      <c r="D206" s="58" t="e">
        <f>VLOOKUP(B206,'Timing Table'!B:G,6,0)</f>
        <v>#N/A</v>
      </c>
      <c r="E206" s="22" t="e">
        <f>VLOOKUP(B206,'Timing Table'!B:D,3,0)</f>
        <v>#N/A</v>
      </c>
      <c r="F206" s="188" t="s">
        <v>60</v>
      </c>
      <c r="G206" s="162" t="s">
        <v>60</v>
      </c>
      <c r="H206" s="163" t="s">
        <v>60</v>
      </c>
      <c r="I206" s="164" t="s">
        <v>60</v>
      </c>
      <c r="J206" s="164" t="s">
        <v>0</v>
      </c>
      <c r="K206" s="164" t="s">
        <v>0</v>
      </c>
      <c r="L206" s="164" t="s">
        <v>0</v>
      </c>
      <c r="M206" s="164" t="s">
        <v>0</v>
      </c>
      <c r="N206" s="164" t="s">
        <v>0</v>
      </c>
      <c r="O206" s="164" t="s">
        <v>0</v>
      </c>
      <c r="P206" s="164" t="s">
        <v>0</v>
      </c>
      <c r="Q206" s="164" t="s">
        <v>0</v>
      </c>
      <c r="R206" s="164" t="s">
        <v>0</v>
      </c>
      <c r="S206" s="164" t="s">
        <v>0</v>
      </c>
      <c r="T206" s="164" t="s">
        <v>0</v>
      </c>
      <c r="U206" s="164" t="s">
        <v>0</v>
      </c>
      <c r="V206" s="164" t="s">
        <v>0</v>
      </c>
      <c r="W206" s="164" t="s">
        <v>0</v>
      </c>
      <c r="X206" s="164" t="s">
        <v>0</v>
      </c>
      <c r="Y206" s="164" t="s">
        <v>0</v>
      </c>
      <c r="Z206" s="164" t="s">
        <v>0</v>
      </c>
      <c r="AA206" s="164" t="s">
        <v>0</v>
      </c>
      <c r="AB206" s="164" t="s">
        <v>0</v>
      </c>
      <c r="AC206" s="164" t="s">
        <v>0</v>
      </c>
      <c r="AD206" s="164" t="s">
        <v>0</v>
      </c>
      <c r="AE206" s="164" t="s">
        <v>0</v>
      </c>
      <c r="AF206" s="164" t="s">
        <v>0</v>
      </c>
      <c r="AG206" s="164" t="s">
        <v>0</v>
      </c>
      <c r="AH206" s="164" t="s">
        <v>0</v>
      </c>
      <c r="AI206" s="164" t="s">
        <v>0</v>
      </c>
      <c r="AJ206" s="164" t="s">
        <v>0</v>
      </c>
      <c r="AK206" s="164" t="s">
        <v>0</v>
      </c>
      <c r="AL206" s="164" t="s">
        <v>0</v>
      </c>
      <c r="AM206" s="164" t="s">
        <v>0</v>
      </c>
      <c r="AN206" s="164" t="s">
        <v>0</v>
      </c>
      <c r="AO206" s="164" t="s">
        <v>0</v>
      </c>
      <c r="AP206" s="164" t="s">
        <v>0</v>
      </c>
      <c r="AQ206" s="164" t="s">
        <v>0</v>
      </c>
      <c r="AR206" s="164" t="s">
        <v>0</v>
      </c>
      <c r="AS206" s="164" t="s">
        <v>0</v>
      </c>
      <c r="AT206" s="164" t="s">
        <v>0</v>
      </c>
      <c r="AU206" s="164" t="s">
        <v>0</v>
      </c>
      <c r="AV206" s="164" t="s">
        <v>0</v>
      </c>
      <c r="AW206" s="164" t="s">
        <v>0</v>
      </c>
      <c r="AX206" s="164" t="s">
        <v>0</v>
      </c>
      <c r="AY206" s="164" t="s">
        <v>0</v>
      </c>
      <c r="AZ206" s="164" t="s">
        <v>0</v>
      </c>
      <c r="BA206" s="164" t="s">
        <v>0</v>
      </c>
      <c r="BB206" s="164" t="s">
        <v>0</v>
      </c>
      <c r="BC206" s="164" t="s">
        <v>0</v>
      </c>
      <c r="BD206" s="164" t="s">
        <v>0</v>
      </c>
      <c r="BE206" s="164" t="s">
        <v>0</v>
      </c>
      <c r="BF206" s="164" t="s">
        <v>0</v>
      </c>
      <c r="BG206" s="164" t="s">
        <v>0</v>
      </c>
      <c r="BH206" s="164" t="s">
        <v>0</v>
      </c>
      <c r="BI206" s="189"/>
      <c r="DL206">
        <f t="shared" si="1126"/>
        <v>0</v>
      </c>
      <c r="DM206">
        <f t="shared" si="1127"/>
        <v>0</v>
      </c>
      <c r="DN206">
        <f t="shared" si="1128"/>
        <v>0</v>
      </c>
      <c r="DO206">
        <f t="shared" si="1129"/>
        <v>0</v>
      </c>
      <c r="DP206">
        <f t="shared" si="1130"/>
        <v>0</v>
      </c>
      <c r="DQ206">
        <f t="shared" si="1131"/>
        <v>0</v>
      </c>
      <c r="DR206">
        <f t="shared" si="1132"/>
        <v>0</v>
      </c>
      <c r="DS206">
        <f t="shared" si="1133"/>
        <v>0</v>
      </c>
      <c r="DT206">
        <f t="shared" si="1134"/>
        <v>0</v>
      </c>
      <c r="DU206">
        <f t="shared" si="1135"/>
        <v>0</v>
      </c>
      <c r="DV206">
        <f t="shared" si="1136"/>
        <v>0</v>
      </c>
      <c r="DW206">
        <f t="shared" si="1137"/>
        <v>0</v>
      </c>
    </row>
    <row r="207" spans="1:127" x14ac:dyDescent="0.25">
      <c r="A207" s="22">
        <f t="shared" si="1074"/>
        <v>201</v>
      </c>
      <c r="B207" s="59" t="str">
        <f t="shared" si="919"/>
        <v>F0014825803</v>
      </c>
      <c r="C207" s="214" t="str">
        <f t="shared" si="920"/>
        <v>82115-0EZ80 B</v>
      </c>
      <c r="D207" s="58" t="e">
        <f>VLOOKUP(B207,'Timing Table'!B:G,6,0)</f>
        <v>#N/A</v>
      </c>
      <c r="E207" s="22" t="e">
        <f>VLOOKUP(B207,'Timing Table'!B:D,3,0)</f>
        <v>#N/A</v>
      </c>
      <c r="F207" s="155" t="s">
        <v>61</v>
      </c>
      <c r="G207" s="181">
        <v>5501017979</v>
      </c>
      <c r="H207" s="155" t="s">
        <v>62</v>
      </c>
      <c r="I207" s="181">
        <v>91</v>
      </c>
      <c r="J207" s="155" t="s">
        <v>63</v>
      </c>
      <c r="K207" s="160">
        <v>1177766</v>
      </c>
      <c r="L207" s="161"/>
      <c r="M207" s="190" t="s">
        <v>64</v>
      </c>
      <c r="N207" s="191"/>
      <c r="O207" s="192">
        <v>46086</v>
      </c>
      <c r="P207" s="155" t="s">
        <v>65</v>
      </c>
      <c r="Q207" s="181">
        <v>4</v>
      </c>
      <c r="R207" s="6" t="s">
        <v>0</v>
      </c>
      <c r="S207" s="7" t="s">
        <v>0</v>
      </c>
      <c r="T207" s="7" t="s">
        <v>0</v>
      </c>
      <c r="U207" s="7" t="s">
        <v>0</v>
      </c>
      <c r="V207" s="7" t="s">
        <v>0</v>
      </c>
      <c r="W207" s="7" t="s">
        <v>0</v>
      </c>
      <c r="X207" s="7" t="s">
        <v>0</v>
      </c>
      <c r="Y207" s="7" t="s">
        <v>0</v>
      </c>
      <c r="Z207" s="7" t="s">
        <v>0</v>
      </c>
      <c r="AA207" s="7" t="s">
        <v>0</v>
      </c>
      <c r="AB207" s="7" t="s">
        <v>0</v>
      </c>
      <c r="AC207" s="7" t="s">
        <v>0</v>
      </c>
      <c r="AD207" s="7" t="s">
        <v>0</v>
      </c>
      <c r="AE207" s="7" t="s">
        <v>0</v>
      </c>
      <c r="AF207" s="7" t="s">
        <v>0</v>
      </c>
      <c r="AG207" s="7" t="s">
        <v>0</v>
      </c>
      <c r="AH207" s="7" t="s">
        <v>0</v>
      </c>
      <c r="AI207" s="7" t="s">
        <v>0</v>
      </c>
      <c r="AJ207" s="7" t="s">
        <v>0</v>
      </c>
      <c r="AK207" s="7" t="s">
        <v>0</v>
      </c>
      <c r="AL207" s="7" t="s">
        <v>0</v>
      </c>
      <c r="AM207" s="7" t="s">
        <v>0</v>
      </c>
      <c r="AN207" s="7" t="s">
        <v>0</v>
      </c>
      <c r="AO207" s="7" t="s">
        <v>0</v>
      </c>
      <c r="AP207" s="7" t="s">
        <v>0</v>
      </c>
      <c r="AQ207" s="7" t="s">
        <v>0</v>
      </c>
      <c r="AR207" s="7" t="s">
        <v>0</v>
      </c>
      <c r="AS207" s="7" t="s">
        <v>0</v>
      </c>
      <c r="AT207" s="7" t="s">
        <v>0</v>
      </c>
      <c r="AU207" s="7" t="s">
        <v>0</v>
      </c>
      <c r="AV207" s="7" t="s">
        <v>0</v>
      </c>
      <c r="AW207" s="7" t="s">
        <v>0</v>
      </c>
      <c r="AX207" s="7" t="s">
        <v>0</v>
      </c>
      <c r="AY207" s="7" t="s">
        <v>0</v>
      </c>
      <c r="AZ207" s="7" t="s">
        <v>0</v>
      </c>
      <c r="BA207" s="7" t="s">
        <v>0</v>
      </c>
      <c r="BB207" s="7" t="s">
        <v>0</v>
      </c>
      <c r="BC207" s="7" t="s">
        <v>0</v>
      </c>
      <c r="BD207" s="7" t="s">
        <v>0</v>
      </c>
      <c r="BE207" s="7" t="s">
        <v>0</v>
      </c>
      <c r="BF207" s="7" t="s">
        <v>0</v>
      </c>
      <c r="BG207" s="7" t="s">
        <v>0</v>
      </c>
      <c r="BH207" s="7" t="s">
        <v>0</v>
      </c>
      <c r="BI207" s="8"/>
      <c r="DL207">
        <f t="shared" si="1126"/>
        <v>0</v>
      </c>
      <c r="DM207">
        <f t="shared" si="1127"/>
        <v>0</v>
      </c>
      <c r="DN207">
        <f t="shared" si="1128"/>
        <v>0</v>
      </c>
      <c r="DO207">
        <f t="shared" si="1129"/>
        <v>0</v>
      </c>
      <c r="DP207">
        <f t="shared" si="1130"/>
        <v>0</v>
      </c>
      <c r="DQ207">
        <f t="shared" si="1131"/>
        <v>0</v>
      </c>
      <c r="DR207">
        <f t="shared" si="1132"/>
        <v>0</v>
      </c>
      <c r="DS207">
        <f t="shared" si="1133"/>
        <v>0</v>
      </c>
      <c r="DT207">
        <f t="shared" si="1134"/>
        <v>0</v>
      </c>
      <c r="DU207">
        <f t="shared" si="1135"/>
        <v>0</v>
      </c>
      <c r="DV207">
        <f t="shared" si="1136"/>
        <v>0</v>
      </c>
      <c r="DW207">
        <f t="shared" si="1137"/>
        <v>0</v>
      </c>
    </row>
    <row r="208" spans="1:127" x14ac:dyDescent="0.25">
      <c r="A208" s="22">
        <f t="shared" si="1074"/>
        <v>202</v>
      </c>
      <c r="B208" s="59" t="str">
        <f t="shared" si="919"/>
        <v>F0014825803</v>
      </c>
      <c r="C208" s="214" t="str">
        <f t="shared" si="920"/>
        <v>82115-0EZ80 B</v>
      </c>
      <c r="D208" s="58" t="e">
        <f>VLOOKUP(B208,'Timing Table'!B:G,6,0)</f>
        <v>#N/A</v>
      </c>
      <c r="E208" s="22" t="e">
        <f>VLOOKUP(B208,'Timing Table'!B:D,3,0)</f>
        <v>#N/A</v>
      </c>
      <c r="F208" s="155" t="s">
        <v>66</v>
      </c>
      <c r="G208" s="181" t="s">
        <v>340</v>
      </c>
      <c r="H208" s="155" t="s">
        <v>67</v>
      </c>
      <c r="I208" s="182" t="s">
        <v>341</v>
      </c>
      <c r="J208" s="183"/>
      <c r="K208" s="183"/>
      <c r="L208" s="161"/>
      <c r="M208" s="155" t="s">
        <v>68</v>
      </c>
      <c r="N208" s="181">
        <v>2025</v>
      </c>
      <c r="O208" s="184" t="s">
        <v>69</v>
      </c>
      <c r="P208" s="185"/>
      <c r="Q208" s="193" t="s">
        <v>342</v>
      </c>
      <c r="R208" s="156" t="s">
        <v>0</v>
      </c>
      <c r="S208" s="157" t="s">
        <v>0</v>
      </c>
      <c r="T208" s="157" t="s">
        <v>0</v>
      </c>
      <c r="U208" s="157" t="s">
        <v>0</v>
      </c>
      <c r="V208" s="157" t="s">
        <v>0</v>
      </c>
      <c r="W208" s="157" t="s">
        <v>0</v>
      </c>
      <c r="X208" s="157" t="s">
        <v>0</v>
      </c>
      <c r="Y208" s="157" t="s">
        <v>0</v>
      </c>
      <c r="Z208" s="157" t="s">
        <v>0</v>
      </c>
      <c r="AA208" s="157" t="s">
        <v>0</v>
      </c>
      <c r="AB208" s="157" t="s">
        <v>0</v>
      </c>
      <c r="AC208" s="157" t="s">
        <v>0</v>
      </c>
      <c r="AD208" s="157" t="s">
        <v>0</v>
      </c>
      <c r="AE208" s="157" t="s">
        <v>0</v>
      </c>
      <c r="AF208" s="157" t="s">
        <v>0</v>
      </c>
      <c r="AG208" s="157" t="s">
        <v>0</v>
      </c>
      <c r="AH208" s="157" t="s">
        <v>0</v>
      </c>
      <c r="AI208" s="157" t="s">
        <v>0</v>
      </c>
      <c r="AJ208" s="157" t="s">
        <v>0</v>
      </c>
      <c r="AK208" s="157" t="s">
        <v>0</v>
      </c>
      <c r="AL208" s="157" t="s">
        <v>0</v>
      </c>
      <c r="AM208" s="157" t="s">
        <v>0</v>
      </c>
      <c r="AN208" s="157" t="s">
        <v>0</v>
      </c>
      <c r="AO208" s="157" t="s">
        <v>0</v>
      </c>
      <c r="AP208" s="157" t="s">
        <v>0</v>
      </c>
      <c r="AQ208" s="157" t="s">
        <v>0</v>
      </c>
      <c r="AR208" s="157" t="s">
        <v>0</v>
      </c>
      <c r="AS208" s="157" t="s">
        <v>0</v>
      </c>
      <c r="AT208" s="157" t="s">
        <v>0</v>
      </c>
      <c r="AU208" s="157" t="s">
        <v>0</v>
      </c>
      <c r="AV208" s="157" t="s">
        <v>0</v>
      </c>
      <c r="AW208" s="157" t="s">
        <v>0</v>
      </c>
      <c r="AX208" s="157" t="s">
        <v>0</v>
      </c>
      <c r="AY208" s="157" t="s">
        <v>0</v>
      </c>
      <c r="AZ208" s="157" t="s">
        <v>0</v>
      </c>
      <c r="BA208" s="157" t="s">
        <v>0</v>
      </c>
      <c r="BB208" s="157" t="s">
        <v>0</v>
      </c>
      <c r="BC208" s="157" t="s">
        <v>0</v>
      </c>
      <c r="BD208" s="157" t="s">
        <v>0</v>
      </c>
      <c r="BE208" s="157" t="s">
        <v>0</v>
      </c>
      <c r="BF208" s="157" t="s">
        <v>0</v>
      </c>
      <c r="BG208" s="157" t="s">
        <v>0</v>
      </c>
      <c r="BH208" s="157" t="s">
        <v>0</v>
      </c>
      <c r="BI208" s="158"/>
      <c r="DL208">
        <f t="shared" si="1126"/>
        <v>0</v>
      </c>
      <c r="DM208">
        <f t="shared" si="1127"/>
        <v>0</v>
      </c>
      <c r="DN208">
        <f t="shared" si="1128"/>
        <v>0</v>
      </c>
      <c r="DO208">
        <f t="shared" si="1129"/>
        <v>0</v>
      </c>
      <c r="DP208">
        <f t="shared" si="1130"/>
        <v>0</v>
      </c>
      <c r="DQ208">
        <f t="shared" si="1131"/>
        <v>0</v>
      </c>
      <c r="DR208">
        <f t="shared" si="1132"/>
        <v>0</v>
      </c>
      <c r="DS208">
        <f t="shared" si="1133"/>
        <v>0</v>
      </c>
      <c r="DT208">
        <f t="shared" si="1134"/>
        <v>0</v>
      </c>
      <c r="DU208">
        <f t="shared" si="1135"/>
        <v>0</v>
      </c>
      <c r="DV208">
        <f t="shared" si="1136"/>
        <v>0</v>
      </c>
      <c r="DW208">
        <f t="shared" si="1137"/>
        <v>0</v>
      </c>
    </row>
    <row r="209" spans="1:127" x14ac:dyDescent="0.25">
      <c r="A209" s="22">
        <f t="shared" si="1074"/>
        <v>203</v>
      </c>
      <c r="B209" s="59" t="str">
        <f t="shared" si="919"/>
        <v>F0014825803</v>
      </c>
      <c r="C209" s="214" t="str">
        <f t="shared" si="920"/>
        <v>82115-0EZ80 B</v>
      </c>
      <c r="D209" s="58" t="e">
        <f>VLOOKUP(B209,'Timing Table'!B:G,6,0)</f>
        <v>#N/A</v>
      </c>
      <c r="E209" s="22" t="e">
        <f>VLOOKUP(B209,'Timing Table'!B:D,3,0)</f>
        <v>#N/A</v>
      </c>
      <c r="F209" s="155" t="s">
        <v>70</v>
      </c>
      <c r="G209" s="181" t="s">
        <v>343</v>
      </c>
      <c r="H209" s="155" t="s">
        <v>71</v>
      </c>
      <c r="I209" s="182" t="s">
        <v>60</v>
      </c>
      <c r="J209" s="161" t="s">
        <v>0</v>
      </c>
      <c r="K209" s="194" t="s">
        <v>0</v>
      </c>
      <c r="L209" s="195" t="s">
        <v>0</v>
      </c>
      <c r="M209" s="179" t="s">
        <v>0</v>
      </c>
      <c r="N209" s="179" t="s">
        <v>0</v>
      </c>
      <c r="O209" s="179" t="s">
        <v>0</v>
      </c>
      <c r="P209" s="179" t="s">
        <v>0</v>
      </c>
      <c r="Q209" s="179" t="s">
        <v>1</v>
      </c>
      <c r="R209" s="179" t="s">
        <v>2</v>
      </c>
      <c r="S209" s="179" t="s">
        <v>0</v>
      </c>
      <c r="T209" s="179" t="s">
        <v>0</v>
      </c>
      <c r="U209" s="179" t="s">
        <v>0</v>
      </c>
      <c r="V209" s="179" t="s">
        <v>0</v>
      </c>
      <c r="W209" s="179" t="s">
        <v>0</v>
      </c>
      <c r="X209" s="179" t="s">
        <v>0</v>
      </c>
      <c r="Y209" s="179" t="s">
        <v>0</v>
      </c>
      <c r="Z209" s="179" t="s">
        <v>3</v>
      </c>
      <c r="AA209" s="179" t="s">
        <v>0</v>
      </c>
      <c r="AB209" s="179" t="s">
        <v>0</v>
      </c>
      <c r="AC209" s="179" t="s">
        <v>0</v>
      </c>
      <c r="AD209" s="179" t="s">
        <v>0</v>
      </c>
      <c r="AE209" s="179" t="s">
        <v>0</v>
      </c>
      <c r="AF209" s="179" t="s">
        <v>0</v>
      </c>
      <c r="AG209" s="179" t="s">
        <v>0</v>
      </c>
      <c r="AH209" s="179" t="s">
        <v>0</v>
      </c>
      <c r="AI209" s="179" t="s">
        <v>0</v>
      </c>
      <c r="AJ209" s="179" t="s">
        <v>0</v>
      </c>
      <c r="AK209" s="179" t="s">
        <v>0</v>
      </c>
      <c r="AL209" s="179" t="s">
        <v>0</v>
      </c>
      <c r="AM209" s="179" t="s">
        <v>0</v>
      </c>
      <c r="AN209" s="179" t="s">
        <v>0</v>
      </c>
      <c r="AO209" s="179" t="s">
        <v>0</v>
      </c>
      <c r="AP209" s="179" t="s">
        <v>0</v>
      </c>
      <c r="AQ209" s="179" t="s">
        <v>0</v>
      </c>
      <c r="AR209" s="179" t="s">
        <v>0</v>
      </c>
      <c r="AS209" s="179" t="s">
        <v>0</v>
      </c>
      <c r="AT209" s="179" t="s">
        <v>0</v>
      </c>
      <c r="AU209" s="179" t="s">
        <v>0</v>
      </c>
      <c r="AV209" s="179" t="s">
        <v>0</v>
      </c>
      <c r="AW209" s="179" t="s">
        <v>0</v>
      </c>
      <c r="AX209" s="179" t="s">
        <v>0</v>
      </c>
      <c r="AY209" s="179" t="s">
        <v>0</v>
      </c>
      <c r="AZ209" s="179" t="s">
        <v>0</v>
      </c>
      <c r="BA209" s="179" t="s">
        <v>0</v>
      </c>
      <c r="BB209" s="179" t="s">
        <v>0</v>
      </c>
      <c r="BC209" s="179" t="s">
        <v>0</v>
      </c>
      <c r="BD209" s="179" t="s">
        <v>0</v>
      </c>
      <c r="BE209" s="179" t="s">
        <v>0</v>
      </c>
      <c r="BF209" s="179" t="s">
        <v>0</v>
      </c>
      <c r="BG209" s="179" t="s">
        <v>0</v>
      </c>
      <c r="BH209" s="179" t="s">
        <v>0</v>
      </c>
      <c r="BI209" s="180" t="s">
        <v>4</v>
      </c>
      <c r="DL209">
        <f t="shared" si="1126"/>
        <v>0</v>
      </c>
      <c r="DM209">
        <f t="shared" si="1127"/>
        <v>0</v>
      </c>
      <c r="DN209">
        <f t="shared" si="1128"/>
        <v>0</v>
      </c>
      <c r="DO209">
        <f t="shared" si="1129"/>
        <v>0</v>
      </c>
      <c r="DP209">
        <f t="shared" si="1130"/>
        <v>0</v>
      </c>
      <c r="DQ209">
        <f t="shared" si="1131"/>
        <v>0</v>
      </c>
      <c r="DR209">
        <f t="shared" si="1132"/>
        <v>0</v>
      </c>
      <c r="DS209">
        <f t="shared" si="1133"/>
        <v>0</v>
      </c>
      <c r="DT209">
        <f t="shared" si="1134"/>
        <v>0</v>
      </c>
      <c r="DU209">
        <f t="shared" si="1135"/>
        <v>0</v>
      </c>
      <c r="DV209">
        <f t="shared" si="1136"/>
        <v>0</v>
      </c>
      <c r="DW209">
        <f t="shared" si="1137"/>
        <v>0</v>
      </c>
    </row>
    <row r="210" spans="1:127" x14ac:dyDescent="0.25">
      <c r="A210" s="22">
        <f t="shared" si="1074"/>
        <v>204</v>
      </c>
      <c r="B210" s="59" t="str">
        <f t="shared" si="919"/>
        <v>F0014825803</v>
      </c>
      <c r="C210" s="214" t="str">
        <f t="shared" si="920"/>
        <v>82115-0EZ80 B</v>
      </c>
      <c r="D210" s="58" t="e">
        <f>VLOOKUP(B210,'Timing Table'!B:G,6,0)</f>
        <v>#N/A</v>
      </c>
      <c r="E210" s="22" t="e">
        <f>VLOOKUP(B210,'Timing Table'!B:D,3,0)</f>
        <v>#N/A</v>
      </c>
      <c r="F210" s="155" t="s">
        <v>72</v>
      </c>
      <c r="G210" s="181">
        <v>0</v>
      </c>
      <c r="H210" s="196" t="s">
        <v>414</v>
      </c>
      <c r="I210" s="197" t="s">
        <v>73</v>
      </c>
      <c r="J210" s="13">
        <v>46041</v>
      </c>
      <c r="K210" s="14">
        <v>46048</v>
      </c>
      <c r="L210" s="14">
        <v>46055</v>
      </c>
      <c r="M210" s="14">
        <v>46062</v>
      </c>
      <c r="N210" s="14">
        <v>46069</v>
      </c>
      <c r="O210" s="14">
        <v>46076</v>
      </c>
      <c r="P210" s="14">
        <v>46083</v>
      </c>
      <c r="Q210" s="14">
        <v>46090</v>
      </c>
      <c r="R210" s="14">
        <v>46097</v>
      </c>
      <c r="S210" s="14">
        <v>46104</v>
      </c>
      <c r="T210" s="14">
        <v>46111</v>
      </c>
      <c r="U210" s="14">
        <v>46118</v>
      </c>
      <c r="V210" s="14">
        <v>46125</v>
      </c>
      <c r="W210" s="14">
        <v>46132</v>
      </c>
      <c r="X210" s="14">
        <v>46139</v>
      </c>
      <c r="Y210" s="14">
        <v>46146</v>
      </c>
      <c r="Z210" s="14">
        <v>46153</v>
      </c>
      <c r="AA210" s="14">
        <v>46160</v>
      </c>
      <c r="AB210" s="14">
        <v>46167</v>
      </c>
      <c r="AC210" s="14">
        <v>46174</v>
      </c>
      <c r="AD210" s="14">
        <v>46181</v>
      </c>
      <c r="AE210" s="14">
        <v>46188</v>
      </c>
      <c r="AF210" s="14">
        <v>46195</v>
      </c>
      <c r="AG210" s="14">
        <v>46202</v>
      </c>
      <c r="AH210" s="14">
        <v>46209</v>
      </c>
      <c r="AI210" s="14">
        <v>46216</v>
      </c>
      <c r="AJ210" s="14">
        <v>46223</v>
      </c>
      <c r="AK210" s="14">
        <v>46230</v>
      </c>
      <c r="AL210" s="14">
        <v>46237</v>
      </c>
      <c r="AM210" s="14">
        <v>46244</v>
      </c>
      <c r="AN210" s="14">
        <v>46251</v>
      </c>
      <c r="AO210" s="14">
        <v>46258</v>
      </c>
      <c r="AP210" s="14">
        <v>46265</v>
      </c>
      <c r="AQ210" s="14">
        <v>46272</v>
      </c>
      <c r="AR210" s="14">
        <v>46279</v>
      </c>
      <c r="AS210" s="14">
        <v>46286</v>
      </c>
      <c r="AT210" s="14">
        <v>46293</v>
      </c>
      <c r="AU210" s="14">
        <v>46300</v>
      </c>
      <c r="AV210" s="14">
        <v>46307</v>
      </c>
      <c r="AW210" s="14">
        <v>46314</v>
      </c>
      <c r="AX210" s="14">
        <v>46321</v>
      </c>
      <c r="AY210" s="14">
        <v>46328</v>
      </c>
      <c r="AZ210" s="14">
        <v>46335</v>
      </c>
      <c r="BA210" s="14">
        <v>46342</v>
      </c>
      <c r="BB210" s="14">
        <v>46349</v>
      </c>
      <c r="BC210" s="14">
        <v>46356</v>
      </c>
      <c r="BD210" s="14">
        <v>46363</v>
      </c>
      <c r="BE210" s="14">
        <v>46370</v>
      </c>
      <c r="BF210" s="14">
        <v>46377</v>
      </c>
      <c r="BG210" s="14">
        <v>46384</v>
      </c>
      <c r="BH210" s="14">
        <v>46391</v>
      </c>
      <c r="BI210" s="15">
        <v>46398</v>
      </c>
      <c r="DL210">
        <f t="shared" si="1126"/>
        <v>0</v>
      </c>
      <c r="DM210">
        <f t="shared" si="1127"/>
        <v>0</v>
      </c>
      <c r="DN210">
        <f t="shared" si="1128"/>
        <v>0</v>
      </c>
      <c r="DO210">
        <f t="shared" si="1129"/>
        <v>0</v>
      </c>
      <c r="DP210">
        <f t="shared" si="1130"/>
        <v>0</v>
      </c>
      <c r="DQ210">
        <f t="shared" si="1131"/>
        <v>0</v>
      </c>
      <c r="DR210">
        <f t="shared" si="1132"/>
        <v>0</v>
      </c>
      <c r="DS210">
        <f t="shared" si="1133"/>
        <v>0</v>
      </c>
      <c r="DT210">
        <f t="shared" si="1134"/>
        <v>0</v>
      </c>
      <c r="DU210">
        <f t="shared" si="1135"/>
        <v>0</v>
      </c>
      <c r="DV210">
        <f t="shared" si="1136"/>
        <v>0</v>
      </c>
      <c r="DW210">
        <f t="shared" si="1137"/>
        <v>0</v>
      </c>
    </row>
    <row r="211" spans="1:127" x14ac:dyDescent="0.25">
      <c r="A211" s="22">
        <f t="shared" si="1074"/>
        <v>205</v>
      </c>
      <c r="B211" s="59" t="str">
        <f t="shared" si="919"/>
        <v>F0014825803</v>
      </c>
      <c r="C211" s="214" t="str">
        <f t="shared" si="920"/>
        <v>82115-0EZ80 B</v>
      </c>
      <c r="D211" s="58" t="e">
        <f>VLOOKUP(B211,'Timing Table'!B:G,6,0)</f>
        <v>#N/A</v>
      </c>
      <c r="E211" s="22" t="e">
        <f>VLOOKUP(B211,'Timing Table'!B:D,3,0)</f>
        <v>#N/A</v>
      </c>
      <c r="F211" s="155" t="s">
        <v>74</v>
      </c>
      <c r="G211" s="181">
        <v>0</v>
      </c>
      <c r="H211" s="5" t="s">
        <v>60</v>
      </c>
      <c r="I211" s="11" t="s">
        <v>147</v>
      </c>
      <c r="J211" s="16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17"/>
      <c r="DL211">
        <f t="shared" si="1126"/>
        <v>0</v>
      </c>
      <c r="DM211">
        <f t="shared" si="1127"/>
        <v>0</v>
      </c>
      <c r="DN211">
        <f t="shared" si="1128"/>
        <v>0</v>
      </c>
      <c r="DO211">
        <f t="shared" si="1129"/>
        <v>0</v>
      </c>
      <c r="DP211">
        <f t="shared" si="1130"/>
        <v>0</v>
      </c>
      <c r="DQ211">
        <f t="shared" si="1131"/>
        <v>0</v>
      </c>
      <c r="DR211">
        <f t="shared" si="1132"/>
        <v>0</v>
      </c>
      <c r="DS211">
        <f t="shared" si="1133"/>
        <v>0</v>
      </c>
      <c r="DT211">
        <f t="shared" si="1134"/>
        <v>0</v>
      </c>
      <c r="DU211">
        <f t="shared" si="1135"/>
        <v>0</v>
      </c>
      <c r="DV211">
        <f t="shared" si="1136"/>
        <v>0</v>
      </c>
      <c r="DW211">
        <f t="shared" si="1137"/>
        <v>0</v>
      </c>
    </row>
    <row r="212" spans="1:127" x14ac:dyDescent="0.25">
      <c r="A212" s="22">
        <f t="shared" si="1074"/>
        <v>206</v>
      </c>
      <c r="B212" s="59" t="str">
        <f t="shared" si="919"/>
        <v>F0014825803</v>
      </c>
      <c r="C212" s="214" t="str">
        <f t="shared" si="920"/>
        <v>82115-0EZ80 B</v>
      </c>
      <c r="D212" s="58" t="e">
        <f>VLOOKUP(B212,'Timing Table'!B:G,6,0)</f>
        <v>#N/A</v>
      </c>
      <c r="E212" s="22" t="e">
        <f>VLOOKUP(B212,'Timing Table'!B:D,3,0)</f>
        <v>#N/A</v>
      </c>
      <c r="F212" s="155" t="s">
        <v>75</v>
      </c>
      <c r="G212" s="198" t="s">
        <v>257</v>
      </c>
      <c r="H212" s="9" t="s">
        <v>253</v>
      </c>
      <c r="I212" s="11" t="s">
        <v>76</v>
      </c>
      <c r="J212" s="143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0</v>
      </c>
      <c r="AM212" s="64">
        <v>0</v>
      </c>
      <c r="AN212" s="64">
        <v>0</v>
      </c>
      <c r="AO212" s="64">
        <v>0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0</v>
      </c>
      <c r="AX212" s="64">
        <v>0</v>
      </c>
      <c r="AY212" s="64">
        <v>0</v>
      </c>
      <c r="AZ212" s="64">
        <v>0</v>
      </c>
      <c r="BA212" s="64">
        <v>0</v>
      </c>
      <c r="BB212" s="64">
        <v>0</v>
      </c>
      <c r="BC212" s="64">
        <v>0</v>
      </c>
      <c r="BD212" s="64">
        <v>0</v>
      </c>
      <c r="BE212" s="64">
        <v>0</v>
      </c>
      <c r="BF212" s="64">
        <v>0</v>
      </c>
      <c r="BG212" s="64">
        <v>0</v>
      </c>
      <c r="BH212" s="64">
        <v>0</v>
      </c>
      <c r="BI212" s="144">
        <v>0</v>
      </c>
      <c r="BJ212" s="24" t="str">
        <f>+G209</f>
        <v>82115-0EZ80 B</v>
      </c>
      <c r="BK212" s="24">
        <f>+J212</f>
        <v>0</v>
      </c>
      <c r="BL212" s="24">
        <f t="shared" ref="BL212" si="1138">+K212</f>
        <v>0</v>
      </c>
      <c r="BM212" s="24">
        <f t="shared" ref="BM212" si="1139">+L212</f>
        <v>0</v>
      </c>
      <c r="BN212" s="24">
        <f t="shared" ref="BN212" si="1140">+M212</f>
        <v>0</v>
      </c>
      <c r="BO212" s="24">
        <f t="shared" ref="BO212" si="1141">+N212</f>
        <v>0</v>
      </c>
      <c r="BP212" s="24">
        <f t="shared" ref="BP212" si="1142">+O212</f>
        <v>0</v>
      </c>
      <c r="BQ212" s="24">
        <f t="shared" ref="BQ212" si="1143">+P212</f>
        <v>0</v>
      </c>
      <c r="BR212" s="24">
        <f t="shared" ref="BR212" si="1144">+Q212</f>
        <v>0</v>
      </c>
      <c r="BS212" s="24">
        <f t="shared" ref="BS212" si="1145">+R212</f>
        <v>0</v>
      </c>
      <c r="BT212" s="24">
        <f t="shared" ref="BT212" si="1146">+S212</f>
        <v>0</v>
      </c>
      <c r="BU212" s="24">
        <f t="shared" ref="BU212" si="1147">+T212</f>
        <v>0</v>
      </c>
      <c r="BV212" s="24">
        <f t="shared" ref="BV212" si="1148">+U212</f>
        <v>0</v>
      </c>
      <c r="BW212" s="24">
        <f t="shared" ref="BW212" si="1149">+V212</f>
        <v>0</v>
      </c>
      <c r="BX212" s="24">
        <f t="shared" ref="BX212" si="1150">+W212</f>
        <v>0</v>
      </c>
      <c r="BY212" s="24">
        <f t="shared" ref="BY212" si="1151">+X212</f>
        <v>0</v>
      </c>
      <c r="BZ212" s="24">
        <f t="shared" ref="BZ212" si="1152">+Y212</f>
        <v>0</v>
      </c>
      <c r="CA212" s="24">
        <f t="shared" ref="CA212" si="1153">+Z212</f>
        <v>0</v>
      </c>
      <c r="CB212" s="24">
        <f t="shared" ref="CB212" si="1154">+AA212</f>
        <v>0</v>
      </c>
      <c r="CC212" s="24">
        <f t="shared" ref="CC212" si="1155">+AB212</f>
        <v>0</v>
      </c>
      <c r="CD212" s="24">
        <f t="shared" ref="CD212" si="1156">+AC212</f>
        <v>0</v>
      </c>
      <c r="CE212" s="24">
        <f t="shared" ref="CE212" si="1157">+AD212</f>
        <v>0</v>
      </c>
      <c r="CF212" s="24">
        <f t="shared" ref="CF212" si="1158">+AE212</f>
        <v>0</v>
      </c>
      <c r="CG212" s="24">
        <f t="shared" ref="CG212" si="1159">+AF212</f>
        <v>0</v>
      </c>
      <c r="CH212" s="24">
        <f t="shared" ref="CH212" si="1160">+AG212</f>
        <v>0</v>
      </c>
      <c r="CI212" s="24">
        <f t="shared" ref="CI212" si="1161">+AH212</f>
        <v>0</v>
      </c>
      <c r="CJ212" s="24">
        <f t="shared" ref="CJ212" si="1162">+AI212</f>
        <v>0</v>
      </c>
      <c r="CK212" s="24">
        <f t="shared" ref="CK212" si="1163">+AJ212</f>
        <v>0</v>
      </c>
      <c r="CL212" s="24">
        <f t="shared" ref="CL212" si="1164">+AK212</f>
        <v>0</v>
      </c>
      <c r="CM212" s="24">
        <f t="shared" ref="CM212" si="1165">+AL212</f>
        <v>0</v>
      </c>
      <c r="CN212" s="24">
        <f t="shared" ref="CN212" si="1166">+AM212</f>
        <v>0</v>
      </c>
      <c r="CO212" s="24">
        <f t="shared" ref="CO212" si="1167">+AN212</f>
        <v>0</v>
      </c>
      <c r="CP212" s="166">
        <f t="shared" ref="CP212" si="1168">+AO212</f>
        <v>0</v>
      </c>
      <c r="CQ212" s="166">
        <f t="shared" ref="CQ212" si="1169">+AP212</f>
        <v>0</v>
      </c>
      <c r="CR212">
        <f t="shared" ref="CR212" si="1170">+AQ212</f>
        <v>0</v>
      </c>
      <c r="CS212">
        <f t="shared" ref="CS212" si="1171">+AR212</f>
        <v>0</v>
      </c>
      <c r="CT212">
        <f t="shared" ref="CT212" si="1172">+AS212</f>
        <v>0</v>
      </c>
      <c r="CU212">
        <f t="shared" ref="CU212" si="1173">+AT212</f>
        <v>0</v>
      </c>
      <c r="CV212">
        <f t="shared" ref="CV212" si="1174">+AU212</f>
        <v>0</v>
      </c>
      <c r="CW212">
        <f t="shared" ref="CW212" si="1175">+AV212</f>
        <v>0</v>
      </c>
      <c r="CX212">
        <f t="shared" ref="CX212" si="1176">+AW212</f>
        <v>0</v>
      </c>
      <c r="CY212">
        <f t="shared" ref="CY212" si="1177">+AX212</f>
        <v>0</v>
      </c>
      <c r="CZ212">
        <f t="shared" ref="CZ212" si="1178">+AY212</f>
        <v>0</v>
      </c>
      <c r="DA212">
        <f t="shared" ref="DA212" si="1179">+AZ212</f>
        <v>0</v>
      </c>
      <c r="DB212">
        <f t="shared" ref="DB212" si="1180">+BA212</f>
        <v>0</v>
      </c>
      <c r="DC212">
        <f t="shared" ref="DC212" si="1181">+BB212</f>
        <v>0</v>
      </c>
      <c r="DD212">
        <f t="shared" ref="DD212" si="1182">+BC212</f>
        <v>0</v>
      </c>
      <c r="DE212">
        <f t="shared" ref="DE212" si="1183">+BD212</f>
        <v>0</v>
      </c>
      <c r="DF212">
        <f t="shared" ref="DF212" si="1184">+BE212</f>
        <v>0</v>
      </c>
      <c r="DG212">
        <f t="shared" ref="DG212" si="1185">+BF212</f>
        <v>0</v>
      </c>
      <c r="DH212">
        <f t="shared" ref="DH212" si="1186">+BG212</f>
        <v>0</v>
      </c>
      <c r="DI212">
        <f t="shared" ref="DI212" si="1187">+BH212</f>
        <v>0</v>
      </c>
      <c r="DJ212">
        <f t="shared" ref="DJ212" si="1188">+BI212</f>
        <v>0</v>
      </c>
      <c r="DL212" s="24">
        <f t="shared" si="1126"/>
        <v>0</v>
      </c>
      <c r="DM212" s="24">
        <f t="shared" si="1127"/>
        <v>0</v>
      </c>
      <c r="DN212" s="24">
        <f t="shared" si="1128"/>
        <v>0</v>
      </c>
      <c r="DO212" s="24">
        <f t="shared" si="1129"/>
        <v>0</v>
      </c>
      <c r="DP212" s="24">
        <f t="shared" si="1130"/>
        <v>0</v>
      </c>
      <c r="DQ212" s="24">
        <f t="shared" si="1131"/>
        <v>0</v>
      </c>
      <c r="DR212" s="24">
        <f t="shared" si="1132"/>
        <v>0</v>
      </c>
      <c r="DS212" s="24">
        <f t="shared" si="1133"/>
        <v>0</v>
      </c>
      <c r="DT212" s="24">
        <f t="shared" si="1134"/>
        <v>0</v>
      </c>
      <c r="DU212">
        <f t="shared" si="1135"/>
        <v>0</v>
      </c>
      <c r="DV212">
        <f t="shared" si="1136"/>
        <v>0</v>
      </c>
      <c r="DW212">
        <f t="shared" si="1137"/>
        <v>0</v>
      </c>
    </row>
    <row r="213" spans="1:127" x14ac:dyDescent="0.25">
      <c r="A213" s="22">
        <f t="shared" si="1074"/>
        <v>207</v>
      </c>
      <c r="B213" s="59" t="str">
        <f t="shared" si="919"/>
        <v>F0014825803</v>
      </c>
      <c r="C213" s="214" t="str">
        <f t="shared" si="920"/>
        <v>82115-0EZ80 B</v>
      </c>
      <c r="D213" s="58" t="e">
        <f>VLOOKUP(B213,'Timing Table'!B:G,6,0)</f>
        <v>#N/A</v>
      </c>
      <c r="E213" s="22" t="e">
        <f>VLOOKUP(B213,'Timing Table'!B:D,3,0)</f>
        <v>#N/A</v>
      </c>
      <c r="F213" s="155" t="s">
        <v>77</v>
      </c>
      <c r="G213" s="181">
        <v>82115</v>
      </c>
      <c r="H213" s="10" t="s">
        <v>253</v>
      </c>
      <c r="I213" s="12" t="s">
        <v>78</v>
      </c>
      <c r="J213" s="152">
        <v>0</v>
      </c>
      <c r="K213" s="153">
        <v>0</v>
      </c>
      <c r="L213" s="153">
        <v>0</v>
      </c>
      <c r="M213" s="153">
        <v>0</v>
      </c>
      <c r="N213" s="153">
        <v>0</v>
      </c>
      <c r="O213" s="153">
        <v>0</v>
      </c>
      <c r="P213" s="153">
        <v>0</v>
      </c>
      <c r="Q213" s="153">
        <v>0</v>
      </c>
      <c r="R213" s="153">
        <v>0</v>
      </c>
      <c r="S213" s="153">
        <v>0</v>
      </c>
      <c r="T213" s="153">
        <v>0</v>
      </c>
      <c r="U213" s="153">
        <v>0</v>
      </c>
      <c r="V213" s="153">
        <v>0</v>
      </c>
      <c r="W213" s="153">
        <v>0</v>
      </c>
      <c r="X213" s="153">
        <v>0</v>
      </c>
      <c r="Y213" s="153">
        <v>0</v>
      </c>
      <c r="Z213" s="153">
        <v>0</v>
      </c>
      <c r="AA213" s="153">
        <v>0</v>
      </c>
      <c r="AB213" s="153">
        <v>0</v>
      </c>
      <c r="AC213" s="153">
        <v>0</v>
      </c>
      <c r="AD213" s="153">
        <v>0</v>
      </c>
      <c r="AE213" s="153">
        <v>0</v>
      </c>
      <c r="AF213" s="153">
        <v>0</v>
      </c>
      <c r="AG213" s="153">
        <v>0</v>
      </c>
      <c r="AH213" s="153">
        <v>0</v>
      </c>
      <c r="AI213" s="153">
        <v>0</v>
      </c>
      <c r="AJ213" s="153">
        <v>0</v>
      </c>
      <c r="AK213" s="153">
        <v>0</v>
      </c>
      <c r="AL213" s="153">
        <v>0</v>
      </c>
      <c r="AM213" s="153">
        <v>0</v>
      </c>
      <c r="AN213" s="153">
        <v>0</v>
      </c>
      <c r="AO213" s="153">
        <v>0</v>
      </c>
      <c r="AP213" s="153">
        <v>0</v>
      </c>
      <c r="AQ213" s="153">
        <v>0</v>
      </c>
      <c r="AR213" s="153">
        <v>0</v>
      </c>
      <c r="AS213" s="153">
        <v>0</v>
      </c>
      <c r="AT213" s="153">
        <v>0</v>
      </c>
      <c r="AU213" s="153">
        <v>0</v>
      </c>
      <c r="AV213" s="153">
        <v>0</v>
      </c>
      <c r="AW213" s="153">
        <v>0</v>
      </c>
      <c r="AX213" s="153">
        <v>0</v>
      </c>
      <c r="AY213" s="153">
        <v>0</v>
      </c>
      <c r="AZ213" s="153">
        <v>0</v>
      </c>
      <c r="BA213" s="153">
        <v>0</v>
      </c>
      <c r="BB213" s="153">
        <v>0</v>
      </c>
      <c r="BC213" s="153">
        <v>0</v>
      </c>
      <c r="BD213" s="153">
        <v>0</v>
      </c>
      <c r="BE213" s="153">
        <v>0</v>
      </c>
      <c r="BF213" s="153">
        <v>0</v>
      </c>
      <c r="BG213" s="153">
        <v>0</v>
      </c>
      <c r="BH213" s="153">
        <v>0</v>
      </c>
      <c r="BI213" s="153">
        <v>0</v>
      </c>
      <c r="DL213">
        <f t="shared" si="1126"/>
        <v>0</v>
      </c>
      <c r="DM213">
        <f t="shared" si="1127"/>
        <v>0</v>
      </c>
      <c r="DN213">
        <f t="shared" si="1128"/>
        <v>0</v>
      </c>
      <c r="DO213">
        <f t="shared" si="1129"/>
        <v>0</v>
      </c>
      <c r="DP213">
        <f t="shared" si="1130"/>
        <v>0</v>
      </c>
      <c r="DQ213">
        <f t="shared" si="1131"/>
        <v>0</v>
      </c>
      <c r="DR213">
        <f t="shared" si="1132"/>
        <v>0</v>
      </c>
      <c r="DS213">
        <f t="shared" si="1133"/>
        <v>0</v>
      </c>
      <c r="DT213">
        <f t="shared" si="1134"/>
        <v>0</v>
      </c>
      <c r="DU213">
        <f t="shared" si="1135"/>
        <v>0</v>
      </c>
      <c r="DV213">
        <f t="shared" si="1136"/>
        <v>0</v>
      </c>
      <c r="DW213">
        <f t="shared" si="1137"/>
        <v>0</v>
      </c>
    </row>
    <row r="214" spans="1:127" x14ac:dyDescent="0.25">
      <c r="A214" s="22">
        <f t="shared" si="1074"/>
        <v>208</v>
      </c>
      <c r="B214" s="59" t="str">
        <f t="shared" si="919"/>
        <v>F0014825803</v>
      </c>
      <c r="C214" s="214" t="str">
        <f t="shared" si="920"/>
        <v>82115-0EZ80 B</v>
      </c>
      <c r="D214" s="58" t="e">
        <f>VLOOKUP(B214,'Timing Table'!B:G,6,0)</f>
        <v>#N/A</v>
      </c>
      <c r="E214" s="22" t="e">
        <f>VLOOKUP(B214,'Timing Table'!B:D,3,0)</f>
        <v>#N/A</v>
      </c>
      <c r="F214" s="155" t="s">
        <v>79</v>
      </c>
      <c r="G214" s="199">
        <v>0</v>
      </c>
      <c r="H214" s="184" t="s">
        <v>80</v>
      </c>
      <c r="I214" s="185"/>
      <c r="J214" s="200"/>
      <c r="K214" s="156"/>
      <c r="L214" s="157" t="s">
        <v>0</v>
      </c>
      <c r="M214" s="157" t="s">
        <v>0</v>
      </c>
      <c r="N214" s="157" t="s">
        <v>0</v>
      </c>
      <c r="O214" s="157" t="s">
        <v>0</v>
      </c>
      <c r="P214" s="157" t="s">
        <v>0</v>
      </c>
      <c r="Q214" s="157" t="s">
        <v>0</v>
      </c>
      <c r="R214" s="157" t="s">
        <v>0</v>
      </c>
      <c r="S214" s="157" t="s">
        <v>0</v>
      </c>
      <c r="T214" s="157" t="s">
        <v>0</v>
      </c>
      <c r="U214" s="157" t="s">
        <v>0</v>
      </c>
      <c r="V214" s="157" t="s">
        <v>0</v>
      </c>
      <c r="W214" s="157" t="s">
        <v>0</v>
      </c>
      <c r="X214" s="157" t="s">
        <v>0</v>
      </c>
      <c r="Y214" s="157" t="s">
        <v>0</v>
      </c>
      <c r="Z214" s="157" t="s">
        <v>0</v>
      </c>
      <c r="AA214" s="157" t="s">
        <v>0</v>
      </c>
      <c r="AB214" s="157" t="s">
        <v>0</v>
      </c>
      <c r="AC214" s="157" t="s">
        <v>0</v>
      </c>
      <c r="AD214" s="157" t="s">
        <v>0</v>
      </c>
      <c r="AE214" s="157" t="s">
        <v>0</v>
      </c>
      <c r="AF214" s="157" t="s">
        <v>0</v>
      </c>
      <c r="AG214" s="157" t="s">
        <v>0</v>
      </c>
      <c r="AH214" s="157" t="s">
        <v>0</v>
      </c>
      <c r="AI214" s="157" t="s">
        <v>0</v>
      </c>
      <c r="AJ214" s="157" t="s">
        <v>0</v>
      </c>
      <c r="AK214" s="157" t="s">
        <v>0</v>
      </c>
      <c r="AL214" s="157" t="s">
        <v>0</v>
      </c>
      <c r="AM214" s="157" t="s">
        <v>0</v>
      </c>
      <c r="AN214" s="157" t="s">
        <v>0</v>
      </c>
      <c r="AO214" s="157" t="s">
        <v>0</v>
      </c>
      <c r="AP214" s="157" t="s">
        <v>0</v>
      </c>
      <c r="AQ214" s="157" t="s">
        <v>0</v>
      </c>
      <c r="AR214" s="157" t="s">
        <v>0</v>
      </c>
      <c r="AS214" s="157" t="s">
        <v>0</v>
      </c>
      <c r="AT214" s="157" t="s">
        <v>0</v>
      </c>
      <c r="AU214" s="157" t="s">
        <v>0</v>
      </c>
      <c r="AV214" s="157" t="s">
        <v>0</v>
      </c>
      <c r="AW214" s="157" t="s">
        <v>0</v>
      </c>
      <c r="AX214" s="157" t="s">
        <v>0</v>
      </c>
      <c r="AY214" s="157" t="s">
        <v>0</v>
      </c>
      <c r="AZ214" s="157" t="s">
        <v>0</v>
      </c>
      <c r="BA214" s="157" t="s">
        <v>0</v>
      </c>
      <c r="BB214" s="157" t="s">
        <v>0</v>
      </c>
      <c r="BC214" s="157" t="s">
        <v>0</v>
      </c>
      <c r="BD214" s="157" t="s">
        <v>0</v>
      </c>
      <c r="BE214" s="157" t="s">
        <v>0</v>
      </c>
      <c r="BF214" s="157" t="s">
        <v>0</v>
      </c>
      <c r="BG214" s="157" t="s">
        <v>0</v>
      </c>
      <c r="BH214" s="157" t="s">
        <v>0</v>
      </c>
      <c r="BI214" s="158"/>
      <c r="DL214">
        <f t="shared" si="1126"/>
        <v>0</v>
      </c>
      <c r="DM214">
        <f t="shared" si="1127"/>
        <v>0</v>
      </c>
      <c r="DN214">
        <f t="shared" si="1128"/>
        <v>0</v>
      </c>
      <c r="DO214">
        <f t="shared" si="1129"/>
        <v>0</v>
      </c>
      <c r="DP214">
        <f t="shared" si="1130"/>
        <v>0</v>
      </c>
      <c r="DQ214">
        <f t="shared" si="1131"/>
        <v>0</v>
      </c>
      <c r="DR214">
        <f t="shared" si="1132"/>
        <v>0</v>
      </c>
      <c r="DS214">
        <f t="shared" si="1133"/>
        <v>0</v>
      </c>
      <c r="DT214">
        <f t="shared" si="1134"/>
        <v>0</v>
      </c>
      <c r="DU214">
        <f t="shared" si="1135"/>
        <v>0</v>
      </c>
      <c r="DV214">
        <f t="shared" si="1136"/>
        <v>0</v>
      </c>
      <c r="DW214">
        <f t="shared" si="1137"/>
        <v>0</v>
      </c>
    </row>
    <row r="215" spans="1:127" x14ac:dyDescent="0.25">
      <c r="A215" s="22">
        <f t="shared" si="1074"/>
        <v>209</v>
      </c>
      <c r="B215" s="59" t="str">
        <f t="shared" si="919"/>
        <v>F0014825803</v>
      </c>
      <c r="C215" s="214" t="str">
        <f t="shared" si="920"/>
        <v>82115-0EZ80 B</v>
      </c>
      <c r="D215" s="58" t="e">
        <f>VLOOKUP(B215,'Timing Table'!B:G,6,0)</f>
        <v>#N/A</v>
      </c>
      <c r="E215" s="22" t="e">
        <f>VLOOKUP(B215,'Timing Table'!B:D,3,0)</f>
        <v>#N/A</v>
      </c>
      <c r="F215" s="159" t="s">
        <v>81</v>
      </c>
      <c r="G215" s="160" t="s">
        <v>60</v>
      </c>
      <c r="H215" s="201" t="s">
        <v>60</v>
      </c>
      <c r="I215" s="183" t="s">
        <v>60</v>
      </c>
      <c r="J215" s="183" t="s">
        <v>0</v>
      </c>
      <c r="K215" s="183" t="s">
        <v>0</v>
      </c>
      <c r="L215" s="183" t="s">
        <v>0</v>
      </c>
      <c r="M215" s="183" t="s">
        <v>0</v>
      </c>
      <c r="N215" s="183" t="s">
        <v>0</v>
      </c>
      <c r="O215" s="183" t="s">
        <v>0</v>
      </c>
      <c r="P215" s="183" t="s">
        <v>0</v>
      </c>
      <c r="Q215" s="183" t="s">
        <v>0</v>
      </c>
      <c r="R215" s="183" t="s">
        <v>0</v>
      </c>
      <c r="S215" s="183" t="s">
        <v>0</v>
      </c>
      <c r="T215" s="183" t="s">
        <v>0</v>
      </c>
      <c r="U215" s="183" t="s">
        <v>0</v>
      </c>
      <c r="V215" s="183" t="s">
        <v>0</v>
      </c>
      <c r="W215" s="183" t="s">
        <v>0</v>
      </c>
      <c r="X215" s="183" t="s">
        <v>0</v>
      </c>
      <c r="Y215" s="183" t="s">
        <v>0</v>
      </c>
      <c r="Z215" s="183" t="s">
        <v>0</v>
      </c>
      <c r="AA215" s="183" t="s">
        <v>0</v>
      </c>
      <c r="AB215" s="183" t="s">
        <v>0</v>
      </c>
      <c r="AC215" s="183" t="s">
        <v>0</v>
      </c>
      <c r="AD215" s="183" t="s">
        <v>0</v>
      </c>
      <c r="AE215" s="183" t="s">
        <v>0</v>
      </c>
      <c r="AF215" s="183" t="s">
        <v>0</v>
      </c>
      <c r="AG215" s="183" t="s">
        <v>0</v>
      </c>
      <c r="AH215" s="183" t="s">
        <v>0</v>
      </c>
      <c r="AI215" s="183" t="s">
        <v>0</v>
      </c>
      <c r="AJ215" s="183" t="s">
        <v>0</v>
      </c>
      <c r="AK215" s="183" t="s">
        <v>0</v>
      </c>
      <c r="AL215" s="183" t="s">
        <v>0</v>
      </c>
      <c r="AM215" s="183" t="s">
        <v>0</v>
      </c>
      <c r="AN215" s="183" t="s">
        <v>0</v>
      </c>
      <c r="AO215" s="183" t="s">
        <v>0</v>
      </c>
      <c r="AP215" s="183" t="s">
        <v>0</v>
      </c>
      <c r="AQ215" s="183" t="s">
        <v>0</v>
      </c>
      <c r="AR215" s="183" t="s">
        <v>0</v>
      </c>
      <c r="AS215" s="183" t="s">
        <v>0</v>
      </c>
      <c r="AT215" s="183" t="s">
        <v>0</v>
      </c>
      <c r="AU215" s="183" t="s">
        <v>0</v>
      </c>
      <c r="AV215" s="183" t="s">
        <v>0</v>
      </c>
      <c r="AW215" s="183" t="s">
        <v>0</v>
      </c>
      <c r="AX215" s="183" t="s">
        <v>0</v>
      </c>
      <c r="AY215" s="183" t="s">
        <v>0</v>
      </c>
      <c r="AZ215" s="183" t="s">
        <v>0</v>
      </c>
      <c r="BA215" s="183" t="s">
        <v>0</v>
      </c>
      <c r="BB215" s="183" t="s">
        <v>0</v>
      </c>
      <c r="BC215" s="183" t="s">
        <v>0</v>
      </c>
      <c r="BD215" s="183" t="s">
        <v>0</v>
      </c>
      <c r="BE215" s="183" t="s">
        <v>0</v>
      </c>
      <c r="BF215" s="183" t="s">
        <v>0</v>
      </c>
      <c r="BG215" s="183" t="s">
        <v>0</v>
      </c>
      <c r="BH215" s="183" t="s">
        <v>0</v>
      </c>
      <c r="BI215" s="161"/>
      <c r="DL215">
        <f t="shared" si="1126"/>
        <v>0</v>
      </c>
      <c r="DM215">
        <f t="shared" si="1127"/>
        <v>0</v>
      </c>
      <c r="DN215">
        <f t="shared" si="1128"/>
        <v>0</v>
      </c>
      <c r="DO215">
        <f t="shared" si="1129"/>
        <v>0</v>
      </c>
      <c r="DP215">
        <f t="shared" si="1130"/>
        <v>0</v>
      </c>
      <c r="DQ215">
        <f t="shared" si="1131"/>
        <v>0</v>
      </c>
      <c r="DR215">
        <f t="shared" si="1132"/>
        <v>0</v>
      </c>
      <c r="DS215">
        <f t="shared" si="1133"/>
        <v>0</v>
      </c>
      <c r="DT215">
        <f t="shared" si="1134"/>
        <v>0</v>
      </c>
      <c r="DU215">
        <f t="shared" si="1135"/>
        <v>0</v>
      </c>
      <c r="DV215">
        <f t="shared" si="1136"/>
        <v>0</v>
      </c>
      <c r="DW215">
        <f t="shared" si="1137"/>
        <v>0</v>
      </c>
    </row>
    <row r="216" spans="1:127" x14ac:dyDescent="0.25">
      <c r="A216" s="22">
        <f t="shared" si="1074"/>
        <v>210</v>
      </c>
      <c r="B216" s="59" t="str">
        <f t="shared" si="919"/>
        <v>F0014825803</v>
      </c>
      <c r="C216" s="214" t="str">
        <f t="shared" si="920"/>
        <v>82115-0EZ80 B</v>
      </c>
      <c r="D216" s="58" t="e">
        <f>VLOOKUP(B216,'Timing Table'!B:G,6,0)</f>
        <v>#N/A</v>
      </c>
      <c r="E216" s="22" t="e">
        <f>VLOOKUP(B216,'Timing Table'!B:D,3,0)</f>
        <v>#N/A</v>
      </c>
      <c r="F216" s="188" t="s">
        <v>60</v>
      </c>
      <c r="G216" s="162" t="s">
        <v>60</v>
      </c>
      <c r="H216" s="163" t="s">
        <v>60</v>
      </c>
      <c r="I216" s="164" t="s">
        <v>60</v>
      </c>
      <c r="J216" s="164" t="s">
        <v>0</v>
      </c>
      <c r="K216" s="164" t="s">
        <v>0</v>
      </c>
      <c r="L216" s="164" t="s">
        <v>0</v>
      </c>
      <c r="M216" s="164" t="s">
        <v>0</v>
      </c>
      <c r="N216" s="164" t="s">
        <v>0</v>
      </c>
      <c r="O216" s="164" t="s">
        <v>0</v>
      </c>
      <c r="P216" s="164" t="s">
        <v>0</v>
      </c>
      <c r="Q216" s="164" t="s">
        <v>0</v>
      </c>
      <c r="R216" s="164" t="s">
        <v>0</v>
      </c>
      <c r="S216" s="164" t="s">
        <v>0</v>
      </c>
      <c r="T216" s="164" t="s">
        <v>0</v>
      </c>
      <c r="U216" s="164" t="s">
        <v>0</v>
      </c>
      <c r="V216" s="164" t="s">
        <v>0</v>
      </c>
      <c r="W216" s="164" t="s">
        <v>0</v>
      </c>
      <c r="X216" s="164" t="s">
        <v>0</v>
      </c>
      <c r="Y216" s="164" t="s">
        <v>0</v>
      </c>
      <c r="Z216" s="164" t="s">
        <v>0</v>
      </c>
      <c r="AA216" s="164" t="s">
        <v>0</v>
      </c>
      <c r="AB216" s="164" t="s">
        <v>0</v>
      </c>
      <c r="AC216" s="164" t="s">
        <v>0</v>
      </c>
      <c r="AD216" s="164" t="s">
        <v>0</v>
      </c>
      <c r="AE216" s="164" t="s">
        <v>0</v>
      </c>
      <c r="AF216" s="164" t="s">
        <v>0</v>
      </c>
      <c r="AG216" s="164" t="s">
        <v>0</v>
      </c>
      <c r="AH216" s="164" t="s">
        <v>0</v>
      </c>
      <c r="AI216" s="164" t="s">
        <v>0</v>
      </c>
      <c r="AJ216" s="164" t="s">
        <v>0</v>
      </c>
      <c r="AK216" s="164" t="s">
        <v>0</v>
      </c>
      <c r="AL216" s="164" t="s">
        <v>0</v>
      </c>
      <c r="AM216" s="164" t="s">
        <v>0</v>
      </c>
      <c r="AN216" s="164" t="s">
        <v>0</v>
      </c>
      <c r="AO216" s="164" t="s">
        <v>0</v>
      </c>
      <c r="AP216" s="164" t="s">
        <v>0</v>
      </c>
      <c r="AQ216" s="164" t="s">
        <v>0</v>
      </c>
      <c r="AR216" s="164" t="s">
        <v>0</v>
      </c>
      <c r="AS216" s="164" t="s">
        <v>0</v>
      </c>
      <c r="AT216" s="164" t="s">
        <v>0</v>
      </c>
      <c r="AU216" s="164" t="s">
        <v>0</v>
      </c>
      <c r="AV216" s="164" t="s">
        <v>0</v>
      </c>
      <c r="AW216" s="164" t="s">
        <v>0</v>
      </c>
      <c r="AX216" s="164" t="s">
        <v>0</v>
      </c>
      <c r="AY216" s="164" t="s">
        <v>0</v>
      </c>
      <c r="AZ216" s="164" t="s">
        <v>0</v>
      </c>
      <c r="BA216" s="164" t="s">
        <v>0</v>
      </c>
      <c r="BB216" s="164" t="s">
        <v>0</v>
      </c>
      <c r="BC216" s="164" t="s">
        <v>0</v>
      </c>
      <c r="BD216" s="164" t="s">
        <v>0</v>
      </c>
      <c r="BE216" s="164" t="s">
        <v>0</v>
      </c>
      <c r="BF216" s="164" t="s">
        <v>0</v>
      </c>
      <c r="BG216" s="164" t="s">
        <v>0</v>
      </c>
      <c r="BH216" s="164" t="s">
        <v>0</v>
      </c>
      <c r="BI216" s="189"/>
      <c r="DL216">
        <f t="shared" si="1126"/>
        <v>0</v>
      </c>
      <c r="DM216">
        <f t="shared" si="1127"/>
        <v>0</v>
      </c>
      <c r="DN216">
        <f t="shared" si="1128"/>
        <v>0</v>
      </c>
      <c r="DO216">
        <f t="shared" si="1129"/>
        <v>0</v>
      </c>
      <c r="DP216">
        <f t="shared" si="1130"/>
        <v>0</v>
      </c>
      <c r="DQ216">
        <f t="shared" si="1131"/>
        <v>0</v>
      </c>
      <c r="DR216">
        <f t="shared" si="1132"/>
        <v>0</v>
      </c>
      <c r="DS216">
        <f t="shared" si="1133"/>
        <v>0</v>
      </c>
      <c r="DT216">
        <f t="shared" si="1134"/>
        <v>0</v>
      </c>
      <c r="DU216">
        <f t="shared" si="1135"/>
        <v>0</v>
      </c>
      <c r="DV216">
        <f t="shared" si="1136"/>
        <v>0</v>
      </c>
      <c r="DW216">
        <f t="shared" si="1137"/>
        <v>0</v>
      </c>
    </row>
    <row r="217" spans="1:127" x14ac:dyDescent="0.25">
      <c r="A217" s="22">
        <f t="shared" si="1074"/>
        <v>211</v>
      </c>
      <c r="B217" s="59" t="str">
        <f t="shared" si="919"/>
        <v>F0014825901</v>
      </c>
      <c r="C217" s="214" t="str">
        <f t="shared" si="920"/>
        <v>82115-0EZ30</v>
      </c>
      <c r="D217" s="58" t="e">
        <f>VLOOKUP(B217,'Timing Table'!B:G,6,0)</f>
        <v>#N/A</v>
      </c>
      <c r="E217" s="22" t="e">
        <f>VLOOKUP(B217,'Timing Table'!B:D,3,0)</f>
        <v>#N/A</v>
      </c>
      <c r="F217" s="155" t="s">
        <v>61</v>
      </c>
      <c r="G217" s="181">
        <v>5500990621</v>
      </c>
      <c r="H217" s="155" t="s">
        <v>62</v>
      </c>
      <c r="I217" s="181">
        <v>156</v>
      </c>
      <c r="J217" s="155" t="s">
        <v>63</v>
      </c>
      <c r="K217" s="160">
        <v>1121480</v>
      </c>
      <c r="L217" s="161"/>
      <c r="M217" s="190" t="s">
        <v>64</v>
      </c>
      <c r="N217" s="191"/>
      <c r="O217" s="192">
        <v>46086</v>
      </c>
      <c r="P217" s="155" t="s">
        <v>65</v>
      </c>
      <c r="Q217" s="181">
        <v>4</v>
      </c>
      <c r="R217" s="6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0</v>
      </c>
      <c r="AH217" s="7" t="s">
        <v>0</v>
      </c>
      <c r="AI217" s="7" t="s">
        <v>0</v>
      </c>
      <c r="AJ217" s="7" t="s">
        <v>0</v>
      </c>
      <c r="AK217" s="7" t="s">
        <v>0</v>
      </c>
      <c r="AL217" s="7" t="s">
        <v>0</v>
      </c>
      <c r="AM217" s="7" t="s">
        <v>0</v>
      </c>
      <c r="AN217" s="7" t="s">
        <v>0</v>
      </c>
      <c r="AO217" s="7" t="s">
        <v>0</v>
      </c>
      <c r="AP217" s="7" t="s">
        <v>0</v>
      </c>
      <c r="AQ217" s="7" t="s">
        <v>0</v>
      </c>
      <c r="AR217" s="7" t="s">
        <v>0</v>
      </c>
      <c r="AS217" s="7" t="s">
        <v>0</v>
      </c>
      <c r="AT217" s="7" t="s">
        <v>0</v>
      </c>
      <c r="AU217" s="7" t="s">
        <v>0</v>
      </c>
      <c r="AV217" s="7" t="s">
        <v>0</v>
      </c>
      <c r="AW217" s="7" t="s">
        <v>0</v>
      </c>
      <c r="AX217" s="7" t="s">
        <v>0</v>
      </c>
      <c r="AY217" s="7" t="s">
        <v>0</v>
      </c>
      <c r="AZ217" s="7" t="s">
        <v>0</v>
      </c>
      <c r="BA217" s="7" t="s">
        <v>0</v>
      </c>
      <c r="BB217" s="7" t="s">
        <v>0</v>
      </c>
      <c r="BC217" s="7" t="s">
        <v>0</v>
      </c>
      <c r="BD217" s="7" t="s">
        <v>0</v>
      </c>
      <c r="BE217" s="7" t="s">
        <v>0</v>
      </c>
      <c r="BF217" s="7" t="s">
        <v>0</v>
      </c>
      <c r="BG217" s="7" t="s">
        <v>0</v>
      </c>
      <c r="BH217" s="7" t="s">
        <v>0</v>
      </c>
      <c r="BI217" s="8"/>
      <c r="DL217">
        <f t="shared" si="1126"/>
        <v>0</v>
      </c>
      <c r="DM217">
        <f t="shared" si="1127"/>
        <v>0</v>
      </c>
      <c r="DN217">
        <f t="shared" si="1128"/>
        <v>0</v>
      </c>
      <c r="DO217">
        <f t="shared" si="1129"/>
        <v>0</v>
      </c>
      <c r="DP217">
        <f t="shared" si="1130"/>
        <v>0</v>
      </c>
      <c r="DQ217">
        <f t="shared" si="1131"/>
        <v>0</v>
      </c>
      <c r="DR217">
        <f t="shared" si="1132"/>
        <v>0</v>
      </c>
      <c r="DS217">
        <f t="shared" si="1133"/>
        <v>0</v>
      </c>
      <c r="DT217">
        <f t="shared" si="1134"/>
        <v>0</v>
      </c>
      <c r="DU217">
        <f t="shared" si="1135"/>
        <v>0</v>
      </c>
      <c r="DV217">
        <f t="shared" si="1136"/>
        <v>0</v>
      </c>
      <c r="DW217">
        <f t="shared" si="1137"/>
        <v>0</v>
      </c>
    </row>
    <row r="218" spans="1:127" x14ac:dyDescent="0.25">
      <c r="A218" s="22">
        <f t="shared" si="1074"/>
        <v>212</v>
      </c>
      <c r="B218" s="59" t="str">
        <f t="shared" si="919"/>
        <v>F0014825901</v>
      </c>
      <c r="C218" s="214" t="str">
        <f t="shared" si="920"/>
        <v>82115-0EZ30</v>
      </c>
      <c r="D218" s="58" t="e">
        <f>VLOOKUP(B218,'Timing Table'!B:G,6,0)</f>
        <v>#N/A</v>
      </c>
      <c r="E218" s="22" t="e">
        <f>VLOOKUP(B218,'Timing Table'!B:D,3,0)</f>
        <v>#N/A</v>
      </c>
      <c r="F218" s="155" t="s">
        <v>66</v>
      </c>
      <c r="G218" s="181" t="s">
        <v>268</v>
      </c>
      <c r="H218" s="155" t="s">
        <v>67</v>
      </c>
      <c r="I218" s="182" t="s">
        <v>269</v>
      </c>
      <c r="J218" s="183"/>
      <c r="K218" s="183"/>
      <c r="L218" s="161"/>
      <c r="M218" s="155" t="s">
        <v>68</v>
      </c>
      <c r="N218" s="181">
        <v>2025</v>
      </c>
      <c r="O218" s="184" t="s">
        <v>69</v>
      </c>
      <c r="P218" s="185"/>
      <c r="Q218" s="193" t="s">
        <v>265</v>
      </c>
      <c r="R218" s="156" t="s">
        <v>0</v>
      </c>
      <c r="S218" s="157" t="s">
        <v>0</v>
      </c>
      <c r="T218" s="157" t="s">
        <v>0</v>
      </c>
      <c r="U218" s="157" t="s">
        <v>0</v>
      </c>
      <c r="V218" s="157" t="s">
        <v>0</v>
      </c>
      <c r="W218" s="157" t="s">
        <v>0</v>
      </c>
      <c r="X218" s="157" t="s">
        <v>0</v>
      </c>
      <c r="Y218" s="157" t="s">
        <v>0</v>
      </c>
      <c r="Z218" s="157" t="s">
        <v>0</v>
      </c>
      <c r="AA218" s="157" t="s">
        <v>0</v>
      </c>
      <c r="AB218" s="157" t="s">
        <v>0</v>
      </c>
      <c r="AC218" s="157" t="s">
        <v>0</v>
      </c>
      <c r="AD218" s="157" t="s">
        <v>0</v>
      </c>
      <c r="AE218" s="157" t="s">
        <v>0</v>
      </c>
      <c r="AF218" s="157" t="s">
        <v>0</v>
      </c>
      <c r="AG218" s="157" t="s">
        <v>0</v>
      </c>
      <c r="AH218" s="157" t="s">
        <v>0</v>
      </c>
      <c r="AI218" s="157" t="s">
        <v>0</v>
      </c>
      <c r="AJ218" s="157" t="s">
        <v>0</v>
      </c>
      <c r="AK218" s="157" t="s">
        <v>0</v>
      </c>
      <c r="AL218" s="157" t="s">
        <v>0</v>
      </c>
      <c r="AM218" s="157" t="s">
        <v>0</v>
      </c>
      <c r="AN218" s="157" t="s">
        <v>0</v>
      </c>
      <c r="AO218" s="157" t="s">
        <v>0</v>
      </c>
      <c r="AP218" s="157" t="s">
        <v>0</v>
      </c>
      <c r="AQ218" s="157" t="s">
        <v>0</v>
      </c>
      <c r="AR218" s="157" t="s">
        <v>0</v>
      </c>
      <c r="AS218" s="157" t="s">
        <v>0</v>
      </c>
      <c r="AT218" s="157" t="s">
        <v>0</v>
      </c>
      <c r="AU218" s="157" t="s">
        <v>0</v>
      </c>
      <c r="AV218" s="157" t="s">
        <v>0</v>
      </c>
      <c r="AW218" s="157" t="s">
        <v>0</v>
      </c>
      <c r="AX218" s="157" t="s">
        <v>0</v>
      </c>
      <c r="AY218" s="157" t="s">
        <v>0</v>
      </c>
      <c r="AZ218" s="157" t="s">
        <v>0</v>
      </c>
      <c r="BA218" s="157" t="s">
        <v>0</v>
      </c>
      <c r="BB218" s="157" t="s">
        <v>0</v>
      </c>
      <c r="BC218" s="157" t="s">
        <v>0</v>
      </c>
      <c r="BD218" s="157" t="s">
        <v>0</v>
      </c>
      <c r="BE218" s="157" t="s">
        <v>0</v>
      </c>
      <c r="BF218" s="157" t="s">
        <v>0</v>
      </c>
      <c r="BG218" s="157" t="s">
        <v>0</v>
      </c>
      <c r="BH218" s="157" t="s">
        <v>0</v>
      </c>
      <c r="BI218" s="158"/>
      <c r="DL218">
        <f t="shared" si="1126"/>
        <v>0</v>
      </c>
      <c r="DM218">
        <f t="shared" si="1127"/>
        <v>0</v>
      </c>
      <c r="DN218">
        <f t="shared" si="1128"/>
        <v>0</v>
      </c>
      <c r="DO218">
        <f t="shared" si="1129"/>
        <v>0</v>
      </c>
      <c r="DP218">
        <f t="shared" si="1130"/>
        <v>0</v>
      </c>
      <c r="DQ218">
        <f t="shared" si="1131"/>
        <v>0</v>
      </c>
      <c r="DR218">
        <f t="shared" si="1132"/>
        <v>0</v>
      </c>
      <c r="DS218">
        <f t="shared" si="1133"/>
        <v>0</v>
      </c>
      <c r="DT218">
        <f t="shared" si="1134"/>
        <v>0</v>
      </c>
      <c r="DU218">
        <f t="shared" si="1135"/>
        <v>0</v>
      </c>
      <c r="DV218">
        <f t="shared" si="1136"/>
        <v>0</v>
      </c>
      <c r="DW218">
        <f t="shared" si="1137"/>
        <v>0</v>
      </c>
    </row>
    <row r="219" spans="1:127" x14ac:dyDescent="0.25">
      <c r="A219" s="22">
        <f t="shared" si="1074"/>
        <v>213</v>
      </c>
      <c r="B219" s="59" t="str">
        <f t="shared" si="919"/>
        <v>F0014825901</v>
      </c>
      <c r="C219" s="214" t="str">
        <f t="shared" si="920"/>
        <v>82115-0EZ30</v>
      </c>
      <c r="D219" s="58" t="e">
        <f>VLOOKUP(B219,'Timing Table'!B:G,6,0)</f>
        <v>#N/A</v>
      </c>
      <c r="E219" s="22" t="e">
        <f>VLOOKUP(B219,'Timing Table'!B:D,3,0)</f>
        <v>#N/A</v>
      </c>
      <c r="F219" s="155" t="s">
        <v>70</v>
      </c>
      <c r="G219" s="181" t="s">
        <v>243</v>
      </c>
      <c r="H219" s="155" t="s">
        <v>71</v>
      </c>
      <c r="I219" s="182" t="s">
        <v>60</v>
      </c>
      <c r="J219" s="161" t="s">
        <v>0</v>
      </c>
      <c r="K219" s="194" t="s">
        <v>0</v>
      </c>
      <c r="L219" s="195" t="s">
        <v>0</v>
      </c>
      <c r="M219" s="179" t="s">
        <v>0</v>
      </c>
      <c r="N219" s="179" t="s">
        <v>0</v>
      </c>
      <c r="O219" s="179" t="s">
        <v>0</v>
      </c>
      <c r="P219" s="179" t="s">
        <v>0</v>
      </c>
      <c r="Q219" s="179" t="s">
        <v>1</v>
      </c>
      <c r="R219" s="179" t="s">
        <v>2</v>
      </c>
      <c r="S219" s="179" t="s">
        <v>0</v>
      </c>
      <c r="T219" s="179" t="s">
        <v>0</v>
      </c>
      <c r="U219" s="179" t="s">
        <v>0</v>
      </c>
      <c r="V219" s="179" t="s">
        <v>0</v>
      </c>
      <c r="W219" s="179" t="s">
        <v>0</v>
      </c>
      <c r="X219" s="179" t="s">
        <v>0</v>
      </c>
      <c r="Y219" s="179" t="s">
        <v>0</v>
      </c>
      <c r="Z219" s="179" t="s">
        <v>3</v>
      </c>
      <c r="AA219" s="179" t="s">
        <v>0</v>
      </c>
      <c r="AB219" s="179" t="s">
        <v>0</v>
      </c>
      <c r="AC219" s="179" t="s">
        <v>0</v>
      </c>
      <c r="AD219" s="179" t="s">
        <v>0</v>
      </c>
      <c r="AE219" s="179" t="s">
        <v>0</v>
      </c>
      <c r="AF219" s="179" t="s">
        <v>0</v>
      </c>
      <c r="AG219" s="179" t="s">
        <v>0</v>
      </c>
      <c r="AH219" s="179" t="s">
        <v>0</v>
      </c>
      <c r="AI219" s="179" t="s">
        <v>0</v>
      </c>
      <c r="AJ219" s="179" t="s">
        <v>0</v>
      </c>
      <c r="AK219" s="179" t="s">
        <v>0</v>
      </c>
      <c r="AL219" s="179" t="s">
        <v>0</v>
      </c>
      <c r="AM219" s="179" t="s">
        <v>0</v>
      </c>
      <c r="AN219" s="179" t="s">
        <v>0</v>
      </c>
      <c r="AO219" s="179" t="s">
        <v>0</v>
      </c>
      <c r="AP219" s="179" t="s">
        <v>0</v>
      </c>
      <c r="AQ219" s="179" t="s">
        <v>0</v>
      </c>
      <c r="AR219" s="179" t="s">
        <v>0</v>
      </c>
      <c r="AS219" s="179" t="s">
        <v>0</v>
      </c>
      <c r="AT219" s="179" t="s">
        <v>0</v>
      </c>
      <c r="AU219" s="179" t="s">
        <v>0</v>
      </c>
      <c r="AV219" s="179" t="s">
        <v>0</v>
      </c>
      <c r="AW219" s="179" t="s">
        <v>0</v>
      </c>
      <c r="AX219" s="179" t="s">
        <v>0</v>
      </c>
      <c r="AY219" s="179" t="s">
        <v>0</v>
      </c>
      <c r="AZ219" s="179" t="s">
        <v>0</v>
      </c>
      <c r="BA219" s="179" t="s">
        <v>0</v>
      </c>
      <c r="BB219" s="179" t="s">
        <v>0</v>
      </c>
      <c r="BC219" s="179" t="s">
        <v>0</v>
      </c>
      <c r="BD219" s="179" t="s">
        <v>0</v>
      </c>
      <c r="BE219" s="179" t="s">
        <v>0</v>
      </c>
      <c r="BF219" s="179" t="s">
        <v>0</v>
      </c>
      <c r="BG219" s="179" t="s">
        <v>0</v>
      </c>
      <c r="BH219" s="179" t="s">
        <v>0</v>
      </c>
      <c r="BI219" s="180" t="s">
        <v>4</v>
      </c>
      <c r="DL219">
        <f t="shared" si="1126"/>
        <v>0</v>
      </c>
      <c r="DM219">
        <f t="shared" si="1127"/>
        <v>0</v>
      </c>
      <c r="DN219">
        <f t="shared" si="1128"/>
        <v>0</v>
      </c>
      <c r="DO219">
        <f t="shared" si="1129"/>
        <v>0</v>
      </c>
      <c r="DP219">
        <f t="shared" si="1130"/>
        <v>0</v>
      </c>
      <c r="DQ219">
        <f t="shared" si="1131"/>
        <v>0</v>
      </c>
      <c r="DR219">
        <f t="shared" si="1132"/>
        <v>0</v>
      </c>
      <c r="DS219">
        <f t="shared" si="1133"/>
        <v>0</v>
      </c>
      <c r="DT219">
        <f t="shared" si="1134"/>
        <v>0</v>
      </c>
      <c r="DU219">
        <f t="shared" si="1135"/>
        <v>0</v>
      </c>
      <c r="DV219">
        <f t="shared" si="1136"/>
        <v>0</v>
      </c>
      <c r="DW219">
        <f t="shared" si="1137"/>
        <v>0</v>
      </c>
    </row>
    <row r="220" spans="1:127" x14ac:dyDescent="0.25">
      <c r="A220" s="22">
        <f t="shared" si="1074"/>
        <v>214</v>
      </c>
      <c r="B220" s="59" t="str">
        <f t="shared" si="919"/>
        <v>F0014825901</v>
      </c>
      <c r="C220" s="214" t="str">
        <f t="shared" si="920"/>
        <v>82115-0EZ30</v>
      </c>
      <c r="D220" s="58" t="e">
        <f>VLOOKUP(B220,'Timing Table'!B:G,6,0)</f>
        <v>#N/A</v>
      </c>
      <c r="E220" s="22" t="e">
        <f>VLOOKUP(B220,'Timing Table'!B:D,3,0)</f>
        <v>#N/A</v>
      </c>
      <c r="F220" s="155" t="s">
        <v>72</v>
      </c>
      <c r="G220" s="181">
        <v>4</v>
      </c>
      <c r="H220" s="196" t="s">
        <v>414</v>
      </c>
      <c r="I220" s="197" t="s">
        <v>73</v>
      </c>
      <c r="J220" s="13">
        <v>46041</v>
      </c>
      <c r="K220" s="14">
        <v>46048</v>
      </c>
      <c r="L220" s="14">
        <v>46055</v>
      </c>
      <c r="M220" s="14">
        <v>46062</v>
      </c>
      <c r="N220" s="14">
        <v>46069</v>
      </c>
      <c r="O220" s="14">
        <v>46076</v>
      </c>
      <c r="P220" s="14">
        <v>46083</v>
      </c>
      <c r="Q220" s="14">
        <v>46090</v>
      </c>
      <c r="R220" s="14">
        <v>46097</v>
      </c>
      <c r="S220" s="14">
        <v>46104</v>
      </c>
      <c r="T220" s="14">
        <v>46111</v>
      </c>
      <c r="U220" s="14">
        <v>46118</v>
      </c>
      <c r="V220" s="14">
        <v>46125</v>
      </c>
      <c r="W220" s="14">
        <v>46132</v>
      </c>
      <c r="X220" s="14">
        <v>46139</v>
      </c>
      <c r="Y220" s="14">
        <v>46146</v>
      </c>
      <c r="Z220" s="14">
        <v>46153</v>
      </c>
      <c r="AA220" s="14">
        <v>46160</v>
      </c>
      <c r="AB220" s="14">
        <v>46167</v>
      </c>
      <c r="AC220" s="14">
        <v>46174</v>
      </c>
      <c r="AD220" s="14">
        <v>46181</v>
      </c>
      <c r="AE220" s="14">
        <v>46188</v>
      </c>
      <c r="AF220" s="14">
        <v>46195</v>
      </c>
      <c r="AG220" s="14">
        <v>46202</v>
      </c>
      <c r="AH220" s="14">
        <v>46209</v>
      </c>
      <c r="AI220" s="14">
        <v>46216</v>
      </c>
      <c r="AJ220" s="14">
        <v>46223</v>
      </c>
      <c r="AK220" s="14">
        <v>46230</v>
      </c>
      <c r="AL220" s="14">
        <v>46237</v>
      </c>
      <c r="AM220" s="14">
        <v>46244</v>
      </c>
      <c r="AN220" s="14">
        <v>46251</v>
      </c>
      <c r="AO220" s="14">
        <v>46258</v>
      </c>
      <c r="AP220" s="14">
        <v>46265</v>
      </c>
      <c r="AQ220" s="14">
        <v>46272</v>
      </c>
      <c r="AR220" s="14">
        <v>46279</v>
      </c>
      <c r="AS220" s="14">
        <v>46286</v>
      </c>
      <c r="AT220" s="14">
        <v>46293</v>
      </c>
      <c r="AU220" s="14">
        <v>46300</v>
      </c>
      <c r="AV220" s="14">
        <v>46307</v>
      </c>
      <c r="AW220" s="14">
        <v>46314</v>
      </c>
      <c r="AX220" s="14">
        <v>46321</v>
      </c>
      <c r="AY220" s="14">
        <v>46328</v>
      </c>
      <c r="AZ220" s="14">
        <v>46335</v>
      </c>
      <c r="BA220" s="14">
        <v>46342</v>
      </c>
      <c r="BB220" s="14">
        <v>46349</v>
      </c>
      <c r="BC220" s="14">
        <v>46356</v>
      </c>
      <c r="BD220" s="14">
        <v>46363</v>
      </c>
      <c r="BE220" s="14">
        <v>46370</v>
      </c>
      <c r="BF220" s="14">
        <v>46377</v>
      </c>
      <c r="BG220" s="14">
        <v>46384</v>
      </c>
      <c r="BH220" s="14">
        <v>46391</v>
      </c>
      <c r="BI220" s="15">
        <v>46398</v>
      </c>
      <c r="DL220">
        <f t="shared" si="1126"/>
        <v>0</v>
      </c>
      <c r="DM220">
        <f t="shared" si="1127"/>
        <v>0</v>
      </c>
      <c r="DN220">
        <f t="shared" si="1128"/>
        <v>0</v>
      </c>
      <c r="DO220">
        <f t="shared" si="1129"/>
        <v>0</v>
      </c>
      <c r="DP220">
        <f t="shared" si="1130"/>
        <v>0</v>
      </c>
      <c r="DQ220">
        <f t="shared" si="1131"/>
        <v>0</v>
      </c>
      <c r="DR220">
        <f t="shared" si="1132"/>
        <v>0</v>
      </c>
      <c r="DS220">
        <f t="shared" si="1133"/>
        <v>0</v>
      </c>
      <c r="DT220">
        <f t="shared" si="1134"/>
        <v>0</v>
      </c>
      <c r="DU220">
        <f t="shared" si="1135"/>
        <v>0</v>
      </c>
      <c r="DV220">
        <f t="shared" si="1136"/>
        <v>0</v>
      </c>
      <c r="DW220">
        <f t="shared" si="1137"/>
        <v>0</v>
      </c>
    </row>
    <row r="221" spans="1:127" x14ac:dyDescent="0.25">
      <c r="A221" s="22">
        <f t="shared" si="1074"/>
        <v>215</v>
      </c>
      <c r="B221" s="59" t="str">
        <f t="shared" si="919"/>
        <v>F0014825901</v>
      </c>
      <c r="C221" s="214" t="str">
        <f t="shared" si="920"/>
        <v>82115-0EZ30</v>
      </c>
      <c r="D221" s="58" t="e">
        <f>VLOOKUP(B221,'Timing Table'!B:G,6,0)</f>
        <v>#N/A</v>
      </c>
      <c r="E221" s="22" t="e">
        <f>VLOOKUP(B221,'Timing Table'!B:D,3,0)</f>
        <v>#N/A</v>
      </c>
      <c r="F221" s="155" t="s">
        <v>74</v>
      </c>
      <c r="G221" s="181">
        <v>4</v>
      </c>
      <c r="H221" s="5" t="s">
        <v>60</v>
      </c>
      <c r="I221" s="11" t="s">
        <v>147</v>
      </c>
      <c r="J221" s="16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17"/>
      <c r="DL221">
        <f t="shared" si="1126"/>
        <v>0</v>
      </c>
      <c r="DM221">
        <f t="shared" si="1127"/>
        <v>0</v>
      </c>
      <c r="DN221">
        <f t="shared" si="1128"/>
        <v>0</v>
      </c>
      <c r="DO221">
        <f t="shared" si="1129"/>
        <v>0</v>
      </c>
      <c r="DP221">
        <f t="shared" si="1130"/>
        <v>0</v>
      </c>
      <c r="DQ221">
        <f t="shared" si="1131"/>
        <v>0</v>
      </c>
      <c r="DR221">
        <f t="shared" si="1132"/>
        <v>0</v>
      </c>
      <c r="DS221">
        <f t="shared" si="1133"/>
        <v>0</v>
      </c>
      <c r="DT221">
        <f t="shared" si="1134"/>
        <v>0</v>
      </c>
      <c r="DU221">
        <f t="shared" si="1135"/>
        <v>0</v>
      </c>
      <c r="DV221">
        <f t="shared" si="1136"/>
        <v>0</v>
      </c>
      <c r="DW221">
        <f t="shared" si="1137"/>
        <v>0</v>
      </c>
    </row>
    <row r="222" spans="1:127" x14ac:dyDescent="0.25">
      <c r="A222" s="22">
        <f t="shared" si="1074"/>
        <v>216</v>
      </c>
      <c r="B222" s="59" t="str">
        <f t="shared" si="919"/>
        <v>F0014825901</v>
      </c>
      <c r="C222" s="214" t="str">
        <f t="shared" si="920"/>
        <v>82115-0EZ30</v>
      </c>
      <c r="D222" s="58" t="e">
        <f>VLOOKUP(B222,'Timing Table'!B:G,6,0)</f>
        <v>#N/A</v>
      </c>
      <c r="E222" s="22" t="e">
        <f>VLOOKUP(B222,'Timing Table'!B:D,3,0)</f>
        <v>#N/A</v>
      </c>
      <c r="F222" s="155" t="s">
        <v>75</v>
      </c>
      <c r="G222" s="198" t="s">
        <v>257</v>
      </c>
      <c r="H222" s="9" t="s">
        <v>243</v>
      </c>
      <c r="I222" s="11" t="s">
        <v>76</v>
      </c>
      <c r="J222" s="143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  <c r="AI222" s="64">
        <v>0</v>
      </c>
      <c r="AJ222" s="64">
        <v>0</v>
      </c>
      <c r="AK222" s="64">
        <v>0</v>
      </c>
      <c r="AL222" s="64">
        <v>0</v>
      </c>
      <c r="AM222" s="64">
        <v>0</v>
      </c>
      <c r="AN222" s="64">
        <v>0</v>
      </c>
      <c r="AO222" s="64">
        <v>0</v>
      </c>
      <c r="AP222" s="64">
        <v>0</v>
      </c>
      <c r="AQ222" s="64">
        <v>0</v>
      </c>
      <c r="AR222" s="64">
        <v>0</v>
      </c>
      <c r="AS222" s="64">
        <v>0</v>
      </c>
      <c r="AT222" s="64">
        <v>0</v>
      </c>
      <c r="AU222" s="64">
        <v>0</v>
      </c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0</v>
      </c>
      <c r="BD222" s="64">
        <v>0</v>
      </c>
      <c r="BE222" s="64">
        <v>0</v>
      </c>
      <c r="BF222" s="64">
        <v>0</v>
      </c>
      <c r="BG222" s="64">
        <v>0</v>
      </c>
      <c r="BH222" s="64">
        <v>0</v>
      </c>
      <c r="BI222" s="144">
        <v>0</v>
      </c>
      <c r="BJ222" s="24" t="str">
        <f>+G219</f>
        <v>82115-0EZ30</v>
      </c>
      <c r="BK222" s="24">
        <f>+J222</f>
        <v>0</v>
      </c>
      <c r="BL222" s="24">
        <f t="shared" ref="BL222" si="1189">+K222</f>
        <v>0</v>
      </c>
      <c r="BM222" s="24">
        <f t="shared" ref="BM222" si="1190">+L222</f>
        <v>0</v>
      </c>
      <c r="BN222" s="24">
        <f t="shared" ref="BN222" si="1191">+M222</f>
        <v>0</v>
      </c>
      <c r="BO222" s="24">
        <f t="shared" ref="BO222" si="1192">+N222</f>
        <v>0</v>
      </c>
      <c r="BP222" s="24">
        <f t="shared" ref="BP222" si="1193">+O222</f>
        <v>0</v>
      </c>
      <c r="BQ222" s="24">
        <f t="shared" ref="BQ222" si="1194">+P222</f>
        <v>0</v>
      </c>
      <c r="BR222" s="24">
        <f t="shared" ref="BR222" si="1195">+Q222</f>
        <v>0</v>
      </c>
      <c r="BS222" s="24">
        <f t="shared" ref="BS222" si="1196">+R222</f>
        <v>0</v>
      </c>
      <c r="BT222" s="24">
        <f t="shared" ref="BT222" si="1197">+S222</f>
        <v>0</v>
      </c>
      <c r="BU222" s="24">
        <f t="shared" ref="BU222" si="1198">+T222</f>
        <v>0</v>
      </c>
      <c r="BV222" s="24">
        <f t="shared" ref="BV222" si="1199">+U222</f>
        <v>0</v>
      </c>
      <c r="BW222" s="24">
        <f t="shared" ref="BW222" si="1200">+V222</f>
        <v>0</v>
      </c>
      <c r="BX222" s="24">
        <f t="shared" ref="BX222" si="1201">+W222</f>
        <v>0</v>
      </c>
      <c r="BY222" s="24">
        <f t="shared" ref="BY222" si="1202">+X222</f>
        <v>0</v>
      </c>
      <c r="BZ222" s="24">
        <f t="shared" ref="BZ222" si="1203">+Y222</f>
        <v>0</v>
      </c>
      <c r="CA222" s="24">
        <f t="shared" ref="CA222" si="1204">+Z222</f>
        <v>0</v>
      </c>
      <c r="CB222" s="24">
        <f t="shared" ref="CB222" si="1205">+AA222</f>
        <v>0</v>
      </c>
      <c r="CC222" s="24">
        <f t="shared" ref="CC222" si="1206">+AB222</f>
        <v>0</v>
      </c>
      <c r="CD222" s="24">
        <f t="shared" ref="CD222" si="1207">+AC222</f>
        <v>0</v>
      </c>
      <c r="CE222" s="24">
        <f t="shared" ref="CE222" si="1208">+AD222</f>
        <v>0</v>
      </c>
      <c r="CF222" s="24">
        <f t="shared" ref="CF222" si="1209">+AE222</f>
        <v>0</v>
      </c>
      <c r="CG222" s="24">
        <f t="shared" ref="CG222" si="1210">+AF222</f>
        <v>0</v>
      </c>
      <c r="CH222" s="24">
        <f t="shared" ref="CH222" si="1211">+AG222</f>
        <v>0</v>
      </c>
      <c r="CI222" s="24">
        <f t="shared" ref="CI222" si="1212">+AH222</f>
        <v>0</v>
      </c>
      <c r="CJ222" s="24">
        <f t="shared" ref="CJ222" si="1213">+AI222</f>
        <v>0</v>
      </c>
      <c r="CK222" s="24">
        <f t="shared" ref="CK222" si="1214">+AJ222</f>
        <v>0</v>
      </c>
      <c r="CL222" s="24">
        <f t="shared" ref="CL222" si="1215">+AK222</f>
        <v>0</v>
      </c>
      <c r="CM222" s="24">
        <f t="shared" ref="CM222" si="1216">+AL222</f>
        <v>0</v>
      </c>
      <c r="CN222" s="24">
        <f t="shared" ref="CN222" si="1217">+AM222</f>
        <v>0</v>
      </c>
      <c r="CO222" s="24">
        <f t="shared" ref="CO222" si="1218">+AN222</f>
        <v>0</v>
      </c>
      <c r="CP222" s="166">
        <f t="shared" ref="CP222" si="1219">+AO222</f>
        <v>0</v>
      </c>
      <c r="CQ222" s="166">
        <f t="shared" ref="CQ222" si="1220">+AP222</f>
        <v>0</v>
      </c>
      <c r="CR222">
        <f t="shared" ref="CR222" si="1221">+AQ222</f>
        <v>0</v>
      </c>
      <c r="CS222">
        <f t="shared" ref="CS222" si="1222">+AR222</f>
        <v>0</v>
      </c>
      <c r="CT222">
        <f t="shared" ref="CT222" si="1223">+AS222</f>
        <v>0</v>
      </c>
      <c r="CU222">
        <f t="shared" ref="CU222" si="1224">+AT222</f>
        <v>0</v>
      </c>
      <c r="CV222">
        <f t="shared" ref="CV222" si="1225">+AU222</f>
        <v>0</v>
      </c>
      <c r="CW222">
        <f t="shared" ref="CW222" si="1226">+AV222</f>
        <v>0</v>
      </c>
      <c r="CX222">
        <f t="shared" ref="CX222" si="1227">+AW222</f>
        <v>0</v>
      </c>
      <c r="CY222">
        <f t="shared" ref="CY222" si="1228">+AX222</f>
        <v>0</v>
      </c>
      <c r="CZ222">
        <f t="shared" ref="CZ222" si="1229">+AY222</f>
        <v>0</v>
      </c>
      <c r="DA222">
        <f t="shared" ref="DA222" si="1230">+AZ222</f>
        <v>0</v>
      </c>
      <c r="DB222">
        <f t="shared" ref="DB222" si="1231">+BA222</f>
        <v>0</v>
      </c>
      <c r="DC222">
        <f t="shared" ref="DC222" si="1232">+BB222</f>
        <v>0</v>
      </c>
      <c r="DD222">
        <f t="shared" ref="DD222" si="1233">+BC222</f>
        <v>0</v>
      </c>
      <c r="DE222">
        <f t="shared" ref="DE222" si="1234">+BD222</f>
        <v>0</v>
      </c>
      <c r="DF222">
        <f t="shared" ref="DF222" si="1235">+BE222</f>
        <v>0</v>
      </c>
      <c r="DG222">
        <f t="shared" ref="DG222" si="1236">+BF222</f>
        <v>0</v>
      </c>
      <c r="DH222">
        <f t="shared" ref="DH222" si="1237">+BG222</f>
        <v>0</v>
      </c>
      <c r="DI222">
        <f t="shared" ref="DI222" si="1238">+BH222</f>
        <v>0</v>
      </c>
      <c r="DJ222">
        <f t="shared" ref="DJ222" si="1239">+BI222</f>
        <v>0</v>
      </c>
      <c r="DL222" s="24">
        <f t="shared" si="1126"/>
        <v>0</v>
      </c>
      <c r="DM222" s="24">
        <f t="shared" si="1127"/>
        <v>0</v>
      </c>
      <c r="DN222" s="24">
        <f t="shared" si="1128"/>
        <v>0</v>
      </c>
      <c r="DO222" s="24">
        <f t="shared" si="1129"/>
        <v>0</v>
      </c>
      <c r="DP222" s="24">
        <f t="shared" si="1130"/>
        <v>0</v>
      </c>
      <c r="DQ222" s="24">
        <f t="shared" si="1131"/>
        <v>0</v>
      </c>
      <c r="DR222" s="24">
        <f t="shared" si="1132"/>
        <v>0</v>
      </c>
      <c r="DS222" s="24">
        <f t="shared" si="1133"/>
        <v>0</v>
      </c>
      <c r="DT222" s="24">
        <f t="shared" si="1134"/>
        <v>0</v>
      </c>
      <c r="DU222">
        <f t="shared" si="1135"/>
        <v>0</v>
      </c>
      <c r="DV222">
        <f t="shared" si="1136"/>
        <v>0</v>
      </c>
      <c r="DW222">
        <f t="shared" si="1137"/>
        <v>0</v>
      </c>
    </row>
    <row r="223" spans="1:127" x14ac:dyDescent="0.25">
      <c r="A223" s="22">
        <f t="shared" si="1074"/>
        <v>217</v>
      </c>
      <c r="B223" s="59" t="str">
        <f t="shared" si="919"/>
        <v>F0014825901</v>
      </c>
      <c r="C223" s="214" t="str">
        <f t="shared" si="920"/>
        <v>82115-0EZ30</v>
      </c>
      <c r="D223" s="58" t="e">
        <f>VLOOKUP(B223,'Timing Table'!B:G,6,0)</f>
        <v>#N/A</v>
      </c>
      <c r="E223" s="22" t="e">
        <f>VLOOKUP(B223,'Timing Table'!B:D,3,0)</f>
        <v>#N/A</v>
      </c>
      <c r="F223" s="155" t="s">
        <v>77</v>
      </c>
      <c r="G223" s="181">
        <v>82115</v>
      </c>
      <c r="H223" s="10" t="s">
        <v>243</v>
      </c>
      <c r="I223" s="12" t="s">
        <v>78</v>
      </c>
      <c r="J223" s="152">
        <v>4</v>
      </c>
      <c r="K223" s="153">
        <v>4</v>
      </c>
      <c r="L223" s="153">
        <v>4</v>
      </c>
      <c r="M223" s="153">
        <v>4</v>
      </c>
      <c r="N223" s="153">
        <v>4</v>
      </c>
      <c r="O223" s="153">
        <v>4</v>
      </c>
      <c r="P223" s="153">
        <v>4</v>
      </c>
      <c r="Q223" s="153">
        <v>4</v>
      </c>
      <c r="R223" s="153">
        <v>4</v>
      </c>
      <c r="S223" s="153">
        <v>4</v>
      </c>
      <c r="T223" s="153">
        <v>4</v>
      </c>
      <c r="U223" s="153">
        <v>4</v>
      </c>
      <c r="V223" s="153">
        <v>4</v>
      </c>
      <c r="W223" s="153">
        <v>4</v>
      </c>
      <c r="X223" s="153">
        <v>4</v>
      </c>
      <c r="Y223" s="153">
        <v>4</v>
      </c>
      <c r="Z223" s="153">
        <v>4</v>
      </c>
      <c r="AA223" s="153">
        <v>4</v>
      </c>
      <c r="AB223" s="153">
        <v>4</v>
      </c>
      <c r="AC223" s="153">
        <v>4</v>
      </c>
      <c r="AD223" s="153">
        <v>4</v>
      </c>
      <c r="AE223" s="153">
        <v>4</v>
      </c>
      <c r="AF223" s="153">
        <v>4</v>
      </c>
      <c r="AG223" s="153">
        <v>4</v>
      </c>
      <c r="AH223" s="153">
        <v>4</v>
      </c>
      <c r="AI223" s="153">
        <v>4</v>
      </c>
      <c r="AJ223" s="153">
        <v>4</v>
      </c>
      <c r="AK223" s="153">
        <v>4</v>
      </c>
      <c r="AL223" s="153">
        <v>4</v>
      </c>
      <c r="AM223" s="153">
        <v>4</v>
      </c>
      <c r="AN223" s="153">
        <v>4</v>
      </c>
      <c r="AO223" s="153">
        <v>4</v>
      </c>
      <c r="AP223" s="153">
        <v>4</v>
      </c>
      <c r="AQ223" s="153">
        <v>4</v>
      </c>
      <c r="AR223" s="153">
        <v>4</v>
      </c>
      <c r="AS223" s="153">
        <v>4</v>
      </c>
      <c r="AT223" s="153">
        <v>4</v>
      </c>
      <c r="AU223" s="153">
        <v>4</v>
      </c>
      <c r="AV223" s="153">
        <v>4</v>
      </c>
      <c r="AW223" s="153">
        <v>4</v>
      </c>
      <c r="AX223" s="153">
        <v>4</v>
      </c>
      <c r="AY223" s="153">
        <v>4</v>
      </c>
      <c r="AZ223" s="153">
        <v>4</v>
      </c>
      <c r="BA223" s="153">
        <v>4</v>
      </c>
      <c r="BB223" s="153">
        <v>4</v>
      </c>
      <c r="BC223" s="153">
        <v>4</v>
      </c>
      <c r="BD223" s="153">
        <v>4</v>
      </c>
      <c r="BE223" s="153">
        <v>4</v>
      </c>
      <c r="BF223" s="153">
        <v>4</v>
      </c>
      <c r="BG223" s="153">
        <v>4</v>
      </c>
      <c r="BH223" s="153">
        <v>4</v>
      </c>
      <c r="BI223" s="153">
        <v>4</v>
      </c>
      <c r="DL223">
        <f t="shared" si="1126"/>
        <v>0</v>
      </c>
      <c r="DM223">
        <f t="shared" si="1127"/>
        <v>0</v>
      </c>
      <c r="DN223">
        <f t="shared" si="1128"/>
        <v>0</v>
      </c>
      <c r="DO223">
        <f t="shared" si="1129"/>
        <v>0</v>
      </c>
      <c r="DP223">
        <f t="shared" si="1130"/>
        <v>0</v>
      </c>
      <c r="DQ223">
        <f t="shared" si="1131"/>
        <v>0</v>
      </c>
      <c r="DR223">
        <f t="shared" si="1132"/>
        <v>0</v>
      </c>
      <c r="DS223">
        <f t="shared" si="1133"/>
        <v>0</v>
      </c>
      <c r="DT223">
        <f t="shared" si="1134"/>
        <v>0</v>
      </c>
      <c r="DU223">
        <f t="shared" si="1135"/>
        <v>0</v>
      </c>
      <c r="DV223">
        <f t="shared" si="1136"/>
        <v>0</v>
      </c>
      <c r="DW223">
        <f t="shared" si="1137"/>
        <v>0</v>
      </c>
    </row>
    <row r="224" spans="1:127" x14ac:dyDescent="0.25">
      <c r="A224" s="22">
        <f t="shared" si="1074"/>
        <v>218</v>
      </c>
      <c r="B224" s="59" t="str">
        <f t="shared" si="919"/>
        <v>F0014825901</v>
      </c>
      <c r="C224" s="214" t="str">
        <f t="shared" si="920"/>
        <v>82115-0EZ30</v>
      </c>
      <c r="D224" s="58" t="e">
        <f>VLOOKUP(B224,'Timing Table'!B:G,6,0)</f>
        <v>#N/A</v>
      </c>
      <c r="E224" s="22" t="e">
        <f>VLOOKUP(B224,'Timing Table'!B:D,3,0)</f>
        <v>#N/A</v>
      </c>
      <c r="F224" s="155" t="s">
        <v>79</v>
      </c>
      <c r="G224" s="199">
        <v>4</v>
      </c>
      <c r="H224" s="184" t="s">
        <v>80</v>
      </c>
      <c r="I224" s="185"/>
      <c r="J224" s="200" t="s">
        <v>310</v>
      </c>
      <c r="K224" s="156"/>
      <c r="L224" s="157" t="s">
        <v>0</v>
      </c>
      <c r="M224" s="157" t="s">
        <v>0</v>
      </c>
      <c r="N224" s="157" t="s">
        <v>0</v>
      </c>
      <c r="O224" s="157" t="s">
        <v>0</v>
      </c>
      <c r="P224" s="157" t="s">
        <v>0</v>
      </c>
      <c r="Q224" s="157" t="s">
        <v>0</v>
      </c>
      <c r="R224" s="157" t="s">
        <v>0</v>
      </c>
      <c r="S224" s="157" t="s">
        <v>0</v>
      </c>
      <c r="T224" s="157" t="s">
        <v>0</v>
      </c>
      <c r="U224" s="157" t="s">
        <v>0</v>
      </c>
      <c r="V224" s="157" t="s">
        <v>0</v>
      </c>
      <c r="W224" s="157" t="s">
        <v>0</v>
      </c>
      <c r="X224" s="157" t="s">
        <v>0</v>
      </c>
      <c r="Y224" s="157" t="s">
        <v>0</v>
      </c>
      <c r="Z224" s="157" t="s">
        <v>0</v>
      </c>
      <c r="AA224" s="157" t="s">
        <v>0</v>
      </c>
      <c r="AB224" s="157" t="s">
        <v>0</v>
      </c>
      <c r="AC224" s="157" t="s">
        <v>0</v>
      </c>
      <c r="AD224" s="157" t="s">
        <v>0</v>
      </c>
      <c r="AE224" s="157" t="s">
        <v>0</v>
      </c>
      <c r="AF224" s="157" t="s">
        <v>0</v>
      </c>
      <c r="AG224" s="157" t="s">
        <v>0</v>
      </c>
      <c r="AH224" s="157" t="s">
        <v>0</v>
      </c>
      <c r="AI224" s="157" t="s">
        <v>0</v>
      </c>
      <c r="AJ224" s="157" t="s">
        <v>0</v>
      </c>
      <c r="AK224" s="157" t="s">
        <v>0</v>
      </c>
      <c r="AL224" s="157" t="s">
        <v>0</v>
      </c>
      <c r="AM224" s="157" t="s">
        <v>0</v>
      </c>
      <c r="AN224" s="157" t="s">
        <v>0</v>
      </c>
      <c r="AO224" s="157" t="s">
        <v>0</v>
      </c>
      <c r="AP224" s="157" t="s">
        <v>0</v>
      </c>
      <c r="AQ224" s="157" t="s">
        <v>0</v>
      </c>
      <c r="AR224" s="157" t="s">
        <v>0</v>
      </c>
      <c r="AS224" s="157" t="s">
        <v>0</v>
      </c>
      <c r="AT224" s="157" t="s">
        <v>0</v>
      </c>
      <c r="AU224" s="157" t="s">
        <v>0</v>
      </c>
      <c r="AV224" s="157" t="s">
        <v>0</v>
      </c>
      <c r="AW224" s="157" t="s">
        <v>0</v>
      </c>
      <c r="AX224" s="157" t="s">
        <v>0</v>
      </c>
      <c r="AY224" s="157" t="s">
        <v>0</v>
      </c>
      <c r="AZ224" s="157" t="s">
        <v>0</v>
      </c>
      <c r="BA224" s="157" t="s">
        <v>0</v>
      </c>
      <c r="BB224" s="157" t="s">
        <v>0</v>
      </c>
      <c r="BC224" s="157" t="s">
        <v>0</v>
      </c>
      <c r="BD224" s="157" t="s">
        <v>0</v>
      </c>
      <c r="BE224" s="157" t="s">
        <v>0</v>
      </c>
      <c r="BF224" s="157" t="s">
        <v>0</v>
      </c>
      <c r="BG224" s="157" t="s">
        <v>0</v>
      </c>
      <c r="BH224" s="157" t="s">
        <v>0</v>
      </c>
      <c r="BI224" s="158"/>
      <c r="DL224">
        <f t="shared" si="1126"/>
        <v>0</v>
      </c>
      <c r="DM224">
        <f t="shared" si="1127"/>
        <v>0</v>
      </c>
      <c r="DN224">
        <f t="shared" si="1128"/>
        <v>0</v>
      </c>
      <c r="DO224">
        <f t="shared" si="1129"/>
        <v>0</v>
      </c>
      <c r="DP224">
        <f t="shared" si="1130"/>
        <v>0</v>
      </c>
      <c r="DQ224">
        <f t="shared" si="1131"/>
        <v>0</v>
      </c>
      <c r="DR224">
        <f t="shared" si="1132"/>
        <v>0</v>
      </c>
      <c r="DS224">
        <f t="shared" si="1133"/>
        <v>0</v>
      </c>
      <c r="DT224">
        <f t="shared" si="1134"/>
        <v>0</v>
      </c>
      <c r="DU224">
        <f t="shared" si="1135"/>
        <v>0</v>
      </c>
      <c r="DV224">
        <f t="shared" si="1136"/>
        <v>0</v>
      </c>
      <c r="DW224">
        <f t="shared" si="1137"/>
        <v>0</v>
      </c>
    </row>
    <row r="225" spans="1:127" x14ac:dyDescent="0.25">
      <c r="A225" s="22">
        <f t="shared" si="1074"/>
        <v>219</v>
      </c>
      <c r="B225" s="59" t="str">
        <f t="shared" si="919"/>
        <v>F0014825901</v>
      </c>
      <c r="C225" s="214" t="str">
        <f t="shared" si="920"/>
        <v>82115-0EZ30</v>
      </c>
      <c r="D225" s="58" t="e">
        <f>VLOOKUP(B225,'Timing Table'!B:G,6,0)</f>
        <v>#N/A</v>
      </c>
      <c r="E225" s="22" t="e">
        <f>VLOOKUP(B225,'Timing Table'!B:D,3,0)</f>
        <v>#N/A</v>
      </c>
      <c r="F225" s="159" t="s">
        <v>81</v>
      </c>
      <c r="G225" s="160" t="s">
        <v>60</v>
      </c>
      <c r="H225" s="201" t="s">
        <v>60</v>
      </c>
      <c r="I225" s="183" t="s">
        <v>60</v>
      </c>
      <c r="J225" s="183" t="s">
        <v>0</v>
      </c>
      <c r="K225" s="183" t="s">
        <v>0</v>
      </c>
      <c r="L225" s="183" t="s">
        <v>0</v>
      </c>
      <c r="M225" s="183" t="s">
        <v>0</v>
      </c>
      <c r="N225" s="183" t="s">
        <v>0</v>
      </c>
      <c r="O225" s="183" t="s">
        <v>0</v>
      </c>
      <c r="P225" s="183" t="s">
        <v>0</v>
      </c>
      <c r="Q225" s="183" t="s">
        <v>0</v>
      </c>
      <c r="R225" s="183" t="s">
        <v>0</v>
      </c>
      <c r="S225" s="183" t="s">
        <v>0</v>
      </c>
      <c r="T225" s="183" t="s">
        <v>0</v>
      </c>
      <c r="U225" s="183" t="s">
        <v>0</v>
      </c>
      <c r="V225" s="183" t="s">
        <v>0</v>
      </c>
      <c r="W225" s="183" t="s">
        <v>0</v>
      </c>
      <c r="X225" s="183" t="s">
        <v>0</v>
      </c>
      <c r="Y225" s="183" t="s">
        <v>0</v>
      </c>
      <c r="Z225" s="183" t="s">
        <v>0</v>
      </c>
      <c r="AA225" s="183" t="s">
        <v>0</v>
      </c>
      <c r="AB225" s="183" t="s">
        <v>0</v>
      </c>
      <c r="AC225" s="183" t="s">
        <v>0</v>
      </c>
      <c r="AD225" s="183" t="s">
        <v>0</v>
      </c>
      <c r="AE225" s="183" t="s">
        <v>0</v>
      </c>
      <c r="AF225" s="183" t="s">
        <v>0</v>
      </c>
      <c r="AG225" s="183" t="s">
        <v>0</v>
      </c>
      <c r="AH225" s="183" t="s">
        <v>0</v>
      </c>
      <c r="AI225" s="183" t="s">
        <v>0</v>
      </c>
      <c r="AJ225" s="183" t="s">
        <v>0</v>
      </c>
      <c r="AK225" s="183" t="s">
        <v>0</v>
      </c>
      <c r="AL225" s="183" t="s">
        <v>0</v>
      </c>
      <c r="AM225" s="183" t="s">
        <v>0</v>
      </c>
      <c r="AN225" s="183" t="s">
        <v>0</v>
      </c>
      <c r="AO225" s="183" t="s">
        <v>0</v>
      </c>
      <c r="AP225" s="183" t="s">
        <v>0</v>
      </c>
      <c r="AQ225" s="183" t="s">
        <v>0</v>
      </c>
      <c r="AR225" s="183" t="s">
        <v>0</v>
      </c>
      <c r="AS225" s="183" t="s">
        <v>0</v>
      </c>
      <c r="AT225" s="183" t="s">
        <v>0</v>
      </c>
      <c r="AU225" s="183" t="s">
        <v>0</v>
      </c>
      <c r="AV225" s="183" t="s">
        <v>0</v>
      </c>
      <c r="AW225" s="183" t="s">
        <v>0</v>
      </c>
      <c r="AX225" s="183" t="s">
        <v>0</v>
      </c>
      <c r="AY225" s="183" t="s">
        <v>0</v>
      </c>
      <c r="AZ225" s="183" t="s">
        <v>0</v>
      </c>
      <c r="BA225" s="183" t="s">
        <v>0</v>
      </c>
      <c r="BB225" s="183" t="s">
        <v>0</v>
      </c>
      <c r="BC225" s="183" t="s">
        <v>0</v>
      </c>
      <c r="BD225" s="183" t="s">
        <v>0</v>
      </c>
      <c r="BE225" s="183" t="s">
        <v>0</v>
      </c>
      <c r="BF225" s="183" t="s">
        <v>0</v>
      </c>
      <c r="BG225" s="183" t="s">
        <v>0</v>
      </c>
      <c r="BH225" s="183" t="s">
        <v>0</v>
      </c>
      <c r="BI225" s="161"/>
      <c r="DL225">
        <f t="shared" si="1126"/>
        <v>0</v>
      </c>
      <c r="DM225">
        <f t="shared" si="1127"/>
        <v>0</v>
      </c>
      <c r="DN225">
        <f t="shared" si="1128"/>
        <v>0</v>
      </c>
      <c r="DO225">
        <f t="shared" si="1129"/>
        <v>0</v>
      </c>
      <c r="DP225">
        <f t="shared" si="1130"/>
        <v>0</v>
      </c>
      <c r="DQ225">
        <f t="shared" si="1131"/>
        <v>0</v>
      </c>
      <c r="DR225">
        <f t="shared" si="1132"/>
        <v>0</v>
      </c>
      <c r="DS225">
        <f t="shared" si="1133"/>
        <v>0</v>
      </c>
      <c r="DT225">
        <f t="shared" si="1134"/>
        <v>0</v>
      </c>
      <c r="DU225">
        <f t="shared" si="1135"/>
        <v>0</v>
      </c>
      <c r="DV225">
        <f t="shared" si="1136"/>
        <v>0</v>
      </c>
      <c r="DW225">
        <f t="shared" si="1137"/>
        <v>0</v>
      </c>
    </row>
    <row r="226" spans="1:127" x14ac:dyDescent="0.25">
      <c r="A226" s="22">
        <f t="shared" si="1074"/>
        <v>220</v>
      </c>
      <c r="B226" s="59" t="str">
        <f t="shared" si="919"/>
        <v>F0014825901</v>
      </c>
      <c r="C226" s="214" t="str">
        <f t="shared" si="920"/>
        <v>82115-0EZ30</v>
      </c>
      <c r="D226" s="58" t="e">
        <f>VLOOKUP(B226,'Timing Table'!B:G,6,0)</f>
        <v>#N/A</v>
      </c>
      <c r="E226" s="22" t="e">
        <f>VLOOKUP(B226,'Timing Table'!B:D,3,0)</f>
        <v>#N/A</v>
      </c>
      <c r="F226" s="188" t="s">
        <v>60</v>
      </c>
      <c r="G226" s="162" t="s">
        <v>60</v>
      </c>
      <c r="H226" s="163" t="s">
        <v>60</v>
      </c>
      <c r="I226" s="164" t="s">
        <v>60</v>
      </c>
      <c r="J226" s="164" t="s">
        <v>0</v>
      </c>
      <c r="K226" s="164" t="s">
        <v>0</v>
      </c>
      <c r="L226" s="164" t="s">
        <v>0</v>
      </c>
      <c r="M226" s="164" t="s">
        <v>0</v>
      </c>
      <c r="N226" s="164" t="s">
        <v>0</v>
      </c>
      <c r="O226" s="164" t="s">
        <v>0</v>
      </c>
      <c r="P226" s="164" t="s">
        <v>0</v>
      </c>
      <c r="Q226" s="164" t="s">
        <v>0</v>
      </c>
      <c r="R226" s="164" t="s">
        <v>0</v>
      </c>
      <c r="S226" s="164" t="s">
        <v>0</v>
      </c>
      <c r="T226" s="164" t="s">
        <v>0</v>
      </c>
      <c r="U226" s="164" t="s">
        <v>0</v>
      </c>
      <c r="V226" s="164" t="s">
        <v>0</v>
      </c>
      <c r="W226" s="164" t="s">
        <v>0</v>
      </c>
      <c r="X226" s="164" t="s">
        <v>0</v>
      </c>
      <c r="Y226" s="164" t="s">
        <v>0</v>
      </c>
      <c r="Z226" s="164" t="s">
        <v>0</v>
      </c>
      <c r="AA226" s="164" t="s">
        <v>0</v>
      </c>
      <c r="AB226" s="164" t="s">
        <v>0</v>
      </c>
      <c r="AC226" s="164" t="s">
        <v>0</v>
      </c>
      <c r="AD226" s="164" t="s">
        <v>0</v>
      </c>
      <c r="AE226" s="164" t="s">
        <v>0</v>
      </c>
      <c r="AF226" s="164" t="s">
        <v>0</v>
      </c>
      <c r="AG226" s="164" t="s">
        <v>0</v>
      </c>
      <c r="AH226" s="164" t="s">
        <v>0</v>
      </c>
      <c r="AI226" s="164" t="s">
        <v>0</v>
      </c>
      <c r="AJ226" s="164" t="s">
        <v>0</v>
      </c>
      <c r="AK226" s="164" t="s">
        <v>0</v>
      </c>
      <c r="AL226" s="164" t="s">
        <v>0</v>
      </c>
      <c r="AM226" s="164" t="s">
        <v>0</v>
      </c>
      <c r="AN226" s="164" t="s">
        <v>0</v>
      </c>
      <c r="AO226" s="164" t="s">
        <v>0</v>
      </c>
      <c r="AP226" s="164" t="s">
        <v>0</v>
      </c>
      <c r="AQ226" s="164" t="s">
        <v>0</v>
      </c>
      <c r="AR226" s="164" t="s">
        <v>0</v>
      </c>
      <c r="AS226" s="164" t="s">
        <v>0</v>
      </c>
      <c r="AT226" s="164" t="s">
        <v>0</v>
      </c>
      <c r="AU226" s="164" t="s">
        <v>0</v>
      </c>
      <c r="AV226" s="164" t="s">
        <v>0</v>
      </c>
      <c r="AW226" s="164" t="s">
        <v>0</v>
      </c>
      <c r="AX226" s="164" t="s">
        <v>0</v>
      </c>
      <c r="AY226" s="164" t="s">
        <v>0</v>
      </c>
      <c r="AZ226" s="164" t="s">
        <v>0</v>
      </c>
      <c r="BA226" s="164" t="s">
        <v>0</v>
      </c>
      <c r="BB226" s="164" t="s">
        <v>0</v>
      </c>
      <c r="BC226" s="164" t="s">
        <v>0</v>
      </c>
      <c r="BD226" s="164" t="s">
        <v>0</v>
      </c>
      <c r="BE226" s="164" t="s">
        <v>0</v>
      </c>
      <c r="BF226" s="164" t="s">
        <v>0</v>
      </c>
      <c r="BG226" s="164" t="s">
        <v>0</v>
      </c>
      <c r="BH226" s="164" t="s">
        <v>0</v>
      </c>
      <c r="BI226" s="189"/>
      <c r="DL226">
        <f t="shared" si="1126"/>
        <v>0</v>
      </c>
      <c r="DM226">
        <f t="shared" si="1127"/>
        <v>0</v>
      </c>
      <c r="DN226">
        <f t="shared" si="1128"/>
        <v>0</v>
      </c>
      <c r="DO226">
        <f t="shared" si="1129"/>
        <v>0</v>
      </c>
      <c r="DP226">
        <f t="shared" si="1130"/>
        <v>0</v>
      </c>
      <c r="DQ226">
        <f t="shared" si="1131"/>
        <v>0</v>
      </c>
      <c r="DR226">
        <f t="shared" si="1132"/>
        <v>0</v>
      </c>
      <c r="DS226">
        <f t="shared" si="1133"/>
        <v>0</v>
      </c>
      <c r="DT226">
        <f t="shared" si="1134"/>
        <v>0</v>
      </c>
      <c r="DU226">
        <f t="shared" si="1135"/>
        <v>0</v>
      </c>
      <c r="DV226">
        <f t="shared" si="1136"/>
        <v>0</v>
      </c>
      <c r="DW226">
        <f t="shared" si="1137"/>
        <v>0</v>
      </c>
    </row>
    <row r="227" spans="1:127" x14ac:dyDescent="0.25">
      <c r="A227" s="22">
        <f t="shared" si="1074"/>
        <v>221</v>
      </c>
      <c r="B227" s="59" t="str">
        <f t="shared" si="919"/>
        <v>F0014825903</v>
      </c>
      <c r="C227" s="214" t="str">
        <f t="shared" si="920"/>
        <v>82115-0EZ30 B</v>
      </c>
      <c r="D227" s="58" t="e">
        <f>VLOOKUP(B227,'Timing Table'!B:G,6,0)</f>
        <v>#N/A</v>
      </c>
      <c r="E227" s="22" t="e">
        <f>VLOOKUP(B227,'Timing Table'!B:D,3,0)</f>
        <v>#N/A</v>
      </c>
      <c r="F227" s="155" t="s">
        <v>61</v>
      </c>
      <c r="G227" s="181">
        <v>5501017974</v>
      </c>
      <c r="H227" s="155" t="s">
        <v>62</v>
      </c>
      <c r="I227" s="181">
        <v>91</v>
      </c>
      <c r="J227" s="155" t="s">
        <v>63</v>
      </c>
      <c r="K227" s="160">
        <v>1177761</v>
      </c>
      <c r="L227" s="161"/>
      <c r="M227" s="190" t="s">
        <v>64</v>
      </c>
      <c r="N227" s="191"/>
      <c r="O227" s="192">
        <v>46086</v>
      </c>
      <c r="P227" s="155" t="s">
        <v>65</v>
      </c>
      <c r="Q227" s="181">
        <v>4</v>
      </c>
      <c r="R227" s="6" t="s">
        <v>0</v>
      </c>
      <c r="S227" s="7" t="s">
        <v>0</v>
      </c>
      <c r="T227" s="7" t="s">
        <v>0</v>
      </c>
      <c r="U227" s="7" t="s">
        <v>0</v>
      </c>
      <c r="V227" s="7" t="s">
        <v>0</v>
      </c>
      <c r="W227" s="7" t="s">
        <v>0</v>
      </c>
      <c r="X227" s="7" t="s">
        <v>0</v>
      </c>
      <c r="Y227" s="7" t="s">
        <v>0</v>
      </c>
      <c r="Z227" s="7" t="s">
        <v>0</v>
      </c>
      <c r="AA227" s="7" t="s">
        <v>0</v>
      </c>
      <c r="AB227" s="7" t="s">
        <v>0</v>
      </c>
      <c r="AC227" s="7" t="s">
        <v>0</v>
      </c>
      <c r="AD227" s="7" t="s">
        <v>0</v>
      </c>
      <c r="AE227" s="7" t="s">
        <v>0</v>
      </c>
      <c r="AF227" s="7" t="s">
        <v>0</v>
      </c>
      <c r="AG227" s="7" t="s">
        <v>0</v>
      </c>
      <c r="AH227" s="7" t="s">
        <v>0</v>
      </c>
      <c r="AI227" s="7" t="s">
        <v>0</v>
      </c>
      <c r="AJ227" s="7" t="s">
        <v>0</v>
      </c>
      <c r="AK227" s="7" t="s">
        <v>0</v>
      </c>
      <c r="AL227" s="7" t="s">
        <v>0</v>
      </c>
      <c r="AM227" s="7" t="s">
        <v>0</v>
      </c>
      <c r="AN227" s="7" t="s">
        <v>0</v>
      </c>
      <c r="AO227" s="7" t="s">
        <v>0</v>
      </c>
      <c r="AP227" s="7" t="s">
        <v>0</v>
      </c>
      <c r="AQ227" s="7" t="s">
        <v>0</v>
      </c>
      <c r="AR227" s="7" t="s">
        <v>0</v>
      </c>
      <c r="AS227" s="7" t="s">
        <v>0</v>
      </c>
      <c r="AT227" s="7" t="s">
        <v>0</v>
      </c>
      <c r="AU227" s="7" t="s">
        <v>0</v>
      </c>
      <c r="AV227" s="7" t="s">
        <v>0</v>
      </c>
      <c r="AW227" s="7" t="s">
        <v>0</v>
      </c>
      <c r="AX227" s="7" t="s">
        <v>0</v>
      </c>
      <c r="AY227" s="7" t="s">
        <v>0</v>
      </c>
      <c r="AZ227" s="7" t="s">
        <v>0</v>
      </c>
      <c r="BA227" s="7" t="s">
        <v>0</v>
      </c>
      <c r="BB227" s="7" t="s">
        <v>0</v>
      </c>
      <c r="BC227" s="7" t="s">
        <v>0</v>
      </c>
      <c r="BD227" s="7" t="s">
        <v>0</v>
      </c>
      <c r="BE227" s="7" t="s">
        <v>0</v>
      </c>
      <c r="BF227" s="7" t="s">
        <v>0</v>
      </c>
      <c r="BG227" s="7" t="s">
        <v>0</v>
      </c>
      <c r="BH227" s="7" t="s">
        <v>0</v>
      </c>
      <c r="BI227" s="8"/>
      <c r="DL227">
        <f t="shared" si="1126"/>
        <v>0</v>
      </c>
      <c r="DM227">
        <f t="shared" si="1127"/>
        <v>0</v>
      </c>
      <c r="DN227">
        <f t="shared" si="1128"/>
        <v>0</v>
      </c>
      <c r="DO227">
        <f t="shared" si="1129"/>
        <v>0</v>
      </c>
      <c r="DP227">
        <f t="shared" si="1130"/>
        <v>0</v>
      </c>
      <c r="DQ227">
        <f t="shared" si="1131"/>
        <v>0</v>
      </c>
      <c r="DR227">
        <f t="shared" si="1132"/>
        <v>0</v>
      </c>
      <c r="DS227">
        <f t="shared" si="1133"/>
        <v>0</v>
      </c>
      <c r="DT227">
        <f t="shared" si="1134"/>
        <v>0</v>
      </c>
      <c r="DU227">
        <f t="shared" si="1135"/>
        <v>0</v>
      </c>
      <c r="DV227">
        <f t="shared" si="1136"/>
        <v>0</v>
      </c>
      <c r="DW227">
        <f t="shared" si="1137"/>
        <v>0</v>
      </c>
    </row>
    <row r="228" spans="1:127" x14ac:dyDescent="0.25">
      <c r="A228" s="22">
        <f t="shared" si="1074"/>
        <v>222</v>
      </c>
      <c r="B228" s="59" t="str">
        <f t="shared" si="919"/>
        <v>F0014825903</v>
      </c>
      <c r="C228" s="214" t="str">
        <f t="shared" si="920"/>
        <v>82115-0EZ30 B</v>
      </c>
      <c r="D228" s="58" t="e">
        <f>VLOOKUP(B228,'Timing Table'!B:G,6,0)</f>
        <v>#N/A</v>
      </c>
      <c r="E228" s="22" t="e">
        <f>VLOOKUP(B228,'Timing Table'!B:D,3,0)</f>
        <v>#N/A</v>
      </c>
      <c r="F228" s="155" t="s">
        <v>66</v>
      </c>
      <c r="G228" s="181" t="s">
        <v>344</v>
      </c>
      <c r="H228" s="155" t="s">
        <v>67</v>
      </c>
      <c r="I228" s="182" t="s">
        <v>345</v>
      </c>
      <c r="J228" s="183"/>
      <c r="K228" s="183"/>
      <c r="L228" s="161"/>
      <c r="M228" s="155" t="s">
        <v>68</v>
      </c>
      <c r="N228" s="181">
        <v>2025</v>
      </c>
      <c r="O228" s="184" t="s">
        <v>69</v>
      </c>
      <c r="P228" s="185"/>
      <c r="Q228" s="193" t="s">
        <v>342</v>
      </c>
      <c r="R228" s="156" t="s">
        <v>0</v>
      </c>
      <c r="S228" s="157" t="s">
        <v>0</v>
      </c>
      <c r="T228" s="157" t="s">
        <v>0</v>
      </c>
      <c r="U228" s="157" t="s">
        <v>0</v>
      </c>
      <c r="V228" s="157" t="s">
        <v>0</v>
      </c>
      <c r="W228" s="157" t="s">
        <v>0</v>
      </c>
      <c r="X228" s="157" t="s">
        <v>0</v>
      </c>
      <c r="Y228" s="157" t="s">
        <v>0</v>
      </c>
      <c r="Z228" s="157" t="s">
        <v>0</v>
      </c>
      <c r="AA228" s="157" t="s">
        <v>0</v>
      </c>
      <c r="AB228" s="157" t="s">
        <v>0</v>
      </c>
      <c r="AC228" s="157" t="s">
        <v>0</v>
      </c>
      <c r="AD228" s="157" t="s">
        <v>0</v>
      </c>
      <c r="AE228" s="157" t="s">
        <v>0</v>
      </c>
      <c r="AF228" s="157" t="s">
        <v>0</v>
      </c>
      <c r="AG228" s="157" t="s">
        <v>0</v>
      </c>
      <c r="AH228" s="157" t="s">
        <v>0</v>
      </c>
      <c r="AI228" s="157" t="s">
        <v>0</v>
      </c>
      <c r="AJ228" s="157" t="s">
        <v>0</v>
      </c>
      <c r="AK228" s="157" t="s">
        <v>0</v>
      </c>
      <c r="AL228" s="157" t="s">
        <v>0</v>
      </c>
      <c r="AM228" s="157" t="s">
        <v>0</v>
      </c>
      <c r="AN228" s="157" t="s">
        <v>0</v>
      </c>
      <c r="AO228" s="157" t="s">
        <v>0</v>
      </c>
      <c r="AP228" s="157" t="s">
        <v>0</v>
      </c>
      <c r="AQ228" s="157" t="s">
        <v>0</v>
      </c>
      <c r="AR228" s="157" t="s">
        <v>0</v>
      </c>
      <c r="AS228" s="157" t="s">
        <v>0</v>
      </c>
      <c r="AT228" s="157" t="s">
        <v>0</v>
      </c>
      <c r="AU228" s="157" t="s">
        <v>0</v>
      </c>
      <c r="AV228" s="157" t="s">
        <v>0</v>
      </c>
      <c r="AW228" s="157" t="s">
        <v>0</v>
      </c>
      <c r="AX228" s="157" t="s">
        <v>0</v>
      </c>
      <c r="AY228" s="157" t="s">
        <v>0</v>
      </c>
      <c r="AZ228" s="157" t="s">
        <v>0</v>
      </c>
      <c r="BA228" s="157" t="s">
        <v>0</v>
      </c>
      <c r="BB228" s="157" t="s">
        <v>0</v>
      </c>
      <c r="BC228" s="157" t="s">
        <v>0</v>
      </c>
      <c r="BD228" s="157" t="s">
        <v>0</v>
      </c>
      <c r="BE228" s="157" t="s">
        <v>0</v>
      </c>
      <c r="BF228" s="157" t="s">
        <v>0</v>
      </c>
      <c r="BG228" s="157" t="s">
        <v>0</v>
      </c>
      <c r="BH228" s="157" t="s">
        <v>0</v>
      </c>
      <c r="BI228" s="158"/>
      <c r="DL228">
        <f t="shared" si="1126"/>
        <v>0</v>
      </c>
      <c r="DM228">
        <f t="shared" si="1127"/>
        <v>0</v>
      </c>
      <c r="DN228">
        <f t="shared" si="1128"/>
        <v>0</v>
      </c>
      <c r="DO228">
        <f t="shared" si="1129"/>
        <v>0</v>
      </c>
      <c r="DP228">
        <f t="shared" si="1130"/>
        <v>0</v>
      </c>
      <c r="DQ228">
        <f t="shared" si="1131"/>
        <v>0</v>
      </c>
      <c r="DR228">
        <f t="shared" si="1132"/>
        <v>0</v>
      </c>
      <c r="DS228">
        <f t="shared" si="1133"/>
        <v>0</v>
      </c>
      <c r="DT228">
        <f t="shared" si="1134"/>
        <v>0</v>
      </c>
      <c r="DU228">
        <f t="shared" si="1135"/>
        <v>0</v>
      </c>
      <c r="DV228">
        <f t="shared" si="1136"/>
        <v>0</v>
      </c>
      <c r="DW228">
        <f t="shared" si="1137"/>
        <v>0</v>
      </c>
    </row>
    <row r="229" spans="1:127" x14ac:dyDescent="0.25">
      <c r="A229" s="22">
        <f t="shared" si="1074"/>
        <v>223</v>
      </c>
      <c r="B229" s="59" t="str">
        <f t="shared" si="919"/>
        <v>F0014825903</v>
      </c>
      <c r="C229" s="214" t="str">
        <f t="shared" si="920"/>
        <v>82115-0EZ30 B</v>
      </c>
      <c r="D229" s="58" t="e">
        <f>VLOOKUP(B229,'Timing Table'!B:G,6,0)</f>
        <v>#N/A</v>
      </c>
      <c r="E229" s="22" t="e">
        <f>VLOOKUP(B229,'Timing Table'!B:D,3,0)</f>
        <v>#N/A</v>
      </c>
      <c r="F229" s="155" t="s">
        <v>70</v>
      </c>
      <c r="G229" s="181" t="s">
        <v>346</v>
      </c>
      <c r="H229" s="155" t="s">
        <v>71</v>
      </c>
      <c r="I229" s="182" t="s">
        <v>60</v>
      </c>
      <c r="J229" s="161" t="s">
        <v>0</v>
      </c>
      <c r="K229" s="194" t="s">
        <v>0</v>
      </c>
      <c r="L229" s="195" t="s">
        <v>0</v>
      </c>
      <c r="M229" s="179" t="s">
        <v>0</v>
      </c>
      <c r="N229" s="179" t="s">
        <v>0</v>
      </c>
      <c r="O229" s="179" t="s">
        <v>0</v>
      </c>
      <c r="P229" s="179" t="s">
        <v>0</v>
      </c>
      <c r="Q229" s="179" t="s">
        <v>1</v>
      </c>
      <c r="R229" s="179" t="s">
        <v>2</v>
      </c>
      <c r="S229" s="179" t="s">
        <v>0</v>
      </c>
      <c r="T229" s="179" t="s">
        <v>0</v>
      </c>
      <c r="U229" s="179" t="s">
        <v>0</v>
      </c>
      <c r="V229" s="179" t="s">
        <v>0</v>
      </c>
      <c r="W229" s="179" t="s">
        <v>0</v>
      </c>
      <c r="X229" s="179" t="s">
        <v>0</v>
      </c>
      <c r="Y229" s="179" t="s">
        <v>0</v>
      </c>
      <c r="Z229" s="179" t="s">
        <v>3</v>
      </c>
      <c r="AA229" s="179" t="s">
        <v>0</v>
      </c>
      <c r="AB229" s="179" t="s">
        <v>0</v>
      </c>
      <c r="AC229" s="179" t="s">
        <v>0</v>
      </c>
      <c r="AD229" s="179" t="s">
        <v>0</v>
      </c>
      <c r="AE229" s="179" t="s">
        <v>0</v>
      </c>
      <c r="AF229" s="179" t="s">
        <v>0</v>
      </c>
      <c r="AG229" s="179" t="s">
        <v>0</v>
      </c>
      <c r="AH229" s="179" t="s">
        <v>0</v>
      </c>
      <c r="AI229" s="179" t="s">
        <v>0</v>
      </c>
      <c r="AJ229" s="179" t="s">
        <v>0</v>
      </c>
      <c r="AK229" s="179" t="s">
        <v>0</v>
      </c>
      <c r="AL229" s="179" t="s">
        <v>0</v>
      </c>
      <c r="AM229" s="179" t="s">
        <v>0</v>
      </c>
      <c r="AN229" s="179" t="s">
        <v>0</v>
      </c>
      <c r="AO229" s="179" t="s">
        <v>0</v>
      </c>
      <c r="AP229" s="179" t="s">
        <v>0</v>
      </c>
      <c r="AQ229" s="179" t="s">
        <v>0</v>
      </c>
      <c r="AR229" s="179" t="s">
        <v>0</v>
      </c>
      <c r="AS229" s="179" t="s">
        <v>0</v>
      </c>
      <c r="AT229" s="179" t="s">
        <v>0</v>
      </c>
      <c r="AU229" s="179" t="s">
        <v>0</v>
      </c>
      <c r="AV229" s="179" t="s">
        <v>0</v>
      </c>
      <c r="AW229" s="179" t="s">
        <v>0</v>
      </c>
      <c r="AX229" s="179" t="s">
        <v>0</v>
      </c>
      <c r="AY229" s="179" t="s">
        <v>0</v>
      </c>
      <c r="AZ229" s="179" t="s">
        <v>0</v>
      </c>
      <c r="BA229" s="179" t="s">
        <v>0</v>
      </c>
      <c r="BB229" s="179" t="s">
        <v>0</v>
      </c>
      <c r="BC229" s="179" t="s">
        <v>0</v>
      </c>
      <c r="BD229" s="179" t="s">
        <v>0</v>
      </c>
      <c r="BE229" s="179" t="s">
        <v>0</v>
      </c>
      <c r="BF229" s="179" t="s">
        <v>0</v>
      </c>
      <c r="BG229" s="179" t="s">
        <v>0</v>
      </c>
      <c r="BH229" s="179" t="s">
        <v>0</v>
      </c>
      <c r="BI229" s="180" t="s">
        <v>4</v>
      </c>
      <c r="DL229">
        <f t="shared" si="1126"/>
        <v>0</v>
      </c>
      <c r="DM229">
        <f t="shared" si="1127"/>
        <v>0</v>
      </c>
      <c r="DN229">
        <f t="shared" si="1128"/>
        <v>0</v>
      </c>
      <c r="DO229">
        <f t="shared" si="1129"/>
        <v>0</v>
      </c>
      <c r="DP229">
        <f t="shared" si="1130"/>
        <v>0</v>
      </c>
      <c r="DQ229">
        <f t="shared" si="1131"/>
        <v>0</v>
      </c>
      <c r="DR229">
        <f t="shared" si="1132"/>
        <v>0</v>
      </c>
      <c r="DS229">
        <f t="shared" si="1133"/>
        <v>0</v>
      </c>
      <c r="DT229">
        <f t="shared" si="1134"/>
        <v>0</v>
      </c>
      <c r="DU229">
        <f t="shared" si="1135"/>
        <v>0</v>
      </c>
      <c r="DV229">
        <f t="shared" si="1136"/>
        <v>0</v>
      </c>
      <c r="DW229">
        <f t="shared" si="1137"/>
        <v>0</v>
      </c>
    </row>
    <row r="230" spans="1:127" x14ac:dyDescent="0.25">
      <c r="A230" s="22">
        <f t="shared" si="1074"/>
        <v>224</v>
      </c>
      <c r="B230" s="59" t="str">
        <f t="shared" si="919"/>
        <v>F0014825903</v>
      </c>
      <c r="C230" s="214" t="str">
        <f t="shared" si="920"/>
        <v>82115-0EZ30 B</v>
      </c>
      <c r="D230" s="58" t="e">
        <f>VLOOKUP(B230,'Timing Table'!B:G,6,0)</f>
        <v>#N/A</v>
      </c>
      <c r="E230" s="22" t="e">
        <f>VLOOKUP(B230,'Timing Table'!B:D,3,0)</f>
        <v>#N/A</v>
      </c>
      <c r="F230" s="155" t="s">
        <v>72</v>
      </c>
      <c r="G230" s="181">
        <v>0</v>
      </c>
      <c r="H230" s="196" t="s">
        <v>414</v>
      </c>
      <c r="I230" s="197" t="s">
        <v>73</v>
      </c>
      <c r="J230" s="13">
        <v>46041</v>
      </c>
      <c r="K230" s="14">
        <v>46048</v>
      </c>
      <c r="L230" s="14">
        <v>46055</v>
      </c>
      <c r="M230" s="14">
        <v>46062</v>
      </c>
      <c r="N230" s="14">
        <v>46069</v>
      </c>
      <c r="O230" s="14">
        <v>46076</v>
      </c>
      <c r="P230" s="14">
        <v>46083</v>
      </c>
      <c r="Q230" s="14">
        <v>46090</v>
      </c>
      <c r="R230" s="14">
        <v>46097</v>
      </c>
      <c r="S230" s="14">
        <v>46104</v>
      </c>
      <c r="T230" s="14">
        <v>46111</v>
      </c>
      <c r="U230" s="14">
        <v>46118</v>
      </c>
      <c r="V230" s="14">
        <v>46125</v>
      </c>
      <c r="W230" s="14">
        <v>46132</v>
      </c>
      <c r="X230" s="14">
        <v>46139</v>
      </c>
      <c r="Y230" s="14">
        <v>46146</v>
      </c>
      <c r="Z230" s="14">
        <v>46153</v>
      </c>
      <c r="AA230" s="14">
        <v>46160</v>
      </c>
      <c r="AB230" s="14">
        <v>46167</v>
      </c>
      <c r="AC230" s="14">
        <v>46174</v>
      </c>
      <c r="AD230" s="14">
        <v>46181</v>
      </c>
      <c r="AE230" s="14">
        <v>46188</v>
      </c>
      <c r="AF230" s="14">
        <v>46195</v>
      </c>
      <c r="AG230" s="14">
        <v>46202</v>
      </c>
      <c r="AH230" s="14">
        <v>46209</v>
      </c>
      <c r="AI230" s="14">
        <v>46216</v>
      </c>
      <c r="AJ230" s="14">
        <v>46223</v>
      </c>
      <c r="AK230" s="14">
        <v>46230</v>
      </c>
      <c r="AL230" s="14">
        <v>46237</v>
      </c>
      <c r="AM230" s="14">
        <v>46244</v>
      </c>
      <c r="AN230" s="14">
        <v>46251</v>
      </c>
      <c r="AO230" s="14">
        <v>46258</v>
      </c>
      <c r="AP230" s="14">
        <v>46265</v>
      </c>
      <c r="AQ230" s="14">
        <v>46272</v>
      </c>
      <c r="AR230" s="14">
        <v>46279</v>
      </c>
      <c r="AS230" s="14">
        <v>46286</v>
      </c>
      <c r="AT230" s="14">
        <v>46293</v>
      </c>
      <c r="AU230" s="14">
        <v>46300</v>
      </c>
      <c r="AV230" s="14">
        <v>46307</v>
      </c>
      <c r="AW230" s="14">
        <v>46314</v>
      </c>
      <c r="AX230" s="14">
        <v>46321</v>
      </c>
      <c r="AY230" s="14">
        <v>46328</v>
      </c>
      <c r="AZ230" s="14">
        <v>46335</v>
      </c>
      <c r="BA230" s="14">
        <v>46342</v>
      </c>
      <c r="BB230" s="14">
        <v>46349</v>
      </c>
      <c r="BC230" s="14">
        <v>46356</v>
      </c>
      <c r="BD230" s="14">
        <v>46363</v>
      </c>
      <c r="BE230" s="14">
        <v>46370</v>
      </c>
      <c r="BF230" s="14">
        <v>46377</v>
      </c>
      <c r="BG230" s="14">
        <v>46384</v>
      </c>
      <c r="BH230" s="14">
        <v>46391</v>
      </c>
      <c r="BI230" s="15">
        <v>46398</v>
      </c>
      <c r="DL230">
        <f t="shared" si="1126"/>
        <v>0</v>
      </c>
      <c r="DM230">
        <f t="shared" si="1127"/>
        <v>0</v>
      </c>
      <c r="DN230">
        <f t="shared" si="1128"/>
        <v>0</v>
      </c>
      <c r="DO230">
        <f t="shared" si="1129"/>
        <v>0</v>
      </c>
      <c r="DP230">
        <f t="shared" si="1130"/>
        <v>0</v>
      </c>
      <c r="DQ230">
        <f t="shared" si="1131"/>
        <v>0</v>
      </c>
      <c r="DR230">
        <f t="shared" si="1132"/>
        <v>0</v>
      </c>
      <c r="DS230">
        <f t="shared" si="1133"/>
        <v>0</v>
      </c>
      <c r="DT230">
        <f t="shared" si="1134"/>
        <v>0</v>
      </c>
      <c r="DU230">
        <f t="shared" si="1135"/>
        <v>0</v>
      </c>
      <c r="DV230">
        <f t="shared" si="1136"/>
        <v>0</v>
      </c>
      <c r="DW230">
        <f t="shared" si="1137"/>
        <v>0</v>
      </c>
    </row>
    <row r="231" spans="1:127" x14ac:dyDescent="0.25">
      <c r="A231" s="22">
        <f t="shared" si="1074"/>
        <v>225</v>
      </c>
      <c r="B231" s="59" t="str">
        <f t="shared" ref="B231:B294" si="1240">IF(F231=$F$7,G232,B230)</f>
        <v>F0014825903</v>
      </c>
      <c r="C231" s="214" t="str">
        <f t="shared" ref="C231:C294" si="1241">IF(F231=$F$7,G233,C230)</f>
        <v>82115-0EZ30 B</v>
      </c>
      <c r="D231" s="58" t="e">
        <f>VLOOKUP(B231,'Timing Table'!B:G,6,0)</f>
        <v>#N/A</v>
      </c>
      <c r="E231" s="22" t="e">
        <f>VLOOKUP(B231,'Timing Table'!B:D,3,0)</f>
        <v>#N/A</v>
      </c>
      <c r="F231" s="155" t="s">
        <v>74</v>
      </c>
      <c r="G231" s="181">
        <v>0</v>
      </c>
      <c r="H231" s="5" t="s">
        <v>60</v>
      </c>
      <c r="I231" s="11" t="s">
        <v>147</v>
      </c>
      <c r="J231" s="16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17"/>
      <c r="DL231">
        <f t="shared" si="1126"/>
        <v>0</v>
      </c>
      <c r="DM231">
        <f t="shared" si="1127"/>
        <v>0</v>
      </c>
      <c r="DN231">
        <f t="shared" si="1128"/>
        <v>0</v>
      </c>
      <c r="DO231">
        <f t="shared" si="1129"/>
        <v>0</v>
      </c>
      <c r="DP231">
        <f t="shared" si="1130"/>
        <v>0</v>
      </c>
      <c r="DQ231">
        <f t="shared" si="1131"/>
        <v>0</v>
      </c>
      <c r="DR231">
        <f t="shared" si="1132"/>
        <v>0</v>
      </c>
      <c r="DS231">
        <f t="shared" si="1133"/>
        <v>0</v>
      </c>
      <c r="DT231">
        <f t="shared" si="1134"/>
        <v>0</v>
      </c>
      <c r="DU231">
        <f t="shared" si="1135"/>
        <v>0</v>
      </c>
      <c r="DV231">
        <f t="shared" si="1136"/>
        <v>0</v>
      </c>
      <c r="DW231">
        <f t="shared" si="1137"/>
        <v>0</v>
      </c>
    </row>
    <row r="232" spans="1:127" x14ac:dyDescent="0.25">
      <c r="A232" s="22">
        <f t="shared" si="1074"/>
        <v>226</v>
      </c>
      <c r="B232" s="59" t="str">
        <f t="shared" si="1240"/>
        <v>F0014825903</v>
      </c>
      <c r="C232" s="214" t="str">
        <f t="shared" si="1241"/>
        <v>82115-0EZ30 B</v>
      </c>
      <c r="D232" s="58" t="e">
        <f>VLOOKUP(B232,'Timing Table'!B:G,6,0)</f>
        <v>#N/A</v>
      </c>
      <c r="E232" s="22" t="e">
        <f>VLOOKUP(B232,'Timing Table'!B:D,3,0)</f>
        <v>#N/A</v>
      </c>
      <c r="F232" s="155" t="s">
        <v>75</v>
      </c>
      <c r="G232" s="198" t="s">
        <v>257</v>
      </c>
      <c r="H232" s="9" t="s">
        <v>243</v>
      </c>
      <c r="I232" s="11" t="s">
        <v>76</v>
      </c>
      <c r="J232" s="143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>
        <v>0</v>
      </c>
      <c r="AA232" s="64">
        <v>0</v>
      </c>
      <c r="AB232" s="64">
        <v>0</v>
      </c>
      <c r="AC232" s="64">
        <v>0</v>
      </c>
      <c r="AD232" s="64">
        <v>0</v>
      </c>
      <c r="AE232" s="64">
        <v>0</v>
      </c>
      <c r="AF232" s="64">
        <v>0</v>
      </c>
      <c r="AG232" s="64">
        <v>0</v>
      </c>
      <c r="AH232" s="64">
        <v>0</v>
      </c>
      <c r="AI232" s="64">
        <v>0</v>
      </c>
      <c r="AJ232" s="64">
        <v>0</v>
      </c>
      <c r="AK232" s="64">
        <v>0</v>
      </c>
      <c r="AL232" s="64">
        <v>0</v>
      </c>
      <c r="AM232" s="64">
        <v>0</v>
      </c>
      <c r="AN232" s="64">
        <v>0</v>
      </c>
      <c r="AO232" s="64">
        <v>0</v>
      </c>
      <c r="AP232" s="64">
        <v>0</v>
      </c>
      <c r="AQ232" s="64">
        <v>0</v>
      </c>
      <c r="AR232" s="64">
        <v>0</v>
      </c>
      <c r="AS232" s="64">
        <v>0</v>
      </c>
      <c r="AT232" s="64">
        <v>0</v>
      </c>
      <c r="AU232" s="64">
        <v>0</v>
      </c>
      <c r="AV232" s="64">
        <v>0</v>
      </c>
      <c r="AW232" s="64">
        <v>0</v>
      </c>
      <c r="AX232" s="64">
        <v>0</v>
      </c>
      <c r="AY232" s="64">
        <v>0</v>
      </c>
      <c r="AZ232" s="64">
        <v>0</v>
      </c>
      <c r="BA232" s="64">
        <v>0</v>
      </c>
      <c r="BB232" s="64">
        <v>0</v>
      </c>
      <c r="BC232" s="64">
        <v>0</v>
      </c>
      <c r="BD232" s="64">
        <v>0</v>
      </c>
      <c r="BE232" s="64">
        <v>0</v>
      </c>
      <c r="BF232" s="64">
        <v>0</v>
      </c>
      <c r="BG232" s="64">
        <v>0</v>
      </c>
      <c r="BH232" s="64">
        <v>0</v>
      </c>
      <c r="BI232" s="144">
        <v>0</v>
      </c>
      <c r="BJ232" s="24" t="str">
        <f>+G229</f>
        <v>82115-0EZ30 B</v>
      </c>
      <c r="BK232" s="24">
        <f>+J232</f>
        <v>0</v>
      </c>
      <c r="BL232" s="24">
        <f t="shared" ref="BL232" si="1242">+K232</f>
        <v>0</v>
      </c>
      <c r="BM232" s="24">
        <f t="shared" ref="BM232" si="1243">+L232</f>
        <v>0</v>
      </c>
      <c r="BN232" s="24">
        <f t="shared" ref="BN232" si="1244">+M232</f>
        <v>0</v>
      </c>
      <c r="BO232" s="24">
        <f t="shared" ref="BO232" si="1245">+N232</f>
        <v>0</v>
      </c>
      <c r="BP232" s="24">
        <f t="shared" ref="BP232" si="1246">+O232</f>
        <v>0</v>
      </c>
      <c r="BQ232" s="24">
        <f t="shared" ref="BQ232" si="1247">+P232</f>
        <v>0</v>
      </c>
      <c r="BR232" s="24">
        <f t="shared" ref="BR232" si="1248">+Q232</f>
        <v>0</v>
      </c>
      <c r="BS232" s="24">
        <f t="shared" ref="BS232" si="1249">+R232</f>
        <v>0</v>
      </c>
      <c r="BT232" s="24">
        <f t="shared" ref="BT232" si="1250">+S232</f>
        <v>0</v>
      </c>
      <c r="BU232" s="24">
        <f t="shared" ref="BU232" si="1251">+T232</f>
        <v>0</v>
      </c>
      <c r="BV232" s="24">
        <f t="shared" ref="BV232" si="1252">+U232</f>
        <v>0</v>
      </c>
      <c r="BW232" s="24">
        <f t="shared" ref="BW232" si="1253">+V232</f>
        <v>0</v>
      </c>
      <c r="BX232" s="24">
        <f t="shared" ref="BX232" si="1254">+W232</f>
        <v>0</v>
      </c>
      <c r="BY232" s="24">
        <f t="shared" ref="BY232" si="1255">+X232</f>
        <v>0</v>
      </c>
      <c r="BZ232" s="24">
        <f t="shared" ref="BZ232" si="1256">+Y232</f>
        <v>0</v>
      </c>
      <c r="CA232" s="24">
        <f t="shared" ref="CA232" si="1257">+Z232</f>
        <v>0</v>
      </c>
      <c r="CB232" s="24">
        <f t="shared" ref="CB232" si="1258">+AA232</f>
        <v>0</v>
      </c>
      <c r="CC232" s="24">
        <f t="shared" ref="CC232" si="1259">+AB232</f>
        <v>0</v>
      </c>
      <c r="CD232" s="24">
        <f t="shared" ref="CD232" si="1260">+AC232</f>
        <v>0</v>
      </c>
      <c r="CE232" s="24">
        <f t="shared" ref="CE232" si="1261">+AD232</f>
        <v>0</v>
      </c>
      <c r="CF232" s="24">
        <f t="shared" ref="CF232" si="1262">+AE232</f>
        <v>0</v>
      </c>
      <c r="CG232" s="24">
        <f t="shared" ref="CG232" si="1263">+AF232</f>
        <v>0</v>
      </c>
      <c r="CH232" s="24">
        <f t="shared" ref="CH232" si="1264">+AG232</f>
        <v>0</v>
      </c>
      <c r="CI232" s="24">
        <f t="shared" ref="CI232" si="1265">+AH232</f>
        <v>0</v>
      </c>
      <c r="CJ232" s="24">
        <f t="shared" ref="CJ232" si="1266">+AI232</f>
        <v>0</v>
      </c>
      <c r="CK232" s="24">
        <f t="shared" ref="CK232" si="1267">+AJ232</f>
        <v>0</v>
      </c>
      <c r="CL232" s="24">
        <f t="shared" ref="CL232" si="1268">+AK232</f>
        <v>0</v>
      </c>
      <c r="CM232" s="24">
        <f t="shared" ref="CM232" si="1269">+AL232</f>
        <v>0</v>
      </c>
      <c r="CN232" s="24">
        <f t="shared" ref="CN232" si="1270">+AM232</f>
        <v>0</v>
      </c>
      <c r="CO232" s="24">
        <f t="shared" ref="CO232" si="1271">+AN232</f>
        <v>0</v>
      </c>
      <c r="CP232" s="166">
        <f t="shared" ref="CP232" si="1272">+AO232</f>
        <v>0</v>
      </c>
      <c r="CQ232" s="166">
        <f t="shared" ref="CQ232" si="1273">+AP232</f>
        <v>0</v>
      </c>
      <c r="CR232">
        <f t="shared" ref="CR232" si="1274">+AQ232</f>
        <v>0</v>
      </c>
      <c r="CS232">
        <f t="shared" ref="CS232" si="1275">+AR232</f>
        <v>0</v>
      </c>
      <c r="CT232">
        <f t="shared" ref="CT232" si="1276">+AS232</f>
        <v>0</v>
      </c>
      <c r="CU232">
        <f t="shared" ref="CU232" si="1277">+AT232</f>
        <v>0</v>
      </c>
      <c r="CV232">
        <f t="shared" ref="CV232" si="1278">+AU232</f>
        <v>0</v>
      </c>
      <c r="CW232">
        <f t="shared" ref="CW232" si="1279">+AV232</f>
        <v>0</v>
      </c>
      <c r="CX232">
        <f t="shared" ref="CX232" si="1280">+AW232</f>
        <v>0</v>
      </c>
      <c r="CY232">
        <f t="shared" ref="CY232" si="1281">+AX232</f>
        <v>0</v>
      </c>
      <c r="CZ232">
        <f t="shared" ref="CZ232" si="1282">+AY232</f>
        <v>0</v>
      </c>
      <c r="DA232">
        <f t="shared" ref="DA232" si="1283">+AZ232</f>
        <v>0</v>
      </c>
      <c r="DB232">
        <f t="shared" ref="DB232" si="1284">+BA232</f>
        <v>0</v>
      </c>
      <c r="DC232">
        <f t="shared" ref="DC232" si="1285">+BB232</f>
        <v>0</v>
      </c>
      <c r="DD232">
        <f t="shared" ref="DD232" si="1286">+BC232</f>
        <v>0</v>
      </c>
      <c r="DE232">
        <f t="shared" ref="DE232" si="1287">+BD232</f>
        <v>0</v>
      </c>
      <c r="DF232">
        <f t="shared" ref="DF232" si="1288">+BE232</f>
        <v>0</v>
      </c>
      <c r="DG232">
        <f t="shared" ref="DG232" si="1289">+BF232</f>
        <v>0</v>
      </c>
      <c r="DH232">
        <f t="shared" ref="DH232" si="1290">+BG232</f>
        <v>0</v>
      </c>
      <c r="DI232">
        <f t="shared" ref="DI232" si="1291">+BH232</f>
        <v>0</v>
      </c>
      <c r="DJ232">
        <f t="shared" ref="DJ232" si="1292">+BI232</f>
        <v>0</v>
      </c>
      <c r="DL232" s="24">
        <f t="shared" si="1126"/>
        <v>0</v>
      </c>
      <c r="DM232" s="24">
        <f t="shared" si="1127"/>
        <v>0</v>
      </c>
      <c r="DN232" s="24">
        <f t="shared" si="1128"/>
        <v>0</v>
      </c>
      <c r="DO232" s="24">
        <f t="shared" si="1129"/>
        <v>0</v>
      </c>
      <c r="DP232" s="24">
        <f t="shared" si="1130"/>
        <v>0</v>
      </c>
      <c r="DQ232" s="24">
        <f t="shared" si="1131"/>
        <v>0</v>
      </c>
      <c r="DR232" s="24">
        <f t="shared" si="1132"/>
        <v>0</v>
      </c>
      <c r="DS232" s="24">
        <f t="shared" si="1133"/>
        <v>0</v>
      </c>
      <c r="DT232" s="24">
        <f t="shared" si="1134"/>
        <v>0</v>
      </c>
      <c r="DU232">
        <f t="shared" si="1135"/>
        <v>0</v>
      </c>
      <c r="DV232">
        <f t="shared" si="1136"/>
        <v>0</v>
      </c>
      <c r="DW232">
        <f t="shared" si="1137"/>
        <v>0</v>
      </c>
    </row>
    <row r="233" spans="1:127" x14ac:dyDescent="0.25">
      <c r="A233" s="22">
        <f t="shared" si="1074"/>
        <v>227</v>
      </c>
      <c r="B233" s="59" t="str">
        <f t="shared" si="1240"/>
        <v>F0014825903</v>
      </c>
      <c r="C233" s="214" t="str">
        <f t="shared" si="1241"/>
        <v>82115-0EZ30 B</v>
      </c>
      <c r="D233" s="58" t="e">
        <f>VLOOKUP(B233,'Timing Table'!B:G,6,0)</f>
        <v>#N/A</v>
      </c>
      <c r="E233" s="22" t="e">
        <f>VLOOKUP(B233,'Timing Table'!B:D,3,0)</f>
        <v>#N/A</v>
      </c>
      <c r="F233" s="155" t="s">
        <v>77</v>
      </c>
      <c r="G233" s="181">
        <v>82115</v>
      </c>
      <c r="H233" s="10" t="s">
        <v>243</v>
      </c>
      <c r="I233" s="12" t="s">
        <v>78</v>
      </c>
      <c r="J233" s="152">
        <v>0</v>
      </c>
      <c r="K233" s="153">
        <v>0</v>
      </c>
      <c r="L233" s="153">
        <v>0</v>
      </c>
      <c r="M233" s="153">
        <v>0</v>
      </c>
      <c r="N233" s="153">
        <v>0</v>
      </c>
      <c r="O233" s="153">
        <v>0</v>
      </c>
      <c r="P233" s="153">
        <v>0</v>
      </c>
      <c r="Q233" s="153">
        <v>0</v>
      </c>
      <c r="R233" s="153">
        <v>0</v>
      </c>
      <c r="S233" s="153">
        <v>0</v>
      </c>
      <c r="T233" s="153">
        <v>0</v>
      </c>
      <c r="U233" s="153">
        <v>0</v>
      </c>
      <c r="V233" s="153">
        <v>0</v>
      </c>
      <c r="W233" s="153">
        <v>0</v>
      </c>
      <c r="X233" s="153">
        <v>0</v>
      </c>
      <c r="Y233" s="153">
        <v>0</v>
      </c>
      <c r="Z233" s="153">
        <v>0</v>
      </c>
      <c r="AA233" s="153">
        <v>0</v>
      </c>
      <c r="AB233" s="153">
        <v>0</v>
      </c>
      <c r="AC233" s="153">
        <v>0</v>
      </c>
      <c r="AD233" s="153">
        <v>0</v>
      </c>
      <c r="AE233" s="153">
        <v>0</v>
      </c>
      <c r="AF233" s="153">
        <v>0</v>
      </c>
      <c r="AG233" s="153">
        <v>0</v>
      </c>
      <c r="AH233" s="153">
        <v>0</v>
      </c>
      <c r="AI233" s="153">
        <v>0</v>
      </c>
      <c r="AJ233" s="153">
        <v>0</v>
      </c>
      <c r="AK233" s="153">
        <v>0</v>
      </c>
      <c r="AL233" s="153">
        <v>0</v>
      </c>
      <c r="AM233" s="153">
        <v>0</v>
      </c>
      <c r="AN233" s="153">
        <v>0</v>
      </c>
      <c r="AO233" s="153">
        <v>0</v>
      </c>
      <c r="AP233" s="153">
        <v>0</v>
      </c>
      <c r="AQ233" s="153">
        <v>0</v>
      </c>
      <c r="AR233" s="153">
        <v>0</v>
      </c>
      <c r="AS233" s="153">
        <v>0</v>
      </c>
      <c r="AT233" s="153">
        <v>0</v>
      </c>
      <c r="AU233" s="153">
        <v>0</v>
      </c>
      <c r="AV233" s="153">
        <v>0</v>
      </c>
      <c r="AW233" s="153">
        <v>0</v>
      </c>
      <c r="AX233" s="153">
        <v>0</v>
      </c>
      <c r="AY233" s="153">
        <v>0</v>
      </c>
      <c r="AZ233" s="153">
        <v>0</v>
      </c>
      <c r="BA233" s="153">
        <v>0</v>
      </c>
      <c r="BB233" s="153">
        <v>0</v>
      </c>
      <c r="BC233" s="153">
        <v>0</v>
      </c>
      <c r="BD233" s="153">
        <v>0</v>
      </c>
      <c r="BE233" s="153">
        <v>0</v>
      </c>
      <c r="BF233" s="153">
        <v>0</v>
      </c>
      <c r="BG233" s="153">
        <v>0</v>
      </c>
      <c r="BH233" s="153">
        <v>0</v>
      </c>
      <c r="BI233" s="154">
        <v>0</v>
      </c>
      <c r="DL233">
        <f t="shared" si="1126"/>
        <v>0</v>
      </c>
      <c r="DM233">
        <f t="shared" si="1127"/>
        <v>0</v>
      </c>
      <c r="DN233">
        <f t="shared" si="1128"/>
        <v>0</v>
      </c>
      <c r="DO233">
        <f t="shared" si="1129"/>
        <v>0</v>
      </c>
      <c r="DP233">
        <f t="shared" si="1130"/>
        <v>0</v>
      </c>
      <c r="DQ233">
        <f t="shared" si="1131"/>
        <v>0</v>
      </c>
      <c r="DR233">
        <f t="shared" si="1132"/>
        <v>0</v>
      </c>
      <c r="DS233">
        <f t="shared" si="1133"/>
        <v>0</v>
      </c>
      <c r="DT233">
        <f t="shared" si="1134"/>
        <v>0</v>
      </c>
      <c r="DU233">
        <f t="shared" si="1135"/>
        <v>0</v>
      </c>
      <c r="DV233">
        <f t="shared" si="1136"/>
        <v>0</v>
      </c>
      <c r="DW233">
        <f t="shared" si="1137"/>
        <v>0</v>
      </c>
    </row>
    <row r="234" spans="1:127" x14ac:dyDescent="0.25">
      <c r="A234" s="22">
        <f t="shared" si="1074"/>
        <v>228</v>
      </c>
      <c r="B234" s="59" t="str">
        <f t="shared" si="1240"/>
        <v>F0014825903</v>
      </c>
      <c r="C234" s="214" t="str">
        <f t="shared" si="1241"/>
        <v>82115-0EZ30 B</v>
      </c>
      <c r="D234" s="58" t="e">
        <f>VLOOKUP(B234,'Timing Table'!B:G,6,0)</f>
        <v>#N/A</v>
      </c>
      <c r="E234" s="22" t="e">
        <f>VLOOKUP(B234,'Timing Table'!B:D,3,0)</f>
        <v>#N/A</v>
      </c>
      <c r="F234" s="155" t="s">
        <v>79</v>
      </c>
      <c r="G234" s="199">
        <v>0</v>
      </c>
      <c r="H234" s="184" t="s">
        <v>80</v>
      </c>
      <c r="I234" s="185"/>
      <c r="J234" s="200"/>
      <c r="K234" s="156"/>
      <c r="L234" s="157" t="s">
        <v>0</v>
      </c>
      <c r="M234" s="157" t="s">
        <v>0</v>
      </c>
      <c r="N234" s="157" t="s">
        <v>0</v>
      </c>
      <c r="O234" s="157" t="s">
        <v>0</v>
      </c>
      <c r="P234" s="157" t="s">
        <v>0</v>
      </c>
      <c r="Q234" s="157" t="s">
        <v>0</v>
      </c>
      <c r="R234" s="157" t="s">
        <v>0</v>
      </c>
      <c r="S234" s="157" t="s">
        <v>0</v>
      </c>
      <c r="T234" s="157" t="s">
        <v>0</v>
      </c>
      <c r="U234" s="157" t="s">
        <v>0</v>
      </c>
      <c r="V234" s="157" t="s">
        <v>0</v>
      </c>
      <c r="W234" s="157" t="s">
        <v>0</v>
      </c>
      <c r="X234" s="157" t="s">
        <v>0</v>
      </c>
      <c r="Y234" s="157" t="s">
        <v>0</v>
      </c>
      <c r="Z234" s="157" t="s">
        <v>0</v>
      </c>
      <c r="AA234" s="157" t="s">
        <v>0</v>
      </c>
      <c r="AB234" s="157" t="s">
        <v>0</v>
      </c>
      <c r="AC234" s="157" t="s">
        <v>0</v>
      </c>
      <c r="AD234" s="157" t="s">
        <v>0</v>
      </c>
      <c r="AE234" s="157" t="s">
        <v>0</v>
      </c>
      <c r="AF234" s="157" t="s">
        <v>0</v>
      </c>
      <c r="AG234" s="157" t="s">
        <v>0</v>
      </c>
      <c r="AH234" s="157" t="s">
        <v>0</v>
      </c>
      <c r="AI234" s="157" t="s">
        <v>0</v>
      </c>
      <c r="AJ234" s="157" t="s">
        <v>0</v>
      </c>
      <c r="AK234" s="157" t="s">
        <v>0</v>
      </c>
      <c r="AL234" s="157" t="s">
        <v>0</v>
      </c>
      <c r="AM234" s="157" t="s">
        <v>0</v>
      </c>
      <c r="AN234" s="157" t="s">
        <v>0</v>
      </c>
      <c r="AO234" s="157" t="s">
        <v>0</v>
      </c>
      <c r="AP234" s="157" t="s">
        <v>0</v>
      </c>
      <c r="AQ234" s="157" t="s">
        <v>0</v>
      </c>
      <c r="AR234" s="157" t="s">
        <v>0</v>
      </c>
      <c r="AS234" s="157" t="s">
        <v>0</v>
      </c>
      <c r="AT234" s="157" t="s">
        <v>0</v>
      </c>
      <c r="AU234" s="157" t="s">
        <v>0</v>
      </c>
      <c r="AV234" s="157" t="s">
        <v>0</v>
      </c>
      <c r="AW234" s="157" t="s">
        <v>0</v>
      </c>
      <c r="AX234" s="157" t="s">
        <v>0</v>
      </c>
      <c r="AY234" s="157" t="s">
        <v>0</v>
      </c>
      <c r="AZ234" s="157" t="s">
        <v>0</v>
      </c>
      <c r="BA234" s="157" t="s">
        <v>0</v>
      </c>
      <c r="BB234" s="157" t="s">
        <v>0</v>
      </c>
      <c r="BC234" s="157" t="s">
        <v>0</v>
      </c>
      <c r="BD234" s="157" t="s">
        <v>0</v>
      </c>
      <c r="BE234" s="157" t="s">
        <v>0</v>
      </c>
      <c r="BF234" s="157" t="s">
        <v>0</v>
      </c>
      <c r="BG234" s="157" t="s">
        <v>0</v>
      </c>
      <c r="BH234" s="157" t="s">
        <v>0</v>
      </c>
      <c r="BI234" s="158"/>
      <c r="DL234">
        <f t="shared" si="1126"/>
        <v>0</v>
      </c>
      <c r="DM234">
        <f t="shared" si="1127"/>
        <v>0</v>
      </c>
      <c r="DN234">
        <f t="shared" si="1128"/>
        <v>0</v>
      </c>
      <c r="DO234">
        <f t="shared" si="1129"/>
        <v>0</v>
      </c>
      <c r="DP234">
        <f t="shared" si="1130"/>
        <v>0</v>
      </c>
      <c r="DQ234">
        <f t="shared" si="1131"/>
        <v>0</v>
      </c>
      <c r="DR234">
        <f t="shared" si="1132"/>
        <v>0</v>
      </c>
      <c r="DS234">
        <f t="shared" si="1133"/>
        <v>0</v>
      </c>
      <c r="DT234">
        <f t="shared" si="1134"/>
        <v>0</v>
      </c>
      <c r="DU234">
        <f t="shared" si="1135"/>
        <v>0</v>
      </c>
      <c r="DV234">
        <f t="shared" si="1136"/>
        <v>0</v>
      </c>
      <c r="DW234">
        <f t="shared" si="1137"/>
        <v>0</v>
      </c>
    </row>
    <row r="235" spans="1:127" x14ac:dyDescent="0.25">
      <c r="A235" s="22">
        <f t="shared" si="1074"/>
        <v>229</v>
      </c>
      <c r="B235" s="59" t="str">
        <f t="shared" si="1240"/>
        <v>F0014825903</v>
      </c>
      <c r="C235" s="214" t="str">
        <f t="shared" si="1241"/>
        <v>82115-0EZ30 B</v>
      </c>
      <c r="D235" s="58" t="e">
        <f>VLOOKUP(B235,'Timing Table'!B:G,6,0)</f>
        <v>#N/A</v>
      </c>
      <c r="E235" s="22" t="e">
        <f>VLOOKUP(B235,'Timing Table'!B:D,3,0)</f>
        <v>#N/A</v>
      </c>
      <c r="F235" s="159" t="s">
        <v>81</v>
      </c>
      <c r="G235" s="160" t="s">
        <v>60</v>
      </c>
      <c r="H235" s="201" t="s">
        <v>60</v>
      </c>
      <c r="I235" s="183" t="s">
        <v>60</v>
      </c>
      <c r="J235" s="183" t="s">
        <v>0</v>
      </c>
      <c r="K235" s="183" t="s">
        <v>0</v>
      </c>
      <c r="L235" s="183" t="s">
        <v>0</v>
      </c>
      <c r="M235" s="183" t="s">
        <v>0</v>
      </c>
      <c r="N235" s="183" t="s">
        <v>0</v>
      </c>
      <c r="O235" s="183" t="s">
        <v>0</v>
      </c>
      <c r="P235" s="183" t="s">
        <v>0</v>
      </c>
      <c r="Q235" s="183" t="s">
        <v>0</v>
      </c>
      <c r="R235" s="183" t="s">
        <v>0</v>
      </c>
      <c r="S235" s="183" t="s">
        <v>0</v>
      </c>
      <c r="T235" s="183" t="s">
        <v>0</v>
      </c>
      <c r="U235" s="183" t="s">
        <v>0</v>
      </c>
      <c r="V235" s="183" t="s">
        <v>0</v>
      </c>
      <c r="W235" s="183" t="s">
        <v>0</v>
      </c>
      <c r="X235" s="183" t="s">
        <v>0</v>
      </c>
      <c r="Y235" s="183" t="s">
        <v>0</v>
      </c>
      <c r="Z235" s="183" t="s">
        <v>0</v>
      </c>
      <c r="AA235" s="183" t="s">
        <v>0</v>
      </c>
      <c r="AB235" s="183" t="s">
        <v>0</v>
      </c>
      <c r="AC235" s="183" t="s">
        <v>0</v>
      </c>
      <c r="AD235" s="183" t="s">
        <v>0</v>
      </c>
      <c r="AE235" s="183" t="s">
        <v>0</v>
      </c>
      <c r="AF235" s="183" t="s">
        <v>0</v>
      </c>
      <c r="AG235" s="183" t="s">
        <v>0</v>
      </c>
      <c r="AH235" s="183" t="s">
        <v>0</v>
      </c>
      <c r="AI235" s="183" t="s">
        <v>0</v>
      </c>
      <c r="AJ235" s="183" t="s">
        <v>0</v>
      </c>
      <c r="AK235" s="183" t="s">
        <v>0</v>
      </c>
      <c r="AL235" s="183" t="s">
        <v>0</v>
      </c>
      <c r="AM235" s="183" t="s">
        <v>0</v>
      </c>
      <c r="AN235" s="183" t="s">
        <v>0</v>
      </c>
      <c r="AO235" s="183" t="s">
        <v>0</v>
      </c>
      <c r="AP235" s="183" t="s">
        <v>0</v>
      </c>
      <c r="AQ235" s="183" t="s">
        <v>0</v>
      </c>
      <c r="AR235" s="183" t="s">
        <v>0</v>
      </c>
      <c r="AS235" s="183" t="s">
        <v>0</v>
      </c>
      <c r="AT235" s="183" t="s">
        <v>0</v>
      </c>
      <c r="AU235" s="183" t="s">
        <v>0</v>
      </c>
      <c r="AV235" s="183" t="s">
        <v>0</v>
      </c>
      <c r="AW235" s="183" t="s">
        <v>0</v>
      </c>
      <c r="AX235" s="183" t="s">
        <v>0</v>
      </c>
      <c r="AY235" s="183" t="s">
        <v>0</v>
      </c>
      <c r="AZ235" s="183" t="s">
        <v>0</v>
      </c>
      <c r="BA235" s="183" t="s">
        <v>0</v>
      </c>
      <c r="BB235" s="183" t="s">
        <v>0</v>
      </c>
      <c r="BC235" s="183" t="s">
        <v>0</v>
      </c>
      <c r="BD235" s="183" t="s">
        <v>0</v>
      </c>
      <c r="BE235" s="183" t="s">
        <v>0</v>
      </c>
      <c r="BF235" s="183" t="s">
        <v>0</v>
      </c>
      <c r="BG235" s="183" t="s">
        <v>0</v>
      </c>
      <c r="BH235" s="183" t="s">
        <v>0</v>
      </c>
      <c r="BI235" s="161"/>
      <c r="DL235">
        <f t="shared" si="1126"/>
        <v>0</v>
      </c>
      <c r="DM235">
        <f t="shared" si="1127"/>
        <v>0</v>
      </c>
      <c r="DN235">
        <f t="shared" si="1128"/>
        <v>0</v>
      </c>
      <c r="DO235">
        <f t="shared" si="1129"/>
        <v>0</v>
      </c>
      <c r="DP235">
        <f t="shared" si="1130"/>
        <v>0</v>
      </c>
      <c r="DQ235">
        <f t="shared" si="1131"/>
        <v>0</v>
      </c>
      <c r="DR235">
        <f t="shared" si="1132"/>
        <v>0</v>
      </c>
      <c r="DS235">
        <f t="shared" si="1133"/>
        <v>0</v>
      </c>
      <c r="DT235">
        <f t="shared" si="1134"/>
        <v>0</v>
      </c>
      <c r="DU235">
        <f t="shared" si="1135"/>
        <v>0</v>
      </c>
      <c r="DV235">
        <f t="shared" si="1136"/>
        <v>0</v>
      </c>
      <c r="DW235">
        <f t="shared" si="1137"/>
        <v>0</v>
      </c>
    </row>
    <row r="236" spans="1:127" x14ac:dyDescent="0.25">
      <c r="A236" s="22">
        <f t="shared" si="1074"/>
        <v>230</v>
      </c>
      <c r="B236" s="59" t="str">
        <f t="shared" si="1240"/>
        <v>F0014825903</v>
      </c>
      <c r="C236" s="214" t="str">
        <f t="shared" si="1241"/>
        <v>82115-0EZ30 B</v>
      </c>
      <c r="D236" s="58" t="e">
        <f>VLOOKUP(B236,'Timing Table'!B:G,6,0)</f>
        <v>#N/A</v>
      </c>
      <c r="E236" s="22" t="e">
        <f>VLOOKUP(B236,'Timing Table'!B:D,3,0)</f>
        <v>#N/A</v>
      </c>
      <c r="F236" s="188" t="s">
        <v>60</v>
      </c>
      <c r="G236" s="162" t="s">
        <v>60</v>
      </c>
      <c r="H236" s="163" t="s">
        <v>60</v>
      </c>
      <c r="I236" s="164" t="s">
        <v>60</v>
      </c>
      <c r="J236" s="164" t="s">
        <v>0</v>
      </c>
      <c r="K236" s="164" t="s">
        <v>0</v>
      </c>
      <c r="L236" s="164" t="s">
        <v>0</v>
      </c>
      <c r="M236" s="164" t="s">
        <v>0</v>
      </c>
      <c r="N236" s="164" t="s">
        <v>0</v>
      </c>
      <c r="O236" s="164" t="s">
        <v>0</v>
      </c>
      <c r="P236" s="164" t="s">
        <v>0</v>
      </c>
      <c r="Q236" s="164" t="s">
        <v>0</v>
      </c>
      <c r="R236" s="164" t="s">
        <v>0</v>
      </c>
      <c r="S236" s="164" t="s">
        <v>0</v>
      </c>
      <c r="T236" s="164" t="s">
        <v>0</v>
      </c>
      <c r="U236" s="164" t="s">
        <v>0</v>
      </c>
      <c r="V236" s="164" t="s">
        <v>0</v>
      </c>
      <c r="W236" s="164" t="s">
        <v>0</v>
      </c>
      <c r="X236" s="164" t="s">
        <v>0</v>
      </c>
      <c r="Y236" s="164" t="s">
        <v>0</v>
      </c>
      <c r="Z236" s="164" t="s">
        <v>0</v>
      </c>
      <c r="AA236" s="164" t="s">
        <v>0</v>
      </c>
      <c r="AB236" s="164" t="s">
        <v>0</v>
      </c>
      <c r="AC236" s="164" t="s">
        <v>0</v>
      </c>
      <c r="AD236" s="164" t="s">
        <v>0</v>
      </c>
      <c r="AE236" s="164" t="s">
        <v>0</v>
      </c>
      <c r="AF236" s="164" t="s">
        <v>0</v>
      </c>
      <c r="AG236" s="164" t="s">
        <v>0</v>
      </c>
      <c r="AH236" s="164" t="s">
        <v>0</v>
      </c>
      <c r="AI236" s="164" t="s">
        <v>0</v>
      </c>
      <c r="AJ236" s="164" t="s">
        <v>0</v>
      </c>
      <c r="AK236" s="164" t="s">
        <v>0</v>
      </c>
      <c r="AL236" s="164" t="s">
        <v>0</v>
      </c>
      <c r="AM236" s="164" t="s">
        <v>0</v>
      </c>
      <c r="AN236" s="164" t="s">
        <v>0</v>
      </c>
      <c r="AO236" s="164" t="s">
        <v>0</v>
      </c>
      <c r="AP236" s="164" t="s">
        <v>0</v>
      </c>
      <c r="AQ236" s="164" t="s">
        <v>0</v>
      </c>
      <c r="AR236" s="164" t="s">
        <v>0</v>
      </c>
      <c r="AS236" s="164" t="s">
        <v>0</v>
      </c>
      <c r="AT236" s="164" t="s">
        <v>0</v>
      </c>
      <c r="AU236" s="164" t="s">
        <v>0</v>
      </c>
      <c r="AV236" s="164" t="s">
        <v>0</v>
      </c>
      <c r="AW236" s="164" t="s">
        <v>0</v>
      </c>
      <c r="AX236" s="164" t="s">
        <v>0</v>
      </c>
      <c r="AY236" s="164" t="s">
        <v>0</v>
      </c>
      <c r="AZ236" s="164" t="s">
        <v>0</v>
      </c>
      <c r="BA236" s="164" t="s">
        <v>0</v>
      </c>
      <c r="BB236" s="164" t="s">
        <v>0</v>
      </c>
      <c r="BC236" s="164" t="s">
        <v>0</v>
      </c>
      <c r="BD236" s="164" t="s">
        <v>0</v>
      </c>
      <c r="BE236" s="164" t="s">
        <v>0</v>
      </c>
      <c r="BF236" s="164" t="s">
        <v>0</v>
      </c>
      <c r="BG236" s="164" t="s">
        <v>0</v>
      </c>
      <c r="BH236" s="164" t="s">
        <v>0</v>
      </c>
      <c r="BI236" s="189"/>
      <c r="DL236">
        <f t="shared" si="1126"/>
        <v>0</v>
      </c>
      <c r="DM236">
        <f t="shared" si="1127"/>
        <v>0</v>
      </c>
      <c r="DN236">
        <f t="shared" si="1128"/>
        <v>0</v>
      </c>
      <c r="DO236">
        <f t="shared" si="1129"/>
        <v>0</v>
      </c>
      <c r="DP236">
        <f t="shared" si="1130"/>
        <v>0</v>
      </c>
      <c r="DQ236">
        <f t="shared" si="1131"/>
        <v>0</v>
      </c>
      <c r="DR236">
        <f t="shared" si="1132"/>
        <v>0</v>
      </c>
      <c r="DS236">
        <f t="shared" si="1133"/>
        <v>0</v>
      </c>
      <c r="DT236">
        <f t="shared" si="1134"/>
        <v>0</v>
      </c>
      <c r="DU236">
        <f t="shared" si="1135"/>
        <v>0</v>
      </c>
      <c r="DV236">
        <f t="shared" si="1136"/>
        <v>0</v>
      </c>
      <c r="DW236">
        <f t="shared" si="1137"/>
        <v>0</v>
      </c>
    </row>
    <row r="237" spans="1:127" x14ac:dyDescent="0.25">
      <c r="A237" s="22">
        <f t="shared" si="1074"/>
        <v>231</v>
      </c>
      <c r="B237" s="59" t="str">
        <f t="shared" si="1240"/>
        <v>F0014826003</v>
      </c>
      <c r="C237" s="214" t="str">
        <f t="shared" si="1241"/>
        <v>82115-0EZ60 B</v>
      </c>
      <c r="D237" s="58" t="e">
        <f>VLOOKUP(B237,'Timing Table'!B:G,6,0)</f>
        <v>#N/A</v>
      </c>
      <c r="E237" s="22" t="e">
        <f>VLOOKUP(B237,'Timing Table'!B:D,3,0)</f>
        <v>#N/A</v>
      </c>
      <c r="F237" s="155" t="s">
        <v>61</v>
      </c>
      <c r="G237" s="181">
        <v>5501017977</v>
      </c>
      <c r="H237" s="155" t="s">
        <v>62</v>
      </c>
      <c r="I237" s="181">
        <v>91</v>
      </c>
      <c r="J237" s="155" t="s">
        <v>63</v>
      </c>
      <c r="K237" s="160">
        <v>1177764</v>
      </c>
      <c r="L237" s="161"/>
      <c r="M237" s="190" t="s">
        <v>64</v>
      </c>
      <c r="N237" s="191"/>
      <c r="O237" s="192">
        <v>46086</v>
      </c>
      <c r="P237" s="155" t="s">
        <v>65</v>
      </c>
      <c r="Q237" s="181">
        <v>4</v>
      </c>
      <c r="R237" s="6" t="s">
        <v>0</v>
      </c>
      <c r="S237" s="7" t="s">
        <v>0</v>
      </c>
      <c r="T237" s="7" t="s">
        <v>0</v>
      </c>
      <c r="U237" s="7" t="s">
        <v>0</v>
      </c>
      <c r="V237" s="7" t="s">
        <v>0</v>
      </c>
      <c r="W237" s="7" t="s">
        <v>0</v>
      </c>
      <c r="X237" s="7" t="s">
        <v>0</v>
      </c>
      <c r="Y237" s="7" t="s">
        <v>0</v>
      </c>
      <c r="Z237" s="7" t="s">
        <v>0</v>
      </c>
      <c r="AA237" s="7" t="s">
        <v>0</v>
      </c>
      <c r="AB237" s="7" t="s">
        <v>0</v>
      </c>
      <c r="AC237" s="7" t="s">
        <v>0</v>
      </c>
      <c r="AD237" s="7" t="s">
        <v>0</v>
      </c>
      <c r="AE237" s="7" t="s">
        <v>0</v>
      </c>
      <c r="AF237" s="7" t="s">
        <v>0</v>
      </c>
      <c r="AG237" s="7" t="s">
        <v>0</v>
      </c>
      <c r="AH237" s="7" t="s">
        <v>0</v>
      </c>
      <c r="AI237" s="7" t="s">
        <v>0</v>
      </c>
      <c r="AJ237" s="7" t="s">
        <v>0</v>
      </c>
      <c r="AK237" s="7" t="s">
        <v>0</v>
      </c>
      <c r="AL237" s="7" t="s">
        <v>0</v>
      </c>
      <c r="AM237" s="7" t="s">
        <v>0</v>
      </c>
      <c r="AN237" s="7" t="s">
        <v>0</v>
      </c>
      <c r="AO237" s="7" t="s">
        <v>0</v>
      </c>
      <c r="AP237" s="7" t="s">
        <v>0</v>
      </c>
      <c r="AQ237" s="7" t="s">
        <v>0</v>
      </c>
      <c r="AR237" s="7" t="s">
        <v>0</v>
      </c>
      <c r="AS237" s="7" t="s">
        <v>0</v>
      </c>
      <c r="AT237" s="7" t="s">
        <v>0</v>
      </c>
      <c r="AU237" s="7" t="s">
        <v>0</v>
      </c>
      <c r="AV237" s="7" t="s">
        <v>0</v>
      </c>
      <c r="AW237" s="7" t="s">
        <v>0</v>
      </c>
      <c r="AX237" s="7" t="s">
        <v>0</v>
      </c>
      <c r="AY237" s="7" t="s">
        <v>0</v>
      </c>
      <c r="AZ237" s="7" t="s">
        <v>0</v>
      </c>
      <c r="BA237" s="7" t="s">
        <v>0</v>
      </c>
      <c r="BB237" s="7" t="s">
        <v>0</v>
      </c>
      <c r="BC237" s="7" t="s">
        <v>0</v>
      </c>
      <c r="BD237" s="7" t="s">
        <v>0</v>
      </c>
      <c r="BE237" s="7" t="s">
        <v>0</v>
      </c>
      <c r="BF237" s="7" t="s">
        <v>0</v>
      </c>
      <c r="BG237" s="7" t="s">
        <v>0</v>
      </c>
      <c r="BH237" s="7" t="s">
        <v>0</v>
      </c>
      <c r="BI237" s="8"/>
      <c r="DL237">
        <f t="shared" si="1126"/>
        <v>0</v>
      </c>
      <c r="DM237">
        <f t="shared" si="1127"/>
        <v>0</v>
      </c>
      <c r="DN237">
        <f t="shared" si="1128"/>
        <v>0</v>
      </c>
      <c r="DO237">
        <f t="shared" si="1129"/>
        <v>0</v>
      </c>
      <c r="DP237">
        <f t="shared" si="1130"/>
        <v>0</v>
      </c>
      <c r="DQ237">
        <f t="shared" si="1131"/>
        <v>0</v>
      </c>
      <c r="DR237">
        <f t="shared" si="1132"/>
        <v>0</v>
      </c>
      <c r="DS237">
        <f t="shared" si="1133"/>
        <v>0</v>
      </c>
      <c r="DT237">
        <f t="shared" si="1134"/>
        <v>0</v>
      </c>
      <c r="DU237">
        <f t="shared" si="1135"/>
        <v>0</v>
      </c>
      <c r="DV237">
        <f t="shared" si="1136"/>
        <v>0</v>
      </c>
      <c r="DW237">
        <f t="shared" si="1137"/>
        <v>0</v>
      </c>
    </row>
    <row r="238" spans="1:127" x14ac:dyDescent="0.25">
      <c r="A238" s="22">
        <f t="shared" si="1074"/>
        <v>232</v>
      </c>
      <c r="B238" s="59" t="str">
        <f t="shared" si="1240"/>
        <v>F0014826003</v>
      </c>
      <c r="C238" s="214" t="str">
        <f t="shared" si="1241"/>
        <v>82115-0EZ60 B</v>
      </c>
      <c r="D238" s="58" t="e">
        <f>VLOOKUP(B238,'Timing Table'!B:G,6,0)</f>
        <v>#N/A</v>
      </c>
      <c r="E238" s="22" t="e">
        <f>VLOOKUP(B238,'Timing Table'!B:D,3,0)</f>
        <v>#N/A</v>
      </c>
      <c r="F238" s="155" t="s">
        <v>66</v>
      </c>
      <c r="G238" s="181" t="s">
        <v>347</v>
      </c>
      <c r="H238" s="155" t="s">
        <v>67</v>
      </c>
      <c r="I238" s="182" t="s">
        <v>348</v>
      </c>
      <c r="J238" s="183"/>
      <c r="K238" s="183"/>
      <c r="L238" s="161"/>
      <c r="M238" s="155" t="s">
        <v>68</v>
      </c>
      <c r="N238" s="181">
        <v>2025</v>
      </c>
      <c r="O238" s="184" t="s">
        <v>69</v>
      </c>
      <c r="P238" s="185"/>
      <c r="Q238" s="193" t="s">
        <v>342</v>
      </c>
      <c r="R238" s="156" t="s">
        <v>0</v>
      </c>
      <c r="S238" s="157" t="s">
        <v>0</v>
      </c>
      <c r="T238" s="157" t="s">
        <v>0</v>
      </c>
      <c r="U238" s="157" t="s">
        <v>0</v>
      </c>
      <c r="V238" s="157" t="s">
        <v>0</v>
      </c>
      <c r="W238" s="157" t="s">
        <v>0</v>
      </c>
      <c r="X238" s="157" t="s">
        <v>0</v>
      </c>
      <c r="Y238" s="157" t="s">
        <v>0</v>
      </c>
      <c r="Z238" s="157" t="s">
        <v>0</v>
      </c>
      <c r="AA238" s="157" t="s">
        <v>0</v>
      </c>
      <c r="AB238" s="157" t="s">
        <v>0</v>
      </c>
      <c r="AC238" s="157" t="s">
        <v>0</v>
      </c>
      <c r="AD238" s="157" t="s">
        <v>0</v>
      </c>
      <c r="AE238" s="157" t="s">
        <v>0</v>
      </c>
      <c r="AF238" s="157" t="s">
        <v>0</v>
      </c>
      <c r="AG238" s="157" t="s">
        <v>0</v>
      </c>
      <c r="AH238" s="157" t="s">
        <v>0</v>
      </c>
      <c r="AI238" s="157" t="s">
        <v>0</v>
      </c>
      <c r="AJ238" s="157" t="s">
        <v>0</v>
      </c>
      <c r="AK238" s="157" t="s">
        <v>0</v>
      </c>
      <c r="AL238" s="157" t="s">
        <v>0</v>
      </c>
      <c r="AM238" s="157" t="s">
        <v>0</v>
      </c>
      <c r="AN238" s="157" t="s">
        <v>0</v>
      </c>
      <c r="AO238" s="157" t="s">
        <v>0</v>
      </c>
      <c r="AP238" s="157" t="s">
        <v>0</v>
      </c>
      <c r="AQ238" s="157" t="s">
        <v>0</v>
      </c>
      <c r="AR238" s="157" t="s">
        <v>0</v>
      </c>
      <c r="AS238" s="157" t="s">
        <v>0</v>
      </c>
      <c r="AT238" s="157" t="s">
        <v>0</v>
      </c>
      <c r="AU238" s="157" t="s">
        <v>0</v>
      </c>
      <c r="AV238" s="157" t="s">
        <v>0</v>
      </c>
      <c r="AW238" s="157" t="s">
        <v>0</v>
      </c>
      <c r="AX238" s="157" t="s">
        <v>0</v>
      </c>
      <c r="AY238" s="157" t="s">
        <v>0</v>
      </c>
      <c r="AZ238" s="157" t="s">
        <v>0</v>
      </c>
      <c r="BA238" s="157" t="s">
        <v>0</v>
      </c>
      <c r="BB238" s="157" t="s">
        <v>0</v>
      </c>
      <c r="BC238" s="157" t="s">
        <v>0</v>
      </c>
      <c r="BD238" s="157" t="s">
        <v>0</v>
      </c>
      <c r="BE238" s="157" t="s">
        <v>0</v>
      </c>
      <c r="BF238" s="157" t="s">
        <v>0</v>
      </c>
      <c r="BG238" s="157" t="s">
        <v>0</v>
      </c>
      <c r="BH238" s="157" t="s">
        <v>0</v>
      </c>
      <c r="BI238" s="158"/>
      <c r="DL238">
        <f t="shared" si="1126"/>
        <v>0</v>
      </c>
      <c r="DM238">
        <f t="shared" si="1127"/>
        <v>0</v>
      </c>
      <c r="DN238">
        <f t="shared" si="1128"/>
        <v>0</v>
      </c>
      <c r="DO238">
        <f t="shared" si="1129"/>
        <v>0</v>
      </c>
      <c r="DP238">
        <f t="shared" si="1130"/>
        <v>0</v>
      </c>
      <c r="DQ238">
        <f t="shared" si="1131"/>
        <v>0</v>
      </c>
      <c r="DR238">
        <f t="shared" si="1132"/>
        <v>0</v>
      </c>
      <c r="DS238">
        <f t="shared" si="1133"/>
        <v>0</v>
      </c>
      <c r="DT238">
        <f t="shared" si="1134"/>
        <v>0</v>
      </c>
      <c r="DU238">
        <f t="shared" si="1135"/>
        <v>0</v>
      </c>
      <c r="DV238">
        <f t="shared" si="1136"/>
        <v>0</v>
      </c>
      <c r="DW238">
        <f t="shared" si="1137"/>
        <v>0</v>
      </c>
    </row>
    <row r="239" spans="1:127" x14ac:dyDescent="0.25">
      <c r="A239" s="22">
        <f t="shared" si="1074"/>
        <v>233</v>
      </c>
      <c r="B239" s="59" t="str">
        <f t="shared" si="1240"/>
        <v>F0014826003</v>
      </c>
      <c r="C239" s="214" t="str">
        <f t="shared" si="1241"/>
        <v>82115-0EZ60 B</v>
      </c>
      <c r="D239" s="58" t="e">
        <f>VLOOKUP(B239,'Timing Table'!B:G,6,0)</f>
        <v>#N/A</v>
      </c>
      <c r="E239" s="22" t="e">
        <f>VLOOKUP(B239,'Timing Table'!B:D,3,0)</f>
        <v>#N/A</v>
      </c>
      <c r="F239" s="155" t="s">
        <v>70</v>
      </c>
      <c r="G239" s="181" t="s">
        <v>349</v>
      </c>
      <c r="H239" s="155" t="s">
        <v>71</v>
      </c>
      <c r="I239" s="182" t="s">
        <v>60</v>
      </c>
      <c r="J239" s="161" t="s">
        <v>0</v>
      </c>
      <c r="K239" s="194" t="s">
        <v>0</v>
      </c>
      <c r="L239" s="195" t="s">
        <v>0</v>
      </c>
      <c r="M239" s="179" t="s">
        <v>0</v>
      </c>
      <c r="N239" s="179" t="s">
        <v>0</v>
      </c>
      <c r="O239" s="179" t="s">
        <v>0</v>
      </c>
      <c r="P239" s="179" t="s">
        <v>0</v>
      </c>
      <c r="Q239" s="179" t="s">
        <v>1</v>
      </c>
      <c r="R239" s="179" t="s">
        <v>2</v>
      </c>
      <c r="S239" s="179" t="s">
        <v>0</v>
      </c>
      <c r="T239" s="179" t="s">
        <v>0</v>
      </c>
      <c r="U239" s="179" t="s">
        <v>0</v>
      </c>
      <c r="V239" s="179" t="s">
        <v>0</v>
      </c>
      <c r="W239" s="179" t="s">
        <v>0</v>
      </c>
      <c r="X239" s="179" t="s">
        <v>0</v>
      </c>
      <c r="Y239" s="179" t="s">
        <v>0</v>
      </c>
      <c r="Z239" s="179" t="s">
        <v>3</v>
      </c>
      <c r="AA239" s="179" t="s">
        <v>0</v>
      </c>
      <c r="AB239" s="179" t="s">
        <v>0</v>
      </c>
      <c r="AC239" s="179" t="s">
        <v>0</v>
      </c>
      <c r="AD239" s="179" t="s">
        <v>0</v>
      </c>
      <c r="AE239" s="179" t="s">
        <v>0</v>
      </c>
      <c r="AF239" s="179" t="s">
        <v>0</v>
      </c>
      <c r="AG239" s="179" t="s">
        <v>0</v>
      </c>
      <c r="AH239" s="179" t="s">
        <v>0</v>
      </c>
      <c r="AI239" s="179" t="s">
        <v>0</v>
      </c>
      <c r="AJ239" s="179" t="s">
        <v>0</v>
      </c>
      <c r="AK239" s="179" t="s">
        <v>0</v>
      </c>
      <c r="AL239" s="179" t="s">
        <v>0</v>
      </c>
      <c r="AM239" s="179" t="s">
        <v>0</v>
      </c>
      <c r="AN239" s="179" t="s">
        <v>0</v>
      </c>
      <c r="AO239" s="179" t="s">
        <v>0</v>
      </c>
      <c r="AP239" s="179" t="s">
        <v>0</v>
      </c>
      <c r="AQ239" s="179" t="s">
        <v>0</v>
      </c>
      <c r="AR239" s="179" t="s">
        <v>0</v>
      </c>
      <c r="AS239" s="179" t="s">
        <v>0</v>
      </c>
      <c r="AT239" s="179" t="s">
        <v>0</v>
      </c>
      <c r="AU239" s="179" t="s">
        <v>0</v>
      </c>
      <c r="AV239" s="179" t="s">
        <v>0</v>
      </c>
      <c r="AW239" s="179" t="s">
        <v>0</v>
      </c>
      <c r="AX239" s="179" t="s">
        <v>0</v>
      </c>
      <c r="AY239" s="179" t="s">
        <v>0</v>
      </c>
      <c r="AZ239" s="179" t="s">
        <v>0</v>
      </c>
      <c r="BA239" s="179" t="s">
        <v>0</v>
      </c>
      <c r="BB239" s="179" t="s">
        <v>0</v>
      </c>
      <c r="BC239" s="179" t="s">
        <v>0</v>
      </c>
      <c r="BD239" s="179" t="s">
        <v>0</v>
      </c>
      <c r="BE239" s="179" t="s">
        <v>0</v>
      </c>
      <c r="BF239" s="179" t="s">
        <v>0</v>
      </c>
      <c r="BG239" s="179" t="s">
        <v>0</v>
      </c>
      <c r="BH239" s="179" t="s">
        <v>0</v>
      </c>
      <c r="BI239" s="180" t="s">
        <v>4</v>
      </c>
      <c r="DL239">
        <f t="shared" si="1126"/>
        <v>0</v>
      </c>
      <c r="DM239">
        <f t="shared" si="1127"/>
        <v>0</v>
      </c>
      <c r="DN239">
        <f t="shared" si="1128"/>
        <v>0</v>
      </c>
      <c r="DO239">
        <f t="shared" si="1129"/>
        <v>0</v>
      </c>
      <c r="DP239">
        <f t="shared" si="1130"/>
        <v>0</v>
      </c>
      <c r="DQ239">
        <f t="shared" si="1131"/>
        <v>0</v>
      </c>
      <c r="DR239">
        <f t="shared" si="1132"/>
        <v>0</v>
      </c>
      <c r="DS239">
        <f t="shared" si="1133"/>
        <v>0</v>
      </c>
      <c r="DT239">
        <f t="shared" si="1134"/>
        <v>0</v>
      </c>
      <c r="DU239">
        <f t="shared" si="1135"/>
        <v>0</v>
      </c>
      <c r="DV239">
        <f t="shared" si="1136"/>
        <v>0</v>
      </c>
      <c r="DW239">
        <f t="shared" si="1137"/>
        <v>0</v>
      </c>
    </row>
    <row r="240" spans="1:127" x14ac:dyDescent="0.25">
      <c r="A240" s="22">
        <f t="shared" si="1074"/>
        <v>234</v>
      </c>
      <c r="B240" s="59" t="str">
        <f t="shared" si="1240"/>
        <v>F0014826003</v>
      </c>
      <c r="C240" s="214" t="str">
        <f t="shared" si="1241"/>
        <v>82115-0EZ60 B</v>
      </c>
      <c r="D240" s="58" t="e">
        <f>VLOOKUP(B240,'Timing Table'!B:G,6,0)</f>
        <v>#N/A</v>
      </c>
      <c r="E240" s="22" t="e">
        <f>VLOOKUP(B240,'Timing Table'!B:D,3,0)</f>
        <v>#N/A</v>
      </c>
      <c r="F240" s="155" t="s">
        <v>72</v>
      </c>
      <c r="G240" s="181">
        <v>4</v>
      </c>
      <c r="H240" s="196" t="s">
        <v>414</v>
      </c>
      <c r="I240" s="197" t="s">
        <v>73</v>
      </c>
      <c r="J240" s="13">
        <v>46041</v>
      </c>
      <c r="K240" s="14">
        <v>46048</v>
      </c>
      <c r="L240" s="14">
        <v>46055</v>
      </c>
      <c r="M240" s="14">
        <v>46062</v>
      </c>
      <c r="N240" s="14">
        <v>46069</v>
      </c>
      <c r="O240" s="14">
        <v>46076</v>
      </c>
      <c r="P240" s="14">
        <v>46083</v>
      </c>
      <c r="Q240" s="14">
        <v>46090</v>
      </c>
      <c r="R240" s="14">
        <v>46097</v>
      </c>
      <c r="S240" s="14">
        <v>46104</v>
      </c>
      <c r="T240" s="14">
        <v>46111</v>
      </c>
      <c r="U240" s="14">
        <v>46118</v>
      </c>
      <c r="V240" s="14">
        <v>46125</v>
      </c>
      <c r="W240" s="14">
        <v>46132</v>
      </c>
      <c r="X240" s="14">
        <v>46139</v>
      </c>
      <c r="Y240" s="14">
        <v>46146</v>
      </c>
      <c r="Z240" s="14">
        <v>46153</v>
      </c>
      <c r="AA240" s="14">
        <v>46160</v>
      </c>
      <c r="AB240" s="14">
        <v>46167</v>
      </c>
      <c r="AC240" s="14">
        <v>46174</v>
      </c>
      <c r="AD240" s="14">
        <v>46181</v>
      </c>
      <c r="AE240" s="14">
        <v>46188</v>
      </c>
      <c r="AF240" s="14">
        <v>46195</v>
      </c>
      <c r="AG240" s="14">
        <v>46202</v>
      </c>
      <c r="AH240" s="14">
        <v>46209</v>
      </c>
      <c r="AI240" s="14">
        <v>46216</v>
      </c>
      <c r="AJ240" s="14">
        <v>46223</v>
      </c>
      <c r="AK240" s="14">
        <v>46230</v>
      </c>
      <c r="AL240" s="14">
        <v>46237</v>
      </c>
      <c r="AM240" s="14">
        <v>46244</v>
      </c>
      <c r="AN240" s="14">
        <v>46251</v>
      </c>
      <c r="AO240" s="14">
        <v>46258</v>
      </c>
      <c r="AP240" s="14">
        <v>46265</v>
      </c>
      <c r="AQ240" s="14">
        <v>46272</v>
      </c>
      <c r="AR240" s="14">
        <v>46279</v>
      </c>
      <c r="AS240" s="14">
        <v>46286</v>
      </c>
      <c r="AT240" s="14">
        <v>46293</v>
      </c>
      <c r="AU240" s="14">
        <v>46300</v>
      </c>
      <c r="AV240" s="14">
        <v>46307</v>
      </c>
      <c r="AW240" s="14">
        <v>46314</v>
      </c>
      <c r="AX240" s="14">
        <v>46321</v>
      </c>
      <c r="AY240" s="14">
        <v>46328</v>
      </c>
      <c r="AZ240" s="14">
        <v>46335</v>
      </c>
      <c r="BA240" s="14">
        <v>46342</v>
      </c>
      <c r="BB240" s="14">
        <v>46349</v>
      </c>
      <c r="BC240" s="14">
        <v>46356</v>
      </c>
      <c r="BD240" s="14">
        <v>46363</v>
      </c>
      <c r="BE240" s="14">
        <v>46370</v>
      </c>
      <c r="BF240" s="14">
        <v>46377</v>
      </c>
      <c r="BG240" s="14">
        <v>46384</v>
      </c>
      <c r="BH240" s="14">
        <v>46391</v>
      </c>
      <c r="BI240" s="15">
        <v>46398</v>
      </c>
      <c r="DL240">
        <f t="shared" si="1126"/>
        <v>0</v>
      </c>
      <c r="DM240">
        <f t="shared" si="1127"/>
        <v>0</v>
      </c>
      <c r="DN240">
        <f t="shared" si="1128"/>
        <v>0</v>
      </c>
      <c r="DO240">
        <f t="shared" si="1129"/>
        <v>0</v>
      </c>
      <c r="DP240">
        <f t="shared" si="1130"/>
        <v>0</v>
      </c>
      <c r="DQ240">
        <f t="shared" si="1131"/>
        <v>0</v>
      </c>
      <c r="DR240">
        <f t="shared" si="1132"/>
        <v>0</v>
      </c>
      <c r="DS240">
        <f t="shared" si="1133"/>
        <v>0</v>
      </c>
      <c r="DT240">
        <f t="shared" si="1134"/>
        <v>0</v>
      </c>
      <c r="DU240">
        <f t="shared" si="1135"/>
        <v>0</v>
      </c>
      <c r="DV240">
        <f t="shared" si="1136"/>
        <v>0</v>
      </c>
      <c r="DW240">
        <f t="shared" si="1137"/>
        <v>0</v>
      </c>
    </row>
    <row r="241" spans="1:127" x14ac:dyDescent="0.25">
      <c r="A241" s="22">
        <f t="shared" si="1074"/>
        <v>235</v>
      </c>
      <c r="B241" s="59" t="str">
        <f t="shared" si="1240"/>
        <v>F0014826003</v>
      </c>
      <c r="C241" s="214" t="str">
        <f t="shared" si="1241"/>
        <v>82115-0EZ60 B</v>
      </c>
      <c r="D241" s="58" t="e">
        <f>VLOOKUP(B241,'Timing Table'!B:G,6,0)</f>
        <v>#N/A</v>
      </c>
      <c r="E241" s="22" t="e">
        <f>VLOOKUP(B241,'Timing Table'!B:D,3,0)</f>
        <v>#N/A</v>
      </c>
      <c r="F241" s="155" t="s">
        <v>74</v>
      </c>
      <c r="G241" s="181">
        <v>4</v>
      </c>
      <c r="H241" s="5" t="s">
        <v>60</v>
      </c>
      <c r="I241" s="11" t="s">
        <v>147</v>
      </c>
      <c r="J241" s="16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17"/>
      <c r="DL241">
        <f t="shared" si="1126"/>
        <v>0</v>
      </c>
      <c r="DM241">
        <f t="shared" si="1127"/>
        <v>0</v>
      </c>
      <c r="DN241">
        <f t="shared" si="1128"/>
        <v>0</v>
      </c>
      <c r="DO241">
        <f t="shared" si="1129"/>
        <v>0</v>
      </c>
      <c r="DP241">
        <f t="shared" si="1130"/>
        <v>0</v>
      </c>
      <c r="DQ241">
        <f t="shared" si="1131"/>
        <v>0</v>
      </c>
      <c r="DR241">
        <f t="shared" si="1132"/>
        <v>0</v>
      </c>
      <c r="DS241">
        <f t="shared" si="1133"/>
        <v>0</v>
      </c>
      <c r="DT241">
        <f t="shared" si="1134"/>
        <v>0</v>
      </c>
      <c r="DU241">
        <f t="shared" si="1135"/>
        <v>0</v>
      </c>
      <c r="DV241">
        <f t="shared" si="1136"/>
        <v>0</v>
      </c>
      <c r="DW241">
        <f t="shared" si="1137"/>
        <v>0</v>
      </c>
    </row>
    <row r="242" spans="1:127" x14ac:dyDescent="0.25">
      <c r="A242" s="22">
        <f t="shared" si="1074"/>
        <v>236</v>
      </c>
      <c r="B242" s="59" t="str">
        <f t="shared" si="1240"/>
        <v>F0014826003</v>
      </c>
      <c r="C242" s="214" t="str">
        <f t="shared" si="1241"/>
        <v>82115-0EZ60 B</v>
      </c>
      <c r="D242" s="58" t="e">
        <f>VLOOKUP(B242,'Timing Table'!B:G,6,0)</f>
        <v>#N/A</v>
      </c>
      <c r="E242" s="22" t="e">
        <f>VLOOKUP(B242,'Timing Table'!B:D,3,0)</f>
        <v>#N/A</v>
      </c>
      <c r="F242" s="155" t="s">
        <v>75</v>
      </c>
      <c r="G242" s="198" t="s">
        <v>257</v>
      </c>
      <c r="H242" s="9" t="s">
        <v>249</v>
      </c>
      <c r="I242" s="11" t="s">
        <v>76</v>
      </c>
      <c r="J242" s="143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>
        <v>0</v>
      </c>
      <c r="AA242" s="64">
        <v>0</v>
      </c>
      <c r="AB242" s="64">
        <v>0</v>
      </c>
      <c r="AC242" s="64">
        <v>0</v>
      </c>
      <c r="AD242" s="64">
        <v>0</v>
      </c>
      <c r="AE242" s="64">
        <v>0</v>
      </c>
      <c r="AF242" s="64">
        <v>0</v>
      </c>
      <c r="AG242" s="64">
        <v>0</v>
      </c>
      <c r="AH242" s="64">
        <v>0</v>
      </c>
      <c r="AI242" s="64">
        <v>0</v>
      </c>
      <c r="AJ242" s="64">
        <v>0</v>
      </c>
      <c r="AK242" s="64">
        <v>0</v>
      </c>
      <c r="AL242" s="64">
        <v>0</v>
      </c>
      <c r="AM242" s="64">
        <v>0</v>
      </c>
      <c r="AN242" s="64">
        <v>0</v>
      </c>
      <c r="AO242" s="64">
        <v>0</v>
      </c>
      <c r="AP242" s="64">
        <v>0</v>
      </c>
      <c r="AQ242" s="64">
        <v>0</v>
      </c>
      <c r="AR242" s="64">
        <v>0</v>
      </c>
      <c r="AS242" s="64">
        <v>0</v>
      </c>
      <c r="AT242" s="64">
        <v>0</v>
      </c>
      <c r="AU242" s="64">
        <v>0</v>
      </c>
      <c r="AV242" s="64">
        <v>0</v>
      </c>
      <c r="AW242" s="64">
        <v>0</v>
      </c>
      <c r="AX242" s="64">
        <v>0</v>
      </c>
      <c r="AY242" s="64">
        <v>0</v>
      </c>
      <c r="AZ242" s="64">
        <v>0</v>
      </c>
      <c r="BA242" s="64">
        <v>0</v>
      </c>
      <c r="BB242" s="64">
        <v>0</v>
      </c>
      <c r="BC242" s="64">
        <v>0</v>
      </c>
      <c r="BD242" s="64">
        <v>0</v>
      </c>
      <c r="BE242" s="64">
        <v>0</v>
      </c>
      <c r="BF242" s="64">
        <v>0</v>
      </c>
      <c r="BG242" s="64">
        <v>0</v>
      </c>
      <c r="BH242" s="64">
        <v>0</v>
      </c>
      <c r="BI242" s="144">
        <v>0</v>
      </c>
      <c r="BJ242" s="24" t="str">
        <f>+G239</f>
        <v>82115-0EZ60 B</v>
      </c>
      <c r="BK242" s="24">
        <f>+J242</f>
        <v>0</v>
      </c>
      <c r="BL242" s="24">
        <f t="shared" ref="BL242" si="1293">+K242</f>
        <v>0</v>
      </c>
      <c r="BM242" s="24">
        <f t="shared" ref="BM242" si="1294">+L242</f>
        <v>0</v>
      </c>
      <c r="BN242" s="24">
        <f t="shared" ref="BN242" si="1295">+M242</f>
        <v>0</v>
      </c>
      <c r="BO242" s="24">
        <f t="shared" ref="BO242" si="1296">+N242</f>
        <v>0</v>
      </c>
      <c r="BP242" s="24">
        <f t="shared" ref="BP242" si="1297">+O242</f>
        <v>0</v>
      </c>
      <c r="BQ242" s="24">
        <f t="shared" ref="BQ242" si="1298">+P242</f>
        <v>0</v>
      </c>
      <c r="BR242" s="24">
        <f t="shared" ref="BR242" si="1299">+Q242</f>
        <v>0</v>
      </c>
      <c r="BS242" s="24">
        <f t="shared" ref="BS242" si="1300">+R242</f>
        <v>0</v>
      </c>
      <c r="BT242" s="24">
        <f t="shared" ref="BT242" si="1301">+S242</f>
        <v>0</v>
      </c>
      <c r="BU242" s="24">
        <f t="shared" ref="BU242" si="1302">+T242</f>
        <v>0</v>
      </c>
      <c r="BV242" s="24">
        <f t="shared" ref="BV242" si="1303">+U242</f>
        <v>0</v>
      </c>
      <c r="BW242" s="24">
        <f t="shared" ref="BW242" si="1304">+V242</f>
        <v>0</v>
      </c>
      <c r="BX242" s="24">
        <f t="shared" ref="BX242" si="1305">+W242</f>
        <v>0</v>
      </c>
      <c r="BY242" s="24">
        <f t="shared" ref="BY242" si="1306">+X242</f>
        <v>0</v>
      </c>
      <c r="BZ242" s="24">
        <f t="shared" ref="BZ242" si="1307">+Y242</f>
        <v>0</v>
      </c>
      <c r="CA242" s="24">
        <f t="shared" ref="CA242" si="1308">+Z242</f>
        <v>0</v>
      </c>
      <c r="CB242" s="24">
        <f t="shared" ref="CB242" si="1309">+AA242</f>
        <v>0</v>
      </c>
      <c r="CC242" s="24">
        <f t="shared" ref="CC242" si="1310">+AB242</f>
        <v>0</v>
      </c>
      <c r="CD242" s="24">
        <f t="shared" ref="CD242" si="1311">+AC242</f>
        <v>0</v>
      </c>
      <c r="CE242" s="24">
        <f t="shared" ref="CE242" si="1312">+AD242</f>
        <v>0</v>
      </c>
      <c r="CF242" s="24">
        <f t="shared" ref="CF242" si="1313">+AE242</f>
        <v>0</v>
      </c>
      <c r="CG242" s="24">
        <f t="shared" ref="CG242" si="1314">+AF242</f>
        <v>0</v>
      </c>
      <c r="CH242" s="24">
        <f t="shared" ref="CH242" si="1315">+AG242</f>
        <v>0</v>
      </c>
      <c r="CI242" s="24">
        <f t="shared" ref="CI242" si="1316">+AH242</f>
        <v>0</v>
      </c>
      <c r="CJ242" s="24">
        <f t="shared" ref="CJ242" si="1317">+AI242</f>
        <v>0</v>
      </c>
      <c r="CK242" s="24">
        <f t="shared" ref="CK242" si="1318">+AJ242</f>
        <v>0</v>
      </c>
      <c r="CL242" s="24">
        <f t="shared" ref="CL242" si="1319">+AK242</f>
        <v>0</v>
      </c>
      <c r="CM242" s="24">
        <f t="shared" ref="CM242" si="1320">+AL242</f>
        <v>0</v>
      </c>
      <c r="CN242" s="24">
        <f t="shared" ref="CN242" si="1321">+AM242</f>
        <v>0</v>
      </c>
      <c r="CO242" s="24">
        <f t="shared" ref="CO242" si="1322">+AN242</f>
        <v>0</v>
      </c>
      <c r="CP242" s="166">
        <f t="shared" ref="CP242" si="1323">+AO242</f>
        <v>0</v>
      </c>
      <c r="CQ242" s="166">
        <f t="shared" ref="CQ242" si="1324">+AP242</f>
        <v>0</v>
      </c>
      <c r="CR242">
        <f t="shared" ref="CR242" si="1325">+AQ242</f>
        <v>0</v>
      </c>
      <c r="CS242">
        <f t="shared" ref="CS242" si="1326">+AR242</f>
        <v>0</v>
      </c>
      <c r="CT242">
        <f t="shared" ref="CT242" si="1327">+AS242</f>
        <v>0</v>
      </c>
      <c r="CU242">
        <f t="shared" ref="CU242" si="1328">+AT242</f>
        <v>0</v>
      </c>
      <c r="CV242">
        <f t="shared" ref="CV242" si="1329">+AU242</f>
        <v>0</v>
      </c>
      <c r="CW242">
        <f t="shared" ref="CW242" si="1330">+AV242</f>
        <v>0</v>
      </c>
      <c r="CX242">
        <f t="shared" ref="CX242" si="1331">+AW242</f>
        <v>0</v>
      </c>
      <c r="CY242">
        <f t="shared" ref="CY242" si="1332">+AX242</f>
        <v>0</v>
      </c>
      <c r="CZ242">
        <f t="shared" ref="CZ242" si="1333">+AY242</f>
        <v>0</v>
      </c>
      <c r="DA242">
        <f t="shared" ref="DA242" si="1334">+AZ242</f>
        <v>0</v>
      </c>
      <c r="DB242">
        <f t="shared" ref="DB242" si="1335">+BA242</f>
        <v>0</v>
      </c>
      <c r="DC242">
        <f t="shared" ref="DC242" si="1336">+BB242</f>
        <v>0</v>
      </c>
      <c r="DD242">
        <f t="shared" ref="DD242" si="1337">+BC242</f>
        <v>0</v>
      </c>
      <c r="DE242">
        <f t="shared" ref="DE242" si="1338">+BD242</f>
        <v>0</v>
      </c>
      <c r="DF242">
        <f t="shared" ref="DF242" si="1339">+BE242</f>
        <v>0</v>
      </c>
      <c r="DG242">
        <f t="shared" ref="DG242" si="1340">+BF242</f>
        <v>0</v>
      </c>
      <c r="DH242">
        <f t="shared" ref="DH242" si="1341">+BG242</f>
        <v>0</v>
      </c>
      <c r="DI242">
        <f t="shared" ref="DI242" si="1342">+BH242</f>
        <v>0</v>
      </c>
      <c r="DJ242">
        <f t="shared" ref="DJ242" si="1343">+BI242</f>
        <v>0</v>
      </c>
      <c r="DL242" s="24">
        <f t="shared" si="1126"/>
        <v>0</v>
      </c>
      <c r="DM242" s="24">
        <f t="shared" si="1127"/>
        <v>0</v>
      </c>
      <c r="DN242" s="24">
        <f t="shared" si="1128"/>
        <v>0</v>
      </c>
      <c r="DO242" s="24">
        <f t="shared" si="1129"/>
        <v>0</v>
      </c>
      <c r="DP242" s="24">
        <f t="shared" si="1130"/>
        <v>0</v>
      </c>
      <c r="DQ242" s="24">
        <f t="shared" si="1131"/>
        <v>0</v>
      </c>
      <c r="DR242" s="24">
        <f t="shared" si="1132"/>
        <v>0</v>
      </c>
      <c r="DS242" s="24">
        <f t="shared" si="1133"/>
        <v>0</v>
      </c>
      <c r="DT242" s="24">
        <f t="shared" si="1134"/>
        <v>0</v>
      </c>
      <c r="DU242">
        <f t="shared" si="1135"/>
        <v>0</v>
      </c>
      <c r="DV242">
        <f t="shared" si="1136"/>
        <v>0</v>
      </c>
      <c r="DW242">
        <f t="shared" si="1137"/>
        <v>0</v>
      </c>
    </row>
    <row r="243" spans="1:127" x14ac:dyDescent="0.25">
      <c r="A243" s="22">
        <f t="shared" si="1074"/>
        <v>237</v>
      </c>
      <c r="B243" s="59" t="str">
        <f t="shared" si="1240"/>
        <v>F0014826003</v>
      </c>
      <c r="C243" s="214" t="str">
        <f t="shared" si="1241"/>
        <v>82115-0EZ60 B</v>
      </c>
      <c r="D243" s="58" t="e">
        <f>VLOOKUP(B243,'Timing Table'!B:G,6,0)</f>
        <v>#N/A</v>
      </c>
      <c r="E243" s="22" t="e">
        <f>VLOOKUP(B243,'Timing Table'!B:D,3,0)</f>
        <v>#N/A</v>
      </c>
      <c r="F243" s="155" t="s">
        <v>77</v>
      </c>
      <c r="G243" s="181">
        <v>82115</v>
      </c>
      <c r="H243" s="10" t="s">
        <v>249</v>
      </c>
      <c r="I243" s="12" t="s">
        <v>78</v>
      </c>
      <c r="J243" s="152">
        <v>4</v>
      </c>
      <c r="K243" s="153">
        <v>4</v>
      </c>
      <c r="L243" s="153">
        <v>4</v>
      </c>
      <c r="M243" s="153">
        <v>4</v>
      </c>
      <c r="N243" s="153">
        <v>4</v>
      </c>
      <c r="O243" s="153">
        <v>4</v>
      </c>
      <c r="P243" s="153">
        <v>4</v>
      </c>
      <c r="Q243" s="153">
        <v>4</v>
      </c>
      <c r="R243" s="153">
        <v>4</v>
      </c>
      <c r="S243" s="153">
        <v>4</v>
      </c>
      <c r="T243" s="153">
        <v>4</v>
      </c>
      <c r="U243" s="153">
        <v>4</v>
      </c>
      <c r="V243" s="153">
        <v>4</v>
      </c>
      <c r="W243" s="153">
        <v>4</v>
      </c>
      <c r="X243" s="153">
        <v>4</v>
      </c>
      <c r="Y243" s="153">
        <v>4</v>
      </c>
      <c r="Z243" s="153">
        <v>4</v>
      </c>
      <c r="AA243" s="153">
        <v>4</v>
      </c>
      <c r="AB243" s="153">
        <v>4</v>
      </c>
      <c r="AC243" s="153">
        <v>4</v>
      </c>
      <c r="AD243" s="153">
        <v>4</v>
      </c>
      <c r="AE243" s="153">
        <v>4</v>
      </c>
      <c r="AF243" s="153">
        <v>4</v>
      </c>
      <c r="AG243" s="153">
        <v>4</v>
      </c>
      <c r="AH243" s="153">
        <v>4</v>
      </c>
      <c r="AI243" s="153">
        <v>4</v>
      </c>
      <c r="AJ243" s="153">
        <v>4</v>
      </c>
      <c r="AK243" s="153">
        <v>4</v>
      </c>
      <c r="AL243" s="153">
        <v>4</v>
      </c>
      <c r="AM243" s="153">
        <v>4</v>
      </c>
      <c r="AN243" s="153">
        <v>4</v>
      </c>
      <c r="AO243" s="153">
        <v>4</v>
      </c>
      <c r="AP243" s="153">
        <v>4</v>
      </c>
      <c r="AQ243" s="153">
        <v>4</v>
      </c>
      <c r="AR243" s="153">
        <v>4</v>
      </c>
      <c r="AS243" s="153">
        <v>4</v>
      </c>
      <c r="AT243" s="153">
        <v>4</v>
      </c>
      <c r="AU243" s="153">
        <v>4</v>
      </c>
      <c r="AV243" s="153">
        <v>4</v>
      </c>
      <c r="AW243" s="153">
        <v>4</v>
      </c>
      <c r="AX243" s="153">
        <v>4</v>
      </c>
      <c r="AY243" s="153">
        <v>4</v>
      </c>
      <c r="AZ243" s="153">
        <v>4</v>
      </c>
      <c r="BA243" s="153">
        <v>4</v>
      </c>
      <c r="BB243" s="153">
        <v>4</v>
      </c>
      <c r="BC243" s="153">
        <v>4</v>
      </c>
      <c r="BD243" s="153">
        <v>4</v>
      </c>
      <c r="BE243" s="153">
        <v>4</v>
      </c>
      <c r="BF243" s="153">
        <v>4</v>
      </c>
      <c r="BG243" s="153">
        <v>4</v>
      </c>
      <c r="BH243" s="153">
        <v>4</v>
      </c>
      <c r="BI243" s="154">
        <v>4</v>
      </c>
      <c r="DL243">
        <f t="shared" si="1126"/>
        <v>0</v>
      </c>
      <c r="DM243">
        <f t="shared" si="1127"/>
        <v>0</v>
      </c>
      <c r="DN243">
        <f t="shared" si="1128"/>
        <v>0</v>
      </c>
      <c r="DO243">
        <f t="shared" si="1129"/>
        <v>0</v>
      </c>
      <c r="DP243">
        <f t="shared" si="1130"/>
        <v>0</v>
      </c>
      <c r="DQ243">
        <f t="shared" si="1131"/>
        <v>0</v>
      </c>
      <c r="DR243">
        <f t="shared" si="1132"/>
        <v>0</v>
      </c>
      <c r="DS243">
        <f t="shared" si="1133"/>
        <v>0</v>
      </c>
      <c r="DT243">
        <f t="shared" si="1134"/>
        <v>0</v>
      </c>
      <c r="DU243">
        <f t="shared" si="1135"/>
        <v>0</v>
      </c>
      <c r="DV243">
        <f t="shared" si="1136"/>
        <v>0</v>
      </c>
      <c r="DW243">
        <f t="shared" si="1137"/>
        <v>0</v>
      </c>
    </row>
    <row r="244" spans="1:127" x14ac:dyDescent="0.25">
      <c r="A244" s="22">
        <f t="shared" si="1074"/>
        <v>238</v>
      </c>
      <c r="B244" s="59" t="str">
        <f t="shared" si="1240"/>
        <v>F0014826003</v>
      </c>
      <c r="C244" s="214" t="str">
        <f t="shared" si="1241"/>
        <v>82115-0EZ60 B</v>
      </c>
      <c r="D244" s="58" t="e">
        <f>VLOOKUP(B244,'Timing Table'!B:G,6,0)</f>
        <v>#N/A</v>
      </c>
      <c r="E244" s="22" t="e">
        <f>VLOOKUP(B244,'Timing Table'!B:D,3,0)</f>
        <v>#N/A</v>
      </c>
      <c r="F244" s="155" t="s">
        <v>79</v>
      </c>
      <c r="G244" s="199">
        <v>4</v>
      </c>
      <c r="H244" s="184" t="s">
        <v>80</v>
      </c>
      <c r="I244" s="185"/>
      <c r="J244" s="200" t="s">
        <v>450</v>
      </c>
      <c r="K244" s="156"/>
      <c r="L244" s="157" t="s">
        <v>0</v>
      </c>
      <c r="M244" s="157" t="s">
        <v>0</v>
      </c>
      <c r="N244" s="157" t="s">
        <v>0</v>
      </c>
      <c r="O244" s="157" t="s">
        <v>0</v>
      </c>
      <c r="P244" s="157" t="s">
        <v>0</v>
      </c>
      <c r="Q244" s="157" t="s">
        <v>0</v>
      </c>
      <c r="R244" s="157" t="s">
        <v>0</v>
      </c>
      <c r="S244" s="157" t="s">
        <v>0</v>
      </c>
      <c r="T244" s="157" t="s">
        <v>0</v>
      </c>
      <c r="U244" s="157" t="s">
        <v>0</v>
      </c>
      <c r="V244" s="157" t="s">
        <v>0</v>
      </c>
      <c r="W244" s="157" t="s">
        <v>0</v>
      </c>
      <c r="X244" s="157" t="s">
        <v>0</v>
      </c>
      <c r="Y244" s="157" t="s">
        <v>0</v>
      </c>
      <c r="Z244" s="157" t="s">
        <v>0</v>
      </c>
      <c r="AA244" s="157" t="s">
        <v>0</v>
      </c>
      <c r="AB244" s="157" t="s">
        <v>0</v>
      </c>
      <c r="AC244" s="157" t="s">
        <v>0</v>
      </c>
      <c r="AD244" s="157" t="s">
        <v>0</v>
      </c>
      <c r="AE244" s="157" t="s">
        <v>0</v>
      </c>
      <c r="AF244" s="157" t="s">
        <v>0</v>
      </c>
      <c r="AG244" s="157" t="s">
        <v>0</v>
      </c>
      <c r="AH244" s="157" t="s">
        <v>0</v>
      </c>
      <c r="AI244" s="157" t="s">
        <v>0</v>
      </c>
      <c r="AJ244" s="157" t="s">
        <v>0</v>
      </c>
      <c r="AK244" s="157" t="s">
        <v>0</v>
      </c>
      <c r="AL244" s="157" t="s">
        <v>0</v>
      </c>
      <c r="AM244" s="157" t="s">
        <v>0</v>
      </c>
      <c r="AN244" s="157" t="s">
        <v>0</v>
      </c>
      <c r="AO244" s="157" t="s">
        <v>0</v>
      </c>
      <c r="AP244" s="157" t="s">
        <v>0</v>
      </c>
      <c r="AQ244" s="157" t="s">
        <v>0</v>
      </c>
      <c r="AR244" s="157" t="s">
        <v>0</v>
      </c>
      <c r="AS244" s="157" t="s">
        <v>0</v>
      </c>
      <c r="AT244" s="157" t="s">
        <v>0</v>
      </c>
      <c r="AU244" s="157" t="s">
        <v>0</v>
      </c>
      <c r="AV244" s="157" t="s">
        <v>0</v>
      </c>
      <c r="AW244" s="157" t="s">
        <v>0</v>
      </c>
      <c r="AX244" s="157" t="s">
        <v>0</v>
      </c>
      <c r="AY244" s="157" t="s">
        <v>0</v>
      </c>
      <c r="AZ244" s="157" t="s">
        <v>0</v>
      </c>
      <c r="BA244" s="157" t="s">
        <v>0</v>
      </c>
      <c r="BB244" s="157" t="s">
        <v>0</v>
      </c>
      <c r="BC244" s="157" t="s">
        <v>0</v>
      </c>
      <c r="BD244" s="157" t="s">
        <v>0</v>
      </c>
      <c r="BE244" s="157" t="s">
        <v>0</v>
      </c>
      <c r="BF244" s="157" t="s">
        <v>0</v>
      </c>
      <c r="BG244" s="157" t="s">
        <v>0</v>
      </c>
      <c r="BH244" s="157" t="s">
        <v>0</v>
      </c>
      <c r="BI244" s="158"/>
      <c r="DL244">
        <f t="shared" si="1126"/>
        <v>0</v>
      </c>
      <c r="DM244">
        <f t="shared" si="1127"/>
        <v>0</v>
      </c>
      <c r="DN244">
        <f t="shared" si="1128"/>
        <v>0</v>
      </c>
      <c r="DO244">
        <f t="shared" si="1129"/>
        <v>0</v>
      </c>
      <c r="DP244">
        <f t="shared" si="1130"/>
        <v>0</v>
      </c>
      <c r="DQ244">
        <f t="shared" si="1131"/>
        <v>0</v>
      </c>
      <c r="DR244">
        <f t="shared" si="1132"/>
        <v>0</v>
      </c>
      <c r="DS244">
        <f t="shared" si="1133"/>
        <v>0</v>
      </c>
      <c r="DT244">
        <f t="shared" si="1134"/>
        <v>0</v>
      </c>
      <c r="DU244">
        <f t="shared" si="1135"/>
        <v>0</v>
      </c>
      <c r="DV244">
        <f t="shared" si="1136"/>
        <v>0</v>
      </c>
      <c r="DW244">
        <f t="shared" si="1137"/>
        <v>0</v>
      </c>
    </row>
    <row r="245" spans="1:127" x14ac:dyDescent="0.25">
      <c r="A245" s="22">
        <f t="shared" si="1074"/>
        <v>239</v>
      </c>
      <c r="B245" s="59" t="str">
        <f t="shared" si="1240"/>
        <v>F0014826003</v>
      </c>
      <c r="C245" s="214" t="str">
        <f t="shared" si="1241"/>
        <v>82115-0EZ60 B</v>
      </c>
      <c r="D245" s="58" t="e">
        <f>VLOOKUP(B245,'Timing Table'!B:G,6,0)</f>
        <v>#N/A</v>
      </c>
      <c r="E245" s="22" t="e">
        <f>VLOOKUP(B245,'Timing Table'!B:D,3,0)</f>
        <v>#N/A</v>
      </c>
      <c r="F245" s="159" t="s">
        <v>81</v>
      </c>
      <c r="G245" s="160" t="s">
        <v>60</v>
      </c>
      <c r="H245" s="201" t="s">
        <v>60</v>
      </c>
      <c r="I245" s="183" t="s">
        <v>60</v>
      </c>
      <c r="J245" s="183" t="s">
        <v>0</v>
      </c>
      <c r="K245" s="183" t="s">
        <v>0</v>
      </c>
      <c r="L245" s="183" t="s">
        <v>0</v>
      </c>
      <c r="M245" s="183" t="s">
        <v>0</v>
      </c>
      <c r="N245" s="183" t="s">
        <v>0</v>
      </c>
      <c r="O245" s="183" t="s">
        <v>0</v>
      </c>
      <c r="P245" s="183" t="s">
        <v>0</v>
      </c>
      <c r="Q245" s="183" t="s">
        <v>0</v>
      </c>
      <c r="R245" s="183" t="s">
        <v>0</v>
      </c>
      <c r="S245" s="183" t="s">
        <v>0</v>
      </c>
      <c r="T245" s="183" t="s">
        <v>0</v>
      </c>
      <c r="U245" s="183" t="s">
        <v>0</v>
      </c>
      <c r="V245" s="183" t="s">
        <v>0</v>
      </c>
      <c r="W245" s="183" t="s">
        <v>0</v>
      </c>
      <c r="X245" s="183" t="s">
        <v>0</v>
      </c>
      <c r="Y245" s="183" t="s">
        <v>0</v>
      </c>
      <c r="Z245" s="183" t="s">
        <v>0</v>
      </c>
      <c r="AA245" s="183" t="s">
        <v>0</v>
      </c>
      <c r="AB245" s="183" t="s">
        <v>0</v>
      </c>
      <c r="AC245" s="183" t="s">
        <v>0</v>
      </c>
      <c r="AD245" s="183" t="s">
        <v>0</v>
      </c>
      <c r="AE245" s="183" t="s">
        <v>0</v>
      </c>
      <c r="AF245" s="183" t="s">
        <v>0</v>
      </c>
      <c r="AG245" s="183" t="s">
        <v>0</v>
      </c>
      <c r="AH245" s="183" t="s">
        <v>0</v>
      </c>
      <c r="AI245" s="183" t="s">
        <v>0</v>
      </c>
      <c r="AJ245" s="183" t="s">
        <v>0</v>
      </c>
      <c r="AK245" s="183" t="s">
        <v>0</v>
      </c>
      <c r="AL245" s="183" t="s">
        <v>0</v>
      </c>
      <c r="AM245" s="183" t="s">
        <v>0</v>
      </c>
      <c r="AN245" s="183" t="s">
        <v>0</v>
      </c>
      <c r="AO245" s="183" t="s">
        <v>0</v>
      </c>
      <c r="AP245" s="183" t="s">
        <v>0</v>
      </c>
      <c r="AQ245" s="183" t="s">
        <v>0</v>
      </c>
      <c r="AR245" s="183" t="s">
        <v>0</v>
      </c>
      <c r="AS245" s="183" t="s">
        <v>0</v>
      </c>
      <c r="AT245" s="183" t="s">
        <v>0</v>
      </c>
      <c r="AU245" s="183" t="s">
        <v>0</v>
      </c>
      <c r="AV245" s="183" t="s">
        <v>0</v>
      </c>
      <c r="AW245" s="183" t="s">
        <v>0</v>
      </c>
      <c r="AX245" s="183" t="s">
        <v>0</v>
      </c>
      <c r="AY245" s="183" t="s">
        <v>0</v>
      </c>
      <c r="AZ245" s="183" t="s">
        <v>0</v>
      </c>
      <c r="BA245" s="183" t="s">
        <v>0</v>
      </c>
      <c r="BB245" s="183" t="s">
        <v>0</v>
      </c>
      <c r="BC245" s="183" t="s">
        <v>0</v>
      </c>
      <c r="BD245" s="183" t="s">
        <v>0</v>
      </c>
      <c r="BE245" s="183" t="s">
        <v>0</v>
      </c>
      <c r="BF245" s="183" t="s">
        <v>0</v>
      </c>
      <c r="BG245" s="183" t="s">
        <v>0</v>
      </c>
      <c r="BH245" s="183" t="s">
        <v>0</v>
      </c>
      <c r="BI245" s="161"/>
      <c r="DL245">
        <f t="shared" si="1126"/>
        <v>0</v>
      </c>
      <c r="DM245">
        <f t="shared" si="1127"/>
        <v>0</v>
      </c>
      <c r="DN245">
        <f t="shared" si="1128"/>
        <v>0</v>
      </c>
      <c r="DO245">
        <f t="shared" si="1129"/>
        <v>0</v>
      </c>
      <c r="DP245">
        <f t="shared" si="1130"/>
        <v>0</v>
      </c>
      <c r="DQ245">
        <f t="shared" si="1131"/>
        <v>0</v>
      </c>
      <c r="DR245">
        <f t="shared" si="1132"/>
        <v>0</v>
      </c>
      <c r="DS245">
        <f t="shared" si="1133"/>
        <v>0</v>
      </c>
      <c r="DT245">
        <f t="shared" si="1134"/>
        <v>0</v>
      </c>
      <c r="DU245">
        <f t="shared" si="1135"/>
        <v>0</v>
      </c>
      <c r="DV245">
        <f t="shared" si="1136"/>
        <v>0</v>
      </c>
      <c r="DW245">
        <f t="shared" si="1137"/>
        <v>0</v>
      </c>
    </row>
    <row r="246" spans="1:127" x14ac:dyDescent="0.25">
      <c r="A246" s="22">
        <f t="shared" si="1074"/>
        <v>240</v>
      </c>
      <c r="B246" s="59" t="str">
        <f t="shared" si="1240"/>
        <v>F0014826003</v>
      </c>
      <c r="C246" s="214" t="str">
        <f t="shared" si="1241"/>
        <v>82115-0EZ60 B</v>
      </c>
      <c r="D246" s="58" t="e">
        <f>VLOOKUP(B246,'Timing Table'!B:G,6,0)</f>
        <v>#N/A</v>
      </c>
      <c r="E246" s="22" t="e">
        <f>VLOOKUP(B246,'Timing Table'!B:D,3,0)</f>
        <v>#N/A</v>
      </c>
      <c r="F246" s="188" t="s">
        <v>60</v>
      </c>
      <c r="G246" s="162" t="s">
        <v>60</v>
      </c>
      <c r="H246" s="163" t="s">
        <v>60</v>
      </c>
      <c r="I246" s="164" t="s">
        <v>60</v>
      </c>
      <c r="J246" s="164" t="s">
        <v>0</v>
      </c>
      <c r="K246" s="164" t="s">
        <v>0</v>
      </c>
      <c r="L246" s="164" t="s">
        <v>0</v>
      </c>
      <c r="M246" s="164" t="s">
        <v>0</v>
      </c>
      <c r="N246" s="164" t="s">
        <v>0</v>
      </c>
      <c r="O246" s="164" t="s">
        <v>0</v>
      </c>
      <c r="P246" s="164" t="s">
        <v>0</v>
      </c>
      <c r="Q246" s="164" t="s">
        <v>0</v>
      </c>
      <c r="R246" s="164" t="s">
        <v>0</v>
      </c>
      <c r="S246" s="164" t="s">
        <v>0</v>
      </c>
      <c r="T246" s="164" t="s">
        <v>0</v>
      </c>
      <c r="U246" s="164" t="s">
        <v>0</v>
      </c>
      <c r="V246" s="164" t="s">
        <v>0</v>
      </c>
      <c r="W246" s="164" t="s">
        <v>0</v>
      </c>
      <c r="X246" s="164" t="s">
        <v>0</v>
      </c>
      <c r="Y246" s="164" t="s">
        <v>0</v>
      </c>
      <c r="Z246" s="164" t="s">
        <v>0</v>
      </c>
      <c r="AA246" s="164" t="s">
        <v>0</v>
      </c>
      <c r="AB246" s="164" t="s">
        <v>0</v>
      </c>
      <c r="AC246" s="164" t="s">
        <v>0</v>
      </c>
      <c r="AD246" s="164" t="s">
        <v>0</v>
      </c>
      <c r="AE246" s="164" t="s">
        <v>0</v>
      </c>
      <c r="AF246" s="164" t="s">
        <v>0</v>
      </c>
      <c r="AG246" s="164" t="s">
        <v>0</v>
      </c>
      <c r="AH246" s="164" t="s">
        <v>0</v>
      </c>
      <c r="AI246" s="164" t="s">
        <v>0</v>
      </c>
      <c r="AJ246" s="164" t="s">
        <v>0</v>
      </c>
      <c r="AK246" s="164" t="s">
        <v>0</v>
      </c>
      <c r="AL246" s="164" t="s">
        <v>0</v>
      </c>
      <c r="AM246" s="164" t="s">
        <v>0</v>
      </c>
      <c r="AN246" s="164" t="s">
        <v>0</v>
      </c>
      <c r="AO246" s="164" t="s">
        <v>0</v>
      </c>
      <c r="AP246" s="164" t="s">
        <v>0</v>
      </c>
      <c r="AQ246" s="164" t="s">
        <v>0</v>
      </c>
      <c r="AR246" s="164" t="s">
        <v>0</v>
      </c>
      <c r="AS246" s="164" t="s">
        <v>0</v>
      </c>
      <c r="AT246" s="164" t="s">
        <v>0</v>
      </c>
      <c r="AU246" s="164" t="s">
        <v>0</v>
      </c>
      <c r="AV246" s="164" t="s">
        <v>0</v>
      </c>
      <c r="AW246" s="164" t="s">
        <v>0</v>
      </c>
      <c r="AX246" s="164" t="s">
        <v>0</v>
      </c>
      <c r="AY246" s="164" t="s">
        <v>0</v>
      </c>
      <c r="AZ246" s="164" t="s">
        <v>0</v>
      </c>
      <c r="BA246" s="164" t="s">
        <v>0</v>
      </c>
      <c r="BB246" s="164" t="s">
        <v>0</v>
      </c>
      <c r="BC246" s="164" t="s">
        <v>0</v>
      </c>
      <c r="BD246" s="164" t="s">
        <v>0</v>
      </c>
      <c r="BE246" s="164" t="s">
        <v>0</v>
      </c>
      <c r="BF246" s="164" t="s">
        <v>0</v>
      </c>
      <c r="BG246" s="164" t="s">
        <v>0</v>
      </c>
      <c r="BH246" s="164" t="s">
        <v>0</v>
      </c>
      <c r="BI246" s="189"/>
      <c r="DL246">
        <f t="shared" si="1126"/>
        <v>0</v>
      </c>
      <c r="DM246">
        <f t="shared" si="1127"/>
        <v>0</v>
      </c>
      <c r="DN246">
        <f t="shared" si="1128"/>
        <v>0</v>
      </c>
      <c r="DO246">
        <f t="shared" si="1129"/>
        <v>0</v>
      </c>
      <c r="DP246">
        <f t="shared" si="1130"/>
        <v>0</v>
      </c>
      <c r="DQ246">
        <f t="shared" si="1131"/>
        <v>0</v>
      </c>
      <c r="DR246">
        <f t="shared" si="1132"/>
        <v>0</v>
      </c>
      <c r="DS246">
        <f t="shared" si="1133"/>
        <v>0</v>
      </c>
      <c r="DT246">
        <f t="shared" si="1134"/>
        <v>0</v>
      </c>
      <c r="DU246">
        <f t="shared" si="1135"/>
        <v>0</v>
      </c>
      <c r="DV246">
        <f t="shared" si="1136"/>
        <v>0</v>
      </c>
      <c r="DW246">
        <f t="shared" si="1137"/>
        <v>0</v>
      </c>
    </row>
    <row r="247" spans="1:127" x14ac:dyDescent="0.25">
      <c r="A247" s="22">
        <f t="shared" si="1074"/>
        <v>241</v>
      </c>
      <c r="B247" s="59" t="str">
        <f t="shared" si="1240"/>
        <v>F0014826103</v>
      </c>
      <c r="C247" s="214" t="str">
        <f t="shared" si="1241"/>
        <v>82115-0EZ40 B</v>
      </c>
      <c r="D247" s="58" t="e">
        <f>VLOOKUP(B247,'Timing Table'!B:G,6,0)</f>
        <v>#N/A</v>
      </c>
      <c r="E247" s="22" t="e">
        <f>VLOOKUP(B247,'Timing Table'!B:D,3,0)</f>
        <v>#N/A</v>
      </c>
      <c r="F247" s="155" t="s">
        <v>61</v>
      </c>
      <c r="G247" s="181">
        <v>5501017975</v>
      </c>
      <c r="H247" s="155" t="s">
        <v>62</v>
      </c>
      <c r="I247" s="181">
        <v>91</v>
      </c>
      <c r="J247" s="155" t="s">
        <v>63</v>
      </c>
      <c r="K247" s="160">
        <v>1177762</v>
      </c>
      <c r="L247" s="161"/>
      <c r="M247" s="190" t="s">
        <v>64</v>
      </c>
      <c r="N247" s="191"/>
      <c r="O247" s="192">
        <v>46086</v>
      </c>
      <c r="P247" s="155" t="s">
        <v>65</v>
      </c>
      <c r="Q247" s="181">
        <v>4</v>
      </c>
      <c r="R247" s="6" t="s">
        <v>0</v>
      </c>
      <c r="S247" s="7" t="s">
        <v>0</v>
      </c>
      <c r="T247" s="7" t="s">
        <v>0</v>
      </c>
      <c r="U247" s="7" t="s">
        <v>0</v>
      </c>
      <c r="V247" s="7" t="s">
        <v>0</v>
      </c>
      <c r="W247" s="7" t="s">
        <v>0</v>
      </c>
      <c r="X247" s="7" t="s">
        <v>0</v>
      </c>
      <c r="Y247" s="7" t="s">
        <v>0</v>
      </c>
      <c r="Z247" s="7" t="s">
        <v>0</v>
      </c>
      <c r="AA247" s="7" t="s">
        <v>0</v>
      </c>
      <c r="AB247" s="7" t="s">
        <v>0</v>
      </c>
      <c r="AC247" s="7" t="s">
        <v>0</v>
      </c>
      <c r="AD247" s="7" t="s">
        <v>0</v>
      </c>
      <c r="AE247" s="7" t="s">
        <v>0</v>
      </c>
      <c r="AF247" s="7" t="s">
        <v>0</v>
      </c>
      <c r="AG247" s="7" t="s">
        <v>0</v>
      </c>
      <c r="AH247" s="7" t="s">
        <v>0</v>
      </c>
      <c r="AI247" s="7" t="s">
        <v>0</v>
      </c>
      <c r="AJ247" s="7" t="s">
        <v>0</v>
      </c>
      <c r="AK247" s="7" t="s">
        <v>0</v>
      </c>
      <c r="AL247" s="7" t="s">
        <v>0</v>
      </c>
      <c r="AM247" s="7" t="s">
        <v>0</v>
      </c>
      <c r="AN247" s="7" t="s">
        <v>0</v>
      </c>
      <c r="AO247" s="7" t="s">
        <v>0</v>
      </c>
      <c r="AP247" s="7" t="s">
        <v>0</v>
      </c>
      <c r="AQ247" s="7" t="s">
        <v>0</v>
      </c>
      <c r="AR247" s="7" t="s">
        <v>0</v>
      </c>
      <c r="AS247" s="7" t="s">
        <v>0</v>
      </c>
      <c r="AT247" s="7" t="s">
        <v>0</v>
      </c>
      <c r="AU247" s="7" t="s">
        <v>0</v>
      </c>
      <c r="AV247" s="7" t="s">
        <v>0</v>
      </c>
      <c r="AW247" s="7" t="s">
        <v>0</v>
      </c>
      <c r="AX247" s="7" t="s">
        <v>0</v>
      </c>
      <c r="AY247" s="7" t="s">
        <v>0</v>
      </c>
      <c r="AZ247" s="7" t="s">
        <v>0</v>
      </c>
      <c r="BA247" s="7" t="s">
        <v>0</v>
      </c>
      <c r="BB247" s="7" t="s">
        <v>0</v>
      </c>
      <c r="BC247" s="7" t="s">
        <v>0</v>
      </c>
      <c r="BD247" s="7" t="s">
        <v>0</v>
      </c>
      <c r="BE247" s="7" t="s">
        <v>0</v>
      </c>
      <c r="BF247" s="7" t="s">
        <v>0</v>
      </c>
      <c r="BG247" s="7" t="s">
        <v>0</v>
      </c>
      <c r="BH247" s="7" t="s">
        <v>0</v>
      </c>
      <c r="BI247" s="8"/>
      <c r="DL247">
        <f t="shared" si="1126"/>
        <v>0</v>
      </c>
      <c r="DM247">
        <f t="shared" si="1127"/>
        <v>0</v>
      </c>
      <c r="DN247">
        <f t="shared" si="1128"/>
        <v>0</v>
      </c>
      <c r="DO247">
        <f t="shared" si="1129"/>
        <v>0</v>
      </c>
      <c r="DP247">
        <f t="shared" si="1130"/>
        <v>0</v>
      </c>
      <c r="DQ247">
        <f t="shared" si="1131"/>
        <v>0</v>
      </c>
      <c r="DR247">
        <f t="shared" si="1132"/>
        <v>0</v>
      </c>
      <c r="DS247">
        <f t="shared" si="1133"/>
        <v>0</v>
      </c>
      <c r="DT247">
        <f t="shared" si="1134"/>
        <v>0</v>
      </c>
      <c r="DU247">
        <f t="shared" si="1135"/>
        <v>0</v>
      </c>
      <c r="DV247">
        <f t="shared" si="1136"/>
        <v>0</v>
      </c>
      <c r="DW247">
        <f t="shared" si="1137"/>
        <v>0</v>
      </c>
    </row>
    <row r="248" spans="1:127" x14ac:dyDescent="0.25">
      <c r="A248" s="22">
        <f t="shared" si="1074"/>
        <v>242</v>
      </c>
      <c r="B248" s="59" t="str">
        <f t="shared" si="1240"/>
        <v>F0014826103</v>
      </c>
      <c r="C248" s="214" t="str">
        <f t="shared" si="1241"/>
        <v>82115-0EZ40 B</v>
      </c>
      <c r="D248" s="58" t="e">
        <f>VLOOKUP(B248,'Timing Table'!B:G,6,0)</f>
        <v>#N/A</v>
      </c>
      <c r="E248" s="22" t="e">
        <f>VLOOKUP(B248,'Timing Table'!B:D,3,0)</f>
        <v>#N/A</v>
      </c>
      <c r="F248" s="155" t="s">
        <v>66</v>
      </c>
      <c r="G248" s="181" t="s">
        <v>350</v>
      </c>
      <c r="H248" s="155" t="s">
        <v>67</v>
      </c>
      <c r="I248" s="182" t="s">
        <v>351</v>
      </c>
      <c r="J248" s="183"/>
      <c r="K248" s="183"/>
      <c r="L248" s="161"/>
      <c r="M248" s="155" t="s">
        <v>68</v>
      </c>
      <c r="N248" s="181">
        <v>2025</v>
      </c>
      <c r="O248" s="184" t="s">
        <v>69</v>
      </c>
      <c r="P248" s="185"/>
      <c r="Q248" s="193" t="s">
        <v>342</v>
      </c>
      <c r="R248" s="156" t="s">
        <v>0</v>
      </c>
      <c r="S248" s="157" t="s">
        <v>0</v>
      </c>
      <c r="T248" s="157" t="s">
        <v>0</v>
      </c>
      <c r="U248" s="157" t="s">
        <v>0</v>
      </c>
      <c r="V248" s="157" t="s">
        <v>0</v>
      </c>
      <c r="W248" s="157" t="s">
        <v>0</v>
      </c>
      <c r="X248" s="157" t="s">
        <v>0</v>
      </c>
      <c r="Y248" s="157" t="s">
        <v>0</v>
      </c>
      <c r="Z248" s="157" t="s">
        <v>0</v>
      </c>
      <c r="AA248" s="157" t="s">
        <v>0</v>
      </c>
      <c r="AB248" s="157" t="s">
        <v>0</v>
      </c>
      <c r="AC248" s="157" t="s">
        <v>0</v>
      </c>
      <c r="AD248" s="157" t="s">
        <v>0</v>
      </c>
      <c r="AE248" s="157" t="s">
        <v>0</v>
      </c>
      <c r="AF248" s="157" t="s">
        <v>0</v>
      </c>
      <c r="AG248" s="157" t="s">
        <v>0</v>
      </c>
      <c r="AH248" s="157" t="s">
        <v>0</v>
      </c>
      <c r="AI248" s="157" t="s">
        <v>0</v>
      </c>
      <c r="AJ248" s="157" t="s">
        <v>0</v>
      </c>
      <c r="AK248" s="157" t="s">
        <v>0</v>
      </c>
      <c r="AL248" s="157" t="s">
        <v>0</v>
      </c>
      <c r="AM248" s="157" t="s">
        <v>0</v>
      </c>
      <c r="AN248" s="157" t="s">
        <v>0</v>
      </c>
      <c r="AO248" s="157" t="s">
        <v>0</v>
      </c>
      <c r="AP248" s="157" t="s">
        <v>0</v>
      </c>
      <c r="AQ248" s="157" t="s">
        <v>0</v>
      </c>
      <c r="AR248" s="157" t="s">
        <v>0</v>
      </c>
      <c r="AS248" s="157" t="s">
        <v>0</v>
      </c>
      <c r="AT248" s="157" t="s">
        <v>0</v>
      </c>
      <c r="AU248" s="157" t="s">
        <v>0</v>
      </c>
      <c r="AV248" s="157" t="s">
        <v>0</v>
      </c>
      <c r="AW248" s="157" t="s">
        <v>0</v>
      </c>
      <c r="AX248" s="157" t="s">
        <v>0</v>
      </c>
      <c r="AY248" s="157" t="s">
        <v>0</v>
      </c>
      <c r="AZ248" s="157" t="s">
        <v>0</v>
      </c>
      <c r="BA248" s="157" t="s">
        <v>0</v>
      </c>
      <c r="BB248" s="157" t="s">
        <v>0</v>
      </c>
      <c r="BC248" s="157" t="s">
        <v>0</v>
      </c>
      <c r="BD248" s="157" t="s">
        <v>0</v>
      </c>
      <c r="BE248" s="157" t="s">
        <v>0</v>
      </c>
      <c r="BF248" s="157" t="s">
        <v>0</v>
      </c>
      <c r="BG248" s="157" t="s">
        <v>0</v>
      </c>
      <c r="BH248" s="157" t="s">
        <v>0</v>
      </c>
      <c r="BI248" s="158"/>
      <c r="DL248">
        <f t="shared" si="1126"/>
        <v>0</v>
      </c>
      <c r="DM248">
        <f t="shared" si="1127"/>
        <v>0</v>
      </c>
      <c r="DN248">
        <f t="shared" si="1128"/>
        <v>0</v>
      </c>
      <c r="DO248">
        <f t="shared" si="1129"/>
        <v>0</v>
      </c>
      <c r="DP248">
        <f t="shared" si="1130"/>
        <v>0</v>
      </c>
      <c r="DQ248">
        <f t="shared" si="1131"/>
        <v>0</v>
      </c>
      <c r="DR248">
        <f t="shared" si="1132"/>
        <v>0</v>
      </c>
      <c r="DS248">
        <f t="shared" si="1133"/>
        <v>0</v>
      </c>
      <c r="DT248">
        <f t="shared" si="1134"/>
        <v>0</v>
      </c>
      <c r="DU248">
        <f t="shared" si="1135"/>
        <v>0</v>
      </c>
      <c r="DV248">
        <f t="shared" si="1136"/>
        <v>0</v>
      </c>
      <c r="DW248">
        <f t="shared" si="1137"/>
        <v>0</v>
      </c>
    </row>
    <row r="249" spans="1:127" x14ac:dyDescent="0.25">
      <c r="A249" s="22">
        <f t="shared" si="1074"/>
        <v>243</v>
      </c>
      <c r="B249" s="59" t="str">
        <f t="shared" si="1240"/>
        <v>F0014826103</v>
      </c>
      <c r="C249" s="214" t="str">
        <f t="shared" si="1241"/>
        <v>82115-0EZ40 B</v>
      </c>
      <c r="D249" s="58" t="e">
        <f>VLOOKUP(B249,'Timing Table'!B:G,6,0)</f>
        <v>#N/A</v>
      </c>
      <c r="E249" s="22" t="e">
        <f>VLOOKUP(B249,'Timing Table'!B:D,3,0)</f>
        <v>#N/A</v>
      </c>
      <c r="F249" s="155" t="s">
        <v>70</v>
      </c>
      <c r="G249" s="181" t="s">
        <v>352</v>
      </c>
      <c r="H249" s="155" t="s">
        <v>71</v>
      </c>
      <c r="I249" s="182" t="s">
        <v>60</v>
      </c>
      <c r="J249" s="161" t="s">
        <v>0</v>
      </c>
      <c r="K249" s="194" t="s">
        <v>0</v>
      </c>
      <c r="L249" s="195" t="s">
        <v>0</v>
      </c>
      <c r="M249" s="179" t="s">
        <v>0</v>
      </c>
      <c r="N249" s="179" t="s">
        <v>0</v>
      </c>
      <c r="O249" s="179" t="s">
        <v>0</v>
      </c>
      <c r="P249" s="179" t="s">
        <v>0</v>
      </c>
      <c r="Q249" s="179" t="s">
        <v>1</v>
      </c>
      <c r="R249" s="179" t="s">
        <v>2</v>
      </c>
      <c r="S249" s="179" t="s">
        <v>0</v>
      </c>
      <c r="T249" s="179" t="s">
        <v>0</v>
      </c>
      <c r="U249" s="179" t="s">
        <v>0</v>
      </c>
      <c r="V249" s="179" t="s">
        <v>0</v>
      </c>
      <c r="W249" s="179" t="s">
        <v>0</v>
      </c>
      <c r="X249" s="179" t="s">
        <v>0</v>
      </c>
      <c r="Y249" s="179" t="s">
        <v>0</v>
      </c>
      <c r="Z249" s="179" t="s">
        <v>3</v>
      </c>
      <c r="AA249" s="179" t="s">
        <v>0</v>
      </c>
      <c r="AB249" s="179" t="s">
        <v>0</v>
      </c>
      <c r="AC249" s="179" t="s">
        <v>0</v>
      </c>
      <c r="AD249" s="179" t="s">
        <v>0</v>
      </c>
      <c r="AE249" s="179" t="s">
        <v>0</v>
      </c>
      <c r="AF249" s="179" t="s">
        <v>0</v>
      </c>
      <c r="AG249" s="179" t="s">
        <v>0</v>
      </c>
      <c r="AH249" s="179" t="s">
        <v>0</v>
      </c>
      <c r="AI249" s="179" t="s">
        <v>0</v>
      </c>
      <c r="AJ249" s="179" t="s">
        <v>0</v>
      </c>
      <c r="AK249" s="179" t="s">
        <v>0</v>
      </c>
      <c r="AL249" s="179" t="s">
        <v>0</v>
      </c>
      <c r="AM249" s="179" t="s">
        <v>0</v>
      </c>
      <c r="AN249" s="179" t="s">
        <v>0</v>
      </c>
      <c r="AO249" s="179" t="s">
        <v>0</v>
      </c>
      <c r="AP249" s="179" t="s">
        <v>0</v>
      </c>
      <c r="AQ249" s="179" t="s">
        <v>0</v>
      </c>
      <c r="AR249" s="179" t="s">
        <v>0</v>
      </c>
      <c r="AS249" s="179" t="s">
        <v>0</v>
      </c>
      <c r="AT249" s="179" t="s">
        <v>0</v>
      </c>
      <c r="AU249" s="179" t="s">
        <v>0</v>
      </c>
      <c r="AV249" s="179" t="s">
        <v>0</v>
      </c>
      <c r="AW249" s="179" t="s">
        <v>0</v>
      </c>
      <c r="AX249" s="179" t="s">
        <v>0</v>
      </c>
      <c r="AY249" s="179" t="s">
        <v>0</v>
      </c>
      <c r="AZ249" s="179" t="s">
        <v>0</v>
      </c>
      <c r="BA249" s="179" t="s">
        <v>0</v>
      </c>
      <c r="BB249" s="179" t="s">
        <v>0</v>
      </c>
      <c r="BC249" s="179" t="s">
        <v>0</v>
      </c>
      <c r="BD249" s="179" t="s">
        <v>0</v>
      </c>
      <c r="BE249" s="179" t="s">
        <v>0</v>
      </c>
      <c r="BF249" s="179" t="s">
        <v>0</v>
      </c>
      <c r="BG249" s="179" t="s">
        <v>0</v>
      </c>
      <c r="BH249" s="179" t="s">
        <v>0</v>
      </c>
      <c r="BI249" s="180" t="s">
        <v>4</v>
      </c>
      <c r="DL249">
        <f t="shared" si="1126"/>
        <v>0</v>
      </c>
      <c r="DM249">
        <f t="shared" si="1127"/>
        <v>0</v>
      </c>
      <c r="DN249">
        <f t="shared" si="1128"/>
        <v>0</v>
      </c>
      <c r="DO249">
        <f t="shared" si="1129"/>
        <v>0</v>
      </c>
      <c r="DP249">
        <f t="shared" si="1130"/>
        <v>0</v>
      </c>
      <c r="DQ249">
        <f t="shared" si="1131"/>
        <v>0</v>
      </c>
      <c r="DR249">
        <f t="shared" si="1132"/>
        <v>0</v>
      </c>
      <c r="DS249">
        <f t="shared" si="1133"/>
        <v>0</v>
      </c>
      <c r="DT249">
        <f t="shared" si="1134"/>
        <v>0</v>
      </c>
      <c r="DU249">
        <f t="shared" si="1135"/>
        <v>0</v>
      </c>
      <c r="DV249">
        <f t="shared" si="1136"/>
        <v>0</v>
      </c>
      <c r="DW249">
        <f t="shared" si="1137"/>
        <v>0</v>
      </c>
    </row>
    <row r="250" spans="1:127" x14ac:dyDescent="0.25">
      <c r="A250" s="22">
        <f t="shared" si="1074"/>
        <v>244</v>
      </c>
      <c r="B250" s="59" t="str">
        <f t="shared" si="1240"/>
        <v>F0014826103</v>
      </c>
      <c r="C250" s="214" t="str">
        <f t="shared" si="1241"/>
        <v>82115-0EZ40 B</v>
      </c>
      <c r="D250" s="58" t="e">
        <f>VLOOKUP(B250,'Timing Table'!B:G,6,0)</f>
        <v>#N/A</v>
      </c>
      <c r="E250" s="22" t="e">
        <f>VLOOKUP(B250,'Timing Table'!B:D,3,0)</f>
        <v>#N/A</v>
      </c>
      <c r="F250" s="155" t="s">
        <v>72</v>
      </c>
      <c r="G250" s="181">
        <v>12</v>
      </c>
      <c r="H250" s="196" t="s">
        <v>414</v>
      </c>
      <c r="I250" s="197" t="s">
        <v>73</v>
      </c>
      <c r="J250" s="13">
        <v>46041</v>
      </c>
      <c r="K250" s="14">
        <v>46048</v>
      </c>
      <c r="L250" s="14">
        <v>46055</v>
      </c>
      <c r="M250" s="14">
        <v>46062</v>
      </c>
      <c r="N250" s="14">
        <v>46069</v>
      </c>
      <c r="O250" s="14">
        <v>46076</v>
      </c>
      <c r="P250" s="14">
        <v>46083</v>
      </c>
      <c r="Q250" s="14">
        <v>46090</v>
      </c>
      <c r="R250" s="14">
        <v>46097</v>
      </c>
      <c r="S250" s="14">
        <v>46104</v>
      </c>
      <c r="T250" s="14">
        <v>46111</v>
      </c>
      <c r="U250" s="14">
        <v>46118</v>
      </c>
      <c r="V250" s="14">
        <v>46125</v>
      </c>
      <c r="W250" s="14">
        <v>46132</v>
      </c>
      <c r="X250" s="14">
        <v>46139</v>
      </c>
      <c r="Y250" s="14">
        <v>46146</v>
      </c>
      <c r="Z250" s="14">
        <v>46153</v>
      </c>
      <c r="AA250" s="14">
        <v>46160</v>
      </c>
      <c r="AB250" s="14">
        <v>46167</v>
      </c>
      <c r="AC250" s="14">
        <v>46174</v>
      </c>
      <c r="AD250" s="14">
        <v>46181</v>
      </c>
      <c r="AE250" s="14">
        <v>46188</v>
      </c>
      <c r="AF250" s="14">
        <v>46195</v>
      </c>
      <c r="AG250" s="14">
        <v>46202</v>
      </c>
      <c r="AH250" s="14">
        <v>46209</v>
      </c>
      <c r="AI250" s="14">
        <v>46216</v>
      </c>
      <c r="AJ250" s="14">
        <v>46223</v>
      </c>
      <c r="AK250" s="14">
        <v>46230</v>
      </c>
      <c r="AL250" s="14">
        <v>46237</v>
      </c>
      <c r="AM250" s="14">
        <v>46244</v>
      </c>
      <c r="AN250" s="14">
        <v>46251</v>
      </c>
      <c r="AO250" s="14">
        <v>46258</v>
      </c>
      <c r="AP250" s="14">
        <v>46265</v>
      </c>
      <c r="AQ250" s="14">
        <v>46272</v>
      </c>
      <c r="AR250" s="14">
        <v>46279</v>
      </c>
      <c r="AS250" s="14">
        <v>46286</v>
      </c>
      <c r="AT250" s="14">
        <v>46293</v>
      </c>
      <c r="AU250" s="14">
        <v>46300</v>
      </c>
      <c r="AV250" s="14">
        <v>46307</v>
      </c>
      <c r="AW250" s="14">
        <v>46314</v>
      </c>
      <c r="AX250" s="14">
        <v>46321</v>
      </c>
      <c r="AY250" s="14">
        <v>46328</v>
      </c>
      <c r="AZ250" s="14">
        <v>46335</v>
      </c>
      <c r="BA250" s="14">
        <v>46342</v>
      </c>
      <c r="BB250" s="14">
        <v>46349</v>
      </c>
      <c r="BC250" s="14">
        <v>46356</v>
      </c>
      <c r="BD250" s="14">
        <v>46363</v>
      </c>
      <c r="BE250" s="14">
        <v>46370</v>
      </c>
      <c r="BF250" s="14">
        <v>46377</v>
      </c>
      <c r="BG250" s="14">
        <v>46384</v>
      </c>
      <c r="BH250" s="14">
        <v>46391</v>
      </c>
      <c r="BI250" s="15">
        <v>46398</v>
      </c>
      <c r="DL250">
        <f t="shared" si="1126"/>
        <v>0</v>
      </c>
      <c r="DM250">
        <f t="shared" si="1127"/>
        <v>0</v>
      </c>
      <c r="DN250">
        <f t="shared" si="1128"/>
        <v>0</v>
      </c>
      <c r="DO250">
        <f t="shared" si="1129"/>
        <v>0</v>
      </c>
      <c r="DP250">
        <f t="shared" si="1130"/>
        <v>0</v>
      </c>
      <c r="DQ250">
        <f t="shared" si="1131"/>
        <v>0</v>
      </c>
      <c r="DR250">
        <f t="shared" si="1132"/>
        <v>0</v>
      </c>
      <c r="DS250">
        <f t="shared" si="1133"/>
        <v>0</v>
      </c>
      <c r="DT250">
        <f t="shared" si="1134"/>
        <v>0</v>
      </c>
      <c r="DU250">
        <f t="shared" si="1135"/>
        <v>0</v>
      </c>
      <c r="DV250">
        <f t="shared" si="1136"/>
        <v>0</v>
      </c>
      <c r="DW250">
        <f t="shared" si="1137"/>
        <v>0</v>
      </c>
    </row>
    <row r="251" spans="1:127" x14ac:dyDescent="0.25">
      <c r="A251" s="22">
        <f t="shared" si="1074"/>
        <v>245</v>
      </c>
      <c r="B251" s="59" t="str">
        <f t="shared" si="1240"/>
        <v>F0014826103</v>
      </c>
      <c r="C251" s="214" t="str">
        <f t="shared" si="1241"/>
        <v>82115-0EZ40 B</v>
      </c>
      <c r="D251" s="58" t="e">
        <f>VLOOKUP(B251,'Timing Table'!B:G,6,0)</f>
        <v>#N/A</v>
      </c>
      <c r="E251" s="22" t="e">
        <f>VLOOKUP(B251,'Timing Table'!B:D,3,0)</f>
        <v>#N/A</v>
      </c>
      <c r="F251" s="155" t="s">
        <v>74</v>
      </c>
      <c r="G251" s="181">
        <v>12</v>
      </c>
      <c r="H251" s="5" t="s">
        <v>60</v>
      </c>
      <c r="I251" s="11" t="s">
        <v>147</v>
      </c>
      <c r="J251" s="16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17"/>
      <c r="DL251">
        <f t="shared" si="1126"/>
        <v>0</v>
      </c>
      <c r="DM251">
        <f t="shared" si="1127"/>
        <v>0</v>
      </c>
      <c r="DN251">
        <f t="shared" si="1128"/>
        <v>0</v>
      </c>
      <c r="DO251">
        <f t="shared" si="1129"/>
        <v>0</v>
      </c>
      <c r="DP251">
        <f t="shared" si="1130"/>
        <v>0</v>
      </c>
      <c r="DQ251">
        <f t="shared" si="1131"/>
        <v>0</v>
      </c>
      <c r="DR251">
        <f t="shared" si="1132"/>
        <v>0</v>
      </c>
      <c r="DS251">
        <f t="shared" si="1133"/>
        <v>0</v>
      </c>
      <c r="DT251">
        <f t="shared" si="1134"/>
        <v>0</v>
      </c>
      <c r="DU251">
        <f t="shared" si="1135"/>
        <v>0</v>
      </c>
      <c r="DV251">
        <f t="shared" si="1136"/>
        <v>0</v>
      </c>
      <c r="DW251">
        <f t="shared" si="1137"/>
        <v>0</v>
      </c>
    </row>
    <row r="252" spans="1:127" x14ac:dyDescent="0.25">
      <c r="A252" s="22">
        <f t="shared" si="1074"/>
        <v>246</v>
      </c>
      <c r="B252" s="59" t="str">
        <f t="shared" si="1240"/>
        <v>F0014826103</v>
      </c>
      <c r="C252" s="214" t="str">
        <f t="shared" si="1241"/>
        <v>82115-0EZ40 B</v>
      </c>
      <c r="D252" s="58" t="e">
        <f>VLOOKUP(B252,'Timing Table'!B:G,6,0)</f>
        <v>#N/A</v>
      </c>
      <c r="E252" s="22" t="e">
        <f>VLOOKUP(B252,'Timing Table'!B:D,3,0)</f>
        <v>#N/A</v>
      </c>
      <c r="F252" s="155" t="s">
        <v>75</v>
      </c>
      <c r="G252" s="198" t="s">
        <v>257</v>
      </c>
      <c r="H252" s="9" t="s">
        <v>245</v>
      </c>
      <c r="I252" s="11" t="s">
        <v>76</v>
      </c>
      <c r="J252" s="143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>
        <v>0</v>
      </c>
      <c r="AA252" s="64">
        <v>0</v>
      </c>
      <c r="AB252" s="64">
        <v>0</v>
      </c>
      <c r="AC252" s="64">
        <v>0</v>
      </c>
      <c r="AD252" s="64">
        <v>0</v>
      </c>
      <c r="AE252" s="64">
        <v>0</v>
      </c>
      <c r="AF252" s="64">
        <v>0</v>
      </c>
      <c r="AG252" s="64">
        <v>0</v>
      </c>
      <c r="AH252" s="64">
        <v>0</v>
      </c>
      <c r="AI252" s="64">
        <v>0</v>
      </c>
      <c r="AJ252" s="64">
        <v>0</v>
      </c>
      <c r="AK252" s="64">
        <v>0</v>
      </c>
      <c r="AL252" s="64">
        <v>0</v>
      </c>
      <c r="AM252" s="64">
        <v>0</v>
      </c>
      <c r="AN252" s="64">
        <v>0</v>
      </c>
      <c r="AO252" s="64">
        <v>0</v>
      </c>
      <c r="AP252" s="64">
        <v>0</v>
      </c>
      <c r="AQ252" s="64">
        <v>0</v>
      </c>
      <c r="AR252" s="64">
        <v>0</v>
      </c>
      <c r="AS252" s="64">
        <v>0</v>
      </c>
      <c r="AT252" s="64">
        <v>0</v>
      </c>
      <c r="AU252" s="64">
        <v>0</v>
      </c>
      <c r="AV252" s="64">
        <v>0</v>
      </c>
      <c r="AW252" s="64">
        <v>0</v>
      </c>
      <c r="AX252" s="64">
        <v>0</v>
      </c>
      <c r="AY252" s="64">
        <v>0</v>
      </c>
      <c r="AZ252" s="64">
        <v>0</v>
      </c>
      <c r="BA252" s="64">
        <v>0</v>
      </c>
      <c r="BB252" s="64">
        <v>0</v>
      </c>
      <c r="BC252" s="64">
        <v>0</v>
      </c>
      <c r="BD252" s="64">
        <v>0</v>
      </c>
      <c r="BE252" s="64">
        <v>0</v>
      </c>
      <c r="BF252" s="64">
        <v>0</v>
      </c>
      <c r="BG252" s="64">
        <v>0</v>
      </c>
      <c r="BH252" s="64">
        <v>0</v>
      </c>
      <c r="BI252" s="144">
        <v>0</v>
      </c>
      <c r="BJ252" s="24" t="str">
        <f>+G249</f>
        <v>82115-0EZ40 B</v>
      </c>
      <c r="BK252" s="24">
        <f>+J252</f>
        <v>0</v>
      </c>
      <c r="BL252" s="24">
        <f t="shared" ref="BL252" si="1344">+K252</f>
        <v>0</v>
      </c>
      <c r="BM252" s="24">
        <f t="shared" ref="BM252" si="1345">+L252</f>
        <v>0</v>
      </c>
      <c r="BN252" s="24">
        <f t="shared" ref="BN252" si="1346">+M252</f>
        <v>0</v>
      </c>
      <c r="BO252" s="24">
        <f t="shared" ref="BO252" si="1347">+N252</f>
        <v>0</v>
      </c>
      <c r="BP252" s="24">
        <f t="shared" ref="BP252" si="1348">+O252</f>
        <v>0</v>
      </c>
      <c r="BQ252" s="24">
        <f t="shared" ref="BQ252" si="1349">+P252</f>
        <v>0</v>
      </c>
      <c r="BR252" s="24">
        <f t="shared" ref="BR252" si="1350">+Q252</f>
        <v>0</v>
      </c>
      <c r="BS252" s="24">
        <f t="shared" ref="BS252" si="1351">+R252</f>
        <v>0</v>
      </c>
      <c r="BT252" s="24">
        <f t="shared" ref="BT252" si="1352">+S252</f>
        <v>0</v>
      </c>
      <c r="BU252" s="24">
        <f t="shared" ref="BU252" si="1353">+T252</f>
        <v>0</v>
      </c>
      <c r="BV252" s="24">
        <f t="shared" ref="BV252" si="1354">+U252</f>
        <v>0</v>
      </c>
      <c r="BW252" s="24">
        <f t="shared" ref="BW252" si="1355">+V252</f>
        <v>0</v>
      </c>
      <c r="BX252" s="24">
        <f t="shared" ref="BX252" si="1356">+W252</f>
        <v>0</v>
      </c>
      <c r="BY252" s="24">
        <f t="shared" ref="BY252" si="1357">+X252</f>
        <v>0</v>
      </c>
      <c r="BZ252" s="24">
        <f t="shared" ref="BZ252" si="1358">+Y252</f>
        <v>0</v>
      </c>
      <c r="CA252" s="24">
        <f t="shared" ref="CA252" si="1359">+Z252</f>
        <v>0</v>
      </c>
      <c r="CB252" s="24">
        <f t="shared" ref="CB252" si="1360">+AA252</f>
        <v>0</v>
      </c>
      <c r="CC252" s="24">
        <f t="shared" ref="CC252" si="1361">+AB252</f>
        <v>0</v>
      </c>
      <c r="CD252" s="24">
        <f t="shared" ref="CD252" si="1362">+AC252</f>
        <v>0</v>
      </c>
      <c r="CE252" s="24">
        <f t="shared" ref="CE252" si="1363">+AD252</f>
        <v>0</v>
      </c>
      <c r="CF252" s="24">
        <f t="shared" ref="CF252" si="1364">+AE252</f>
        <v>0</v>
      </c>
      <c r="CG252" s="24">
        <f t="shared" ref="CG252" si="1365">+AF252</f>
        <v>0</v>
      </c>
      <c r="CH252" s="24">
        <f t="shared" ref="CH252" si="1366">+AG252</f>
        <v>0</v>
      </c>
      <c r="CI252" s="24">
        <f t="shared" ref="CI252" si="1367">+AH252</f>
        <v>0</v>
      </c>
      <c r="CJ252" s="24">
        <f t="shared" ref="CJ252" si="1368">+AI252</f>
        <v>0</v>
      </c>
      <c r="CK252" s="24">
        <f t="shared" ref="CK252" si="1369">+AJ252</f>
        <v>0</v>
      </c>
      <c r="CL252" s="24">
        <f t="shared" ref="CL252" si="1370">+AK252</f>
        <v>0</v>
      </c>
      <c r="CM252" s="24">
        <f t="shared" ref="CM252" si="1371">+AL252</f>
        <v>0</v>
      </c>
      <c r="CN252" s="24">
        <f t="shared" ref="CN252" si="1372">+AM252</f>
        <v>0</v>
      </c>
      <c r="CO252" s="24">
        <f t="shared" ref="CO252" si="1373">+AN252</f>
        <v>0</v>
      </c>
      <c r="CP252" s="166">
        <f t="shared" ref="CP252" si="1374">+AO252</f>
        <v>0</v>
      </c>
      <c r="CQ252" s="166">
        <f t="shared" ref="CQ252" si="1375">+AP252</f>
        <v>0</v>
      </c>
      <c r="CR252">
        <f t="shared" ref="CR252" si="1376">+AQ252</f>
        <v>0</v>
      </c>
      <c r="CS252">
        <f t="shared" ref="CS252" si="1377">+AR252</f>
        <v>0</v>
      </c>
      <c r="CT252">
        <f t="shared" ref="CT252" si="1378">+AS252</f>
        <v>0</v>
      </c>
      <c r="CU252">
        <f t="shared" ref="CU252" si="1379">+AT252</f>
        <v>0</v>
      </c>
      <c r="CV252">
        <f t="shared" ref="CV252" si="1380">+AU252</f>
        <v>0</v>
      </c>
      <c r="CW252">
        <f t="shared" ref="CW252" si="1381">+AV252</f>
        <v>0</v>
      </c>
      <c r="CX252">
        <f t="shared" ref="CX252" si="1382">+AW252</f>
        <v>0</v>
      </c>
      <c r="CY252">
        <f t="shared" ref="CY252" si="1383">+AX252</f>
        <v>0</v>
      </c>
      <c r="CZ252">
        <f t="shared" ref="CZ252" si="1384">+AY252</f>
        <v>0</v>
      </c>
      <c r="DA252">
        <f t="shared" ref="DA252" si="1385">+AZ252</f>
        <v>0</v>
      </c>
      <c r="DB252">
        <f t="shared" ref="DB252" si="1386">+BA252</f>
        <v>0</v>
      </c>
      <c r="DC252">
        <f t="shared" ref="DC252" si="1387">+BB252</f>
        <v>0</v>
      </c>
      <c r="DD252">
        <f t="shared" ref="DD252" si="1388">+BC252</f>
        <v>0</v>
      </c>
      <c r="DE252">
        <f t="shared" ref="DE252" si="1389">+BD252</f>
        <v>0</v>
      </c>
      <c r="DF252">
        <f t="shared" ref="DF252" si="1390">+BE252</f>
        <v>0</v>
      </c>
      <c r="DG252">
        <f t="shared" ref="DG252" si="1391">+BF252</f>
        <v>0</v>
      </c>
      <c r="DH252">
        <f t="shared" ref="DH252" si="1392">+BG252</f>
        <v>0</v>
      </c>
      <c r="DI252">
        <f t="shared" ref="DI252" si="1393">+BH252</f>
        <v>0</v>
      </c>
      <c r="DJ252">
        <f t="shared" ref="DJ252" si="1394">+BI252</f>
        <v>0</v>
      </c>
      <c r="DL252" s="24">
        <f t="shared" si="1126"/>
        <v>0</v>
      </c>
      <c r="DM252" s="24">
        <f t="shared" si="1127"/>
        <v>0</v>
      </c>
      <c r="DN252" s="24">
        <f t="shared" si="1128"/>
        <v>0</v>
      </c>
      <c r="DO252" s="24">
        <f t="shared" si="1129"/>
        <v>0</v>
      </c>
      <c r="DP252" s="24">
        <f t="shared" si="1130"/>
        <v>0</v>
      </c>
      <c r="DQ252" s="24">
        <f t="shared" si="1131"/>
        <v>0</v>
      </c>
      <c r="DR252" s="24">
        <f t="shared" si="1132"/>
        <v>0</v>
      </c>
      <c r="DS252" s="24">
        <f t="shared" si="1133"/>
        <v>0</v>
      </c>
      <c r="DT252" s="24">
        <f t="shared" si="1134"/>
        <v>0</v>
      </c>
      <c r="DU252">
        <f t="shared" si="1135"/>
        <v>0</v>
      </c>
      <c r="DV252">
        <f t="shared" si="1136"/>
        <v>0</v>
      </c>
      <c r="DW252">
        <f t="shared" si="1137"/>
        <v>0</v>
      </c>
    </row>
    <row r="253" spans="1:127" x14ac:dyDescent="0.25">
      <c r="A253" s="22">
        <f t="shared" si="1074"/>
        <v>247</v>
      </c>
      <c r="B253" s="59" t="str">
        <f t="shared" si="1240"/>
        <v>F0014826103</v>
      </c>
      <c r="C253" s="214" t="str">
        <f t="shared" si="1241"/>
        <v>82115-0EZ40 B</v>
      </c>
      <c r="D253" s="58" t="e">
        <f>VLOOKUP(B253,'Timing Table'!B:G,6,0)</f>
        <v>#N/A</v>
      </c>
      <c r="E253" s="22" t="e">
        <f>VLOOKUP(B253,'Timing Table'!B:D,3,0)</f>
        <v>#N/A</v>
      </c>
      <c r="F253" s="155" t="s">
        <v>77</v>
      </c>
      <c r="G253" s="181">
        <v>82115</v>
      </c>
      <c r="H253" s="10" t="s">
        <v>245</v>
      </c>
      <c r="I253" s="12" t="s">
        <v>78</v>
      </c>
      <c r="J253" s="152">
        <v>12</v>
      </c>
      <c r="K253" s="153">
        <v>12</v>
      </c>
      <c r="L253" s="153">
        <v>12</v>
      </c>
      <c r="M253" s="153">
        <v>12</v>
      </c>
      <c r="N253" s="153">
        <v>12</v>
      </c>
      <c r="O253" s="153">
        <v>12</v>
      </c>
      <c r="P253" s="153">
        <v>12</v>
      </c>
      <c r="Q253" s="153">
        <v>12</v>
      </c>
      <c r="R253" s="153">
        <v>12</v>
      </c>
      <c r="S253" s="153">
        <v>12</v>
      </c>
      <c r="T253" s="153">
        <v>12</v>
      </c>
      <c r="U253" s="153">
        <v>12</v>
      </c>
      <c r="V253" s="153">
        <v>12</v>
      </c>
      <c r="W253" s="153">
        <v>12</v>
      </c>
      <c r="X253" s="153">
        <v>12</v>
      </c>
      <c r="Y253" s="153">
        <v>12</v>
      </c>
      <c r="Z253" s="153">
        <v>12</v>
      </c>
      <c r="AA253" s="153">
        <v>12</v>
      </c>
      <c r="AB253" s="153">
        <v>12</v>
      </c>
      <c r="AC253" s="153">
        <v>12</v>
      </c>
      <c r="AD253" s="153">
        <v>12</v>
      </c>
      <c r="AE253" s="153">
        <v>12</v>
      </c>
      <c r="AF253" s="153">
        <v>12</v>
      </c>
      <c r="AG253" s="153">
        <v>12</v>
      </c>
      <c r="AH253" s="153">
        <v>12</v>
      </c>
      <c r="AI253" s="153">
        <v>12</v>
      </c>
      <c r="AJ253" s="153">
        <v>12</v>
      </c>
      <c r="AK253" s="153">
        <v>12</v>
      </c>
      <c r="AL253" s="153">
        <v>12</v>
      </c>
      <c r="AM253" s="153">
        <v>12</v>
      </c>
      <c r="AN253" s="153">
        <v>12</v>
      </c>
      <c r="AO253" s="153">
        <v>12</v>
      </c>
      <c r="AP253" s="153">
        <v>12</v>
      </c>
      <c r="AQ253" s="153">
        <v>12</v>
      </c>
      <c r="AR253" s="153">
        <v>12</v>
      </c>
      <c r="AS253" s="153">
        <v>12</v>
      </c>
      <c r="AT253" s="153">
        <v>12</v>
      </c>
      <c r="AU253" s="153">
        <v>12</v>
      </c>
      <c r="AV253" s="153">
        <v>12</v>
      </c>
      <c r="AW253" s="153">
        <v>12</v>
      </c>
      <c r="AX253" s="153">
        <v>12</v>
      </c>
      <c r="AY253" s="153">
        <v>12</v>
      </c>
      <c r="AZ253" s="153">
        <v>12</v>
      </c>
      <c r="BA253" s="153">
        <v>12</v>
      </c>
      <c r="BB253" s="153">
        <v>12</v>
      </c>
      <c r="BC253" s="153">
        <v>12</v>
      </c>
      <c r="BD253" s="153">
        <v>12</v>
      </c>
      <c r="BE253" s="153">
        <v>12</v>
      </c>
      <c r="BF253" s="153">
        <v>12</v>
      </c>
      <c r="BG253" s="153">
        <v>12</v>
      </c>
      <c r="BH253" s="153">
        <v>12</v>
      </c>
      <c r="BI253" s="154">
        <v>12</v>
      </c>
      <c r="DL253">
        <f t="shared" si="1126"/>
        <v>0</v>
      </c>
      <c r="DM253">
        <f t="shared" si="1127"/>
        <v>0</v>
      </c>
      <c r="DN253">
        <f t="shared" si="1128"/>
        <v>0</v>
      </c>
      <c r="DO253">
        <f t="shared" si="1129"/>
        <v>0</v>
      </c>
      <c r="DP253">
        <f t="shared" si="1130"/>
        <v>0</v>
      </c>
      <c r="DQ253">
        <f t="shared" si="1131"/>
        <v>0</v>
      </c>
      <c r="DR253">
        <f t="shared" si="1132"/>
        <v>0</v>
      </c>
      <c r="DS253">
        <f t="shared" si="1133"/>
        <v>0</v>
      </c>
      <c r="DT253">
        <f t="shared" si="1134"/>
        <v>0</v>
      </c>
      <c r="DU253">
        <f t="shared" si="1135"/>
        <v>0</v>
      </c>
      <c r="DV253">
        <f t="shared" si="1136"/>
        <v>0</v>
      </c>
      <c r="DW253">
        <f t="shared" si="1137"/>
        <v>0</v>
      </c>
    </row>
    <row r="254" spans="1:127" x14ac:dyDescent="0.25">
      <c r="A254" s="22">
        <f t="shared" si="1074"/>
        <v>248</v>
      </c>
      <c r="B254" s="59" t="str">
        <f t="shared" si="1240"/>
        <v>F0014826103</v>
      </c>
      <c r="C254" s="214" t="str">
        <f t="shared" si="1241"/>
        <v>82115-0EZ40 B</v>
      </c>
      <c r="D254" s="58" t="e">
        <f>VLOOKUP(B254,'Timing Table'!B:G,6,0)</f>
        <v>#N/A</v>
      </c>
      <c r="E254" s="22" t="e">
        <f>VLOOKUP(B254,'Timing Table'!B:D,3,0)</f>
        <v>#N/A</v>
      </c>
      <c r="F254" s="155" t="s">
        <v>79</v>
      </c>
      <c r="G254" s="199">
        <v>12</v>
      </c>
      <c r="H254" s="184" t="s">
        <v>80</v>
      </c>
      <c r="I254" s="185"/>
      <c r="J254" s="200" t="s">
        <v>431</v>
      </c>
      <c r="K254" s="156"/>
      <c r="L254" s="157" t="s">
        <v>0</v>
      </c>
      <c r="M254" s="157" t="s">
        <v>0</v>
      </c>
      <c r="N254" s="157" t="s">
        <v>0</v>
      </c>
      <c r="O254" s="157" t="s">
        <v>0</v>
      </c>
      <c r="P254" s="157" t="s">
        <v>0</v>
      </c>
      <c r="Q254" s="157" t="s">
        <v>0</v>
      </c>
      <c r="R254" s="157" t="s">
        <v>0</v>
      </c>
      <c r="S254" s="157" t="s">
        <v>0</v>
      </c>
      <c r="T254" s="157" t="s">
        <v>0</v>
      </c>
      <c r="U254" s="157" t="s">
        <v>0</v>
      </c>
      <c r="V254" s="157" t="s">
        <v>0</v>
      </c>
      <c r="W254" s="157" t="s">
        <v>0</v>
      </c>
      <c r="X254" s="157" t="s">
        <v>0</v>
      </c>
      <c r="Y254" s="157" t="s">
        <v>0</v>
      </c>
      <c r="Z254" s="157" t="s">
        <v>0</v>
      </c>
      <c r="AA254" s="157" t="s">
        <v>0</v>
      </c>
      <c r="AB254" s="157" t="s">
        <v>0</v>
      </c>
      <c r="AC254" s="157" t="s">
        <v>0</v>
      </c>
      <c r="AD254" s="157" t="s">
        <v>0</v>
      </c>
      <c r="AE254" s="157" t="s">
        <v>0</v>
      </c>
      <c r="AF254" s="157" t="s">
        <v>0</v>
      </c>
      <c r="AG254" s="157" t="s">
        <v>0</v>
      </c>
      <c r="AH254" s="157" t="s">
        <v>0</v>
      </c>
      <c r="AI254" s="157" t="s">
        <v>0</v>
      </c>
      <c r="AJ254" s="157" t="s">
        <v>0</v>
      </c>
      <c r="AK254" s="157" t="s">
        <v>0</v>
      </c>
      <c r="AL254" s="157" t="s">
        <v>0</v>
      </c>
      <c r="AM254" s="157" t="s">
        <v>0</v>
      </c>
      <c r="AN254" s="157" t="s">
        <v>0</v>
      </c>
      <c r="AO254" s="157" t="s">
        <v>0</v>
      </c>
      <c r="AP254" s="157" t="s">
        <v>0</v>
      </c>
      <c r="AQ254" s="157" t="s">
        <v>0</v>
      </c>
      <c r="AR254" s="157" t="s">
        <v>0</v>
      </c>
      <c r="AS254" s="157" t="s">
        <v>0</v>
      </c>
      <c r="AT254" s="157" t="s">
        <v>0</v>
      </c>
      <c r="AU254" s="157" t="s">
        <v>0</v>
      </c>
      <c r="AV254" s="157" t="s">
        <v>0</v>
      </c>
      <c r="AW254" s="157" t="s">
        <v>0</v>
      </c>
      <c r="AX254" s="157" t="s">
        <v>0</v>
      </c>
      <c r="AY254" s="157" t="s">
        <v>0</v>
      </c>
      <c r="AZ254" s="157" t="s">
        <v>0</v>
      </c>
      <c r="BA254" s="157" t="s">
        <v>0</v>
      </c>
      <c r="BB254" s="157" t="s">
        <v>0</v>
      </c>
      <c r="BC254" s="157" t="s">
        <v>0</v>
      </c>
      <c r="BD254" s="157" t="s">
        <v>0</v>
      </c>
      <c r="BE254" s="157" t="s">
        <v>0</v>
      </c>
      <c r="BF254" s="157" t="s">
        <v>0</v>
      </c>
      <c r="BG254" s="157" t="s">
        <v>0</v>
      </c>
      <c r="BH254" s="157" t="s">
        <v>0</v>
      </c>
      <c r="BI254" s="158"/>
      <c r="DL254">
        <f t="shared" si="1126"/>
        <v>0</v>
      </c>
      <c r="DM254">
        <f t="shared" si="1127"/>
        <v>0</v>
      </c>
      <c r="DN254">
        <f t="shared" si="1128"/>
        <v>0</v>
      </c>
      <c r="DO254">
        <f t="shared" si="1129"/>
        <v>0</v>
      </c>
      <c r="DP254">
        <f t="shared" si="1130"/>
        <v>0</v>
      </c>
      <c r="DQ254">
        <f t="shared" si="1131"/>
        <v>0</v>
      </c>
      <c r="DR254">
        <f t="shared" si="1132"/>
        <v>0</v>
      </c>
      <c r="DS254">
        <f t="shared" si="1133"/>
        <v>0</v>
      </c>
      <c r="DT254">
        <f t="shared" si="1134"/>
        <v>0</v>
      </c>
      <c r="DU254">
        <f t="shared" si="1135"/>
        <v>0</v>
      </c>
      <c r="DV254">
        <f t="shared" si="1136"/>
        <v>0</v>
      </c>
      <c r="DW254">
        <f t="shared" si="1137"/>
        <v>0</v>
      </c>
    </row>
    <row r="255" spans="1:127" x14ac:dyDescent="0.25">
      <c r="A255" s="22">
        <f t="shared" si="1074"/>
        <v>249</v>
      </c>
      <c r="B255" s="59" t="str">
        <f t="shared" si="1240"/>
        <v>F0014826103</v>
      </c>
      <c r="C255" s="214" t="str">
        <f t="shared" si="1241"/>
        <v>82115-0EZ40 B</v>
      </c>
      <c r="D255" s="58" t="e">
        <f>VLOOKUP(B255,'Timing Table'!B:G,6,0)</f>
        <v>#N/A</v>
      </c>
      <c r="E255" s="22" t="e">
        <f>VLOOKUP(B255,'Timing Table'!B:D,3,0)</f>
        <v>#N/A</v>
      </c>
      <c r="F255" s="159" t="s">
        <v>81</v>
      </c>
      <c r="G255" s="160" t="s">
        <v>60</v>
      </c>
      <c r="H255" s="201" t="s">
        <v>60</v>
      </c>
      <c r="I255" s="183" t="s">
        <v>60</v>
      </c>
      <c r="J255" s="183" t="s">
        <v>0</v>
      </c>
      <c r="K255" s="183" t="s">
        <v>0</v>
      </c>
      <c r="L255" s="183" t="s">
        <v>0</v>
      </c>
      <c r="M255" s="183" t="s">
        <v>0</v>
      </c>
      <c r="N255" s="183" t="s">
        <v>0</v>
      </c>
      <c r="O255" s="183" t="s">
        <v>0</v>
      </c>
      <c r="P255" s="183" t="s">
        <v>0</v>
      </c>
      <c r="Q255" s="183" t="s">
        <v>0</v>
      </c>
      <c r="R255" s="183" t="s">
        <v>0</v>
      </c>
      <c r="S255" s="183" t="s">
        <v>0</v>
      </c>
      <c r="T255" s="183" t="s">
        <v>0</v>
      </c>
      <c r="U255" s="183" t="s">
        <v>0</v>
      </c>
      <c r="V255" s="183" t="s">
        <v>0</v>
      </c>
      <c r="W255" s="183" t="s">
        <v>0</v>
      </c>
      <c r="X255" s="183" t="s">
        <v>0</v>
      </c>
      <c r="Y255" s="183" t="s">
        <v>0</v>
      </c>
      <c r="Z255" s="183" t="s">
        <v>0</v>
      </c>
      <c r="AA255" s="183" t="s">
        <v>0</v>
      </c>
      <c r="AB255" s="183" t="s">
        <v>0</v>
      </c>
      <c r="AC255" s="183" t="s">
        <v>0</v>
      </c>
      <c r="AD255" s="183" t="s">
        <v>0</v>
      </c>
      <c r="AE255" s="183" t="s">
        <v>0</v>
      </c>
      <c r="AF255" s="183" t="s">
        <v>0</v>
      </c>
      <c r="AG255" s="183" t="s">
        <v>0</v>
      </c>
      <c r="AH255" s="183" t="s">
        <v>0</v>
      </c>
      <c r="AI255" s="183" t="s">
        <v>0</v>
      </c>
      <c r="AJ255" s="183" t="s">
        <v>0</v>
      </c>
      <c r="AK255" s="183" t="s">
        <v>0</v>
      </c>
      <c r="AL255" s="183" t="s">
        <v>0</v>
      </c>
      <c r="AM255" s="183" t="s">
        <v>0</v>
      </c>
      <c r="AN255" s="183" t="s">
        <v>0</v>
      </c>
      <c r="AO255" s="183" t="s">
        <v>0</v>
      </c>
      <c r="AP255" s="183" t="s">
        <v>0</v>
      </c>
      <c r="AQ255" s="183" t="s">
        <v>0</v>
      </c>
      <c r="AR255" s="183" t="s">
        <v>0</v>
      </c>
      <c r="AS255" s="183" t="s">
        <v>0</v>
      </c>
      <c r="AT255" s="183" t="s">
        <v>0</v>
      </c>
      <c r="AU255" s="183" t="s">
        <v>0</v>
      </c>
      <c r="AV255" s="183" t="s">
        <v>0</v>
      </c>
      <c r="AW255" s="183" t="s">
        <v>0</v>
      </c>
      <c r="AX255" s="183" t="s">
        <v>0</v>
      </c>
      <c r="AY255" s="183" t="s">
        <v>0</v>
      </c>
      <c r="AZ255" s="183" t="s">
        <v>0</v>
      </c>
      <c r="BA255" s="183" t="s">
        <v>0</v>
      </c>
      <c r="BB255" s="183" t="s">
        <v>0</v>
      </c>
      <c r="BC255" s="183" t="s">
        <v>0</v>
      </c>
      <c r="BD255" s="183" t="s">
        <v>0</v>
      </c>
      <c r="BE255" s="183" t="s">
        <v>0</v>
      </c>
      <c r="BF255" s="183" t="s">
        <v>0</v>
      </c>
      <c r="BG255" s="183" t="s">
        <v>0</v>
      </c>
      <c r="BH255" s="183" t="s">
        <v>0</v>
      </c>
      <c r="BI255" s="161"/>
      <c r="DL255">
        <f t="shared" si="1126"/>
        <v>0</v>
      </c>
      <c r="DM255">
        <f t="shared" si="1127"/>
        <v>0</v>
      </c>
      <c r="DN255">
        <f t="shared" si="1128"/>
        <v>0</v>
      </c>
      <c r="DO255">
        <f t="shared" si="1129"/>
        <v>0</v>
      </c>
      <c r="DP255">
        <f t="shared" si="1130"/>
        <v>0</v>
      </c>
      <c r="DQ255">
        <f t="shared" si="1131"/>
        <v>0</v>
      </c>
      <c r="DR255">
        <f t="shared" si="1132"/>
        <v>0</v>
      </c>
      <c r="DS255">
        <f t="shared" si="1133"/>
        <v>0</v>
      </c>
      <c r="DT255">
        <f t="shared" si="1134"/>
        <v>0</v>
      </c>
      <c r="DU255">
        <f t="shared" si="1135"/>
        <v>0</v>
      </c>
      <c r="DV255">
        <f t="shared" si="1136"/>
        <v>0</v>
      </c>
      <c r="DW255">
        <f t="shared" si="1137"/>
        <v>0</v>
      </c>
    </row>
    <row r="256" spans="1:127" x14ac:dyDescent="0.25">
      <c r="A256" s="22">
        <f t="shared" si="1074"/>
        <v>250</v>
      </c>
      <c r="B256" s="59" t="str">
        <f t="shared" si="1240"/>
        <v>F0014826103</v>
      </c>
      <c r="C256" s="214" t="str">
        <f t="shared" si="1241"/>
        <v>82115-0EZ40 B</v>
      </c>
      <c r="D256" s="58" t="e">
        <f>VLOOKUP(B256,'Timing Table'!B:G,6,0)</f>
        <v>#N/A</v>
      </c>
      <c r="E256" s="22" t="e">
        <f>VLOOKUP(B256,'Timing Table'!B:D,3,0)</f>
        <v>#N/A</v>
      </c>
      <c r="F256" s="188" t="s">
        <v>60</v>
      </c>
      <c r="G256" s="162" t="s">
        <v>60</v>
      </c>
      <c r="H256" s="163" t="s">
        <v>60</v>
      </c>
      <c r="I256" s="164" t="s">
        <v>60</v>
      </c>
      <c r="J256" s="164" t="s">
        <v>0</v>
      </c>
      <c r="K256" s="164" t="s">
        <v>0</v>
      </c>
      <c r="L256" s="164" t="s">
        <v>0</v>
      </c>
      <c r="M256" s="164" t="s">
        <v>0</v>
      </c>
      <c r="N256" s="164" t="s">
        <v>0</v>
      </c>
      <c r="O256" s="164" t="s">
        <v>0</v>
      </c>
      <c r="P256" s="164" t="s">
        <v>0</v>
      </c>
      <c r="Q256" s="164" t="s">
        <v>0</v>
      </c>
      <c r="R256" s="164" t="s">
        <v>0</v>
      </c>
      <c r="S256" s="164" t="s">
        <v>0</v>
      </c>
      <c r="T256" s="164" t="s">
        <v>0</v>
      </c>
      <c r="U256" s="164" t="s">
        <v>0</v>
      </c>
      <c r="V256" s="164" t="s">
        <v>0</v>
      </c>
      <c r="W256" s="164" t="s">
        <v>0</v>
      </c>
      <c r="X256" s="164" t="s">
        <v>0</v>
      </c>
      <c r="Y256" s="164" t="s">
        <v>0</v>
      </c>
      <c r="Z256" s="164" t="s">
        <v>0</v>
      </c>
      <c r="AA256" s="164" t="s">
        <v>0</v>
      </c>
      <c r="AB256" s="164" t="s">
        <v>0</v>
      </c>
      <c r="AC256" s="164" t="s">
        <v>0</v>
      </c>
      <c r="AD256" s="164" t="s">
        <v>0</v>
      </c>
      <c r="AE256" s="164" t="s">
        <v>0</v>
      </c>
      <c r="AF256" s="164" t="s">
        <v>0</v>
      </c>
      <c r="AG256" s="164" t="s">
        <v>0</v>
      </c>
      <c r="AH256" s="164" t="s">
        <v>0</v>
      </c>
      <c r="AI256" s="164" t="s">
        <v>0</v>
      </c>
      <c r="AJ256" s="164" t="s">
        <v>0</v>
      </c>
      <c r="AK256" s="164" t="s">
        <v>0</v>
      </c>
      <c r="AL256" s="164" t="s">
        <v>0</v>
      </c>
      <c r="AM256" s="164" t="s">
        <v>0</v>
      </c>
      <c r="AN256" s="164" t="s">
        <v>0</v>
      </c>
      <c r="AO256" s="164" t="s">
        <v>0</v>
      </c>
      <c r="AP256" s="164" t="s">
        <v>0</v>
      </c>
      <c r="AQ256" s="164" t="s">
        <v>0</v>
      </c>
      <c r="AR256" s="164" t="s">
        <v>0</v>
      </c>
      <c r="AS256" s="164" t="s">
        <v>0</v>
      </c>
      <c r="AT256" s="164" t="s">
        <v>0</v>
      </c>
      <c r="AU256" s="164" t="s">
        <v>0</v>
      </c>
      <c r="AV256" s="164" t="s">
        <v>0</v>
      </c>
      <c r="AW256" s="164" t="s">
        <v>0</v>
      </c>
      <c r="AX256" s="164" t="s">
        <v>0</v>
      </c>
      <c r="AY256" s="164" t="s">
        <v>0</v>
      </c>
      <c r="AZ256" s="164" t="s">
        <v>0</v>
      </c>
      <c r="BA256" s="164" t="s">
        <v>0</v>
      </c>
      <c r="BB256" s="164" t="s">
        <v>0</v>
      </c>
      <c r="BC256" s="164" t="s">
        <v>0</v>
      </c>
      <c r="BD256" s="164" t="s">
        <v>0</v>
      </c>
      <c r="BE256" s="164" t="s">
        <v>0</v>
      </c>
      <c r="BF256" s="164" t="s">
        <v>0</v>
      </c>
      <c r="BG256" s="164" t="s">
        <v>0</v>
      </c>
      <c r="BH256" s="164" t="s">
        <v>0</v>
      </c>
      <c r="BI256" s="189"/>
      <c r="DL256">
        <f t="shared" si="1126"/>
        <v>0</v>
      </c>
      <c r="DM256">
        <f t="shared" si="1127"/>
        <v>0</v>
      </c>
      <c r="DN256">
        <f t="shared" si="1128"/>
        <v>0</v>
      </c>
      <c r="DO256">
        <f t="shared" si="1129"/>
        <v>0</v>
      </c>
      <c r="DP256">
        <f t="shared" si="1130"/>
        <v>0</v>
      </c>
      <c r="DQ256">
        <f t="shared" si="1131"/>
        <v>0</v>
      </c>
      <c r="DR256">
        <f t="shared" si="1132"/>
        <v>0</v>
      </c>
      <c r="DS256">
        <f t="shared" si="1133"/>
        <v>0</v>
      </c>
      <c r="DT256">
        <f t="shared" si="1134"/>
        <v>0</v>
      </c>
      <c r="DU256">
        <f t="shared" si="1135"/>
        <v>0</v>
      </c>
      <c r="DV256">
        <f t="shared" si="1136"/>
        <v>0</v>
      </c>
      <c r="DW256">
        <f t="shared" si="1137"/>
        <v>0</v>
      </c>
    </row>
    <row r="257" spans="1:127" x14ac:dyDescent="0.25">
      <c r="A257" s="22">
        <f t="shared" si="1074"/>
        <v>251</v>
      </c>
      <c r="B257" s="59" t="str">
        <f t="shared" si="1240"/>
        <v>F0014826203</v>
      </c>
      <c r="C257" s="214" t="str">
        <f t="shared" si="1241"/>
        <v>82115-0EZ90 B</v>
      </c>
      <c r="D257" s="58" t="e">
        <f>VLOOKUP(B257,'Timing Table'!B:G,6,0)</f>
        <v>#N/A</v>
      </c>
      <c r="E257" s="22" t="e">
        <f>VLOOKUP(B257,'Timing Table'!B:D,3,0)</f>
        <v>#N/A</v>
      </c>
      <c r="F257" s="155" t="s">
        <v>61</v>
      </c>
      <c r="G257" s="181">
        <v>5501017980</v>
      </c>
      <c r="H257" s="155" t="s">
        <v>62</v>
      </c>
      <c r="I257" s="181">
        <v>91</v>
      </c>
      <c r="J257" s="155" t="s">
        <v>63</v>
      </c>
      <c r="K257" s="160">
        <v>1177767</v>
      </c>
      <c r="L257" s="161"/>
      <c r="M257" s="190" t="s">
        <v>64</v>
      </c>
      <c r="N257" s="191"/>
      <c r="O257" s="192">
        <v>46086</v>
      </c>
      <c r="P257" s="155" t="s">
        <v>65</v>
      </c>
      <c r="Q257" s="181">
        <v>4</v>
      </c>
      <c r="R257" s="6" t="s">
        <v>0</v>
      </c>
      <c r="S257" s="7" t="s">
        <v>0</v>
      </c>
      <c r="T257" s="7" t="s">
        <v>0</v>
      </c>
      <c r="U257" s="7" t="s">
        <v>0</v>
      </c>
      <c r="V257" s="7" t="s">
        <v>0</v>
      </c>
      <c r="W257" s="7" t="s">
        <v>0</v>
      </c>
      <c r="X257" s="7" t="s">
        <v>0</v>
      </c>
      <c r="Y257" s="7" t="s">
        <v>0</v>
      </c>
      <c r="Z257" s="7" t="s">
        <v>0</v>
      </c>
      <c r="AA257" s="7" t="s">
        <v>0</v>
      </c>
      <c r="AB257" s="7" t="s">
        <v>0</v>
      </c>
      <c r="AC257" s="7" t="s">
        <v>0</v>
      </c>
      <c r="AD257" s="7" t="s">
        <v>0</v>
      </c>
      <c r="AE257" s="7" t="s">
        <v>0</v>
      </c>
      <c r="AF257" s="7" t="s">
        <v>0</v>
      </c>
      <c r="AG257" s="7" t="s">
        <v>0</v>
      </c>
      <c r="AH257" s="7" t="s">
        <v>0</v>
      </c>
      <c r="AI257" s="7" t="s">
        <v>0</v>
      </c>
      <c r="AJ257" s="7" t="s">
        <v>0</v>
      </c>
      <c r="AK257" s="7" t="s">
        <v>0</v>
      </c>
      <c r="AL257" s="7" t="s">
        <v>0</v>
      </c>
      <c r="AM257" s="7" t="s">
        <v>0</v>
      </c>
      <c r="AN257" s="7" t="s">
        <v>0</v>
      </c>
      <c r="AO257" s="7" t="s">
        <v>0</v>
      </c>
      <c r="AP257" s="7" t="s">
        <v>0</v>
      </c>
      <c r="AQ257" s="7" t="s">
        <v>0</v>
      </c>
      <c r="AR257" s="7" t="s">
        <v>0</v>
      </c>
      <c r="AS257" s="7" t="s">
        <v>0</v>
      </c>
      <c r="AT257" s="7" t="s">
        <v>0</v>
      </c>
      <c r="AU257" s="7" t="s">
        <v>0</v>
      </c>
      <c r="AV257" s="7" t="s">
        <v>0</v>
      </c>
      <c r="AW257" s="7" t="s">
        <v>0</v>
      </c>
      <c r="AX257" s="7" t="s">
        <v>0</v>
      </c>
      <c r="AY257" s="7" t="s">
        <v>0</v>
      </c>
      <c r="AZ257" s="7" t="s">
        <v>0</v>
      </c>
      <c r="BA257" s="7" t="s">
        <v>0</v>
      </c>
      <c r="BB257" s="7" t="s">
        <v>0</v>
      </c>
      <c r="BC257" s="7" t="s">
        <v>0</v>
      </c>
      <c r="BD257" s="7" t="s">
        <v>0</v>
      </c>
      <c r="BE257" s="7" t="s">
        <v>0</v>
      </c>
      <c r="BF257" s="7" t="s">
        <v>0</v>
      </c>
      <c r="BG257" s="7" t="s">
        <v>0</v>
      </c>
      <c r="BH257" s="7" t="s">
        <v>0</v>
      </c>
      <c r="BI257" s="8"/>
      <c r="DL257">
        <f t="shared" si="1126"/>
        <v>0</v>
      </c>
      <c r="DM257">
        <f t="shared" si="1127"/>
        <v>0</v>
      </c>
      <c r="DN257">
        <f t="shared" si="1128"/>
        <v>0</v>
      </c>
      <c r="DO257">
        <f t="shared" si="1129"/>
        <v>0</v>
      </c>
      <c r="DP257">
        <f t="shared" si="1130"/>
        <v>0</v>
      </c>
      <c r="DQ257">
        <f t="shared" si="1131"/>
        <v>0</v>
      </c>
      <c r="DR257">
        <f t="shared" si="1132"/>
        <v>0</v>
      </c>
      <c r="DS257">
        <f t="shared" si="1133"/>
        <v>0</v>
      </c>
      <c r="DT257">
        <f t="shared" si="1134"/>
        <v>0</v>
      </c>
      <c r="DU257">
        <f t="shared" si="1135"/>
        <v>0</v>
      </c>
      <c r="DV257">
        <f t="shared" si="1136"/>
        <v>0</v>
      </c>
      <c r="DW257">
        <f t="shared" si="1137"/>
        <v>0</v>
      </c>
    </row>
    <row r="258" spans="1:127" x14ac:dyDescent="0.25">
      <c r="A258" s="22">
        <f t="shared" si="1074"/>
        <v>252</v>
      </c>
      <c r="B258" s="59" t="str">
        <f t="shared" si="1240"/>
        <v>F0014826203</v>
      </c>
      <c r="C258" s="214" t="str">
        <f t="shared" si="1241"/>
        <v>82115-0EZ90 B</v>
      </c>
      <c r="D258" s="58" t="e">
        <f>VLOOKUP(B258,'Timing Table'!B:G,6,0)</f>
        <v>#N/A</v>
      </c>
      <c r="E258" s="22" t="e">
        <f>VLOOKUP(B258,'Timing Table'!B:D,3,0)</f>
        <v>#N/A</v>
      </c>
      <c r="F258" s="155" t="s">
        <v>66</v>
      </c>
      <c r="G258" s="181" t="s">
        <v>353</v>
      </c>
      <c r="H258" s="155" t="s">
        <v>67</v>
      </c>
      <c r="I258" s="182" t="s">
        <v>354</v>
      </c>
      <c r="J258" s="183"/>
      <c r="K258" s="183"/>
      <c r="L258" s="161"/>
      <c r="M258" s="155" t="s">
        <v>68</v>
      </c>
      <c r="N258" s="181">
        <v>2025</v>
      </c>
      <c r="O258" s="184" t="s">
        <v>69</v>
      </c>
      <c r="P258" s="185"/>
      <c r="Q258" s="193" t="s">
        <v>342</v>
      </c>
      <c r="R258" s="156" t="s">
        <v>0</v>
      </c>
      <c r="S258" s="157" t="s">
        <v>0</v>
      </c>
      <c r="T258" s="157" t="s">
        <v>0</v>
      </c>
      <c r="U258" s="157" t="s">
        <v>0</v>
      </c>
      <c r="V258" s="157" t="s">
        <v>0</v>
      </c>
      <c r="W258" s="157" t="s">
        <v>0</v>
      </c>
      <c r="X258" s="157" t="s">
        <v>0</v>
      </c>
      <c r="Y258" s="157" t="s">
        <v>0</v>
      </c>
      <c r="Z258" s="157" t="s">
        <v>0</v>
      </c>
      <c r="AA258" s="157" t="s">
        <v>0</v>
      </c>
      <c r="AB258" s="157" t="s">
        <v>0</v>
      </c>
      <c r="AC258" s="157" t="s">
        <v>0</v>
      </c>
      <c r="AD258" s="157" t="s">
        <v>0</v>
      </c>
      <c r="AE258" s="157" t="s">
        <v>0</v>
      </c>
      <c r="AF258" s="157" t="s">
        <v>0</v>
      </c>
      <c r="AG258" s="157" t="s">
        <v>0</v>
      </c>
      <c r="AH258" s="157" t="s">
        <v>0</v>
      </c>
      <c r="AI258" s="157" t="s">
        <v>0</v>
      </c>
      <c r="AJ258" s="157" t="s">
        <v>0</v>
      </c>
      <c r="AK258" s="157" t="s">
        <v>0</v>
      </c>
      <c r="AL258" s="157" t="s">
        <v>0</v>
      </c>
      <c r="AM258" s="157" t="s">
        <v>0</v>
      </c>
      <c r="AN258" s="157" t="s">
        <v>0</v>
      </c>
      <c r="AO258" s="157" t="s">
        <v>0</v>
      </c>
      <c r="AP258" s="157" t="s">
        <v>0</v>
      </c>
      <c r="AQ258" s="157" t="s">
        <v>0</v>
      </c>
      <c r="AR258" s="157" t="s">
        <v>0</v>
      </c>
      <c r="AS258" s="157" t="s">
        <v>0</v>
      </c>
      <c r="AT258" s="157" t="s">
        <v>0</v>
      </c>
      <c r="AU258" s="157" t="s">
        <v>0</v>
      </c>
      <c r="AV258" s="157" t="s">
        <v>0</v>
      </c>
      <c r="AW258" s="157" t="s">
        <v>0</v>
      </c>
      <c r="AX258" s="157" t="s">
        <v>0</v>
      </c>
      <c r="AY258" s="157" t="s">
        <v>0</v>
      </c>
      <c r="AZ258" s="157" t="s">
        <v>0</v>
      </c>
      <c r="BA258" s="157" t="s">
        <v>0</v>
      </c>
      <c r="BB258" s="157" t="s">
        <v>0</v>
      </c>
      <c r="BC258" s="157" t="s">
        <v>0</v>
      </c>
      <c r="BD258" s="157" t="s">
        <v>0</v>
      </c>
      <c r="BE258" s="157" t="s">
        <v>0</v>
      </c>
      <c r="BF258" s="157" t="s">
        <v>0</v>
      </c>
      <c r="BG258" s="157" t="s">
        <v>0</v>
      </c>
      <c r="BH258" s="157" t="s">
        <v>0</v>
      </c>
      <c r="BI258" s="158"/>
      <c r="DL258">
        <f t="shared" si="1126"/>
        <v>0</v>
      </c>
      <c r="DM258">
        <f t="shared" si="1127"/>
        <v>0</v>
      </c>
      <c r="DN258">
        <f t="shared" si="1128"/>
        <v>0</v>
      </c>
      <c r="DO258">
        <f t="shared" si="1129"/>
        <v>0</v>
      </c>
      <c r="DP258">
        <f t="shared" si="1130"/>
        <v>0</v>
      </c>
      <c r="DQ258">
        <f t="shared" si="1131"/>
        <v>0</v>
      </c>
      <c r="DR258">
        <f t="shared" si="1132"/>
        <v>0</v>
      </c>
      <c r="DS258">
        <f t="shared" si="1133"/>
        <v>0</v>
      </c>
      <c r="DT258">
        <f t="shared" si="1134"/>
        <v>0</v>
      </c>
      <c r="DU258">
        <f t="shared" si="1135"/>
        <v>0</v>
      </c>
      <c r="DV258">
        <f t="shared" si="1136"/>
        <v>0</v>
      </c>
      <c r="DW258">
        <f t="shared" si="1137"/>
        <v>0</v>
      </c>
    </row>
    <row r="259" spans="1:127" x14ac:dyDescent="0.25">
      <c r="A259" s="22">
        <f t="shared" si="1074"/>
        <v>253</v>
      </c>
      <c r="B259" s="59" t="str">
        <f t="shared" si="1240"/>
        <v>F0014826203</v>
      </c>
      <c r="C259" s="214" t="str">
        <f t="shared" si="1241"/>
        <v>82115-0EZ90 B</v>
      </c>
      <c r="D259" s="58" t="e">
        <f>VLOOKUP(B259,'Timing Table'!B:G,6,0)</f>
        <v>#N/A</v>
      </c>
      <c r="E259" s="22" t="e">
        <f>VLOOKUP(B259,'Timing Table'!B:D,3,0)</f>
        <v>#N/A</v>
      </c>
      <c r="F259" s="155" t="s">
        <v>70</v>
      </c>
      <c r="G259" s="181" t="s">
        <v>355</v>
      </c>
      <c r="H259" s="155" t="s">
        <v>71</v>
      </c>
      <c r="I259" s="182" t="s">
        <v>60</v>
      </c>
      <c r="J259" s="161" t="s">
        <v>0</v>
      </c>
      <c r="K259" s="194" t="s">
        <v>0</v>
      </c>
      <c r="L259" s="195" t="s">
        <v>0</v>
      </c>
      <c r="M259" s="179" t="s">
        <v>0</v>
      </c>
      <c r="N259" s="179" t="s">
        <v>0</v>
      </c>
      <c r="O259" s="179" t="s">
        <v>0</v>
      </c>
      <c r="P259" s="179" t="s">
        <v>0</v>
      </c>
      <c r="Q259" s="179" t="s">
        <v>1</v>
      </c>
      <c r="R259" s="179" t="s">
        <v>2</v>
      </c>
      <c r="S259" s="179" t="s">
        <v>0</v>
      </c>
      <c r="T259" s="179" t="s">
        <v>0</v>
      </c>
      <c r="U259" s="179" t="s">
        <v>0</v>
      </c>
      <c r="V259" s="179" t="s">
        <v>0</v>
      </c>
      <c r="W259" s="179" t="s">
        <v>0</v>
      </c>
      <c r="X259" s="179" t="s">
        <v>0</v>
      </c>
      <c r="Y259" s="179" t="s">
        <v>0</v>
      </c>
      <c r="Z259" s="179" t="s">
        <v>3</v>
      </c>
      <c r="AA259" s="179" t="s">
        <v>0</v>
      </c>
      <c r="AB259" s="179" t="s">
        <v>0</v>
      </c>
      <c r="AC259" s="179" t="s">
        <v>0</v>
      </c>
      <c r="AD259" s="179" t="s">
        <v>0</v>
      </c>
      <c r="AE259" s="179" t="s">
        <v>0</v>
      </c>
      <c r="AF259" s="179" t="s">
        <v>0</v>
      </c>
      <c r="AG259" s="179" t="s">
        <v>0</v>
      </c>
      <c r="AH259" s="179" t="s">
        <v>0</v>
      </c>
      <c r="AI259" s="179" t="s">
        <v>0</v>
      </c>
      <c r="AJ259" s="179" t="s">
        <v>0</v>
      </c>
      <c r="AK259" s="179" t="s">
        <v>0</v>
      </c>
      <c r="AL259" s="179" t="s">
        <v>0</v>
      </c>
      <c r="AM259" s="179" t="s">
        <v>0</v>
      </c>
      <c r="AN259" s="179" t="s">
        <v>0</v>
      </c>
      <c r="AO259" s="179" t="s">
        <v>0</v>
      </c>
      <c r="AP259" s="179" t="s">
        <v>0</v>
      </c>
      <c r="AQ259" s="179" t="s">
        <v>0</v>
      </c>
      <c r="AR259" s="179" t="s">
        <v>0</v>
      </c>
      <c r="AS259" s="179" t="s">
        <v>0</v>
      </c>
      <c r="AT259" s="179" t="s">
        <v>0</v>
      </c>
      <c r="AU259" s="179" t="s">
        <v>0</v>
      </c>
      <c r="AV259" s="179" t="s">
        <v>0</v>
      </c>
      <c r="AW259" s="179" t="s">
        <v>0</v>
      </c>
      <c r="AX259" s="179" t="s">
        <v>0</v>
      </c>
      <c r="AY259" s="179" t="s">
        <v>0</v>
      </c>
      <c r="AZ259" s="179" t="s">
        <v>0</v>
      </c>
      <c r="BA259" s="179" t="s">
        <v>0</v>
      </c>
      <c r="BB259" s="179" t="s">
        <v>0</v>
      </c>
      <c r="BC259" s="179" t="s">
        <v>0</v>
      </c>
      <c r="BD259" s="179" t="s">
        <v>0</v>
      </c>
      <c r="BE259" s="179" t="s">
        <v>0</v>
      </c>
      <c r="BF259" s="179" t="s">
        <v>0</v>
      </c>
      <c r="BG259" s="179" t="s">
        <v>0</v>
      </c>
      <c r="BH259" s="179" t="s">
        <v>0</v>
      </c>
      <c r="BI259" s="180" t="s">
        <v>4</v>
      </c>
      <c r="DL259">
        <f t="shared" si="1126"/>
        <v>0</v>
      </c>
      <c r="DM259">
        <f t="shared" si="1127"/>
        <v>0</v>
      </c>
      <c r="DN259">
        <f t="shared" si="1128"/>
        <v>0</v>
      </c>
      <c r="DO259">
        <f t="shared" si="1129"/>
        <v>0</v>
      </c>
      <c r="DP259">
        <f t="shared" si="1130"/>
        <v>0</v>
      </c>
      <c r="DQ259">
        <f t="shared" si="1131"/>
        <v>0</v>
      </c>
      <c r="DR259">
        <f t="shared" si="1132"/>
        <v>0</v>
      </c>
      <c r="DS259">
        <f t="shared" si="1133"/>
        <v>0</v>
      </c>
      <c r="DT259">
        <f t="shared" si="1134"/>
        <v>0</v>
      </c>
      <c r="DU259">
        <f t="shared" si="1135"/>
        <v>0</v>
      </c>
      <c r="DV259">
        <f t="shared" si="1136"/>
        <v>0</v>
      </c>
      <c r="DW259">
        <f t="shared" si="1137"/>
        <v>0</v>
      </c>
    </row>
    <row r="260" spans="1:127" x14ac:dyDescent="0.25">
      <c r="A260" s="22">
        <f t="shared" si="1074"/>
        <v>254</v>
      </c>
      <c r="B260" s="59" t="str">
        <f t="shared" si="1240"/>
        <v>F0014826203</v>
      </c>
      <c r="C260" s="214" t="str">
        <f t="shared" si="1241"/>
        <v>82115-0EZ90 B</v>
      </c>
      <c r="D260" s="58" t="e">
        <f>VLOOKUP(B260,'Timing Table'!B:G,6,0)</f>
        <v>#N/A</v>
      </c>
      <c r="E260" s="22" t="e">
        <f>VLOOKUP(B260,'Timing Table'!B:D,3,0)</f>
        <v>#N/A</v>
      </c>
      <c r="F260" s="155" t="s">
        <v>72</v>
      </c>
      <c r="G260" s="181">
        <v>3268</v>
      </c>
      <c r="H260" s="196" t="s">
        <v>414</v>
      </c>
      <c r="I260" s="197" t="s">
        <v>73</v>
      </c>
      <c r="J260" s="13">
        <v>46041</v>
      </c>
      <c r="K260" s="14">
        <v>46048</v>
      </c>
      <c r="L260" s="14">
        <v>46055</v>
      </c>
      <c r="M260" s="14">
        <v>46062</v>
      </c>
      <c r="N260" s="14">
        <v>46069</v>
      </c>
      <c r="O260" s="14">
        <v>46076</v>
      </c>
      <c r="P260" s="14">
        <v>46083</v>
      </c>
      <c r="Q260" s="14">
        <v>46090</v>
      </c>
      <c r="R260" s="14">
        <v>46097</v>
      </c>
      <c r="S260" s="14">
        <v>46104</v>
      </c>
      <c r="T260" s="14">
        <v>46111</v>
      </c>
      <c r="U260" s="14">
        <v>46118</v>
      </c>
      <c r="V260" s="14">
        <v>46125</v>
      </c>
      <c r="W260" s="14">
        <v>46132</v>
      </c>
      <c r="X260" s="14">
        <v>46139</v>
      </c>
      <c r="Y260" s="14">
        <v>46146</v>
      </c>
      <c r="Z260" s="14">
        <v>46153</v>
      </c>
      <c r="AA260" s="14">
        <v>46160</v>
      </c>
      <c r="AB260" s="14">
        <v>46167</v>
      </c>
      <c r="AC260" s="14">
        <v>46174</v>
      </c>
      <c r="AD260" s="14">
        <v>46181</v>
      </c>
      <c r="AE260" s="14">
        <v>46188</v>
      </c>
      <c r="AF260" s="14">
        <v>46195</v>
      </c>
      <c r="AG260" s="14">
        <v>46202</v>
      </c>
      <c r="AH260" s="14">
        <v>46209</v>
      </c>
      <c r="AI260" s="14">
        <v>46216</v>
      </c>
      <c r="AJ260" s="14">
        <v>46223</v>
      </c>
      <c r="AK260" s="14">
        <v>46230</v>
      </c>
      <c r="AL260" s="14">
        <v>46237</v>
      </c>
      <c r="AM260" s="14">
        <v>46244</v>
      </c>
      <c r="AN260" s="14">
        <v>46251</v>
      </c>
      <c r="AO260" s="14">
        <v>46258</v>
      </c>
      <c r="AP260" s="14">
        <v>46265</v>
      </c>
      <c r="AQ260" s="14">
        <v>46272</v>
      </c>
      <c r="AR260" s="14">
        <v>46279</v>
      </c>
      <c r="AS260" s="14">
        <v>46286</v>
      </c>
      <c r="AT260" s="14">
        <v>46293</v>
      </c>
      <c r="AU260" s="14">
        <v>46300</v>
      </c>
      <c r="AV260" s="14">
        <v>46307</v>
      </c>
      <c r="AW260" s="14">
        <v>46314</v>
      </c>
      <c r="AX260" s="14">
        <v>46321</v>
      </c>
      <c r="AY260" s="14">
        <v>46328</v>
      </c>
      <c r="AZ260" s="14">
        <v>46335</v>
      </c>
      <c r="BA260" s="14">
        <v>46342</v>
      </c>
      <c r="BB260" s="14">
        <v>46349</v>
      </c>
      <c r="BC260" s="14">
        <v>46356</v>
      </c>
      <c r="BD260" s="14">
        <v>46363</v>
      </c>
      <c r="BE260" s="14">
        <v>46370</v>
      </c>
      <c r="BF260" s="14">
        <v>46377</v>
      </c>
      <c r="BG260" s="14">
        <v>46384</v>
      </c>
      <c r="BH260" s="14">
        <v>46391</v>
      </c>
      <c r="BI260" s="15">
        <v>46398</v>
      </c>
      <c r="DL260">
        <f t="shared" si="1126"/>
        <v>0</v>
      </c>
      <c r="DM260">
        <f t="shared" si="1127"/>
        <v>0</v>
      </c>
      <c r="DN260">
        <f t="shared" si="1128"/>
        <v>0</v>
      </c>
      <c r="DO260">
        <f t="shared" si="1129"/>
        <v>0</v>
      </c>
      <c r="DP260">
        <f t="shared" si="1130"/>
        <v>0</v>
      </c>
      <c r="DQ260">
        <f t="shared" si="1131"/>
        <v>0</v>
      </c>
      <c r="DR260">
        <f t="shared" si="1132"/>
        <v>0</v>
      </c>
      <c r="DS260">
        <f t="shared" si="1133"/>
        <v>0</v>
      </c>
      <c r="DT260">
        <f t="shared" si="1134"/>
        <v>0</v>
      </c>
      <c r="DU260">
        <f t="shared" si="1135"/>
        <v>0</v>
      </c>
      <c r="DV260">
        <f t="shared" si="1136"/>
        <v>0</v>
      </c>
      <c r="DW260">
        <f t="shared" si="1137"/>
        <v>0</v>
      </c>
    </row>
    <row r="261" spans="1:127" x14ac:dyDescent="0.25">
      <c r="A261" s="22">
        <f t="shared" si="1074"/>
        <v>255</v>
      </c>
      <c r="B261" s="59" t="str">
        <f t="shared" si="1240"/>
        <v>F0014826203</v>
      </c>
      <c r="C261" s="214" t="str">
        <f t="shared" si="1241"/>
        <v>82115-0EZ90 B</v>
      </c>
      <c r="D261" s="58" t="e">
        <f>VLOOKUP(B261,'Timing Table'!B:G,6,0)</f>
        <v>#N/A</v>
      </c>
      <c r="E261" s="22" t="e">
        <f>VLOOKUP(B261,'Timing Table'!B:D,3,0)</f>
        <v>#N/A</v>
      </c>
      <c r="F261" s="155" t="s">
        <v>74</v>
      </c>
      <c r="G261" s="181">
        <v>3840</v>
      </c>
      <c r="H261" s="5" t="s">
        <v>60</v>
      </c>
      <c r="I261" s="11" t="s">
        <v>147</v>
      </c>
      <c r="J261" s="16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17"/>
      <c r="DL261">
        <f t="shared" si="1126"/>
        <v>0</v>
      </c>
      <c r="DM261">
        <f t="shared" si="1127"/>
        <v>0</v>
      </c>
      <c r="DN261">
        <f t="shared" si="1128"/>
        <v>0</v>
      </c>
      <c r="DO261">
        <f t="shared" si="1129"/>
        <v>0</v>
      </c>
      <c r="DP261">
        <f t="shared" si="1130"/>
        <v>0</v>
      </c>
      <c r="DQ261">
        <f t="shared" si="1131"/>
        <v>0</v>
      </c>
      <c r="DR261">
        <f t="shared" si="1132"/>
        <v>0</v>
      </c>
      <c r="DS261">
        <f t="shared" si="1133"/>
        <v>0</v>
      </c>
      <c r="DT261">
        <f t="shared" si="1134"/>
        <v>0</v>
      </c>
      <c r="DU261">
        <f t="shared" si="1135"/>
        <v>0</v>
      </c>
      <c r="DV261">
        <f t="shared" si="1136"/>
        <v>0</v>
      </c>
      <c r="DW261">
        <f t="shared" si="1137"/>
        <v>0</v>
      </c>
    </row>
    <row r="262" spans="1:127" x14ac:dyDescent="0.25">
      <c r="A262" s="22">
        <f t="shared" si="1074"/>
        <v>256</v>
      </c>
      <c r="B262" s="59" t="str">
        <f t="shared" si="1240"/>
        <v>F0014826203</v>
      </c>
      <c r="C262" s="214" t="str">
        <f t="shared" si="1241"/>
        <v>82115-0EZ90 B</v>
      </c>
      <c r="D262" s="58" t="e">
        <f>VLOOKUP(B262,'Timing Table'!B:G,6,0)</f>
        <v>#N/A</v>
      </c>
      <c r="E262" s="22" t="e">
        <f>VLOOKUP(B262,'Timing Table'!B:D,3,0)</f>
        <v>#N/A</v>
      </c>
      <c r="F262" s="155" t="s">
        <v>75</v>
      </c>
      <c r="G262" s="198" t="s">
        <v>257</v>
      </c>
      <c r="H262" s="9" t="s">
        <v>255</v>
      </c>
      <c r="I262" s="11" t="s">
        <v>76</v>
      </c>
      <c r="J262" s="143">
        <v>216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>
        <v>0</v>
      </c>
      <c r="AA262" s="64">
        <v>0</v>
      </c>
      <c r="AB262" s="64">
        <v>0</v>
      </c>
      <c r="AC262" s="64">
        <v>0</v>
      </c>
      <c r="AD262" s="64">
        <v>0</v>
      </c>
      <c r="AE262" s="64">
        <v>0</v>
      </c>
      <c r="AF262" s="64">
        <v>0</v>
      </c>
      <c r="AG262" s="64">
        <v>0</v>
      </c>
      <c r="AH262" s="64">
        <v>0</v>
      </c>
      <c r="AI262" s="64">
        <v>0</v>
      </c>
      <c r="AJ262" s="64">
        <v>0</v>
      </c>
      <c r="AK262" s="64">
        <v>0</v>
      </c>
      <c r="AL262" s="64">
        <v>0</v>
      </c>
      <c r="AM262" s="64">
        <v>0</v>
      </c>
      <c r="AN262" s="64">
        <v>0</v>
      </c>
      <c r="AO262" s="64">
        <v>0</v>
      </c>
      <c r="AP262" s="64">
        <v>0</v>
      </c>
      <c r="AQ262" s="64">
        <v>0</v>
      </c>
      <c r="AR262" s="64">
        <v>0</v>
      </c>
      <c r="AS262" s="64">
        <v>0</v>
      </c>
      <c r="AT262" s="64">
        <v>0</v>
      </c>
      <c r="AU262" s="64">
        <v>0</v>
      </c>
      <c r="AV262" s="64">
        <v>0</v>
      </c>
      <c r="AW262" s="64">
        <v>0</v>
      </c>
      <c r="AX262" s="64">
        <v>0</v>
      </c>
      <c r="AY262" s="64">
        <v>0</v>
      </c>
      <c r="AZ262" s="64">
        <v>0</v>
      </c>
      <c r="BA262" s="64">
        <v>0</v>
      </c>
      <c r="BB262" s="64">
        <v>0</v>
      </c>
      <c r="BC262" s="64">
        <v>0</v>
      </c>
      <c r="BD262" s="64">
        <v>0</v>
      </c>
      <c r="BE262" s="64">
        <v>0</v>
      </c>
      <c r="BF262" s="64">
        <v>0</v>
      </c>
      <c r="BG262" s="64">
        <v>0</v>
      </c>
      <c r="BH262" s="64">
        <v>0</v>
      </c>
      <c r="BI262" s="144">
        <v>0</v>
      </c>
      <c r="BJ262" s="24" t="str">
        <f>+G259</f>
        <v>82115-0EZ90 B</v>
      </c>
      <c r="BK262" s="24">
        <f>+J262</f>
        <v>216</v>
      </c>
      <c r="BL262" s="24">
        <f t="shared" ref="BL262" si="1395">+K262</f>
        <v>0</v>
      </c>
      <c r="BM262" s="24">
        <f t="shared" ref="BM262" si="1396">+L262</f>
        <v>0</v>
      </c>
      <c r="BN262" s="24">
        <f t="shared" ref="BN262" si="1397">+M262</f>
        <v>0</v>
      </c>
      <c r="BO262" s="24">
        <f t="shared" ref="BO262" si="1398">+N262</f>
        <v>0</v>
      </c>
      <c r="BP262" s="24">
        <f t="shared" ref="BP262" si="1399">+O262</f>
        <v>0</v>
      </c>
      <c r="BQ262" s="24">
        <f t="shared" ref="BQ262" si="1400">+P262</f>
        <v>0</v>
      </c>
      <c r="BR262" s="24">
        <f t="shared" ref="BR262" si="1401">+Q262</f>
        <v>0</v>
      </c>
      <c r="BS262" s="24">
        <f t="shared" ref="BS262" si="1402">+R262</f>
        <v>0</v>
      </c>
      <c r="BT262" s="24">
        <f t="shared" ref="BT262" si="1403">+S262</f>
        <v>0</v>
      </c>
      <c r="BU262" s="24">
        <f t="shared" ref="BU262" si="1404">+T262</f>
        <v>0</v>
      </c>
      <c r="BV262" s="24">
        <f t="shared" ref="BV262" si="1405">+U262</f>
        <v>0</v>
      </c>
      <c r="BW262" s="24">
        <f t="shared" ref="BW262" si="1406">+V262</f>
        <v>0</v>
      </c>
      <c r="BX262" s="24">
        <f t="shared" ref="BX262" si="1407">+W262</f>
        <v>0</v>
      </c>
      <c r="BY262" s="24">
        <f t="shared" ref="BY262" si="1408">+X262</f>
        <v>0</v>
      </c>
      <c r="BZ262" s="24">
        <f t="shared" ref="BZ262" si="1409">+Y262</f>
        <v>0</v>
      </c>
      <c r="CA262" s="24">
        <f t="shared" ref="CA262" si="1410">+Z262</f>
        <v>0</v>
      </c>
      <c r="CB262" s="24">
        <f t="shared" ref="CB262" si="1411">+AA262</f>
        <v>0</v>
      </c>
      <c r="CC262" s="24">
        <f t="shared" ref="CC262" si="1412">+AB262</f>
        <v>0</v>
      </c>
      <c r="CD262" s="24">
        <f t="shared" ref="CD262" si="1413">+AC262</f>
        <v>0</v>
      </c>
      <c r="CE262" s="24">
        <f t="shared" ref="CE262" si="1414">+AD262</f>
        <v>0</v>
      </c>
      <c r="CF262" s="24">
        <f t="shared" ref="CF262" si="1415">+AE262</f>
        <v>0</v>
      </c>
      <c r="CG262" s="24">
        <f t="shared" ref="CG262" si="1416">+AF262</f>
        <v>0</v>
      </c>
      <c r="CH262" s="24">
        <f t="shared" ref="CH262" si="1417">+AG262</f>
        <v>0</v>
      </c>
      <c r="CI262" s="24">
        <f t="shared" ref="CI262" si="1418">+AH262</f>
        <v>0</v>
      </c>
      <c r="CJ262" s="24">
        <f t="shared" ref="CJ262" si="1419">+AI262</f>
        <v>0</v>
      </c>
      <c r="CK262" s="24">
        <f t="shared" ref="CK262" si="1420">+AJ262</f>
        <v>0</v>
      </c>
      <c r="CL262" s="24">
        <f t="shared" ref="CL262" si="1421">+AK262</f>
        <v>0</v>
      </c>
      <c r="CM262" s="24">
        <f t="shared" ref="CM262" si="1422">+AL262</f>
        <v>0</v>
      </c>
      <c r="CN262" s="24">
        <f t="shared" ref="CN262" si="1423">+AM262</f>
        <v>0</v>
      </c>
      <c r="CO262" s="24">
        <f t="shared" ref="CO262" si="1424">+AN262</f>
        <v>0</v>
      </c>
      <c r="CP262" s="166">
        <f t="shared" ref="CP262" si="1425">+AO262</f>
        <v>0</v>
      </c>
      <c r="CQ262" s="166">
        <f t="shared" ref="CQ262" si="1426">+AP262</f>
        <v>0</v>
      </c>
      <c r="CR262">
        <f t="shared" ref="CR262" si="1427">+AQ262</f>
        <v>0</v>
      </c>
      <c r="CS262">
        <f t="shared" ref="CS262" si="1428">+AR262</f>
        <v>0</v>
      </c>
      <c r="CT262">
        <f t="shared" ref="CT262" si="1429">+AS262</f>
        <v>0</v>
      </c>
      <c r="CU262">
        <f t="shared" ref="CU262" si="1430">+AT262</f>
        <v>0</v>
      </c>
      <c r="CV262">
        <f t="shared" ref="CV262" si="1431">+AU262</f>
        <v>0</v>
      </c>
      <c r="CW262">
        <f t="shared" ref="CW262" si="1432">+AV262</f>
        <v>0</v>
      </c>
      <c r="CX262">
        <f t="shared" ref="CX262" si="1433">+AW262</f>
        <v>0</v>
      </c>
      <c r="CY262">
        <f t="shared" ref="CY262" si="1434">+AX262</f>
        <v>0</v>
      </c>
      <c r="CZ262">
        <f t="shared" ref="CZ262" si="1435">+AY262</f>
        <v>0</v>
      </c>
      <c r="DA262">
        <f t="shared" ref="DA262" si="1436">+AZ262</f>
        <v>0</v>
      </c>
      <c r="DB262">
        <f t="shared" ref="DB262" si="1437">+BA262</f>
        <v>0</v>
      </c>
      <c r="DC262">
        <f t="shared" ref="DC262" si="1438">+BB262</f>
        <v>0</v>
      </c>
      <c r="DD262">
        <f t="shared" ref="DD262" si="1439">+BC262</f>
        <v>0</v>
      </c>
      <c r="DE262">
        <f t="shared" ref="DE262" si="1440">+BD262</f>
        <v>0</v>
      </c>
      <c r="DF262">
        <f t="shared" ref="DF262" si="1441">+BE262</f>
        <v>0</v>
      </c>
      <c r="DG262">
        <f t="shared" ref="DG262" si="1442">+BF262</f>
        <v>0</v>
      </c>
      <c r="DH262">
        <f t="shared" ref="DH262" si="1443">+BG262</f>
        <v>0</v>
      </c>
      <c r="DI262">
        <f t="shared" ref="DI262" si="1444">+BH262</f>
        <v>0</v>
      </c>
      <c r="DJ262">
        <f t="shared" ref="DJ262" si="1445">+BI262</f>
        <v>0</v>
      </c>
      <c r="DL262" s="24">
        <f t="shared" si="1126"/>
        <v>216</v>
      </c>
      <c r="DM262" s="24">
        <f t="shared" si="1127"/>
        <v>0</v>
      </c>
      <c r="DN262" s="24">
        <f t="shared" si="1128"/>
        <v>0</v>
      </c>
      <c r="DO262" s="24">
        <f t="shared" si="1129"/>
        <v>0</v>
      </c>
      <c r="DP262" s="24">
        <f t="shared" si="1130"/>
        <v>0</v>
      </c>
      <c r="DQ262" s="24">
        <f t="shared" si="1131"/>
        <v>0</v>
      </c>
      <c r="DR262" s="24">
        <f t="shared" si="1132"/>
        <v>0</v>
      </c>
      <c r="DS262" s="24">
        <f t="shared" si="1133"/>
        <v>0</v>
      </c>
      <c r="DT262" s="24">
        <f t="shared" si="1134"/>
        <v>0</v>
      </c>
      <c r="DU262">
        <f t="shared" si="1135"/>
        <v>0</v>
      </c>
      <c r="DV262">
        <f t="shared" si="1136"/>
        <v>0</v>
      </c>
      <c r="DW262">
        <f t="shared" si="1137"/>
        <v>0</v>
      </c>
    </row>
    <row r="263" spans="1:127" x14ac:dyDescent="0.25">
      <c r="A263" s="22">
        <f t="shared" ref="A263:A326" si="1446">+A262+1</f>
        <v>257</v>
      </c>
      <c r="B263" s="59" t="str">
        <f t="shared" si="1240"/>
        <v>F0014826203</v>
      </c>
      <c r="C263" s="214" t="str">
        <f t="shared" si="1241"/>
        <v>82115-0EZ90 B</v>
      </c>
      <c r="D263" s="58" t="e">
        <f>VLOOKUP(B263,'Timing Table'!B:G,6,0)</f>
        <v>#N/A</v>
      </c>
      <c r="E263" s="22" t="e">
        <f>VLOOKUP(B263,'Timing Table'!B:D,3,0)</f>
        <v>#N/A</v>
      </c>
      <c r="F263" s="155" t="s">
        <v>77</v>
      </c>
      <c r="G263" s="181">
        <v>82115</v>
      </c>
      <c r="H263" s="10" t="s">
        <v>255</v>
      </c>
      <c r="I263" s="12" t="s">
        <v>78</v>
      </c>
      <c r="J263" s="152">
        <v>3268</v>
      </c>
      <c r="K263" s="153">
        <v>3268</v>
      </c>
      <c r="L263" s="153">
        <v>3268</v>
      </c>
      <c r="M263" s="153">
        <v>3268</v>
      </c>
      <c r="N263" s="153">
        <v>3268</v>
      </c>
      <c r="O263" s="153">
        <v>3268</v>
      </c>
      <c r="P263" s="153">
        <v>3268</v>
      </c>
      <c r="Q263" s="153">
        <v>3268</v>
      </c>
      <c r="R263" s="153">
        <v>3268</v>
      </c>
      <c r="S263" s="153">
        <v>3268</v>
      </c>
      <c r="T263" s="153">
        <v>3268</v>
      </c>
      <c r="U263" s="153">
        <v>3268</v>
      </c>
      <c r="V263" s="153">
        <v>3268</v>
      </c>
      <c r="W263" s="153">
        <v>3268</v>
      </c>
      <c r="X263" s="153">
        <v>3268</v>
      </c>
      <c r="Y263" s="153">
        <v>3268</v>
      </c>
      <c r="Z263" s="153">
        <v>3268</v>
      </c>
      <c r="AA263" s="153">
        <v>3268</v>
      </c>
      <c r="AB263" s="153">
        <v>3268</v>
      </c>
      <c r="AC263" s="153">
        <v>3268</v>
      </c>
      <c r="AD263" s="153">
        <v>3268</v>
      </c>
      <c r="AE263" s="153">
        <v>3268</v>
      </c>
      <c r="AF263" s="153">
        <v>3268</v>
      </c>
      <c r="AG263" s="153">
        <v>3268</v>
      </c>
      <c r="AH263" s="153">
        <v>3268</v>
      </c>
      <c r="AI263" s="153">
        <v>3268</v>
      </c>
      <c r="AJ263" s="153">
        <v>3268</v>
      </c>
      <c r="AK263" s="153">
        <v>3268</v>
      </c>
      <c r="AL263" s="153">
        <v>3268</v>
      </c>
      <c r="AM263" s="153">
        <v>3268</v>
      </c>
      <c r="AN263" s="153">
        <v>3268</v>
      </c>
      <c r="AO263" s="153">
        <v>3268</v>
      </c>
      <c r="AP263" s="153">
        <v>3268</v>
      </c>
      <c r="AQ263" s="153">
        <v>3268</v>
      </c>
      <c r="AR263" s="153">
        <v>3268</v>
      </c>
      <c r="AS263" s="153">
        <v>3268</v>
      </c>
      <c r="AT263" s="153">
        <v>3268</v>
      </c>
      <c r="AU263" s="153">
        <v>3268</v>
      </c>
      <c r="AV263" s="153">
        <v>3268</v>
      </c>
      <c r="AW263" s="153">
        <v>3268</v>
      </c>
      <c r="AX263" s="153">
        <v>3268</v>
      </c>
      <c r="AY263" s="153">
        <v>3268</v>
      </c>
      <c r="AZ263" s="153">
        <v>3268</v>
      </c>
      <c r="BA263" s="153">
        <v>3268</v>
      </c>
      <c r="BB263" s="153">
        <v>3268</v>
      </c>
      <c r="BC263" s="153">
        <v>3268</v>
      </c>
      <c r="BD263" s="153">
        <v>3268</v>
      </c>
      <c r="BE263" s="153">
        <v>3268</v>
      </c>
      <c r="BF263" s="153">
        <v>3268</v>
      </c>
      <c r="BG263" s="153">
        <v>3268</v>
      </c>
      <c r="BH263" s="153">
        <v>3268</v>
      </c>
      <c r="BI263" s="154">
        <v>3268</v>
      </c>
      <c r="DL263">
        <f t="shared" si="1126"/>
        <v>0</v>
      </c>
      <c r="DM263">
        <f t="shared" si="1127"/>
        <v>0</v>
      </c>
      <c r="DN263">
        <f t="shared" si="1128"/>
        <v>0</v>
      </c>
      <c r="DO263">
        <f t="shared" si="1129"/>
        <v>0</v>
      </c>
      <c r="DP263">
        <f t="shared" si="1130"/>
        <v>0</v>
      </c>
      <c r="DQ263">
        <f t="shared" si="1131"/>
        <v>0</v>
      </c>
      <c r="DR263">
        <f t="shared" si="1132"/>
        <v>0</v>
      </c>
      <c r="DS263">
        <f t="shared" si="1133"/>
        <v>0</v>
      </c>
      <c r="DT263">
        <f t="shared" si="1134"/>
        <v>0</v>
      </c>
      <c r="DU263">
        <f t="shared" si="1135"/>
        <v>0</v>
      </c>
      <c r="DV263">
        <f t="shared" si="1136"/>
        <v>0</v>
      </c>
      <c r="DW263">
        <f t="shared" si="1137"/>
        <v>0</v>
      </c>
    </row>
    <row r="264" spans="1:127" x14ac:dyDescent="0.25">
      <c r="A264" s="22">
        <f t="shared" si="1446"/>
        <v>258</v>
      </c>
      <c r="B264" s="59" t="str">
        <f t="shared" si="1240"/>
        <v>F0014826203</v>
      </c>
      <c r="C264" s="214" t="str">
        <f t="shared" si="1241"/>
        <v>82115-0EZ90 B</v>
      </c>
      <c r="D264" s="58" t="e">
        <f>VLOOKUP(B264,'Timing Table'!B:G,6,0)</f>
        <v>#N/A</v>
      </c>
      <c r="E264" s="22" t="e">
        <f>VLOOKUP(B264,'Timing Table'!B:D,3,0)</f>
        <v>#N/A</v>
      </c>
      <c r="F264" s="155" t="s">
        <v>79</v>
      </c>
      <c r="G264" s="199">
        <v>3052</v>
      </c>
      <c r="H264" s="184" t="s">
        <v>80</v>
      </c>
      <c r="I264" s="185"/>
      <c r="J264" s="200" t="s">
        <v>504</v>
      </c>
      <c r="K264" s="156"/>
      <c r="L264" s="157" t="s">
        <v>0</v>
      </c>
      <c r="M264" s="157" t="s">
        <v>0</v>
      </c>
      <c r="N264" s="157" t="s">
        <v>0</v>
      </c>
      <c r="O264" s="157" t="s">
        <v>0</v>
      </c>
      <c r="P264" s="157" t="s">
        <v>0</v>
      </c>
      <c r="Q264" s="157" t="s">
        <v>0</v>
      </c>
      <c r="R264" s="157" t="s">
        <v>0</v>
      </c>
      <c r="S264" s="157" t="s">
        <v>0</v>
      </c>
      <c r="T264" s="157" t="s">
        <v>0</v>
      </c>
      <c r="U264" s="157" t="s">
        <v>0</v>
      </c>
      <c r="V264" s="157" t="s">
        <v>0</v>
      </c>
      <c r="W264" s="157" t="s">
        <v>0</v>
      </c>
      <c r="X264" s="157" t="s">
        <v>0</v>
      </c>
      <c r="Y264" s="157" t="s">
        <v>0</v>
      </c>
      <c r="Z264" s="157" t="s">
        <v>0</v>
      </c>
      <c r="AA264" s="157" t="s">
        <v>0</v>
      </c>
      <c r="AB264" s="157" t="s">
        <v>0</v>
      </c>
      <c r="AC264" s="157" t="s">
        <v>0</v>
      </c>
      <c r="AD264" s="157" t="s">
        <v>0</v>
      </c>
      <c r="AE264" s="157" t="s">
        <v>0</v>
      </c>
      <c r="AF264" s="157" t="s">
        <v>0</v>
      </c>
      <c r="AG264" s="157" t="s">
        <v>0</v>
      </c>
      <c r="AH264" s="157" t="s">
        <v>0</v>
      </c>
      <c r="AI264" s="157" t="s">
        <v>0</v>
      </c>
      <c r="AJ264" s="157" t="s">
        <v>0</v>
      </c>
      <c r="AK264" s="157" t="s">
        <v>0</v>
      </c>
      <c r="AL264" s="157" t="s">
        <v>0</v>
      </c>
      <c r="AM264" s="157" t="s">
        <v>0</v>
      </c>
      <c r="AN264" s="157" t="s">
        <v>0</v>
      </c>
      <c r="AO264" s="157" t="s">
        <v>0</v>
      </c>
      <c r="AP264" s="157" t="s">
        <v>0</v>
      </c>
      <c r="AQ264" s="157" t="s">
        <v>0</v>
      </c>
      <c r="AR264" s="157" t="s">
        <v>0</v>
      </c>
      <c r="AS264" s="157" t="s">
        <v>0</v>
      </c>
      <c r="AT264" s="157" t="s">
        <v>0</v>
      </c>
      <c r="AU264" s="157" t="s">
        <v>0</v>
      </c>
      <c r="AV264" s="157" t="s">
        <v>0</v>
      </c>
      <c r="AW264" s="157" t="s">
        <v>0</v>
      </c>
      <c r="AX264" s="157" t="s">
        <v>0</v>
      </c>
      <c r="AY264" s="157" t="s">
        <v>0</v>
      </c>
      <c r="AZ264" s="157" t="s">
        <v>0</v>
      </c>
      <c r="BA264" s="157" t="s">
        <v>0</v>
      </c>
      <c r="BB264" s="157" t="s">
        <v>0</v>
      </c>
      <c r="BC264" s="157" t="s">
        <v>0</v>
      </c>
      <c r="BD264" s="157" t="s">
        <v>0</v>
      </c>
      <c r="BE264" s="157" t="s">
        <v>0</v>
      </c>
      <c r="BF264" s="157" t="s">
        <v>0</v>
      </c>
      <c r="BG264" s="157" t="s">
        <v>0</v>
      </c>
      <c r="BH264" s="157" t="s">
        <v>0</v>
      </c>
      <c r="BI264" s="158"/>
      <c r="DL264">
        <f t="shared" si="1126"/>
        <v>0</v>
      </c>
      <c r="DM264">
        <f t="shared" si="1127"/>
        <v>0</v>
      </c>
      <c r="DN264">
        <f t="shared" si="1128"/>
        <v>0</v>
      </c>
      <c r="DO264">
        <f t="shared" si="1129"/>
        <v>0</v>
      </c>
      <c r="DP264">
        <f t="shared" si="1130"/>
        <v>0</v>
      </c>
      <c r="DQ264">
        <f t="shared" si="1131"/>
        <v>0</v>
      </c>
      <c r="DR264">
        <f t="shared" si="1132"/>
        <v>0</v>
      </c>
      <c r="DS264">
        <f t="shared" si="1133"/>
        <v>0</v>
      </c>
      <c r="DT264">
        <f t="shared" si="1134"/>
        <v>0</v>
      </c>
      <c r="DU264">
        <f t="shared" si="1135"/>
        <v>0</v>
      </c>
      <c r="DV264">
        <f t="shared" si="1136"/>
        <v>0</v>
      </c>
      <c r="DW264">
        <f t="shared" si="1137"/>
        <v>0</v>
      </c>
    </row>
    <row r="265" spans="1:127" x14ac:dyDescent="0.25">
      <c r="A265" s="22">
        <f t="shared" si="1446"/>
        <v>259</v>
      </c>
      <c r="B265" s="59" t="str">
        <f t="shared" si="1240"/>
        <v>F0014826203</v>
      </c>
      <c r="C265" s="214" t="str">
        <f t="shared" si="1241"/>
        <v>82115-0EZ90 B</v>
      </c>
      <c r="D265" s="58" t="e">
        <f>VLOOKUP(B265,'Timing Table'!B:G,6,0)</f>
        <v>#N/A</v>
      </c>
      <c r="E265" s="22" t="e">
        <f>VLOOKUP(B265,'Timing Table'!B:D,3,0)</f>
        <v>#N/A</v>
      </c>
      <c r="F265" s="159" t="s">
        <v>81</v>
      </c>
      <c r="G265" s="160" t="s">
        <v>60</v>
      </c>
      <c r="H265" s="201" t="s">
        <v>60</v>
      </c>
      <c r="I265" s="183" t="s">
        <v>60</v>
      </c>
      <c r="J265" s="183" t="s">
        <v>0</v>
      </c>
      <c r="K265" s="183" t="s">
        <v>0</v>
      </c>
      <c r="L265" s="183" t="s">
        <v>0</v>
      </c>
      <c r="M265" s="183" t="s">
        <v>0</v>
      </c>
      <c r="N265" s="183" t="s">
        <v>0</v>
      </c>
      <c r="O265" s="183" t="s">
        <v>0</v>
      </c>
      <c r="P265" s="183" t="s">
        <v>0</v>
      </c>
      <c r="Q265" s="183" t="s">
        <v>0</v>
      </c>
      <c r="R265" s="183" t="s">
        <v>0</v>
      </c>
      <c r="S265" s="183" t="s">
        <v>0</v>
      </c>
      <c r="T265" s="183" t="s">
        <v>0</v>
      </c>
      <c r="U265" s="183" t="s">
        <v>0</v>
      </c>
      <c r="V265" s="183" t="s">
        <v>0</v>
      </c>
      <c r="W265" s="183" t="s">
        <v>0</v>
      </c>
      <c r="X265" s="183" t="s">
        <v>0</v>
      </c>
      <c r="Y265" s="183" t="s">
        <v>0</v>
      </c>
      <c r="Z265" s="183" t="s">
        <v>0</v>
      </c>
      <c r="AA265" s="183" t="s">
        <v>0</v>
      </c>
      <c r="AB265" s="183" t="s">
        <v>0</v>
      </c>
      <c r="AC265" s="183" t="s">
        <v>0</v>
      </c>
      <c r="AD265" s="183" t="s">
        <v>0</v>
      </c>
      <c r="AE265" s="183" t="s">
        <v>0</v>
      </c>
      <c r="AF265" s="183" t="s">
        <v>0</v>
      </c>
      <c r="AG265" s="183" t="s">
        <v>0</v>
      </c>
      <c r="AH265" s="183" t="s">
        <v>0</v>
      </c>
      <c r="AI265" s="183" t="s">
        <v>0</v>
      </c>
      <c r="AJ265" s="183" t="s">
        <v>0</v>
      </c>
      <c r="AK265" s="183" t="s">
        <v>0</v>
      </c>
      <c r="AL265" s="183" t="s">
        <v>0</v>
      </c>
      <c r="AM265" s="183" t="s">
        <v>0</v>
      </c>
      <c r="AN265" s="183" t="s">
        <v>0</v>
      </c>
      <c r="AO265" s="183" t="s">
        <v>0</v>
      </c>
      <c r="AP265" s="183" t="s">
        <v>0</v>
      </c>
      <c r="AQ265" s="183" t="s">
        <v>0</v>
      </c>
      <c r="AR265" s="183" t="s">
        <v>0</v>
      </c>
      <c r="AS265" s="183" t="s">
        <v>0</v>
      </c>
      <c r="AT265" s="183" t="s">
        <v>0</v>
      </c>
      <c r="AU265" s="183" t="s">
        <v>0</v>
      </c>
      <c r="AV265" s="183" t="s">
        <v>0</v>
      </c>
      <c r="AW265" s="183" t="s">
        <v>0</v>
      </c>
      <c r="AX265" s="183" t="s">
        <v>0</v>
      </c>
      <c r="AY265" s="183" t="s">
        <v>0</v>
      </c>
      <c r="AZ265" s="183" t="s">
        <v>0</v>
      </c>
      <c r="BA265" s="183" t="s">
        <v>0</v>
      </c>
      <c r="BB265" s="183" t="s">
        <v>0</v>
      </c>
      <c r="BC265" s="183" t="s">
        <v>0</v>
      </c>
      <c r="BD265" s="183" t="s">
        <v>0</v>
      </c>
      <c r="BE265" s="183" t="s">
        <v>0</v>
      </c>
      <c r="BF265" s="183" t="s">
        <v>0</v>
      </c>
      <c r="BG265" s="183" t="s">
        <v>0</v>
      </c>
      <c r="BH265" s="183" t="s">
        <v>0</v>
      </c>
      <c r="BI265" s="161"/>
      <c r="DL265">
        <f t="shared" si="1126"/>
        <v>0</v>
      </c>
      <c r="DM265">
        <f t="shared" si="1127"/>
        <v>0</v>
      </c>
      <c r="DN265">
        <f t="shared" si="1128"/>
        <v>0</v>
      </c>
      <c r="DO265">
        <f t="shared" si="1129"/>
        <v>0</v>
      </c>
      <c r="DP265">
        <f t="shared" si="1130"/>
        <v>0</v>
      </c>
      <c r="DQ265">
        <f t="shared" si="1131"/>
        <v>0</v>
      </c>
      <c r="DR265">
        <f t="shared" si="1132"/>
        <v>0</v>
      </c>
      <c r="DS265">
        <f t="shared" si="1133"/>
        <v>0</v>
      </c>
      <c r="DT265">
        <f t="shared" si="1134"/>
        <v>0</v>
      </c>
      <c r="DU265">
        <f t="shared" si="1135"/>
        <v>0</v>
      </c>
      <c r="DV265">
        <f t="shared" si="1136"/>
        <v>0</v>
      </c>
      <c r="DW265">
        <f t="shared" si="1137"/>
        <v>0</v>
      </c>
    </row>
    <row r="266" spans="1:127" x14ac:dyDescent="0.25">
      <c r="A266" s="22">
        <f t="shared" si="1446"/>
        <v>260</v>
      </c>
      <c r="B266" s="59" t="str">
        <f t="shared" si="1240"/>
        <v>F0014826203</v>
      </c>
      <c r="C266" s="214" t="str">
        <f t="shared" si="1241"/>
        <v>82115-0EZ90 B</v>
      </c>
      <c r="D266" s="58" t="e">
        <f>VLOOKUP(B266,'Timing Table'!B:G,6,0)</f>
        <v>#N/A</v>
      </c>
      <c r="E266" s="22" t="e">
        <f>VLOOKUP(B266,'Timing Table'!B:D,3,0)</f>
        <v>#N/A</v>
      </c>
      <c r="F266" s="188" t="s">
        <v>60</v>
      </c>
      <c r="G266" s="162" t="s">
        <v>60</v>
      </c>
      <c r="H266" s="163" t="s">
        <v>60</v>
      </c>
      <c r="I266" s="164" t="s">
        <v>60</v>
      </c>
      <c r="J266" s="164" t="s">
        <v>0</v>
      </c>
      <c r="K266" s="164" t="s">
        <v>0</v>
      </c>
      <c r="L266" s="164" t="s">
        <v>0</v>
      </c>
      <c r="M266" s="164" t="s">
        <v>0</v>
      </c>
      <c r="N266" s="164" t="s">
        <v>0</v>
      </c>
      <c r="O266" s="164" t="s">
        <v>0</v>
      </c>
      <c r="P266" s="164" t="s">
        <v>0</v>
      </c>
      <c r="Q266" s="164" t="s">
        <v>0</v>
      </c>
      <c r="R266" s="164" t="s">
        <v>0</v>
      </c>
      <c r="S266" s="164" t="s">
        <v>0</v>
      </c>
      <c r="T266" s="164" t="s">
        <v>0</v>
      </c>
      <c r="U266" s="164" t="s">
        <v>0</v>
      </c>
      <c r="V266" s="164" t="s">
        <v>0</v>
      </c>
      <c r="W266" s="164" t="s">
        <v>0</v>
      </c>
      <c r="X266" s="164" t="s">
        <v>0</v>
      </c>
      <c r="Y266" s="164" t="s">
        <v>0</v>
      </c>
      <c r="Z266" s="164" t="s">
        <v>0</v>
      </c>
      <c r="AA266" s="164" t="s">
        <v>0</v>
      </c>
      <c r="AB266" s="164" t="s">
        <v>0</v>
      </c>
      <c r="AC266" s="164" t="s">
        <v>0</v>
      </c>
      <c r="AD266" s="164" t="s">
        <v>0</v>
      </c>
      <c r="AE266" s="164" t="s">
        <v>0</v>
      </c>
      <c r="AF266" s="164" t="s">
        <v>0</v>
      </c>
      <c r="AG266" s="164" t="s">
        <v>0</v>
      </c>
      <c r="AH266" s="164" t="s">
        <v>0</v>
      </c>
      <c r="AI266" s="164" t="s">
        <v>0</v>
      </c>
      <c r="AJ266" s="164" t="s">
        <v>0</v>
      </c>
      <c r="AK266" s="164" t="s">
        <v>0</v>
      </c>
      <c r="AL266" s="164" t="s">
        <v>0</v>
      </c>
      <c r="AM266" s="164" t="s">
        <v>0</v>
      </c>
      <c r="AN266" s="164" t="s">
        <v>0</v>
      </c>
      <c r="AO266" s="164" t="s">
        <v>0</v>
      </c>
      <c r="AP266" s="164" t="s">
        <v>0</v>
      </c>
      <c r="AQ266" s="164" t="s">
        <v>0</v>
      </c>
      <c r="AR266" s="164" t="s">
        <v>0</v>
      </c>
      <c r="AS266" s="164" t="s">
        <v>0</v>
      </c>
      <c r="AT266" s="164" t="s">
        <v>0</v>
      </c>
      <c r="AU266" s="164" t="s">
        <v>0</v>
      </c>
      <c r="AV266" s="164" t="s">
        <v>0</v>
      </c>
      <c r="AW266" s="164" t="s">
        <v>0</v>
      </c>
      <c r="AX266" s="164" t="s">
        <v>0</v>
      </c>
      <c r="AY266" s="164" t="s">
        <v>0</v>
      </c>
      <c r="AZ266" s="164" t="s">
        <v>0</v>
      </c>
      <c r="BA266" s="164" t="s">
        <v>0</v>
      </c>
      <c r="BB266" s="164" t="s">
        <v>0</v>
      </c>
      <c r="BC266" s="164" t="s">
        <v>0</v>
      </c>
      <c r="BD266" s="164" t="s">
        <v>0</v>
      </c>
      <c r="BE266" s="164" t="s">
        <v>0</v>
      </c>
      <c r="BF266" s="164" t="s">
        <v>0</v>
      </c>
      <c r="BG266" s="164" t="s">
        <v>0</v>
      </c>
      <c r="BH266" s="164" t="s">
        <v>0</v>
      </c>
      <c r="BI266" s="189"/>
      <c r="DL266">
        <f t="shared" si="1126"/>
        <v>0</v>
      </c>
      <c r="DM266">
        <f t="shared" si="1127"/>
        <v>0</v>
      </c>
      <c r="DN266">
        <f t="shared" si="1128"/>
        <v>0</v>
      </c>
      <c r="DO266">
        <f t="shared" si="1129"/>
        <v>0</v>
      </c>
      <c r="DP266">
        <f t="shared" si="1130"/>
        <v>0</v>
      </c>
      <c r="DQ266">
        <f t="shared" si="1131"/>
        <v>0</v>
      </c>
      <c r="DR266">
        <f t="shared" si="1132"/>
        <v>0</v>
      </c>
      <c r="DS266">
        <f t="shared" si="1133"/>
        <v>0</v>
      </c>
      <c r="DT266">
        <f t="shared" si="1134"/>
        <v>0</v>
      </c>
      <c r="DU266">
        <f t="shared" si="1135"/>
        <v>0</v>
      </c>
      <c r="DV266">
        <f t="shared" si="1136"/>
        <v>0</v>
      </c>
      <c r="DW266">
        <f t="shared" si="1137"/>
        <v>0</v>
      </c>
    </row>
    <row r="267" spans="1:127" x14ac:dyDescent="0.25">
      <c r="A267" s="22">
        <f t="shared" si="1446"/>
        <v>261</v>
      </c>
      <c r="B267" s="59" t="str">
        <f t="shared" si="1240"/>
        <v>F0014826301</v>
      </c>
      <c r="C267" s="214" t="str">
        <f t="shared" si="1241"/>
        <v>82115-0EZ70</v>
      </c>
      <c r="D267" s="58" t="e">
        <f>VLOOKUP(B267,'Timing Table'!B:G,6,0)</f>
        <v>#N/A</v>
      </c>
      <c r="E267" s="22" t="e">
        <f>VLOOKUP(B267,'Timing Table'!B:D,3,0)</f>
        <v>#N/A</v>
      </c>
      <c r="F267" s="155" t="s">
        <v>61</v>
      </c>
      <c r="G267" s="181">
        <v>5500990625</v>
      </c>
      <c r="H267" s="155" t="s">
        <v>62</v>
      </c>
      <c r="I267" s="181">
        <v>156</v>
      </c>
      <c r="J267" s="155" t="s">
        <v>63</v>
      </c>
      <c r="K267" s="160">
        <v>1121484</v>
      </c>
      <c r="L267" s="161"/>
      <c r="M267" s="190" t="s">
        <v>64</v>
      </c>
      <c r="N267" s="191"/>
      <c r="O267" s="192">
        <v>46086</v>
      </c>
      <c r="P267" s="155" t="s">
        <v>65</v>
      </c>
      <c r="Q267" s="181">
        <v>4</v>
      </c>
      <c r="R267" s="6" t="s">
        <v>0</v>
      </c>
      <c r="S267" s="7" t="s">
        <v>0</v>
      </c>
      <c r="T267" s="7" t="s">
        <v>0</v>
      </c>
      <c r="U267" s="7" t="s">
        <v>0</v>
      </c>
      <c r="V267" s="7" t="s">
        <v>0</v>
      </c>
      <c r="W267" s="7" t="s">
        <v>0</v>
      </c>
      <c r="X267" s="7" t="s">
        <v>0</v>
      </c>
      <c r="Y267" s="7" t="s">
        <v>0</v>
      </c>
      <c r="Z267" s="7" t="s">
        <v>0</v>
      </c>
      <c r="AA267" s="7" t="s">
        <v>0</v>
      </c>
      <c r="AB267" s="7" t="s">
        <v>0</v>
      </c>
      <c r="AC267" s="7" t="s">
        <v>0</v>
      </c>
      <c r="AD267" s="7" t="s">
        <v>0</v>
      </c>
      <c r="AE267" s="7" t="s">
        <v>0</v>
      </c>
      <c r="AF267" s="7" t="s">
        <v>0</v>
      </c>
      <c r="AG267" s="7" t="s">
        <v>0</v>
      </c>
      <c r="AH267" s="7" t="s">
        <v>0</v>
      </c>
      <c r="AI267" s="7" t="s">
        <v>0</v>
      </c>
      <c r="AJ267" s="7" t="s">
        <v>0</v>
      </c>
      <c r="AK267" s="7" t="s">
        <v>0</v>
      </c>
      <c r="AL267" s="7" t="s">
        <v>0</v>
      </c>
      <c r="AM267" s="7" t="s">
        <v>0</v>
      </c>
      <c r="AN267" s="7" t="s">
        <v>0</v>
      </c>
      <c r="AO267" s="7" t="s">
        <v>0</v>
      </c>
      <c r="AP267" s="7" t="s">
        <v>0</v>
      </c>
      <c r="AQ267" s="7" t="s">
        <v>0</v>
      </c>
      <c r="AR267" s="7" t="s">
        <v>0</v>
      </c>
      <c r="AS267" s="7" t="s">
        <v>0</v>
      </c>
      <c r="AT267" s="7" t="s">
        <v>0</v>
      </c>
      <c r="AU267" s="7" t="s">
        <v>0</v>
      </c>
      <c r="AV267" s="7" t="s">
        <v>0</v>
      </c>
      <c r="AW267" s="7" t="s">
        <v>0</v>
      </c>
      <c r="AX267" s="7" t="s">
        <v>0</v>
      </c>
      <c r="AY267" s="7" t="s">
        <v>0</v>
      </c>
      <c r="AZ267" s="7" t="s">
        <v>0</v>
      </c>
      <c r="BA267" s="7" t="s">
        <v>0</v>
      </c>
      <c r="BB267" s="7" t="s">
        <v>0</v>
      </c>
      <c r="BC267" s="7" t="s">
        <v>0</v>
      </c>
      <c r="BD267" s="7" t="s">
        <v>0</v>
      </c>
      <c r="BE267" s="7" t="s">
        <v>0</v>
      </c>
      <c r="BF267" s="7" t="s">
        <v>0</v>
      </c>
      <c r="BG267" s="7" t="s">
        <v>0</v>
      </c>
      <c r="BH267" s="7" t="s">
        <v>0</v>
      </c>
      <c r="BI267" s="8"/>
      <c r="DL267">
        <f t="shared" si="1126"/>
        <v>0</v>
      </c>
      <c r="DM267">
        <f t="shared" si="1127"/>
        <v>0</v>
      </c>
      <c r="DN267">
        <f t="shared" si="1128"/>
        <v>0</v>
      </c>
      <c r="DO267">
        <f t="shared" si="1129"/>
        <v>0</v>
      </c>
      <c r="DP267">
        <f t="shared" si="1130"/>
        <v>0</v>
      </c>
      <c r="DQ267">
        <f t="shared" si="1131"/>
        <v>0</v>
      </c>
      <c r="DR267">
        <f t="shared" si="1132"/>
        <v>0</v>
      </c>
      <c r="DS267">
        <f t="shared" si="1133"/>
        <v>0</v>
      </c>
      <c r="DT267">
        <f t="shared" si="1134"/>
        <v>0</v>
      </c>
      <c r="DU267">
        <f t="shared" si="1135"/>
        <v>0</v>
      </c>
      <c r="DV267">
        <f t="shared" si="1136"/>
        <v>0</v>
      </c>
      <c r="DW267">
        <f t="shared" si="1137"/>
        <v>0</v>
      </c>
    </row>
    <row r="268" spans="1:127" x14ac:dyDescent="0.25">
      <c r="A268" s="22">
        <f t="shared" si="1446"/>
        <v>262</v>
      </c>
      <c r="B268" s="59" t="str">
        <f t="shared" si="1240"/>
        <v>F0014826301</v>
      </c>
      <c r="C268" s="214" t="str">
        <f t="shared" si="1241"/>
        <v>82115-0EZ70</v>
      </c>
      <c r="D268" s="58" t="e">
        <f>VLOOKUP(B268,'Timing Table'!B:G,6,0)</f>
        <v>#N/A</v>
      </c>
      <c r="E268" s="22" t="e">
        <f>VLOOKUP(B268,'Timing Table'!B:D,3,0)</f>
        <v>#N/A</v>
      </c>
      <c r="F268" s="155" t="s">
        <v>66</v>
      </c>
      <c r="G268" s="181" t="s">
        <v>276</v>
      </c>
      <c r="H268" s="155" t="s">
        <v>67</v>
      </c>
      <c r="I268" s="182" t="s">
        <v>277</v>
      </c>
      <c r="J268" s="183"/>
      <c r="K268" s="183"/>
      <c r="L268" s="161"/>
      <c r="M268" s="155" t="s">
        <v>68</v>
      </c>
      <c r="N268" s="181">
        <v>2025</v>
      </c>
      <c r="O268" s="184" t="s">
        <v>69</v>
      </c>
      <c r="P268" s="185"/>
      <c r="Q268" s="193" t="s">
        <v>265</v>
      </c>
      <c r="R268" s="156" t="s">
        <v>0</v>
      </c>
      <c r="S268" s="157" t="s">
        <v>0</v>
      </c>
      <c r="T268" s="157" t="s">
        <v>0</v>
      </c>
      <c r="U268" s="157" t="s">
        <v>0</v>
      </c>
      <c r="V268" s="157" t="s">
        <v>0</v>
      </c>
      <c r="W268" s="157" t="s">
        <v>0</v>
      </c>
      <c r="X268" s="157" t="s">
        <v>0</v>
      </c>
      <c r="Y268" s="157" t="s">
        <v>0</v>
      </c>
      <c r="Z268" s="157" t="s">
        <v>0</v>
      </c>
      <c r="AA268" s="157" t="s">
        <v>0</v>
      </c>
      <c r="AB268" s="157" t="s">
        <v>0</v>
      </c>
      <c r="AC268" s="157" t="s">
        <v>0</v>
      </c>
      <c r="AD268" s="157" t="s">
        <v>0</v>
      </c>
      <c r="AE268" s="157" t="s">
        <v>0</v>
      </c>
      <c r="AF268" s="157" t="s">
        <v>0</v>
      </c>
      <c r="AG268" s="157" t="s">
        <v>0</v>
      </c>
      <c r="AH268" s="157" t="s">
        <v>0</v>
      </c>
      <c r="AI268" s="157" t="s">
        <v>0</v>
      </c>
      <c r="AJ268" s="157" t="s">
        <v>0</v>
      </c>
      <c r="AK268" s="157" t="s">
        <v>0</v>
      </c>
      <c r="AL268" s="157" t="s">
        <v>0</v>
      </c>
      <c r="AM268" s="157" t="s">
        <v>0</v>
      </c>
      <c r="AN268" s="157" t="s">
        <v>0</v>
      </c>
      <c r="AO268" s="157" t="s">
        <v>0</v>
      </c>
      <c r="AP268" s="157" t="s">
        <v>0</v>
      </c>
      <c r="AQ268" s="157" t="s">
        <v>0</v>
      </c>
      <c r="AR268" s="157" t="s">
        <v>0</v>
      </c>
      <c r="AS268" s="157" t="s">
        <v>0</v>
      </c>
      <c r="AT268" s="157" t="s">
        <v>0</v>
      </c>
      <c r="AU268" s="157" t="s">
        <v>0</v>
      </c>
      <c r="AV268" s="157" t="s">
        <v>0</v>
      </c>
      <c r="AW268" s="157" t="s">
        <v>0</v>
      </c>
      <c r="AX268" s="157" t="s">
        <v>0</v>
      </c>
      <c r="AY268" s="157" t="s">
        <v>0</v>
      </c>
      <c r="AZ268" s="157" t="s">
        <v>0</v>
      </c>
      <c r="BA268" s="157" t="s">
        <v>0</v>
      </c>
      <c r="BB268" s="157" t="s">
        <v>0</v>
      </c>
      <c r="BC268" s="157" t="s">
        <v>0</v>
      </c>
      <c r="BD268" s="157" t="s">
        <v>0</v>
      </c>
      <c r="BE268" s="157" t="s">
        <v>0</v>
      </c>
      <c r="BF268" s="157" t="s">
        <v>0</v>
      </c>
      <c r="BG268" s="157" t="s">
        <v>0</v>
      </c>
      <c r="BH268" s="157" t="s">
        <v>0</v>
      </c>
      <c r="BI268" s="158"/>
      <c r="DL268">
        <f t="shared" si="1126"/>
        <v>0</v>
      </c>
      <c r="DM268">
        <f t="shared" si="1127"/>
        <v>0</v>
      </c>
      <c r="DN268">
        <f t="shared" si="1128"/>
        <v>0</v>
      </c>
      <c r="DO268">
        <f t="shared" si="1129"/>
        <v>0</v>
      </c>
      <c r="DP268">
        <f t="shared" si="1130"/>
        <v>0</v>
      </c>
      <c r="DQ268">
        <f t="shared" si="1131"/>
        <v>0</v>
      </c>
      <c r="DR268">
        <f t="shared" si="1132"/>
        <v>0</v>
      </c>
      <c r="DS268">
        <f t="shared" si="1133"/>
        <v>0</v>
      </c>
      <c r="DT268">
        <f t="shared" si="1134"/>
        <v>0</v>
      </c>
      <c r="DU268">
        <f t="shared" si="1135"/>
        <v>0</v>
      </c>
      <c r="DV268">
        <f t="shared" si="1136"/>
        <v>0</v>
      </c>
      <c r="DW268">
        <f t="shared" si="1137"/>
        <v>0</v>
      </c>
    </row>
    <row r="269" spans="1:127" x14ac:dyDescent="0.25">
      <c r="A269" s="22">
        <f t="shared" si="1446"/>
        <v>263</v>
      </c>
      <c r="B269" s="59" t="str">
        <f t="shared" si="1240"/>
        <v>F0014826301</v>
      </c>
      <c r="C269" s="214" t="str">
        <f t="shared" si="1241"/>
        <v>82115-0EZ70</v>
      </c>
      <c r="D269" s="58" t="e">
        <f>VLOOKUP(B269,'Timing Table'!B:G,6,0)</f>
        <v>#N/A</v>
      </c>
      <c r="E269" s="22" t="e">
        <f>VLOOKUP(B269,'Timing Table'!B:D,3,0)</f>
        <v>#N/A</v>
      </c>
      <c r="F269" s="155" t="s">
        <v>70</v>
      </c>
      <c r="G269" s="181" t="s">
        <v>251</v>
      </c>
      <c r="H269" s="155" t="s">
        <v>71</v>
      </c>
      <c r="I269" s="182" t="s">
        <v>60</v>
      </c>
      <c r="J269" s="161" t="s">
        <v>0</v>
      </c>
      <c r="K269" s="194" t="s">
        <v>0</v>
      </c>
      <c r="L269" s="195" t="s">
        <v>0</v>
      </c>
      <c r="M269" s="179" t="s">
        <v>0</v>
      </c>
      <c r="N269" s="179" t="s">
        <v>0</v>
      </c>
      <c r="O269" s="179" t="s">
        <v>0</v>
      </c>
      <c r="P269" s="179" t="s">
        <v>0</v>
      </c>
      <c r="Q269" s="179" t="s">
        <v>1</v>
      </c>
      <c r="R269" s="179" t="s">
        <v>2</v>
      </c>
      <c r="S269" s="179" t="s">
        <v>0</v>
      </c>
      <c r="T269" s="179" t="s">
        <v>0</v>
      </c>
      <c r="U269" s="179" t="s">
        <v>0</v>
      </c>
      <c r="V269" s="179" t="s">
        <v>0</v>
      </c>
      <c r="W269" s="179" t="s">
        <v>0</v>
      </c>
      <c r="X269" s="179" t="s">
        <v>0</v>
      </c>
      <c r="Y269" s="179" t="s">
        <v>0</v>
      </c>
      <c r="Z269" s="179" t="s">
        <v>3</v>
      </c>
      <c r="AA269" s="179" t="s">
        <v>0</v>
      </c>
      <c r="AB269" s="179" t="s">
        <v>0</v>
      </c>
      <c r="AC269" s="179" t="s">
        <v>0</v>
      </c>
      <c r="AD269" s="179" t="s">
        <v>0</v>
      </c>
      <c r="AE269" s="179" t="s">
        <v>0</v>
      </c>
      <c r="AF269" s="179" t="s">
        <v>0</v>
      </c>
      <c r="AG269" s="179" t="s">
        <v>0</v>
      </c>
      <c r="AH269" s="179" t="s">
        <v>0</v>
      </c>
      <c r="AI269" s="179" t="s">
        <v>0</v>
      </c>
      <c r="AJ269" s="179" t="s">
        <v>0</v>
      </c>
      <c r="AK269" s="179" t="s">
        <v>0</v>
      </c>
      <c r="AL269" s="179" t="s">
        <v>0</v>
      </c>
      <c r="AM269" s="179" t="s">
        <v>0</v>
      </c>
      <c r="AN269" s="179" t="s">
        <v>0</v>
      </c>
      <c r="AO269" s="179" t="s">
        <v>0</v>
      </c>
      <c r="AP269" s="179" t="s">
        <v>0</v>
      </c>
      <c r="AQ269" s="179" t="s">
        <v>0</v>
      </c>
      <c r="AR269" s="179" t="s">
        <v>0</v>
      </c>
      <c r="AS269" s="179" t="s">
        <v>0</v>
      </c>
      <c r="AT269" s="179" t="s">
        <v>0</v>
      </c>
      <c r="AU269" s="179" t="s">
        <v>0</v>
      </c>
      <c r="AV269" s="179" t="s">
        <v>0</v>
      </c>
      <c r="AW269" s="179" t="s">
        <v>0</v>
      </c>
      <c r="AX269" s="179" t="s">
        <v>0</v>
      </c>
      <c r="AY269" s="179" t="s">
        <v>0</v>
      </c>
      <c r="AZ269" s="179" t="s">
        <v>0</v>
      </c>
      <c r="BA269" s="179" t="s">
        <v>0</v>
      </c>
      <c r="BB269" s="179" t="s">
        <v>0</v>
      </c>
      <c r="BC269" s="179" t="s">
        <v>0</v>
      </c>
      <c r="BD269" s="179" t="s">
        <v>0</v>
      </c>
      <c r="BE269" s="179" t="s">
        <v>0</v>
      </c>
      <c r="BF269" s="179" t="s">
        <v>0</v>
      </c>
      <c r="BG269" s="179" t="s">
        <v>0</v>
      </c>
      <c r="BH269" s="179" t="s">
        <v>0</v>
      </c>
      <c r="BI269" s="180" t="s">
        <v>4</v>
      </c>
      <c r="DL269">
        <f t="shared" ref="DL269:DL332" si="1447">SUM(BK269:BL269)</f>
        <v>0</v>
      </c>
      <c r="DM269">
        <f t="shared" ref="DM269:DM332" si="1448">SUM(BM269:BP269)</f>
        <v>0</v>
      </c>
      <c r="DN269">
        <f t="shared" ref="DN269:DN332" si="1449">SUM(BQ269:BT269)</f>
        <v>0</v>
      </c>
      <c r="DO269">
        <f t="shared" ref="DO269:DO332" si="1450">SUM(BU269:BY269)</f>
        <v>0</v>
      </c>
      <c r="DP269">
        <f t="shared" ref="DP269:DP332" si="1451">SUM(BZ269:CC269)</f>
        <v>0</v>
      </c>
      <c r="DQ269">
        <f t="shared" ref="DQ269:DQ332" si="1452">SUM(CD269:CG269)</f>
        <v>0</v>
      </c>
      <c r="DR269">
        <f t="shared" ref="DR269:DR332" si="1453">SUM(CH269:CL269)</f>
        <v>0</v>
      </c>
      <c r="DS269">
        <f t="shared" ref="DS269:DS332" si="1454">SUM(CM269:CP269)</f>
        <v>0</v>
      </c>
      <c r="DT269">
        <f t="shared" ref="DT269:DT332" si="1455">SUM(CQ269:CU269)</f>
        <v>0</v>
      </c>
      <c r="DU269">
        <f t="shared" ref="DU269:DU332" si="1456">SUM(CV269:CY269)</f>
        <v>0</v>
      </c>
      <c r="DV269">
        <f t="shared" ref="DV269:DV332" si="1457">SUM(CZ269:DC269)</f>
        <v>0</v>
      </c>
      <c r="DW269">
        <f t="shared" ref="DW269:DW332" si="1458">SUM(DD269:DH269)</f>
        <v>0</v>
      </c>
    </row>
    <row r="270" spans="1:127" x14ac:dyDescent="0.25">
      <c r="A270" s="22">
        <f t="shared" si="1446"/>
        <v>264</v>
      </c>
      <c r="B270" s="59" t="str">
        <f t="shared" si="1240"/>
        <v>F0014826301</v>
      </c>
      <c r="C270" s="214" t="str">
        <f t="shared" si="1241"/>
        <v>82115-0EZ70</v>
      </c>
      <c r="D270" s="58" t="e">
        <f>VLOOKUP(B270,'Timing Table'!B:G,6,0)</f>
        <v>#N/A</v>
      </c>
      <c r="E270" s="22" t="e">
        <f>VLOOKUP(B270,'Timing Table'!B:D,3,0)</f>
        <v>#N/A</v>
      </c>
      <c r="F270" s="155" t="s">
        <v>72</v>
      </c>
      <c r="G270" s="181">
        <v>4</v>
      </c>
      <c r="H270" s="196" t="s">
        <v>414</v>
      </c>
      <c r="I270" s="197" t="s">
        <v>73</v>
      </c>
      <c r="J270" s="13">
        <v>46041</v>
      </c>
      <c r="K270" s="14">
        <v>46048</v>
      </c>
      <c r="L270" s="14">
        <v>46055</v>
      </c>
      <c r="M270" s="14">
        <v>46062</v>
      </c>
      <c r="N270" s="14">
        <v>46069</v>
      </c>
      <c r="O270" s="14">
        <v>46076</v>
      </c>
      <c r="P270" s="14">
        <v>46083</v>
      </c>
      <c r="Q270" s="14">
        <v>46090</v>
      </c>
      <c r="R270" s="14">
        <v>46097</v>
      </c>
      <c r="S270" s="14">
        <v>46104</v>
      </c>
      <c r="T270" s="14">
        <v>46111</v>
      </c>
      <c r="U270" s="14">
        <v>46118</v>
      </c>
      <c r="V270" s="14">
        <v>46125</v>
      </c>
      <c r="W270" s="14">
        <v>46132</v>
      </c>
      <c r="X270" s="14">
        <v>46139</v>
      </c>
      <c r="Y270" s="14">
        <v>46146</v>
      </c>
      <c r="Z270" s="14">
        <v>46153</v>
      </c>
      <c r="AA270" s="14">
        <v>46160</v>
      </c>
      <c r="AB270" s="14">
        <v>46167</v>
      </c>
      <c r="AC270" s="14">
        <v>46174</v>
      </c>
      <c r="AD270" s="14">
        <v>46181</v>
      </c>
      <c r="AE270" s="14">
        <v>46188</v>
      </c>
      <c r="AF270" s="14">
        <v>46195</v>
      </c>
      <c r="AG270" s="14">
        <v>46202</v>
      </c>
      <c r="AH270" s="14">
        <v>46209</v>
      </c>
      <c r="AI270" s="14">
        <v>46216</v>
      </c>
      <c r="AJ270" s="14">
        <v>46223</v>
      </c>
      <c r="AK270" s="14">
        <v>46230</v>
      </c>
      <c r="AL270" s="14">
        <v>46237</v>
      </c>
      <c r="AM270" s="14">
        <v>46244</v>
      </c>
      <c r="AN270" s="14">
        <v>46251</v>
      </c>
      <c r="AO270" s="14">
        <v>46258</v>
      </c>
      <c r="AP270" s="14">
        <v>46265</v>
      </c>
      <c r="AQ270" s="14">
        <v>46272</v>
      </c>
      <c r="AR270" s="14">
        <v>46279</v>
      </c>
      <c r="AS270" s="14">
        <v>46286</v>
      </c>
      <c r="AT270" s="14">
        <v>46293</v>
      </c>
      <c r="AU270" s="14">
        <v>46300</v>
      </c>
      <c r="AV270" s="14">
        <v>46307</v>
      </c>
      <c r="AW270" s="14">
        <v>46314</v>
      </c>
      <c r="AX270" s="14">
        <v>46321</v>
      </c>
      <c r="AY270" s="14">
        <v>46328</v>
      </c>
      <c r="AZ270" s="14">
        <v>46335</v>
      </c>
      <c r="BA270" s="14">
        <v>46342</v>
      </c>
      <c r="BB270" s="14">
        <v>46349</v>
      </c>
      <c r="BC270" s="14">
        <v>46356</v>
      </c>
      <c r="BD270" s="14">
        <v>46363</v>
      </c>
      <c r="BE270" s="14">
        <v>46370</v>
      </c>
      <c r="BF270" s="14">
        <v>46377</v>
      </c>
      <c r="BG270" s="14">
        <v>46384</v>
      </c>
      <c r="BH270" s="14">
        <v>46391</v>
      </c>
      <c r="BI270" s="15">
        <v>46398</v>
      </c>
      <c r="DL270">
        <f t="shared" si="1447"/>
        <v>0</v>
      </c>
      <c r="DM270">
        <f t="shared" si="1448"/>
        <v>0</v>
      </c>
      <c r="DN270">
        <f t="shared" si="1449"/>
        <v>0</v>
      </c>
      <c r="DO270">
        <f t="shared" si="1450"/>
        <v>0</v>
      </c>
      <c r="DP270">
        <f t="shared" si="1451"/>
        <v>0</v>
      </c>
      <c r="DQ270">
        <f t="shared" si="1452"/>
        <v>0</v>
      </c>
      <c r="DR270">
        <f t="shared" si="1453"/>
        <v>0</v>
      </c>
      <c r="DS270">
        <f t="shared" si="1454"/>
        <v>0</v>
      </c>
      <c r="DT270">
        <f t="shared" si="1455"/>
        <v>0</v>
      </c>
      <c r="DU270">
        <f t="shared" si="1456"/>
        <v>0</v>
      </c>
      <c r="DV270">
        <f t="shared" si="1457"/>
        <v>0</v>
      </c>
      <c r="DW270">
        <f t="shared" si="1458"/>
        <v>0</v>
      </c>
    </row>
    <row r="271" spans="1:127" x14ac:dyDescent="0.25">
      <c r="A271" s="22">
        <f t="shared" si="1446"/>
        <v>265</v>
      </c>
      <c r="B271" s="59" t="str">
        <f t="shared" si="1240"/>
        <v>F0014826301</v>
      </c>
      <c r="C271" s="214" t="str">
        <f t="shared" si="1241"/>
        <v>82115-0EZ70</v>
      </c>
      <c r="D271" s="58" t="e">
        <f>VLOOKUP(B271,'Timing Table'!B:G,6,0)</f>
        <v>#N/A</v>
      </c>
      <c r="E271" s="22" t="e">
        <f>VLOOKUP(B271,'Timing Table'!B:D,3,0)</f>
        <v>#N/A</v>
      </c>
      <c r="F271" s="155" t="s">
        <v>74</v>
      </c>
      <c r="G271" s="181">
        <v>4</v>
      </c>
      <c r="H271" s="5" t="s">
        <v>60</v>
      </c>
      <c r="I271" s="11" t="s">
        <v>147</v>
      </c>
      <c r="J271" s="16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17"/>
      <c r="DL271">
        <f t="shared" si="1447"/>
        <v>0</v>
      </c>
      <c r="DM271">
        <f t="shared" si="1448"/>
        <v>0</v>
      </c>
      <c r="DN271">
        <f t="shared" si="1449"/>
        <v>0</v>
      </c>
      <c r="DO271">
        <f t="shared" si="1450"/>
        <v>0</v>
      </c>
      <c r="DP271">
        <f t="shared" si="1451"/>
        <v>0</v>
      </c>
      <c r="DQ271">
        <f t="shared" si="1452"/>
        <v>0</v>
      </c>
      <c r="DR271">
        <f t="shared" si="1453"/>
        <v>0</v>
      </c>
      <c r="DS271">
        <f t="shared" si="1454"/>
        <v>0</v>
      </c>
      <c r="DT271">
        <f t="shared" si="1455"/>
        <v>0</v>
      </c>
      <c r="DU271">
        <f t="shared" si="1456"/>
        <v>0</v>
      </c>
      <c r="DV271">
        <f t="shared" si="1457"/>
        <v>0</v>
      </c>
      <c r="DW271">
        <f t="shared" si="1458"/>
        <v>0</v>
      </c>
    </row>
    <row r="272" spans="1:127" x14ac:dyDescent="0.25">
      <c r="A272" s="22">
        <f t="shared" si="1446"/>
        <v>266</v>
      </c>
      <c r="B272" s="59" t="str">
        <f t="shared" si="1240"/>
        <v>F0014826301</v>
      </c>
      <c r="C272" s="214" t="str">
        <f t="shared" si="1241"/>
        <v>82115-0EZ70</v>
      </c>
      <c r="D272" s="58" t="e">
        <f>VLOOKUP(B272,'Timing Table'!B:G,6,0)</f>
        <v>#N/A</v>
      </c>
      <c r="E272" s="22" t="e">
        <f>VLOOKUP(B272,'Timing Table'!B:D,3,0)</f>
        <v>#N/A</v>
      </c>
      <c r="F272" s="155" t="s">
        <v>75</v>
      </c>
      <c r="G272" s="198" t="s">
        <v>257</v>
      </c>
      <c r="H272" s="9" t="s">
        <v>251</v>
      </c>
      <c r="I272" s="11" t="s">
        <v>76</v>
      </c>
      <c r="J272" s="143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>
        <v>0</v>
      </c>
      <c r="AA272" s="64">
        <v>0</v>
      </c>
      <c r="AB272" s="64">
        <v>0</v>
      </c>
      <c r="AC272" s="64">
        <v>0</v>
      </c>
      <c r="AD272" s="64">
        <v>0</v>
      </c>
      <c r="AE272" s="64">
        <v>0</v>
      </c>
      <c r="AF272" s="64">
        <v>0</v>
      </c>
      <c r="AG272" s="64">
        <v>0</v>
      </c>
      <c r="AH272" s="64">
        <v>0</v>
      </c>
      <c r="AI272" s="64">
        <v>0</v>
      </c>
      <c r="AJ272" s="64">
        <v>0</v>
      </c>
      <c r="AK272" s="64">
        <v>0</v>
      </c>
      <c r="AL272" s="64">
        <v>0</v>
      </c>
      <c r="AM272" s="64">
        <v>0</v>
      </c>
      <c r="AN272" s="64">
        <v>0</v>
      </c>
      <c r="AO272" s="64">
        <v>0</v>
      </c>
      <c r="AP272" s="64">
        <v>0</v>
      </c>
      <c r="AQ272" s="64">
        <v>0</v>
      </c>
      <c r="AR272" s="64">
        <v>0</v>
      </c>
      <c r="AS272" s="64">
        <v>0</v>
      </c>
      <c r="AT272" s="64">
        <v>0</v>
      </c>
      <c r="AU272" s="64">
        <v>0</v>
      </c>
      <c r="AV272" s="64">
        <v>0</v>
      </c>
      <c r="AW272" s="64">
        <v>0</v>
      </c>
      <c r="AX272" s="64">
        <v>0</v>
      </c>
      <c r="AY272" s="64">
        <v>0</v>
      </c>
      <c r="AZ272" s="64">
        <v>0</v>
      </c>
      <c r="BA272" s="64">
        <v>0</v>
      </c>
      <c r="BB272" s="64">
        <v>0</v>
      </c>
      <c r="BC272" s="64">
        <v>0</v>
      </c>
      <c r="BD272" s="64">
        <v>0</v>
      </c>
      <c r="BE272" s="64">
        <v>0</v>
      </c>
      <c r="BF272" s="64">
        <v>0</v>
      </c>
      <c r="BG272" s="64">
        <v>0</v>
      </c>
      <c r="BH272" s="64">
        <v>0</v>
      </c>
      <c r="BI272" s="144">
        <v>0</v>
      </c>
      <c r="BJ272" s="24" t="str">
        <f>+G269</f>
        <v>82115-0EZ70</v>
      </c>
      <c r="BK272" s="24">
        <f>+J272</f>
        <v>0</v>
      </c>
      <c r="BL272" s="24">
        <f t="shared" ref="BL272" si="1459">+K272</f>
        <v>0</v>
      </c>
      <c r="BM272" s="24">
        <f t="shared" ref="BM272" si="1460">+L272</f>
        <v>0</v>
      </c>
      <c r="BN272" s="24">
        <f t="shared" ref="BN272" si="1461">+M272</f>
        <v>0</v>
      </c>
      <c r="BO272" s="24">
        <f t="shared" ref="BO272" si="1462">+N272</f>
        <v>0</v>
      </c>
      <c r="BP272" s="24">
        <f t="shared" ref="BP272" si="1463">+O272</f>
        <v>0</v>
      </c>
      <c r="BQ272" s="24">
        <f t="shared" ref="BQ272" si="1464">+P272</f>
        <v>0</v>
      </c>
      <c r="BR272" s="24">
        <f t="shared" ref="BR272" si="1465">+Q272</f>
        <v>0</v>
      </c>
      <c r="BS272" s="24">
        <f t="shared" ref="BS272" si="1466">+R272</f>
        <v>0</v>
      </c>
      <c r="BT272" s="24">
        <f t="shared" ref="BT272" si="1467">+S272</f>
        <v>0</v>
      </c>
      <c r="BU272" s="24">
        <f t="shared" ref="BU272" si="1468">+T272</f>
        <v>0</v>
      </c>
      <c r="BV272" s="24">
        <f t="shared" ref="BV272" si="1469">+U272</f>
        <v>0</v>
      </c>
      <c r="BW272" s="24">
        <f t="shared" ref="BW272" si="1470">+V272</f>
        <v>0</v>
      </c>
      <c r="BX272" s="24">
        <f t="shared" ref="BX272" si="1471">+W272</f>
        <v>0</v>
      </c>
      <c r="BY272" s="24">
        <f t="shared" ref="BY272" si="1472">+X272</f>
        <v>0</v>
      </c>
      <c r="BZ272" s="24">
        <f t="shared" ref="BZ272" si="1473">+Y272</f>
        <v>0</v>
      </c>
      <c r="CA272" s="24">
        <f t="shared" ref="CA272" si="1474">+Z272</f>
        <v>0</v>
      </c>
      <c r="CB272" s="24">
        <f t="shared" ref="CB272" si="1475">+AA272</f>
        <v>0</v>
      </c>
      <c r="CC272" s="24">
        <f t="shared" ref="CC272" si="1476">+AB272</f>
        <v>0</v>
      </c>
      <c r="CD272" s="24">
        <f t="shared" ref="CD272" si="1477">+AC272</f>
        <v>0</v>
      </c>
      <c r="CE272" s="24">
        <f t="shared" ref="CE272" si="1478">+AD272</f>
        <v>0</v>
      </c>
      <c r="CF272" s="24">
        <f t="shared" ref="CF272" si="1479">+AE272</f>
        <v>0</v>
      </c>
      <c r="CG272" s="24">
        <f t="shared" ref="CG272" si="1480">+AF272</f>
        <v>0</v>
      </c>
      <c r="CH272" s="24">
        <f t="shared" ref="CH272" si="1481">+AG272</f>
        <v>0</v>
      </c>
      <c r="CI272" s="24">
        <f t="shared" ref="CI272" si="1482">+AH272</f>
        <v>0</v>
      </c>
      <c r="CJ272" s="24">
        <f t="shared" ref="CJ272" si="1483">+AI272</f>
        <v>0</v>
      </c>
      <c r="CK272" s="24">
        <f t="shared" ref="CK272" si="1484">+AJ272</f>
        <v>0</v>
      </c>
      <c r="CL272" s="24">
        <f t="shared" ref="CL272" si="1485">+AK272</f>
        <v>0</v>
      </c>
      <c r="CM272" s="24">
        <f t="shared" ref="CM272" si="1486">+AL272</f>
        <v>0</v>
      </c>
      <c r="CN272" s="24">
        <f t="shared" ref="CN272" si="1487">+AM272</f>
        <v>0</v>
      </c>
      <c r="CO272" s="24">
        <f t="shared" ref="CO272" si="1488">+AN272</f>
        <v>0</v>
      </c>
      <c r="CP272" s="166">
        <f t="shared" ref="CP272" si="1489">+AO272</f>
        <v>0</v>
      </c>
      <c r="CQ272" s="166">
        <f t="shared" ref="CQ272" si="1490">+AP272</f>
        <v>0</v>
      </c>
      <c r="CR272">
        <f t="shared" ref="CR272" si="1491">+AQ272</f>
        <v>0</v>
      </c>
      <c r="CS272">
        <f t="shared" ref="CS272" si="1492">+AR272</f>
        <v>0</v>
      </c>
      <c r="CT272">
        <f t="shared" ref="CT272" si="1493">+AS272</f>
        <v>0</v>
      </c>
      <c r="CU272">
        <f t="shared" ref="CU272" si="1494">+AT272</f>
        <v>0</v>
      </c>
      <c r="CV272">
        <f t="shared" ref="CV272" si="1495">+AU272</f>
        <v>0</v>
      </c>
      <c r="CW272">
        <f t="shared" ref="CW272" si="1496">+AV272</f>
        <v>0</v>
      </c>
      <c r="CX272">
        <f t="shared" ref="CX272" si="1497">+AW272</f>
        <v>0</v>
      </c>
      <c r="CY272">
        <f t="shared" ref="CY272" si="1498">+AX272</f>
        <v>0</v>
      </c>
      <c r="CZ272">
        <f t="shared" ref="CZ272" si="1499">+AY272</f>
        <v>0</v>
      </c>
      <c r="DA272">
        <f t="shared" ref="DA272" si="1500">+AZ272</f>
        <v>0</v>
      </c>
      <c r="DB272">
        <f t="shared" ref="DB272" si="1501">+BA272</f>
        <v>0</v>
      </c>
      <c r="DC272">
        <f t="shared" ref="DC272" si="1502">+BB272</f>
        <v>0</v>
      </c>
      <c r="DD272">
        <f t="shared" ref="DD272" si="1503">+BC272</f>
        <v>0</v>
      </c>
      <c r="DE272">
        <f t="shared" ref="DE272" si="1504">+BD272</f>
        <v>0</v>
      </c>
      <c r="DF272">
        <f t="shared" ref="DF272" si="1505">+BE272</f>
        <v>0</v>
      </c>
      <c r="DG272">
        <f t="shared" ref="DG272" si="1506">+BF272</f>
        <v>0</v>
      </c>
      <c r="DH272">
        <f t="shared" ref="DH272" si="1507">+BG272</f>
        <v>0</v>
      </c>
      <c r="DI272">
        <f t="shared" ref="DI272" si="1508">+BH272</f>
        <v>0</v>
      </c>
      <c r="DJ272">
        <f t="shared" ref="DJ272" si="1509">+BI272</f>
        <v>0</v>
      </c>
      <c r="DL272" s="24">
        <f t="shared" si="1447"/>
        <v>0</v>
      </c>
      <c r="DM272" s="24">
        <f t="shared" si="1448"/>
        <v>0</v>
      </c>
      <c r="DN272" s="24">
        <f t="shared" si="1449"/>
        <v>0</v>
      </c>
      <c r="DO272" s="24">
        <f t="shared" si="1450"/>
        <v>0</v>
      </c>
      <c r="DP272" s="24">
        <f t="shared" si="1451"/>
        <v>0</v>
      </c>
      <c r="DQ272" s="24">
        <f t="shared" si="1452"/>
        <v>0</v>
      </c>
      <c r="DR272" s="24">
        <f t="shared" si="1453"/>
        <v>0</v>
      </c>
      <c r="DS272" s="24">
        <f t="shared" si="1454"/>
        <v>0</v>
      </c>
      <c r="DT272" s="24">
        <f t="shared" si="1455"/>
        <v>0</v>
      </c>
      <c r="DU272">
        <f t="shared" si="1456"/>
        <v>0</v>
      </c>
      <c r="DV272">
        <f t="shared" si="1457"/>
        <v>0</v>
      </c>
      <c r="DW272">
        <f t="shared" si="1458"/>
        <v>0</v>
      </c>
    </row>
    <row r="273" spans="1:127" x14ac:dyDescent="0.25">
      <c r="A273" s="22">
        <f t="shared" si="1446"/>
        <v>267</v>
      </c>
      <c r="B273" s="59" t="str">
        <f t="shared" si="1240"/>
        <v>F0014826301</v>
      </c>
      <c r="C273" s="214" t="str">
        <f t="shared" si="1241"/>
        <v>82115-0EZ70</v>
      </c>
      <c r="D273" s="58" t="e">
        <f>VLOOKUP(B273,'Timing Table'!B:G,6,0)</f>
        <v>#N/A</v>
      </c>
      <c r="E273" s="22" t="e">
        <f>VLOOKUP(B273,'Timing Table'!B:D,3,0)</f>
        <v>#N/A</v>
      </c>
      <c r="F273" s="155" t="s">
        <v>77</v>
      </c>
      <c r="G273" s="181">
        <v>82115</v>
      </c>
      <c r="H273" s="10" t="s">
        <v>251</v>
      </c>
      <c r="I273" s="12" t="s">
        <v>78</v>
      </c>
      <c r="J273" s="152">
        <v>4</v>
      </c>
      <c r="K273" s="153">
        <v>4</v>
      </c>
      <c r="L273" s="153">
        <v>4</v>
      </c>
      <c r="M273" s="153">
        <v>4</v>
      </c>
      <c r="N273" s="153">
        <v>4</v>
      </c>
      <c r="O273" s="153">
        <v>4</v>
      </c>
      <c r="P273" s="153">
        <v>4</v>
      </c>
      <c r="Q273" s="153">
        <v>4</v>
      </c>
      <c r="R273" s="153">
        <v>4</v>
      </c>
      <c r="S273" s="153">
        <v>4</v>
      </c>
      <c r="T273" s="153">
        <v>4</v>
      </c>
      <c r="U273" s="153">
        <v>4</v>
      </c>
      <c r="V273" s="153">
        <v>4</v>
      </c>
      <c r="W273" s="153">
        <v>4</v>
      </c>
      <c r="X273" s="153">
        <v>4</v>
      </c>
      <c r="Y273" s="153">
        <v>4</v>
      </c>
      <c r="Z273" s="153">
        <v>4</v>
      </c>
      <c r="AA273" s="153">
        <v>4</v>
      </c>
      <c r="AB273" s="153">
        <v>4</v>
      </c>
      <c r="AC273" s="153">
        <v>4</v>
      </c>
      <c r="AD273" s="153">
        <v>4</v>
      </c>
      <c r="AE273" s="153">
        <v>4</v>
      </c>
      <c r="AF273" s="153">
        <v>4</v>
      </c>
      <c r="AG273" s="153">
        <v>4</v>
      </c>
      <c r="AH273" s="153">
        <v>4</v>
      </c>
      <c r="AI273" s="153">
        <v>4</v>
      </c>
      <c r="AJ273" s="153">
        <v>4</v>
      </c>
      <c r="AK273" s="153">
        <v>4</v>
      </c>
      <c r="AL273" s="153">
        <v>4</v>
      </c>
      <c r="AM273" s="153">
        <v>4</v>
      </c>
      <c r="AN273" s="153">
        <v>4</v>
      </c>
      <c r="AO273" s="153">
        <v>4</v>
      </c>
      <c r="AP273" s="153">
        <v>4</v>
      </c>
      <c r="AQ273" s="153">
        <v>4</v>
      </c>
      <c r="AR273" s="153">
        <v>4</v>
      </c>
      <c r="AS273" s="153">
        <v>4</v>
      </c>
      <c r="AT273" s="153">
        <v>4</v>
      </c>
      <c r="AU273" s="153">
        <v>4</v>
      </c>
      <c r="AV273" s="153">
        <v>4</v>
      </c>
      <c r="AW273" s="153">
        <v>4</v>
      </c>
      <c r="AX273" s="153">
        <v>4</v>
      </c>
      <c r="AY273" s="153">
        <v>4</v>
      </c>
      <c r="AZ273" s="153">
        <v>4</v>
      </c>
      <c r="BA273" s="153">
        <v>4</v>
      </c>
      <c r="BB273" s="153">
        <v>4</v>
      </c>
      <c r="BC273" s="153">
        <v>4</v>
      </c>
      <c r="BD273" s="153">
        <v>4</v>
      </c>
      <c r="BE273" s="153">
        <v>4</v>
      </c>
      <c r="BF273" s="153">
        <v>4</v>
      </c>
      <c r="BG273" s="153">
        <v>4</v>
      </c>
      <c r="BH273" s="153">
        <v>4</v>
      </c>
      <c r="BI273" s="153">
        <v>4</v>
      </c>
      <c r="DL273">
        <f t="shared" si="1447"/>
        <v>0</v>
      </c>
      <c r="DM273">
        <f t="shared" si="1448"/>
        <v>0</v>
      </c>
      <c r="DN273">
        <f t="shared" si="1449"/>
        <v>0</v>
      </c>
      <c r="DO273">
        <f t="shared" si="1450"/>
        <v>0</v>
      </c>
      <c r="DP273">
        <f t="shared" si="1451"/>
        <v>0</v>
      </c>
      <c r="DQ273">
        <f t="shared" si="1452"/>
        <v>0</v>
      </c>
      <c r="DR273">
        <f t="shared" si="1453"/>
        <v>0</v>
      </c>
      <c r="DS273">
        <f t="shared" si="1454"/>
        <v>0</v>
      </c>
      <c r="DT273">
        <f t="shared" si="1455"/>
        <v>0</v>
      </c>
      <c r="DU273">
        <f t="shared" si="1456"/>
        <v>0</v>
      </c>
      <c r="DV273">
        <f t="shared" si="1457"/>
        <v>0</v>
      </c>
      <c r="DW273">
        <f t="shared" si="1458"/>
        <v>0</v>
      </c>
    </row>
    <row r="274" spans="1:127" x14ac:dyDescent="0.25">
      <c r="A274" s="22">
        <f t="shared" si="1446"/>
        <v>268</v>
      </c>
      <c r="B274" s="59" t="str">
        <f t="shared" si="1240"/>
        <v>F0014826301</v>
      </c>
      <c r="C274" s="214" t="str">
        <f t="shared" si="1241"/>
        <v>82115-0EZ70</v>
      </c>
      <c r="D274" s="58" t="e">
        <f>VLOOKUP(B274,'Timing Table'!B:G,6,0)</f>
        <v>#N/A</v>
      </c>
      <c r="E274" s="22" t="e">
        <f>VLOOKUP(B274,'Timing Table'!B:D,3,0)</f>
        <v>#N/A</v>
      </c>
      <c r="F274" s="155" t="s">
        <v>79</v>
      </c>
      <c r="G274" s="199">
        <v>4</v>
      </c>
      <c r="H274" s="184" t="s">
        <v>80</v>
      </c>
      <c r="I274" s="185"/>
      <c r="J274" s="200" t="s">
        <v>310</v>
      </c>
      <c r="K274" s="156"/>
      <c r="L274" s="157" t="s">
        <v>0</v>
      </c>
      <c r="M274" s="157" t="s">
        <v>0</v>
      </c>
      <c r="N274" s="157" t="s">
        <v>0</v>
      </c>
      <c r="O274" s="157" t="s">
        <v>0</v>
      </c>
      <c r="P274" s="157" t="s">
        <v>0</v>
      </c>
      <c r="Q274" s="165" t="s">
        <v>0</v>
      </c>
      <c r="R274" s="157" t="s">
        <v>0</v>
      </c>
      <c r="S274" s="157" t="s">
        <v>0</v>
      </c>
      <c r="T274" s="157" t="s">
        <v>0</v>
      </c>
      <c r="U274" s="157" t="s">
        <v>0</v>
      </c>
      <c r="V274" s="157" t="s">
        <v>0</v>
      </c>
      <c r="W274" s="157" t="s">
        <v>0</v>
      </c>
      <c r="X274" s="157" t="s">
        <v>0</v>
      </c>
      <c r="Y274" s="157" t="s">
        <v>0</v>
      </c>
      <c r="Z274" s="157" t="s">
        <v>0</v>
      </c>
      <c r="AA274" s="157" t="s">
        <v>0</v>
      </c>
      <c r="AB274" s="157" t="s">
        <v>0</v>
      </c>
      <c r="AC274" s="157" t="s">
        <v>0</v>
      </c>
      <c r="AD274" s="157" t="s">
        <v>0</v>
      </c>
      <c r="AE274" s="157" t="s">
        <v>0</v>
      </c>
      <c r="AF274" s="157" t="s">
        <v>0</v>
      </c>
      <c r="AG274" s="157" t="s">
        <v>0</v>
      </c>
      <c r="AH274" s="157" t="s">
        <v>0</v>
      </c>
      <c r="AI274" s="157" t="s">
        <v>0</v>
      </c>
      <c r="AJ274" s="157" t="s">
        <v>0</v>
      </c>
      <c r="AK274" s="157" t="s">
        <v>0</v>
      </c>
      <c r="AL274" s="157" t="s">
        <v>0</v>
      </c>
      <c r="AM274" s="157" t="s">
        <v>0</v>
      </c>
      <c r="AN274" s="157" t="s">
        <v>0</v>
      </c>
      <c r="AO274" s="157" t="s">
        <v>0</v>
      </c>
      <c r="AP274" s="157" t="s">
        <v>0</v>
      </c>
      <c r="AQ274" s="157" t="s">
        <v>0</v>
      </c>
      <c r="AR274" s="157" t="s">
        <v>0</v>
      </c>
      <c r="AS274" s="157" t="s">
        <v>0</v>
      </c>
      <c r="AT274" s="157" t="s">
        <v>0</v>
      </c>
      <c r="AU274" s="157" t="s">
        <v>0</v>
      </c>
      <c r="AV274" s="157" t="s">
        <v>0</v>
      </c>
      <c r="AW274" s="157" t="s">
        <v>0</v>
      </c>
      <c r="AX274" s="157" t="s">
        <v>0</v>
      </c>
      <c r="AY274" s="157" t="s">
        <v>0</v>
      </c>
      <c r="AZ274" s="157" t="s">
        <v>0</v>
      </c>
      <c r="BA274" s="157" t="s">
        <v>0</v>
      </c>
      <c r="BB274" s="157" t="s">
        <v>0</v>
      </c>
      <c r="BC274" s="157" t="s">
        <v>0</v>
      </c>
      <c r="BD274" s="157" t="s">
        <v>0</v>
      </c>
      <c r="BE274" s="157" t="s">
        <v>0</v>
      </c>
      <c r="BF274" s="157" t="s">
        <v>0</v>
      </c>
      <c r="BG274" s="157" t="s">
        <v>0</v>
      </c>
      <c r="BH274" s="157" t="s">
        <v>0</v>
      </c>
      <c r="BI274" s="158"/>
      <c r="DL274">
        <f t="shared" si="1447"/>
        <v>0</v>
      </c>
      <c r="DM274">
        <f t="shared" si="1448"/>
        <v>0</v>
      </c>
      <c r="DN274">
        <f t="shared" si="1449"/>
        <v>0</v>
      </c>
      <c r="DO274">
        <f t="shared" si="1450"/>
        <v>0</v>
      </c>
      <c r="DP274">
        <f t="shared" si="1451"/>
        <v>0</v>
      </c>
      <c r="DQ274">
        <f t="shared" si="1452"/>
        <v>0</v>
      </c>
      <c r="DR274">
        <f t="shared" si="1453"/>
        <v>0</v>
      </c>
      <c r="DS274">
        <f t="shared" si="1454"/>
        <v>0</v>
      </c>
      <c r="DT274">
        <f t="shared" si="1455"/>
        <v>0</v>
      </c>
      <c r="DU274">
        <f t="shared" si="1456"/>
        <v>0</v>
      </c>
      <c r="DV274">
        <f t="shared" si="1457"/>
        <v>0</v>
      </c>
      <c r="DW274">
        <f t="shared" si="1458"/>
        <v>0</v>
      </c>
    </row>
    <row r="275" spans="1:127" x14ac:dyDescent="0.25">
      <c r="A275" s="22">
        <f t="shared" si="1446"/>
        <v>269</v>
      </c>
      <c r="B275" s="59" t="str">
        <f t="shared" si="1240"/>
        <v>F0014826301</v>
      </c>
      <c r="C275" s="214" t="str">
        <f t="shared" si="1241"/>
        <v>82115-0EZ70</v>
      </c>
      <c r="D275" s="58" t="e">
        <f>VLOOKUP(B275,'Timing Table'!B:G,6,0)</f>
        <v>#N/A</v>
      </c>
      <c r="E275" s="22" t="e">
        <f>VLOOKUP(B275,'Timing Table'!B:D,3,0)</f>
        <v>#N/A</v>
      </c>
      <c r="F275" s="159" t="s">
        <v>81</v>
      </c>
      <c r="G275" s="160" t="s">
        <v>60</v>
      </c>
      <c r="H275" s="201" t="s">
        <v>60</v>
      </c>
      <c r="I275" s="183" t="s">
        <v>60</v>
      </c>
      <c r="J275" s="183" t="s">
        <v>0</v>
      </c>
      <c r="K275" s="183" t="s">
        <v>0</v>
      </c>
      <c r="L275" s="183" t="s">
        <v>0</v>
      </c>
      <c r="M275" s="183" t="s">
        <v>0</v>
      </c>
      <c r="N275" s="183" t="s">
        <v>0</v>
      </c>
      <c r="O275" s="183" t="s">
        <v>0</v>
      </c>
      <c r="P275" s="183" t="s">
        <v>0</v>
      </c>
      <c r="Q275" s="202" t="s">
        <v>0</v>
      </c>
      <c r="R275" s="183" t="s">
        <v>0</v>
      </c>
      <c r="S275" s="183" t="s">
        <v>0</v>
      </c>
      <c r="T275" s="183" t="s">
        <v>0</v>
      </c>
      <c r="U275" s="183" t="s">
        <v>0</v>
      </c>
      <c r="V275" s="183" t="s">
        <v>0</v>
      </c>
      <c r="W275" s="183" t="s">
        <v>0</v>
      </c>
      <c r="X275" s="183" t="s">
        <v>0</v>
      </c>
      <c r="Y275" s="183" t="s">
        <v>0</v>
      </c>
      <c r="Z275" s="183" t="s">
        <v>0</v>
      </c>
      <c r="AA275" s="183" t="s">
        <v>0</v>
      </c>
      <c r="AB275" s="183" t="s">
        <v>0</v>
      </c>
      <c r="AC275" s="183" t="s">
        <v>0</v>
      </c>
      <c r="AD275" s="183" t="s">
        <v>0</v>
      </c>
      <c r="AE275" s="183" t="s">
        <v>0</v>
      </c>
      <c r="AF275" s="183" t="s">
        <v>0</v>
      </c>
      <c r="AG275" s="183" t="s">
        <v>0</v>
      </c>
      <c r="AH275" s="183" t="s">
        <v>0</v>
      </c>
      <c r="AI275" s="183" t="s">
        <v>0</v>
      </c>
      <c r="AJ275" s="183" t="s">
        <v>0</v>
      </c>
      <c r="AK275" s="183" t="s">
        <v>0</v>
      </c>
      <c r="AL275" s="183" t="s">
        <v>0</v>
      </c>
      <c r="AM275" s="183" t="s">
        <v>0</v>
      </c>
      <c r="AN275" s="183" t="s">
        <v>0</v>
      </c>
      <c r="AO275" s="183" t="s">
        <v>0</v>
      </c>
      <c r="AP275" s="183" t="s">
        <v>0</v>
      </c>
      <c r="AQ275" s="183" t="s">
        <v>0</v>
      </c>
      <c r="AR275" s="183" t="s">
        <v>0</v>
      </c>
      <c r="AS275" s="183" t="s">
        <v>0</v>
      </c>
      <c r="AT275" s="183" t="s">
        <v>0</v>
      </c>
      <c r="AU275" s="183" t="s">
        <v>0</v>
      </c>
      <c r="AV275" s="183" t="s">
        <v>0</v>
      </c>
      <c r="AW275" s="183" t="s">
        <v>0</v>
      </c>
      <c r="AX275" s="183" t="s">
        <v>0</v>
      </c>
      <c r="AY275" s="183" t="s">
        <v>0</v>
      </c>
      <c r="AZ275" s="183" t="s">
        <v>0</v>
      </c>
      <c r="BA275" s="183" t="s">
        <v>0</v>
      </c>
      <c r="BB275" s="183" t="s">
        <v>0</v>
      </c>
      <c r="BC275" s="183" t="s">
        <v>0</v>
      </c>
      <c r="BD275" s="183" t="s">
        <v>0</v>
      </c>
      <c r="BE275" s="183" t="s">
        <v>0</v>
      </c>
      <c r="BF275" s="183" t="s">
        <v>0</v>
      </c>
      <c r="BG275" s="183" t="s">
        <v>0</v>
      </c>
      <c r="BH275" s="183" t="s">
        <v>0</v>
      </c>
      <c r="BI275" s="161"/>
      <c r="DL275">
        <f t="shared" si="1447"/>
        <v>0</v>
      </c>
      <c r="DM275">
        <f t="shared" si="1448"/>
        <v>0</v>
      </c>
      <c r="DN275">
        <f t="shared" si="1449"/>
        <v>0</v>
      </c>
      <c r="DO275">
        <f t="shared" si="1450"/>
        <v>0</v>
      </c>
      <c r="DP275">
        <f t="shared" si="1451"/>
        <v>0</v>
      </c>
      <c r="DQ275">
        <f t="shared" si="1452"/>
        <v>0</v>
      </c>
      <c r="DR275">
        <f t="shared" si="1453"/>
        <v>0</v>
      </c>
      <c r="DS275">
        <f t="shared" si="1454"/>
        <v>0</v>
      </c>
      <c r="DT275">
        <f t="shared" si="1455"/>
        <v>0</v>
      </c>
      <c r="DU275">
        <f t="shared" si="1456"/>
        <v>0</v>
      </c>
      <c r="DV275">
        <f t="shared" si="1457"/>
        <v>0</v>
      </c>
      <c r="DW275">
        <f t="shared" si="1458"/>
        <v>0</v>
      </c>
    </row>
    <row r="276" spans="1:127" x14ac:dyDescent="0.25">
      <c r="A276" s="22">
        <f t="shared" si="1446"/>
        <v>270</v>
      </c>
      <c r="B276" s="59" t="str">
        <f t="shared" si="1240"/>
        <v>F0014826301</v>
      </c>
      <c r="C276" s="214" t="str">
        <f t="shared" si="1241"/>
        <v>82115-0EZ70</v>
      </c>
      <c r="D276" s="58" t="e">
        <f>VLOOKUP(B276,'Timing Table'!B:G,6,0)</f>
        <v>#N/A</v>
      </c>
      <c r="E276" s="22" t="e">
        <f>VLOOKUP(B276,'Timing Table'!B:D,3,0)</f>
        <v>#N/A</v>
      </c>
      <c r="F276" s="188" t="s">
        <v>60</v>
      </c>
      <c r="G276" s="162" t="s">
        <v>60</v>
      </c>
      <c r="H276" s="163" t="s">
        <v>60</v>
      </c>
      <c r="I276" s="164" t="s">
        <v>60</v>
      </c>
      <c r="J276" s="164" t="s">
        <v>0</v>
      </c>
      <c r="K276" s="164" t="s">
        <v>0</v>
      </c>
      <c r="L276" s="164" t="s">
        <v>0</v>
      </c>
      <c r="M276" s="164" t="s">
        <v>0</v>
      </c>
      <c r="N276" s="164" t="s">
        <v>0</v>
      </c>
      <c r="O276" s="164" t="s">
        <v>0</v>
      </c>
      <c r="P276" s="164" t="s">
        <v>0</v>
      </c>
      <c r="Q276" s="164" t="s">
        <v>0</v>
      </c>
      <c r="R276" s="164" t="s">
        <v>0</v>
      </c>
      <c r="S276" s="164" t="s">
        <v>0</v>
      </c>
      <c r="T276" s="164" t="s">
        <v>0</v>
      </c>
      <c r="U276" s="164" t="s">
        <v>0</v>
      </c>
      <c r="V276" s="164" t="s">
        <v>0</v>
      </c>
      <c r="W276" s="164" t="s">
        <v>0</v>
      </c>
      <c r="X276" s="164" t="s">
        <v>0</v>
      </c>
      <c r="Y276" s="164" t="s">
        <v>0</v>
      </c>
      <c r="Z276" s="164" t="s">
        <v>0</v>
      </c>
      <c r="AA276" s="164" t="s">
        <v>0</v>
      </c>
      <c r="AB276" s="164" t="s">
        <v>0</v>
      </c>
      <c r="AC276" s="164" t="s">
        <v>0</v>
      </c>
      <c r="AD276" s="164" t="s">
        <v>0</v>
      </c>
      <c r="AE276" s="164" t="s">
        <v>0</v>
      </c>
      <c r="AF276" s="164" t="s">
        <v>0</v>
      </c>
      <c r="AG276" s="164" t="s">
        <v>0</v>
      </c>
      <c r="AH276" s="164" t="s">
        <v>0</v>
      </c>
      <c r="AI276" s="164" t="s">
        <v>0</v>
      </c>
      <c r="AJ276" s="164" t="s">
        <v>0</v>
      </c>
      <c r="AK276" s="164" t="s">
        <v>0</v>
      </c>
      <c r="AL276" s="164" t="s">
        <v>0</v>
      </c>
      <c r="AM276" s="164" t="s">
        <v>0</v>
      </c>
      <c r="AN276" s="164" t="s">
        <v>0</v>
      </c>
      <c r="AO276" s="164" t="s">
        <v>0</v>
      </c>
      <c r="AP276" s="164" t="s">
        <v>0</v>
      </c>
      <c r="AQ276" s="164" t="s">
        <v>0</v>
      </c>
      <c r="AR276" s="164" t="s">
        <v>0</v>
      </c>
      <c r="AS276" s="164" t="s">
        <v>0</v>
      </c>
      <c r="AT276" s="164" t="s">
        <v>0</v>
      </c>
      <c r="AU276" s="164" t="s">
        <v>0</v>
      </c>
      <c r="AV276" s="164" t="s">
        <v>0</v>
      </c>
      <c r="AW276" s="164" t="s">
        <v>0</v>
      </c>
      <c r="AX276" s="164" t="s">
        <v>0</v>
      </c>
      <c r="AY276" s="164" t="s">
        <v>0</v>
      </c>
      <c r="AZ276" s="164" t="s">
        <v>0</v>
      </c>
      <c r="BA276" s="164" t="s">
        <v>0</v>
      </c>
      <c r="BB276" s="164" t="s">
        <v>0</v>
      </c>
      <c r="BC276" s="164" t="s">
        <v>0</v>
      </c>
      <c r="BD276" s="164" t="s">
        <v>0</v>
      </c>
      <c r="BE276" s="164" t="s">
        <v>0</v>
      </c>
      <c r="BF276" s="164" t="s">
        <v>0</v>
      </c>
      <c r="BG276" s="164" t="s">
        <v>0</v>
      </c>
      <c r="BH276" s="164" t="s">
        <v>0</v>
      </c>
      <c r="BI276" s="189"/>
      <c r="DL276">
        <f t="shared" si="1447"/>
        <v>0</v>
      </c>
      <c r="DM276">
        <f t="shared" si="1448"/>
        <v>0</v>
      </c>
      <c r="DN276">
        <f t="shared" si="1449"/>
        <v>0</v>
      </c>
      <c r="DO276">
        <f t="shared" si="1450"/>
        <v>0</v>
      </c>
      <c r="DP276">
        <f t="shared" si="1451"/>
        <v>0</v>
      </c>
      <c r="DQ276">
        <f t="shared" si="1452"/>
        <v>0</v>
      </c>
      <c r="DR276">
        <f t="shared" si="1453"/>
        <v>0</v>
      </c>
      <c r="DS276">
        <f t="shared" si="1454"/>
        <v>0</v>
      </c>
      <c r="DT276">
        <f t="shared" si="1455"/>
        <v>0</v>
      </c>
      <c r="DU276">
        <f t="shared" si="1456"/>
        <v>0</v>
      </c>
      <c r="DV276">
        <f t="shared" si="1457"/>
        <v>0</v>
      </c>
      <c r="DW276">
        <f t="shared" si="1458"/>
        <v>0</v>
      </c>
    </row>
    <row r="277" spans="1:127" x14ac:dyDescent="0.25">
      <c r="A277" s="22">
        <f t="shared" si="1446"/>
        <v>271</v>
      </c>
      <c r="B277" s="59" t="str">
        <f t="shared" si="1240"/>
        <v>F0014826303</v>
      </c>
      <c r="C277" s="214" t="str">
        <f t="shared" si="1241"/>
        <v>82115-0EZ70 B</v>
      </c>
      <c r="D277" s="58" t="e">
        <f>VLOOKUP(B277,'Timing Table'!B:G,6,0)</f>
        <v>#N/A</v>
      </c>
      <c r="E277" s="22" t="e">
        <f>VLOOKUP(B277,'Timing Table'!B:D,3,0)</f>
        <v>#N/A</v>
      </c>
      <c r="F277" s="155" t="s">
        <v>61</v>
      </c>
      <c r="G277" s="181">
        <v>5501017978</v>
      </c>
      <c r="H277" s="155" t="s">
        <v>62</v>
      </c>
      <c r="I277" s="181">
        <v>91</v>
      </c>
      <c r="J277" s="155" t="s">
        <v>63</v>
      </c>
      <c r="K277" s="160">
        <v>1177765</v>
      </c>
      <c r="L277" s="161"/>
      <c r="M277" s="190" t="s">
        <v>64</v>
      </c>
      <c r="N277" s="191"/>
      <c r="O277" s="192">
        <v>46086</v>
      </c>
      <c r="P277" s="155" t="s">
        <v>65</v>
      </c>
      <c r="Q277" s="181">
        <v>4</v>
      </c>
      <c r="R277" s="6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0</v>
      </c>
      <c r="AH277" s="7" t="s">
        <v>0</v>
      </c>
      <c r="AI277" s="7" t="s">
        <v>0</v>
      </c>
      <c r="AJ277" s="7" t="s">
        <v>0</v>
      </c>
      <c r="AK277" s="7" t="s">
        <v>0</v>
      </c>
      <c r="AL277" s="7" t="s">
        <v>0</v>
      </c>
      <c r="AM277" s="7" t="s">
        <v>0</v>
      </c>
      <c r="AN277" s="7" t="s">
        <v>0</v>
      </c>
      <c r="AO277" s="7" t="s">
        <v>0</v>
      </c>
      <c r="AP277" s="7" t="s">
        <v>0</v>
      </c>
      <c r="AQ277" s="7" t="s">
        <v>0</v>
      </c>
      <c r="AR277" s="7" t="s">
        <v>0</v>
      </c>
      <c r="AS277" s="7" t="s">
        <v>0</v>
      </c>
      <c r="AT277" s="7" t="s">
        <v>0</v>
      </c>
      <c r="AU277" s="7" t="s">
        <v>0</v>
      </c>
      <c r="AV277" s="7" t="s">
        <v>0</v>
      </c>
      <c r="AW277" s="7" t="s">
        <v>0</v>
      </c>
      <c r="AX277" s="7" t="s">
        <v>0</v>
      </c>
      <c r="AY277" s="7" t="s">
        <v>0</v>
      </c>
      <c r="AZ277" s="7" t="s">
        <v>0</v>
      </c>
      <c r="BA277" s="7" t="s">
        <v>0</v>
      </c>
      <c r="BB277" s="7" t="s">
        <v>0</v>
      </c>
      <c r="BC277" s="7" t="s">
        <v>0</v>
      </c>
      <c r="BD277" s="7" t="s">
        <v>0</v>
      </c>
      <c r="BE277" s="7" t="s">
        <v>0</v>
      </c>
      <c r="BF277" s="7" t="s">
        <v>0</v>
      </c>
      <c r="BG277" s="7" t="s">
        <v>0</v>
      </c>
      <c r="BH277" s="7" t="s">
        <v>0</v>
      </c>
      <c r="BI277" s="8"/>
      <c r="DL277">
        <f t="shared" si="1447"/>
        <v>0</v>
      </c>
      <c r="DM277">
        <f t="shared" si="1448"/>
        <v>0</v>
      </c>
      <c r="DN277">
        <f t="shared" si="1449"/>
        <v>0</v>
      </c>
      <c r="DO277">
        <f t="shared" si="1450"/>
        <v>0</v>
      </c>
      <c r="DP277">
        <f t="shared" si="1451"/>
        <v>0</v>
      </c>
      <c r="DQ277">
        <f t="shared" si="1452"/>
        <v>0</v>
      </c>
      <c r="DR277">
        <f t="shared" si="1453"/>
        <v>0</v>
      </c>
      <c r="DS277">
        <f t="shared" si="1454"/>
        <v>0</v>
      </c>
      <c r="DT277">
        <f t="shared" si="1455"/>
        <v>0</v>
      </c>
      <c r="DU277">
        <f t="shared" si="1456"/>
        <v>0</v>
      </c>
      <c r="DV277">
        <f t="shared" si="1457"/>
        <v>0</v>
      </c>
      <c r="DW277">
        <f t="shared" si="1458"/>
        <v>0</v>
      </c>
    </row>
    <row r="278" spans="1:127" x14ac:dyDescent="0.25">
      <c r="A278" s="22">
        <f t="shared" si="1446"/>
        <v>272</v>
      </c>
      <c r="B278" s="59" t="str">
        <f t="shared" si="1240"/>
        <v>F0014826303</v>
      </c>
      <c r="C278" s="214" t="str">
        <f t="shared" si="1241"/>
        <v>82115-0EZ70 B</v>
      </c>
      <c r="D278" s="58" t="e">
        <f>VLOOKUP(B278,'Timing Table'!B:G,6,0)</f>
        <v>#N/A</v>
      </c>
      <c r="E278" s="22" t="e">
        <f>VLOOKUP(B278,'Timing Table'!B:D,3,0)</f>
        <v>#N/A</v>
      </c>
      <c r="F278" s="155" t="s">
        <v>66</v>
      </c>
      <c r="G278" s="181" t="s">
        <v>356</v>
      </c>
      <c r="H278" s="155" t="s">
        <v>67</v>
      </c>
      <c r="I278" s="182" t="s">
        <v>357</v>
      </c>
      <c r="J278" s="183"/>
      <c r="K278" s="183"/>
      <c r="L278" s="161"/>
      <c r="M278" s="155" t="s">
        <v>68</v>
      </c>
      <c r="N278" s="181">
        <v>2025</v>
      </c>
      <c r="O278" s="184" t="s">
        <v>69</v>
      </c>
      <c r="P278" s="185"/>
      <c r="Q278" s="193" t="s">
        <v>342</v>
      </c>
      <c r="R278" s="156" t="s">
        <v>0</v>
      </c>
      <c r="S278" s="157" t="s">
        <v>0</v>
      </c>
      <c r="T278" s="157" t="s">
        <v>0</v>
      </c>
      <c r="U278" s="157" t="s">
        <v>0</v>
      </c>
      <c r="V278" s="157" t="s">
        <v>0</v>
      </c>
      <c r="W278" s="157" t="s">
        <v>0</v>
      </c>
      <c r="X278" s="157" t="s">
        <v>0</v>
      </c>
      <c r="Y278" s="157" t="s">
        <v>0</v>
      </c>
      <c r="Z278" s="157" t="s">
        <v>0</v>
      </c>
      <c r="AA278" s="157" t="s">
        <v>0</v>
      </c>
      <c r="AB278" s="157" t="s">
        <v>0</v>
      </c>
      <c r="AC278" s="157" t="s">
        <v>0</v>
      </c>
      <c r="AD278" s="157" t="s">
        <v>0</v>
      </c>
      <c r="AE278" s="157" t="s">
        <v>0</v>
      </c>
      <c r="AF278" s="157" t="s">
        <v>0</v>
      </c>
      <c r="AG278" s="157" t="s">
        <v>0</v>
      </c>
      <c r="AH278" s="157" t="s">
        <v>0</v>
      </c>
      <c r="AI278" s="157" t="s">
        <v>0</v>
      </c>
      <c r="AJ278" s="157" t="s">
        <v>0</v>
      </c>
      <c r="AK278" s="157" t="s">
        <v>0</v>
      </c>
      <c r="AL278" s="157" t="s">
        <v>0</v>
      </c>
      <c r="AM278" s="157" t="s">
        <v>0</v>
      </c>
      <c r="AN278" s="157" t="s">
        <v>0</v>
      </c>
      <c r="AO278" s="157" t="s">
        <v>0</v>
      </c>
      <c r="AP278" s="157" t="s">
        <v>0</v>
      </c>
      <c r="AQ278" s="157" t="s">
        <v>0</v>
      </c>
      <c r="AR278" s="157" t="s">
        <v>0</v>
      </c>
      <c r="AS278" s="157" t="s">
        <v>0</v>
      </c>
      <c r="AT278" s="157" t="s">
        <v>0</v>
      </c>
      <c r="AU278" s="157" t="s">
        <v>0</v>
      </c>
      <c r="AV278" s="157" t="s">
        <v>0</v>
      </c>
      <c r="AW278" s="157" t="s">
        <v>0</v>
      </c>
      <c r="AX278" s="157" t="s">
        <v>0</v>
      </c>
      <c r="AY278" s="157" t="s">
        <v>0</v>
      </c>
      <c r="AZ278" s="157" t="s">
        <v>0</v>
      </c>
      <c r="BA278" s="157" t="s">
        <v>0</v>
      </c>
      <c r="BB278" s="157" t="s">
        <v>0</v>
      </c>
      <c r="BC278" s="157" t="s">
        <v>0</v>
      </c>
      <c r="BD278" s="157" t="s">
        <v>0</v>
      </c>
      <c r="BE278" s="157" t="s">
        <v>0</v>
      </c>
      <c r="BF278" s="157" t="s">
        <v>0</v>
      </c>
      <c r="BG278" s="157" t="s">
        <v>0</v>
      </c>
      <c r="BH278" s="157" t="s">
        <v>0</v>
      </c>
      <c r="BI278" s="158"/>
      <c r="DL278">
        <f t="shared" si="1447"/>
        <v>0</v>
      </c>
      <c r="DM278">
        <f t="shared" si="1448"/>
        <v>0</v>
      </c>
      <c r="DN278">
        <f t="shared" si="1449"/>
        <v>0</v>
      </c>
      <c r="DO278">
        <f t="shared" si="1450"/>
        <v>0</v>
      </c>
      <c r="DP278">
        <f t="shared" si="1451"/>
        <v>0</v>
      </c>
      <c r="DQ278">
        <f t="shared" si="1452"/>
        <v>0</v>
      </c>
      <c r="DR278">
        <f t="shared" si="1453"/>
        <v>0</v>
      </c>
      <c r="DS278">
        <f t="shared" si="1454"/>
        <v>0</v>
      </c>
      <c r="DT278">
        <f t="shared" si="1455"/>
        <v>0</v>
      </c>
      <c r="DU278">
        <f t="shared" si="1456"/>
        <v>0</v>
      </c>
      <c r="DV278">
        <f t="shared" si="1457"/>
        <v>0</v>
      </c>
      <c r="DW278">
        <f t="shared" si="1458"/>
        <v>0</v>
      </c>
    </row>
    <row r="279" spans="1:127" x14ac:dyDescent="0.25">
      <c r="A279" s="22">
        <f t="shared" si="1446"/>
        <v>273</v>
      </c>
      <c r="B279" s="59" t="str">
        <f t="shared" si="1240"/>
        <v>F0014826303</v>
      </c>
      <c r="C279" s="214" t="str">
        <f t="shared" si="1241"/>
        <v>82115-0EZ70 B</v>
      </c>
      <c r="D279" s="58" t="e">
        <f>VLOOKUP(B279,'Timing Table'!B:G,6,0)</f>
        <v>#N/A</v>
      </c>
      <c r="E279" s="22" t="e">
        <f>VLOOKUP(B279,'Timing Table'!B:D,3,0)</f>
        <v>#N/A</v>
      </c>
      <c r="F279" s="155" t="s">
        <v>70</v>
      </c>
      <c r="G279" s="181" t="s">
        <v>358</v>
      </c>
      <c r="H279" s="155" t="s">
        <v>71</v>
      </c>
      <c r="I279" s="182" t="s">
        <v>60</v>
      </c>
      <c r="J279" s="161" t="s">
        <v>0</v>
      </c>
      <c r="K279" s="194" t="s">
        <v>0</v>
      </c>
      <c r="L279" s="195" t="s">
        <v>0</v>
      </c>
      <c r="M279" s="179" t="s">
        <v>0</v>
      </c>
      <c r="N279" s="179" t="s">
        <v>0</v>
      </c>
      <c r="O279" s="179" t="s">
        <v>0</v>
      </c>
      <c r="P279" s="179" t="s">
        <v>0</v>
      </c>
      <c r="Q279" s="179" t="s">
        <v>1</v>
      </c>
      <c r="R279" s="179" t="s">
        <v>2</v>
      </c>
      <c r="S279" s="179" t="s">
        <v>0</v>
      </c>
      <c r="T279" s="179" t="s">
        <v>0</v>
      </c>
      <c r="U279" s="179" t="s">
        <v>0</v>
      </c>
      <c r="V279" s="179" t="s">
        <v>0</v>
      </c>
      <c r="W279" s="179" t="s">
        <v>0</v>
      </c>
      <c r="X279" s="179" t="s">
        <v>0</v>
      </c>
      <c r="Y279" s="179" t="s">
        <v>0</v>
      </c>
      <c r="Z279" s="179" t="s">
        <v>3</v>
      </c>
      <c r="AA279" s="179" t="s">
        <v>0</v>
      </c>
      <c r="AB279" s="179" t="s">
        <v>0</v>
      </c>
      <c r="AC279" s="179" t="s">
        <v>0</v>
      </c>
      <c r="AD279" s="179" t="s">
        <v>0</v>
      </c>
      <c r="AE279" s="179" t="s">
        <v>0</v>
      </c>
      <c r="AF279" s="179" t="s">
        <v>0</v>
      </c>
      <c r="AG279" s="179" t="s">
        <v>0</v>
      </c>
      <c r="AH279" s="179" t="s">
        <v>0</v>
      </c>
      <c r="AI279" s="179" t="s">
        <v>0</v>
      </c>
      <c r="AJ279" s="179" t="s">
        <v>0</v>
      </c>
      <c r="AK279" s="179" t="s">
        <v>0</v>
      </c>
      <c r="AL279" s="179" t="s">
        <v>0</v>
      </c>
      <c r="AM279" s="179" t="s">
        <v>0</v>
      </c>
      <c r="AN279" s="179" t="s">
        <v>0</v>
      </c>
      <c r="AO279" s="179" t="s">
        <v>0</v>
      </c>
      <c r="AP279" s="179" t="s">
        <v>0</v>
      </c>
      <c r="AQ279" s="179" t="s">
        <v>0</v>
      </c>
      <c r="AR279" s="179" t="s">
        <v>0</v>
      </c>
      <c r="AS279" s="179" t="s">
        <v>0</v>
      </c>
      <c r="AT279" s="179" t="s">
        <v>0</v>
      </c>
      <c r="AU279" s="179" t="s">
        <v>0</v>
      </c>
      <c r="AV279" s="179" t="s">
        <v>0</v>
      </c>
      <c r="AW279" s="179" t="s">
        <v>0</v>
      </c>
      <c r="AX279" s="179" t="s">
        <v>0</v>
      </c>
      <c r="AY279" s="179" t="s">
        <v>0</v>
      </c>
      <c r="AZ279" s="179" t="s">
        <v>0</v>
      </c>
      <c r="BA279" s="179" t="s">
        <v>0</v>
      </c>
      <c r="BB279" s="179" t="s">
        <v>0</v>
      </c>
      <c r="BC279" s="179" t="s">
        <v>0</v>
      </c>
      <c r="BD279" s="179" t="s">
        <v>0</v>
      </c>
      <c r="BE279" s="179" t="s">
        <v>0</v>
      </c>
      <c r="BF279" s="179" t="s">
        <v>0</v>
      </c>
      <c r="BG279" s="179" t="s">
        <v>0</v>
      </c>
      <c r="BH279" s="179" t="s">
        <v>0</v>
      </c>
      <c r="BI279" s="180" t="s">
        <v>4</v>
      </c>
      <c r="DL279">
        <f t="shared" si="1447"/>
        <v>0</v>
      </c>
      <c r="DM279">
        <f t="shared" si="1448"/>
        <v>0</v>
      </c>
      <c r="DN279">
        <f t="shared" si="1449"/>
        <v>0</v>
      </c>
      <c r="DO279">
        <f t="shared" si="1450"/>
        <v>0</v>
      </c>
      <c r="DP279">
        <f t="shared" si="1451"/>
        <v>0</v>
      </c>
      <c r="DQ279">
        <f t="shared" si="1452"/>
        <v>0</v>
      </c>
      <c r="DR279">
        <f t="shared" si="1453"/>
        <v>0</v>
      </c>
      <c r="DS279">
        <f t="shared" si="1454"/>
        <v>0</v>
      </c>
      <c r="DT279">
        <f t="shared" si="1455"/>
        <v>0</v>
      </c>
      <c r="DU279">
        <f t="shared" si="1456"/>
        <v>0</v>
      </c>
      <c r="DV279">
        <f t="shared" si="1457"/>
        <v>0</v>
      </c>
      <c r="DW279">
        <f t="shared" si="1458"/>
        <v>0</v>
      </c>
    </row>
    <row r="280" spans="1:127" x14ac:dyDescent="0.25">
      <c r="A280" s="22">
        <f t="shared" si="1446"/>
        <v>274</v>
      </c>
      <c r="B280" s="59" t="str">
        <f t="shared" si="1240"/>
        <v>F0014826303</v>
      </c>
      <c r="C280" s="214" t="str">
        <f t="shared" si="1241"/>
        <v>82115-0EZ70 B</v>
      </c>
      <c r="D280" s="58" t="e">
        <f>VLOOKUP(B280,'Timing Table'!B:G,6,0)</f>
        <v>#N/A</v>
      </c>
      <c r="E280" s="22" t="e">
        <f>VLOOKUP(B280,'Timing Table'!B:D,3,0)</f>
        <v>#N/A</v>
      </c>
      <c r="F280" s="155" t="s">
        <v>72</v>
      </c>
      <c r="G280" s="181">
        <v>0</v>
      </c>
      <c r="H280" s="196" t="s">
        <v>414</v>
      </c>
      <c r="I280" s="197" t="s">
        <v>73</v>
      </c>
      <c r="J280" s="13">
        <v>46041</v>
      </c>
      <c r="K280" s="14">
        <v>46048</v>
      </c>
      <c r="L280" s="14">
        <v>46055</v>
      </c>
      <c r="M280" s="14">
        <v>46062</v>
      </c>
      <c r="N280" s="14">
        <v>46069</v>
      </c>
      <c r="O280" s="14">
        <v>46076</v>
      </c>
      <c r="P280" s="14">
        <v>46083</v>
      </c>
      <c r="Q280" s="14">
        <v>46090</v>
      </c>
      <c r="R280" s="14">
        <v>46097</v>
      </c>
      <c r="S280" s="14">
        <v>46104</v>
      </c>
      <c r="T280" s="14">
        <v>46111</v>
      </c>
      <c r="U280" s="14">
        <v>46118</v>
      </c>
      <c r="V280" s="14">
        <v>46125</v>
      </c>
      <c r="W280" s="14">
        <v>46132</v>
      </c>
      <c r="X280" s="14">
        <v>46139</v>
      </c>
      <c r="Y280" s="14">
        <v>46146</v>
      </c>
      <c r="Z280" s="14">
        <v>46153</v>
      </c>
      <c r="AA280" s="14">
        <v>46160</v>
      </c>
      <c r="AB280" s="14">
        <v>46167</v>
      </c>
      <c r="AC280" s="14">
        <v>46174</v>
      </c>
      <c r="AD280" s="14">
        <v>46181</v>
      </c>
      <c r="AE280" s="14">
        <v>46188</v>
      </c>
      <c r="AF280" s="14">
        <v>46195</v>
      </c>
      <c r="AG280" s="14">
        <v>46202</v>
      </c>
      <c r="AH280" s="14">
        <v>46209</v>
      </c>
      <c r="AI280" s="14">
        <v>46216</v>
      </c>
      <c r="AJ280" s="14">
        <v>46223</v>
      </c>
      <c r="AK280" s="14">
        <v>46230</v>
      </c>
      <c r="AL280" s="14">
        <v>46237</v>
      </c>
      <c r="AM280" s="14">
        <v>46244</v>
      </c>
      <c r="AN280" s="14">
        <v>46251</v>
      </c>
      <c r="AO280" s="14">
        <v>46258</v>
      </c>
      <c r="AP280" s="14">
        <v>46265</v>
      </c>
      <c r="AQ280" s="14">
        <v>46272</v>
      </c>
      <c r="AR280" s="14">
        <v>46279</v>
      </c>
      <c r="AS280" s="14">
        <v>46286</v>
      </c>
      <c r="AT280" s="14">
        <v>46293</v>
      </c>
      <c r="AU280" s="14">
        <v>46300</v>
      </c>
      <c r="AV280" s="14">
        <v>46307</v>
      </c>
      <c r="AW280" s="14">
        <v>46314</v>
      </c>
      <c r="AX280" s="14">
        <v>46321</v>
      </c>
      <c r="AY280" s="14">
        <v>46328</v>
      </c>
      <c r="AZ280" s="14">
        <v>46335</v>
      </c>
      <c r="BA280" s="14">
        <v>46342</v>
      </c>
      <c r="BB280" s="14">
        <v>46349</v>
      </c>
      <c r="BC280" s="14">
        <v>46356</v>
      </c>
      <c r="BD280" s="14">
        <v>46363</v>
      </c>
      <c r="BE280" s="14">
        <v>46370</v>
      </c>
      <c r="BF280" s="14">
        <v>46377</v>
      </c>
      <c r="BG280" s="14">
        <v>46384</v>
      </c>
      <c r="BH280" s="14">
        <v>46391</v>
      </c>
      <c r="BI280" s="15">
        <v>46398</v>
      </c>
      <c r="DL280">
        <f t="shared" si="1447"/>
        <v>0</v>
      </c>
      <c r="DM280">
        <f t="shared" si="1448"/>
        <v>0</v>
      </c>
      <c r="DN280">
        <f t="shared" si="1449"/>
        <v>0</v>
      </c>
      <c r="DO280">
        <f t="shared" si="1450"/>
        <v>0</v>
      </c>
      <c r="DP280">
        <f t="shared" si="1451"/>
        <v>0</v>
      </c>
      <c r="DQ280">
        <f t="shared" si="1452"/>
        <v>0</v>
      </c>
      <c r="DR280">
        <f t="shared" si="1453"/>
        <v>0</v>
      </c>
      <c r="DS280">
        <f t="shared" si="1454"/>
        <v>0</v>
      </c>
      <c r="DT280">
        <f t="shared" si="1455"/>
        <v>0</v>
      </c>
      <c r="DU280">
        <f t="shared" si="1456"/>
        <v>0</v>
      </c>
      <c r="DV280">
        <f t="shared" si="1457"/>
        <v>0</v>
      </c>
      <c r="DW280">
        <f t="shared" si="1458"/>
        <v>0</v>
      </c>
    </row>
    <row r="281" spans="1:127" x14ac:dyDescent="0.25">
      <c r="A281" s="22">
        <f t="shared" si="1446"/>
        <v>275</v>
      </c>
      <c r="B281" s="59" t="str">
        <f t="shared" si="1240"/>
        <v>F0014826303</v>
      </c>
      <c r="C281" s="214" t="str">
        <f t="shared" si="1241"/>
        <v>82115-0EZ70 B</v>
      </c>
      <c r="D281" s="58" t="e">
        <f>VLOOKUP(B281,'Timing Table'!B:G,6,0)</f>
        <v>#N/A</v>
      </c>
      <c r="E281" s="22" t="e">
        <f>VLOOKUP(B281,'Timing Table'!B:D,3,0)</f>
        <v>#N/A</v>
      </c>
      <c r="F281" s="155" t="s">
        <v>74</v>
      </c>
      <c r="G281" s="181">
        <v>0</v>
      </c>
      <c r="H281" s="5" t="s">
        <v>60</v>
      </c>
      <c r="I281" s="11" t="s">
        <v>147</v>
      </c>
      <c r="J281" s="16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17"/>
      <c r="DL281">
        <f t="shared" si="1447"/>
        <v>0</v>
      </c>
      <c r="DM281">
        <f t="shared" si="1448"/>
        <v>0</v>
      </c>
      <c r="DN281">
        <f t="shared" si="1449"/>
        <v>0</v>
      </c>
      <c r="DO281">
        <f t="shared" si="1450"/>
        <v>0</v>
      </c>
      <c r="DP281">
        <f t="shared" si="1451"/>
        <v>0</v>
      </c>
      <c r="DQ281">
        <f t="shared" si="1452"/>
        <v>0</v>
      </c>
      <c r="DR281">
        <f t="shared" si="1453"/>
        <v>0</v>
      </c>
      <c r="DS281">
        <f t="shared" si="1454"/>
        <v>0</v>
      </c>
      <c r="DT281">
        <f t="shared" si="1455"/>
        <v>0</v>
      </c>
      <c r="DU281">
        <f t="shared" si="1456"/>
        <v>0</v>
      </c>
      <c r="DV281">
        <f t="shared" si="1457"/>
        <v>0</v>
      </c>
      <c r="DW281">
        <f t="shared" si="1458"/>
        <v>0</v>
      </c>
    </row>
    <row r="282" spans="1:127" x14ac:dyDescent="0.25">
      <c r="A282" s="22">
        <f t="shared" si="1446"/>
        <v>276</v>
      </c>
      <c r="B282" s="59" t="str">
        <f t="shared" si="1240"/>
        <v>F0014826303</v>
      </c>
      <c r="C282" s="214" t="str">
        <f t="shared" si="1241"/>
        <v>82115-0EZ70 B</v>
      </c>
      <c r="D282" s="58" t="e">
        <f>VLOOKUP(B282,'Timing Table'!B:G,6,0)</f>
        <v>#N/A</v>
      </c>
      <c r="E282" s="22" t="e">
        <f>VLOOKUP(B282,'Timing Table'!B:D,3,0)</f>
        <v>#N/A</v>
      </c>
      <c r="F282" s="155" t="s">
        <v>75</v>
      </c>
      <c r="G282" s="198" t="s">
        <v>257</v>
      </c>
      <c r="H282" s="9" t="s">
        <v>251</v>
      </c>
      <c r="I282" s="11" t="s">
        <v>76</v>
      </c>
      <c r="J282" s="143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>
        <v>0</v>
      </c>
      <c r="AA282" s="64">
        <v>0</v>
      </c>
      <c r="AB282" s="64">
        <v>0</v>
      </c>
      <c r="AC282" s="64">
        <v>0</v>
      </c>
      <c r="AD282" s="64">
        <v>0</v>
      </c>
      <c r="AE282" s="64">
        <v>0</v>
      </c>
      <c r="AF282" s="64">
        <v>0</v>
      </c>
      <c r="AG282" s="64">
        <v>0</v>
      </c>
      <c r="AH282" s="64">
        <v>0</v>
      </c>
      <c r="AI282" s="64">
        <v>0</v>
      </c>
      <c r="AJ282" s="64">
        <v>0</v>
      </c>
      <c r="AK282" s="64">
        <v>0</v>
      </c>
      <c r="AL282" s="64">
        <v>0</v>
      </c>
      <c r="AM282" s="64">
        <v>0</v>
      </c>
      <c r="AN282" s="64">
        <v>0</v>
      </c>
      <c r="AO282" s="64">
        <v>0</v>
      </c>
      <c r="AP282" s="64">
        <v>0</v>
      </c>
      <c r="AQ282" s="64">
        <v>0</v>
      </c>
      <c r="AR282" s="64">
        <v>0</v>
      </c>
      <c r="AS282" s="64">
        <v>0</v>
      </c>
      <c r="AT282" s="64">
        <v>0</v>
      </c>
      <c r="AU282" s="64">
        <v>0</v>
      </c>
      <c r="AV282" s="64">
        <v>0</v>
      </c>
      <c r="AW282" s="64">
        <v>0</v>
      </c>
      <c r="AX282" s="64">
        <v>0</v>
      </c>
      <c r="AY282" s="64">
        <v>0</v>
      </c>
      <c r="AZ282" s="64">
        <v>0</v>
      </c>
      <c r="BA282" s="64">
        <v>0</v>
      </c>
      <c r="BB282" s="64">
        <v>0</v>
      </c>
      <c r="BC282" s="64">
        <v>0</v>
      </c>
      <c r="BD282" s="64">
        <v>0</v>
      </c>
      <c r="BE282" s="64">
        <v>0</v>
      </c>
      <c r="BF282" s="64">
        <v>0</v>
      </c>
      <c r="BG282" s="64">
        <v>0</v>
      </c>
      <c r="BH282" s="64">
        <v>0</v>
      </c>
      <c r="BI282" s="144">
        <v>0</v>
      </c>
      <c r="BJ282" s="24" t="str">
        <f>+G279</f>
        <v>82115-0EZ70 B</v>
      </c>
      <c r="BK282" s="24">
        <f>+J282</f>
        <v>0</v>
      </c>
      <c r="BL282" s="24">
        <f t="shared" ref="BL282" si="1510">+K282</f>
        <v>0</v>
      </c>
      <c r="BM282" s="24">
        <f t="shared" ref="BM282" si="1511">+L282</f>
        <v>0</v>
      </c>
      <c r="BN282" s="24">
        <f t="shared" ref="BN282" si="1512">+M282</f>
        <v>0</v>
      </c>
      <c r="BO282" s="24">
        <f t="shared" ref="BO282" si="1513">+N282</f>
        <v>0</v>
      </c>
      <c r="BP282" s="24">
        <f t="shared" ref="BP282" si="1514">+O282</f>
        <v>0</v>
      </c>
      <c r="BQ282" s="24">
        <f t="shared" ref="BQ282" si="1515">+P282</f>
        <v>0</v>
      </c>
      <c r="BR282" s="24">
        <f t="shared" ref="BR282" si="1516">+Q282</f>
        <v>0</v>
      </c>
      <c r="BS282" s="24">
        <f t="shared" ref="BS282" si="1517">+R282</f>
        <v>0</v>
      </c>
      <c r="BT282" s="24">
        <f t="shared" ref="BT282" si="1518">+S282</f>
        <v>0</v>
      </c>
      <c r="BU282" s="24">
        <f t="shared" ref="BU282" si="1519">+T282</f>
        <v>0</v>
      </c>
      <c r="BV282" s="24">
        <f t="shared" ref="BV282" si="1520">+U282</f>
        <v>0</v>
      </c>
      <c r="BW282" s="24">
        <f t="shared" ref="BW282" si="1521">+V282</f>
        <v>0</v>
      </c>
      <c r="BX282" s="24">
        <f t="shared" ref="BX282" si="1522">+W282</f>
        <v>0</v>
      </c>
      <c r="BY282" s="24">
        <f t="shared" ref="BY282" si="1523">+X282</f>
        <v>0</v>
      </c>
      <c r="BZ282" s="24">
        <f t="shared" ref="BZ282" si="1524">+Y282</f>
        <v>0</v>
      </c>
      <c r="CA282" s="24">
        <f t="shared" ref="CA282" si="1525">+Z282</f>
        <v>0</v>
      </c>
      <c r="CB282" s="24">
        <f t="shared" ref="CB282" si="1526">+AA282</f>
        <v>0</v>
      </c>
      <c r="CC282" s="24">
        <f t="shared" ref="CC282" si="1527">+AB282</f>
        <v>0</v>
      </c>
      <c r="CD282" s="24">
        <f t="shared" ref="CD282" si="1528">+AC282</f>
        <v>0</v>
      </c>
      <c r="CE282" s="24">
        <f t="shared" ref="CE282" si="1529">+AD282</f>
        <v>0</v>
      </c>
      <c r="CF282" s="24">
        <f t="shared" ref="CF282" si="1530">+AE282</f>
        <v>0</v>
      </c>
      <c r="CG282" s="24">
        <f t="shared" ref="CG282" si="1531">+AF282</f>
        <v>0</v>
      </c>
      <c r="CH282" s="24">
        <f t="shared" ref="CH282" si="1532">+AG282</f>
        <v>0</v>
      </c>
      <c r="CI282" s="24">
        <f t="shared" ref="CI282" si="1533">+AH282</f>
        <v>0</v>
      </c>
      <c r="CJ282" s="24">
        <f t="shared" ref="CJ282" si="1534">+AI282</f>
        <v>0</v>
      </c>
      <c r="CK282" s="24">
        <f t="shared" ref="CK282" si="1535">+AJ282</f>
        <v>0</v>
      </c>
      <c r="CL282" s="24">
        <f t="shared" ref="CL282" si="1536">+AK282</f>
        <v>0</v>
      </c>
      <c r="CM282" s="24">
        <f t="shared" ref="CM282" si="1537">+AL282</f>
        <v>0</v>
      </c>
      <c r="CN282" s="24">
        <f t="shared" ref="CN282" si="1538">+AM282</f>
        <v>0</v>
      </c>
      <c r="CO282" s="24">
        <f t="shared" ref="CO282" si="1539">+AN282</f>
        <v>0</v>
      </c>
      <c r="CP282" s="166">
        <f t="shared" ref="CP282" si="1540">+AO282</f>
        <v>0</v>
      </c>
      <c r="CQ282" s="166">
        <f t="shared" ref="CQ282" si="1541">+AP282</f>
        <v>0</v>
      </c>
      <c r="CR282">
        <f t="shared" ref="CR282" si="1542">+AQ282</f>
        <v>0</v>
      </c>
      <c r="CS282">
        <f t="shared" ref="CS282" si="1543">+AR282</f>
        <v>0</v>
      </c>
      <c r="CT282">
        <f t="shared" ref="CT282" si="1544">+AS282</f>
        <v>0</v>
      </c>
      <c r="CU282">
        <f t="shared" ref="CU282" si="1545">+AT282</f>
        <v>0</v>
      </c>
      <c r="CV282">
        <f t="shared" ref="CV282" si="1546">+AU282</f>
        <v>0</v>
      </c>
      <c r="CW282">
        <f t="shared" ref="CW282" si="1547">+AV282</f>
        <v>0</v>
      </c>
      <c r="CX282">
        <f t="shared" ref="CX282" si="1548">+AW282</f>
        <v>0</v>
      </c>
      <c r="CY282">
        <f t="shared" ref="CY282" si="1549">+AX282</f>
        <v>0</v>
      </c>
      <c r="CZ282">
        <f t="shared" ref="CZ282" si="1550">+AY282</f>
        <v>0</v>
      </c>
      <c r="DA282">
        <f t="shared" ref="DA282" si="1551">+AZ282</f>
        <v>0</v>
      </c>
      <c r="DB282">
        <f t="shared" ref="DB282" si="1552">+BA282</f>
        <v>0</v>
      </c>
      <c r="DC282">
        <f t="shared" ref="DC282" si="1553">+BB282</f>
        <v>0</v>
      </c>
      <c r="DD282">
        <f t="shared" ref="DD282" si="1554">+BC282</f>
        <v>0</v>
      </c>
      <c r="DE282">
        <f t="shared" ref="DE282" si="1555">+BD282</f>
        <v>0</v>
      </c>
      <c r="DF282">
        <f t="shared" ref="DF282" si="1556">+BE282</f>
        <v>0</v>
      </c>
      <c r="DG282">
        <f t="shared" ref="DG282" si="1557">+BF282</f>
        <v>0</v>
      </c>
      <c r="DH282">
        <f t="shared" ref="DH282" si="1558">+BG282</f>
        <v>0</v>
      </c>
      <c r="DI282">
        <f t="shared" ref="DI282" si="1559">+BH282</f>
        <v>0</v>
      </c>
      <c r="DJ282">
        <f t="shared" ref="DJ282" si="1560">+BI282</f>
        <v>0</v>
      </c>
      <c r="DL282" s="24">
        <f t="shared" si="1447"/>
        <v>0</v>
      </c>
      <c r="DM282" s="24">
        <f t="shared" si="1448"/>
        <v>0</v>
      </c>
      <c r="DN282" s="24">
        <f t="shared" si="1449"/>
        <v>0</v>
      </c>
      <c r="DO282" s="24">
        <f t="shared" si="1450"/>
        <v>0</v>
      </c>
      <c r="DP282" s="24">
        <f t="shared" si="1451"/>
        <v>0</v>
      </c>
      <c r="DQ282" s="24">
        <f t="shared" si="1452"/>
        <v>0</v>
      </c>
      <c r="DR282" s="24">
        <f t="shared" si="1453"/>
        <v>0</v>
      </c>
      <c r="DS282" s="24">
        <f t="shared" si="1454"/>
        <v>0</v>
      </c>
      <c r="DT282" s="24">
        <f t="shared" si="1455"/>
        <v>0</v>
      </c>
      <c r="DU282">
        <f t="shared" si="1456"/>
        <v>0</v>
      </c>
      <c r="DV282">
        <f t="shared" si="1457"/>
        <v>0</v>
      </c>
      <c r="DW282">
        <f t="shared" si="1458"/>
        <v>0</v>
      </c>
    </row>
    <row r="283" spans="1:127" x14ac:dyDescent="0.25">
      <c r="A283" s="22">
        <f t="shared" si="1446"/>
        <v>277</v>
      </c>
      <c r="B283" s="59" t="str">
        <f t="shared" si="1240"/>
        <v>F0014826303</v>
      </c>
      <c r="C283" s="214" t="str">
        <f t="shared" si="1241"/>
        <v>82115-0EZ70 B</v>
      </c>
      <c r="D283" s="58" t="e">
        <f>VLOOKUP(B283,'Timing Table'!B:G,6,0)</f>
        <v>#N/A</v>
      </c>
      <c r="E283" s="22" t="e">
        <f>VLOOKUP(B283,'Timing Table'!B:D,3,0)</f>
        <v>#N/A</v>
      </c>
      <c r="F283" s="155" t="s">
        <v>77</v>
      </c>
      <c r="G283" s="181">
        <v>82115</v>
      </c>
      <c r="H283" s="10" t="s">
        <v>251</v>
      </c>
      <c r="I283" s="12" t="s">
        <v>78</v>
      </c>
      <c r="J283" s="152">
        <v>0</v>
      </c>
      <c r="K283" s="153">
        <v>0</v>
      </c>
      <c r="L283" s="153">
        <v>0</v>
      </c>
      <c r="M283" s="153">
        <v>0</v>
      </c>
      <c r="N283" s="153">
        <v>0</v>
      </c>
      <c r="O283" s="153">
        <v>0</v>
      </c>
      <c r="P283" s="153">
        <v>0</v>
      </c>
      <c r="Q283" s="153">
        <v>0</v>
      </c>
      <c r="R283" s="153">
        <v>0</v>
      </c>
      <c r="S283" s="153">
        <v>0</v>
      </c>
      <c r="T283" s="153">
        <v>0</v>
      </c>
      <c r="U283" s="153">
        <v>0</v>
      </c>
      <c r="V283" s="153">
        <v>0</v>
      </c>
      <c r="W283" s="153">
        <v>0</v>
      </c>
      <c r="X283" s="153">
        <v>0</v>
      </c>
      <c r="Y283" s="153">
        <v>0</v>
      </c>
      <c r="Z283" s="153">
        <v>0</v>
      </c>
      <c r="AA283" s="153">
        <v>0</v>
      </c>
      <c r="AB283" s="153">
        <v>0</v>
      </c>
      <c r="AC283" s="153">
        <v>0</v>
      </c>
      <c r="AD283" s="153">
        <v>0</v>
      </c>
      <c r="AE283" s="153">
        <v>0</v>
      </c>
      <c r="AF283" s="153">
        <v>0</v>
      </c>
      <c r="AG283" s="153">
        <v>0</v>
      </c>
      <c r="AH283" s="153">
        <v>0</v>
      </c>
      <c r="AI283" s="153">
        <v>0</v>
      </c>
      <c r="AJ283" s="153">
        <v>0</v>
      </c>
      <c r="AK283" s="153">
        <v>0</v>
      </c>
      <c r="AL283" s="153">
        <v>0</v>
      </c>
      <c r="AM283" s="153">
        <v>0</v>
      </c>
      <c r="AN283" s="153">
        <v>0</v>
      </c>
      <c r="AO283" s="153">
        <v>0</v>
      </c>
      <c r="AP283" s="153">
        <v>0</v>
      </c>
      <c r="AQ283" s="153">
        <v>0</v>
      </c>
      <c r="AR283" s="153">
        <v>0</v>
      </c>
      <c r="AS283" s="153">
        <v>0</v>
      </c>
      <c r="AT283" s="153">
        <v>0</v>
      </c>
      <c r="AU283" s="153">
        <v>0</v>
      </c>
      <c r="AV283" s="153">
        <v>0</v>
      </c>
      <c r="AW283" s="153">
        <v>0</v>
      </c>
      <c r="AX283" s="153">
        <v>0</v>
      </c>
      <c r="AY283" s="153">
        <v>0</v>
      </c>
      <c r="AZ283" s="153">
        <v>0</v>
      </c>
      <c r="BA283" s="153">
        <v>0</v>
      </c>
      <c r="BB283" s="153">
        <v>0</v>
      </c>
      <c r="BC283" s="153">
        <v>0</v>
      </c>
      <c r="BD283" s="153">
        <v>0</v>
      </c>
      <c r="BE283" s="153">
        <v>0</v>
      </c>
      <c r="BF283" s="153">
        <v>0</v>
      </c>
      <c r="BG283" s="153">
        <v>0</v>
      </c>
      <c r="BH283" s="153">
        <v>0</v>
      </c>
      <c r="BI283" s="154">
        <v>0</v>
      </c>
      <c r="DL283">
        <f t="shared" si="1447"/>
        <v>0</v>
      </c>
      <c r="DM283">
        <f t="shared" si="1448"/>
        <v>0</v>
      </c>
      <c r="DN283">
        <f t="shared" si="1449"/>
        <v>0</v>
      </c>
      <c r="DO283">
        <f t="shared" si="1450"/>
        <v>0</v>
      </c>
      <c r="DP283">
        <f t="shared" si="1451"/>
        <v>0</v>
      </c>
      <c r="DQ283">
        <f t="shared" si="1452"/>
        <v>0</v>
      </c>
      <c r="DR283">
        <f t="shared" si="1453"/>
        <v>0</v>
      </c>
      <c r="DS283">
        <f t="shared" si="1454"/>
        <v>0</v>
      </c>
      <c r="DT283">
        <f t="shared" si="1455"/>
        <v>0</v>
      </c>
      <c r="DU283">
        <f t="shared" si="1456"/>
        <v>0</v>
      </c>
      <c r="DV283">
        <f t="shared" si="1457"/>
        <v>0</v>
      </c>
      <c r="DW283">
        <f t="shared" si="1458"/>
        <v>0</v>
      </c>
    </row>
    <row r="284" spans="1:127" x14ac:dyDescent="0.25">
      <c r="A284" s="22">
        <f t="shared" si="1446"/>
        <v>278</v>
      </c>
      <c r="B284" s="59" t="str">
        <f t="shared" si="1240"/>
        <v>F0014826303</v>
      </c>
      <c r="C284" s="214" t="str">
        <f t="shared" si="1241"/>
        <v>82115-0EZ70 B</v>
      </c>
      <c r="D284" s="58" t="e">
        <f>VLOOKUP(B284,'Timing Table'!B:G,6,0)</f>
        <v>#N/A</v>
      </c>
      <c r="E284" s="22" t="e">
        <f>VLOOKUP(B284,'Timing Table'!B:D,3,0)</f>
        <v>#N/A</v>
      </c>
      <c r="F284" s="155" t="s">
        <v>79</v>
      </c>
      <c r="G284" s="199">
        <v>0</v>
      </c>
      <c r="H284" s="184" t="s">
        <v>80</v>
      </c>
      <c r="I284" s="185"/>
      <c r="J284" s="200"/>
      <c r="K284" s="156"/>
      <c r="L284" s="157" t="s">
        <v>0</v>
      </c>
      <c r="M284" s="157" t="s">
        <v>0</v>
      </c>
      <c r="N284" s="157" t="s">
        <v>0</v>
      </c>
      <c r="O284" s="157" t="s">
        <v>0</v>
      </c>
      <c r="P284" s="157" t="s">
        <v>0</v>
      </c>
      <c r="Q284" s="157" t="s">
        <v>0</v>
      </c>
      <c r="R284" s="157" t="s">
        <v>0</v>
      </c>
      <c r="S284" s="157" t="s">
        <v>0</v>
      </c>
      <c r="T284" s="157" t="s">
        <v>0</v>
      </c>
      <c r="U284" s="157" t="s">
        <v>0</v>
      </c>
      <c r="V284" s="157" t="s">
        <v>0</v>
      </c>
      <c r="W284" s="157" t="s">
        <v>0</v>
      </c>
      <c r="X284" s="157" t="s">
        <v>0</v>
      </c>
      <c r="Y284" s="157" t="s">
        <v>0</v>
      </c>
      <c r="Z284" s="157" t="s">
        <v>0</v>
      </c>
      <c r="AA284" s="157" t="s">
        <v>0</v>
      </c>
      <c r="AB284" s="157" t="s">
        <v>0</v>
      </c>
      <c r="AC284" s="157" t="s">
        <v>0</v>
      </c>
      <c r="AD284" s="157" t="s">
        <v>0</v>
      </c>
      <c r="AE284" s="157" t="s">
        <v>0</v>
      </c>
      <c r="AF284" s="157" t="s">
        <v>0</v>
      </c>
      <c r="AG284" s="157" t="s">
        <v>0</v>
      </c>
      <c r="AH284" s="157" t="s">
        <v>0</v>
      </c>
      <c r="AI284" s="157" t="s">
        <v>0</v>
      </c>
      <c r="AJ284" s="157" t="s">
        <v>0</v>
      </c>
      <c r="AK284" s="157" t="s">
        <v>0</v>
      </c>
      <c r="AL284" s="157" t="s">
        <v>0</v>
      </c>
      <c r="AM284" s="157" t="s">
        <v>0</v>
      </c>
      <c r="AN284" s="157" t="s">
        <v>0</v>
      </c>
      <c r="AO284" s="157" t="s">
        <v>0</v>
      </c>
      <c r="AP284" s="157" t="s">
        <v>0</v>
      </c>
      <c r="AQ284" s="157" t="s">
        <v>0</v>
      </c>
      <c r="AR284" s="157" t="s">
        <v>0</v>
      </c>
      <c r="AS284" s="157" t="s">
        <v>0</v>
      </c>
      <c r="AT284" s="157" t="s">
        <v>0</v>
      </c>
      <c r="AU284" s="157" t="s">
        <v>0</v>
      </c>
      <c r="AV284" s="157" t="s">
        <v>0</v>
      </c>
      <c r="AW284" s="157" t="s">
        <v>0</v>
      </c>
      <c r="AX284" s="157" t="s">
        <v>0</v>
      </c>
      <c r="AY284" s="157" t="s">
        <v>0</v>
      </c>
      <c r="AZ284" s="157" t="s">
        <v>0</v>
      </c>
      <c r="BA284" s="157" t="s">
        <v>0</v>
      </c>
      <c r="BB284" s="157" t="s">
        <v>0</v>
      </c>
      <c r="BC284" s="157" t="s">
        <v>0</v>
      </c>
      <c r="BD284" s="157" t="s">
        <v>0</v>
      </c>
      <c r="BE284" s="157" t="s">
        <v>0</v>
      </c>
      <c r="BF284" s="157" t="s">
        <v>0</v>
      </c>
      <c r="BG284" s="157" t="s">
        <v>0</v>
      </c>
      <c r="BH284" s="157" t="s">
        <v>0</v>
      </c>
      <c r="BI284" s="158"/>
      <c r="DL284">
        <f t="shared" si="1447"/>
        <v>0</v>
      </c>
      <c r="DM284">
        <f t="shared" si="1448"/>
        <v>0</v>
      </c>
      <c r="DN284">
        <f t="shared" si="1449"/>
        <v>0</v>
      </c>
      <c r="DO284">
        <f t="shared" si="1450"/>
        <v>0</v>
      </c>
      <c r="DP284">
        <f t="shared" si="1451"/>
        <v>0</v>
      </c>
      <c r="DQ284">
        <f t="shared" si="1452"/>
        <v>0</v>
      </c>
      <c r="DR284">
        <f t="shared" si="1453"/>
        <v>0</v>
      </c>
      <c r="DS284">
        <f t="shared" si="1454"/>
        <v>0</v>
      </c>
      <c r="DT284">
        <f t="shared" si="1455"/>
        <v>0</v>
      </c>
      <c r="DU284">
        <f t="shared" si="1456"/>
        <v>0</v>
      </c>
      <c r="DV284">
        <f t="shared" si="1457"/>
        <v>0</v>
      </c>
      <c r="DW284">
        <f t="shared" si="1458"/>
        <v>0</v>
      </c>
    </row>
    <row r="285" spans="1:127" x14ac:dyDescent="0.25">
      <c r="A285" s="22">
        <f t="shared" si="1446"/>
        <v>279</v>
      </c>
      <c r="B285" s="59" t="str">
        <f t="shared" si="1240"/>
        <v>F0014826303</v>
      </c>
      <c r="C285" s="214" t="str">
        <f t="shared" si="1241"/>
        <v>82115-0EZ70 B</v>
      </c>
      <c r="D285" s="58" t="e">
        <f>VLOOKUP(B285,'Timing Table'!B:G,6,0)</f>
        <v>#N/A</v>
      </c>
      <c r="E285" s="22" t="e">
        <f>VLOOKUP(B285,'Timing Table'!B:D,3,0)</f>
        <v>#N/A</v>
      </c>
      <c r="F285" s="159" t="s">
        <v>81</v>
      </c>
      <c r="G285" s="160" t="s">
        <v>60</v>
      </c>
      <c r="H285" s="201" t="s">
        <v>60</v>
      </c>
      <c r="I285" s="183" t="s">
        <v>60</v>
      </c>
      <c r="J285" s="183" t="s">
        <v>0</v>
      </c>
      <c r="K285" s="183" t="s">
        <v>0</v>
      </c>
      <c r="L285" s="183" t="s">
        <v>0</v>
      </c>
      <c r="M285" s="183" t="s">
        <v>0</v>
      </c>
      <c r="N285" s="183" t="s">
        <v>0</v>
      </c>
      <c r="O285" s="183" t="s">
        <v>0</v>
      </c>
      <c r="P285" s="183" t="s">
        <v>0</v>
      </c>
      <c r="Q285" s="183" t="s">
        <v>0</v>
      </c>
      <c r="R285" s="183" t="s">
        <v>0</v>
      </c>
      <c r="S285" s="183" t="s">
        <v>0</v>
      </c>
      <c r="T285" s="183" t="s">
        <v>0</v>
      </c>
      <c r="U285" s="183" t="s">
        <v>0</v>
      </c>
      <c r="V285" s="183" t="s">
        <v>0</v>
      </c>
      <c r="W285" s="183" t="s">
        <v>0</v>
      </c>
      <c r="X285" s="183" t="s">
        <v>0</v>
      </c>
      <c r="Y285" s="183" t="s">
        <v>0</v>
      </c>
      <c r="Z285" s="183" t="s">
        <v>0</v>
      </c>
      <c r="AA285" s="183" t="s">
        <v>0</v>
      </c>
      <c r="AB285" s="183" t="s">
        <v>0</v>
      </c>
      <c r="AC285" s="183" t="s">
        <v>0</v>
      </c>
      <c r="AD285" s="183" t="s">
        <v>0</v>
      </c>
      <c r="AE285" s="183" t="s">
        <v>0</v>
      </c>
      <c r="AF285" s="183" t="s">
        <v>0</v>
      </c>
      <c r="AG285" s="183" t="s">
        <v>0</v>
      </c>
      <c r="AH285" s="183" t="s">
        <v>0</v>
      </c>
      <c r="AI285" s="183" t="s">
        <v>0</v>
      </c>
      <c r="AJ285" s="183" t="s">
        <v>0</v>
      </c>
      <c r="AK285" s="183" t="s">
        <v>0</v>
      </c>
      <c r="AL285" s="183" t="s">
        <v>0</v>
      </c>
      <c r="AM285" s="183" t="s">
        <v>0</v>
      </c>
      <c r="AN285" s="183" t="s">
        <v>0</v>
      </c>
      <c r="AO285" s="183" t="s">
        <v>0</v>
      </c>
      <c r="AP285" s="183" t="s">
        <v>0</v>
      </c>
      <c r="AQ285" s="183" t="s">
        <v>0</v>
      </c>
      <c r="AR285" s="183" t="s">
        <v>0</v>
      </c>
      <c r="AS285" s="183" t="s">
        <v>0</v>
      </c>
      <c r="AT285" s="183" t="s">
        <v>0</v>
      </c>
      <c r="AU285" s="183" t="s">
        <v>0</v>
      </c>
      <c r="AV285" s="183" t="s">
        <v>0</v>
      </c>
      <c r="AW285" s="183" t="s">
        <v>0</v>
      </c>
      <c r="AX285" s="183" t="s">
        <v>0</v>
      </c>
      <c r="AY285" s="183" t="s">
        <v>0</v>
      </c>
      <c r="AZ285" s="183" t="s">
        <v>0</v>
      </c>
      <c r="BA285" s="183" t="s">
        <v>0</v>
      </c>
      <c r="BB285" s="183" t="s">
        <v>0</v>
      </c>
      <c r="BC285" s="183" t="s">
        <v>0</v>
      </c>
      <c r="BD285" s="183" t="s">
        <v>0</v>
      </c>
      <c r="BE285" s="183" t="s">
        <v>0</v>
      </c>
      <c r="BF285" s="183" t="s">
        <v>0</v>
      </c>
      <c r="BG285" s="183" t="s">
        <v>0</v>
      </c>
      <c r="BH285" s="183" t="s">
        <v>0</v>
      </c>
      <c r="BI285" s="161"/>
      <c r="DL285">
        <f t="shared" si="1447"/>
        <v>0</v>
      </c>
      <c r="DM285">
        <f t="shared" si="1448"/>
        <v>0</v>
      </c>
      <c r="DN285">
        <f t="shared" si="1449"/>
        <v>0</v>
      </c>
      <c r="DO285">
        <f t="shared" si="1450"/>
        <v>0</v>
      </c>
      <c r="DP285">
        <f t="shared" si="1451"/>
        <v>0</v>
      </c>
      <c r="DQ285">
        <f t="shared" si="1452"/>
        <v>0</v>
      </c>
      <c r="DR285">
        <f t="shared" si="1453"/>
        <v>0</v>
      </c>
      <c r="DS285">
        <f t="shared" si="1454"/>
        <v>0</v>
      </c>
      <c r="DT285">
        <f t="shared" si="1455"/>
        <v>0</v>
      </c>
      <c r="DU285">
        <f t="shared" si="1456"/>
        <v>0</v>
      </c>
      <c r="DV285">
        <f t="shared" si="1457"/>
        <v>0</v>
      </c>
      <c r="DW285">
        <f t="shared" si="1458"/>
        <v>0</v>
      </c>
    </row>
    <row r="286" spans="1:127" x14ac:dyDescent="0.25">
      <c r="A286" s="22">
        <f t="shared" si="1446"/>
        <v>280</v>
      </c>
      <c r="B286" s="59" t="str">
        <f t="shared" si="1240"/>
        <v>F0014826303</v>
      </c>
      <c r="C286" s="214" t="str">
        <f t="shared" si="1241"/>
        <v>82115-0EZ70 B</v>
      </c>
      <c r="D286" s="58" t="e">
        <f>VLOOKUP(B286,'Timing Table'!B:G,6,0)</f>
        <v>#N/A</v>
      </c>
      <c r="E286" s="22" t="e">
        <f>VLOOKUP(B286,'Timing Table'!B:D,3,0)</f>
        <v>#N/A</v>
      </c>
      <c r="F286" s="188" t="s">
        <v>60</v>
      </c>
      <c r="G286" s="162" t="s">
        <v>60</v>
      </c>
      <c r="H286" s="163" t="s">
        <v>60</v>
      </c>
      <c r="I286" s="164" t="s">
        <v>60</v>
      </c>
      <c r="J286" s="164" t="s">
        <v>0</v>
      </c>
      <c r="K286" s="164" t="s">
        <v>0</v>
      </c>
      <c r="L286" s="164" t="s">
        <v>0</v>
      </c>
      <c r="M286" s="164" t="s">
        <v>0</v>
      </c>
      <c r="N286" s="164" t="s">
        <v>0</v>
      </c>
      <c r="O286" s="164" t="s">
        <v>0</v>
      </c>
      <c r="P286" s="164" t="s">
        <v>0</v>
      </c>
      <c r="Q286" s="164" t="s">
        <v>0</v>
      </c>
      <c r="R286" s="164" t="s">
        <v>0</v>
      </c>
      <c r="S286" s="164" t="s">
        <v>0</v>
      </c>
      <c r="T286" s="164" t="s">
        <v>0</v>
      </c>
      <c r="U286" s="164" t="s">
        <v>0</v>
      </c>
      <c r="V286" s="164" t="s">
        <v>0</v>
      </c>
      <c r="W286" s="164" t="s">
        <v>0</v>
      </c>
      <c r="X286" s="164" t="s">
        <v>0</v>
      </c>
      <c r="Y286" s="164" t="s">
        <v>0</v>
      </c>
      <c r="Z286" s="164" t="s">
        <v>0</v>
      </c>
      <c r="AA286" s="164" t="s">
        <v>0</v>
      </c>
      <c r="AB286" s="164" t="s">
        <v>0</v>
      </c>
      <c r="AC286" s="164" t="s">
        <v>0</v>
      </c>
      <c r="AD286" s="164" t="s">
        <v>0</v>
      </c>
      <c r="AE286" s="164" t="s">
        <v>0</v>
      </c>
      <c r="AF286" s="164" t="s">
        <v>0</v>
      </c>
      <c r="AG286" s="164" t="s">
        <v>0</v>
      </c>
      <c r="AH286" s="164" t="s">
        <v>0</v>
      </c>
      <c r="AI286" s="164" t="s">
        <v>0</v>
      </c>
      <c r="AJ286" s="164" t="s">
        <v>0</v>
      </c>
      <c r="AK286" s="164" t="s">
        <v>0</v>
      </c>
      <c r="AL286" s="164" t="s">
        <v>0</v>
      </c>
      <c r="AM286" s="164" t="s">
        <v>0</v>
      </c>
      <c r="AN286" s="164" t="s">
        <v>0</v>
      </c>
      <c r="AO286" s="164" t="s">
        <v>0</v>
      </c>
      <c r="AP286" s="164" t="s">
        <v>0</v>
      </c>
      <c r="AQ286" s="164" t="s">
        <v>0</v>
      </c>
      <c r="AR286" s="164" t="s">
        <v>0</v>
      </c>
      <c r="AS286" s="164" t="s">
        <v>0</v>
      </c>
      <c r="AT286" s="164" t="s">
        <v>0</v>
      </c>
      <c r="AU286" s="164" t="s">
        <v>0</v>
      </c>
      <c r="AV286" s="164" t="s">
        <v>0</v>
      </c>
      <c r="AW286" s="164" t="s">
        <v>0</v>
      </c>
      <c r="AX286" s="164" t="s">
        <v>0</v>
      </c>
      <c r="AY286" s="164" t="s">
        <v>0</v>
      </c>
      <c r="AZ286" s="164" t="s">
        <v>0</v>
      </c>
      <c r="BA286" s="164" t="s">
        <v>0</v>
      </c>
      <c r="BB286" s="164" t="s">
        <v>0</v>
      </c>
      <c r="BC286" s="164" t="s">
        <v>0</v>
      </c>
      <c r="BD286" s="164" t="s">
        <v>0</v>
      </c>
      <c r="BE286" s="164" t="s">
        <v>0</v>
      </c>
      <c r="BF286" s="164" t="s">
        <v>0</v>
      </c>
      <c r="BG286" s="164" t="s">
        <v>0</v>
      </c>
      <c r="BH286" s="164" t="s">
        <v>0</v>
      </c>
      <c r="BI286" s="189"/>
      <c r="DL286">
        <f t="shared" si="1447"/>
        <v>0</v>
      </c>
      <c r="DM286">
        <f t="shared" si="1448"/>
        <v>0</v>
      </c>
      <c r="DN286">
        <f t="shared" si="1449"/>
        <v>0</v>
      </c>
      <c r="DO286">
        <f t="shared" si="1450"/>
        <v>0</v>
      </c>
      <c r="DP286">
        <f t="shared" si="1451"/>
        <v>0</v>
      </c>
      <c r="DQ286">
        <f t="shared" si="1452"/>
        <v>0</v>
      </c>
      <c r="DR286">
        <f t="shared" si="1453"/>
        <v>0</v>
      </c>
      <c r="DS286">
        <f t="shared" si="1454"/>
        <v>0</v>
      </c>
      <c r="DT286">
        <f t="shared" si="1455"/>
        <v>0</v>
      </c>
      <c r="DU286">
        <f t="shared" si="1456"/>
        <v>0</v>
      </c>
      <c r="DV286">
        <f t="shared" si="1457"/>
        <v>0</v>
      </c>
      <c r="DW286">
        <f t="shared" si="1458"/>
        <v>0</v>
      </c>
    </row>
    <row r="287" spans="1:127" x14ac:dyDescent="0.25">
      <c r="A287" s="22">
        <f t="shared" si="1446"/>
        <v>281</v>
      </c>
      <c r="B287" s="59" t="str">
        <f t="shared" si="1240"/>
        <v>F0014826403</v>
      </c>
      <c r="C287" s="214" t="str">
        <f t="shared" si="1241"/>
        <v>82115-0EZ50 B</v>
      </c>
      <c r="D287" s="58" t="e">
        <f>VLOOKUP(B287,'Timing Table'!B:G,6,0)</f>
        <v>#N/A</v>
      </c>
      <c r="E287" s="22" t="e">
        <f>VLOOKUP(B287,'Timing Table'!B:D,3,0)</f>
        <v>#N/A</v>
      </c>
      <c r="F287" s="155" t="s">
        <v>61</v>
      </c>
      <c r="G287" s="181">
        <v>5501017976</v>
      </c>
      <c r="H287" s="155" t="s">
        <v>62</v>
      </c>
      <c r="I287" s="181">
        <v>91</v>
      </c>
      <c r="J287" s="155" t="s">
        <v>63</v>
      </c>
      <c r="K287" s="160">
        <v>1177763</v>
      </c>
      <c r="L287" s="161"/>
      <c r="M287" s="190" t="s">
        <v>64</v>
      </c>
      <c r="N287" s="191"/>
      <c r="O287" s="192">
        <v>46086</v>
      </c>
      <c r="P287" s="155" t="s">
        <v>65</v>
      </c>
      <c r="Q287" s="181">
        <v>4</v>
      </c>
      <c r="R287" s="6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0</v>
      </c>
      <c r="AH287" s="7" t="s">
        <v>0</v>
      </c>
      <c r="AI287" s="7" t="s">
        <v>0</v>
      </c>
      <c r="AJ287" s="7" t="s">
        <v>0</v>
      </c>
      <c r="AK287" s="7" t="s">
        <v>0</v>
      </c>
      <c r="AL287" s="7" t="s">
        <v>0</v>
      </c>
      <c r="AM287" s="7" t="s">
        <v>0</v>
      </c>
      <c r="AN287" s="7" t="s">
        <v>0</v>
      </c>
      <c r="AO287" s="7" t="s">
        <v>0</v>
      </c>
      <c r="AP287" s="7" t="s">
        <v>0</v>
      </c>
      <c r="AQ287" s="7" t="s">
        <v>0</v>
      </c>
      <c r="AR287" s="7" t="s">
        <v>0</v>
      </c>
      <c r="AS287" s="7" t="s">
        <v>0</v>
      </c>
      <c r="AT287" s="7" t="s">
        <v>0</v>
      </c>
      <c r="AU287" s="7" t="s">
        <v>0</v>
      </c>
      <c r="AV287" s="7" t="s">
        <v>0</v>
      </c>
      <c r="AW287" s="7" t="s">
        <v>0</v>
      </c>
      <c r="AX287" s="7" t="s">
        <v>0</v>
      </c>
      <c r="AY287" s="7" t="s">
        <v>0</v>
      </c>
      <c r="AZ287" s="7" t="s">
        <v>0</v>
      </c>
      <c r="BA287" s="7" t="s">
        <v>0</v>
      </c>
      <c r="BB287" s="7" t="s">
        <v>0</v>
      </c>
      <c r="BC287" s="7" t="s">
        <v>0</v>
      </c>
      <c r="BD287" s="7" t="s">
        <v>0</v>
      </c>
      <c r="BE287" s="7" t="s">
        <v>0</v>
      </c>
      <c r="BF287" s="7" t="s">
        <v>0</v>
      </c>
      <c r="BG287" s="7" t="s">
        <v>0</v>
      </c>
      <c r="BH287" s="7" t="s">
        <v>0</v>
      </c>
      <c r="BI287" s="8"/>
      <c r="DL287">
        <f t="shared" si="1447"/>
        <v>0</v>
      </c>
      <c r="DM287">
        <f t="shared" si="1448"/>
        <v>0</v>
      </c>
      <c r="DN287">
        <f t="shared" si="1449"/>
        <v>0</v>
      </c>
      <c r="DO287">
        <f t="shared" si="1450"/>
        <v>0</v>
      </c>
      <c r="DP287">
        <f t="shared" si="1451"/>
        <v>0</v>
      </c>
      <c r="DQ287">
        <f t="shared" si="1452"/>
        <v>0</v>
      </c>
      <c r="DR287">
        <f t="shared" si="1453"/>
        <v>0</v>
      </c>
      <c r="DS287">
        <f t="shared" si="1454"/>
        <v>0</v>
      </c>
      <c r="DT287">
        <f t="shared" si="1455"/>
        <v>0</v>
      </c>
      <c r="DU287">
        <f t="shared" si="1456"/>
        <v>0</v>
      </c>
      <c r="DV287">
        <f t="shared" si="1457"/>
        <v>0</v>
      </c>
      <c r="DW287">
        <f t="shared" si="1458"/>
        <v>0</v>
      </c>
    </row>
    <row r="288" spans="1:127" x14ac:dyDescent="0.25">
      <c r="A288" s="22">
        <f t="shared" si="1446"/>
        <v>282</v>
      </c>
      <c r="B288" s="59" t="str">
        <f t="shared" si="1240"/>
        <v>F0014826403</v>
      </c>
      <c r="C288" s="214" t="str">
        <f t="shared" si="1241"/>
        <v>82115-0EZ50 B</v>
      </c>
      <c r="D288" s="58" t="e">
        <f>VLOOKUP(B288,'Timing Table'!B:G,6,0)</f>
        <v>#N/A</v>
      </c>
      <c r="E288" s="22" t="e">
        <f>VLOOKUP(B288,'Timing Table'!B:D,3,0)</f>
        <v>#N/A</v>
      </c>
      <c r="F288" s="155" t="s">
        <v>66</v>
      </c>
      <c r="G288" s="181" t="s">
        <v>359</v>
      </c>
      <c r="H288" s="155" t="s">
        <v>67</v>
      </c>
      <c r="I288" s="182" t="s">
        <v>360</v>
      </c>
      <c r="J288" s="183"/>
      <c r="K288" s="183"/>
      <c r="L288" s="161"/>
      <c r="M288" s="155" t="s">
        <v>68</v>
      </c>
      <c r="N288" s="181">
        <v>2025</v>
      </c>
      <c r="O288" s="184" t="s">
        <v>69</v>
      </c>
      <c r="P288" s="185"/>
      <c r="Q288" s="193" t="s">
        <v>342</v>
      </c>
      <c r="R288" s="156" t="s">
        <v>0</v>
      </c>
      <c r="S288" s="157" t="s">
        <v>0</v>
      </c>
      <c r="T288" s="157" t="s">
        <v>0</v>
      </c>
      <c r="U288" s="157" t="s">
        <v>0</v>
      </c>
      <c r="V288" s="157" t="s">
        <v>0</v>
      </c>
      <c r="W288" s="157" t="s">
        <v>0</v>
      </c>
      <c r="X288" s="157" t="s">
        <v>0</v>
      </c>
      <c r="Y288" s="157" t="s">
        <v>0</v>
      </c>
      <c r="Z288" s="157" t="s">
        <v>0</v>
      </c>
      <c r="AA288" s="157" t="s">
        <v>0</v>
      </c>
      <c r="AB288" s="157" t="s">
        <v>0</v>
      </c>
      <c r="AC288" s="157" t="s">
        <v>0</v>
      </c>
      <c r="AD288" s="157" t="s">
        <v>0</v>
      </c>
      <c r="AE288" s="157" t="s">
        <v>0</v>
      </c>
      <c r="AF288" s="157" t="s">
        <v>0</v>
      </c>
      <c r="AG288" s="157" t="s">
        <v>0</v>
      </c>
      <c r="AH288" s="157" t="s">
        <v>0</v>
      </c>
      <c r="AI288" s="157" t="s">
        <v>0</v>
      </c>
      <c r="AJ288" s="157" t="s">
        <v>0</v>
      </c>
      <c r="AK288" s="157" t="s">
        <v>0</v>
      </c>
      <c r="AL288" s="157" t="s">
        <v>0</v>
      </c>
      <c r="AM288" s="157" t="s">
        <v>0</v>
      </c>
      <c r="AN288" s="157" t="s">
        <v>0</v>
      </c>
      <c r="AO288" s="157" t="s">
        <v>0</v>
      </c>
      <c r="AP288" s="157" t="s">
        <v>0</v>
      </c>
      <c r="AQ288" s="157" t="s">
        <v>0</v>
      </c>
      <c r="AR288" s="157" t="s">
        <v>0</v>
      </c>
      <c r="AS288" s="157" t="s">
        <v>0</v>
      </c>
      <c r="AT288" s="157" t="s">
        <v>0</v>
      </c>
      <c r="AU288" s="157" t="s">
        <v>0</v>
      </c>
      <c r="AV288" s="157" t="s">
        <v>0</v>
      </c>
      <c r="AW288" s="157" t="s">
        <v>0</v>
      </c>
      <c r="AX288" s="157" t="s">
        <v>0</v>
      </c>
      <c r="AY288" s="157" t="s">
        <v>0</v>
      </c>
      <c r="AZ288" s="157" t="s">
        <v>0</v>
      </c>
      <c r="BA288" s="157" t="s">
        <v>0</v>
      </c>
      <c r="BB288" s="157" t="s">
        <v>0</v>
      </c>
      <c r="BC288" s="157" t="s">
        <v>0</v>
      </c>
      <c r="BD288" s="157" t="s">
        <v>0</v>
      </c>
      <c r="BE288" s="157" t="s">
        <v>0</v>
      </c>
      <c r="BF288" s="157" t="s">
        <v>0</v>
      </c>
      <c r="BG288" s="157" t="s">
        <v>0</v>
      </c>
      <c r="BH288" s="157" t="s">
        <v>0</v>
      </c>
      <c r="BI288" s="158"/>
      <c r="DL288">
        <f t="shared" si="1447"/>
        <v>0</v>
      </c>
      <c r="DM288">
        <f t="shared" si="1448"/>
        <v>0</v>
      </c>
      <c r="DN288">
        <f t="shared" si="1449"/>
        <v>0</v>
      </c>
      <c r="DO288">
        <f t="shared" si="1450"/>
        <v>0</v>
      </c>
      <c r="DP288">
        <f t="shared" si="1451"/>
        <v>0</v>
      </c>
      <c r="DQ288">
        <f t="shared" si="1452"/>
        <v>0</v>
      </c>
      <c r="DR288">
        <f t="shared" si="1453"/>
        <v>0</v>
      </c>
      <c r="DS288">
        <f t="shared" si="1454"/>
        <v>0</v>
      </c>
      <c r="DT288">
        <f t="shared" si="1455"/>
        <v>0</v>
      </c>
      <c r="DU288">
        <f t="shared" si="1456"/>
        <v>0</v>
      </c>
      <c r="DV288">
        <f t="shared" si="1457"/>
        <v>0</v>
      </c>
      <c r="DW288">
        <f t="shared" si="1458"/>
        <v>0</v>
      </c>
    </row>
    <row r="289" spans="1:127" x14ac:dyDescent="0.25">
      <c r="A289" s="22">
        <f t="shared" si="1446"/>
        <v>283</v>
      </c>
      <c r="B289" s="59" t="str">
        <f t="shared" si="1240"/>
        <v>F0014826403</v>
      </c>
      <c r="C289" s="214" t="str">
        <f t="shared" si="1241"/>
        <v>82115-0EZ50 B</v>
      </c>
      <c r="D289" s="58" t="e">
        <f>VLOOKUP(B289,'Timing Table'!B:G,6,0)</f>
        <v>#N/A</v>
      </c>
      <c r="E289" s="22" t="e">
        <f>VLOOKUP(B289,'Timing Table'!B:D,3,0)</f>
        <v>#N/A</v>
      </c>
      <c r="F289" s="155" t="s">
        <v>70</v>
      </c>
      <c r="G289" s="181" t="s">
        <v>361</v>
      </c>
      <c r="H289" s="155" t="s">
        <v>71</v>
      </c>
      <c r="I289" s="182" t="s">
        <v>60</v>
      </c>
      <c r="J289" s="161" t="s">
        <v>0</v>
      </c>
      <c r="K289" s="194" t="s">
        <v>0</v>
      </c>
      <c r="L289" s="195" t="s">
        <v>0</v>
      </c>
      <c r="M289" s="179" t="s">
        <v>0</v>
      </c>
      <c r="N289" s="179" t="s">
        <v>0</v>
      </c>
      <c r="O289" s="179" t="s">
        <v>0</v>
      </c>
      <c r="P289" s="179" t="s">
        <v>0</v>
      </c>
      <c r="Q289" s="179" t="s">
        <v>1</v>
      </c>
      <c r="R289" s="179" t="s">
        <v>2</v>
      </c>
      <c r="S289" s="179" t="s">
        <v>0</v>
      </c>
      <c r="T289" s="179" t="s">
        <v>0</v>
      </c>
      <c r="U289" s="179" t="s">
        <v>0</v>
      </c>
      <c r="V289" s="179" t="s">
        <v>0</v>
      </c>
      <c r="W289" s="179" t="s">
        <v>0</v>
      </c>
      <c r="X289" s="179" t="s">
        <v>0</v>
      </c>
      <c r="Y289" s="179" t="s">
        <v>0</v>
      </c>
      <c r="Z289" s="179" t="s">
        <v>3</v>
      </c>
      <c r="AA289" s="179" t="s">
        <v>0</v>
      </c>
      <c r="AB289" s="179" t="s">
        <v>0</v>
      </c>
      <c r="AC289" s="179" t="s">
        <v>0</v>
      </c>
      <c r="AD289" s="179" t="s">
        <v>0</v>
      </c>
      <c r="AE289" s="179" t="s">
        <v>0</v>
      </c>
      <c r="AF289" s="179" t="s">
        <v>0</v>
      </c>
      <c r="AG289" s="179" t="s">
        <v>0</v>
      </c>
      <c r="AH289" s="179" t="s">
        <v>0</v>
      </c>
      <c r="AI289" s="179" t="s">
        <v>0</v>
      </c>
      <c r="AJ289" s="179" t="s">
        <v>0</v>
      </c>
      <c r="AK289" s="179" t="s">
        <v>0</v>
      </c>
      <c r="AL289" s="179" t="s">
        <v>0</v>
      </c>
      <c r="AM289" s="179" t="s">
        <v>0</v>
      </c>
      <c r="AN289" s="179" t="s">
        <v>0</v>
      </c>
      <c r="AO289" s="179" t="s">
        <v>0</v>
      </c>
      <c r="AP289" s="179" t="s">
        <v>0</v>
      </c>
      <c r="AQ289" s="179" t="s">
        <v>0</v>
      </c>
      <c r="AR289" s="179" t="s">
        <v>0</v>
      </c>
      <c r="AS289" s="179" t="s">
        <v>0</v>
      </c>
      <c r="AT289" s="179" t="s">
        <v>0</v>
      </c>
      <c r="AU289" s="179" t="s">
        <v>0</v>
      </c>
      <c r="AV289" s="179" t="s">
        <v>0</v>
      </c>
      <c r="AW289" s="179" t="s">
        <v>0</v>
      </c>
      <c r="AX289" s="179" t="s">
        <v>0</v>
      </c>
      <c r="AY289" s="179" t="s">
        <v>0</v>
      </c>
      <c r="AZ289" s="179" t="s">
        <v>0</v>
      </c>
      <c r="BA289" s="179" t="s">
        <v>0</v>
      </c>
      <c r="BB289" s="179" t="s">
        <v>0</v>
      </c>
      <c r="BC289" s="179" t="s">
        <v>0</v>
      </c>
      <c r="BD289" s="179" t="s">
        <v>0</v>
      </c>
      <c r="BE289" s="179" t="s">
        <v>0</v>
      </c>
      <c r="BF289" s="179" t="s">
        <v>0</v>
      </c>
      <c r="BG289" s="179" t="s">
        <v>0</v>
      </c>
      <c r="BH289" s="179" t="s">
        <v>0</v>
      </c>
      <c r="BI289" s="180" t="s">
        <v>4</v>
      </c>
      <c r="DL289">
        <f t="shared" si="1447"/>
        <v>0</v>
      </c>
      <c r="DM289">
        <f t="shared" si="1448"/>
        <v>0</v>
      </c>
      <c r="DN289">
        <f t="shared" si="1449"/>
        <v>0</v>
      </c>
      <c r="DO289">
        <f t="shared" si="1450"/>
        <v>0</v>
      </c>
      <c r="DP289">
        <f t="shared" si="1451"/>
        <v>0</v>
      </c>
      <c r="DQ289">
        <f t="shared" si="1452"/>
        <v>0</v>
      </c>
      <c r="DR289">
        <f t="shared" si="1453"/>
        <v>0</v>
      </c>
      <c r="DS289">
        <f t="shared" si="1454"/>
        <v>0</v>
      </c>
      <c r="DT289">
        <f t="shared" si="1455"/>
        <v>0</v>
      </c>
      <c r="DU289">
        <f t="shared" si="1456"/>
        <v>0</v>
      </c>
      <c r="DV289">
        <f t="shared" si="1457"/>
        <v>0</v>
      </c>
      <c r="DW289">
        <f t="shared" si="1458"/>
        <v>0</v>
      </c>
    </row>
    <row r="290" spans="1:127" x14ac:dyDescent="0.25">
      <c r="A290" s="22">
        <f t="shared" si="1446"/>
        <v>284</v>
      </c>
      <c r="B290" s="59" t="str">
        <f t="shared" si="1240"/>
        <v>F0014826403</v>
      </c>
      <c r="C290" s="214" t="str">
        <f t="shared" si="1241"/>
        <v>82115-0EZ50 B</v>
      </c>
      <c r="D290" s="58" t="e">
        <f>VLOOKUP(B290,'Timing Table'!B:G,6,0)</f>
        <v>#N/A</v>
      </c>
      <c r="E290" s="22" t="e">
        <f>VLOOKUP(B290,'Timing Table'!B:D,3,0)</f>
        <v>#N/A</v>
      </c>
      <c r="F290" s="155" t="s">
        <v>72</v>
      </c>
      <c r="G290" s="181">
        <v>0</v>
      </c>
      <c r="H290" s="196" t="s">
        <v>414</v>
      </c>
      <c r="I290" s="197" t="s">
        <v>73</v>
      </c>
      <c r="J290" s="13">
        <v>46041</v>
      </c>
      <c r="K290" s="14">
        <v>46048</v>
      </c>
      <c r="L290" s="14">
        <v>46055</v>
      </c>
      <c r="M290" s="14">
        <v>46062</v>
      </c>
      <c r="N290" s="14">
        <v>46069</v>
      </c>
      <c r="O290" s="14">
        <v>46076</v>
      </c>
      <c r="P290" s="14">
        <v>46083</v>
      </c>
      <c r="Q290" s="14">
        <v>46090</v>
      </c>
      <c r="R290" s="14">
        <v>46097</v>
      </c>
      <c r="S290" s="14">
        <v>46104</v>
      </c>
      <c r="T290" s="14">
        <v>46111</v>
      </c>
      <c r="U290" s="14">
        <v>46118</v>
      </c>
      <c r="V290" s="14">
        <v>46125</v>
      </c>
      <c r="W290" s="14">
        <v>46132</v>
      </c>
      <c r="X290" s="14">
        <v>46139</v>
      </c>
      <c r="Y290" s="14">
        <v>46146</v>
      </c>
      <c r="Z290" s="14">
        <v>46153</v>
      </c>
      <c r="AA290" s="14">
        <v>46160</v>
      </c>
      <c r="AB290" s="14">
        <v>46167</v>
      </c>
      <c r="AC290" s="14">
        <v>46174</v>
      </c>
      <c r="AD290" s="14">
        <v>46181</v>
      </c>
      <c r="AE290" s="14">
        <v>46188</v>
      </c>
      <c r="AF290" s="14">
        <v>46195</v>
      </c>
      <c r="AG290" s="14">
        <v>46202</v>
      </c>
      <c r="AH290" s="14">
        <v>46209</v>
      </c>
      <c r="AI290" s="14">
        <v>46216</v>
      </c>
      <c r="AJ290" s="14">
        <v>46223</v>
      </c>
      <c r="AK290" s="14">
        <v>46230</v>
      </c>
      <c r="AL290" s="14">
        <v>46237</v>
      </c>
      <c r="AM290" s="14">
        <v>46244</v>
      </c>
      <c r="AN290" s="14">
        <v>46251</v>
      </c>
      <c r="AO290" s="14">
        <v>46258</v>
      </c>
      <c r="AP290" s="14">
        <v>46265</v>
      </c>
      <c r="AQ290" s="14">
        <v>46272</v>
      </c>
      <c r="AR290" s="14">
        <v>46279</v>
      </c>
      <c r="AS290" s="14">
        <v>46286</v>
      </c>
      <c r="AT290" s="14">
        <v>46293</v>
      </c>
      <c r="AU290" s="14">
        <v>46300</v>
      </c>
      <c r="AV290" s="14">
        <v>46307</v>
      </c>
      <c r="AW290" s="14">
        <v>46314</v>
      </c>
      <c r="AX290" s="14">
        <v>46321</v>
      </c>
      <c r="AY290" s="14">
        <v>46328</v>
      </c>
      <c r="AZ290" s="14">
        <v>46335</v>
      </c>
      <c r="BA290" s="14">
        <v>46342</v>
      </c>
      <c r="BB290" s="14">
        <v>46349</v>
      </c>
      <c r="BC290" s="14">
        <v>46356</v>
      </c>
      <c r="BD290" s="14">
        <v>46363</v>
      </c>
      <c r="BE290" s="14">
        <v>46370</v>
      </c>
      <c r="BF290" s="14">
        <v>46377</v>
      </c>
      <c r="BG290" s="14">
        <v>46384</v>
      </c>
      <c r="BH290" s="14">
        <v>46391</v>
      </c>
      <c r="BI290" s="15">
        <v>46398</v>
      </c>
      <c r="DL290">
        <f t="shared" si="1447"/>
        <v>0</v>
      </c>
      <c r="DM290">
        <f t="shared" si="1448"/>
        <v>0</v>
      </c>
      <c r="DN290">
        <f t="shared" si="1449"/>
        <v>0</v>
      </c>
      <c r="DO290">
        <f t="shared" si="1450"/>
        <v>0</v>
      </c>
      <c r="DP290">
        <f t="shared" si="1451"/>
        <v>0</v>
      </c>
      <c r="DQ290">
        <f t="shared" si="1452"/>
        <v>0</v>
      </c>
      <c r="DR290">
        <f t="shared" si="1453"/>
        <v>0</v>
      </c>
      <c r="DS290">
        <f t="shared" si="1454"/>
        <v>0</v>
      </c>
      <c r="DT290">
        <f t="shared" si="1455"/>
        <v>0</v>
      </c>
      <c r="DU290">
        <f t="shared" si="1456"/>
        <v>0</v>
      </c>
      <c r="DV290">
        <f t="shared" si="1457"/>
        <v>0</v>
      </c>
      <c r="DW290">
        <f t="shared" si="1458"/>
        <v>0</v>
      </c>
    </row>
    <row r="291" spans="1:127" x14ac:dyDescent="0.25">
      <c r="A291" s="22">
        <f t="shared" si="1446"/>
        <v>285</v>
      </c>
      <c r="B291" s="59" t="str">
        <f t="shared" si="1240"/>
        <v>F0014826403</v>
      </c>
      <c r="C291" s="214" t="str">
        <f t="shared" si="1241"/>
        <v>82115-0EZ50 B</v>
      </c>
      <c r="D291" s="58" t="e">
        <f>VLOOKUP(B291,'Timing Table'!B:G,6,0)</f>
        <v>#N/A</v>
      </c>
      <c r="E291" s="22" t="e">
        <f>VLOOKUP(B291,'Timing Table'!B:D,3,0)</f>
        <v>#N/A</v>
      </c>
      <c r="F291" s="155" t="s">
        <v>74</v>
      </c>
      <c r="G291" s="181">
        <v>8</v>
      </c>
      <c r="H291" s="5" t="s">
        <v>60</v>
      </c>
      <c r="I291" s="11" t="s">
        <v>147</v>
      </c>
      <c r="J291" s="16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17"/>
      <c r="DL291">
        <f t="shared" si="1447"/>
        <v>0</v>
      </c>
      <c r="DM291">
        <f t="shared" si="1448"/>
        <v>0</v>
      </c>
      <c r="DN291">
        <f t="shared" si="1449"/>
        <v>0</v>
      </c>
      <c r="DO291">
        <f t="shared" si="1450"/>
        <v>0</v>
      </c>
      <c r="DP291">
        <f t="shared" si="1451"/>
        <v>0</v>
      </c>
      <c r="DQ291">
        <f t="shared" si="1452"/>
        <v>0</v>
      </c>
      <c r="DR291">
        <f t="shared" si="1453"/>
        <v>0</v>
      </c>
      <c r="DS291">
        <f t="shared" si="1454"/>
        <v>0</v>
      </c>
      <c r="DT291">
        <f t="shared" si="1455"/>
        <v>0</v>
      </c>
      <c r="DU291">
        <f t="shared" si="1456"/>
        <v>0</v>
      </c>
      <c r="DV291">
        <f t="shared" si="1457"/>
        <v>0</v>
      </c>
      <c r="DW291">
        <f t="shared" si="1458"/>
        <v>0</v>
      </c>
    </row>
    <row r="292" spans="1:127" x14ac:dyDescent="0.25">
      <c r="A292" s="22">
        <f t="shared" si="1446"/>
        <v>286</v>
      </c>
      <c r="B292" s="59" t="str">
        <f t="shared" si="1240"/>
        <v>F0014826403</v>
      </c>
      <c r="C292" s="214" t="str">
        <f t="shared" si="1241"/>
        <v>82115-0EZ50 B</v>
      </c>
      <c r="D292" s="58" t="e">
        <f>VLOOKUP(B292,'Timing Table'!B:G,6,0)</f>
        <v>#N/A</v>
      </c>
      <c r="E292" s="22" t="e">
        <f>VLOOKUP(B292,'Timing Table'!B:D,3,0)</f>
        <v>#N/A</v>
      </c>
      <c r="F292" s="155" t="s">
        <v>75</v>
      </c>
      <c r="G292" s="198" t="s">
        <v>257</v>
      </c>
      <c r="H292" s="9" t="s">
        <v>247</v>
      </c>
      <c r="I292" s="11" t="s">
        <v>76</v>
      </c>
      <c r="J292" s="143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>
        <v>0</v>
      </c>
      <c r="AA292" s="64">
        <v>0</v>
      </c>
      <c r="AB292" s="64">
        <v>0</v>
      </c>
      <c r="AC292" s="64">
        <v>0</v>
      </c>
      <c r="AD292" s="64">
        <v>0</v>
      </c>
      <c r="AE292" s="64">
        <v>0</v>
      </c>
      <c r="AF292" s="64">
        <v>0</v>
      </c>
      <c r="AG292" s="64">
        <v>0</v>
      </c>
      <c r="AH292" s="64">
        <v>0</v>
      </c>
      <c r="AI292" s="64">
        <v>0</v>
      </c>
      <c r="AJ292" s="64">
        <v>0</v>
      </c>
      <c r="AK292" s="64">
        <v>0</v>
      </c>
      <c r="AL292" s="64">
        <v>0</v>
      </c>
      <c r="AM292" s="64">
        <v>0</v>
      </c>
      <c r="AN292" s="64">
        <v>0</v>
      </c>
      <c r="AO292" s="64">
        <v>0</v>
      </c>
      <c r="AP292" s="64">
        <v>0</v>
      </c>
      <c r="AQ292" s="64">
        <v>0</v>
      </c>
      <c r="AR292" s="64">
        <v>0</v>
      </c>
      <c r="AS292" s="64">
        <v>0</v>
      </c>
      <c r="AT292" s="64">
        <v>0</v>
      </c>
      <c r="AU292" s="64">
        <v>0</v>
      </c>
      <c r="AV292" s="64">
        <v>0</v>
      </c>
      <c r="AW292" s="64">
        <v>0</v>
      </c>
      <c r="AX292" s="64">
        <v>0</v>
      </c>
      <c r="AY292" s="64">
        <v>0</v>
      </c>
      <c r="AZ292" s="64">
        <v>0</v>
      </c>
      <c r="BA292" s="64">
        <v>0</v>
      </c>
      <c r="BB292" s="64">
        <v>0</v>
      </c>
      <c r="BC292" s="64">
        <v>0</v>
      </c>
      <c r="BD292" s="64">
        <v>0</v>
      </c>
      <c r="BE292" s="64">
        <v>0</v>
      </c>
      <c r="BF292" s="64">
        <v>0</v>
      </c>
      <c r="BG292" s="64">
        <v>0</v>
      </c>
      <c r="BH292" s="64">
        <v>0</v>
      </c>
      <c r="BI292" s="144">
        <v>0</v>
      </c>
      <c r="BJ292" s="24" t="str">
        <f>+G289</f>
        <v>82115-0EZ50 B</v>
      </c>
      <c r="BK292" s="24">
        <f>+J292</f>
        <v>0</v>
      </c>
      <c r="BL292" s="24">
        <f t="shared" ref="BL292" si="1561">+K292</f>
        <v>0</v>
      </c>
      <c r="BM292" s="24">
        <f t="shared" ref="BM292" si="1562">+L292</f>
        <v>0</v>
      </c>
      <c r="BN292" s="24">
        <f t="shared" ref="BN292" si="1563">+M292</f>
        <v>0</v>
      </c>
      <c r="BO292" s="24">
        <f t="shared" ref="BO292" si="1564">+N292</f>
        <v>0</v>
      </c>
      <c r="BP292" s="24">
        <f t="shared" ref="BP292" si="1565">+O292</f>
        <v>0</v>
      </c>
      <c r="BQ292" s="24">
        <f t="shared" ref="BQ292" si="1566">+P292</f>
        <v>0</v>
      </c>
      <c r="BR292" s="24">
        <f t="shared" ref="BR292" si="1567">+Q292</f>
        <v>0</v>
      </c>
      <c r="BS292" s="24">
        <f t="shared" ref="BS292" si="1568">+R292</f>
        <v>0</v>
      </c>
      <c r="BT292" s="24">
        <f t="shared" ref="BT292" si="1569">+S292</f>
        <v>0</v>
      </c>
      <c r="BU292" s="24">
        <f t="shared" ref="BU292" si="1570">+T292</f>
        <v>0</v>
      </c>
      <c r="BV292" s="24">
        <f t="shared" ref="BV292" si="1571">+U292</f>
        <v>0</v>
      </c>
      <c r="BW292" s="24">
        <f t="shared" ref="BW292" si="1572">+V292</f>
        <v>0</v>
      </c>
      <c r="BX292" s="24">
        <f t="shared" ref="BX292" si="1573">+W292</f>
        <v>0</v>
      </c>
      <c r="BY292" s="24">
        <f t="shared" ref="BY292" si="1574">+X292</f>
        <v>0</v>
      </c>
      <c r="BZ292" s="24">
        <f t="shared" ref="BZ292" si="1575">+Y292</f>
        <v>0</v>
      </c>
      <c r="CA292" s="24">
        <f t="shared" ref="CA292" si="1576">+Z292</f>
        <v>0</v>
      </c>
      <c r="CB292" s="24">
        <f t="shared" ref="CB292" si="1577">+AA292</f>
        <v>0</v>
      </c>
      <c r="CC292" s="24">
        <f t="shared" ref="CC292" si="1578">+AB292</f>
        <v>0</v>
      </c>
      <c r="CD292" s="24">
        <f t="shared" ref="CD292" si="1579">+AC292</f>
        <v>0</v>
      </c>
      <c r="CE292" s="24">
        <f t="shared" ref="CE292" si="1580">+AD292</f>
        <v>0</v>
      </c>
      <c r="CF292" s="24">
        <f t="shared" ref="CF292" si="1581">+AE292</f>
        <v>0</v>
      </c>
      <c r="CG292" s="24">
        <f t="shared" ref="CG292" si="1582">+AF292</f>
        <v>0</v>
      </c>
      <c r="CH292" s="24">
        <f t="shared" ref="CH292" si="1583">+AG292</f>
        <v>0</v>
      </c>
      <c r="CI292" s="24">
        <f t="shared" ref="CI292" si="1584">+AH292</f>
        <v>0</v>
      </c>
      <c r="CJ292" s="24">
        <f t="shared" ref="CJ292" si="1585">+AI292</f>
        <v>0</v>
      </c>
      <c r="CK292" s="24">
        <f t="shared" ref="CK292" si="1586">+AJ292</f>
        <v>0</v>
      </c>
      <c r="CL292" s="24">
        <f t="shared" ref="CL292" si="1587">+AK292</f>
        <v>0</v>
      </c>
      <c r="CM292" s="24">
        <f t="shared" ref="CM292" si="1588">+AL292</f>
        <v>0</v>
      </c>
      <c r="CN292" s="24">
        <f t="shared" ref="CN292" si="1589">+AM292</f>
        <v>0</v>
      </c>
      <c r="CO292" s="24">
        <f t="shared" ref="CO292" si="1590">+AN292</f>
        <v>0</v>
      </c>
      <c r="CP292" s="166">
        <f t="shared" ref="CP292" si="1591">+AO292</f>
        <v>0</v>
      </c>
      <c r="CQ292" s="166">
        <f t="shared" ref="CQ292" si="1592">+AP292</f>
        <v>0</v>
      </c>
      <c r="CR292">
        <f t="shared" ref="CR292" si="1593">+AQ292</f>
        <v>0</v>
      </c>
      <c r="CS292">
        <f t="shared" ref="CS292" si="1594">+AR292</f>
        <v>0</v>
      </c>
      <c r="CT292">
        <f t="shared" ref="CT292" si="1595">+AS292</f>
        <v>0</v>
      </c>
      <c r="CU292">
        <f t="shared" ref="CU292" si="1596">+AT292</f>
        <v>0</v>
      </c>
      <c r="CV292">
        <f t="shared" ref="CV292" si="1597">+AU292</f>
        <v>0</v>
      </c>
      <c r="CW292">
        <f t="shared" ref="CW292" si="1598">+AV292</f>
        <v>0</v>
      </c>
      <c r="CX292">
        <f t="shared" ref="CX292" si="1599">+AW292</f>
        <v>0</v>
      </c>
      <c r="CY292">
        <f t="shared" ref="CY292" si="1600">+AX292</f>
        <v>0</v>
      </c>
      <c r="CZ292">
        <f t="shared" ref="CZ292" si="1601">+AY292</f>
        <v>0</v>
      </c>
      <c r="DA292">
        <f t="shared" ref="DA292" si="1602">+AZ292</f>
        <v>0</v>
      </c>
      <c r="DB292">
        <f t="shared" ref="DB292" si="1603">+BA292</f>
        <v>0</v>
      </c>
      <c r="DC292">
        <f t="shared" ref="DC292" si="1604">+BB292</f>
        <v>0</v>
      </c>
      <c r="DD292">
        <f t="shared" ref="DD292" si="1605">+BC292</f>
        <v>0</v>
      </c>
      <c r="DE292">
        <f t="shared" ref="DE292" si="1606">+BD292</f>
        <v>0</v>
      </c>
      <c r="DF292">
        <f t="shared" ref="DF292" si="1607">+BE292</f>
        <v>0</v>
      </c>
      <c r="DG292">
        <f t="shared" ref="DG292" si="1608">+BF292</f>
        <v>0</v>
      </c>
      <c r="DH292">
        <f t="shared" ref="DH292" si="1609">+BG292</f>
        <v>0</v>
      </c>
      <c r="DI292">
        <f t="shared" ref="DI292" si="1610">+BH292</f>
        <v>0</v>
      </c>
      <c r="DJ292">
        <f t="shared" ref="DJ292" si="1611">+BI292</f>
        <v>0</v>
      </c>
      <c r="DL292" s="24">
        <f t="shared" si="1447"/>
        <v>0</v>
      </c>
      <c r="DM292" s="24">
        <f t="shared" si="1448"/>
        <v>0</v>
      </c>
      <c r="DN292" s="24">
        <f t="shared" si="1449"/>
        <v>0</v>
      </c>
      <c r="DO292" s="24">
        <f t="shared" si="1450"/>
        <v>0</v>
      </c>
      <c r="DP292" s="24">
        <f t="shared" si="1451"/>
        <v>0</v>
      </c>
      <c r="DQ292" s="24">
        <f t="shared" si="1452"/>
        <v>0</v>
      </c>
      <c r="DR292" s="24">
        <f t="shared" si="1453"/>
        <v>0</v>
      </c>
      <c r="DS292" s="24">
        <f t="shared" si="1454"/>
        <v>0</v>
      </c>
      <c r="DT292" s="24">
        <f t="shared" si="1455"/>
        <v>0</v>
      </c>
      <c r="DU292">
        <f t="shared" si="1456"/>
        <v>0</v>
      </c>
      <c r="DV292">
        <f t="shared" si="1457"/>
        <v>0</v>
      </c>
      <c r="DW292">
        <f t="shared" si="1458"/>
        <v>0</v>
      </c>
    </row>
    <row r="293" spans="1:127" x14ac:dyDescent="0.25">
      <c r="A293" s="22">
        <f t="shared" si="1446"/>
        <v>287</v>
      </c>
      <c r="B293" s="59" t="str">
        <f t="shared" si="1240"/>
        <v>F0014826403</v>
      </c>
      <c r="C293" s="214" t="str">
        <f t="shared" si="1241"/>
        <v>82115-0EZ50 B</v>
      </c>
      <c r="D293" s="58" t="e">
        <f>VLOOKUP(B293,'Timing Table'!B:G,6,0)</f>
        <v>#N/A</v>
      </c>
      <c r="E293" s="22" t="e">
        <f>VLOOKUP(B293,'Timing Table'!B:D,3,0)</f>
        <v>#N/A</v>
      </c>
      <c r="F293" s="155" t="s">
        <v>77</v>
      </c>
      <c r="G293" s="181">
        <v>82115</v>
      </c>
      <c r="H293" s="10" t="s">
        <v>247</v>
      </c>
      <c r="I293" s="12" t="s">
        <v>78</v>
      </c>
      <c r="J293" s="152">
        <v>0</v>
      </c>
      <c r="K293" s="153">
        <v>0</v>
      </c>
      <c r="L293" s="153">
        <v>0</v>
      </c>
      <c r="M293" s="153">
        <v>0</v>
      </c>
      <c r="N293" s="153">
        <v>0</v>
      </c>
      <c r="O293" s="153">
        <v>0</v>
      </c>
      <c r="P293" s="153">
        <v>0</v>
      </c>
      <c r="Q293" s="153">
        <v>0</v>
      </c>
      <c r="R293" s="153">
        <v>0</v>
      </c>
      <c r="S293" s="153">
        <v>0</v>
      </c>
      <c r="T293" s="153">
        <v>0</v>
      </c>
      <c r="U293" s="153">
        <v>0</v>
      </c>
      <c r="V293" s="153">
        <v>0</v>
      </c>
      <c r="W293" s="153">
        <v>0</v>
      </c>
      <c r="X293" s="153">
        <v>0</v>
      </c>
      <c r="Y293" s="153">
        <v>0</v>
      </c>
      <c r="Z293" s="153">
        <v>0</v>
      </c>
      <c r="AA293" s="153">
        <v>0</v>
      </c>
      <c r="AB293" s="153">
        <v>0</v>
      </c>
      <c r="AC293" s="153">
        <v>0</v>
      </c>
      <c r="AD293" s="153">
        <v>0</v>
      </c>
      <c r="AE293" s="153">
        <v>0</v>
      </c>
      <c r="AF293" s="153">
        <v>0</v>
      </c>
      <c r="AG293" s="153">
        <v>0</v>
      </c>
      <c r="AH293" s="153">
        <v>0</v>
      </c>
      <c r="AI293" s="153">
        <v>0</v>
      </c>
      <c r="AJ293" s="153">
        <v>0</v>
      </c>
      <c r="AK293" s="153">
        <v>0</v>
      </c>
      <c r="AL293" s="153">
        <v>0</v>
      </c>
      <c r="AM293" s="153">
        <v>0</v>
      </c>
      <c r="AN293" s="153">
        <v>0</v>
      </c>
      <c r="AO293" s="153">
        <v>0</v>
      </c>
      <c r="AP293" s="153">
        <v>0</v>
      </c>
      <c r="AQ293" s="153">
        <v>0</v>
      </c>
      <c r="AR293" s="153">
        <v>0</v>
      </c>
      <c r="AS293" s="153">
        <v>0</v>
      </c>
      <c r="AT293" s="153">
        <v>0</v>
      </c>
      <c r="AU293" s="153">
        <v>0</v>
      </c>
      <c r="AV293" s="153">
        <v>0</v>
      </c>
      <c r="AW293" s="153">
        <v>0</v>
      </c>
      <c r="AX293" s="153">
        <v>0</v>
      </c>
      <c r="AY293" s="153">
        <v>0</v>
      </c>
      <c r="AZ293" s="153">
        <v>0</v>
      </c>
      <c r="BA293" s="153">
        <v>0</v>
      </c>
      <c r="BB293" s="153">
        <v>0</v>
      </c>
      <c r="BC293" s="153">
        <v>0</v>
      </c>
      <c r="BD293" s="153">
        <v>0</v>
      </c>
      <c r="BE293" s="153">
        <v>0</v>
      </c>
      <c r="BF293" s="153">
        <v>0</v>
      </c>
      <c r="BG293" s="153">
        <v>0</v>
      </c>
      <c r="BH293" s="153">
        <v>0</v>
      </c>
      <c r="BI293" s="154">
        <v>0</v>
      </c>
      <c r="DL293">
        <f t="shared" si="1447"/>
        <v>0</v>
      </c>
      <c r="DM293">
        <f t="shared" si="1448"/>
        <v>0</v>
      </c>
      <c r="DN293">
        <f t="shared" si="1449"/>
        <v>0</v>
      </c>
      <c r="DO293">
        <f t="shared" si="1450"/>
        <v>0</v>
      </c>
      <c r="DP293">
        <f t="shared" si="1451"/>
        <v>0</v>
      </c>
      <c r="DQ293">
        <f t="shared" si="1452"/>
        <v>0</v>
      </c>
      <c r="DR293">
        <f t="shared" si="1453"/>
        <v>0</v>
      </c>
      <c r="DS293">
        <f t="shared" si="1454"/>
        <v>0</v>
      </c>
      <c r="DT293">
        <f t="shared" si="1455"/>
        <v>0</v>
      </c>
      <c r="DU293">
        <f t="shared" si="1456"/>
        <v>0</v>
      </c>
      <c r="DV293">
        <f t="shared" si="1457"/>
        <v>0</v>
      </c>
      <c r="DW293">
        <f t="shared" si="1458"/>
        <v>0</v>
      </c>
    </row>
    <row r="294" spans="1:127" x14ac:dyDescent="0.25">
      <c r="A294" s="22">
        <f t="shared" si="1446"/>
        <v>288</v>
      </c>
      <c r="B294" s="59" t="str">
        <f t="shared" si="1240"/>
        <v>F0014826403</v>
      </c>
      <c r="C294" s="214" t="str">
        <f t="shared" si="1241"/>
        <v>82115-0EZ50 B</v>
      </c>
      <c r="D294" s="58" t="e">
        <f>VLOOKUP(B294,'Timing Table'!B:G,6,0)</f>
        <v>#N/A</v>
      </c>
      <c r="E294" s="22" t="e">
        <f>VLOOKUP(B294,'Timing Table'!B:D,3,0)</f>
        <v>#N/A</v>
      </c>
      <c r="F294" s="155" t="s">
        <v>79</v>
      </c>
      <c r="G294" s="199">
        <v>0</v>
      </c>
      <c r="H294" s="184" t="s">
        <v>80</v>
      </c>
      <c r="I294" s="185"/>
      <c r="J294" s="200"/>
      <c r="K294" s="156"/>
      <c r="L294" s="157" t="s">
        <v>0</v>
      </c>
      <c r="M294" s="157" t="s">
        <v>0</v>
      </c>
      <c r="N294" s="157" t="s">
        <v>0</v>
      </c>
      <c r="O294" s="157" t="s">
        <v>0</v>
      </c>
      <c r="P294" s="157" t="s">
        <v>0</v>
      </c>
      <c r="Q294" s="157" t="s">
        <v>0</v>
      </c>
      <c r="R294" s="157" t="s">
        <v>0</v>
      </c>
      <c r="S294" s="157" t="s">
        <v>0</v>
      </c>
      <c r="T294" s="157" t="s">
        <v>0</v>
      </c>
      <c r="U294" s="157" t="s">
        <v>0</v>
      </c>
      <c r="V294" s="157" t="s">
        <v>0</v>
      </c>
      <c r="W294" s="157" t="s">
        <v>0</v>
      </c>
      <c r="X294" s="157" t="s">
        <v>0</v>
      </c>
      <c r="Y294" s="157" t="s">
        <v>0</v>
      </c>
      <c r="Z294" s="157" t="s">
        <v>0</v>
      </c>
      <c r="AA294" s="157" t="s">
        <v>0</v>
      </c>
      <c r="AB294" s="157" t="s">
        <v>0</v>
      </c>
      <c r="AC294" s="157" t="s">
        <v>0</v>
      </c>
      <c r="AD294" s="157" t="s">
        <v>0</v>
      </c>
      <c r="AE294" s="157" t="s">
        <v>0</v>
      </c>
      <c r="AF294" s="157" t="s">
        <v>0</v>
      </c>
      <c r="AG294" s="157" t="s">
        <v>0</v>
      </c>
      <c r="AH294" s="157" t="s">
        <v>0</v>
      </c>
      <c r="AI294" s="157" t="s">
        <v>0</v>
      </c>
      <c r="AJ294" s="157" t="s">
        <v>0</v>
      </c>
      <c r="AK294" s="157" t="s">
        <v>0</v>
      </c>
      <c r="AL294" s="157" t="s">
        <v>0</v>
      </c>
      <c r="AM294" s="157" t="s">
        <v>0</v>
      </c>
      <c r="AN294" s="157" t="s">
        <v>0</v>
      </c>
      <c r="AO294" s="157" t="s">
        <v>0</v>
      </c>
      <c r="AP294" s="157" t="s">
        <v>0</v>
      </c>
      <c r="AQ294" s="157" t="s">
        <v>0</v>
      </c>
      <c r="AR294" s="157" t="s">
        <v>0</v>
      </c>
      <c r="AS294" s="157" t="s">
        <v>0</v>
      </c>
      <c r="AT294" s="157" t="s">
        <v>0</v>
      </c>
      <c r="AU294" s="157" t="s">
        <v>0</v>
      </c>
      <c r="AV294" s="157" t="s">
        <v>0</v>
      </c>
      <c r="AW294" s="157" t="s">
        <v>0</v>
      </c>
      <c r="AX294" s="157" t="s">
        <v>0</v>
      </c>
      <c r="AY294" s="157" t="s">
        <v>0</v>
      </c>
      <c r="AZ294" s="157" t="s">
        <v>0</v>
      </c>
      <c r="BA294" s="157" t="s">
        <v>0</v>
      </c>
      <c r="BB294" s="157" t="s">
        <v>0</v>
      </c>
      <c r="BC294" s="157" t="s">
        <v>0</v>
      </c>
      <c r="BD294" s="157" t="s">
        <v>0</v>
      </c>
      <c r="BE294" s="157" t="s">
        <v>0</v>
      </c>
      <c r="BF294" s="157" t="s">
        <v>0</v>
      </c>
      <c r="BG294" s="157" t="s">
        <v>0</v>
      </c>
      <c r="BH294" s="157" t="s">
        <v>0</v>
      </c>
      <c r="BI294" s="158"/>
      <c r="DL294">
        <f t="shared" si="1447"/>
        <v>0</v>
      </c>
      <c r="DM294">
        <f t="shared" si="1448"/>
        <v>0</v>
      </c>
      <c r="DN294">
        <f t="shared" si="1449"/>
        <v>0</v>
      </c>
      <c r="DO294">
        <f t="shared" si="1450"/>
        <v>0</v>
      </c>
      <c r="DP294">
        <f t="shared" si="1451"/>
        <v>0</v>
      </c>
      <c r="DQ294">
        <f t="shared" si="1452"/>
        <v>0</v>
      </c>
      <c r="DR294">
        <f t="shared" si="1453"/>
        <v>0</v>
      </c>
      <c r="DS294">
        <f t="shared" si="1454"/>
        <v>0</v>
      </c>
      <c r="DT294">
        <f t="shared" si="1455"/>
        <v>0</v>
      </c>
      <c r="DU294">
        <f t="shared" si="1456"/>
        <v>0</v>
      </c>
      <c r="DV294">
        <f t="shared" si="1457"/>
        <v>0</v>
      </c>
      <c r="DW294">
        <f t="shared" si="1458"/>
        <v>0</v>
      </c>
    </row>
    <row r="295" spans="1:127" x14ac:dyDescent="0.25">
      <c r="A295" s="22">
        <f t="shared" si="1446"/>
        <v>289</v>
      </c>
      <c r="B295" s="59" t="str">
        <f t="shared" ref="B295:B305" si="1612">IF(F295=$F$7,G296,B294)</f>
        <v>F0014826403</v>
      </c>
      <c r="C295" s="214" t="str">
        <f t="shared" ref="C295:C304" si="1613">IF(F295=$F$7,G297,C294)</f>
        <v>82115-0EZ50 B</v>
      </c>
      <c r="D295" s="58" t="e">
        <f>VLOOKUP(B295,'Timing Table'!B:G,6,0)</f>
        <v>#N/A</v>
      </c>
      <c r="E295" s="22" t="e">
        <f>VLOOKUP(B295,'Timing Table'!B:D,3,0)</f>
        <v>#N/A</v>
      </c>
      <c r="F295" s="159" t="s">
        <v>81</v>
      </c>
      <c r="G295" s="160" t="s">
        <v>60</v>
      </c>
      <c r="H295" s="201" t="s">
        <v>60</v>
      </c>
      <c r="I295" s="183" t="s">
        <v>60</v>
      </c>
      <c r="J295" s="183" t="s">
        <v>0</v>
      </c>
      <c r="K295" s="183" t="s">
        <v>0</v>
      </c>
      <c r="L295" s="183" t="s">
        <v>0</v>
      </c>
      <c r="M295" s="183" t="s">
        <v>0</v>
      </c>
      <c r="N295" s="183" t="s">
        <v>0</v>
      </c>
      <c r="O295" s="183" t="s">
        <v>0</v>
      </c>
      <c r="P295" s="183" t="s">
        <v>0</v>
      </c>
      <c r="Q295" s="183" t="s">
        <v>0</v>
      </c>
      <c r="R295" s="183" t="s">
        <v>0</v>
      </c>
      <c r="S295" s="183" t="s">
        <v>0</v>
      </c>
      <c r="T295" s="183" t="s">
        <v>0</v>
      </c>
      <c r="U295" s="183" t="s">
        <v>0</v>
      </c>
      <c r="V295" s="183" t="s">
        <v>0</v>
      </c>
      <c r="W295" s="183" t="s">
        <v>0</v>
      </c>
      <c r="X295" s="183" t="s">
        <v>0</v>
      </c>
      <c r="Y295" s="183" t="s">
        <v>0</v>
      </c>
      <c r="Z295" s="183" t="s">
        <v>0</v>
      </c>
      <c r="AA295" s="183" t="s">
        <v>0</v>
      </c>
      <c r="AB295" s="183" t="s">
        <v>0</v>
      </c>
      <c r="AC295" s="183" t="s">
        <v>0</v>
      </c>
      <c r="AD295" s="183" t="s">
        <v>0</v>
      </c>
      <c r="AE295" s="183" t="s">
        <v>0</v>
      </c>
      <c r="AF295" s="183" t="s">
        <v>0</v>
      </c>
      <c r="AG295" s="183" t="s">
        <v>0</v>
      </c>
      <c r="AH295" s="183" t="s">
        <v>0</v>
      </c>
      <c r="AI295" s="183" t="s">
        <v>0</v>
      </c>
      <c r="AJ295" s="183" t="s">
        <v>0</v>
      </c>
      <c r="AK295" s="183" t="s">
        <v>0</v>
      </c>
      <c r="AL295" s="183" t="s">
        <v>0</v>
      </c>
      <c r="AM295" s="183" t="s">
        <v>0</v>
      </c>
      <c r="AN295" s="183" t="s">
        <v>0</v>
      </c>
      <c r="AO295" s="183" t="s">
        <v>0</v>
      </c>
      <c r="AP295" s="183" t="s">
        <v>0</v>
      </c>
      <c r="AQ295" s="183" t="s">
        <v>0</v>
      </c>
      <c r="AR295" s="183" t="s">
        <v>0</v>
      </c>
      <c r="AS295" s="183" t="s">
        <v>0</v>
      </c>
      <c r="AT295" s="183" t="s">
        <v>0</v>
      </c>
      <c r="AU295" s="183" t="s">
        <v>0</v>
      </c>
      <c r="AV295" s="183" t="s">
        <v>0</v>
      </c>
      <c r="AW295" s="183" t="s">
        <v>0</v>
      </c>
      <c r="AX295" s="183" t="s">
        <v>0</v>
      </c>
      <c r="AY295" s="183" t="s">
        <v>0</v>
      </c>
      <c r="AZ295" s="183" t="s">
        <v>0</v>
      </c>
      <c r="BA295" s="183" t="s">
        <v>0</v>
      </c>
      <c r="BB295" s="183" t="s">
        <v>0</v>
      </c>
      <c r="BC295" s="183" t="s">
        <v>0</v>
      </c>
      <c r="BD295" s="183" t="s">
        <v>0</v>
      </c>
      <c r="BE295" s="183" t="s">
        <v>0</v>
      </c>
      <c r="BF295" s="183" t="s">
        <v>0</v>
      </c>
      <c r="BG295" s="183" t="s">
        <v>0</v>
      </c>
      <c r="BH295" s="183" t="s">
        <v>0</v>
      </c>
      <c r="BI295" s="161"/>
      <c r="DL295">
        <f t="shared" si="1447"/>
        <v>0</v>
      </c>
      <c r="DM295">
        <f t="shared" si="1448"/>
        <v>0</v>
      </c>
      <c r="DN295">
        <f t="shared" si="1449"/>
        <v>0</v>
      </c>
      <c r="DO295">
        <f t="shared" si="1450"/>
        <v>0</v>
      </c>
      <c r="DP295">
        <f t="shared" si="1451"/>
        <v>0</v>
      </c>
      <c r="DQ295">
        <f t="shared" si="1452"/>
        <v>0</v>
      </c>
      <c r="DR295">
        <f t="shared" si="1453"/>
        <v>0</v>
      </c>
      <c r="DS295">
        <f t="shared" si="1454"/>
        <v>0</v>
      </c>
      <c r="DT295">
        <f t="shared" si="1455"/>
        <v>0</v>
      </c>
      <c r="DU295">
        <f t="shared" si="1456"/>
        <v>0</v>
      </c>
      <c r="DV295">
        <f t="shared" si="1457"/>
        <v>0</v>
      </c>
      <c r="DW295">
        <f t="shared" si="1458"/>
        <v>0</v>
      </c>
    </row>
    <row r="296" spans="1:127" x14ac:dyDescent="0.25">
      <c r="A296" s="22">
        <f t="shared" si="1446"/>
        <v>290</v>
      </c>
      <c r="B296" s="59" t="str">
        <f t="shared" si="1612"/>
        <v>F0014826403</v>
      </c>
      <c r="C296" s="214" t="str">
        <f t="shared" si="1613"/>
        <v>82115-0EZ50 B</v>
      </c>
      <c r="D296" s="58" t="e">
        <f>VLOOKUP(B296,'Timing Table'!B:G,6,0)</f>
        <v>#N/A</v>
      </c>
      <c r="E296" s="22" t="e">
        <f>VLOOKUP(B296,'Timing Table'!B:D,3,0)</f>
        <v>#N/A</v>
      </c>
      <c r="F296" s="188" t="s">
        <v>60</v>
      </c>
      <c r="G296" s="162" t="s">
        <v>60</v>
      </c>
      <c r="H296" s="163" t="s">
        <v>60</v>
      </c>
      <c r="I296" s="164" t="s">
        <v>60</v>
      </c>
      <c r="J296" s="164" t="s">
        <v>0</v>
      </c>
      <c r="K296" s="164" t="s">
        <v>0</v>
      </c>
      <c r="L296" s="164" t="s">
        <v>0</v>
      </c>
      <c r="M296" s="164" t="s">
        <v>0</v>
      </c>
      <c r="N296" s="164" t="s">
        <v>0</v>
      </c>
      <c r="O296" s="164" t="s">
        <v>0</v>
      </c>
      <c r="P296" s="164" t="s">
        <v>0</v>
      </c>
      <c r="Q296" s="164" t="s">
        <v>0</v>
      </c>
      <c r="R296" s="164" t="s">
        <v>0</v>
      </c>
      <c r="S296" s="164" t="s">
        <v>0</v>
      </c>
      <c r="T296" s="164" t="s">
        <v>0</v>
      </c>
      <c r="U296" s="164" t="s">
        <v>0</v>
      </c>
      <c r="V296" s="164" t="s">
        <v>0</v>
      </c>
      <c r="W296" s="164" t="s">
        <v>0</v>
      </c>
      <c r="X296" s="164" t="s">
        <v>0</v>
      </c>
      <c r="Y296" s="164" t="s">
        <v>0</v>
      </c>
      <c r="Z296" s="164" t="s">
        <v>0</v>
      </c>
      <c r="AA296" s="164" t="s">
        <v>0</v>
      </c>
      <c r="AB296" s="164" t="s">
        <v>0</v>
      </c>
      <c r="AC296" s="164" t="s">
        <v>0</v>
      </c>
      <c r="AD296" s="164" t="s">
        <v>0</v>
      </c>
      <c r="AE296" s="164" t="s">
        <v>0</v>
      </c>
      <c r="AF296" s="164" t="s">
        <v>0</v>
      </c>
      <c r="AG296" s="164" t="s">
        <v>0</v>
      </c>
      <c r="AH296" s="164" t="s">
        <v>0</v>
      </c>
      <c r="AI296" s="164" t="s">
        <v>0</v>
      </c>
      <c r="AJ296" s="164" t="s">
        <v>0</v>
      </c>
      <c r="AK296" s="164" t="s">
        <v>0</v>
      </c>
      <c r="AL296" s="164" t="s">
        <v>0</v>
      </c>
      <c r="AM296" s="164" t="s">
        <v>0</v>
      </c>
      <c r="AN296" s="164" t="s">
        <v>0</v>
      </c>
      <c r="AO296" s="164" t="s">
        <v>0</v>
      </c>
      <c r="AP296" s="164" t="s">
        <v>0</v>
      </c>
      <c r="AQ296" s="164" t="s">
        <v>0</v>
      </c>
      <c r="AR296" s="164" t="s">
        <v>0</v>
      </c>
      <c r="AS296" s="164" t="s">
        <v>0</v>
      </c>
      <c r="AT296" s="164" t="s">
        <v>0</v>
      </c>
      <c r="AU296" s="164" t="s">
        <v>0</v>
      </c>
      <c r="AV296" s="164" t="s">
        <v>0</v>
      </c>
      <c r="AW296" s="164" t="s">
        <v>0</v>
      </c>
      <c r="AX296" s="164" t="s">
        <v>0</v>
      </c>
      <c r="AY296" s="164" t="s">
        <v>0</v>
      </c>
      <c r="AZ296" s="164" t="s">
        <v>0</v>
      </c>
      <c r="BA296" s="164" t="s">
        <v>0</v>
      </c>
      <c r="BB296" s="164" t="s">
        <v>0</v>
      </c>
      <c r="BC296" s="164" t="s">
        <v>0</v>
      </c>
      <c r="BD296" s="164" t="s">
        <v>0</v>
      </c>
      <c r="BE296" s="164" t="s">
        <v>0</v>
      </c>
      <c r="BF296" s="164" t="s">
        <v>0</v>
      </c>
      <c r="BG296" s="164" t="s">
        <v>0</v>
      </c>
      <c r="BH296" s="164" t="s">
        <v>0</v>
      </c>
      <c r="BI296" s="189"/>
      <c r="DL296">
        <f t="shared" si="1447"/>
        <v>0</v>
      </c>
      <c r="DM296">
        <f t="shared" si="1448"/>
        <v>0</v>
      </c>
      <c r="DN296">
        <f t="shared" si="1449"/>
        <v>0</v>
      </c>
      <c r="DO296">
        <f t="shared" si="1450"/>
        <v>0</v>
      </c>
      <c r="DP296">
        <f t="shared" si="1451"/>
        <v>0</v>
      </c>
      <c r="DQ296">
        <f t="shared" si="1452"/>
        <v>0</v>
      </c>
      <c r="DR296">
        <f t="shared" si="1453"/>
        <v>0</v>
      </c>
      <c r="DS296">
        <f t="shared" si="1454"/>
        <v>0</v>
      </c>
      <c r="DT296">
        <f t="shared" si="1455"/>
        <v>0</v>
      </c>
      <c r="DU296">
        <f t="shared" si="1456"/>
        <v>0</v>
      </c>
      <c r="DV296">
        <f t="shared" si="1457"/>
        <v>0</v>
      </c>
      <c r="DW296">
        <f t="shared" si="1458"/>
        <v>0</v>
      </c>
    </row>
    <row r="297" spans="1:127" x14ac:dyDescent="0.25">
      <c r="A297" s="22">
        <f t="shared" si="1446"/>
        <v>291</v>
      </c>
      <c r="B297" s="59" t="str">
        <f t="shared" si="1612"/>
        <v>F0014826503</v>
      </c>
      <c r="C297" s="214" t="str">
        <f t="shared" si="1613"/>
        <v>82115-0E561 B</v>
      </c>
      <c r="D297" s="58" t="e">
        <f>VLOOKUP(B297,'Timing Table'!B:G,6,0)</f>
        <v>#N/A</v>
      </c>
      <c r="E297" s="22" t="e">
        <f>VLOOKUP(B297,'Timing Table'!B:D,3,0)</f>
        <v>#N/A</v>
      </c>
      <c r="F297" s="155" t="s">
        <v>61</v>
      </c>
      <c r="G297" s="181">
        <v>5501017971</v>
      </c>
      <c r="H297" s="155" t="s">
        <v>62</v>
      </c>
      <c r="I297" s="181">
        <v>91</v>
      </c>
      <c r="J297" s="155" t="s">
        <v>63</v>
      </c>
      <c r="K297" s="160">
        <v>1177758</v>
      </c>
      <c r="L297" s="161"/>
      <c r="M297" s="190" t="s">
        <v>64</v>
      </c>
      <c r="N297" s="191"/>
      <c r="O297" s="192">
        <v>46086</v>
      </c>
      <c r="P297" s="155" t="s">
        <v>65</v>
      </c>
      <c r="Q297" s="181">
        <v>4</v>
      </c>
      <c r="R297" s="6" t="s">
        <v>0</v>
      </c>
      <c r="S297" s="7" t="s">
        <v>0</v>
      </c>
      <c r="T297" s="7" t="s">
        <v>0</v>
      </c>
      <c r="U297" s="7" t="s">
        <v>0</v>
      </c>
      <c r="V297" s="7" t="s">
        <v>0</v>
      </c>
      <c r="W297" s="7" t="s">
        <v>0</v>
      </c>
      <c r="X297" s="7" t="s">
        <v>0</v>
      </c>
      <c r="Y297" s="7" t="s">
        <v>0</v>
      </c>
      <c r="Z297" s="7" t="s">
        <v>0</v>
      </c>
      <c r="AA297" s="7" t="s">
        <v>0</v>
      </c>
      <c r="AB297" s="7" t="s">
        <v>0</v>
      </c>
      <c r="AC297" s="7" t="s">
        <v>0</v>
      </c>
      <c r="AD297" s="7" t="s">
        <v>0</v>
      </c>
      <c r="AE297" s="7" t="s">
        <v>0</v>
      </c>
      <c r="AF297" s="7" t="s">
        <v>0</v>
      </c>
      <c r="AG297" s="7" t="s">
        <v>0</v>
      </c>
      <c r="AH297" s="7" t="s">
        <v>0</v>
      </c>
      <c r="AI297" s="7" t="s">
        <v>0</v>
      </c>
      <c r="AJ297" s="7" t="s">
        <v>0</v>
      </c>
      <c r="AK297" s="7" t="s">
        <v>0</v>
      </c>
      <c r="AL297" s="7" t="s">
        <v>0</v>
      </c>
      <c r="AM297" s="7" t="s">
        <v>0</v>
      </c>
      <c r="AN297" s="7" t="s">
        <v>0</v>
      </c>
      <c r="AO297" s="7" t="s">
        <v>0</v>
      </c>
      <c r="AP297" s="7" t="s">
        <v>0</v>
      </c>
      <c r="AQ297" s="7" t="s">
        <v>0</v>
      </c>
      <c r="AR297" s="7" t="s">
        <v>0</v>
      </c>
      <c r="AS297" s="7" t="s">
        <v>0</v>
      </c>
      <c r="AT297" s="7" t="s">
        <v>0</v>
      </c>
      <c r="AU297" s="7" t="s">
        <v>0</v>
      </c>
      <c r="AV297" s="7" t="s">
        <v>0</v>
      </c>
      <c r="AW297" s="7" t="s">
        <v>0</v>
      </c>
      <c r="AX297" s="7" t="s">
        <v>0</v>
      </c>
      <c r="AY297" s="7" t="s">
        <v>0</v>
      </c>
      <c r="AZ297" s="7" t="s">
        <v>0</v>
      </c>
      <c r="BA297" s="7" t="s">
        <v>0</v>
      </c>
      <c r="BB297" s="7" t="s">
        <v>0</v>
      </c>
      <c r="BC297" s="7" t="s">
        <v>0</v>
      </c>
      <c r="BD297" s="7" t="s">
        <v>0</v>
      </c>
      <c r="BE297" s="7" t="s">
        <v>0</v>
      </c>
      <c r="BF297" s="7" t="s">
        <v>0</v>
      </c>
      <c r="BG297" s="7" t="s">
        <v>0</v>
      </c>
      <c r="BH297" s="7" t="s">
        <v>0</v>
      </c>
      <c r="BI297" s="8"/>
      <c r="DL297">
        <f t="shared" si="1447"/>
        <v>0</v>
      </c>
      <c r="DM297">
        <f t="shared" si="1448"/>
        <v>0</v>
      </c>
      <c r="DN297">
        <f t="shared" si="1449"/>
        <v>0</v>
      </c>
      <c r="DO297">
        <f t="shared" si="1450"/>
        <v>0</v>
      </c>
      <c r="DP297">
        <f t="shared" si="1451"/>
        <v>0</v>
      </c>
      <c r="DQ297">
        <f t="shared" si="1452"/>
        <v>0</v>
      </c>
      <c r="DR297">
        <f t="shared" si="1453"/>
        <v>0</v>
      </c>
      <c r="DS297">
        <f t="shared" si="1454"/>
        <v>0</v>
      </c>
      <c r="DT297">
        <f t="shared" si="1455"/>
        <v>0</v>
      </c>
      <c r="DU297">
        <f t="shared" si="1456"/>
        <v>0</v>
      </c>
      <c r="DV297">
        <f t="shared" si="1457"/>
        <v>0</v>
      </c>
      <c r="DW297">
        <f t="shared" si="1458"/>
        <v>0</v>
      </c>
    </row>
    <row r="298" spans="1:127" x14ac:dyDescent="0.25">
      <c r="A298" s="22">
        <f t="shared" si="1446"/>
        <v>292</v>
      </c>
      <c r="B298" s="59" t="str">
        <f t="shared" si="1612"/>
        <v>F0014826503</v>
      </c>
      <c r="C298" s="214" t="str">
        <f t="shared" si="1613"/>
        <v>82115-0E561 B</v>
      </c>
      <c r="D298" s="58" t="e">
        <f>VLOOKUP(B298,'Timing Table'!B:G,6,0)</f>
        <v>#N/A</v>
      </c>
      <c r="E298" s="22" t="e">
        <f>VLOOKUP(B298,'Timing Table'!B:D,3,0)</f>
        <v>#N/A</v>
      </c>
      <c r="F298" s="155" t="s">
        <v>66</v>
      </c>
      <c r="G298" s="181" t="s">
        <v>362</v>
      </c>
      <c r="H298" s="155" t="s">
        <v>67</v>
      </c>
      <c r="I298" s="182" t="s">
        <v>363</v>
      </c>
      <c r="J298" s="183"/>
      <c r="K298" s="183"/>
      <c r="L298" s="161"/>
      <c r="M298" s="155" t="s">
        <v>68</v>
      </c>
      <c r="N298" s="181">
        <v>2025</v>
      </c>
      <c r="O298" s="184" t="s">
        <v>69</v>
      </c>
      <c r="P298" s="185"/>
      <c r="Q298" s="193" t="s">
        <v>342</v>
      </c>
      <c r="R298" s="156" t="s">
        <v>0</v>
      </c>
      <c r="S298" s="157" t="s">
        <v>0</v>
      </c>
      <c r="T298" s="157" t="s">
        <v>0</v>
      </c>
      <c r="U298" s="157" t="s">
        <v>0</v>
      </c>
      <c r="V298" s="157" t="s">
        <v>0</v>
      </c>
      <c r="W298" s="157" t="s">
        <v>0</v>
      </c>
      <c r="X298" s="157" t="s">
        <v>0</v>
      </c>
      <c r="Y298" s="157" t="s">
        <v>0</v>
      </c>
      <c r="Z298" s="157" t="s">
        <v>0</v>
      </c>
      <c r="AA298" s="157" t="s">
        <v>0</v>
      </c>
      <c r="AB298" s="157" t="s">
        <v>0</v>
      </c>
      <c r="AC298" s="157" t="s">
        <v>0</v>
      </c>
      <c r="AD298" s="157" t="s">
        <v>0</v>
      </c>
      <c r="AE298" s="157" t="s">
        <v>0</v>
      </c>
      <c r="AF298" s="157" t="s">
        <v>0</v>
      </c>
      <c r="AG298" s="157" t="s">
        <v>0</v>
      </c>
      <c r="AH298" s="157" t="s">
        <v>0</v>
      </c>
      <c r="AI298" s="157" t="s">
        <v>0</v>
      </c>
      <c r="AJ298" s="157" t="s">
        <v>0</v>
      </c>
      <c r="AK298" s="157" t="s">
        <v>0</v>
      </c>
      <c r="AL298" s="157" t="s">
        <v>0</v>
      </c>
      <c r="AM298" s="157" t="s">
        <v>0</v>
      </c>
      <c r="AN298" s="157" t="s">
        <v>0</v>
      </c>
      <c r="AO298" s="157" t="s">
        <v>0</v>
      </c>
      <c r="AP298" s="157" t="s">
        <v>0</v>
      </c>
      <c r="AQ298" s="157" t="s">
        <v>0</v>
      </c>
      <c r="AR298" s="157" t="s">
        <v>0</v>
      </c>
      <c r="AS298" s="157" t="s">
        <v>0</v>
      </c>
      <c r="AT298" s="157" t="s">
        <v>0</v>
      </c>
      <c r="AU298" s="157" t="s">
        <v>0</v>
      </c>
      <c r="AV298" s="157" t="s">
        <v>0</v>
      </c>
      <c r="AW298" s="157" t="s">
        <v>0</v>
      </c>
      <c r="AX298" s="157" t="s">
        <v>0</v>
      </c>
      <c r="AY298" s="157" t="s">
        <v>0</v>
      </c>
      <c r="AZ298" s="157" t="s">
        <v>0</v>
      </c>
      <c r="BA298" s="157" t="s">
        <v>0</v>
      </c>
      <c r="BB298" s="157" t="s">
        <v>0</v>
      </c>
      <c r="BC298" s="157" t="s">
        <v>0</v>
      </c>
      <c r="BD298" s="157" t="s">
        <v>0</v>
      </c>
      <c r="BE298" s="157" t="s">
        <v>0</v>
      </c>
      <c r="BF298" s="157" t="s">
        <v>0</v>
      </c>
      <c r="BG298" s="157" t="s">
        <v>0</v>
      </c>
      <c r="BH298" s="157" t="s">
        <v>0</v>
      </c>
      <c r="BI298" s="158"/>
      <c r="DL298">
        <f t="shared" si="1447"/>
        <v>0</v>
      </c>
      <c r="DM298">
        <f t="shared" si="1448"/>
        <v>0</v>
      </c>
      <c r="DN298">
        <f t="shared" si="1449"/>
        <v>0</v>
      </c>
      <c r="DO298">
        <f t="shared" si="1450"/>
        <v>0</v>
      </c>
      <c r="DP298">
        <f t="shared" si="1451"/>
        <v>0</v>
      </c>
      <c r="DQ298">
        <f t="shared" si="1452"/>
        <v>0</v>
      </c>
      <c r="DR298">
        <f t="shared" si="1453"/>
        <v>0</v>
      </c>
      <c r="DS298">
        <f t="shared" si="1454"/>
        <v>0</v>
      </c>
      <c r="DT298">
        <f t="shared" si="1455"/>
        <v>0</v>
      </c>
      <c r="DU298">
        <f t="shared" si="1456"/>
        <v>0</v>
      </c>
      <c r="DV298">
        <f t="shared" si="1457"/>
        <v>0</v>
      </c>
      <c r="DW298">
        <f t="shared" si="1458"/>
        <v>0</v>
      </c>
    </row>
    <row r="299" spans="1:127" x14ac:dyDescent="0.25">
      <c r="A299" s="22">
        <f t="shared" si="1446"/>
        <v>293</v>
      </c>
      <c r="B299" s="59" t="str">
        <f t="shared" si="1612"/>
        <v>F0014826503</v>
      </c>
      <c r="C299" s="214" t="str">
        <f t="shared" si="1613"/>
        <v>82115-0E561 B</v>
      </c>
      <c r="D299" s="58" t="e">
        <f>VLOOKUP(B299,'Timing Table'!B:G,6,0)</f>
        <v>#N/A</v>
      </c>
      <c r="E299" s="22" t="e">
        <f>VLOOKUP(B299,'Timing Table'!B:D,3,0)</f>
        <v>#N/A</v>
      </c>
      <c r="F299" s="155" t="s">
        <v>70</v>
      </c>
      <c r="G299" s="181" t="s">
        <v>364</v>
      </c>
      <c r="H299" s="155" t="s">
        <v>71</v>
      </c>
      <c r="I299" s="182" t="s">
        <v>60</v>
      </c>
      <c r="J299" s="161" t="s">
        <v>0</v>
      </c>
      <c r="K299" s="194" t="s">
        <v>0</v>
      </c>
      <c r="L299" s="195" t="s">
        <v>0</v>
      </c>
      <c r="M299" s="179" t="s">
        <v>0</v>
      </c>
      <c r="N299" s="179" t="s">
        <v>0</v>
      </c>
      <c r="O299" s="179" t="s">
        <v>0</v>
      </c>
      <c r="P299" s="179" t="s">
        <v>0</v>
      </c>
      <c r="Q299" s="179" t="s">
        <v>1</v>
      </c>
      <c r="R299" s="179" t="s">
        <v>2</v>
      </c>
      <c r="S299" s="179" t="s">
        <v>0</v>
      </c>
      <c r="T299" s="179" t="s">
        <v>0</v>
      </c>
      <c r="U299" s="179" t="s">
        <v>0</v>
      </c>
      <c r="V299" s="179" t="s">
        <v>0</v>
      </c>
      <c r="W299" s="179" t="s">
        <v>0</v>
      </c>
      <c r="X299" s="179" t="s">
        <v>0</v>
      </c>
      <c r="Y299" s="179" t="s">
        <v>0</v>
      </c>
      <c r="Z299" s="179" t="s">
        <v>3</v>
      </c>
      <c r="AA299" s="179" t="s">
        <v>0</v>
      </c>
      <c r="AB299" s="179" t="s">
        <v>0</v>
      </c>
      <c r="AC299" s="179" t="s">
        <v>0</v>
      </c>
      <c r="AD299" s="179" t="s">
        <v>0</v>
      </c>
      <c r="AE299" s="179" t="s">
        <v>0</v>
      </c>
      <c r="AF299" s="179" t="s">
        <v>0</v>
      </c>
      <c r="AG299" s="179" t="s">
        <v>0</v>
      </c>
      <c r="AH299" s="179" t="s">
        <v>0</v>
      </c>
      <c r="AI299" s="179" t="s">
        <v>0</v>
      </c>
      <c r="AJ299" s="179" t="s">
        <v>0</v>
      </c>
      <c r="AK299" s="179" t="s">
        <v>0</v>
      </c>
      <c r="AL299" s="179" t="s">
        <v>0</v>
      </c>
      <c r="AM299" s="179" t="s">
        <v>0</v>
      </c>
      <c r="AN299" s="179" t="s">
        <v>0</v>
      </c>
      <c r="AO299" s="179" t="s">
        <v>0</v>
      </c>
      <c r="AP299" s="179" t="s">
        <v>0</v>
      </c>
      <c r="AQ299" s="179" t="s">
        <v>0</v>
      </c>
      <c r="AR299" s="179" t="s">
        <v>0</v>
      </c>
      <c r="AS299" s="179" t="s">
        <v>0</v>
      </c>
      <c r="AT299" s="179" t="s">
        <v>0</v>
      </c>
      <c r="AU299" s="179" t="s">
        <v>0</v>
      </c>
      <c r="AV299" s="179" t="s">
        <v>0</v>
      </c>
      <c r="AW299" s="179" t="s">
        <v>0</v>
      </c>
      <c r="AX299" s="179" t="s">
        <v>0</v>
      </c>
      <c r="AY299" s="179" t="s">
        <v>0</v>
      </c>
      <c r="AZ299" s="179" t="s">
        <v>0</v>
      </c>
      <c r="BA299" s="179" t="s">
        <v>0</v>
      </c>
      <c r="BB299" s="179" t="s">
        <v>0</v>
      </c>
      <c r="BC299" s="179" t="s">
        <v>0</v>
      </c>
      <c r="BD299" s="179" t="s">
        <v>0</v>
      </c>
      <c r="BE299" s="179" t="s">
        <v>0</v>
      </c>
      <c r="BF299" s="179" t="s">
        <v>0</v>
      </c>
      <c r="BG299" s="179" t="s">
        <v>0</v>
      </c>
      <c r="BH299" s="179" t="s">
        <v>0</v>
      </c>
      <c r="BI299" s="180" t="s">
        <v>4</v>
      </c>
      <c r="DL299">
        <f t="shared" si="1447"/>
        <v>0</v>
      </c>
      <c r="DM299">
        <f t="shared" si="1448"/>
        <v>0</v>
      </c>
      <c r="DN299">
        <f t="shared" si="1449"/>
        <v>0</v>
      </c>
      <c r="DO299">
        <f t="shared" si="1450"/>
        <v>0</v>
      </c>
      <c r="DP299">
        <f t="shared" si="1451"/>
        <v>0</v>
      </c>
      <c r="DQ299">
        <f t="shared" si="1452"/>
        <v>0</v>
      </c>
      <c r="DR299">
        <f t="shared" si="1453"/>
        <v>0</v>
      </c>
      <c r="DS299">
        <f t="shared" si="1454"/>
        <v>0</v>
      </c>
      <c r="DT299">
        <f t="shared" si="1455"/>
        <v>0</v>
      </c>
      <c r="DU299">
        <f t="shared" si="1456"/>
        <v>0</v>
      </c>
      <c r="DV299">
        <f t="shared" si="1457"/>
        <v>0</v>
      </c>
      <c r="DW299">
        <f t="shared" si="1458"/>
        <v>0</v>
      </c>
    </row>
    <row r="300" spans="1:127" x14ac:dyDescent="0.25">
      <c r="A300" s="22">
        <f t="shared" si="1446"/>
        <v>294</v>
      </c>
      <c r="B300" s="59" t="str">
        <f t="shared" si="1612"/>
        <v>F0014826503</v>
      </c>
      <c r="C300" s="214" t="str">
        <f t="shared" si="1613"/>
        <v>82115-0E561 B</v>
      </c>
      <c r="D300" s="58" t="e">
        <f>VLOOKUP(B300,'Timing Table'!B:G,6,0)</f>
        <v>#N/A</v>
      </c>
      <c r="E300" s="22" t="e">
        <f>VLOOKUP(B300,'Timing Table'!B:D,3,0)</f>
        <v>#N/A</v>
      </c>
      <c r="F300" s="155" t="s">
        <v>72</v>
      </c>
      <c r="G300" s="181">
        <v>10440</v>
      </c>
      <c r="H300" s="196" t="s">
        <v>413</v>
      </c>
      <c r="I300" s="197" t="s">
        <v>73</v>
      </c>
      <c r="J300" s="13">
        <v>46041</v>
      </c>
      <c r="K300" s="14">
        <v>46048</v>
      </c>
      <c r="L300" s="14">
        <v>46055</v>
      </c>
      <c r="M300" s="14">
        <v>46062</v>
      </c>
      <c r="N300" s="14">
        <v>46069</v>
      </c>
      <c r="O300" s="14">
        <v>46076</v>
      </c>
      <c r="P300" s="14">
        <v>46083</v>
      </c>
      <c r="Q300" s="14">
        <v>46090</v>
      </c>
      <c r="R300" s="14">
        <v>46097</v>
      </c>
      <c r="S300" s="14">
        <v>46104</v>
      </c>
      <c r="T300" s="14">
        <v>46111</v>
      </c>
      <c r="U300" s="14">
        <v>46118</v>
      </c>
      <c r="V300" s="14">
        <v>46125</v>
      </c>
      <c r="W300" s="14">
        <v>46132</v>
      </c>
      <c r="X300" s="14">
        <v>46139</v>
      </c>
      <c r="Y300" s="14">
        <v>46146</v>
      </c>
      <c r="Z300" s="14">
        <v>46153</v>
      </c>
      <c r="AA300" s="14">
        <v>46160</v>
      </c>
      <c r="AB300" s="14">
        <v>46167</v>
      </c>
      <c r="AC300" s="14">
        <v>46174</v>
      </c>
      <c r="AD300" s="14">
        <v>46181</v>
      </c>
      <c r="AE300" s="14">
        <v>46188</v>
      </c>
      <c r="AF300" s="14">
        <v>46195</v>
      </c>
      <c r="AG300" s="14">
        <v>46202</v>
      </c>
      <c r="AH300" s="14">
        <v>46209</v>
      </c>
      <c r="AI300" s="14">
        <v>46216</v>
      </c>
      <c r="AJ300" s="14">
        <v>46223</v>
      </c>
      <c r="AK300" s="14">
        <v>46230</v>
      </c>
      <c r="AL300" s="14">
        <v>46237</v>
      </c>
      <c r="AM300" s="14">
        <v>46244</v>
      </c>
      <c r="AN300" s="14">
        <v>46251</v>
      </c>
      <c r="AO300" s="14">
        <v>46258</v>
      </c>
      <c r="AP300" s="14">
        <v>46265</v>
      </c>
      <c r="AQ300" s="14">
        <v>46272</v>
      </c>
      <c r="AR300" s="14">
        <v>46279</v>
      </c>
      <c r="AS300" s="14">
        <v>46286</v>
      </c>
      <c r="AT300" s="14">
        <v>46293</v>
      </c>
      <c r="AU300" s="14">
        <v>46300</v>
      </c>
      <c r="AV300" s="14">
        <v>46307</v>
      </c>
      <c r="AW300" s="14">
        <v>46314</v>
      </c>
      <c r="AX300" s="14">
        <v>46321</v>
      </c>
      <c r="AY300" s="14">
        <v>46328</v>
      </c>
      <c r="AZ300" s="14">
        <v>46335</v>
      </c>
      <c r="BA300" s="14">
        <v>46342</v>
      </c>
      <c r="BB300" s="14">
        <v>46349</v>
      </c>
      <c r="BC300" s="14">
        <v>46356</v>
      </c>
      <c r="BD300" s="14">
        <v>46363</v>
      </c>
      <c r="BE300" s="14">
        <v>46370</v>
      </c>
      <c r="BF300" s="14">
        <v>46377</v>
      </c>
      <c r="BG300" s="14">
        <v>46384</v>
      </c>
      <c r="BH300" s="14">
        <v>46391</v>
      </c>
      <c r="BI300" s="15">
        <v>46398</v>
      </c>
      <c r="DL300">
        <f t="shared" si="1447"/>
        <v>0</v>
      </c>
      <c r="DM300">
        <f t="shared" si="1448"/>
        <v>0</v>
      </c>
      <c r="DN300">
        <f t="shared" si="1449"/>
        <v>0</v>
      </c>
      <c r="DO300">
        <f t="shared" si="1450"/>
        <v>0</v>
      </c>
      <c r="DP300">
        <f t="shared" si="1451"/>
        <v>0</v>
      </c>
      <c r="DQ300">
        <f t="shared" si="1452"/>
        <v>0</v>
      </c>
      <c r="DR300">
        <f t="shared" si="1453"/>
        <v>0</v>
      </c>
      <c r="DS300">
        <f t="shared" si="1454"/>
        <v>0</v>
      </c>
      <c r="DT300">
        <f t="shared" si="1455"/>
        <v>0</v>
      </c>
      <c r="DU300">
        <f t="shared" si="1456"/>
        <v>0</v>
      </c>
      <c r="DV300">
        <f t="shared" si="1457"/>
        <v>0</v>
      </c>
      <c r="DW300">
        <f t="shared" si="1458"/>
        <v>0</v>
      </c>
    </row>
    <row r="301" spans="1:127" x14ac:dyDescent="0.25">
      <c r="A301" s="22">
        <f t="shared" si="1446"/>
        <v>295</v>
      </c>
      <c r="B301" s="59" t="str">
        <f t="shared" si="1612"/>
        <v>F0014826503</v>
      </c>
      <c r="C301" s="214" t="str">
        <f t="shared" si="1613"/>
        <v>82115-0E561 B</v>
      </c>
      <c r="D301" s="58" t="e">
        <f>VLOOKUP(B301,'Timing Table'!B:G,6,0)</f>
        <v>#N/A</v>
      </c>
      <c r="E301" s="22" t="e">
        <f>VLOOKUP(B301,'Timing Table'!B:D,3,0)</f>
        <v>#N/A</v>
      </c>
      <c r="F301" s="155" t="s">
        <v>74</v>
      </c>
      <c r="G301" s="181">
        <v>11940</v>
      </c>
      <c r="H301" s="5" t="s">
        <v>60</v>
      </c>
      <c r="I301" s="11" t="s">
        <v>147</v>
      </c>
      <c r="J301" s="16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17"/>
      <c r="DL301">
        <f t="shared" si="1447"/>
        <v>0</v>
      </c>
      <c r="DM301">
        <f t="shared" si="1448"/>
        <v>0</v>
      </c>
      <c r="DN301">
        <f t="shared" si="1449"/>
        <v>0</v>
      </c>
      <c r="DO301">
        <f t="shared" si="1450"/>
        <v>0</v>
      </c>
      <c r="DP301">
        <f t="shared" si="1451"/>
        <v>0</v>
      </c>
      <c r="DQ301">
        <f t="shared" si="1452"/>
        <v>0</v>
      </c>
      <c r="DR301">
        <f t="shared" si="1453"/>
        <v>0</v>
      </c>
      <c r="DS301">
        <f t="shared" si="1454"/>
        <v>0</v>
      </c>
      <c r="DT301">
        <f t="shared" si="1455"/>
        <v>0</v>
      </c>
      <c r="DU301">
        <f t="shared" si="1456"/>
        <v>0</v>
      </c>
      <c r="DV301">
        <f t="shared" si="1457"/>
        <v>0</v>
      </c>
      <c r="DW301">
        <f t="shared" si="1458"/>
        <v>0</v>
      </c>
    </row>
    <row r="302" spans="1:127" x14ac:dyDescent="0.25">
      <c r="A302" s="22">
        <f t="shared" si="1446"/>
        <v>296</v>
      </c>
      <c r="B302" s="59" t="str">
        <f t="shared" si="1612"/>
        <v>F0014826503</v>
      </c>
      <c r="C302" s="214" t="str">
        <f t="shared" si="1613"/>
        <v>82115-0E561 B</v>
      </c>
      <c r="D302" s="58" t="e">
        <f>VLOOKUP(B302,'Timing Table'!B:G,6,0)</f>
        <v>#N/A</v>
      </c>
      <c r="E302" s="22" t="e">
        <f>VLOOKUP(B302,'Timing Table'!B:D,3,0)</f>
        <v>#N/A</v>
      </c>
      <c r="F302" s="155" t="s">
        <v>75</v>
      </c>
      <c r="G302" s="198" t="s">
        <v>257</v>
      </c>
      <c r="H302" s="9" t="s">
        <v>235</v>
      </c>
      <c r="I302" s="11" t="s">
        <v>76</v>
      </c>
      <c r="J302" s="143">
        <v>1012</v>
      </c>
      <c r="K302" s="64">
        <v>292</v>
      </c>
      <c r="L302" s="64">
        <v>244</v>
      </c>
      <c r="M302" s="64">
        <v>348</v>
      </c>
      <c r="N302" s="64">
        <v>152</v>
      </c>
      <c r="O302" s="64">
        <v>312</v>
      </c>
      <c r="P302" s="64">
        <v>444</v>
      </c>
      <c r="Q302" s="64">
        <v>404</v>
      </c>
      <c r="R302" s="64">
        <v>0</v>
      </c>
      <c r="S302" s="64">
        <v>140</v>
      </c>
      <c r="T302" s="64">
        <v>228</v>
      </c>
      <c r="U302" s="64">
        <v>228</v>
      </c>
      <c r="V302" s="64">
        <v>228</v>
      </c>
      <c r="W302" s="64">
        <v>180</v>
      </c>
      <c r="X302" s="64">
        <v>152</v>
      </c>
      <c r="Y302" s="64">
        <v>148</v>
      </c>
      <c r="Z302" s="64">
        <v>196</v>
      </c>
      <c r="AA302" s="64">
        <v>268</v>
      </c>
      <c r="AB302" s="64">
        <v>264</v>
      </c>
      <c r="AC302" s="64">
        <v>264</v>
      </c>
      <c r="AD302" s="64">
        <v>216</v>
      </c>
      <c r="AE302" s="64">
        <v>216</v>
      </c>
      <c r="AF302" s="64">
        <v>252</v>
      </c>
      <c r="AG302" s="64">
        <v>256</v>
      </c>
      <c r="AH302" s="64">
        <v>152</v>
      </c>
      <c r="AI302" s="64">
        <v>252</v>
      </c>
      <c r="AJ302" s="64">
        <v>260</v>
      </c>
      <c r="AK302" s="64">
        <v>260</v>
      </c>
      <c r="AL302" s="64">
        <v>388</v>
      </c>
      <c r="AM302" s="64">
        <v>288</v>
      </c>
      <c r="AN302" s="64">
        <v>288</v>
      </c>
      <c r="AO302" s="64">
        <v>288</v>
      </c>
      <c r="AP302" s="64">
        <v>288</v>
      </c>
      <c r="AQ302" s="64">
        <v>288</v>
      </c>
      <c r="AR302" s="64">
        <v>288</v>
      </c>
      <c r="AS302" s="64">
        <v>288</v>
      </c>
      <c r="AT302" s="64">
        <v>288</v>
      </c>
      <c r="AU302" s="64">
        <v>288</v>
      </c>
      <c r="AV302" s="64">
        <v>288</v>
      </c>
      <c r="AW302" s="64">
        <v>288</v>
      </c>
      <c r="AX302" s="64">
        <v>288</v>
      </c>
      <c r="AY302" s="64">
        <v>288</v>
      </c>
      <c r="AZ302" s="64">
        <v>288</v>
      </c>
      <c r="BA302" s="64">
        <v>288</v>
      </c>
      <c r="BB302" s="64">
        <v>288</v>
      </c>
      <c r="BC302" s="64">
        <v>288</v>
      </c>
      <c r="BD302" s="64">
        <v>288</v>
      </c>
      <c r="BE302" s="64">
        <v>288</v>
      </c>
      <c r="BF302" s="64">
        <v>288</v>
      </c>
      <c r="BG302" s="64">
        <v>288</v>
      </c>
      <c r="BH302" s="64">
        <v>288</v>
      </c>
      <c r="BI302" s="144">
        <v>288</v>
      </c>
      <c r="BJ302" s="24" t="str">
        <f>+G299</f>
        <v>82115-0E561 B</v>
      </c>
      <c r="BK302" s="24">
        <f>+J302</f>
        <v>1012</v>
      </c>
      <c r="BL302" s="24">
        <f t="shared" ref="BL302" si="1614">+K302</f>
        <v>292</v>
      </c>
      <c r="BM302" s="24">
        <f t="shared" ref="BM302" si="1615">+L302</f>
        <v>244</v>
      </c>
      <c r="BN302" s="24">
        <f t="shared" ref="BN302" si="1616">+M302</f>
        <v>348</v>
      </c>
      <c r="BO302" s="24">
        <f t="shared" ref="BO302" si="1617">+N302</f>
        <v>152</v>
      </c>
      <c r="BP302" s="24">
        <f t="shared" ref="BP302" si="1618">+O302</f>
        <v>312</v>
      </c>
      <c r="BQ302" s="24">
        <f t="shared" ref="BQ302" si="1619">+P302</f>
        <v>444</v>
      </c>
      <c r="BR302" s="24">
        <f t="shared" ref="BR302" si="1620">+Q302</f>
        <v>404</v>
      </c>
      <c r="BS302" s="24">
        <f t="shared" ref="BS302" si="1621">+R302</f>
        <v>0</v>
      </c>
      <c r="BT302" s="24">
        <f t="shared" ref="BT302" si="1622">+S302</f>
        <v>140</v>
      </c>
      <c r="BU302" s="24">
        <f t="shared" ref="BU302" si="1623">+T302</f>
        <v>228</v>
      </c>
      <c r="BV302" s="24">
        <f t="shared" ref="BV302" si="1624">+U302</f>
        <v>228</v>
      </c>
      <c r="BW302" s="24">
        <f t="shared" ref="BW302" si="1625">+V302</f>
        <v>228</v>
      </c>
      <c r="BX302" s="24">
        <f t="shared" ref="BX302" si="1626">+W302</f>
        <v>180</v>
      </c>
      <c r="BY302" s="24">
        <f t="shared" ref="BY302" si="1627">+X302</f>
        <v>152</v>
      </c>
      <c r="BZ302" s="24">
        <f t="shared" ref="BZ302" si="1628">+Y302</f>
        <v>148</v>
      </c>
      <c r="CA302" s="24">
        <f t="shared" ref="CA302" si="1629">+Z302</f>
        <v>196</v>
      </c>
      <c r="CB302" s="24">
        <f t="shared" ref="CB302" si="1630">+AA302</f>
        <v>268</v>
      </c>
      <c r="CC302" s="24">
        <f t="shared" ref="CC302" si="1631">+AB302</f>
        <v>264</v>
      </c>
      <c r="CD302" s="24">
        <f t="shared" ref="CD302" si="1632">+AC302</f>
        <v>264</v>
      </c>
      <c r="CE302" s="24">
        <f t="shared" ref="CE302" si="1633">+AD302</f>
        <v>216</v>
      </c>
      <c r="CF302" s="24">
        <f t="shared" ref="CF302" si="1634">+AE302</f>
        <v>216</v>
      </c>
      <c r="CG302" s="24">
        <f t="shared" ref="CG302" si="1635">+AF302</f>
        <v>252</v>
      </c>
      <c r="CH302" s="24">
        <f t="shared" ref="CH302" si="1636">+AG302</f>
        <v>256</v>
      </c>
      <c r="CI302" s="24">
        <f t="shared" ref="CI302" si="1637">+AH302</f>
        <v>152</v>
      </c>
      <c r="CJ302" s="24">
        <f t="shared" ref="CJ302" si="1638">+AI302</f>
        <v>252</v>
      </c>
      <c r="CK302" s="24">
        <f t="shared" ref="CK302" si="1639">+AJ302</f>
        <v>260</v>
      </c>
      <c r="CL302" s="24">
        <f t="shared" ref="CL302" si="1640">+AK302</f>
        <v>260</v>
      </c>
      <c r="CM302" s="24">
        <f t="shared" ref="CM302" si="1641">+AL302</f>
        <v>388</v>
      </c>
      <c r="CN302" s="24">
        <f t="shared" ref="CN302" si="1642">+AM302</f>
        <v>288</v>
      </c>
      <c r="CO302" s="24">
        <f t="shared" ref="CO302" si="1643">+AN302</f>
        <v>288</v>
      </c>
      <c r="CP302" s="166">
        <f t="shared" ref="CP302" si="1644">+AO302</f>
        <v>288</v>
      </c>
      <c r="CQ302" s="166">
        <f t="shared" ref="CQ302" si="1645">+AP302</f>
        <v>288</v>
      </c>
      <c r="CR302">
        <f t="shared" ref="CR302" si="1646">+AQ302</f>
        <v>288</v>
      </c>
      <c r="CS302">
        <f t="shared" ref="CS302" si="1647">+AR302</f>
        <v>288</v>
      </c>
      <c r="CT302">
        <f t="shared" ref="CT302" si="1648">+AS302</f>
        <v>288</v>
      </c>
      <c r="CU302">
        <f t="shared" ref="CU302" si="1649">+AT302</f>
        <v>288</v>
      </c>
      <c r="CV302">
        <f t="shared" ref="CV302" si="1650">+AU302</f>
        <v>288</v>
      </c>
      <c r="CW302">
        <f t="shared" ref="CW302" si="1651">+AV302</f>
        <v>288</v>
      </c>
      <c r="CX302">
        <f t="shared" ref="CX302" si="1652">+AW302</f>
        <v>288</v>
      </c>
      <c r="CY302">
        <f t="shared" ref="CY302" si="1653">+AX302</f>
        <v>288</v>
      </c>
      <c r="CZ302">
        <f t="shared" ref="CZ302" si="1654">+AY302</f>
        <v>288</v>
      </c>
      <c r="DA302">
        <f t="shared" ref="DA302" si="1655">+AZ302</f>
        <v>288</v>
      </c>
      <c r="DB302">
        <f t="shared" ref="DB302" si="1656">+BA302</f>
        <v>288</v>
      </c>
      <c r="DC302">
        <f t="shared" ref="DC302" si="1657">+BB302</f>
        <v>288</v>
      </c>
      <c r="DD302">
        <f t="shared" ref="DD302" si="1658">+BC302</f>
        <v>288</v>
      </c>
      <c r="DE302">
        <f t="shared" ref="DE302" si="1659">+BD302</f>
        <v>288</v>
      </c>
      <c r="DF302">
        <f t="shared" ref="DF302" si="1660">+BE302</f>
        <v>288</v>
      </c>
      <c r="DG302">
        <f t="shared" ref="DG302" si="1661">+BF302</f>
        <v>288</v>
      </c>
      <c r="DH302">
        <f t="shared" ref="DH302" si="1662">+BG302</f>
        <v>288</v>
      </c>
      <c r="DI302">
        <f t="shared" ref="DI302" si="1663">+BH302</f>
        <v>288</v>
      </c>
      <c r="DJ302">
        <f t="shared" ref="DJ302" si="1664">+BI302</f>
        <v>288</v>
      </c>
      <c r="DL302" s="24">
        <f t="shared" si="1447"/>
        <v>1304</v>
      </c>
      <c r="DM302" s="24">
        <f t="shared" si="1448"/>
        <v>1056</v>
      </c>
      <c r="DN302" s="24">
        <f t="shared" si="1449"/>
        <v>988</v>
      </c>
      <c r="DO302" s="24">
        <f t="shared" si="1450"/>
        <v>1016</v>
      </c>
      <c r="DP302" s="24">
        <f t="shared" si="1451"/>
        <v>876</v>
      </c>
      <c r="DQ302" s="24">
        <f t="shared" si="1452"/>
        <v>948</v>
      </c>
      <c r="DR302" s="24">
        <f t="shared" si="1453"/>
        <v>1180</v>
      </c>
      <c r="DS302" s="24">
        <f t="shared" si="1454"/>
        <v>1252</v>
      </c>
      <c r="DT302" s="24">
        <f t="shared" si="1455"/>
        <v>1440</v>
      </c>
      <c r="DU302">
        <f t="shared" si="1456"/>
        <v>1152</v>
      </c>
      <c r="DV302">
        <f t="shared" si="1457"/>
        <v>1152</v>
      </c>
      <c r="DW302">
        <f t="shared" si="1458"/>
        <v>1440</v>
      </c>
    </row>
    <row r="303" spans="1:127" x14ac:dyDescent="0.25">
      <c r="A303" s="22">
        <f t="shared" si="1446"/>
        <v>297</v>
      </c>
      <c r="B303" s="59" t="str">
        <f t="shared" si="1612"/>
        <v>F0014826503</v>
      </c>
      <c r="C303" s="214" t="str">
        <f t="shared" si="1613"/>
        <v>82115-0E561 B</v>
      </c>
      <c r="D303" s="58" t="e">
        <f>VLOOKUP(B303,'Timing Table'!B:G,6,0)</f>
        <v>#N/A</v>
      </c>
      <c r="E303" s="22" t="e">
        <f>VLOOKUP(B303,'Timing Table'!B:D,3,0)</f>
        <v>#N/A</v>
      </c>
      <c r="F303" s="155" t="s">
        <v>77</v>
      </c>
      <c r="G303" s="181">
        <v>82115</v>
      </c>
      <c r="H303" s="10" t="s">
        <v>235</v>
      </c>
      <c r="I303" s="12" t="s">
        <v>78</v>
      </c>
      <c r="J303" s="152">
        <v>8244</v>
      </c>
      <c r="K303" s="153">
        <v>8536</v>
      </c>
      <c r="L303" s="153">
        <v>8780</v>
      </c>
      <c r="M303" s="153">
        <v>9128</v>
      </c>
      <c r="N303" s="153">
        <v>9280</v>
      </c>
      <c r="O303" s="153">
        <v>9592</v>
      </c>
      <c r="P303" s="153">
        <v>10036</v>
      </c>
      <c r="Q303" s="153">
        <v>10440</v>
      </c>
      <c r="R303" s="153">
        <v>10440</v>
      </c>
      <c r="S303" s="153">
        <v>10580</v>
      </c>
      <c r="T303" s="153">
        <v>10808</v>
      </c>
      <c r="U303" s="153">
        <v>11036</v>
      </c>
      <c r="V303" s="153">
        <v>11264</v>
      </c>
      <c r="W303" s="153">
        <v>11444</v>
      </c>
      <c r="X303" s="153">
        <v>11596</v>
      </c>
      <c r="Y303" s="153">
        <v>11744</v>
      </c>
      <c r="Z303" s="153">
        <v>11940</v>
      </c>
      <c r="AA303" s="153">
        <v>12208</v>
      </c>
      <c r="AB303" s="153">
        <v>12472</v>
      </c>
      <c r="AC303" s="153">
        <v>12736</v>
      </c>
      <c r="AD303" s="153">
        <v>12952</v>
      </c>
      <c r="AE303" s="153">
        <v>13168</v>
      </c>
      <c r="AF303" s="153">
        <v>13420</v>
      </c>
      <c r="AG303" s="153">
        <v>13676</v>
      </c>
      <c r="AH303" s="153">
        <v>13828</v>
      </c>
      <c r="AI303" s="153">
        <v>14080</v>
      </c>
      <c r="AJ303" s="153">
        <v>14340</v>
      </c>
      <c r="AK303" s="153">
        <v>14600</v>
      </c>
      <c r="AL303" s="153">
        <v>14988</v>
      </c>
      <c r="AM303" s="153">
        <v>15276</v>
      </c>
      <c r="AN303" s="153">
        <v>15564</v>
      </c>
      <c r="AO303" s="153">
        <v>15852</v>
      </c>
      <c r="AP303" s="153">
        <v>16140</v>
      </c>
      <c r="AQ303" s="153">
        <v>16428</v>
      </c>
      <c r="AR303" s="153">
        <v>16716</v>
      </c>
      <c r="AS303" s="153">
        <v>17004</v>
      </c>
      <c r="AT303" s="153">
        <v>17292</v>
      </c>
      <c r="AU303" s="153">
        <v>17580</v>
      </c>
      <c r="AV303" s="153">
        <v>17868</v>
      </c>
      <c r="AW303" s="153">
        <v>18156</v>
      </c>
      <c r="AX303" s="153">
        <v>18444</v>
      </c>
      <c r="AY303" s="153">
        <v>18732</v>
      </c>
      <c r="AZ303" s="153">
        <v>19020</v>
      </c>
      <c r="BA303" s="153">
        <v>19308</v>
      </c>
      <c r="BB303" s="153">
        <v>19596</v>
      </c>
      <c r="BC303" s="153">
        <v>19884</v>
      </c>
      <c r="BD303" s="153">
        <v>20172</v>
      </c>
      <c r="BE303" s="153">
        <v>20460</v>
      </c>
      <c r="BF303" s="153">
        <v>20748</v>
      </c>
      <c r="BG303" s="153">
        <v>21036</v>
      </c>
      <c r="BH303" s="153">
        <v>21324</v>
      </c>
      <c r="BI303" s="154">
        <v>21612</v>
      </c>
      <c r="DL303">
        <f t="shared" si="1447"/>
        <v>0</v>
      </c>
      <c r="DM303">
        <f t="shared" si="1448"/>
        <v>0</v>
      </c>
      <c r="DN303">
        <f t="shared" si="1449"/>
        <v>0</v>
      </c>
      <c r="DO303">
        <f t="shared" si="1450"/>
        <v>0</v>
      </c>
      <c r="DP303">
        <f t="shared" si="1451"/>
        <v>0</v>
      </c>
      <c r="DQ303">
        <f t="shared" si="1452"/>
        <v>0</v>
      </c>
      <c r="DR303">
        <f t="shared" si="1453"/>
        <v>0</v>
      </c>
      <c r="DS303">
        <f t="shared" si="1454"/>
        <v>0</v>
      </c>
      <c r="DT303">
        <f t="shared" si="1455"/>
        <v>0</v>
      </c>
      <c r="DU303">
        <f t="shared" si="1456"/>
        <v>0</v>
      </c>
      <c r="DV303">
        <f t="shared" si="1457"/>
        <v>0</v>
      </c>
      <c r="DW303">
        <f t="shared" si="1458"/>
        <v>0</v>
      </c>
    </row>
    <row r="304" spans="1:127" x14ac:dyDescent="0.25">
      <c r="A304" s="22">
        <f t="shared" si="1446"/>
        <v>298</v>
      </c>
      <c r="B304" s="59" t="str">
        <f t="shared" si="1612"/>
        <v>F0014826503</v>
      </c>
      <c r="C304" s="214" t="str">
        <f t="shared" si="1613"/>
        <v>82115-0E561 B</v>
      </c>
      <c r="D304" s="58" t="e">
        <f>VLOOKUP(B304,'Timing Table'!B:G,6,0)</f>
        <v>#N/A</v>
      </c>
      <c r="E304" s="22" t="e">
        <f>VLOOKUP(B304,'Timing Table'!B:D,3,0)</f>
        <v>#N/A</v>
      </c>
      <c r="F304" s="155" t="s">
        <v>79</v>
      </c>
      <c r="G304" s="199">
        <v>7232</v>
      </c>
      <c r="H304" s="184" t="s">
        <v>80</v>
      </c>
      <c r="I304" s="185"/>
      <c r="J304" s="200" t="s">
        <v>507</v>
      </c>
      <c r="K304" s="156"/>
      <c r="L304" s="157" t="s">
        <v>0</v>
      </c>
      <c r="M304" s="157" t="s">
        <v>0</v>
      </c>
      <c r="N304" s="157" t="s">
        <v>0</v>
      </c>
      <c r="O304" s="157" t="s">
        <v>0</v>
      </c>
      <c r="P304" s="157" t="s">
        <v>0</v>
      </c>
      <c r="Q304" s="157">
        <v>-9.0090090090090086E-2</v>
      </c>
      <c r="R304" s="157" t="s">
        <v>0</v>
      </c>
      <c r="S304" s="157" t="s">
        <v>0</v>
      </c>
      <c r="T304" s="157" t="s">
        <v>0</v>
      </c>
      <c r="U304" s="157" t="s">
        <v>0</v>
      </c>
      <c r="V304" s="157" t="s">
        <v>0</v>
      </c>
      <c r="W304" s="157" t="s">
        <v>0</v>
      </c>
      <c r="X304" s="157" t="s">
        <v>0</v>
      </c>
      <c r="Y304" s="157" t="s">
        <v>0</v>
      </c>
      <c r="Z304" s="157" t="s">
        <v>0</v>
      </c>
      <c r="AA304" s="157" t="s">
        <v>0</v>
      </c>
      <c r="AB304" s="157" t="s">
        <v>0</v>
      </c>
      <c r="AC304" s="157" t="s">
        <v>0</v>
      </c>
      <c r="AD304" s="157" t="s">
        <v>0</v>
      </c>
      <c r="AE304" s="157" t="s">
        <v>0</v>
      </c>
      <c r="AF304" s="157" t="s">
        <v>0</v>
      </c>
      <c r="AG304" s="157" t="s">
        <v>0</v>
      </c>
      <c r="AH304" s="157" t="s">
        <v>0</v>
      </c>
      <c r="AI304" s="157" t="s">
        <v>0</v>
      </c>
      <c r="AJ304" s="157" t="s">
        <v>0</v>
      </c>
      <c r="AK304" s="157" t="s">
        <v>0</v>
      </c>
      <c r="AL304" s="157" t="s">
        <v>0</v>
      </c>
      <c r="AM304" s="157" t="s">
        <v>0</v>
      </c>
      <c r="AN304" s="157" t="s">
        <v>0</v>
      </c>
      <c r="AO304" s="157" t="s">
        <v>0</v>
      </c>
      <c r="AP304" s="157" t="s">
        <v>0</v>
      </c>
      <c r="AQ304" s="157" t="s">
        <v>0</v>
      </c>
      <c r="AR304" s="157" t="s">
        <v>0</v>
      </c>
      <c r="AS304" s="157" t="s">
        <v>0</v>
      </c>
      <c r="AT304" s="157" t="s">
        <v>0</v>
      </c>
      <c r="AU304" s="157" t="s">
        <v>0</v>
      </c>
      <c r="AV304" s="157" t="s">
        <v>0</v>
      </c>
      <c r="AW304" s="157" t="s">
        <v>0</v>
      </c>
      <c r="AX304" s="157" t="s">
        <v>0</v>
      </c>
      <c r="AY304" s="157" t="s">
        <v>0</v>
      </c>
      <c r="AZ304" s="157" t="s">
        <v>0</v>
      </c>
      <c r="BA304" s="157" t="s">
        <v>0</v>
      </c>
      <c r="BB304" s="157" t="s">
        <v>0</v>
      </c>
      <c r="BC304" s="157" t="s">
        <v>0</v>
      </c>
      <c r="BD304" s="157" t="s">
        <v>0</v>
      </c>
      <c r="BE304" s="157" t="s">
        <v>0</v>
      </c>
      <c r="BF304" s="157" t="s">
        <v>0</v>
      </c>
      <c r="BG304" s="157" t="s">
        <v>0</v>
      </c>
      <c r="BH304" s="157" t="s">
        <v>0</v>
      </c>
      <c r="BI304" s="158"/>
      <c r="DL304">
        <f t="shared" si="1447"/>
        <v>0</v>
      </c>
      <c r="DM304">
        <f t="shared" si="1448"/>
        <v>0</v>
      </c>
      <c r="DN304">
        <f t="shared" si="1449"/>
        <v>0</v>
      </c>
      <c r="DO304">
        <f t="shared" si="1450"/>
        <v>0</v>
      </c>
      <c r="DP304">
        <f t="shared" si="1451"/>
        <v>0</v>
      </c>
      <c r="DQ304">
        <f t="shared" si="1452"/>
        <v>0</v>
      </c>
      <c r="DR304">
        <f t="shared" si="1453"/>
        <v>0</v>
      </c>
      <c r="DS304">
        <f t="shared" si="1454"/>
        <v>0</v>
      </c>
      <c r="DT304">
        <f t="shared" si="1455"/>
        <v>0</v>
      </c>
      <c r="DU304">
        <f t="shared" si="1456"/>
        <v>0</v>
      </c>
      <c r="DV304">
        <f t="shared" si="1457"/>
        <v>0</v>
      </c>
      <c r="DW304">
        <f t="shared" si="1458"/>
        <v>0</v>
      </c>
    </row>
    <row r="305" spans="1:127" x14ac:dyDescent="0.25">
      <c r="A305" s="22">
        <f t="shared" si="1446"/>
        <v>299</v>
      </c>
      <c r="B305" s="59" t="str">
        <f t="shared" si="1612"/>
        <v>F0014826503</v>
      </c>
      <c r="C305" s="214" t="str">
        <f>IF(F305=$F$7,#REF!,C304)</f>
        <v>82115-0E561 B</v>
      </c>
      <c r="D305" s="58" t="e">
        <f>VLOOKUP(B305,'Timing Table'!B:G,6,0)</f>
        <v>#N/A</v>
      </c>
      <c r="E305" s="22" t="e">
        <f>VLOOKUP(B305,'Timing Table'!B:D,3,0)</f>
        <v>#N/A</v>
      </c>
      <c r="F305" s="159" t="s">
        <v>81</v>
      </c>
      <c r="G305" s="160" t="s">
        <v>60</v>
      </c>
      <c r="H305" s="201" t="s">
        <v>60</v>
      </c>
      <c r="I305" s="183" t="s">
        <v>60</v>
      </c>
      <c r="J305" s="183" t="s">
        <v>0</v>
      </c>
      <c r="K305" s="183" t="s">
        <v>0</v>
      </c>
      <c r="L305" s="183" t="s">
        <v>0</v>
      </c>
      <c r="M305" s="183" t="s">
        <v>0</v>
      </c>
      <c r="N305" s="183" t="s">
        <v>0</v>
      </c>
      <c r="O305" s="183" t="s">
        <v>0</v>
      </c>
      <c r="P305" s="183" t="s">
        <v>0</v>
      </c>
      <c r="Q305" s="183" t="s">
        <v>521</v>
      </c>
      <c r="R305" s="183"/>
      <c r="S305" s="183" t="s">
        <v>0</v>
      </c>
      <c r="T305" s="183" t="s">
        <v>0</v>
      </c>
      <c r="U305" s="183" t="s">
        <v>0</v>
      </c>
      <c r="V305" s="183" t="s">
        <v>0</v>
      </c>
      <c r="W305" s="183" t="s">
        <v>0</v>
      </c>
      <c r="X305" s="183" t="s">
        <v>0</v>
      </c>
      <c r="Y305" s="183" t="s">
        <v>0</v>
      </c>
      <c r="Z305" s="183" t="s">
        <v>0</v>
      </c>
      <c r="AA305" s="183" t="s">
        <v>0</v>
      </c>
      <c r="AB305" s="183" t="s">
        <v>0</v>
      </c>
      <c r="AC305" s="183" t="s">
        <v>0</v>
      </c>
      <c r="AD305" s="183" t="s">
        <v>0</v>
      </c>
      <c r="AE305" s="183" t="s">
        <v>0</v>
      </c>
      <c r="AF305" s="183" t="s">
        <v>0</v>
      </c>
      <c r="AG305" s="183" t="s">
        <v>0</v>
      </c>
      <c r="AH305" s="183" t="s">
        <v>0</v>
      </c>
      <c r="AI305" s="183" t="s">
        <v>0</v>
      </c>
      <c r="AJ305" s="183" t="s">
        <v>0</v>
      </c>
      <c r="AK305" s="183" t="s">
        <v>0</v>
      </c>
      <c r="AL305" s="183" t="s">
        <v>0</v>
      </c>
      <c r="AM305" s="183" t="s">
        <v>0</v>
      </c>
      <c r="AN305" s="183" t="s">
        <v>0</v>
      </c>
      <c r="AO305" s="183" t="s">
        <v>0</v>
      </c>
      <c r="AP305" s="183" t="s">
        <v>0</v>
      </c>
      <c r="AQ305" s="183" t="s">
        <v>0</v>
      </c>
      <c r="AR305" s="183" t="s">
        <v>0</v>
      </c>
      <c r="AS305" s="183" t="s">
        <v>0</v>
      </c>
      <c r="AT305" s="183" t="s">
        <v>0</v>
      </c>
      <c r="AU305" s="183" t="s">
        <v>0</v>
      </c>
      <c r="AV305" s="183" t="s">
        <v>0</v>
      </c>
      <c r="AW305" s="183" t="s">
        <v>0</v>
      </c>
      <c r="AX305" s="183" t="s">
        <v>0</v>
      </c>
      <c r="AY305" s="183" t="s">
        <v>0</v>
      </c>
      <c r="AZ305" s="183" t="s">
        <v>0</v>
      </c>
      <c r="BA305" s="183" t="s">
        <v>0</v>
      </c>
      <c r="BB305" s="183" t="s">
        <v>0</v>
      </c>
      <c r="BC305" s="183" t="s">
        <v>0</v>
      </c>
      <c r="BD305" s="183" t="s">
        <v>0</v>
      </c>
      <c r="BE305" s="183" t="s">
        <v>0</v>
      </c>
      <c r="BF305" s="183" t="s">
        <v>0</v>
      </c>
      <c r="BG305" s="183" t="s">
        <v>0</v>
      </c>
      <c r="BH305" s="183" t="s">
        <v>0</v>
      </c>
      <c r="BI305" s="161"/>
      <c r="DL305">
        <f t="shared" si="1447"/>
        <v>0</v>
      </c>
      <c r="DM305">
        <f t="shared" si="1448"/>
        <v>0</v>
      </c>
      <c r="DN305">
        <f t="shared" si="1449"/>
        <v>0</v>
      </c>
      <c r="DO305">
        <f t="shared" si="1450"/>
        <v>0</v>
      </c>
      <c r="DP305">
        <f t="shared" si="1451"/>
        <v>0</v>
      </c>
      <c r="DQ305">
        <f t="shared" si="1452"/>
        <v>0</v>
      </c>
      <c r="DR305">
        <f t="shared" si="1453"/>
        <v>0</v>
      </c>
      <c r="DS305">
        <f t="shared" si="1454"/>
        <v>0</v>
      </c>
      <c r="DT305">
        <f t="shared" si="1455"/>
        <v>0</v>
      </c>
      <c r="DU305">
        <f t="shared" si="1456"/>
        <v>0</v>
      </c>
      <c r="DV305">
        <f t="shared" si="1457"/>
        <v>0</v>
      </c>
      <c r="DW305">
        <f t="shared" si="1458"/>
        <v>0</v>
      </c>
    </row>
    <row r="306" spans="1:127" x14ac:dyDescent="0.25">
      <c r="A306" s="22">
        <f t="shared" si="1446"/>
        <v>300</v>
      </c>
      <c r="B306" s="59" t="str">
        <f>IF(F306=$F$7,#REF!,B305)</f>
        <v>F0014826503</v>
      </c>
      <c r="C306" s="214" t="str">
        <f>IF(F306=$F$7,#REF!,C305)</f>
        <v>82115-0E561 B</v>
      </c>
      <c r="D306" s="58" t="e">
        <f>VLOOKUP(B306,'Timing Table'!B:G,6,0)</f>
        <v>#N/A</v>
      </c>
      <c r="E306" s="22" t="e">
        <f>VLOOKUP(B306,'Timing Table'!B:D,3,0)</f>
        <v>#N/A</v>
      </c>
      <c r="F306" s="188" t="s">
        <v>60</v>
      </c>
      <c r="G306" s="162" t="s">
        <v>60</v>
      </c>
      <c r="H306" s="163" t="s">
        <v>60</v>
      </c>
      <c r="I306" s="164" t="s">
        <v>60</v>
      </c>
      <c r="J306" s="164" t="s">
        <v>0</v>
      </c>
      <c r="K306" s="164" t="s">
        <v>0</v>
      </c>
      <c r="L306" s="164" t="s">
        <v>0</v>
      </c>
      <c r="M306" s="164" t="s">
        <v>0</v>
      </c>
      <c r="N306" s="164" t="s">
        <v>0</v>
      </c>
      <c r="O306" s="164" t="s">
        <v>0</v>
      </c>
      <c r="P306" s="164" t="s">
        <v>0</v>
      </c>
      <c r="Q306" s="164" t="s">
        <v>0</v>
      </c>
      <c r="R306" s="164" t="s">
        <v>0</v>
      </c>
      <c r="S306" s="164" t="s">
        <v>0</v>
      </c>
      <c r="T306" s="164" t="s">
        <v>0</v>
      </c>
      <c r="U306" s="164" t="s">
        <v>0</v>
      </c>
      <c r="V306" s="164" t="s">
        <v>0</v>
      </c>
      <c r="W306" s="164" t="s">
        <v>0</v>
      </c>
      <c r="X306" s="164" t="s">
        <v>0</v>
      </c>
      <c r="Y306" s="164" t="s">
        <v>0</v>
      </c>
      <c r="Z306" s="164" t="s">
        <v>0</v>
      </c>
      <c r="AA306" s="164" t="s">
        <v>0</v>
      </c>
      <c r="AB306" s="164" t="s">
        <v>0</v>
      </c>
      <c r="AC306" s="164" t="s">
        <v>0</v>
      </c>
      <c r="AD306" s="164" t="s">
        <v>0</v>
      </c>
      <c r="AE306" s="164" t="s">
        <v>0</v>
      </c>
      <c r="AF306" s="164" t="s">
        <v>0</v>
      </c>
      <c r="AG306" s="164" t="s">
        <v>0</v>
      </c>
      <c r="AH306" s="164" t="s">
        <v>0</v>
      </c>
      <c r="AI306" s="164" t="s">
        <v>0</v>
      </c>
      <c r="AJ306" s="164" t="s">
        <v>0</v>
      </c>
      <c r="AK306" s="164" t="s">
        <v>0</v>
      </c>
      <c r="AL306" s="164" t="s">
        <v>0</v>
      </c>
      <c r="AM306" s="164" t="s">
        <v>0</v>
      </c>
      <c r="AN306" s="164" t="s">
        <v>0</v>
      </c>
      <c r="AO306" s="164" t="s">
        <v>0</v>
      </c>
      <c r="AP306" s="164" t="s">
        <v>0</v>
      </c>
      <c r="AQ306" s="164" t="s">
        <v>0</v>
      </c>
      <c r="AR306" s="164" t="s">
        <v>0</v>
      </c>
      <c r="AS306" s="164" t="s">
        <v>0</v>
      </c>
      <c r="AT306" s="164" t="s">
        <v>0</v>
      </c>
      <c r="AU306" s="164" t="s">
        <v>0</v>
      </c>
      <c r="AV306" s="164" t="s">
        <v>0</v>
      </c>
      <c r="AW306" s="164" t="s">
        <v>0</v>
      </c>
      <c r="AX306" s="164" t="s">
        <v>0</v>
      </c>
      <c r="AY306" s="164" t="s">
        <v>0</v>
      </c>
      <c r="AZ306" s="164" t="s">
        <v>0</v>
      </c>
      <c r="BA306" s="164" t="s">
        <v>0</v>
      </c>
      <c r="BB306" s="164" t="s">
        <v>0</v>
      </c>
      <c r="BC306" s="164" t="s">
        <v>0</v>
      </c>
      <c r="BD306" s="164" t="s">
        <v>0</v>
      </c>
      <c r="BE306" s="164" t="s">
        <v>0</v>
      </c>
      <c r="BF306" s="164" t="s">
        <v>0</v>
      </c>
      <c r="BG306" s="164" t="s">
        <v>0</v>
      </c>
      <c r="BH306" s="164" t="s">
        <v>0</v>
      </c>
      <c r="BI306" s="189"/>
      <c r="DL306">
        <f t="shared" si="1447"/>
        <v>0</v>
      </c>
      <c r="DM306">
        <f t="shared" si="1448"/>
        <v>0</v>
      </c>
      <c r="DN306">
        <f t="shared" si="1449"/>
        <v>0</v>
      </c>
      <c r="DO306">
        <f t="shared" si="1450"/>
        <v>0</v>
      </c>
      <c r="DP306">
        <f t="shared" si="1451"/>
        <v>0</v>
      </c>
      <c r="DQ306">
        <f t="shared" si="1452"/>
        <v>0</v>
      </c>
      <c r="DR306">
        <f t="shared" si="1453"/>
        <v>0</v>
      </c>
      <c r="DS306">
        <f t="shared" si="1454"/>
        <v>0</v>
      </c>
      <c r="DT306">
        <f t="shared" si="1455"/>
        <v>0</v>
      </c>
      <c r="DU306">
        <f t="shared" si="1456"/>
        <v>0</v>
      </c>
      <c r="DV306">
        <f t="shared" si="1457"/>
        <v>0</v>
      </c>
      <c r="DW306">
        <f t="shared" si="1458"/>
        <v>0</v>
      </c>
    </row>
    <row r="307" spans="1:127" x14ac:dyDescent="0.25">
      <c r="A307" s="22">
        <f>+A306+1</f>
        <v>301</v>
      </c>
      <c r="B307" s="59" t="str">
        <f>IF(F307=$F$7,G308,B306)</f>
        <v>F0014826601</v>
      </c>
      <c r="C307" s="214" t="str">
        <f>IF(F307=$F$7,G309,C306)</f>
        <v>82115-0E541</v>
      </c>
      <c r="D307" s="58" t="e">
        <f>VLOOKUP(B307,'Timing Table'!B:G,6,0)</f>
        <v>#N/A</v>
      </c>
      <c r="E307" s="22" t="e">
        <f>VLOOKUP(B307,'Timing Table'!B:D,3,0)</f>
        <v>#N/A</v>
      </c>
      <c r="F307" s="155" t="s">
        <v>61</v>
      </c>
      <c r="G307" s="181">
        <v>5500990633</v>
      </c>
      <c r="H307" s="155" t="s">
        <v>62</v>
      </c>
      <c r="I307" s="181">
        <v>156</v>
      </c>
      <c r="J307" s="155" t="s">
        <v>63</v>
      </c>
      <c r="K307" s="160">
        <v>1121475</v>
      </c>
      <c r="L307" s="161"/>
      <c r="M307" s="190" t="s">
        <v>64</v>
      </c>
      <c r="N307" s="191"/>
      <c r="O307" s="192">
        <v>46086</v>
      </c>
      <c r="P307" s="155" t="s">
        <v>65</v>
      </c>
      <c r="Q307" s="181">
        <v>4</v>
      </c>
      <c r="R307" s="6" t="s">
        <v>0</v>
      </c>
      <c r="S307" s="7" t="s">
        <v>0</v>
      </c>
      <c r="T307" s="7" t="s">
        <v>0</v>
      </c>
      <c r="U307" s="7" t="s">
        <v>0</v>
      </c>
      <c r="V307" s="7" t="s">
        <v>0</v>
      </c>
      <c r="W307" s="7" t="s">
        <v>0</v>
      </c>
      <c r="X307" s="7" t="s">
        <v>0</v>
      </c>
      <c r="Y307" s="7" t="s">
        <v>0</v>
      </c>
      <c r="Z307" s="7" t="s">
        <v>0</v>
      </c>
      <c r="AA307" s="7" t="s">
        <v>0</v>
      </c>
      <c r="AB307" s="7" t="s">
        <v>0</v>
      </c>
      <c r="AC307" s="7" t="s">
        <v>0</v>
      </c>
      <c r="AD307" s="7" t="s">
        <v>0</v>
      </c>
      <c r="AE307" s="7" t="s">
        <v>0</v>
      </c>
      <c r="AF307" s="7" t="s">
        <v>0</v>
      </c>
      <c r="AG307" s="7" t="s">
        <v>0</v>
      </c>
      <c r="AH307" s="7" t="s">
        <v>0</v>
      </c>
      <c r="AI307" s="7" t="s">
        <v>0</v>
      </c>
      <c r="AJ307" s="7" t="s">
        <v>0</v>
      </c>
      <c r="AK307" s="7" t="s">
        <v>0</v>
      </c>
      <c r="AL307" s="7" t="s">
        <v>0</v>
      </c>
      <c r="AM307" s="7" t="s">
        <v>0</v>
      </c>
      <c r="AN307" s="7" t="s">
        <v>0</v>
      </c>
      <c r="AO307" s="7" t="s">
        <v>0</v>
      </c>
      <c r="AP307" s="7" t="s">
        <v>0</v>
      </c>
      <c r="AQ307" s="7" t="s">
        <v>0</v>
      </c>
      <c r="AR307" s="7" t="s">
        <v>0</v>
      </c>
      <c r="AS307" s="7" t="s">
        <v>0</v>
      </c>
      <c r="AT307" s="7" t="s">
        <v>0</v>
      </c>
      <c r="AU307" s="7" t="s">
        <v>0</v>
      </c>
      <c r="AV307" s="7" t="s">
        <v>0</v>
      </c>
      <c r="AW307" s="7" t="s">
        <v>0</v>
      </c>
      <c r="AX307" s="7" t="s">
        <v>0</v>
      </c>
      <c r="AY307" s="7" t="s">
        <v>0</v>
      </c>
      <c r="AZ307" s="7" t="s">
        <v>0</v>
      </c>
      <c r="BA307" s="7" t="s">
        <v>0</v>
      </c>
      <c r="BB307" s="7" t="s">
        <v>0</v>
      </c>
      <c r="BC307" s="7" t="s">
        <v>0</v>
      </c>
      <c r="BD307" s="7" t="s">
        <v>0</v>
      </c>
      <c r="BE307" s="7" t="s">
        <v>0</v>
      </c>
      <c r="BF307" s="7" t="s">
        <v>0</v>
      </c>
      <c r="BG307" s="7" t="s">
        <v>0</v>
      </c>
      <c r="BH307" s="7" t="s">
        <v>0</v>
      </c>
      <c r="BI307" s="8"/>
      <c r="DL307">
        <f t="shared" si="1447"/>
        <v>0</v>
      </c>
      <c r="DM307">
        <f t="shared" si="1448"/>
        <v>0</v>
      </c>
      <c r="DN307">
        <f t="shared" si="1449"/>
        <v>0</v>
      </c>
      <c r="DO307">
        <f t="shared" si="1450"/>
        <v>0</v>
      </c>
      <c r="DP307">
        <f t="shared" si="1451"/>
        <v>0</v>
      </c>
      <c r="DQ307">
        <f t="shared" si="1452"/>
        <v>0</v>
      </c>
      <c r="DR307">
        <f t="shared" si="1453"/>
        <v>0</v>
      </c>
      <c r="DS307">
        <f t="shared" si="1454"/>
        <v>0</v>
      </c>
      <c r="DT307">
        <f t="shared" si="1455"/>
        <v>0</v>
      </c>
      <c r="DU307">
        <f t="shared" si="1456"/>
        <v>0</v>
      </c>
      <c r="DV307">
        <f t="shared" si="1457"/>
        <v>0</v>
      </c>
      <c r="DW307">
        <f t="shared" si="1458"/>
        <v>0</v>
      </c>
    </row>
    <row r="308" spans="1:127" x14ac:dyDescent="0.25">
      <c r="A308" s="22">
        <f t="shared" si="1446"/>
        <v>302</v>
      </c>
      <c r="B308" s="59" t="str">
        <f t="shared" ref="B308:B315" si="1665">IF(F308=$F$7,G309,B307)</f>
        <v>F0014826601</v>
      </c>
      <c r="C308" s="214" t="str">
        <f t="shared" ref="C308:C314" si="1666">IF(F308=$F$7,G310,C307)</f>
        <v>82115-0E541</v>
      </c>
      <c r="D308" s="58" t="e">
        <f>VLOOKUP(B308,'Timing Table'!B:G,6,0)</f>
        <v>#N/A</v>
      </c>
      <c r="E308" s="22" t="e">
        <f>VLOOKUP(B308,'Timing Table'!B:D,3,0)</f>
        <v>#N/A</v>
      </c>
      <c r="F308" s="155" t="s">
        <v>66</v>
      </c>
      <c r="G308" s="181" t="s">
        <v>282</v>
      </c>
      <c r="H308" s="155" t="s">
        <v>67</v>
      </c>
      <c r="I308" s="182" t="s">
        <v>283</v>
      </c>
      <c r="J308" s="183"/>
      <c r="K308" s="183"/>
      <c r="L308" s="161"/>
      <c r="M308" s="155" t="s">
        <v>68</v>
      </c>
      <c r="N308" s="181">
        <v>2025</v>
      </c>
      <c r="O308" s="184" t="s">
        <v>69</v>
      </c>
      <c r="P308" s="185"/>
      <c r="Q308" s="193" t="s">
        <v>265</v>
      </c>
      <c r="R308" s="156" t="s">
        <v>0</v>
      </c>
      <c r="S308" s="157" t="s">
        <v>0</v>
      </c>
      <c r="T308" s="157" t="s">
        <v>0</v>
      </c>
      <c r="U308" s="157" t="s">
        <v>0</v>
      </c>
      <c r="V308" s="157" t="s">
        <v>0</v>
      </c>
      <c r="W308" s="157" t="s">
        <v>0</v>
      </c>
      <c r="X308" s="157" t="s">
        <v>0</v>
      </c>
      <c r="Y308" s="157" t="s">
        <v>0</v>
      </c>
      <c r="Z308" s="157" t="s">
        <v>0</v>
      </c>
      <c r="AA308" s="157" t="s">
        <v>0</v>
      </c>
      <c r="AB308" s="157" t="s">
        <v>0</v>
      </c>
      <c r="AC308" s="157" t="s">
        <v>0</v>
      </c>
      <c r="AD308" s="157" t="s">
        <v>0</v>
      </c>
      <c r="AE308" s="157" t="s">
        <v>0</v>
      </c>
      <c r="AF308" s="157" t="s">
        <v>0</v>
      </c>
      <c r="AG308" s="157" t="s">
        <v>0</v>
      </c>
      <c r="AH308" s="157" t="s">
        <v>0</v>
      </c>
      <c r="AI308" s="157" t="s">
        <v>0</v>
      </c>
      <c r="AJ308" s="157" t="s">
        <v>0</v>
      </c>
      <c r="AK308" s="157" t="s">
        <v>0</v>
      </c>
      <c r="AL308" s="157" t="s">
        <v>0</v>
      </c>
      <c r="AM308" s="157" t="s">
        <v>0</v>
      </c>
      <c r="AN308" s="157" t="s">
        <v>0</v>
      </c>
      <c r="AO308" s="157" t="s">
        <v>0</v>
      </c>
      <c r="AP308" s="157" t="s">
        <v>0</v>
      </c>
      <c r="AQ308" s="157" t="s">
        <v>0</v>
      </c>
      <c r="AR308" s="157" t="s">
        <v>0</v>
      </c>
      <c r="AS308" s="157" t="s">
        <v>0</v>
      </c>
      <c r="AT308" s="157" t="s">
        <v>0</v>
      </c>
      <c r="AU308" s="157" t="s">
        <v>0</v>
      </c>
      <c r="AV308" s="157" t="s">
        <v>0</v>
      </c>
      <c r="AW308" s="157" t="s">
        <v>0</v>
      </c>
      <c r="AX308" s="157" t="s">
        <v>0</v>
      </c>
      <c r="AY308" s="157" t="s">
        <v>0</v>
      </c>
      <c r="AZ308" s="157" t="s">
        <v>0</v>
      </c>
      <c r="BA308" s="157" t="s">
        <v>0</v>
      </c>
      <c r="BB308" s="157" t="s">
        <v>0</v>
      </c>
      <c r="BC308" s="157" t="s">
        <v>0</v>
      </c>
      <c r="BD308" s="157" t="s">
        <v>0</v>
      </c>
      <c r="BE308" s="157" t="s">
        <v>0</v>
      </c>
      <c r="BF308" s="157" t="s">
        <v>0</v>
      </c>
      <c r="BG308" s="157" t="s">
        <v>0</v>
      </c>
      <c r="BH308" s="157" t="s">
        <v>0</v>
      </c>
      <c r="BI308" s="158"/>
      <c r="DL308">
        <f t="shared" si="1447"/>
        <v>0</v>
      </c>
      <c r="DM308">
        <f t="shared" si="1448"/>
        <v>0</v>
      </c>
      <c r="DN308">
        <f t="shared" si="1449"/>
        <v>0</v>
      </c>
      <c r="DO308">
        <f t="shared" si="1450"/>
        <v>0</v>
      </c>
      <c r="DP308">
        <f t="shared" si="1451"/>
        <v>0</v>
      </c>
      <c r="DQ308">
        <f t="shared" si="1452"/>
        <v>0</v>
      </c>
      <c r="DR308">
        <f t="shared" si="1453"/>
        <v>0</v>
      </c>
      <c r="DS308">
        <f t="shared" si="1454"/>
        <v>0</v>
      </c>
      <c r="DT308">
        <f t="shared" si="1455"/>
        <v>0</v>
      </c>
      <c r="DU308">
        <f t="shared" si="1456"/>
        <v>0</v>
      </c>
      <c r="DV308">
        <f t="shared" si="1457"/>
        <v>0</v>
      </c>
      <c r="DW308">
        <f t="shared" si="1458"/>
        <v>0</v>
      </c>
    </row>
    <row r="309" spans="1:127" x14ac:dyDescent="0.25">
      <c r="A309" s="22">
        <f t="shared" si="1446"/>
        <v>303</v>
      </c>
      <c r="B309" s="59" t="str">
        <f t="shared" si="1665"/>
        <v>F0014826601</v>
      </c>
      <c r="C309" s="214" t="str">
        <f t="shared" si="1666"/>
        <v>82115-0E541</v>
      </c>
      <c r="D309" s="58" t="e">
        <f>VLOOKUP(B309,'Timing Table'!B:G,6,0)</f>
        <v>#N/A</v>
      </c>
      <c r="E309" s="22" t="e">
        <f>VLOOKUP(B309,'Timing Table'!B:D,3,0)</f>
        <v>#N/A</v>
      </c>
      <c r="F309" s="155" t="s">
        <v>70</v>
      </c>
      <c r="G309" s="181" t="s">
        <v>231</v>
      </c>
      <c r="H309" s="155" t="s">
        <v>71</v>
      </c>
      <c r="I309" s="182" t="s">
        <v>60</v>
      </c>
      <c r="J309" s="161" t="s">
        <v>0</v>
      </c>
      <c r="K309" s="194" t="s">
        <v>0</v>
      </c>
      <c r="L309" s="195" t="s">
        <v>0</v>
      </c>
      <c r="M309" s="179" t="s">
        <v>0</v>
      </c>
      <c r="N309" s="179" t="s">
        <v>0</v>
      </c>
      <c r="O309" s="179" t="s">
        <v>0</v>
      </c>
      <c r="P309" s="179" t="s">
        <v>0</v>
      </c>
      <c r="Q309" s="179" t="s">
        <v>1</v>
      </c>
      <c r="R309" s="179" t="s">
        <v>2</v>
      </c>
      <c r="S309" s="179" t="s">
        <v>0</v>
      </c>
      <c r="T309" s="179" t="s">
        <v>0</v>
      </c>
      <c r="U309" s="179" t="s">
        <v>0</v>
      </c>
      <c r="V309" s="179" t="s">
        <v>0</v>
      </c>
      <c r="W309" s="179" t="s">
        <v>0</v>
      </c>
      <c r="X309" s="179" t="s">
        <v>0</v>
      </c>
      <c r="Y309" s="179" t="s">
        <v>0</v>
      </c>
      <c r="Z309" s="179" t="s">
        <v>3</v>
      </c>
      <c r="AA309" s="179" t="s">
        <v>0</v>
      </c>
      <c r="AB309" s="179" t="s">
        <v>0</v>
      </c>
      <c r="AC309" s="179" t="s">
        <v>0</v>
      </c>
      <c r="AD309" s="179" t="s">
        <v>0</v>
      </c>
      <c r="AE309" s="179" t="s">
        <v>0</v>
      </c>
      <c r="AF309" s="179" t="s">
        <v>0</v>
      </c>
      <c r="AG309" s="179" t="s">
        <v>0</v>
      </c>
      <c r="AH309" s="179" t="s">
        <v>0</v>
      </c>
      <c r="AI309" s="179" t="s">
        <v>0</v>
      </c>
      <c r="AJ309" s="179" t="s">
        <v>0</v>
      </c>
      <c r="AK309" s="179" t="s">
        <v>0</v>
      </c>
      <c r="AL309" s="179" t="s">
        <v>0</v>
      </c>
      <c r="AM309" s="179" t="s">
        <v>0</v>
      </c>
      <c r="AN309" s="179" t="s">
        <v>0</v>
      </c>
      <c r="AO309" s="179" t="s">
        <v>0</v>
      </c>
      <c r="AP309" s="179" t="s">
        <v>0</v>
      </c>
      <c r="AQ309" s="179" t="s">
        <v>0</v>
      </c>
      <c r="AR309" s="179" t="s">
        <v>0</v>
      </c>
      <c r="AS309" s="179" t="s">
        <v>0</v>
      </c>
      <c r="AT309" s="179" t="s">
        <v>0</v>
      </c>
      <c r="AU309" s="179" t="s">
        <v>0</v>
      </c>
      <c r="AV309" s="179" t="s">
        <v>0</v>
      </c>
      <c r="AW309" s="179" t="s">
        <v>0</v>
      </c>
      <c r="AX309" s="179" t="s">
        <v>0</v>
      </c>
      <c r="AY309" s="179" t="s">
        <v>0</v>
      </c>
      <c r="AZ309" s="179" t="s">
        <v>0</v>
      </c>
      <c r="BA309" s="179" t="s">
        <v>0</v>
      </c>
      <c r="BB309" s="179" t="s">
        <v>0</v>
      </c>
      <c r="BC309" s="179" t="s">
        <v>0</v>
      </c>
      <c r="BD309" s="179" t="s">
        <v>0</v>
      </c>
      <c r="BE309" s="179" t="s">
        <v>0</v>
      </c>
      <c r="BF309" s="179" t="s">
        <v>0</v>
      </c>
      <c r="BG309" s="179" t="s">
        <v>0</v>
      </c>
      <c r="BH309" s="179" t="s">
        <v>0</v>
      </c>
      <c r="BI309" s="180" t="s">
        <v>4</v>
      </c>
      <c r="DL309">
        <f t="shared" si="1447"/>
        <v>0</v>
      </c>
      <c r="DM309">
        <f t="shared" si="1448"/>
        <v>0</v>
      </c>
      <c r="DN309">
        <f t="shared" si="1449"/>
        <v>0</v>
      </c>
      <c r="DO309">
        <f t="shared" si="1450"/>
        <v>0</v>
      </c>
      <c r="DP309">
        <f t="shared" si="1451"/>
        <v>0</v>
      </c>
      <c r="DQ309">
        <f t="shared" si="1452"/>
        <v>0</v>
      </c>
      <c r="DR309">
        <f t="shared" si="1453"/>
        <v>0</v>
      </c>
      <c r="DS309">
        <f t="shared" si="1454"/>
        <v>0</v>
      </c>
      <c r="DT309">
        <f t="shared" si="1455"/>
        <v>0</v>
      </c>
      <c r="DU309">
        <f t="shared" si="1456"/>
        <v>0</v>
      </c>
      <c r="DV309">
        <f t="shared" si="1457"/>
        <v>0</v>
      </c>
      <c r="DW309">
        <f t="shared" si="1458"/>
        <v>0</v>
      </c>
    </row>
    <row r="310" spans="1:127" x14ac:dyDescent="0.25">
      <c r="A310" s="22">
        <f t="shared" si="1446"/>
        <v>304</v>
      </c>
      <c r="B310" s="59" t="str">
        <f t="shared" si="1665"/>
        <v>F0014826601</v>
      </c>
      <c r="C310" s="214" t="str">
        <f t="shared" si="1666"/>
        <v>82115-0E541</v>
      </c>
      <c r="D310" s="58" t="e">
        <f>VLOOKUP(B310,'Timing Table'!B:G,6,0)</f>
        <v>#N/A</v>
      </c>
      <c r="E310" s="22" t="e">
        <f>VLOOKUP(B310,'Timing Table'!B:D,3,0)</f>
        <v>#N/A</v>
      </c>
      <c r="F310" s="155" t="s">
        <v>72</v>
      </c>
      <c r="G310" s="181">
        <v>80</v>
      </c>
      <c r="H310" s="196" t="s">
        <v>414</v>
      </c>
      <c r="I310" s="197" t="s">
        <v>73</v>
      </c>
      <c r="J310" s="13">
        <v>46041</v>
      </c>
      <c r="K310" s="14">
        <v>46048</v>
      </c>
      <c r="L310" s="14">
        <v>46055</v>
      </c>
      <c r="M310" s="14">
        <v>46062</v>
      </c>
      <c r="N310" s="14">
        <v>46069</v>
      </c>
      <c r="O310" s="14">
        <v>46076</v>
      </c>
      <c r="P310" s="14">
        <v>46083</v>
      </c>
      <c r="Q310" s="14">
        <v>46090</v>
      </c>
      <c r="R310" s="14">
        <v>46097</v>
      </c>
      <c r="S310" s="14">
        <v>46104</v>
      </c>
      <c r="T310" s="14">
        <v>46111</v>
      </c>
      <c r="U310" s="14">
        <v>46118</v>
      </c>
      <c r="V310" s="14">
        <v>46125</v>
      </c>
      <c r="W310" s="14">
        <v>46132</v>
      </c>
      <c r="X310" s="14">
        <v>46139</v>
      </c>
      <c r="Y310" s="14">
        <v>46146</v>
      </c>
      <c r="Z310" s="14">
        <v>46153</v>
      </c>
      <c r="AA310" s="14">
        <v>46160</v>
      </c>
      <c r="AB310" s="14">
        <v>46167</v>
      </c>
      <c r="AC310" s="14">
        <v>46174</v>
      </c>
      <c r="AD310" s="14">
        <v>46181</v>
      </c>
      <c r="AE310" s="14">
        <v>46188</v>
      </c>
      <c r="AF310" s="14">
        <v>46195</v>
      </c>
      <c r="AG310" s="14">
        <v>46202</v>
      </c>
      <c r="AH310" s="14">
        <v>46209</v>
      </c>
      <c r="AI310" s="14">
        <v>46216</v>
      </c>
      <c r="AJ310" s="14">
        <v>46223</v>
      </c>
      <c r="AK310" s="14">
        <v>46230</v>
      </c>
      <c r="AL310" s="14">
        <v>46237</v>
      </c>
      <c r="AM310" s="14">
        <v>46244</v>
      </c>
      <c r="AN310" s="14">
        <v>46251</v>
      </c>
      <c r="AO310" s="14">
        <v>46258</v>
      </c>
      <c r="AP310" s="14">
        <v>46265</v>
      </c>
      <c r="AQ310" s="14">
        <v>46272</v>
      </c>
      <c r="AR310" s="14">
        <v>46279</v>
      </c>
      <c r="AS310" s="14">
        <v>46286</v>
      </c>
      <c r="AT310" s="14">
        <v>46293</v>
      </c>
      <c r="AU310" s="14">
        <v>46300</v>
      </c>
      <c r="AV310" s="14">
        <v>46307</v>
      </c>
      <c r="AW310" s="14">
        <v>46314</v>
      </c>
      <c r="AX310" s="14">
        <v>46321</v>
      </c>
      <c r="AY310" s="14">
        <v>46328</v>
      </c>
      <c r="AZ310" s="14">
        <v>46335</v>
      </c>
      <c r="BA310" s="14">
        <v>46342</v>
      </c>
      <c r="BB310" s="14">
        <v>46349</v>
      </c>
      <c r="BC310" s="14">
        <v>46356</v>
      </c>
      <c r="BD310" s="14">
        <v>46363</v>
      </c>
      <c r="BE310" s="14">
        <v>46370</v>
      </c>
      <c r="BF310" s="14">
        <v>46377</v>
      </c>
      <c r="BG310" s="14">
        <v>46384</v>
      </c>
      <c r="BH310" s="14">
        <v>46391</v>
      </c>
      <c r="BI310" s="15">
        <v>46398</v>
      </c>
      <c r="DL310">
        <f t="shared" si="1447"/>
        <v>0</v>
      </c>
      <c r="DM310">
        <f t="shared" si="1448"/>
        <v>0</v>
      </c>
      <c r="DN310">
        <f t="shared" si="1449"/>
        <v>0</v>
      </c>
      <c r="DO310">
        <f t="shared" si="1450"/>
        <v>0</v>
      </c>
      <c r="DP310">
        <f t="shared" si="1451"/>
        <v>0</v>
      </c>
      <c r="DQ310">
        <f t="shared" si="1452"/>
        <v>0</v>
      </c>
      <c r="DR310">
        <f t="shared" si="1453"/>
        <v>0</v>
      </c>
      <c r="DS310">
        <f t="shared" si="1454"/>
        <v>0</v>
      </c>
      <c r="DT310">
        <f t="shared" si="1455"/>
        <v>0</v>
      </c>
      <c r="DU310">
        <f t="shared" si="1456"/>
        <v>0</v>
      </c>
      <c r="DV310">
        <f t="shared" si="1457"/>
        <v>0</v>
      </c>
      <c r="DW310">
        <f t="shared" si="1458"/>
        <v>0</v>
      </c>
    </row>
    <row r="311" spans="1:127" x14ac:dyDescent="0.25">
      <c r="A311" s="22">
        <f t="shared" si="1446"/>
        <v>305</v>
      </c>
      <c r="B311" s="59" t="str">
        <f t="shared" si="1665"/>
        <v>F0014826601</v>
      </c>
      <c r="C311" s="214" t="str">
        <f t="shared" si="1666"/>
        <v>82115-0E541</v>
      </c>
      <c r="D311" s="58" t="e">
        <f>VLOOKUP(B311,'Timing Table'!B:G,6,0)</f>
        <v>#N/A</v>
      </c>
      <c r="E311" s="22" t="e">
        <f>VLOOKUP(B311,'Timing Table'!B:D,3,0)</f>
        <v>#N/A</v>
      </c>
      <c r="F311" s="155" t="s">
        <v>74</v>
      </c>
      <c r="G311" s="181">
        <v>560</v>
      </c>
      <c r="H311" s="5" t="s">
        <v>60</v>
      </c>
      <c r="I311" s="11" t="s">
        <v>147</v>
      </c>
      <c r="J311" s="16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17"/>
      <c r="DL311">
        <f t="shared" si="1447"/>
        <v>0</v>
      </c>
      <c r="DM311">
        <f t="shared" si="1448"/>
        <v>0</v>
      </c>
      <c r="DN311">
        <f t="shared" si="1449"/>
        <v>0</v>
      </c>
      <c r="DO311">
        <f t="shared" si="1450"/>
        <v>0</v>
      </c>
      <c r="DP311">
        <f t="shared" si="1451"/>
        <v>0</v>
      </c>
      <c r="DQ311">
        <f t="shared" si="1452"/>
        <v>0</v>
      </c>
      <c r="DR311">
        <f t="shared" si="1453"/>
        <v>0</v>
      </c>
      <c r="DS311">
        <f t="shared" si="1454"/>
        <v>0</v>
      </c>
      <c r="DT311">
        <f t="shared" si="1455"/>
        <v>0</v>
      </c>
      <c r="DU311">
        <f t="shared" si="1456"/>
        <v>0</v>
      </c>
      <c r="DV311">
        <f t="shared" si="1457"/>
        <v>0</v>
      </c>
      <c r="DW311">
        <f t="shared" si="1458"/>
        <v>0</v>
      </c>
    </row>
    <row r="312" spans="1:127" x14ac:dyDescent="0.25">
      <c r="A312" s="22">
        <f t="shared" si="1446"/>
        <v>306</v>
      </c>
      <c r="B312" s="59" t="str">
        <f t="shared" si="1665"/>
        <v>F0014826601</v>
      </c>
      <c r="C312" s="214" t="str">
        <f t="shared" si="1666"/>
        <v>82115-0E541</v>
      </c>
      <c r="D312" s="58" t="e">
        <f>VLOOKUP(B312,'Timing Table'!B:G,6,0)</f>
        <v>#N/A</v>
      </c>
      <c r="E312" s="22" t="e">
        <f>VLOOKUP(B312,'Timing Table'!B:D,3,0)</f>
        <v>#N/A</v>
      </c>
      <c r="F312" s="155" t="s">
        <v>75</v>
      </c>
      <c r="G312" s="198" t="s">
        <v>257</v>
      </c>
      <c r="H312" s="9" t="s">
        <v>231</v>
      </c>
      <c r="I312" s="11" t="s">
        <v>76</v>
      </c>
      <c r="J312" s="143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>
        <v>0</v>
      </c>
      <c r="AA312" s="64">
        <v>0</v>
      </c>
      <c r="AB312" s="64">
        <v>0</v>
      </c>
      <c r="AC312" s="64">
        <v>0</v>
      </c>
      <c r="AD312" s="64">
        <v>0</v>
      </c>
      <c r="AE312" s="64">
        <v>0</v>
      </c>
      <c r="AF312" s="64">
        <v>0</v>
      </c>
      <c r="AG312" s="64">
        <v>0</v>
      </c>
      <c r="AH312" s="64">
        <v>0</v>
      </c>
      <c r="AI312" s="64">
        <v>0</v>
      </c>
      <c r="AJ312" s="64">
        <v>0</v>
      </c>
      <c r="AK312" s="64">
        <v>0</v>
      </c>
      <c r="AL312" s="64">
        <v>0</v>
      </c>
      <c r="AM312" s="64">
        <v>0</v>
      </c>
      <c r="AN312" s="64">
        <v>0</v>
      </c>
      <c r="AO312" s="64">
        <v>0</v>
      </c>
      <c r="AP312" s="64">
        <v>0</v>
      </c>
      <c r="AQ312" s="64">
        <v>0</v>
      </c>
      <c r="AR312" s="64">
        <v>0</v>
      </c>
      <c r="AS312" s="64">
        <v>0</v>
      </c>
      <c r="AT312" s="64">
        <v>0</v>
      </c>
      <c r="AU312" s="64">
        <v>0</v>
      </c>
      <c r="AV312" s="64">
        <v>0</v>
      </c>
      <c r="AW312" s="64">
        <v>0</v>
      </c>
      <c r="AX312" s="64">
        <v>0</v>
      </c>
      <c r="AY312" s="64">
        <v>0</v>
      </c>
      <c r="AZ312" s="64">
        <v>0</v>
      </c>
      <c r="BA312" s="64">
        <v>0</v>
      </c>
      <c r="BB312" s="64">
        <v>0</v>
      </c>
      <c r="BC312" s="64">
        <v>0</v>
      </c>
      <c r="BD312" s="64">
        <v>0</v>
      </c>
      <c r="BE312" s="64">
        <v>0</v>
      </c>
      <c r="BF312" s="64">
        <v>0</v>
      </c>
      <c r="BG312" s="64">
        <v>0</v>
      </c>
      <c r="BH312" s="64">
        <v>0</v>
      </c>
      <c r="BI312" s="144">
        <v>0</v>
      </c>
      <c r="BJ312" t="str">
        <f>+G309</f>
        <v>82115-0E541</v>
      </c>
      <c r="BK312">
        <f>+J312</f>
        <v>0</v>
      </c>
      <c r="BL312">
        <f t="shared" ref="BL312" si="1667">+K312</f>
        <v>0</v>
      </c>
      <c r="BM312">
        <f t="shared" ref="BM312" si="1668">+L312</f>
        <v>0</v>
      </c>
      <c r="BN312">
        <f t="shared" ref="BN312" si="1669">+M312</f>
        <v>0</v>
      </c>
      <c r="BO312">
        <f t="shared" ref="BO312" si="1670">+N312</f>
        <v>0</v>
      </c>
      <c r="BP312">
        <f t="shared" ref="BP312" si="1671">+O312</f>
        <v>0</v>
      </c>
      <c r="BQ312">
        <f t="shared" ref="BQ312" si="1672">+P312</f>
        <v>0</v>
      </c>
      <c r="BR312">
        <f t="shared" ref="BR312" si="1673">+Q312</f>
        <v>0</v>
      </c>
      <c r="BS312">
        <f t="shared" ref="BS312" si="1674">+R312</f>
        <v>0</v>
      </c>
      <c r="BT312">
        <f t="shared" ref="BT312" si="1675">+S312</f>
        <v>0</v>
      </c>
      <c r="BU312">
        <f t="shared" ref="BU312" si="1676">+T312</f>
        <v>0</v>
      </c>
      <c r="BV312">
        <f t="shared" ref="BV312" si="1677">+U312</f>
        <v>0</v>
      </c>
      <c r="BW312">
        <f t="shared" ref="BW312" si="1678">+V312</f>
        <v>0</v>
      </c>
      <c r="BX312">
        <f t="shared" ref="BX312" si="1679">+W312</f>
        <v>0</v>
      </c>
      <c r="BY312">
        <f t="shared" ref="BY312" si="1680">+X312</f>
        <v>0</v>
      </c>
      <c r="BZ312">
        <f t="shared" ref="BZ312" si="1681">+Y312</f>
        <v>0</v>
      </c>
      <c r="CA312">
        <f t="shared" ref="CA312" si="1682">+Z312</f>
        <v>0</v>
      </c>
      <c r="CB312">
        <f t="shared" ref="CB312" si="1683">+AA312</f>
        <v>0</v>
      </c>
      <c r="CC312">
        <f t="shared" ref="CC312" si="1684">+AB312</f>
        <v>0</v>
      </c>
      <c r="CD312">
        <f t="shared" ref="CD312" si="1685">+AC312</f>
        <v>0</v>
      </c>
      <c r="CE312">
        <f t="shared" ref="CE312" si="1686">+AD312</f>
        <v>0</v>
      </c>
      <c r="CF312">
        <f t="shared" ref="CF312" si="1687">+AE312</f>
        <v>0</v>
      </c>
      <c r="CG312">
        <f t="shared" ref="CG312" si="1688">+AF312</f>
        <v>0</v>
      </c>
      <c r="CH312">
        <f t="shared" ref="CH312" si="1689">+AG312</f>
        <v>0</v>
      </c>
      <c r="CI312">
        <f t="shared" ref="CI312" si="1690">+AH312</f>
        <v>0</v>
      </c>
      <c r="CJ312">
        <f t="shared" ref="CJ312" si="1691">+AI312</f>
        <v>0</v>
      </c>
      <c r="CK312">
        <f t="shared" ref="CK312" si="1692">+AJ312</f>
        <v>0</v>
      </c>
      <c r="CL312">
        <f t="shared" ref="CL312" si="1693">+AK312</f>
        <v>0</v>
      </c>
      <c r="CM312">
        <f t="shared" ref="CM312" si="1694">+AL312</f>
        <v>0</v>
      </c>
      <c r="CN312">
        <f t="shared" ref="CN312" si="1695">+AM312</f>
        <v>0</v>
      </c>
      <c r="CO312">
        <f t="shared" ref="CO312" si="1696">+AN312</f>
        <v>0</v>
      </c>
      <c r="CP312">
        <f t="shared" ref="CP312" si="1697">+AO312</f>
        <v>0</v>
      </c>
      <c r="CQ312">
        <f t="shared" ref="CQ312" si="1698">+AP312</f>
        <v>0</v>
      </c>
      <c r="CR312">
        <f t="shared" ref="CR312" si="1699">+AQ312</f>
        <v>0</v>
      </c>
      <c r="CS312">
        <f t="shared" ref="CS312" si="1700">+AR312</f>
        <v>0</v>
      </c>
      <c r="CT312">
        <f t="shared" ref="CT312" si="1701">+AS312</f>
        <v>0</v>
      </c>
      <c r="CU312">
        <f t="shared" ref="CU312" si="1702">+AT312</f>
        <v>0</v>
      </c>
      <c r="CV312">
        <f t="shared" ref="CV312" si="1703">+AU312</f>
        <v>0</v>
      </c>
      <c r="CW312">
        <f t="shared" ref="CW312" si="1704">+AV312</f>
        <v>0</v>
      </c>
      <c r="CX312">
        <f t="shared" ref="CX312" si="1705">+AW312</f>
        <v>0</v>
      </c>
      <c r="CY312">
        <f t="shared" ref="CY312" si="1706">+AX312</f>
        <v>0</v>
      </c>
      <c r="CZ312">
        <f t="shared" ref="CZ312" si="1707">+AY312</f>
        <v>0</v>
      </c>
      <c r="DA312">
        <f t="shared" ref="DA312" si="1708">+AZ312</f>
        <v>0</v>
      </c>
      <c r="DB312">
        <f t="shared" ref="DB312" si="1709">+BA312</f>
        <v>0</v>
      </c>
      <c r="DC312">
        <f t="shared" ref="DC312" si="1710">+BB312</f>
        <v>0</v>
      </c>
      <c r="DD312">
        <f t="shared" ref="DD312" si="1711">+BC312</f>
        <v>0</v>
      </c>
      <c r="DE312">
        <f t="shared" ref="DE312" si="1712">+BD312</f>
        <v>0</v>
      </c>
      <c r="DF312">
        <f t="shared" ref="DF312" si="1713">+BE312</f>
        <v>0</v>
      </c>
      <c r="DG312">
        <f t="shared" ref="DG312" si="1714">+BF312</f>
        <v>0</v>
      </c>
      <c r="DH312">
        <f t="shared" ref="DH312" si="1715">+BG312</f>
        <v>0</v>
      </c>
      <c r="DI312">
        <f t="shared" ref="DI312" si="1716">+BH312</f>
        <v>0</v>
      </c>
      <c r="DJ312">
        <f t="shared" ref="DJ312" si="1717">+BI312</f>
        <v>0</v>
      </c>
      <c r="DL312">
        <f t="shared" si="1447"/>
        <v>0</v>
      </c>
      <c r="DM312">
        <f t="shared" si="1448"/>
        <v>0</v>
      </c>
      <c r="DN312">
        <f t="shared" si="1449"/>
        <v>0</v>
      </c>
      <c r="DO312">
        <f t="shared" si="1450"/>
        <v>0</v>
      </c>
      <c r="DP312">
        <f t="shared" si="1451"/>
        <v>0</v>
      </c>
      <c r="DQ312">
        <f t="shared" si="1452"/>
        <v>0</v>
      </c>
      <c r="DR312">
        <f t="shared" si="1453"/>
        <v>0</v>
      </c>
      <c r="DS312">
        <f t="shared" si="1454"/>
        <v>0</v>
      </c>
      <c r="DT312">
        <f t="shared" si="1455"/>
        <v>0</v>
      </c>
      <c r="DU312">
        <f t="shared" si="1456"/>
        <v>0</v>
      </c>
      <c r="DV312">
        <f t="shared" si="1457"/>
        <v>0</v>
      </c>
      <c r="DW312">
        <f t="shared" si="1458"/>
        <v>0</v>
      </c>
    </row>
    <row r="313" spans="1:127" x14ac:dyDescent="0.25">
      <c r="A313" s="22">
        <f t="shared" si="1446"/>
        <v>307</v>
      </c>
      <c r="B313" s="59" t="str">
        <f t="shared" si="1665"/>
        <v>F0014826601</v>
      </c>
      <c r="C313" s="214" t="str">
        <f t="shared" si="1666"/>
        <v>82115-0E541</v>
      </c>
      <c r="D313" s="58" t="e">
        <f>VLOOKUP(B313,'Timing Table'!B:G,6,0)</f>
        <v>#N/A</v>
      </c>
      <c r="E313" s="22" t="e">
        <f>VLOOKUP(B313,'Timing Table'!B:D,3,0)</f>
        <v>#N/A</v>
      </c>
      <c r="F313" s="155" t="s">
        <v>77</v>
      </c>
      <c r="G313" s="181">
        <v>82115</v>
      </c>
      <c r="H313" s="10" t="s">
        <v>231</v>
      </c>
      <c r="I313" s="12" t="s">
        <v>78</v>
      </c>
      <c r="J313" s="152">
        <v>80</v>
      </c>
      <c r="K313" s="153">
        <v>80</v>
      </c>
      <c r="L313" s="153">
        <v>80</v>
      </c>
      <c r="M313" s="153">
        <v>80</v>
      </c>
      <c r="N313" s="153">
        <v>80</v>
      </c>
      <c r="O313" s="153">
        <v>80</v>
      </c>
      <c r="P313" s="153">
        <v>80</v>
      </c>
      <c r="Q313" s="153">
        <v>80</v>
      </c>
      <c r="R313" s="153">
        <v>80</v>
      </c>
      <c r="S313" s="153">
        <v>80</v>
      </c>
      <c r="T313" s="153">
        <v>80</v>
      </c>
      <c r="U313" s="153">
        <v>80</v>
      </c>
      <c r="V313" s="153">
        <v>80</v>
      </c>
      <c r="W313" s="153">
        <v>80</v>
      </c>
      <c r="X313" s="153">
        <v>80</v>
      </c>
      <c r="Y313" s="153">
        <v>80</v>
      </c>
      <c r="Z313" s="153">
        <v>80</v>
      </c>
      <c r="AA313" s="153">
        <v>80</v>
      </c>
      <c r="AB313" s="153">
        <v>80</v>
      </c>
      <c r="AC313" s="153">
        <v>80</v>
      </c>
      <c r="AD313" s="153">
        <v>80</v>
      </c>
      <c r="AE313" s="153">
        <v>80</v>
      </c>
      <c r="AF313" s="153">
        <v>80</v>
      </c>
      <c r="AG313" s="153">
        <v>80</v>
      </c>
      <c r="AH313" s="153">
        <v>80</v>
      </c>
      <c r="AI313" s="153">
        <v>80</v>
      </c>
      <c r="AJ313" s="153">
        <v>80</v>
      </c>
      <c r="AK313" s="153">
        <v>80</v>
      </c>
      <c r="AL313" s="153">
        <v>80</v>
      </c>
      <c r="AM313" s="153">
        <v>80</v>
      </c>
      <c r="AN313" s="153">
        <v>80</v>
      </c>
      <c r="AO313" s="153">
        <v>80</v>
      </c>
      <c r="AP313" s="153">
        <v>80</v>
      </c>
      <c r="AQ313" s="153">
        <v>80</v>
      </c>
      <c r="AR313" s="153">
        <v>80</v>
      </c>
      <c r="AS313" s="153">
        <v>80</v>
      </c>
      <c r="AT313" s="153">
        <v>80</v>
      </c>
      <c r="AU313" s="153">
        <v>80</v>
      </c>
      <c r="AV313" s="153">
        <v>80</v>
      </c>
      <c r="AW313" s="153">
        <v>80</v>
      </c>
      <c r="AX313" s="153">
        <v>80</v>
      </c>
      <c r="AY313" s="153">
        <v>80</v>
      </c>
      <c r="AZ313" s="153">
        <v>80</v>
      </c>
      <c r="BA313" s="153">
        <v>80</v>
      </c>
      <c r="BB313" s="153">
        <v>80</v>
      </c>
      <c r="BC313" s="153">
        <v>80</v>
      </c>
      <c r="BD313" s="153">
        <v>80</v>
      </c>
      <c r="BE313" s="153">
        <v>80</v>
      </c>
      <c r="BF313" s="153">
        <v>80</v>
      </c>
      <c r="BG313" s="153">
        <v>80</v>
      </c>
      <c r="BH313" s="153">
        <v>80</v>
      </c>
      <c r="BI313" s="154">
        <v>80</v>
      </c>
      <c r="DL313">
        <f t="shared" si="1447"/>
        <v>0</v>
      </c>
      <c r="DM313">
        <f t="shared" si="1448"/>
        <v>0</v>
      </c>
      <c r="DN313">
        <f t="shared" si="1449"/>
        <v>0</v>
      </c>
      <c r="DO313">
        <f t="shared" si="1450"/>
        <v>0</v>
      </c>
      <c r="DP313">
        <f t="shared" si="1451"/>
        <v>0</v>
      </c>
      <c r="DQ313">
        <f t="shared" si="1452"/>
        <v>0</v>
      </c>
      <c r="DR313">
        <f t="shared" si="1453"/>
        <v>0</v>
      </c>
      <c r="DS313">
        <f t="shared" si="1454"/>
        <v>0</v>
      </c>
      <c r="DT313">
        <f t="shared" si="1455"/>
        <v>0</v>
      </c>
      <c r="DU313">
        <f t="shared" si="1456"/>
        <v>0</v>
      </c>
      <c r="DV313">
        <f t="shared" si="1457"/>
        <v>0</v>
      </c>
      <c r="DW313">
        <f t="shared" si="1458"/>
        <v>0</v>
      </c>
    </row>
    <row r="314" spans="1:127" x14ac:dyDescent="0.25">
      <c r="A314" s="22">
        <f t="shared" si="1446"/>
        <v>308</v>
      </c>
      <c r="B314" s="59" t="str">
        <f t="shared" si="1665"/>
        <v>F0014826601</v>
      </c>
      <c r="C314" s="214" t="str">
        <f t="shared" si="1666"/>
        <v>82115-0E541</v>
      </c>
      <c r="D314" s="58" t="e">
        <f>VLOOKUP(B314,'Timing Table'!B:G,6,0)</f>
        <v>#N/A</v>
      </c>
      <c r="E314" s="22" t="e">
        <f>VLOOKUP(B314,'Timing Table'!B:D,3,0)</f>
        <v>#N/A</v>
      </c>
      <c r="F314" s="155" t="s">
        <v>79</v>
      </c>
      <c r="G314" s="199">
        <v>80</v>
      </c>
      <c r="H314" s="184" t="s">
        <v>80</v>
      </c>
      <c r="I314" s="185"/>
      <c r="J314" s="200" t="s">
        <v>313</v>
      </c>
      <c r="K314" s="156"/>
      <c r="L314" s="157" t="s">
        <v>0</v>
      </c>
      <c r="M314" s="157" t="s">
        <v>0</v>
      </c>
      <c r="N314" s="157" t="s">
        <v>0</v>
      </c>
      <c r="O314" s="157" t="s">
        <v>0</v>
      </c>
      <c r="P314" s="157" t="s">
        <v>0</v>
      </c>
      <c r="Q314" s="157" t="s">
        <v>0</v>
      </c>
      <c r="R314" s="157" t="s">
        <v>0</v>
      </c>
      <c r="S314" s="157" t="s">
        <v>0</v>
      </c>
      <c r="T314" s="157" t="s">
        <v>0</v>
      </c>
      <c r="U314" s="157" t="s">
        <v>0</v>
      </c>
      <c r="V314" s="157" t="s">
        <v>0</v>
      </c>
      <c r="W314" s="157" t="s">
        <v>0</v>
      </c>
      <c r="X314" s="157" t="s">
        <v>0</v>
      </c>
      <c r="Y314" s="157" t="s">
        <v>0</v>
      </c>
      <c r="Z314" s="157" t="s">
        <v>0</v>
      </c>
      <c r="AA314" s="157" t="s">
        <v>0</v>
      </c>
      <c r="AB314" s="157" t="s">
        <v>0</v>
      </c>
      <c r="AC314" s="157" t="s">
        <v>0</v>
      </c>
      <c r="AD314" s="157" t="s">
        <v>0</v>
      </c>
      <c r="AE314" s="157" t="s">
        <v>0</v>
      </c>
      <c r="AF314" s="157" t="s">
        <v>0</v>
      </c>
      <c r="AG314" s="157" t="s">
        <v>0</v>
      </c>
      <c r="AH314" s="157" t="s">
        <v>0</v>
      </c>
      <c r="AI314" s="157" t="s">
        <v>0</v>
      </c>
      <c r="AJ314" s="157" t="s">
        <v>0</v>
      </c>
      <c r="AK314" s="157" t="s">
        <v>0</v>
      </c>
      <c r="AL314" s="157" t="s">
        <v>0</v>
      </c>
      <c r="AM314" s="157" t="s">
        <v>0</v>
      </c>
      <c r="AN314" s="157" t="s">
        <v>0</v>
      </c>
      <c r="AO314" s="157" t="s">
        <v>0</v>
      </c>
      <c r="AP314" s="157" t="s">
        <v>0</v>
      </c>
      <c r="AQ314" s="157" t="s">
        <v>0</v>
      </c>
      <c r="AR314" s="157" t="s">
        <v>0</v>
      </c>
      <c r="AS314" s="157" t="s">
        <v>0</v>
      </c>
      <c r="AT314" s="157" t="s">
        <v>0</v>
      </c>
      <c r="AU314" s="157" t="s">
        <v>0</v>
      </c>
      <c r="AV314" s="157" t="s">
        <v>0</v>
      </c>
      <c r="AW314" s="157" t="s">
        <v>0</v>
      </c>
      <c r="AX314" s="157" t="s">
        <v>0</v>
      </c>
      <c r="AY314" s="157" t="s">
        <v>0</v>
      </c>
      <c r="AZ314" s="157" t="s">
        <v>0</v>
      </c>
      <c r="BA314" s="157" t="s">
        <v>0</v>
      </c>
      <c r="BB314" s="157" t="s">
        <v>0</v>
      </c>
      <c r="BC314" s="157" t="s">
        <v>0</v>
      </c>
      <c r="BD314" s="157" t="s">
        <v>0</v>
      </c>
      <c r="BE314" s="157" t="s">
        <v>0</v>
      </c>
      <c r="BF314" s="157" t="s">
        <v>0</v>
      </c>
      <c r="BG314" s="157" t="s">
        <v>0</v>
      </c>
      <c r="BH314" s="157" t="s">
        <v>0</v>
      </c>
      <c r="BI314" s="158"/>
      <c r="DL314">
        <f t="shared" si="1447"/>
        <v>0</v>
      </c>
      <c r="DM314">
        <f t="shared" si="1448"/>
        <v>0</v>
      </c>
      <c r="DN314">
        <f t="shared" si="1449"/>
        <v>0</v>
      </c>
      <c r="DO314">
        <f t="shared" si="1450"/>
        <v>0</v>
      </c>
      <c r="DP314">
        <f t="shared" si="1451"/>
        <v>0</v>
      </c>
      <c r="DQ314">
        <f t="shared" si="1452"/>
        <v>0</v>
      </c>
      <c r="DR314">
        <f t="shared" si="1453"/>
        <v>0</v>
      </c>
      <c r="DS314">
        <f t="shared" si="1454"/>
        <v>0</v>
      </c>
      <c r="DT314">
        <f t="shared" si="1455"/>
        <v>0</v>
      </c>
      <c r="DU314">
        <f t="shared" si="1456"/>
        <v>0</v>
      </c>
      <c r="DV314">
        <f t="shared" si="1457"/>
        <v>0</v>
      </c>
      <c r="DW314">
        <f t="shared" si="1458"/>
        <v>0</v>
      </c>
    </row>
    <row r="315" spans="1:127" x14ac:dyDescent="0.25">
      <c r="A315" s="22">
        <f t="shared" si="1446"/>
        <v>309</v>
      </c>
      <c r="B315" s="59" t="str">
        <f t="shared" si="1665"/>
        <v>F0014826601</v>
      </c>
      <c r="C315" s="214" t="str">
        <f>IF(F315=$F$7,#REF!,C314)</f>
        <v>82115-0E541</v>
      </c>
      <c r="D315" s="58" t="e">
        <f>VLOOKUP(B315,'Timing Table'!B:G,6,0)</f>
        <v>#N/A</v>
      </c>
      <c r="E315" s="22" t="e">
        <f>VLOOKUP(B315,'Timing Table'!B:D,3,0)</f>
        <v>#N/A</v>
      </c>
      <c r="F315" s="159" t="s">
        <v>81</v>
      </c>
      <c r="G315" s="160" t="s">
        <v>60</v>
      </c>
      <c r="H315" s="201" t="s">
        <v>60</v>
      </c>
      <c r="I315" s="183" t="s">
        <v>60</v>
      </c>
      <c r="J315" s="183" t="s">
        <v>0</v>
      </c>
      <c r="K315" s="183" t="s">
        <v>0</v>
      </c>
      <c r="L315" s="183" t="s">
        <v>0</v>
      </c>
      <c r="M315" s="183" t="s">
        <v>0</v>
      </c>
      <c r="N315" s="183" t="s">
        <v>0</v>
      </c>
      <c r="O315" s="183" t="s">
        <v>0</v>
      </c>
      <c r="P315" s="183" t="s">
        <v>0</v>
      </c>
      <c r="Q315" s="183" t="s">
        <v>0</v>
      </c>
      <c r="R315" s="183" t="s">
        <v>0</v>
      </c>
      <c r="S315" s="183" t="s">
        <v>0</v>
      </c>
      <c r="T315" s="183" t="s">
        <v>0</v>
      </c>
      <c r="U315" s="183" t="s">
        <v>0</v>
      </c>
      <c r="V315" s="183" t="s">
        <v>0</v>
      </c>
      <c r="W315" s="183" t="s">
        <v>0</v>
      </c>
      <c r="X315" s="183" t="s">
        <v>0</v>
      </c>
      <c r="Y315" s="183" t="s">
        <v>0</v>
      </c>
      <c r="Z315" s="183" t="s">
        <v>0</v>
      </c>
      <c r="AA315" s="183" t="s">
        <v>0</v>
      </c>
      <c r="AB315" s="183" t="s">
        <v>0</v>
      </c>
      <c r="AC315" s="183" t="s">
        <v>0</v>
      </c>
      <c r="AD315" s="183" t="s">
        <v>0</v>
      </c>
      <c r="AE315" s="183" t="s">
        <v>0</v>
      </c>
      <c r="AF315" s="183" t="s">
        <v>0</v>
      </c>
      <c r="AG315" s="183" t="s">
        <v>0</v>
      </c>
      <c r="AH315" s="183" t="s">
        <v>0</v>
      </c>
      <c r="AI315" s="183" t="s">
        <v>0</v>
      </c>
      <c r="AJ315" s="183" t="s">
        <v>0</v>
      </c>
      <c r="AK315" s="183" t="s">
        <v>0</v>
      </c>
      <c r="AL315" s="183" t="s">
        <v>0</v>
      </c>
      <c r="AM315" s="183" t="s">
        <v>0</v>
      </c>
      <c r="AN315" s="183" t="s">
        <v>0</v>
      </c>
      <c r="AO315" s="183" t="s">
        <v>0</v>
      </c>
      <c r="AP315" s="183" t="s">
        <v>0</v>
      </c>
      <c r="AQ315" s="183" t="s">
        <v>0</v>
      </c>
      <c r="AR315" s="183" t="s">
        <v>0</v>
      </c>
      <c r="AS315" s="183" t="s">
        <v>0</v>
      </c>
      <c r="AT315" s="183" t="s">
        <v>0</v>
      </c>
      <c r="AU315" s="183" t="s">
        <v>0</v>
      </c>
      <c r="AV315" s="183" t="s">
        <v>0</v>
      </c>
      <c r="AW315" s="183" t="s">
        <v>0</v>
      </c>
      <c r="AX315" s="183" t="s">
        <v>0</v>
      </c>
      <c r="AY315" s="183" t="s">
        <v>0</v>
      </c>
      <c r="AZ315" s="183" t="s">
        <v>0</v>
      </c>
      <c r="BA315" s="183" t="s">
        <v>0</v>
      </c>
      <c r="BB315" s="183" t="s">
        <v>0</v>
      </c>
      <c r="BC315" s="183" t="s">
        <v>0</v>
      </c>
      <c r="BD315" s="183" t="s">
        <v>0</v>
      </c>
      <c r="BE315" s="183" t="s">
        <v>0</v>
      </c>
      <c r="BF315" s="183" t="s">
        <v>0</v>
      </c>
      <c r="BG315" s="183" t="s">
        <v>0</v>
      </c>
      <c r="BH315" s="183" t="s">
        <v>0</v>
      </c>
      <c r="BI315" s="161"/>
      <c r="DL315">
        <f t="shared" si="1447"/>
        <v>0</v>
      </c>
      <c r="DM315">
        <f t="shared" si="1448"/>
        <v>0</v>
      </c>
      <c r="DN315">
        <f t="shared" si="1449"/>
        <v>0</v>
      </c>
      <c r="DO315">
        <f t="shared" si="1450"/>
        <v>0</v>
      </c>
      <c r="DP315">
        <f t="shared" si="1451"/>
        <v>0</v>
      </c>
      <c r="DQ315">
        <f t="shared" si="1452"/>
        <v>0</v>
      </c>
      <c r="DR315">
        <f t="shared" si="1453"/>
        <v>0</v>
      </c>
      <c r="DS315">
        <f t="shared" si="1454"/>
        <v>0</v>
      </c>
      <c r="DT315">
        <f t="shared" si="1455"/>
        <v>0</v>
      </c>
      <c r="DU315">
        <f t="shared" si="1456"/>
        <v>0</v>
      </c>
      <c r="DV315">
        <f t="shared" si="1457"/>
        <v>0</v>
      </c>
      <c r="DW315">
        <f t="shared" si="1458"/>
        <v>0</v>
      </c>
    </row>
    <row r="316" spans="1:127" x14ac:dyDescent="0.25">
      <c r="A316" s="22">
        <f t="shared" si="1446"/>
        <v>310</v>
      </c>
      <c r="B316" s="59" t="str">
        <f>IF(F316=$F$7,#REF!,B315)</f>
        <v>F0014826601</v>
      </c>
      <c r="C316" s="214" t="str">
        <f>IF(F316=$F$7,#REF!,C315)</f>
        <v>82115-0E541</v>
      </c>
      <c r="D316" s="58" t="e">
        <f>VLOOKUP(B316,'Timing Table'!B:G,6,0)</f>
        <v>#N/A</v>
      </c>
      <c r="E316" s="22" t="e">
        <f>VLOOKUP(B316,'Timing Table'!B:D,3,0)</f>
        <v>#N/A</v>
      </c>
      <c r="F316" s="188" t="s">
        <v>60</v>
      </c>
      <c r="G316" s="162" t="s">
        <v>60</v>
      </c>
      <c r="H316" s="163" t="s">
        <v>60</v>
      </c>
      <c r="I316" s="164" t="s">
        <v>60</v>
      </c>
      <c r="J316" s="164" t="s">
        <v>0</v>
      </c>
      <c r="K316" s="164" t="s">
        <v>0</v>
      </c>
      <c r="L316" s="164" t="s">
        <v>0</v>
      </c>
      <c r="M316" s="164" t="s">
        <v>0</v>
      </c>
      <c r="N316" s="164" t="s">
        <v>0</v>
      </c>
      <c r="O316" s="164" t="s">
        <v>0</v>
      </c>
      <c r="P316" s="164" t="s">
        <v>0</v>
      </c>
      <c r="Q316" s="164" t="s">
        <v>0</v>
      </c>
      <c r="R316" s="164" t="s">
        <v>0</v>
      </c>
      <c r="S316" s="164" t="s">
        <v>0</v>
      </c>
      <c r="T316" s="164" t="s">
        <v>0</v>
      </c>
      <c r="U316" s="164" t="s">
        <v>0</v>
      </c>
      <c r="V316" s="164" t="s">
        <v>0</v>
      </c>
      <c r="W316" s="164" t="s">
        <v>0</v>
      </c>
      <c r="X316" s="164" t="s">
        <v>0</v>
      </c>
      <c r="Y316" s="164" t="s">
        <v>0</v>
      </c>
      <c r="Z316" s="164" t="s">
        <v>0</v>
      </c>
      <c r="AA316" s="164" t="s">
        <v>0</v>
      </c>
      <c r="AB316" s="164" t="s">
        <v>0</v>
      </c>
      <c r="AC316" s="164" t="s">
        <v>0</v>
      </c>
      <c r="AD316" s="164" t="s">
        <v>0</v>
      </c>
      <c r="AE316" s="164" t="s">
        <v>0</v>
      </c>
      <c r="AF316" s="164" t="s">
        <v>0</v>
      </c>
      <c r="AG316" s="164" t="s">
        <v>0</v>
      </c>
      <c r="AH316" s="164" t="s">
        <v>0</v>
      </c>
      <c r="AI316" s="164" t="s">
        <v>0</v>
      </c>
      <c r="AJ316" s="164" t="s">
        <v>0</v>
      </c>
      <c r="AK316" s="164" t="s">
        <v>0</v>
      </c>
      <c r="AL316" s="164" t="s">
        <v>0</v>
      </c>
      <c r="AM316" s="164" t="s">
        <v>0</v>
      </c>
      <c r="AN316" s="164" t="s">
        <v>0</v>
      </c>
      <c r="AO316" s="164" t="s">
        <v>0</v>
      </c>
      <c r="AP316" s="164" t="s">
        <v>0</v>
      </c>
      <c r="AQ316" s="164" t="s">
        <v>0</v>
      </c>
      <c r="AR316" s="164" t="s">
        <v>0</v>
      </c>
      <c r="AS316" s="164" t="s">
        <v>0</v>
      </c>
      <c r="AT316" s="164" t="s">
        <v>0</v>
      </c>
      <c r="AU316" s="164" t="s">
        <v>0</v>
      </c>
      <c r="AV316" s="164" t="s">
        <v>0</v>
      </c>
      <c r="AW316" s="164" t="s">
        <v>0</v>
      </c>
      <c r="AX316" s="164" t="s">
        <v>0</v>
      </c>
      <c r="AY316" s="164" t="s">
        <v>0</v>
      </c>
      <c r="AZ316" s="164" t="s">
        <v>0</v>
      </c>
      <c r="BA316" s="164" t="s">
        <v>0</v>
      </c>
      <c r="BB316" s="164" t="s">
        <v>0</v>
      </c>
      <c r="BC316" s="164" t="s">
        <v>0</v>
      </c>
      <c r="BD316" s="164" t="s">
        <v>0</v>
      </c>
      <c r="BE316" s="164" t="s">
        <v>0</v>
      </c>
      <c r="BF316" s="164" t="s">
        <v>0</v>
      </c>
      <c r="BG316" s="164" t="s">
        <v>0</v>
      </c>
      <c r="BH316" s="164" t="s">
        <v>0</v>
      </c>
      <c r="BI316" s="189"/>
      <c r="DL316">
        <f t="shared" si="1447"/>
        <v>0</v>
      </c>
      <c r="DM316">
        <f t="shared" si="1448"/>
        <v>0</v>
      </c>
      <c r="DN316">
        <f t="shared" si="1449"/>
        <v>0</v>
      </c>
      <c r="DO316">
        <f t="shared" si="1450"/>
        <v>0</v>
      </c>
      <c r="DP316">
        <f t="shared" si="1451"/>
        <v>0</v>
      </c>
      <c r="DQ316">
        <f t="shared" si="1452"/>
        <v>0</v>
      </c>
      <c r="DR316">
        <f t="shared" si="1453"/>
        <v>0</v>
      </c>
      <c r="DS316">
        <f t="shared" si="1454"/>
        <v>0</v>
      </c>
      <c r="DT316">
        <f t="shared" si="1455"/>
        <v>0</v>
      </c>
      <c r="DU316">
        <f t="shared" si="1456"/>
        <v>0</v>
      </c>
      <c r="DV316">
        <f t="shared" si="1457"/>
        <v>0</v>
      </c>
      <c r="DW316">
        <f t="shared" si="1458"/>
        <v>0</v>
      </c>
    </row>
    <row r="317" spans="1:127" x14ac:dyDescent="0.25">
      <c r="A317" s="22">
        <f>+A316+1</f>
        <v>311</v>
      </c>
      <c r="B317" s="59" t="str">
        <f>IF(F317=$F$7,G318,B316)</f>
        <v>F0014826603</v>
      </c>
      <c r="C317" s="214" t="str">
        <f>IF(F317=$F$7,G319,C316)</f>
        <v>82115-0E541 B</v>
      </c>
      <c r="D317" s="58" t="e">
        <f>VLOOKUP(B317,'Timing Table'!B:G,6,0)</f>
        <v>#N/A</v>
      </c>
      <c r="E317" s="22" t="e">
        <f>VLOOKUP(B317,'Timing Table'!B:D,3,0)</f>
        <v>#N/A</v>
      </c>
      <c r="F317" s="155" t="s">
        <v>61</v>
      </c>
      <c r="G317" s="181">
        <v>5501017969</v>
      </c>
      <c r="H317" s="155" t="s">
        <v>62</v>
      </c>
      <c r="I317" s="181">
        <v>91</v>
      </c>
      <c r="J317" s="155" t="s">
        <v>63</v>
      </c>
      <c r="K317" s="160">
        <v>1177756</v>
      </c>
      <c r="L317" s="161"/>
      <c r="M317" s="190" t="s">
        <v>64</v>
      </c>
      <c r="N317" s="191"/>
      <c r="O317" s="192">
        <v>46086</v>
      </c>
      <c r="P317" s="155" t="s">
        <v>65</v>
      </c>
      <c r="Q317" s="181">
        <v>4</v>
      </c>
      <c r="R317" s="6" t="s">
        <v>0</v>
      </c>
      <c r="S317" s="7" t="s">
        <v>0</v>
      </c>
      <c r="T317" s="7" t="s">
        <v>0</v>
      </c>
      <c r="U317" s="7" t="s">
        <v>0</v>
      </c>
      <c r="V317" s="7" t="s">
        <v>0</v>
      </c>
      <c r="W317" s="7" t="s">
        <v>0</v>
      </c>
      <c r="X317" s="7" t="s">
        <v>0</v>
      </c>
      <c r="Y317" s="7" t="s">
        <v>0</v>
      </c>
      <c r="Z317" s="7" t="s">
        <v>0</v>
      </c>
      <c r="AA317" s="7" t="s">
        <v>0</v>
      </c>
      <c r="AB317" s="7" t="s">
        <v>0</v>
      </c>
      <c r="AC317" s="7" t="s">
        <v>0</v>
      </c>
      <c r="AD317" s="7" t="s">
        <v>0</v>
      </c>
      <c r="AE317" s="7" t="s">
        <v>0</v>
      </c>
      <c r="AF317" s="7" t="s">
        <v>0</v>
      </c>
      <c r="AG317" s="7" t="s">
        <v>0</v>
      </c>
      <c r="AH317" s="7" t="s">
        <v>0</v>
      </c>
      <c r="AI317" s="7" t="s">
        <v>0</v>
      </c>
      <c r="AJ317" s="7" t="s">
        <v>0</v>
      </c>
      <c r="AK317" s="7" t="s">
        <v>0</v>
      </c>
      <c r="AL317" s="7" t="s">
        <v>0</v>
      </c>
      <c r="AM317" s="7" t="s">
        <v>0</v>
      </c>
      <c r="AN317" s="7" t="s">
        <v>0</v>
      </c>
      <c r="AO317" s="7" t="s">
        <v>0</v>
      </c>
      <c r="AP317" s="7" t="s">
        <v>0</v>
      </c>
      <c r="AQ317" s="7" t="s">
        <v>0</v>
      </c>
      <c r="AR317" s="7" t="s">
        <v>0</v>
      </c>
      <c r="AS317" s="7" t="s">
        <v>0</v>
      </c>
      <c r="AT317" s="7" t="s">
        <v>0</v>
      </c>
      <c r="AU317" s="7" t="s">
        <v>0</v>
      </c>
      <c r="AV317" s="7" t="s">
        <v>0</v>
      </c>
      <c r="AW317" s="7" t="s">
        <v>0</v>
      </c>
      <c r="AX317" s="7" t="s">
        <v>0</v>
      </c>
      <c r="AY317" s="7" t="s">
        <v>0</v>
      </c>
      <c r="AZ317" s="7" t="s">
        <v>0</v>
      </c>
      <c r="BA317" s="7" t="s">
        <v>0</v>
      </c>
      <c r="BB317" s="7" t="s">
        <v>0</v>
      </c>
      <c r="BC317" s="7" t="s">
        <v>0</v>
      </c>
      <c r="BD317" s="7" t="s">
        <v>0</v>
      </c>
      <c r="BE317" s="7" t="s">
        <v>0</v>
      </c>
      <c r="BF317" s="7" t="s">
        <v>0</v>
      </c>
      <c r="BG317" s="7" t="s">
        <v>0</v>
      </c>
      <c r="BH317" s="7" t="s">
        <v>0</v>
      </c>
      <c r="BI317" s="8"/>
      <c r="DL317">
        <f t="shared" si="1447"/>
        <v>0</v>
      </c>
      <c r="DM317">
        <f t="shared" si="1448"/>
        <v>0</v>
      </c>
      <c r="DN317">
        <f t="shared" si="1449"/>
        <v>0</v>
      </c>
      <c r="DO317">
        <f t="shared" si="1450"/>
        <v>0</v>
      </c>
      <c r="DP317">
        <f t="shared" si="1451"/>
        <v>0</v>
      </c>
      <c r="DQ317">
        <f t="shared" si="1452"/>
        <v>0</v>
      </c>
      <c r="DR317">
        <f t="shared" si="1453"/>
        <v>0</v>
      </c>
      <c r="DS317">
        <f t="shared" si="1454"/>
        <v>0</v>
      </c>
      <c r="DT317">
        <f t="shared" si="1455"/>
        <v>0</v>
      </c>
      <c r="DU317">
        <f t="shared" si="1456"/>
        <v>0</v>
      </c>
      <c r="DV317">
        <f t="shared" si="1457"/>
        <v>0</v>
      </c>
      <c r="DW317">
        <f t="shared" si="1458"/>
        <v>0</v>
      </c>
    </row>
    <row r="318" spans="1:127" x14ac:dyDescent="0.25">
      <c r="A318" s="22">
        <f t="shared" si="1446"/>
        <v>312</v>
      </c>
      <c r="B318" s="59" t="str">
        <f t="shared" ref="B318:B325" si="1718">IF(F318=$F$7,G319,B317)</f>
        <v>F0014826603</v>
      </c>
      <c r="C318" s="214" t="str">
        <f t="shared" ref="C318:C324" si="1719">IF(F318=$F$7,G320,C317)</f>
        <v>82115-0E541 B</v>
      </c>
      <c r="D318" s="58" t="e">
        <f>VLOOKUP(B318,'Timing Table'!B:G,6,0)</f>
        <v>#N/A</v>
      </c>
      <c r="E318" s="22" t="e">
        <f>VLOOKUP(B318,'Timing Table'!B:D,3,0)</f>
        <v>#N/A</v>
      </c>
      <c r="F318" s="155" t="s">
        <v>66</v>
      </c>
      <c r="G318" s="181" t="s">
        <v>365</v>
      </c>
      <c r="H318" s="155" t="s">
        <v>67</v>
      </c>
      <c r="I318" s="182" t="s">
        <v>366</v>
      </c>
      <c r="J318" s="183"/>
      <c r="K318" s="183"/>
      <c r="L318" s="161"/>
      <c r="M318" s="155" t="s">
        <v>68</v>
      </c>
      <c r="N318" s="181">
        <v>2025</v>
      </c>
      <c r="O318" s="184" t="s">
        <v>69</v>
      </c>
      <c r="P318" s="185"/>
      <c r="Q318" s="193" t="s">
        <v>342</v>
      </c>
      <c r="R318" s="156" t="s">
        <v>0</v>
      </c>
      <c r="S318" s="157" t="s">
        <v>0</v>
      </c>
      <c r="T318" s="157" t="s">
        <v>0</v>
      </c>
      <c r="U318" s="157" t="s">
        <v>0</v>
      </c>
      <c r="V318" s="157" t="s">
        <v>0</v>
      </c>
      <c r="W318" s="157" t="s">
        <v>0</v>
      </c>
      <c r="X318" s="157" t="s">
        <v>0</v>
      </c>
      <c r="Y318" s="157" t="s">
        <v>0</v>
      </c>
      <c r="Z318" s="157" t="s">
        <v>0</v>
      </c>
      <c r="AA318" s="157" t="s">
        <v>0</v>
      </c>
      <c r="AB318" s="157" t="s">
        <v>0</v>
      </c>
      <c r="AC318" s="157" t="s">
        <v>0</v>
      </c>
      <c r="AD318" s="157" t="s">
        <v>0</v>
      </c>
      <c r="AE318" s="157" t="s">
        <v>0</v>
      </c>
      <c r="AF318" s="157" t="s">
        <v>0</v>
      </c>
      <c r="AG318" s="157" t="s">
        <v>0</v>
      </c>
      <c r="AH318" s="157" t="s">
        <v>0</v>
      </c>
      <c r="AI318" s="157" t="s">
        <v>0</v>
      </c>
      <c r="AJ318" s="157" t="s">
        <v>0</v>
      </c>
      <c r="AK318" s="157" t="s">
        <v>0</v>
      </c>
      <c r="AL318" s="157" t="s">
        <v>0</v>
      </c>
      <c r="AM318" s="157" t="s">
        <v>0</v>
      </c>
      <c r="AN318" s="157" t="s">
        <v>0</v>
      </c>
      <c r="AO318" s="157" t="s">
        <v>0</v>
      </c>
      <c r="AP318" s="157" t="s">
        <v>0</v>
      </c>
      <c r="AQ318" s="157" t="s">
        <v>0</v>
      </c>
      <c r="AR318" s="157" t="s">
        <v>0</v>
      </c>
      <c r="AS318" s="157" t="s">
        <v>0</v>
      </c>
      <c r="AT318" s="157" t="s">
        <v>0</v>
      </c>
      <c r="AU318" s="157" t="s">
        <v>0</v>
      </c>
      <c r="AV318" s="157" t="s">
        <v>0</v>
      </c>
      <c r="AW318" s="157" t="s">
        <v>0</v>
      </c>
      <c r="AX318" s="157" t="s">
        <v>0</v>
      </c>
      <c r="AY318" s="157" t="s">
        <v>0</v>
      </c>
      <c r="AZ318" s="157" t="s">
        <v>0</v>
      </c>
      <c r="BA318" s="157" t="s">
        <v>0</v>
      </c>
      <c r="BB318" s="157" t="s">
        <v>0</v>
      </c>
      <c r="BC318" s="157" t="s">
        <v>0</v>
      </c>
      <c r="BD318" s="157" t="s">
        <v>0</v>
      </c>
      <c r="BE318" s="157" t="s">
        <v>0</v>
      </c>
      <c r="BF318" s="157" t="s">
        <v>0</v>
      </c>
      <c r="BG318" s="157" t="s">
        <v>0</v>
      </c>
      <c r="BH318" s="157" t="s">
        <v>0</v>
      </c>
      <c r="BI318" s="158"/>
      <c r="DL318">
        <f t="shared" si="1447"/>
        <v>0</v>
      </c>
      <c r="DM318">
        <f t="shared" si="1448"/>
        <v>0</v>
      </c>
      <c r="DN318">
        <f t="shared" si="1449"/>
        <v>0</v>
      </c>
      <c r="DO318">
        <f t="shared" si="1450"/>
        <v>0</v>
      </c>
      <c r="DP318">
        <f t="shared" si="1451"/>
        <v>0</v>
      </c>
      <c r="DQ318">
        <f t="shared" si="1452"/>
        <v>0</v>
      </c>
      <c r="DR318">
        <f t="shared" si="1453"/>
        <v>0</v>
      </c>
      <c r="DS318">
        <f t="shared" si="1454"/>
        <v>0</v>
      </c>
      <c r="DT318">
        <f t="shared" si="1455"/>
        <v>0</v>
      </c>
      <c r="DU318">
        <f t="shared" si="1456"/>
        <v>0</v>
      </c>
      <c r="DV318">
        <f t="shared" si="1457"/>
        <v>0</v>
      </c>
      <c r="DW318">
        <f t="shared" si="1458"/>
        <v>0</v>
      </c>
    </row>
    <row r="319" spans="1:127" x14ac:dyDescent="0.25">
      <c r="A319" s="22">
        <f t="shared" si="1446"/>
        <v>313</v>
      </c>
      <c r="B319" s="59" t="str">
        <f t="shared" si="1718"/>
        <v>F0014826603</v>
      </c>
      <c r="C319" s="214" t="str">
        <f t="shared" si="1719"/>
        <v>82115-0E541 B</v>
      </c>
      <c r="D319" s="58" t="e">
        <f>VLOOKUP(B319,'Timing Table'!B:G,6,0)</f>
        <v>#N/A</v>
      </c>
      <c r="E319" s="22" t="e">
        <f>VLOOKUP(B319,'Timing Table'!B:D,3,0)</f>
        <v>#N/A</v>
      </c>
      <c r="F319" s="155" t="s">
        <v>70</v>
      </c>
      <c r="G319" s="181" t="s">
        <v>367</v>
      </c>
      <c r="H319" s="155" t="s">
        <v>71</v>
      </c>
      <c r="I319" s="182" t="s">
        <v>60</v>
      </c>
      <c r="J319" s="161" t="s">
        <v>0</v>
      </c>
      <c r="K319" s="194" t="s">
        <v>0</v>
      </c>
      <c r="L319" s="195" t="s">
        <v>0</v>
      </c>
      <c r="M319" s="179" t="s">
        <v>0</v>
      </c>
      <c r="N319" s="179" t="s">
        <v>0</v>
      </c>
      <c r="O319" s="179" t="s">
        <v>0</v>
      </c>
      <c r="P319" s="179" t="s">
        <v>0</v>
      </c>
      <c r="Q319" s="179" t="s">
        <v>1</v>
      </c>
      <c r="R319" s="179" t="s">
        <v>2</v>
      </c>
      <c r="S319" s="179" t="s">
        <v>0</v>
      </c>
      <c r="T319" s="179" t="s">
        <v>0</v>
      </c>
      <c r="U319" s="179" t="s">
        <v>0</v>
      </c>
      <c r="V319" s="179" t="s">
        <v>0</v>
      </c>
      <c r="W319" s="179" t="s">
        <v>0</v>
      </c>
      <c r="X319" s="179" t="s">
        <v>0</v>
      </c>
      <c r="Y319" s="179" t="s">
        <v>0</v>
      </c>
      <c r="Z319" s="179" t="s">
        <v>3</v>
      </c>
      <c r="AA319" s="179" t="s">
        <v>0</v>
      </c>
      <c r="AB319" s="179" t="s">
        <v>0</v>
      </c>
      <c r="AC319" s="179" t="s">
        <v>0</v>
      </c>
      <c r="AD319" s="179" t="s">
        <v>0</v>
      </c>
      <c r="AE319" s="179" t="s">
        <v>0</v>
      </c>
      <c r="AF319" s="179" t="s">
        <v>0</v>
      </c>
      <c r="AG319" s="179" t="s">
        <v>0</v>
      </c>
      <c r="AH319" s="179" t="s">
        <v>0</v>
      </c>
      <c r="AI319" s="179" t="s">
        <v>0</v>
      </c>
      <c r="AJ319" s="179" t="s">
        <v>0</v>
      </c>
      <c r="AK319" s="179" t="s">
        <v>0</v>
      </c>
      <c r="AL319" s="179" t="s">
        <v>0</v>
      </c>
      <c r="AM319" s="179" t="s">
        <v>0</v>
      </c>
      <c r="AN319" s="179" t="s">
        <v>0</v>
      </c>
      <c r="AO319" s="179" t="s">
        <v>0</v>
      </c>
      <c r="AP319" s="179" t="s">
        <v>0</v>
      </c>
      <c r="AQ319" s="179" t="s">
        <v>0</v>
      </c>
      <c r="AR319" s="179" t="s">
        <v>0</v>
      </c>
      <c r="AS319" s="179" t="s">
        <v>0</v>
      </c>
      <c r="AT319" s="179" t="s">
        <v>0</v>
      </c>
      <c r="AU319" s="179" t="s">
        <v>0</v>
      </c>
      <c r="AV319" s="179" t="s">
        <v>0</v>
      </c>
      <c r="AW319" s="179" t="s">
        <v>0</v>
      </c>
      <c r="AX319" s="179" t="s">
        <v>0</v>
      </c>
      <c r="AY319" s="179" t="s">
        <v>0</v>
      </c>
      <c r="AZ319" s="179" t="s">
        <v>0</v>
      </c>
      <c r="BA319" s="179" t="s">
        <v>0</v>
      </c>
      <c r="BB319" s="179" t="s">
        <v>0</v>
      </c>
      <c r="BC319" s="179" t="s">
        <v>0</v>
      </c>
      <c r="BD319" s="179" t="s">
        <v>0</v>
      </c>
      <c r="BE319" s="179" t="s">
        <v>0</v>
      </c>
      <c r="BF319" s="179" t="s">
        <v>0</v>
      </c>
      <c r="BG319" s="179" t="s">
        <v>0</v>
      </c>
      <c r="BH319" s="179" t="s">
        <v>0</v>
      </c>
      <c r="BI319" s="180" t="s">
        <v>4</v>
      </c>
      <c r="DL319">
        <f t="shared" si="1447"/>
        <v>0</v>
      </c>
      <c r="DM319">
        <f t="shared" si="1448"/>
        <v>0</v>
      </c>
      <c r="DN319">
        <f t="shared" si="1449"/>
        <v>0</v>
      </c>
      <c r="DO319">
        <f t="shared" si="1450"/>
        <v>0</v>
      </c>
      <c r="DP319">
        <f t="shared" si="1451"/>
        <v>0</v>
      </c>
      <c r="DQ319">
        <f t="shared" si="1452"/>
        <v>0</v>
      </c>
      <c r="DR319">
        <f t="shared" si="1453"/>
        <v>0</v>
      </c>
      <c r="DS319">
        <f t="shared" si="1454"/>
        <v>0</v>
      </c>
      <c r="DT319">
        <f t="shared" si="1455"/>
        <v>0</v>
      </c>
      <c r="DU319">
        <f t="shared" si="1456"/>
        <v>0</v>
      </c>
      <c r="DV319">
        <f t="shared" si="1457"/>
        <v>0</v>
      </c>
      <c r="DW319">
        <f t="shared" si="1458"/>
        <v>0</v>
      </c>
    </row>
    <row r="320" spans="1:127" x14ac:dyDescent="0.25">
      <c r="A320" s="22">
        <f t="shared" si="1446"/>
        <v>314</v>
      </c>
      <c r="B320" s="59" t="str">
        <f t="shared" si="1718"/>
        <v>F0014826603</v>
      </c>
      <c r="C320" s="214" t="str">
        <f t="shared" si="1719"/>
        <v>82115-0E541 B</v>
      </c>
      <c r="D320" s="58" t="e">
        <f>VLOOKUP(B320,'Timing Table'!B:G,6,0)</f>
        <v>#N/A</v>
      </c>
      <c r="E320" s="22" t="e">
        <f>VLOOKUP(B320,'Timing Table'!B:D,3,0)</f>
        <v>#N/A</v>
      </c>
      <c r="F320" s="155" t="s">
        <v>72</v>
      </c>
      <c r="G320" s="181">
        <v>0</v>
      </c>
      <c r="H320" s="196" t="s">
        <v>414</v>
      </c>
      <c r="I320" s="197" t="s">
        <v>73</v>
      </c>
      <c r="J320" s="13">
        <v>46041</v>
      </c>
      <c r="K320" s="14">
        <v>46048</v>
      </c>
      <c r="L320" s="14">
        <v>46055</v>
      </c>
      <c r="M320" s="14">
        <v>46062</v>
      </c>
      <c r="N320" s="14">
        <v>46069</v>
      </c>
      <c r="O320" s="14">
        <v>46076</v>
      </c>
      <c r="P320" s="14">
        <v>46083</v>
      </c>
      <c r="Q320" s="14">
        <v>46090</v>
      </c>
      <c r="R320" s="14">
        <v>46097</v>
      </c>
      <c r="S320" s="14">
        <v>46104</v>
      </c>
      <c r="T320" s="14">
        <v>46111</v>
      </c>
      <c r="U320" s="14">
        <v>46118</v>
      </c>
      <c r="V320" s="14">
        <v>46125</v>
      </c>
      <c r="W320" s="14">
        <v>46132</v>
      </c>
      <c r="X320" s="14">
        <v>46139</v>
      </c>
      <c r="Y320" s="14">
        <v>46146</v>
      </c>
      <c r="Z320" s="14">
        <v>46153</v>
      </c>
      <c r="AA320" s="14">
        <v>46160</v>
      </c>
      <c r="AB320" s="14">
        <v>46167</v>
      </c>
      <c r="AC320" s="14">
        <v>46174</v>
      </c>
      <c r="AD320" s="14">
        <v>46181</v>
      </c>
      <c r="AE320" s="14">
        <v>46188</v>
      </c>
      <c r="AF320" s="14">
        <v>46195</v>
      </c>
      <c r="AG320" s="14">
        <v>46202</v>
      </c>
      <c r="AH320" s="14">
        <v>46209</v>
      </c>
      <c r="AI320" s="14">
        <v>46216</v>
      </c>
      <c r="AJ320" s="14">
        <v>46223</v>
      </c>
      <c r="AK320" s="14">
        <v>46230</v>
      </c>
      <c r="AL320" s="14">
        <v>46237</v>
      </c>
      <c r="AM320" s="14">
        <v>46244</v>
      </c>
      <c r="AN320" s="14">
        <v>46251</v>
      </c>
      <c r="AO320" s="14">
        <v>46258</v>
      </c>
      <c r="AP320" s="14">
        <v>46265</v>
      </c>
      <c r="AQ320" s="14">
        <v>46272</v>
      </c>
      <c r="AR320" s="14">
        <v>46279</v>
      </c>
      <c r="AS320" s="14">
        <v>46286</v>
      </c>
      <c r="AT320" s="14">
        <v>46293</v>
      </c>
      <c r="AU320" s="14">
        <v>46300</v>
      </c>
      <c r="AV320" s="14">
        <v>46307</v>
      </c>
      <c r="AW320" s="14">
        <v>46314</v>
      </c>
      <c r="AX320" s="14">
        <v>46321</v>
      </c>
      <c r="AY320" s="14">
        <v>46328</v>
      </c>
      <c r="AZ320" s="14">
        <v>46335</v>
      </c>
      <c r="BA320" s="14">
        <v>46342</v>
      </c>
      <c r="BB320" s="14">
        <v>46349</v>
      </c>
      <c r="BC320" s="14">
        <v>46356</v>
      </c>
      <c r="BD320" s="14">
        <v>46363</v>
      </c>
      <c r="BE320" s="14">
        <v>46370</v>
      </c>
      <c r="BF320" s="14">
        <v>46377</v>
      </c>
      <c r="BG320" s="14">
        <v>46384</v>
      </c>
      <c r="BH320" s="14">
        <v>46391</v>
      </c>
      <c r="BI320" s="15">
        <v>46398</v>
      </c>
      <c r="DL320">
        <f t="shared" si="1447"/>
        <v>0</v>
      </c>
      <c r="DM320">
        <f t="shared" si="1448"/>
        <v>0</v>
      </c>
      <c r="DN320">
        <f t="shared" si="1449"/>
        <v>0</v>
      </c>
      <c r="DO320">
        <f t="shared" si="1450"/>
        <v>0</v>
      </c>
      <c r="DP320">
        <f t="shared" si="1451"/>
        <v>0</v>
      </c>
      <c r="DQ320">
        <f t="shared" si="1452"/>
        <v>0</v>
      </c>
      <c r="DR320">
        <f t="shared" si="1453"/>
        <v>0</v>
      </c>
      <c r="DS320">
        <f t="shared" si="1454"/>
        <v>0</v>
      </c>
      <c r="DT320">
        <f t="shared" si="1455"/>
        <v>0</v>
      </c>
      <c r="DU320">
        <f t="shared" si="1456"/>
        <v>0</v>
      </c>
      <c r="DV320">
        <f t="shared" si="1457"/>
        <v>0</v>
      </c>
      <c r="DW320">
        <f t="shared" si="1458"/>
        <v>0</v>
      </c>
    </row>
    <row r="321" spans="1:127" x14ac:dyDescent="0.25">
      <c r="A321" s="22">
        <f t="shared" si="1446"/>
        <v>315</v>
      </c>
      <c r="B321" s="59" t="str">
        <f t="shared" si="1718"/>
        <v>F0014826603</v>
      </c>
      <c r="C321" s="214" t="str">
        <f t="shared" si="1719"/>
        <v>82115-0E541 B</v>
      </c>
      <c r="D321" s="58" t="e">
        <f>VLOOKUP(B321,'Timing Table'!B:G,6,0)</f>
        <v>#N/A</v>
      </c>
      <c r="E321" s="22" t="e">
        <f>VLOOKUP(B321,'Timing Table'!B:D,3,0)</f>
        <v>#N/A</v>
      </c>
      <c r="F321" s="155" t="s">
        <v>74</v>
      </c>
      <c r="G321" s="181">
        <v>0</v>
      </c>
      <c r="H321" s="5" t="s">
        <v>60</v>
      </c>
      <c r="I321" s="11" t="s">
        <v>147</v>
      </c>
      <c r="J321" s="16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17"/>
      <c r="DL321">
        <f t="shared" si="1447"/>
        <v>0</v>
      </c>
      <c r="DM321">
        <f t="shared" si="1448"/>
        <v>0</v>
      </c>
      <c r="DN321">
        <f t="shared" si="1449"/>
        <v>0</v>
      </c>
      <c r="DO321">
        <f t="shared" si="1450"/>
        <v>0</v>
      </c>
      <c r="DP321">
        <f t="shared" si="1451"/>
        <v>0</v>
      </c>
      <c r="DQ321">
        <f t="shared" si="1452"/>
        <v>0</v>
      </c>
      <c r="DR321">
        <f t="shared" si="1453"/>
        <v>0</v>
      </c>
      <c r="DS321">
        <f t="shared" si="1454"/>
        <v>0</v>
      </c>
      <c r="DT321">
        <f t="shared" si="1455"/>
        <v>0</v>
      </c>
      <c r="DU321">
        <f t="shared" si="1456"/>
        <v>0</v>
      </c>
      <c r="DV321">
        <f t="shared" si="1457"/>
        <v>0</v>
      </c>
      <c r="DW321">
        <f t="shared" si="1458"/>
        <v>0</v>
      </c>
    </row>
    <row r="322" spans="1:127" x14ac:dyDescent="0.25">
      <c r="A322" s="22">
        <f t="shared" si="1446"/>
        <v>316</v>
      </c>
      <c r="B322" s="59" t="str">
        <f t="shared" si="1718"/>
        <v>F0014826603</v>
      </c>
      <c r="C322" s="214" t="str">
        <f t="shared" si="1719"/>
        <v>82115-0E541 B</v>
      </c>
      <c r="D322" s="58" t="e">
        <f>VLOOKUP(B322,'Timing Table'!B:G,6,0)</f>
        <v>#N/A</v>
      </c>
      <c r="E322" s="22" t="e">
        <f>VLOOKUP(B322,'Timing Table'!B:D,3,0)</f>
        <v>#N/A</v>
      </c>
      <c r="F322" s="155" t="s">
        <v>75</v>
      </c>
      <c r="G322" s="198" t="s">
        <v>257</v>
      </c>
      <c r="H322" s="9" t="s">
        <v>231</v>
      </c>
      <c r="I322" s="11" t="s">
        <v>76</v>
      </c>
      <c r="J322" s="143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>
        <v>0</v>
      </c>
      <c r="AA322" s="64">
        <v>0</v>
      </c>
      <c r="AB322" s="64">
        <v>0</v>
      </c>
      <c r="AC322" s="64">
        <v>0</v>
      </c>
      <c r="AD322" s="64">
        <v>0</v>
      </c>
      <c r="AE322" s="64">
        <v>0</v>
      </c>
      <c r="AF322" s="64">
        <v>0</v>
      </c>
      <c r="AG322" s="64">
        <v>0</v>
      </c>
      <c r="AH322" s="64">
        <v>0</v>
      </c>
      <c r="AI322" s="64">
        <v>0</v>
      </c>
      <c r="AJ322" s="64">
        <v>0</v>
      </c>
      <c r="AK322" s="64">
        <v>0</v>
      </c>
      <c r="AL322" s="64">
        <v>0</v>
      </c>
      <c r="AM322" s="64">
        <v>0</v>
      </c>
      <c r="AN322" s="64">
        <v>0</v>
      </c>
      <c r="AO322" s="64">
        <v>0</v>
      </c>
      <c r="AP322" s="64">
        <v>0</v>
      </c>
      <c r="AQ322" s="64">
        <v>0</v>
      </c>
      <c r="AR322" s="64">
        <v>0</v>
      </c>
      <c r="AS322" s="64">
        <v>0</v>
      </c>
      <c r="AT322" s="64">
        <v>0</v>
      </c>
      <c r="AU322" s="64">
        <v>0</v>
      </c>
      <c r="AV322" s="64">
        <v>0</v>
      </c>
      <c r="AW322" s="64">
        <v>0</v>
      </c>
      <c r="AX322" s="64">
        <v>0</v>
      </c>
      <c r="AY322" s="64">
        <v>0</v>
      </c>
      <c r="AZ322" s="64">
        <v>0</v>
      </c>
      <c r="BA322" s="64">
        <v>0</v>
      </c>
      <c r="BB322" s="64">
        <v>0</v>
      </c>
      <c r="BC322" s="64">
        <v>0</v>
      </c>
      <c r="BD322" s="64">
        <v>0</v>
      </c>
      <c r="BE322" s="64">
        <v>0</v>
      </c>
      <c r="BF322" s="64">
        <v>0</v>
      </c>
      <c r="BG322" s="64">
        <v>0</v>
      </c>
      <c r="BH322" s="64">
        <v>0</v>
      </c>
      <c r="BI322" s="144">
        <v>0</v>
      </c>
      <c r="BJ322" s="24" t="str">
        <f>+G319</f>
        <v>82115-0E541 B</v>
      </c>
      <c r="BK322" s="24">
        <f>+J322</f>
        <v>0</v>
      </c>
      <c r="BL322" s="24">
        <f t="shared" ref="BL322" si="1720">+K322</f>
        <v>0</v>
      </c>
      <c r="BM322" s="24">
        <f t="shared" ref="BM322" si="1721">+L322</f>
        <v>0</v>
      </c>
      <c r="BN322" s="24">
        <f t="shared" ref="BN322" si="1722">+M322</f>
        <v>0</v>
      </c>
      <c r="BO322" s="24">
        <f t="shared" ref="BO322" si="1723">+N322</f>
        <v>0</v>
      </c>
      <c r="BP322" s="24">
        <f t="shared" ref="BP322" si="1724">+O322</f>
        <v>0</v>
      </c>
      <c r="BQ322" s="24">
        <f t="shared" ref="BQ322" si="1725">+P322</f>
        <v>0</v>
      </c>
      <c r="BR322" s="24">
        <f t="shared" ref="BR322" si="1726">+Q322</f>
        <v>0</v>
      </c>
      <c r="BS322" s="24">
        <f t="shared" ref="BS322" si="1727">+R322</f>
        <v>0</v>
      </c>
      <c r="BT322" s="24">
        <f t="shared" ref="BT322" si="1728">+S322</f>
        <v>0</v>
      </c>
      <c r="BU322" s="24">
        <f t="shared" ref="BU322" si="1729">+T322</f>
        <v>0</v>
      </c>
      <c r="BV322" s="24">
        <f t="shared" ref="BV322" si="1730">+U322</f>
        <v>0</v>
      </c>
      <c r="BW322" s="24">
        <f t="shared" ref="BW322" si="1731">+V322</f>
        <v>0</v>
      </c>
      <c r="BX322" s="24">
        <f t="shared" ref="BX322" si="1732">+W322</f>
        <v>0</v>
      </c>
      <c r="BY322" s="24">
        <f t="shared" ref="BY322" si="1733">+X322</f>
        <v>0</v>
      </c>
      <c r="BZ322" s="24">
        <f t="shared" ref="BZ322" si="1734">+Y322</f>
        <v>0</v>
      </c>
      <c r="CA322" s="24">
        <f t="shared" ref="CA322" si="1735">+Z322</f>
        <v>0</v>
      </c>
      <c r="CB322" s="24">
        <f t="shared" ref="CB322" si="1736">+AA322</f>
        <v>0</v>
      </c>
      <c r="CC322" s="24">
        <f t="shared" ref="CC322" si="1737">+AB322</f>
        <v>0</v>
      </c>
      <c r="CD322" s="24">
        <f t="shared" ref="CD322" si="1738">+AC322</f>
        <v>0</v>
      </c>
      <c r="CE322" s="24">
        <f t="shared" ref="CE322" si="1739">+AD322</f>
        <v>0</v>
      </c>
      <c r="CF322" s="24">
        <f t="shared" ref="CF322" si="1740">+AE322</f>
        <v>0</v>
      </c>
      <c r="CG322" s="24">
        <f t="shared" ref="CG322" si="1741">+AF322</f>
        <v>0</v>
      </c>
      <c r="CH322" s="24">
        <f t="shared" ref="CH322" si="1742">+AG322</f>
        <v>0</v>
      </c>
      <c r="CI322" s="24">
        <f t="shared" ref="CI322" si="1743">+AH322</f>
        <v>0</v>
      </c>
      <c r="CJ322" s="24">
        <f t="shared" ref="CJ322" si="1744">+AI322</f>
        <v>0</v>
      </c>
      <c r="CK322" s="24">
        <f t="shared" ref="CK322" si="1745">+AJ322</f>
        <v>0</v>
      </c>
      <c r="CL322" s="24">
        <f t="shared" ref="CL322" si="1746">+AK322</f>
        <v>0</v>
      </c>
      <c r="CM322" s="24">
        <f t="shared" ref="CM322" si="1747">+AL322</f>
        <v>0</v>
      </c>
      <c r="CN322" s="24">
        <f t="shared" ref="CN322" si="1748">+AM322</f>
        <v>0</v>
      </c>
      <c r="CO322" s="24">
        <f t="shared" ref="CO322" si="1749">+AN322</f>
        <v>0</v>
      </c>
      <c r="CP322" s="166">
        <f t="shared" ref="CP322" si="1750">+AO322</f>
        <v>0</v>
      </c>
      <c r="CQ322" s="166">
        <f t="shared" ref="CQ322" si="1751">+AP322</f>
        <v>0</v>
      </c>
      <c r="CR322">
        <f t="shared" ref="CR322" si="1752">+AQ322</f>
        <v>0</v>
      </c>
      <c r="CS322">
        <f t="shared" ref="CS322" si="1753">+AR322</f>
        <v>0</v>
      </c>
      <c r="CT322">
        <f t="shared" ref="CT322" si="1754">+AS322</f>
        <v>0</v>
      </c>
      <c r="CU322">
        <f t="shared" ref="CU322" si="1755">+AT322</f>
        <v>0</v>
      </c>
      <c r="CV322">
        <f t="shared" ref="CV322" si="1756">+AU322</f>
        <v>0</v>
      </c>
      <c r="CW322">
        <f t="shared" ref="CW322" si="1757">+AV322</f>
        <v>0</v>
      </c>
      <c r="CX322">
        <f t="shared" ref="CX322" si="1758">+AW322</f>
        <v>0</v>
      </c>
      <c r="CY322">
        <f t="shared" ref="CY322" si="1759">+AX322</f>
        <v>0</v>
      </c>
      <c r="CZ322">
        <f t="shared" ref="CZ322" si="1760">+AY322</f>
        <v>0</v>
      </c>
      <c r="DA322">
        <f t="shared" ref="DA322" si="1761">+AZ322</f>
        <v>0</v>
      </c>
      <c r="DB322">
        <f t="shared" ref="DB322" si="1762">+BA322</f>
        <v>0</v>
      </c>
      <c r="DC322">
        <f t="shared" ref="DC322" si="1763">+BB322</f>
        <v>0</v>
      </c>
      <c r="DD322">
        <f t="shared" ref="DD322" si="1764">+BC322</f>
        <v>0</v>
      </c>
      <c r="DE322">
        <f t="shared" ref="DE322" si="1765">+BD322</f>
        <v>0</v>
      </c>
      <c r="DF322">
        <f t="shared" ref="DF322" si="1766">+BE322</f>
        <v>0</v>
      </c>
      <c r="DG322">
        <f t="shared" ref="DG322" si="1767">+BF322</f>
        <v>0</v>
      </c>
      <c r="DH322">
        <f t="shared" ref="DH322" si="1768">+BG322</f>
        <v>0</v>
      </c>
      <c r="DI322">
        <f t="shared" ref="DI322" si="1769">+BH322</f>
        <v>0</v>
      </c>
      <c r="DJ322">
        <f t="shared" ref="DJ322" si="1770">+BI322</f>
        <v>0</v>
      </c>
      <c r="DL322" s="24">
        <f t="shared" si="1447"/>
        <v>0</v>
      </c>
      <c r="DM322" s="24">
        <f t="shared" si="1448"/>
        <v>0</v>
      </c>
      <c r="DN322" s="24">
        <f t="shared" si="1449"/>
        <v>0</v>
      </c>
      <c r="DO322" s="24">
        <f t="shared" si="1450"/>
        <v>0</v>
      </c>
      <c r="DP322" s="24">
        <f t="shared" si="1451"/>
        <v>0</v>
      </c>
      <c r="DQ322" s="24">
        <f t="shared" si="1452"/>
        <v>0</v>
      </c>
      <c r="DR322" s="24">
        <f t="shared" si="1453"/>
        <v>0</v>
      </c>
      <c r="DS322" s="24">
        <f t="shared" si="1454"/>
        <v>0</v>
      </c>
      <c r="DT322" s="24">
        <f t="shared" si="1455"/>
        <v>0</v>
      </c>
      <c r="DU322">
        <f t="shared" si="1456"/>
        <v>0</v>
      </c>
      <c r="DV322">
        <f t="shared" si="1457"/>
        <v>0</v>
      </c>
      <c r="DW322">
        <f t="shared" si="1458"/>
        <v>0</v>
      </c>
    </row>
    <row r="323" spans="1:127" x14ac:dyDescent="0.25">
      <c r="A323" s="22">
        <f t="shared" si="1446"/>
        <v>317</v>
      </c>
      <c r="B323" s="59" t="str">
        <f t="shared" si="1718"/>
        <v>F0014826603</v>
      </c>
      <c r="C323" s="214" t="str">
        <f t="shared" si="1719"/>
        <v>82115-0E541 B</v>
      </c>
      <c r="D323" s="58" t="e">
        <f>VLOOKUP(B323,'Timing Table'!B:G,6,0)</f>
        <v>#N/A</v>
      </c>
      <c r="E323" s="22" t="e">
        <f>VLOOKUP(B323,'Timing Table'!B:D,3,0)</f>
        <v>#N/A</v>
      </c>
      <c r="F323" s="155" t="s">
        <v>77</v>
      </c>
      <c r="G323" s="181">
        <v>82115</v>
      </c>
      <c r="H323" s="10" t="s">
        <v>231</v>
      </c>
      <c r="I323" s="12" t="s">
        <v>78</v>
      </c>
      <c r="J323" s="152">
        <v>0</v>
      </c>
      <c r="K323" s="153">
        <v>0</v>
      </c>
      <c r="L323" s="153">
        <v>0</v>
      </c>
      <c r="M323" s="153">
        <v>0</v>
      </c>
      <c r="N323" s="153">
        <v>0</v>
      </c>
      <c r="O323" s="153">
        <v>0</v>
      </c>
      <c r="P323" s="153">
        <v>0</v>
      </c>
      <c r="Q323" s="153">
        <v>0</v>
      </c>
      <c r="R323" s="153">
        <v>0</v>
      </c>
      <c r="S323" s="153">
        <v>0</v>
      </c>
      <c r="T323" s="153">
        <v>0</v>
      </c>
      <c r="U323" s="153">
        <v>0</v>
      </c>
      <c r="V323" s="153">
        <v>0</v>
      </c>
      <c r="W323" s="153">
        <v>0</v>
      </c>
      <c r="X323" s="153">
        <v>0</v>
      </c>
      <c r="Y323" s="153">
        <v>0</v>
      </c>
      <c r="Z323" s="153">
        <v>0</v>
      </c>
      <c r="AA323" s="153">
        <v>0</v>
      </c>
      <c r="AB323" s="153">
        <v>0</v>
      </c>
      <c r="AC323" s="153">
        <v>0</v>
      </c>
      <c r="AD323" s="153">
        <v>0</v>
      </c>
      <c r="AE323" s="153">
        <v>0</v>
      </c>
      <c r="AF323" s="153">
        <v>0</v>
      </c>
      <c r="AG323" s="153">
        <v>0</v>
      </c>
      <c r="AH323" s="153">
        <v>0</v>
      </c>
      <c r="AI323" s="153">
        <v>0</v>
      </c>
      <c r="AJ323" s="153">
        <v>0</v>
      </c>
      <c r="AK323" s="153">
        <v>0</v>
      </c>
      <c r="AL323" s="153">
        <v>0</v>
      </c>
      <c r="AM323" s="153">
        <v>0</v>
      </c>
      <c r="AN323" s="153">
        <v>0</v>
      </c>
      <c r="AO323" s="153">
        <v>0</v>
      </c>
      <c r="AP323" s="153">
        <v>0</v>
      </c>
      <c r="AQ323" s="153">
        <v>0</v>
      </c>
      <c r="AR323" s="153">
        <v>0</v>
      </c>
      <c r="AS323" s="153">
        <v>0</v>
      </c>
      <c r="AT323" s="153">
        <v>0</v>
      </c>
      <c r="AU323" s="153">
        <v>0</v>
      </c>
      <c r="AV323" s="153">
        <v>0</v>
      </c>
      <c r="AW323" s="153">
        <v>0</v>
      </c>
      <c r="AX323" s="153">
        <v>0</v>
      </c>
      <c r="AY323" s="153">
        <v>0</v>
      </c>
      <c r="AZ323" s="153">
        <v>0</v>
      </c>
      <c r="BA323" s="153">
        <v>0</v>
      </c>
      <c r="BB323" s="153">
        <v>0</v>
      </c>
      <c r="BC323" s="153">
        <v>0</v>
      </c>
      <c r="BD323" s="153">
        <v>0</v>
      </c>
      <c r="BE323" s="153">
        <v>0</v>
      </c>
      <c r="BF323" s="153">
        <v>0</v>
      </c>
      <c r="BG323" s="153">
        <v>0</v>
      </c>
      <c r="BH323" s="153">
        <v>0</v>
      </c>
      <c r="BI323" s="154">
        <v>0</v>
      </c>
      <c r="DL323">
        <f t="shared" si="1447"/>
        <v>0</v>
      </c>
      <c r="DM323">
        <f t="shared" si="1448"/>
        <v>0</v>
      </c>
      <c r="DN323">
        <f t="shared" si="1449"/>
        <v>0</v>
      </c>
      <c r="DO323">
        <f t="shared" si="1450"/>
        <v>0</v>
      </c>
      <c r="DP323">
        <f t="shared" si="1451"/>
        <v>0</v>
      </c>
      <c r="DQ323">
        <f t="shared" si="1452"/>
        <v>0</v>
      </c>
      <c r="DR323">
        <f t="shared" si="1453"/>
        <v>0</v>
      </c>
      <c r="DS323">
        <f t="shared" si="1454"/>
        <v>0</v>
      </c>
      <c r="DT323">
        <f t="shared" si="1455"/>
        <v>0</v>
      </c>
      <c r="DU323">
        <f t="shared" si="1456"/>
        <v>0</v>
      </c>
      <c r="DV323">
        <f t="shared" si="1457"/>
        <v>0</v>
      </c>
      <c r="DW323">
        <f t="shared" si="1458"/>
        <v>0</v>
      </c>
    </row>
    <row r="324" spans="1:127" x14ac:dyDescent="0.25">
      <c r="A324" s="22">
        <f t="shared" si="1446"/>
        <v>318</v>
      </c>
      <c r="B324" s="59" t="str">
        <f t="shared" si="1718"/>
        <v>F0014826603</v>
      </c>
      <c r="C324" s="214" t="str">
        <f t="shared" si="1719"/>
        <v>82115-0E541 B</v>
      </c>
      <c r="D324" s="58" t="e">
        <f>VLOOKUP(B324,'Timing Table'!B:G,6,0)</f>
        <v>#N/A</v>
      </c>
      <c r="E324" s="22" t="e">
        <f>VLOOKUP(B324,'Timing Table'!B:D,3,0)</f>
        <v>#N/A</v>
      </c>
      <c r="F324" s="155" t="s">
        <v>79</v>
      </c>
      <c r="G324" s="199">
        <v>0</v>
      </c>
      <c r="H324" s="184" t="s">
        <v>80</v>
      </c>
      <c r="I324" s="185"/>
      <c r="J324" s="200"/>
      <c r="K324" s="156"/>
      <c r="L324" s="157" t="s">
        <v>0</v>
      </c>
      <c r="M324" s="157" t="s">
        <v>0</v>
      </c>
      <c r="N324" s="157" t="s">
        <v>0</v>
      </c>
      <c r="O324" s="157" t="s">
        <v>0</v>
      </c>
      <c r="P324" s="157" t="s">
        <v>0</v>
      </c>
      <c r="Q324" s="157" t="s">
        <v>0</v>
      </c>
      <c r="R324" s="157" t="s">
        <v>0</v>
      </c>
      <c r="S324" s="157" t="s">
        <v>0</v>
      </c>
      <c r="T324" s="157" t="s">
        <v>0</v>
      </c>
      <c r="U324" s="157" t="s">
        <v>0</v>
      </c>
      <c r="V324" s="157" t="s">
        <v>0</v>
      </c>
      <c r="W324" s="157" t="s">
        <v>0</v>
      </c>
      <c r="X324" s="157" t="s">
        <v>0</v>
      </c>
      <c r="Y324" s="157" t="s">
        <v>0</v>
      </c>
      <c r="Z324" s="157" t="s">
        <v>0</v>
      </c>
      <c r="AA324" s="157" t="s">
        <v>0</v>
      </c>
      <c r="AB324" s="157" t="s">
        <v>0</v>
      </c>
      <c r="AC324" s="157" t="s">
        <v>0</v>
      </c>
      <c r="AD324" s="157" t="s">
        <v>0</v>
      </c>
      <c r="AE324" s="157" t="s">
        <v>0</v>
      </c>
      <c r="AF324" s="157" t="s">
        <v>0</v>
      </c>
      <c r="AG324" s="157" t="s">
        <v>0</v>
      </c>
      <c r="AH324" s="157" t="s">
        <v>0</v>
      </c>
      <c r="AI324" s="157" t="s">
        <v>0</v>
      </c>
      <c r="AJ324" s="157" t="s">
        <v>0</v>
      </c>
      <c r="AK324" s="157" t="s">
        <v>0</v>
      </c>
      <c r="AL324" s="157" t="s">
        <v>0</v>
      </c>
      <c r="AM324" s="157" t="s">
        <v>0</v>
      </c>
      <c r="AN324" s="157" t="s">
        <v>0</v>
      </c>
      <c r="AO324" s="157" t="s">
        <v>0</v>
      </c>
      <c r="AP324" s="157" t="s">
        <v>0</v>
      </c>
      <c r="AQ324" s="157" t="s">
        <v>0</v>
      </c>
      <c r="AR324" s="157" t="s">
        <v>0</v>
      </c>
      <c r="AS324" s="157" t="s">
        <v>0</v>
      </c>
      <c r="AT324" s="157" t="s">
        <v>0</v>
      </c>
      <c r="AU324" s="157" t="s">
        <v>0</v>
      </c>
      <c r="AV324" s="157" t="s">
        <v>0</v>
      </c>
      <c r="AW324" s="157" t="s">
        <v>0</v>
      </c>
      <c r="AX324" s="157" t="s">
        <v>0</v>
      </c>
      <c r="AY324" s="157" t="s">
        <v>0</v>
      </c>
      <c r="AZ324" s="157" t="s">
        <v>0</v>
      </c>
      <c r="BA324" s="157" t="s">
        <v>0</v>
      </c>
      <c r="BB324" s="157" t="s">
        <v>0</v>
      </c>
      <c r="BC324" s="157" t="s">
        <v>0</v>
      </c>
      <c r="BD324" s="157" t="s">
        <v>0</v>
      </c>
      <c r="BE324" s="157" t="s">
        <v>0</v>
      </c>
      <c r="BF324" s="157" t="s">
        <v>0</v>
      </c>
      <c r="BG324" s="157" t="s">
        <v>0</v>
      </c>
      <c r="BH324" s="157" t="s">
        <v>0</v>
      </c>
      <c r="BI324" s="158"/>
      <c r="DL324">
        <f t="shared" si="1447"/>
        <v>0</v>
      </c>
      <c r="DM324">
        <f t="shared" si="1448"/>
        <v>0</v>
      </c>
      <c r="DN324">
        <f t="shared" si="1449"/>
        <v>0</v>
      </c>
      <c r="DO324">
        <f t="shared" si="1450"/>
        <v>0</v>
      </c>
      <c r="DP324">
        <f t="shared" si="1451"/>
        <v>0</v>
      </c>
      <c r="DQ324">
        <f t="shared" si="1452"/>
        <v>0</v>
      </c>
      <c r="DR324">
        <f t="shared" si="1453"/>
        <v>0</v>
      </c>
      <c r="DS324">
        <f t="shared" si="1454"/>
        <v>0</v>
      </c>
      <c r="DT324">
        <f t="shared" si="1455"/>
        <v>0</v>
      </c>
      <c r="DU324">
        <f t="shared" si="1456"/>
        <v>0</v>
      </c>
      <c r="DV324">
        <f t="shared" si="1457"/>
        <v>0</v>
      </c>
      <c r="DW324">
        <f t="shared" si="1458"/>
        <v>0</v>
      </c>
    </row>
    <row r="325" spans="1:127" x14ac:dyDescent="0.25">
      <c r="A325" s="22">
        <f t="shared" si="1446"/>
        <v>319</v>
      </c>
      <c r="B325" s="59" t="str">
        <f t="shared" si="1718"/>
        <v>F0014826603</v>
      </c>
      <c r="C325" s="214" t="str">
        <f>IF(F325=$F$7,#REF!,C324)</f>
        <v>82115-0E541 B</v>
      </c>
      <c r="D325" s="58" t="e">
        <f>VLOOKUP(B325,'Timing Table'!B:G,6,0)</f>
        <v>#N/A</v>
      </c>
      <c r="E325" s="22" t="e">
        <f>VLOOKUP(B325,'Timing Table'!B:D,3,0)</f>
        <v>#N/A</v>
      </c>
      <c r="F325" s="159" t="s">
        <v>81</v>
      </c>
      <c r="G325" s="160" t="s">
        <v>60</v>
      </c>
      <c r="H325" s="201" t="s">
        <v>60</v>
      </c>
      <c r="I325" s="183" t="s">
        <v>60</v>
      </c>
      <c r="J325" s="183" t="s">
        <v>0</v>
      </c>
      <c r="K325" s="183" t="s">
        <v>0</v>
      </c>
      <c r="L325" s="183" t="s">
        <v>0</v>
      </c>
      <c r="M325" s="183" t="s">
        <v>0</v>
      </c>
      <c r="N325" s="183" t="s">
        <v>0</v>
      </c>
      <c r="O325" s="183" t="s">
        <v>0</v>
      </c>
      <c r="P325" s="183" t="s">
        <v>0</v>
      </c>
      <c r="Q325" s="183" t="s">
        <v>0</v>
      </c>
      <c r="R325" s="183" t="s">
        <v>0</v>
      </c>
      <c r="S325" s="183" t="s">
        <v>0</v>
      </c>
      <c r="T325" s="183" t="s">
        <v>0</v>
      </c>
      <c r="U325" s="183" t="s">
        <v>0</v>
      </c>
      <c r="V325" s="183" t="s">
        <v>0</v>
      </c>
      <c r="W325" s="183" t="s">
        <v>0</v>
      </c>
      <c r="X325" s="183" t="s">
        <v>0</v>
      </c>
      <c r="Y325" s="183" t="s">
        <v>0</v>
      </c>
      <c r="Z325" s="183" t="s">
        <v>0</v>
      </c>
      <c r="AA325" s="183" t="s">
        <v>0</v>
      </c>
      <c r="AB325" s="183" t="s">
        <v>0</v>
      </c>
      <c r="AC325" s="183" t="s">
        <v>0</v>
      </c>
      <c r="AD325" s="183" t="s">
        <v>0</v>
      </c>
      <c r="AE325" s="183" t="s">
        <v>0</v>
      </c>
      <c r="AF325" s="183" t="s">
        <v>0</v>
      </c>
      <c r="AG325" s="183" t="s">
        <v>0</v>
      </c>
      <c r="AH325" s="183" t="s">
        <v>0</v>
      </c>
      <c r="AI325" s="183" t="s">
        <v>0</v>
      </c>
      <c r="AJ325" s="183" t="s">
        <v>0</v>
      </c>
      <c r="AK325" s="183" t="s">
        <v>0</v>
      </c>
      <c r="AL325" s="183" t="s">
        <v>0</v>
      </c>
      <c r="AM325" s="183" t="s">
        <v>0</v>
      </c>
      <c r="AN325" s="183" t="s">
        <v>0</v>
      </c>
      <c r="AO325" s="183" t="s">
        <v>0</v>
      </c>
      <c r="AP325" s="183" t="s">
        <v>0</v>
      </c>
      <c r="AQ325" s="183" t="s">
        <v>0</v>
      </c>
      <c r="AR325" s="183" t="s">
        <v>0</v>
      </c>
      <c r="AS325" s="183" t="s">
        <v>0</v>
      </c>
      <c r="AT325" s="183" t="s">
        <v>0</v>
      </c>
      <c r="AU325" s="183" t="s">
        <v>0</v>
      </c>
      <c r="AV325" s="183" t="s">
        <v>0</v>
      </c>
      <c r="AW325" s="183" t="s">
        <v>0</v>
      </c>
      <c r="AX325" s="183" t="s">
        <v>0</v>
      </c>
      <c r="AY325" s="183" t="s">
        <v>0</v>
      </c>
      <c r="AZ325" s="183" t="s">
        <v>0</v>
      </c>
      <c r="BA325" s="183" t="s">
        <v>0</v>
      </c>
      <c r="BB325" s="183" t="s">
        <v>0</v>
      </c>
      <c r="BC325" s="183" t="s">
        <v>0</v>
      </c>
      <c r="BD325" s="183" t="s">
        <v>0</v>
      </c>
      <c r="BE325" s="183" t="s">
        <v>0</v>
      </c>
      <c r="BF325" s="183" t="s">
        <v>0</v>
      </c>
      <c r="BG325" s="183" t="s">
        <v>0</v>
      </c>
      <c r="BH325" s="183" t="s">
        <v>0</v>
      </c>
      <c r="BI325" s="161"/>
      <c r="DL325">
        <f t="shared" si="1447"/>
        <v>0</v>
      </c>
      <c r="DM325">
        <f t="shared" si="1448"/>
        <v>0</v>
      </c>
      <c r="DN325">
        <f t="shared" si="1449"/>
        <v>0</v>
      </c>
      <c r="DO325">
        <f t="shared" si="1450"/>
        <v>0</v>
      </c>
      <c r="DP325">
        <f t="shared" si="1451"/>
        <v>0</v>
      </c>
      <c r="DQ325">
        <f t="shared" si="1452"/>
        <v>0</v>
      </c>
      <c r="DR325">
        <f t="shared" si="1453"/>
        <v>0</v>
      </c>
      <c r="DS325">
        <f t="shared" si="1454"/>
        <v>0</v>
      </c>
      <c r="DT325">
        <f t="shared" si="1455"/>
        <v>0</v>
      </c>
      <c r="DU325">
        <f t="shared" si="1456"/>
        <v>0</v>
      </c>
      <c r="DV325">
        <f t="shared" si="1457"/>
        <v>0</v>
      </c>
      <c r="DW325">
        <f t="shared" si="1458"/>
        <v>0</v>
      </c>
    </row>
    <row r="326" spans="1:127" x14ac:dyDescent="0.25">
      <c r="A326" s="22">
        <f t="shared" si="1446"/>
        <v>320</v>
      </c>
      <c r="B326" s="59" t="str">
        <f>IF(F326=$F$7,#REF!,B325)</f>
        <v>F0014826603</v>
      </c>
      <c r="C326" s="214" t="str">
        <f>IF(F326=$F$7,#REF!,C325)</f>
        <v>82115-0E541 B</v>
      </c>
      <c r="D326" s="58" t="e">
        <f>VLOOKUP(B326,'Timing Table'!B:G,6,0)</f>
        <v>#N/A</v>
      </c>
      <c r="E326" s="22" t="e">
        <f>VLOOKUP(B326,'Timing Table'!B:D,3,0)</f>
        <v>#N/A</v>
      </c>
      <c r="F326" s="188" t="s">
        <v>60</v>
      </c>
      <c r="G326" s="162" t="s">
        <v>60</v>
      </c>
      <c r="H326" s="163" t="s">
        <v>60</v>
      </c>
      <c r="I326" s="164" t="s">
        <v>60</v>
      </c>
      <c r="J326" s="164" t="s">
        <v>0</v>
      </c>
      <c r="K326" s="164" t="s">
        <v>0</v>
      </c>
      <c r="L326" s="164" t="s">
        <v>0</v>
      </c>
      <c r="M326" s="164" t="s">
        <v>0</v>
      </c>
      <c r="N326" s="164" t="s">
        <v>0</v>
      </c>
      <c r="O326" s="164" t="s">
        <v>0</v>
      </c>
      <c r="P326" s="164" t="s">
        <v>0</v>
      </c>
      <c r="Q326" s="164" t="s">
        <v>0</v>
      </c>
      <c r="R326" s="164" t="s">
        <v>0</v>
      </c>
      <c r="S326" s="164" t="s">
        <v>0</v>
      </c>
      <c r="T326" s="164" t="s">
        <v>0</v>
      </c>
      <c r="U326" s="164" t="s">
        <v>0</v>
      </c>
      <c r="V326" s="164" t="s">
        <v>0</v>
      </c>
      <c r="W326" s="164" t="s">
        <v>0</v>
      </c>
      <c r="X326" s="164" t="s">
        <v>0</v>
      </c>
      <c r="Y326" s="164" t="s">
        <v>0</v>
      </c>
      <c r="Z326" s="164" t="s">
        <v>0</v>
      </c>
      <c r="AA326" s="164" t="s">
        <v>0</v>
      </c>
      <c r="AB326" s="164" t="s">
        <v>0</v>
      </c>
      <c r="AC326" s="164" t="s">
        <v>0</v>
      </c>
      <c r="AD326" s="164" t="s">
        <v>0</v>
      </c>
      <c r="AE326" s="164" t="s">
        <v>0</v>
      </c>
      <c r="AF326" s="164" t="s">
        <v>0</v>
      </c>
      <c r="AG326" s="164" t="s">
        <v>0</v>
      </c>
      <c r="AH326" s="164" t="s">
        <v>0</v>
      </c>
      <c r="AI326" s="164" t="s">
        <v>0</v>
      </c>
      <c r="AJ326" s="164" t="s">
        <v>0</v>
      </c>
      <c r="AK326" s="164" t="s">
        <v>0</v>
      </c>
      <c r="AL326" s="164" t="s">
        <v>0</v>
      </c>
      <c r="AM326" s="164" t="s">
        <v>0</v>
      </c>
      <c r="AN326" s="164" t="s">
        <v>0</v>
      </c>
      <c r="AO326" s="164" t="s">
        <v>0</v>
      </c>
      <c r="AP326" s="164" t="s">
        <v>0</v>
      </c>
      <c r="AQ326" s="164" t="s">
        <v>0</v>
      </c>
      <c r="AR326" s="164" t="s">
        <v>0</v>
      </c>
      <c r="AS326" s="164" t="s">
        <v>0</v>
      </c>
      <c r="AT326" s="164" t="s">
        <v>0</v>
      </c>
      <c r="AU326" s="164" t="s">
        <v>0</v>
      </c>
      <c r="AV326" s="164" t="s">
        <v>0</v>
      </c>
      <c r="AW326" s="164" t="s">
        <v>0</v>
      </c>
      <c r="AX326" s="164" t="s">
        <v>0</v>
      </c>
      <c r="AY326" s="164" t="s">
        <v>0</v>
      </c>
      <c r="AZ326" s="164" t="s">
        <v>0</v>
      </c>
      <c r="BA326" s="164" t="s">
        <v>0</v>
      </c>
      <c r="BB326" s="164" t="s">
        <v>0</v>
      </c>
      <c r="BC326" s="164" t="s">
        <v>0</v>
      </c>
      <c r="BD326" s="164" t="s">
        <v>0</v>
      </c>
      <c r="BE326" s="164" t="s">
        <v>0</v>
      </c>
      <c r="BF326" s="164" t="s">
        <v>0</v>
      </c>
      <c r="BG326" s="164" t="s">
        <v>0</v>
      </c>
      <c r="BH326" s="164" t="s">
        <v>0</v>
      </c>
      <c r="BI326" s="189"/>
      <c r="DL326">
        <f t="shared" si="1447"/>
        <v>0</v>
      </c>
      <c r="DM326">
        <f t="shared" si="1448"/>
        <v>0</v>
      </c>
      <c r="DN326">
        <f t="shared" si="1449"/>
        <v>0</v>
      </c>
      <c r="DO326">
        <f t="shared" si="1450"/>
        <v>0</v>
      </c>
      <c r="DP326">
        <f t="shared" si="1451"/>
        <v>0</v>
      </c>
      <c r="DQ326">
        <f t="shared" si="1452"/>
        <v>0</v>
      </c>
      <c r="DR326">
        <f t="shared" si="1453"/>
        <v>0</v>
      </c>
      <c r="DS326">
        <f t="shared" si="1454"/>
        <v>0</v>
      </c>
      <c r="DT326">
        <f t="shared" si="1455"/>
        <v>0</v>
      </c>
      <c r="DU326">
        <f t="shared" si="1456"/>
        <v>0</v>
      </c>
      <c r="DV326">
        <f t="shared" si="1457"/>
        <v>0</v>
      </c>
      <c r="DW326">
        <f t="shared" si="1458"/>
        <v>0</v>
      </c>
    </row>
    <row r="327" spans="1:127" x14ac:dyDescent="0.25">
      <c r="A327" s="22">
        <f>+A326+1</f>
        <v>321</v>
      </c>
      <c r="B327" s="59" t="str">
        <f>IF(F327=$F$7,G328,B326)</f>
        <v>F0014826703</v>
      </c>
      <c r="C327" s="214" t="e">
        <f>IF(F327=$F$7,#REF!,C326)</f>
        <v>#REF!</v>
      </c>
      <c r="D327" s="58" t="e">
        <f>VLOOKUP(B327,'Timing Table'!B:G,6,0)</f>
        <v>#N/A</v>
      </c>
      <c r="E327" s="22" t="e">
        <f>VLOOKUP(B327,'Timing Table'!B:D,3,0)</f>
        <v>#N/A</v>
      </c>
      <c r="F327" s="155" t="s">
        <v>61</v>
      </c>
      <c r="G327" s="181">
        <v>5501017967</v>
      </c>
      <c r="H327" s="155" t="s">
        <v>62</v>
      </c>
      <c r="I327" s="181">
        <v>91</v>
      </c>
      <c r="J327" s="155" t="s">
        <v>63</v>
      </c>
      <c r="K327" s="160">
        <v>1177754</v>
      </c>
      <c r="L327" s="161"/>
      <c r="M327" s="190" t="s">
        <v>64</v>
      </c>
      <c r="N327" s="191"/>
      <c r="O327" s="192">
        <v>46086</v>
      </c>
      <c r="P327" s="155" t="s">
        <v>65</v>
      </c>
      <c r="Q327" s="181">
        <v>4</v>
      </c>
      <c r="R327" s="6" t="s">
        <v>0</v>
      </c>
      <c r="S327" s="7" t="s">
        <v>0</v>
      </c>
      <c r="T327" s="7" t="s">
        <v>0</v>
      </c>
      <c r="U327" s="7" t="s">
        <v>0</v>
      </c>
      <c r="V327" s="7" t="s">
        <v>0</v>
      </c>
      <c r="W327" s="7" t="s">
        <v>0</v>
      </c>
      <c r="X327" s="7" t="s">
        <v>0</v>
      </c>
      <c r="Y327" s="7" t="s">
        <v>0</v>
      </c>
      <c r="Z327" s="7" t="s">
        <v>0</v>
      </c>
      <c r="AA327" s="7" t="s">
        <v>0</v>
      </c>
      <c r="AB327" s="7" t="s">
        <v>0</v>
      </c>
      <c r="AC327" s="7" t="s">
        <v>0</v>
      </c>
      <c r="AD327" s="7" t="s">
        <v>0</v>
      </c>
      <c r="AE327" s="7" t="s">
        <v>0</v>
      </c>
      <c r="AF327" s="7" t="s">
        <v>0</v>
      </c>
      <c r="AG327" s="7" t="s">
        <v>0</v>
      </c>
      <c r="AH327" s="7" t="s">
        <v>0</v>
      </c>
      <c r="AI327" s="7" t="s">
        <v>0</v>
      </c>
      <c r="AJ327" s="7" t="s">
        <v>0</v>
      </c>
      <c r="AK327" s="7" t="s">
        <v>0</v>
      </c>
      <c r="AL327" s="7" t="s">
        <v>0</v>
      </c>
      <c r="AM327" s="7" t="s">
        <v>0</v>
      </c>
      <c r="AN327" s="7" t="s">
        <v>0</v>
      </c>
      <c r="AO327" s="7" t="s">
        <v>0</v>
      </c>
      <c r="AP327" s="7" t="s">
        <v>0</v>
      </c>
      <c r="AQ327" s="7" t="s">
        <v>0</v>
      </c>
      <c r="AR327" s="7" t="s">
        <v>0</v>
      </c>
      <c r="AS327" s="7" t="s">
        <v>0</v>
      </c>
      <c r="AT327" s="7" t="s">
        <v>0</v>
      </c>
      <c r="AU327" s="7" t="s">
        <v>0</v>
      </c>
      <c r="AV327" s="7" t="s">
        <v>0</v>
      </c>
      <c r="AW327" s="7" t="s">
        <v>0</v>
      </c>
      <c r="AX327" s="7" t="s">
        <v>0</v>
      </c>
      <c r="AY327" s="7" t="s">
        <v>0</v>
      </c>
      <c r="AZ327" s="7" t="s">
        <v>0</v>
      </c>
      <c r="BA327" s="7" t="s">
        <v>0</v>
      </c>
      <c r="BB327" s="7" t="s">
        <v>0</v>
      </c>
      <c r="BC327" s="7" t="s">
        <v>0</v>
      </c>
      <c r="BD327" s="7" t="s">
        <v>0</v>
      </c>
      <c r="BE327" s="7" t="s">
        <v>0</v>
      </c>
      <c r="BF327" s="7" t="s">
        <v>0</v>
      </c>
      <c r="BG327" s="7" t="s">
        <v>0</v>
      </c>
      <c r="BH327" s="7" t="s">
        <v>0</v>
      </c>
      <c r="BI327" s="8"/>
      <c r="DL327">
        <f t="shared" si="1447"/>
        <v>0</v>
      </c>
      <c r="DM327">
        <f t="shared" si="1448"/>
        <v>0</v>
      </c>
      <c r="DN327">
        <f t="shared" si="1449"/>
        <v>0</v>
      </c>
      <c r="DO327">
        <f t="shared" si="1450"/>
        <v>0</v>
      </c>
      <c r="DP327">
        <f t="shared" si="1451"/>
        <v>0</v>
      </c>
      <c r="DQ327">
        <f t="shared" si="1452"/>
        <v>0</v>
      </c>
      <c r="DR327">
        <f t="shared" si="1453"/>
        <v>0</v>
      </c>
      <c r="DS327">
        <f t="shared" si="1454"/>
        <v>0</v>
      </c>
      <c r="DT327">
        <f t="shared" si="1455"/>
        <v>0</v>
      </c>
      <c r="DU327">
        <f t="shared" si="1456"/>
        <v>0</v>
      </c>
      <c r="DV327">
        <f t="shared" si="1457"/>
        <v>0</v>
      </c>
      <c r="DW327">
        <f t="shared" si="1458"/>
        <v>0</v>
      </c>
    </row>
    <row r="328" spans="1:127" x14ac:dyDescent="0.25">
      <c r="A328" s="22">
        <f t="shared" ref="A328" si="1771">+A327+1</f>
        <v>322</v>
      </c>
      <c r="B328" s="59" t="str">
        <f>IF(F328=$F$7,#REF!,B327)</f>
        <v>F0014826703</v>
      </c>
      <c r="C328" s="214" t="e">
        <f>IF(F328=$F$7,#REF!,C327)</f>
        <v>#REF!</v>
      </c>
      <c r="D328" s="58" t="e">
        <f>VLOOKUP(B328,'Timing Table'!B:G,6,0)</f>
        <v>#N/A</v>
      </c>
      <c r="E328" s="22" t="e">
        <f>VLOOKUP(B328,'Timing Table'!B:D,3,0)</f>
        <v>#N/A</v>
      </c>
      <c r="F328" s="155" t="s">
        <v>66</v>
      </c>
      <c r="G328" s="181" t="s">
        <v>368</v>
      </c>
      <c r="H328" s="155" t="s">
        <v>67</v>
      </c>
      <c r="I328" s="182" t="s">
        <v>369</v>
      </c>
      <c r="J328" s="183"/>
      <c r="K328" s="183"/>
      <c r="L328" s="161"/>
      <c r="M328" s="155" t="s">
        <v>68</v>
      </c>
      <c r="N328" s="181">
        <v>2025</v>
      </c>
      <c r="O328" s="184" t="s">
        <v>69</v>
      </c>
      <c r="P328" s="185"/>
      <c r="Q328" s="193" t="s">
        <v>342</v>
      </c>
      <c r="R328" s="156" t="s">
        <v>0</v>
      </c>
      <c r="S328" s="157"/>
      <c r="T328" s="157"/>
      <c r="U328" s="157" t="s">
        <v>0</v>
      </c>
      <c r="V328" s="157" t="s">
        <v>0</v>
      </c>
      <c r="W328" s="157" t="s">
        <v>0</v>
      </c>
      <c r="X328" s="157" t="s">
        <v>0</v>
      </c>
      <c r="Y328" s="157" t="s">
        <v>0</v>
      </c>
      <c r="Z328" s="157" t="s">
        <v>0</v>
      </c>
      <c r="AA328" s="157" t="s">
        <v>0</v>
      </c>
      <c r="AB328" s="157" t="s">
        <v>0</v>
      </c>
      <c r="AC328" s="157" t="s">
        <v>0</v>
      </c>
      <c r="AD328" s="157" t="s">
        <v>0</v>
      </c>
      <c r="AE328" s="157" t="s">
        <v>0</v>
      </c>
      <c r="AF328" s="157" t="s">
        <v>0</v>
      </c>
      <c r="AG328" s="157" t="s">
        <v>0</v>
      </c>
      <c r="AH328" s="157" t="s">
        <v>0</v>
      </c>
      <c r="AI328" s="157" t="s">
        <v>0</v>
      </c>
      <c r="AJ328" s="157" t="s">
        <v>0</v>
      </c>
      <c r="AK328" s="157" t="s">
        <v>0</v>
      </c>
      <c r="AL328" s="157" t="s">
        <v>0</v>
      </c>
      <c r="AM328" s="157" t="s">
        <v>0</v>
      </c>
      <c r="AN328" s="157" t="s">
        <v>0</v>
      </c>
      <c r="AO328" s="157" t="s">
        <v>0</v>
      </c>
      <c r="AP328" s="157" t="s">
        <v>0</v>
      </c>
      <c r="AQ328" s="157" t="s">
        <v>0</v>
      </c>
      <c r="AR328" s="157" t="s">
        <v>0</v>
      </c>
      <c r="AS328" s="157" t="s">
        <v>0</v>
      </c>
      <c r="AT328" s="157" t="s">
        <v>0</v>
      </c>
      <c r="AU328" s="157" t="s">
        <v>0</v>
      </c>
      <c r="AV328" s="157" t="s">
        <v>0</v>
      </c>
      <c r="AW328" s="157" t="s">
        <v>0</v>
      </c>
      <c r="AX328" s="157" t="s">
        <v>0</v>
      </c>
      <c r="AY328" s="157" t="s">
        <v>0</v>
      </c>
      <c r="AZ328" s="157" t="s">
        <v>0</v>
      </c>
      <c r="BA328" s="157" t="s">
        <v>0</v>
      </c>
      <c r="BB328" s="157" t="s">
        <v>0</v>
      </c>
      <c r="BC328" s="157" t="s">
        <v>0</v>
      </c>
      <c r="BD328" s="157" t="s">
        <v>0</v>
      </c>
      <c r="BE328" s="157" t="s">
        <v>0</v>
      </c>
      <c r="BF328" s="157" t="s">
        <v>0</v>
      </c>
      <c r="BG328" s="157" t="s">
        <v>0</v>
      </c>
      <c r="BH328" s="157" t="s">
        <v>0</v>
      </c>
      <c r="BI328" s="158"/>
      <c r="DL328">
        <f t="shared" si="1447"/>
        <v>0</v>
      </c>
      <c r="DM328">
        <f t="shared" si="1448"/>
        <v>0</v>
      </c>
      <c r="DN328">
        <f t="shared" si="1449"/>
        <v>0</v>
      </c>
      <c r="DO328">
        <f t="shared" si="1450"/>
        <v>0</v>
      </c>
      <c r="DP328">
        <f t="shared" si="1451"/>
        <v>0</v>
      </c>
      <c r="DQ328">
        <f t="shared" si="1452"/>
        <v>0</v>
      </c>
      <c r="DR328">
        <f t="shared" si="1453"/>
        <v>0</v>
      </c>
      <c r="DS328">
        <f t="shared" si="1454"/>
        <v>0</v>
      </c>
      <c r="DT328">
        <f t="shared" si="1455"/>
        <v>0</v>
      </c>
      <c r="DU328">
        <f t="shared" si="1456"/>
        <v>0</v>
      </c>
      <c r="DV328">
        <f t="shared" si="1457"/>
        <v>0</v>
      </c>
      <c r="DW328">
        <f t="shared" si="1458"/>
        <v>0</v>
      </c>
    </row>
    <row r="329" spans="1:127" x14ac:dyDescent="0.25">
      <c r="A329" s="22" t="e">
        <f>+#REF!+1</f>
        <v>#REF!</v>
      </c>
      <c r="B329" s="59" t="e">
        <f>IF(F329=$F$7,#REF!,#REF!)</f>
        <v>#REF!</v>
      </c>
      <c r="C329" s="214" t="e">
        <f>IF(F329=$F$7,#REF!,#REF!)</f>
        <v>#REF!</v>
      </c>
      <c r="D329" s="58" t="e">
        <f>VLOOKUP(B329,'Timing Table'!B:G,6,0)</f>
        <v>#REF!</v>
      </c>
      <c r="E329" s="22" t="e">
        <f>VLOOKUP(B329,'Timing Table'!B:D,3,0)</f>
        <v>#REF!</v>
      </c>
      <c r="F329" s="155" t="s">
        <v>70</v>
      </c>
      <c r="G329" s="181" t="s">
        <v>370</v>
      </c>
      <c r="H329" s="155" t="s">
        <v>71</v>
      </c>
      <c r="I329" s="182" t="s">
        <v>60</v>
      </c>
      <c r="J329" s="161" t="s">
        <v>0</v>
      </c>
      <c r="K329" s="194" t="s">
        <v>0</v>
      </c>
      <c r="L329" s="195" t="s">
        <v>0</v>
      </c>
      <c r="M329" s="179" t="s">
        <v>0</v>
      </c>
      <c r="N329" s="179" t="s">
        <v>0</v>
      </c>
      <c r="O329" s="179" t="s">
        <v>0</v>
      </c>
      <c r="P329" s="179" t="s">
        <v>0</v>
      </c>
      <c r="Q329" s="179" t="s">
        <v>1</v>
      </c>
      <c r="R329" s="179" t="s">
        <v>2</v>
      </c>
      <c r="S329" s="179" t="s">
        <v>0</v>
      </c>
      <c r="T329" s="179" t="s">
        <v>0</v>
      </c>
      <c r="U329" s="179" t="s">
        <v>0</v>
      </c>
      <c r="V329" s="179" t="s">
        <v>0</v>
      </c>
      <c r="W329" s="179" t="s">
        <v>0</v>
      </c>
      <c r="X329" s="179" t="s">
        <v>0</v>
      </c>
      <c r="Y329" s="179" t="s">
        <v>0</v>
      </c>
      <c r="Z329" s="179" t="s">
        <v>3</v>
      </c>
      <c r="AA329" s="179" t="s">
        <v>0</v>
      </c>
      <c r="AB329" s="179" t="s">
        <v>0</v>
      </c>
      <c r="AC329" s="179" t="s">
        <v>0</v>
      </c>
      <c r="AD329" s="179" t="s">
        <v>0</v>
      </c>
      <c r="AE329" s="179" t="s">
        <v>0</v>
      </c>
      <c r="AF329" s="179" t="s">
        <v>0</v>
      </c>
      <c r="AG329" s="179" t="s">
        <v>0</v>
      </c>
      <c r="AH329" s="179" t="s">
        <v>0</v>
      </c>
      <c r="AI329" s="179" t="s">
        <v>0</v>
      </c>
      <c r="AJ329" s="179" t="s">
        <v>0</v>
      </c>
      <c r="AK329" s="179" t="s">
        <v>0</v>
      </c>
      <c r="AL329" s="179" t="s">
        <v>0</v>
      </c>
      <c r="AM329" s="179" t="s">
        <v>0</v>
      </c>
      <c r="AN329" s="179" t="s">
        <v>0</v>
      </c>
      <c r="AO329" s="179" t="s">
        <v>0</v>
      </c>
      <c r="AP329" s="179" t="s">
        <v>0</v>
      </c>
      <c r="AQ329" s="179" t="s">
        <v>0</v>
      </c>
      <c r="AR329" s="179" t="s">
        <v>0</v>
      </c>
      <c r="AS329" s="179" t="s">
        <v>0</v>
      </c>
      <c r="AT329" s="179" t="s">
        <v>0</v>
      </c>
      <c r="AU329" s="179" t="s">
        <v>0</v>
      </c>
      <c r="AV329" s="179" t="s">
        <v>0</v>
      </c>
      <c r="AW329" s="179" t="s">
        <v>0</v>
      </c>
      <c r="AX329" s="179" t="s">
        <v>0</v>
      </c>
      <c r="AY329" s="179" t="s">
        <v>0</v>
      </c>
      <c r="AZ329" s="179" t="s">
        <v>0</v>
      </c>
      <c r="BA329" s="179" t="s">
        <v>0</v>
      </c>
      <c r="BB329" s="179" t="s">
        <v>0</v>
      </c>
      <c r="BC329" s="179" t="s">
        <v>0</v>
      </c>
      <c r="BD329" s="179" t="s">
        <v>0</v>
      </c>
      <c r="BE329" s="179" t="s">
        <v>0</v>
      </c>
      <c r="BF329" s="179" t="s">
        <v>0</v>
      </c>
      <c r="BG329" s="179" t="s">
        <v>0</v>
      </c>
      <c r="BH329" s="179" t="s">
        <v>0</v>
      </c>
      <c r="BI329" s="180" t="s">
        <v>4</v>
      </c>
      <c r="DL329">
        <f t="shared" si="1447"/>
        <v>0</v>
      </c>
      <c r="DM329">
        <f t="shared" si="1448"/>
        <v>0</v>
      </c>
      <c r="DN329">
        <f t="shared" si="1449"/>
        <v>0</v>
      </c>
      <c r="DO329">
        <f t="shared" si="1450"/>
        <v>0</v>
      </c>
      <c r="DP329">
        <f t="shared" si="1451"/>
        <v>0</v>
      </c>
      <c r="DQ329">
        <f t="shared" si="1452"/>
        <v>0</v>
      </c>
      <c r="DR329">
        <f t="shared" si="1453"/>
        <v>0</v>
      </c>
      <c r="DS329">
        <f t="shared" si="1454"/>
        <v>0</v>
      </c>
      <c r="DT329">
        <f t="shared" si="1455"/>
        <v>0</v>
      </c>
      <c r="DU329">
        <f t="shared" si="1456"/>
        <v>0</v>
      </c>
      <c r="DV329">
        <f t="shared" si="1457"/>
        <v>0</v>
      </c>
      <c r="DW329">
        <f t="shared" si="1458"/>
        <v>0</v>
      </c>
    </row>
    <row r="330" spans="1:127" x14ac:dyDescent="0.25">
      <c r="F330" s="155" t="s">
        <v>72</v>
      </c>
      <c r="G330" s="181">
        <v>2236</v>
      </c>
      <c r="H330" s="196" t="s">
        <v>414</v>
      </c>
      <c r="I330" s="197" t="s">
        <v>73</v>
      </c>
      <c r="J330" s="13">
        <v>46041</v>
      </c>
      <c r="K330" s="14">
        <v>46048</v>
      </c>
      <c r="L330" s="14">
        <v>46055</v>
      </c>
      <c r="M330" s="14">
        <v>46062</v>
      </c>
      <c r="N330" s="14">
        <v>46069</v>
      </c>
      <c r="O330" s="14">
        <v>46076</v>
      </c>
      <c r="P330" s="14">
        <v>46083</v>
      </c>
      <c r="Q330" s="14">
        <v>46090</v>
      </c>
      <c r="R330" s="14">
        <v>46097</v>
      </c>
      <c r="S330" s="14">
        <v>46104</v>
      </c>
      <c r="T330" s="14">
        <v>46111</v>
      </c>
      <c r="U330" s="14">
        <v>46118</v>
      </c>
      <c r="V330" s="14">
        <v>46125</v>
      </c>
      <c r="W330" s="14">
        <v>46132</v>
      </c>
      <c r="X330" s="14">
        <v>46139</v>
      </c>
      <c r="Y330" s="14">
        <v>46146</v>
      </c>
      <c r="Z330" s="14">
        <v>46153</v>
      </c>
      <c r="AA330" s="14">
        <v>46160</v>
      </c>
      <c r="AB330" s="14">
        <v>46167</v>
      </c>
      <c r="AC330" s="14">
        <v>46174</v>
      </c>
      <c r="AD330" s="14">
        <v>46181</v>
      </c>
      <c r="AE330" s="14">
        <v>46188</v>
      </c>
      <c r="AF330" s="14">
        <v>46195</v>
      </c>
      <c r="AG330" s="14">
        <v>46202</v>
      </c>
      <c r="AH330" s="14">
        <v>46209</v>
      </c>
      <c r="AI330" s="14">
        <v>46216</v>
      </c>
      <c r="AJ330" s="14">
        <v>46223</v>
      </c>
      <c r="AK330" s="14">
        <v>46230</v>
      </c>
      <c r="AL330" s="14">
        <v>46237</v>
      </c>
      <c r="AM330" s="14">
        <v>46244</v>
      </c>
      <c r="AN330" s="14">
        <v>46251</v>
      </c>
      <c r="AO330" s="14">
        <v>46258</v>
      </c>
      <c r="AP330" s="14">
        <v>46265</v>
      </c>
      <c r="AQ330" s="14">
        <v>46272</v>
      </c>
      <c r="AR330" s="14">
        <v>46279</v>
      </c>
      <c r="AS330" s="14">
        <v>46286</v>
      </c>
      <c r="AT330" s="14">
        <v>46293</v>
      </c>
      <c r="AU330" s="14">
        <v>46300</v>
      </c>
      <c r="AV330" s="14">
        <v>46307</v>
      </c>
      <c r="AW330" s="14">
        <v>46314</v>
      </c>
      <c r="AX330" s="14">
        <v>46321</v>
      </c>
      <c r="AY330" s="14">
        <v>46328</v>
      </c>
      <c r="AZ330" s="14">
        <v>46335</v>
      </c>
      <c r="BA330" s="14">
        <v>46342</v>
      </c>
      <c r="BB330" s="14">
        <v>46349</v>
      </c>
      <c r="BC330" s="14">
        <v>46356</v>
      </c>
      <c r="BD330" s="14">
        <v>46363</v>
      </c>
      <c r="BE330" s="14">
        <v>46370</v>
      </c>
      <c r="BF330" s="14">
        <v>46377</v>
      </c>
      <c r="BG330" s="14">
        <v>46384</v>
      </c>
      <c r="BH330" s="14">
        <v>46391</v>
      </c>
      <c r="BI330" s="15">
        <v>46398</v>
      </c>
      <c r="DL330">
        <f t="shared" si="1447"/>
        <v>0</v>
      </c>
      <c r="DM330">
        <f t="shared" si="1448"/>
        <v>0</v>
      </c>
      <c r="DN330">
        <f t="shared" si="1449"/>
        <v>0</v>
      </c>
      <c r="DO330">
        <f t="shared" si="1450"/>
        <v>0</v>
      </c>
      <c r="DP330">
        <f t="shared" si="1451"/>
        <v>0</v>
      </c>
      <c r="DQ330">
        <f t="shared" si="1452"/>
        <v>0</v>
      </c>
      <c r="DR330">
        <f t="shared" si="1453"/>
        <v>0</v>
      </c>
      <c r="DS330">
        <f t="shared" si="1454"/>
        <v>0</v>
      </c>
      <c r="DT330">
        <f t="shared" si="1455"/>
        <v>0</v>
      </c>
      <c r="DU330">
        <f t="shared" si="1456"/>
        <v>0</v>
      </c>
      <c r="DV330">
        <f t="shared" si="1457"/>
        <v>0</v>
      </c>
      <c r="DW330">
        <f t="shared" si="1458"/>
        <v>0</v>
      </c>
    </row>
    <row r="331" spans="1:127" x14ac:dyDescent="0.25">
      <c r="F331" s="155" t="s">
        <v>74</v>
      </c>
      <c r="G331" s="181">
        <v>2452</v>
      </c>
      <c r="H331" s="5" t="s">
        <v>60</v>
      </c>
      <c r="I331" s="11" t="s">
        <v>147</v>
      </c>
      <c r="J331" s="16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17"/>
      <c r="DL331">
        <f t="shared" si="1447"/>
        <v>0</v>
      </c>
      <c r="DM331">
        <f t="shared" si="1448"/>
        <v>0</v>
      </c>
      <c r="DN331">
        <f t="shared" si="1449"/>
        <v>0</v>
      </c>
      <c r="DO331">
        <f t="shared" si="1450"/>
        <v>0</v>
      </c>
      <c r="DP331">
        <f t="shared" si="1451"/>
        <v>0</v>
      </c>
      <c r="DQ331">
        <f t="shared" si="1452"/>
        <v>0</v>
      </c>
      <c r="DR331">
        <f t="shared" si="1453"/>
        <v>0</v>
      </c>
      <c r="DS331">
        <f t="shared" si="1454"/>
        <v>0</v>
      </c>
      <c r="DT331">
        <f t="shared" si="1455"/>
        <v>0</v>
      </c>
      <c r="DU331">
        <f t="shared" si="1456"/>
        <v>0</v>
      </c>
      <c r="DV331">
        <f t="shared" si="1457"/>
        <v>0</v>
      </c>
      <c r="DW331">
        <f t="shared" si="1458"/>
        <v>0</v>
      </c>
    </row>
    <row r="332" spans="1:127" x14ac:dyDescent="0.25">
      <c r="F332" s="155" t="s">
        <v>75</v>
      </c>
      <c r="G332" s="198" t="s">
        <v>257</v>
      </c>
      <c r="H332" s="9" t="s">
        <v>227</v>
      </c>
      <c r="I332" s="11" t="s">
        <v>76</v>
      </c>
      <c r="J332" s="143">
        <v>132</v>
      </c>
      <c r="K332" s="64">
        <v>32</v>
      </c>
      <c r="L332" s="64">
        <v>28</v>
      </c>
      <c r="M332" s="64">
        <v>44</v>
      </c>
      <c r="N332" s="64">
        <v>84</v>
      </c>
      <c r="O332" s="64">
        <v>76</v>
      </c>
      <c r="P332" s="64">
        <v>56</v>
      </c>
      <c r="Q332" s="64">
        <v>72</v>
      </c>
      <c r="R332" s="64">
        <v>0</v>
      </c>
      <c r="S332" s="64">
        <v>16</v>
      </c>
      <c r="T332" s="64">
        <v>32</v>
      </c>
      <c r="U332" s="64">
        <v>36</v>
      </c>
      <c r="V332" s="64">
        <v>32</v>
      </c>
      <c r="W332" s="64">
        <v>28</v>
      </c>
      <c r="X332" s="64">
        <v>8</v>
      </c>
      <c r="Y332" s="64">
        <v>36</v>
      </c>
      <c r="Z332" s="64">
        <v>28</v>
      </c>
      <c r="AA332" s="64">
        <v>40</v>
      </c>
      <c r="AB332" s="64">
        <v>40</v>
      </c>
      <c r="AC332" s="64">
        <v>40</v>
      </c>
      <c r="AD332" s="64">
        <v>28</v>
      </c>
      <c r="AE332" s="64">
        <v>40</v>
      </c>
      <c r="AF332" s="64">
        <v>44</v>
      </c>
      <c r="AG332" s="64">
        <v>32</v>
      </c>
      <c r="AH332" s="64">
        <v>20</v>
      </c>
      <c r="AI332" s="64">
        <v>32</v>
      </c>
      <c r="AJ332" s="64">
        <v>40</v>
      </c>
      <c r="AK332" s="64">
        <v>44</v>
      </c>
      <c r="AL332" s="64">
        <v>60</v>
      </c>
      <c r="AM332" s="64">
        <v>36</v>
      </c>
      <c r="AN332" s="64">
        <v>40</v>
      </c>
      <c r="AO332" s="64">
        <v>40</v>
      </c>
      <c r="AP332" s="64">
        <v>40</v>
      </c>
      <c r="AQ332" s="64">
        <v>40</v>
      </c>
      <c r="AR332" s="64">
        <v>40</v>
      </c>
      <c r="AS332" s="64">
        <v>40</v>
      </c>
      <c r="AT332" s="64">
        <v>40</v>
      </c>
      <c r="AU332" s="64">
        <v>40</v>
      </c>
      <c r="AV332" s="64">
        <v>40</v>
      </c>
      <c r="AW332" s="64">
        <v>40</v>
      </c>
      <c r="AX332" s="64">
        <v>40</v>
      </c>
      <c r="AY332" s="64">
        <v>40</v>
      </c>
      <c r="AZ332" s="64">
        <v>40</v>
      </c>
      <c r="BA332" s="64">
        <v>40</v>
      </c>
      <c r="BB332" s="64">
        <v>40</v>
      </c>
      <c r="BC332" s="64">
        <v>40</v>
      </c>
      <c r="BD332" s="64">
        <v>40</v>
      </c>
      <c r="BE332" s="64">
        <v>40</v>
      </c>
      <c r="BF332" s="64">
        <v>40</v>
      </c>
      <c r="BG332" s="64">
        <v>40</v>
      </c>
      <c r="BH332" s="64">
        <v>40</v>
      </c>
      <c r="BI332" s="144">
        <v>40</v>
      </c>
      <c r="BJ332" s="24" t="str">
        <f>+G329</f>
        <v>82115-0E521 B</v>
      </c>
      <c r="BK332" s="24">
        <f>+J332</f>
        <v>132</v>
      </c>
      <c r="BL332" s="24">
        <f t="shared" ref="BL332" si="1772">+K332</f>
        <v>32</v>
      </c>
      <c r="BM332" s="24">
        <f t="shared" ref="BM332" si="1773">+L332</f>
        <v>28</v>
      </c>
      <c r="BN332" s="24">
        <f t="shared" ref="BN332" si="1774">+M332</f>
        <v>44</v>
      </c>
      <c r="BO332" s="24">
        <f t="shared" ref="BO332" si="1775">+N332</f>
        <v>84</v>
      </c>
      <c r="BP332" s="24">
        <f t="shared" ref="BP332" si="1776">+O332</f>
        <v>76</v>
      </c>
      <c r="BQ332" s="24">
        <f t="shared" ref="BQ332" si="1777">+P332</f>
        <v>56</v>
      </c>
      <c r="BR332" s="24">
        <f t="shared" ref="BR332" si="1778">+Q332</f>
        <v>72</v>
      </c>
      <c r="BS332" s="24">
        <f t="shared" ref="BS332" si="1779">+R332</f>
        <v>0</v>
      </c>
      <c r="BT332" s="24">
        <f t="shared" ref="BT332" si="1780">+S332</f>
        <v>16</v>
      </c>
      <c r="BU332" s="24">
        <f t="shared" ref="BU332" si="1781">+T332</f>
        <v>32</v>
      </c>
      <c r="BV332" s="24">
        <f t="shared" ref="BV332" si="1782">+U332</f>
        <v>36</v>
      </c>
      <c r="BW332" s="24">
        <f t="shared" ref="BW332" si="1783">+V332</f>
        <v>32</v>
      </c>
      <c r="BX332" s="24">
        <f t="shared" ref="BX332" si="1784">+W332</f>
        <v>28</v>
      </c>
      <c r="BY332" s="24">
        <f t="shared" ref="BY332" si="1785">+X332</f>
        <v>8</v>
      </c>
      <c r="BZ332" s="24">
        <f t="shared" ref="BZ332" si="1786">+Y332</f>
        <v>36</v>
      </c>
      <c r="CA332" s="24">
        <f t="shared" ref="CA332" si="1787">+Z332</f>
        <v>28</v>
      </c>
      <c r="CB332" s="24">
        <f t="shared" ref="CB332" si="1788">+AA332</f>
        <v>40</v>
      </c>
      <c r="CC332" s="24">
        <f t="shared" ref="CC332" si="1789">+AB332</f>
        <v>40</v>
      </c>
      <c r="CD332" s="24">
        <f t="shared" ref="CD332" si="1790">+AC332</f>
        <v>40</v>
      </c>
      <c r="CE332" s="24">
        <f t="shared" ref="CE332" si="1791">+AD332</f>
        <v>28</v>
      </c>
      <c r="CF332" s="24">
        <f t="shared" ref="CF332" si="1792">+AE332</f>
        <v>40</v>
      </c>
      <c r="CG332" s="24">
        <f t="shared" ref="CG332" si="1793">+AF332</f>
        <v>44</v>
      </c>
      <c r="CH332" s="24">
        <f t="shared" ref="CH332" si="1794">+AG332</f>
        <v>32</v>
      </c>
      <c r="CI332" s="24">
        <f t="shared" ref="CI332" si="1795">+AH332</f>
        <v>20</v>
      </c>
      <c r="CJ332" s="24">
        <f t="shared" ref="CJ332" si="1796">+AI332</f>
        <v>32</v>
      </c>
      <c r="CK332" s="24">
        <f t="shared" ref="CK332" si="1797">+AJ332</f>
        <v>40</v>
      </c>
      <c r="CL332" s="24">
        <f t="shared" ref="CL332" si="1798">+AK332</f>
        <v>44</v>
      </c>
      <c r="CM332" s="24">
        <f t="shared" ref="CM332" si="1799">+AL332</f>
        <v>60</v>
      </c>
      <c r="CN332" s="24">
        <f t="shared" ref="CN332" si="1800">+AM332</f>
        <v>36</v>
      </c>
      <c r="CO332" s="24">
        <f t="shared" ref="CO332" si="1801">+AN332</f>
        <v>40</v>
      </c>
      <c r="CP332" s="166">
        <f t="shared" ref="CP332" si="1802">+AO332</f>
        <v>40</v>
      </c>
      <c r="CQ332" s="166">
        <f t="shared" ref="CQ332" si="1803">+AP332</f>
        <v>40</v>
      </c>
      <c r="CR332">
        <f t="shared" ref="CR332" si="1804">+AQ332</f>
        <v>40</v>
      </c>
      <c r="CS332">
        <f t="shared" ref="CS332" si="1805">+AR332</f>
        <v>40</v>
      </c>
      <c r="CT332">
        <f t="shared" ref="CT332" si="1806">+AS332</f>
        <v>40</v>
      </c>
      <c r="CU332">
        <f t="shared" ref="CU332" si="1807">+AT332</f>
        <v>40</v>
      </c>
      <c r="CV332">
        <f t="shared" ref="CV332" si="1808">+AU332</f>
        <v>40</v>
      </c>
      <c r="CW332">
        <f t="shared" ref="CW332" si="1809">+AV332</f>
        <v>40</v>
      </c>
      <c r="CX332">
        <f t="shared" ref="CX332" si="1810">+AW332</f>
        <v>40</v>
      </c>
      <c r="CY332">
        <f t="shared" ref="CY332" si="1811">+AX332</f>
        <v>40</v>
      </c>
      <c r="CZ332">
        <f t="shared" ref="CZ332" si="1812">+AY332</f>
        <v>40</v>
      </c>
      <c r="DA332">
        <f t="shared" ref="DA332" si="1813">+AZ332</f>
        <v>40</v>
      </c>
      <c r="DB332">
        <f t="shared" ref="DB332" si="1814">+BA332</f>
        <v>40</v>
      </c>
      <c r="DC332">
        <f t="shared" ref="DC332" si="1815">+BB332</f>
        <v>40</v>
      </c>
      <c r="DD332">
        <f t="shared" ref="DD332" si="1816">+BC332</f>
        <v>40</v>
      </c>
      <c r="DE332">
        <f t="shared" ref="DE332" si="1817">+BD332</f>
        <v>40</v>
      </c>
      <c r="DF332">
        <f t="shared" ref="DF332" si="1818">+BE332</f>
        <v>40</v>
      </c>
      <c r="DG332">
        <f t="shared" ref="DG332" si="1819">+BF332</f>
        <v>40</v>
      </c>
      <c r="DH332">
        <f t="shared" ref="DH332" si="1820">+BG332</f>
        <v>40</v>
      </c>
      <c r="DI332">
        <f t="shared" ref="DI332" si="1821">+BH332</f>
        <v>40</v>
      </c>
      <c r="DJ332">
        <f t="shared" ref="DJ332" si="1822">+BI332</f>
        <v>40</v>
      </c>
      <c r="DL332" s="24">
        <f t="shared" si="1447"/>
        <v>164</v>
      </c>
      <c r="DM332" s="24">
        <f t="shared" si="1448"/>
        <v>232</v>
      </c>
      <c r="DN332" s="24">
        <f t="shared" si="1449"/>
        <v>144</v>
      </c>
      <c r="DO332" s="24">
        <f t="shared" si="1450"/>
        <v>136</v>
      </c>
      <c r="DP332" s="24">
        <f t="shared" si="1451"/>
        <v>144</v>
      </c>
      <c r="DQ332" s="24">
        <f t="shared" si="1452"/>
        <v>152</v>
      </c>
      <c r="DR332" s="24">
        <f t="shared" si="1453"/>
        <v>168</v>
      </c>
      <c r="DS332" s="24">
        <f t="shared" si="1454"/>
        <v>176</v>
      </c>
      <c r="DT332" s="24">
        <f t="shared" si="1455"/>
        <v>200</v>
      </c>
      <c r="DU332">
        <f t="shared" si="1456"/>
        <v>160</v>
      </c>
      <c r="DV332">
        <f t="shared" si="1457"/>
        <v>160</v>
      </c>
      <c r="DW332">
        <f t="shared" si="1458"/>
        <v>200</v>
      </c>
    </row>
    <row r="333" spans="1:127" x14ac:dyDescent="0.25">
      <c r="F333" s="155" t="s">
        <v>77</v>
      </c>
      <c r="G333" s="181">
        <v>82115</v>
      </c>
      <c r="H333" s="10" t="s">
        <v>227</v>
      </c>
      <c r="I333" s="12" t="s">
        <v>78</v>
      </c>
      <c r="J333" s="152">
        <v>1844</v>
      </c>
      <c r="K333" s="153">
        <v>1876</v>
      </c>
      <c r="L333" s="153">
        <v>1904</v>
      </c>
      <c r="M333" s="153">
        <v>1948</v>
      </c>
      <c r="N333" s="153">
        <v>2032</v>
      </c>
      <c r="O333" s="153">
        <v>2108</v>
      </c>
      <c r="P333" s="153">
        <v>2164</v>
      </c>
      <c r="Q333" s="153">
        <v>2236</v>
      </c>
      <c r="R333" s="153">
        <v>2236</v>
      </c>
      <c r="S333" s="153">
        <v>2252</v>
      </c>
      <c r="T333" s="153">
        <v>2284</v>
      </c>
      <c r="U333" s="153">
        <v>2320</v>
      </c>
      <c r="V333" s="153">
        <v>2352</v>
      </c>
      <c r="W333" s="153">
        <v>2380</v>
      </c>
      <c r="X333" s="153">
        <v>2388</v>
      </c>
      <c r="Y333" s="153">
        <v>2424</v>
      </c>
      <c r="Z333" s="153">
        <v>2452</v>
      </c>
      <c r="AA333" s="153">
        <v>2492</v>
      </c>
      <c r="AB333" s="153">
        <v>2532</v>
      </c>
      <c r="AC333" s="153">
        <v>2572</v>
      </c>
      <c r="AD333" s="153">
        <v>2600</v>
      </c>
      <c r="AE333" s="153">
        <v>2640</v>
      </c>
      <c r="AF333" s="153">
        <v>2684</v>
      </c>
      <c r="AG333" s="153">
        <v>2716</v>
      </c>
      <c r="AH333" s="153">
        <v>2736</v>
      </c>
      <c r="AI333" s="153">
        <v>2768</v>
      </c>
      <c r="AJ333" s="153">
        <v>2808</v>
      </c>
      <c r="AK333" s="153">
        <v>2852</v>
      </c>
      <c r="AL333" s="153">
        <v>2912</v>
      </c>
      <c r="AM333" s="153">
        <v>2948</v>
      </c>
      <c r="AN333" s="153">
        <v>2988</v>
      </c>
      <c r="AO333" s="153">
        <v>3028</v>
      </c>
      <c r="AP333" s="153">
        <v>3068</v>
      </c>
      <c r="AQ333" s="153">
        <v>3108</v>
      </c>
      <c r="AR333" s="153">
        <v>3148</v>
      </c>
      <c r="AS333" s="153">
        <v>3188</v>
      </c>
      <c r="AT333" s="153">
        <v>3228</v>
      </c>
      <c r="AU333" s="153">
        <v>3268</v>
      </c>
      <c r="AV333" s="153">
        <v>3308</v>
      </c>
      <c r="AW333" s="153">
        <v>3348</v>
      </c>
      <c r="AX333" s="153">
        <v>3388</v>
      </c>
      <c r="AY333" s="153">
        <v>3428</v>
      </c>
      <c r="AZ333" s="153">
        <v>3468</v>
      </c>
      <c r="BA333" s="153">
        <v>3508</v>
      </c>
      <c r="BB333" s="153">
        <v>3548</v>
      </c>
      <c r="BC333" s="153">
        <v>3588</v>
      </c>
      <c r="BD333" s="153">
        <v>3628</v>
      </c>
      <c r="BE333" s="153">
        <v>3668</v>
      </c>
      <c r="BF333" s="153">
        <v>3708</v>
      </c>
      <c r="BG333" s="153">
        <v>3748</v>
      </c>
      <c r="BH333" s="153">
        <v>3788</v>
      </c>
      <c r="BI333" s="154">
        <v>3828</v>
      </c>
      <c r="DL333">
        <f t="shared" ref="DL333:DL396" si="1823">SUM(BK333:BL333)</f>
        <v>0</v>
      </c>
      <c r="DM333">
        <f t="shared" ref="DM333:DM396" si="1824">SUM(BM333:BP333)</f>
        <v>0</v>
      </c>
      <c r="DN333">
        <f t="shared" ref="DN333:DN396" si="1825">SUM(BQ333:BT333)</f>
        <v>0</v>
      </c>
      <c r="DO333">
        <f t="shared" ref="DO333:DO396" si="1826">SUM(BU333:BY333)</f>
        <v>0</v>
      </c>
      <c r="DP333">
        <f t="shared" ref="DP333:DP396" si="1827">SUM(BZ333:CC333)</f>
        <v>0</v>
      </c>
      <c r="DQ333">
        <f t="shared" ref="DQ333:DQ396" si="1828">SUM(CD333:CG333)</f>
        <v>0</v>
      </c>
      <c r="DR333">
        <f t="shared" ref="DR333:DR396" si="1829">SUM(CH333:CL333)</f>
        <v>0</v>
      </c>
      <c r="DS333">
        <f t="shared" ref="DS333:DS396" si="1830">SUM(CM333:CP333)</f>
        <v>0</v>
      </c>
      <c r="DT333">
        <f t="shared" ref="DT333:DT396" si="1831">SUM(CQ333:CU333)</f>
        <v>0</v>
      </c>
      <c r="DU333">
        <f t="shared" ref="DU333:DU396" si="1832">SUM(CV333:CY333)</f>
        <v>0</v>
      </c>
      <c r="DV333">
        <f t="shared" ref="DV333:DV396" si="1833">SUM(CZ333:DC333)</f>
        <v>0</v>
      </c>
      <c r="DW333">
        <f t="shared" ref="DW333:DW396" si="1834">SUM(DD333:DH333)</f>
        <v>0</v>
      </c>
    </row>
    <row r="334" spans="1:127" x14ac:dyDescent="0.25">
      <c r="F334" s="155" t="s">
        <v>79</v>
      </c>
      <c r="G334" s="199">
        <v>1712</v>
      </c>
      <c r="H334" s="184" t="s">
        <v>80</v>
      </c>
      <c r="I334" s="185"/>
      <c r="J334" s="200" t="s">
        <v>504</v>
      </c>
      <c r="K334" s="156"/>
      <c r="L334" s="157" t="s">
        <v>0</v>
      </c>
      <c r="M334" s="157" t="s">
        <v>0</v>
      </c>
      <c r="N334" s="157" t="s">
        <v>0</v>
      </c>
      <c r="O334" s="157" t="s">
        <v>0</v>
      </c>
      <c r="P334" s="157" t="s">
        <v>0</v>
      </c>
      <c r="Q334" s="157">
        <v>0.2857142857142857</v>
      </c>
      <c r="R334" s="157" t="s">
        <v>0</v>
      </c>
      <c r="S334" s="157" t="s">
        <v>0</v>
      </c>
      <c r="T334" s="157" t="s">
        <v>0</v>
      </c>
      <c r="U334" s="157" t="s">
        <v>0</v>
      </c>
      <c r="V334" s="157" t="s">
        <v>0</v>
      </c>
      <c r="W334" s="157" t="s">
        <v>0</v>
      </c>
      <c r="X334" s="157" t="s">
        <v>0</v>
      </c>
      <c r="Y334" s="157" t="s">
        <v>0</v>
      </c>
      <c r="Z334" s="157" t="s">
        <v>0</v>
      </c>
      <c r="AA334" s="157" t="s">
        <v>0</v>
      </c>
      <c r="AB334" s="157" t="s">
        <v>0</v>
      </c>
      <c r="AC334" s="157" t="s">
        <v>0</v>
      </c>
      <c r="AD334" s="157" t="s">
        <v>0</v>
      </c>
      <c r="AE334" s="157" t="s">
        <v>0</v>
      </c>
      <c r="AF334" s="157" t="s">
        <v>0</v>
      </c>
      <c r="AG334" s="157" t="s">
        <v>0</v>
      </c>
      <c r="AH334" s="157" t="s">
        <v>0</v>
      </c>
      <c r="AI334" s="157" t="s">
        <v>0</v>
      </c>
      <c r="AJ334" s="157" t="s">
        <v>0</v>
      </c>
      <c r="AK334" s="157" t="s">
        <v>0</v>
      </c>
      <c r="AL334" s="157" t="s">
        <v>0</v>
      </c>
      <c r="AM334" s="157" t="s">
        <v>0</v>
      </c>
      <c r="AN334" s="157" t="s">
        <v>0</v>
      </c>
      <c r="AO334" s="157" t="s">
        <v>0</v>
      </c>
      <c r="AP334" s="157" t="s">
        <v>0</v>
      </c>
      <c r="AQ334" s="157" t="s">
        <v>0</v>
      </c>
      <c r="AR334" s="157" t="s">
        <v>0</v>
      </c>
      <c r="AS334" s="157" t="s">
        <v>0</v>
      </c>
      <c r="AT334" s="157" t="s">
        <v>0</v>
      </c>
      <c r="AU334" s="157" t="s">
        <v>0</v>
      </c>
      <c r="AV334" s="157" t="s">
        <v>0</v>
      </c>
      <c r="AW334" s="157" t="s">
        <v>0</v>
      </c>
      <c r="AX334" s="157" t="s">
        <v>0</v>
      </c>
      <c r="AY334" s="157" t="s">
        <v>0</v>
      </c>
      <c r="AZ334" s="157" t="s">
        <v>0</v>
      </c>
      <c r="BA334" s="157" t="s">
        <v>0</v>
      </c>
      <c r="BB334" s="157" t="s">
        <v>0</v>
      </c>
      <c r="BC334" s="157" t="s">
        <v>0</v>
      </c>
      <c r="BD334" s="157" t="s">
        <v>0</v>
      </c>
      <c r="BE334" s="157" t="s">
        <v>0</v>
      </c>
      <c r="BF334" s="157" t="s">
        <v>0</v>
      </c>
      <c r="BG334" s="157" t="s">
        <v>0</v>
      </c>
      <c r="BH334" s="157" t="s">
        <v>0</v>
      </c>
      <c r="BI334" s="158"/>
      <c r="DL334">
        <f t="shared" si="1823"/>
        <v>0</v>
      </c>
      <c r="DM334">
        <f t="shared" si="1824"/>
        <v>0</v>
      </c>
      <c r="DN334">
        <f t="shared" si="1825"/>
        <v>0</v>
      </c>
      <c r="DO334">
        <f t="shared" si="1826"/>
        <v>0</v>
      </c>
      <c r="DP334">
        <f t="shared" si="1827"/>
        <v>0</v>
      </c>
      <c r="DQ334">
        <f t="shared" si="1828"/>
        <v>0</v>
      </c>
      <c r="DR334">
        <f t="shared" si="1829"/>
        <v>0</v>
      </c>
      <c r="DS334">
        <f t="shared" si="1830"/>
        <v>0</v>
      </c>
      <c r="DT334">
        <f t="shared" si="1831"/>
        <v>0</v>
      </c>
      <c r="DU334">
        <f t="shared" si="1832"/>
        <v>0</v>
      </c>
      <c r="DV334">
        <f t="shared" si="1833"/>
        <v>0</v>
      </c>
      <c r="DW334">
        <f t="shared" si="1834"/>
        <v>0</v>
      </c>
    </row>
    <row r="335" spans="1:127" x14ac:dyDescent="0.25">
      <c r="F335" s="159" t="s">
        <v>81</v>
      </c>
      <c r="G335" s="160" t="s">
        <v>60</v>
      </c>
      <c r="H335" s="201" t="s">
        <v>60</v>
      </c>
      <c r="I335" s="183" t="s">
        <v>60</v>
      </c>
      <c r="J335" s="183" t="s">
        <v>0</v>
      </c>
      <c r="K335" s="183" t="s">
        <v>0</v>
      </c>
      <c r="L335" s="183" t="s">
        <v>0</v>
      </c>
      <c r="M335" s="183" t="s">
        <v>0</v>
      </c>
      <c r="N335" s="183" t="s">
        <v>0</v>
      </c>
      <c r="O335" s="183" t="s">
        <v>0</v>
      </c>
      <c r="P335" s="183" t="s">
        <v>0</v>
      </c>
      <c r="Q335" s="183" t="s">
        <v>522</v>
      </c>
      <c r="R335" s="183"/>
      <c r="S335" s="183" t="s">
        <v>0</v>
      </c>
      <c r="T335" s="183" t="s">
        <v>0</v>
      </c>
      <c r="U335" s="183" t="s">
        <v>0</v>
      </c>
      <c r="V335" s="183" t="s">
        <v>0</v>
      </c>
      <c r="W335" s="183" t="s">
        <v>0</v>
      </c>
      <c r="X335" s="183" t="s">
        <v>0</v>
      </c>
      <c r="Y335" s="183" t="s">
        <v>0</v>
      </c>
      <c r="Z335" s="183" t="s">
        <v>0</v>
      </c>
      <c r="AA335" s="183" t="s">
        <v>0</v>
      </c>
      <c r="AB335" s="183" t="s">
        <v>0</v>
      </c>
      <c r="AC335" s="183" t="s">
        <v>0</v>
      </c>
      <c r="AD335" s="183" t="s">
        <v>0</v>
      </c>
      <c r="AE335" s="183" t="s">
        <v>0</v>
      </c>
      <c r="AF335" s="183" t="s">
        <v>0</v>
      </c>
      <c r="AG335" s="183" t="s">
        <v>0</v>
      </c>
      <c r="AH335" s="183" t="s">
        <v>0</v>
      </c>
      <c r="AI335" s="183" t="s">
        <v>0</v>
      </c>
      <c r="AJ335" s="183" t="s">
        <v>0</v>
      </c>
      <c r="AK335" s="183" t="s">
        <v>0</v>
      </c>
      <c r="AL335" s="183" t="s">
        <v>0</v>
      </c>
      <c r="AM335" s="183" t="s">
        <v>0</v>
      </c>
      <c r="AN335" s="183" t="s">
        <v>0</v>
      </c>
      <c r="AO335" s="183" t="s">
        <v>0</v>
      </c>
      <c r="AP335" s="183" t="s">
        <v>0</v>
      </c>
      <c r="AQ335" s="183" t="s">
        <v>0</v>
      </c>
      <c r="AR335" s="183" t="s">
        <v>0</v>
      </c>
      <c r="AS335" s="183" t="s">
        <v>0</v>
      </c>
      <c r="AT335" s="183" t="s">
        <v>0</v>
      </c>
      <c r="AU335" s="183" t="s">
        <v>0</v>
      </c>
      <c r="AV335" s="183" t="s">
        <v>0</v>
      </c>
      <c r="AW335" s="183" t="s">
        <v>0</v>
      </c>
      <c r="AX335" s="183" t="s">
        <v>0</v>
      </c>
      <c r="AY335" s="183" t="s">
        <v>0</v>
      </c>
      <c r="AZ335" s="183" t="s">
        <v>0</v>
      </c>
      <c r="BA335" s="183" t="s">
        <v>0</v>
      </c>
      <c r="BB335" s="183" t="s">
        <v>0</v>
      </c>
      <c r="BC335" s="183" t="s">
        <v>0</v>
      </c>
      <c r="BD335" s="183" t="s">
        <v>0</v>
      </c>
      <c r="BE335" s="183" t="s">
        <v>0</v>
      </c>
      <c r="BF335" s="183" t="s">
        <v>0</v>
      </c>
      <c r="BG335" s="183" t="s">
        <v>0</v>
      </c>
      <c r="BH335" s="183" t="s">
        <v>0</v>
      </c>
      <c r="BI335" s="161"/>
      <c r="DL335">
        <f t="shared" si="1823"/>
        <v>0</v>
      </c>
      <c r="DM335">
        <f t="shared" si="1824"/>
        <v>0</v>
      </c>
      <c r="DN335">
        <f t="shared" si="1825"/>
        <v>0</v>
      </c>
      <c r="DO335">
        <f t="shared" si="1826"/>
        <v>0</v>
      </c>
      <c r="DP335">
        <f t="shared" si="1827"/>
        <v>0</v>
      </c>
      <c r="DQ335">
        <f t="shared" si="1828"/>
        <v>0</v>
      </c>
      <c r="DR335">
        <f t="shared" si="1829"/>
        <v>0</v>
      </c>
      <c r="DS335">
        <f t="shared" si="1830"/>
        <v>0</v>
      </c>
      <c r="DT335">
        <f t="shared" si="1831"/>
        <v>0</v>
      </c>
      <c r="DU335">
        <f t="shared" si="1832"/>
        <v>0</v>
      </c>
      <c r="DV335">
        <f t="shared" si="1833"/>
        <v>0</v>
      </c>
      <c r="DW335">
        <f t="shared" si="1834"/>
        <v>0</v>
      </c>
    </row>
    <row r="336" spans="1:127" x14ac:dyDescent="0.25">
      <c r="F336" s="188" t="s">
        <v>60</v>
      </c>
      <c r="G336" s="162" t="s">
        <v>60</v>
      </c>
      <c r="H336" s="163" t="s">
        <v>60</v>
      </c>
      <c r="I336" s="164" t="s">
        <v>60</v>
      </c>
      <c r="J336" s="164" t="s">
        <v>0</v>
      </c>
      <c r="K336" s="164" t="s">
        <v>0</v>
      </c>
      <c r="L336" s="164" t="s">
        <v>0</v>
      </c>
      <c r="M336" s="164" t="s">
        <v>0</v>
      </c>
      <c r="N336" s="164" t="s">
        <v>0</v>
      </c>
      <c r="O336" s="164" t="s">
        <v>0</v>
      </c>
      <c r="P336" s="164" t="s">
        <v>0</v>
      </c>
      <c r="Q336" s="164" t="s">
        <v>0</v>
      </c>
      <c r="R336" s="164" t="s">
        <v>0</v>
      </c>
      <c r="S336" s="164" t="s">
        <v>0</v>
      </c>
      <c r="T336" s="164" t="s">
        <v>0</v>
      </c>
      <c r="U336" s="164" t="s">
        <v>0</v>
      </c>
      <c r="V336" s="164" t="s">
        <v>0</v>
      </c>
      <c r="W336" s="164" t="s">
        <v>0</v>
      </c>
      <c r="X336" s="164" t="s">
        <v>0</v>
      </c>
      <c r="Y336" s="164" t="s">
        <v>0</v>
      </c>
      <c r="Z336" s="164" t="s">
        <v>0</v>
      </c>
      <c r="AA336" s="164" t="s">
        <v>0</v>
      </c>
      <c r="AB336" s="164" t="s">
        <v>0</v>
      </c>
      <c r="AC336" s="164" t="s">
        <v>0</v>
      </c>
      <c r="AD336" s="164" t="s">
        <v>0</v>
      </c>
      <c r="AE336" s="164" t="s">
        <v>0</v>
      </c>
      <c r="AF336" s="164" t="s">
        <v>0</v>
      </c>
      <c r="AG336" s="164" t="s">
        <v>0</v>
      </c>
      <c r="AH336" s="164" t="s">
        <v>0</v>
      </c>
      <c r="AI336" s="164" t="s">
        <v>0</v>
      </c>
      <c r="AJ336" s="164" t="s">
        <v>0</v>
      </c>
      <c r="AK336" s="164" t="s">
        <v>0</v>
      </c>
      <c r="AL336" s="164" t="s">
        <v>0</v>
      </c>
      <c r="AM336" s="164" t="s">
        <v>0</v>
      </c>
      <c r="AN336" s="164" t="s">
        <v>0</v>
      </c>
      <c r="AO336" s="164" t="s">
        <v>0</v>
      </c>
      <c r="AP336" s="164" t="s">
        <v>0</v>
      </c>
      <c r="AQ336" s="164" t="s">
        <v>0</v>
      </c>
      <c r="AR336" s="164" t="s">
        <v>0</v>
      </c>
      <c r="AS336" s="164" t="s">
        <v>0</v>
      </c>
      <c r="AT336" s="164" t="s">
        <v>0</v>
      </c>
      <c r="AU336" s="164" t="s">
        <v>0</v>
      </c>
      <c r="AV336" s="164" t="s">
        <v>0</v>
      </c>
      <c r="AW336" s="164" t="s">
        <v>0</v>
      </c>
      <c r="AX336" s="164" t="s">
        <v>0</v>
      </c>
      <c r="AY336" s="164" t="s">
        <v>0</v>
      </c>
      <c r="AZ336" s="164" t="s">
        <v>0</v>
      </c>
      <c r="BA336" s="164" t="s">
        <v>0</v>
      </c>
      <c r="BB336" s="164" t="s">
        <v>0</v>
      </c>
      <c r="BC336" s="164" t="s">
        <v>0</v>
      </c>
      <c r="BD336" s="164" t="s">
        <v>0</v>
      </c>
      <c r="BE336" s="164" t="s">
        <v>0</v>
      </c>
      <c r="BF336" s="164" t="s">
        <v>0</v>
      </c>
      <c r="BG336" s="164" t="s">
        <v>0</v>
      </c>
      <c r="BH336" s="164" t="s">
        <v>0</v>
      </c>
      <c r="BI336" s="189"/>
      <c r="DL336">
        <f t="shared" si="1823"/>
        <v>0</v>
      </c>
      <c r="DM336">
        <f t="shared" si="1824"/>
        <v>0</v>
      </c>
      <c r="DN336">
        <f t="shared" si="1825"/>
        <v>0</v>
      </c>
      <c r="DO336">
        <f t="shared" si="1826"/>
        <v>0</v>
      </c>
      <c r="DP336">
        <f t="shared" si="1827"/>
        <v>0</v>
      </c>
      <c r="DQ336">
        <f t="shared" si="1828"/>
        <v>0</v>
      </c>
      <c r="DR336">
        <f t="shared" si="1829"/>
        <v>0</v>
      </c>
      <c r="DS336">
        <f t="shared" si="1830"/>
        <v>0</v>
      </c>
      <c r="DT336">
        <f t="shared" si="1831"/>
        <v>0</v>
      </c>
      <c r="DU336">
        <f t="shared" si="1832"/>
        <v>0</v>
      </c>
      <c r="DV336">
        <f t="shared" si="1833"/>
        <v>0</v>
      </c>
      <c r="DW336">
        <f t="shared" si="1834"/>
        <v>0</v>
      </c>
    </row>
    <row r="337" spans="6:127" x14ac:dyDescent="0.25">
      <c r="F337" s="155" t="s">
        <v>61</v>
      </c>
      <c r="G337" s="181">
        <v>5500990629</v>
      </c>
      <c r="H337" s="155" t="s">
        <v>62</v>
      </c>
      <c r="I337" s="181">
        <v>156</v>
      </c>
      <c r="J337" s="155" t="s">
        <v>63</v>
      </c>
      <c r="K337" s="160">
        <v>1121471</v>
      </c>
      <c r="L337" s="161"/>
      <c r="M337" s="190" t="s">
        <v>64</v>
      </c>
      <c r="N337" s="191"/>
      <c r="O337" s="192">
        <v>46086</v>
      </c>
      <c r="P337" s="155" t="s">
        <v>65</v>
      </c>
      <c r="Q337" s="181">
        <v>4</v>
      </c>
      <c r="R337" s="6" t="s">
        <v>0</v>
      </c>
      <c r="S337" s="7" t="s">
        <v>0</v>
      </c>
      <c r="T337" s="7" t="s">
        <v>0</v>
      </c>
      <c r="U337" s="7" t="s">
        <v>0</v>
      </c>
      <c r="V337" s="7" t="s">
        <v>0</v>
      </c>
      <c r="W337" s="7" t="s">
        <v>0</v>
      </c>
      <c r="X337" s="7" t="s">
        <v>0</v>
      </c>
      <c r="Y337" s="7" t="s">
        <v>0</v>
      </c>
      <c r="Z337" s="7" t="s">
        <v>0</v>
      </c>
      <c r="AA337" s="7" t="s">
        <v>0</v>
      </c>
      <c r="AB337" s="7" t="s">
        <v>0</v>
      </c>
      <c r="AC337" s="7" t="s">
        <v>0</v>
      </c>
      <c r="AD337" s="7" t="s">
        <v>0</v>
      </c>
      <c r="AE337" s="7" t="s">
        <v>0</v>
      </c>
      <c r="AF337" s="7" t="s">
        <v>0</v>
      </c>
      <c r="AG337" s="7" t="s">
        <v>0</v>
      </c>
      <c r="AH337" s="7" t="s">
        <v>0</v>
      </c>
      <c r="AI337" s="7" t="s">
        <v>0</v>
      </c>
      <c r="AJ337" s="7" t="s">
        <v>0</v>
      </c>
      <c r="AK337" s="7" t="s">
        <v>0</v>
      </c>
      <c r="AL337" s="7" t="s">
        <v>0</v>
      </c>
      <c r="AM337" s="7" t="s">
        <v>0</v>
      </c>
      <c r="AN337" s="7" t="s">
        <v>0</v>
      </c>
      <c r="AO337" s="7" t="s">
        <v>0</v>
      </c>
      <c r="AP337" s="7" t="s">
        <v>0</v>
      </c>
      <c r="AQ337" s="7" t="s">
        <v>0</v>
      </c>
      <c r="AR337" s="7" t="s">
        <v>0</v>
      </c>
      <c r="AS337" s="7" t="s">
        <v>0</v>
      </c>
      <c r="AT337" s="7" t="s">
        <v>0</v>
      </c>
      <c r="AU337" s="7" t="s">
        <v>0</v>
      </c>
      <c r="AV337" s="7" t="s">
        <v>0</v>
      </c>
      <c r="AW337" s="7" t="s">
        <v>0</v>
      </c>
      <c r="AX337" s="7" t="s">
        <v>0</v>
      </c>
      <c r="AY337" s="7" t="s">
        <v>0</v>
      </c>
      <c r="AZ337" s="7" t="s">
        <v>0</v>
      </c>
      <c r="BA337" s="7" t="s">
        <v>0</v>
      </c>
      <c r="BB337" s="7" t="s">
        <v>0</v>
      </c>
      <c r="BC337" s="7" t="s">
        <v>0</v>
      </c>
      <c r="BD337" s="7" t="s">
        <v>0</v>
      </c>
      <c r="BE337" s="7" t="s">
        <v>0</v>
      </c>
      <c r="BF337" s="7" t="s">
        <v>0</v>
      </c>
      <c r="BG337" s="7" t="s">
        <v>0</v>
      </c>
      <c r="BH337" s="7" t="s">
        <v>0</v>
      </c>
      <c r="BI337" s="8"/>
      <c r="DL337">
        <f t="shared" si="1823"/>
        <v>0</v>
      </c>
      <c r="DM337">
        <f t="shared" si="1824"/>
        <v>0</v>
      </c>
      <c r="DN337">
        <f t="shared" si="1825"/>
        <v>0</v>
      </c>
      <c r="DO337">
        <f t="shared" si="1826"/>
        <v>0</v>
      </c>
      <c r="DP337">
        <f t="shared" si="1827"/>
        <v>0</v>
      </c>
      <c r="DQ337">
        <f t="shared" si="1828"/>
        <v>0</v>
      </c>
      <c r="DR337">
        <f t="shared" si="1829"/>
        <v>0</v>
      </c>
      <c r="DS337">
        <f t="shared" si="1830"/>
        <v>0</v>
      </c>
      <c r="DT337">
        <f t="shared" si="1831"/>
        <v>0</v>
      </c>
      <c r="DU337">
        <f t="shared" si="1832"/>
        <v>0</v>
      </c>
      <c r="DV337">
        <f t="shared" si="1833"/>
        <v>0</v>
      </c>
      <c r="DW337">
        <f t="shared" si="1834"/>
        <v>0</v>
      </c>
    </row>
    <row r="338" spans="6:127" x14ac:dyDescent="0.25">
      <c r="F338" s="155" t="s">
        <v>66</v>
      </c>
      <c r="G338" s="181" t="s">
        <v>286</v>
      </c>
      <c r="H338" s="155" t="s">
        <v>67</v>
      </c>
      <c r="I338" s="182" t="s">
        <v>287</v>
      </c>
      <c r="J338" s="183"/>
      <c r="K338" s="183"/>
      <c r="L338" s="161"/>
      <c r="M338" s="155" t="s">
        <v>68</v>
      </c>
      <c r="N338" s="181">
        <v>2025</v>
      </c>
      <c r="O338" s="184" t="s">
        <v>69</v>
      </c>
      <c r="P338" s="185"/>
      <c r="Q338" s="193" t="s">
        <v>265</v>
      </c>
      <c r="R338" s="156" t="s">
        <v>0</v>
      </c>
      <c r="S338" s="157" t="s">
        <v>0</v>
      </c>
      <c r="T338" s="157" t="s">
        <v>0</v>
      </c>
      <c r="U338" s="157" t="s">
        <v>0</v>
      </c>
      <c r="V338" s="157" t="s">
        <v>0</v>
      </c>
      <c r="W338" s="157" t="s">
        <v>0</v>
      </c>
      <c r="X338" s="157" t="s">
        <v>0</v>
      </c>
      <c r="Y338" s="157" t="s">
        <v>0</v>
      </c>
      <c r="Z338" s="157" t="s">
        <v>0</v>
      </c>
      <c r="AA338" s="157" t="s">
        <v>0</v>
      </c>
      <c r="AB338" s="157" t="s">
        <v>0</v>
      </c>
      <c r="AC338" s="157" t="s">
        <v>0</v>
      </c>
      <c r="AD338" s="157" t="s">
        <v>0</v>
      </c>
      <c r="AE338" s="157" t="s">
        <v>0</v>
      </c>
      <c r="AF338" s="157" t="s">
        <v>0</v>
      </c>
      <c r="AG338" s="157" t="s">
        <v>0</v>
      </c>
      <c r="AH338" s="157" t="s">
        <v>0</v>
      </c>
      <c r="AI338" s="157" t="s">
        <v>0</v>
      </c>
      <c r="AJ338" s="157" t="s">
        <v>0</v>
      </c>
      <c r="AK338" s="157" t="s">
        <v>0</v>
      </c>
      <c r="AL338" s="157" t="s">
        <v>0</v>
      </c>
      <c r="AM338" s="157" t="s">
        <v>0</v>
      </c>
      <c r="AN338" s="157" t="s">
        <v>0</v>
      </c>
      <c r="AO338" s="157" t="s">
        <v>0</v>
      </c>
      <c r="AP338" s="157" t="s">
        <v>0</v>
      </c>
      <c r="AQ338" s="157" t="s">
        <v>0</v>
      </c>
      <c r="AR338" s="157" t="s">
        <v>0</v>
      </c>
      <c r="AS338" s="157" t="s">
        <v>0</v>
      </c>
      <c r="AT338" s="157" t="s">
        <v>0</v>
      </c>
      <c r="AU338" s="157" t="s">
        <v>0</v>
      </c>
      <c r="AV338" s="157" t="s">
        <v>0</v>
      </c>
      <c r="AW338" s="157" t="s">
        <v>0</v>
      </c>
      <c r="AX338" s="157" t="s">
        <v>0</v>
      </c>
      <c r="AY338" s="157" t="s">
        <v>0</v>
      </c>
      <c r="AZ338" s="157" t="s">
        <v>0</v>
      </c>
      <c r="BA338" s="157" t="s">
        <v>0</v>
      </c>
      <c r="BB338" s="157" t="s">
        <v>0</v>
      </c>
      <c r="BC338" s="157" t="s">
        <v>0</v>
      </c>
      <c r="BD338" s="157" t="s">
        <v>0</v>
      </c>
      <c r="BE338" s="157" t="s">
        <v>0</v>
      </c>
      <c r="BF338" s="157" t="s">
        <v>0</v>
      </c>
      <c r="BG338" s="157" t="s">
        <v>0</v>
      </c>
      <c r="BH338" s="157" t="s">
        <v>0</v>
      </c>
      <c r="BI338" s="158"/>
      <c r="DL338">
        <f t="shared" si="1823"/>
        <v>0</v>
      </c>
      <c r="DM338">
        <f t="shared" si="1824"/>
        <v>0</v>
      </c>
      <c r="DN338">
        <f t="shared" si="1825"/>
        <v>0</v>
      </c>
      <c r="DO338">
        <f t="shared" si="1826"/>
        <v>0</v>
      </c>
      <c r="DP338">
        <f t="shared" si="1827"/>
        <v>0</v>
      </c>
      <c r="DQ338">
        <f t="shared" si="1828"/>
        <v>0</v>
      </c>
      <c r="DR338">
        <f t="shared" si="1829"/>
        <v>0</v>
      </c>
      <c r="DS338">
        <f t="shared" si="1830"/>
        <v>0</v>
      </c>
      <c r="DT338">
        <f t="shared" si="1831"/>
        <v>0</v>
      </c>
      <c r="DU338">
        <f t="shared" si="1832"/>
        <v>0</v>
      </c>
      <c r="DV338">
        <f t="shared" si="1833"/>
        <v>0</v>
      </c>
      <c r="DW338">
        <f t="shared" si="1834"/>
        <v>0</v>
      </c>
    </row>
    <row r="339" spans="6:127" x14ac:dyDescent="0.25">
      <c r="F339" s="155" t="s">
        <v>70</v>
      </c>
      <c r="G339" s="181" t="s">
        <v>221</v>
      </c>
      <c r="H339" s="155" t="s">
        <v>71</v>
      </c>
      <c r="I339" s="182" t="s">
        <v>60</v>
      </c>
      <c r="J339" s="161" t="s">
        <v>0</v>
      </c>
      <c r="K339" s="194" t="s">
        <v>0</v>
      </c>
      <c r="L339" s="195" t="s">
        <v>0</v>
      </c>
      <c r="M339" s="179" t="s">
        <v>0</v>
      </c>
      <c r="N339" s="179" t="s">
        <v>0</v>
      </c>
      <c r="O339" s="179" t="s">
        <v>0</v>
      </c>
      <c r="P339" s="179" t="s">
        <v>0</v>
      </c>
      <c r="Q339" s="179" t="s">
        <v>1</v>
      </c>
      <c r="R339" s="179" t="s">
        <v>2</v>
      </c>
      <c r="S339" s="179" t="s">
        <v>0</v>
      </c>
      <c r="T339" s="179" t="s">
        <v>0</v>
      </c>
      <c r="U339" s="179" t="s">
        <v>0</v>
      </c>
      <c r="V339" s="179" t="s">
        <v>0</v>
      </c>
      <c r="W339" s="179" t="s">
        <v>0</v>
      </c>
      <c r="X339" s="179" t="s">
        <v>0</v>
      </c>
      <c r="Y339" s="179" t="s">
        <v>0</v>
      </c>
      <c r="Z339" s="179" t="s">
        <v>3</v>
      </c>
      <c r="AA339" s="179" t="s">
        <v>0</v>
      </c>
      <c r="AB339" s="179" t="s">
        <v>0</v>
      </c>
      <c r="AC339" s="179" t="s">
        <v>0</v>
      </c>
      <c r="AD339" s="179" t="s">
        <v>0</v>
      </c>
      <c r="AE339" s="179" t="s">
        <v>0</v>
      </c>
      <c r="AF339" s="179" t="s">
        <v>0</v>
      </c>
      <c r="AG339" s="179" t="s">
        <v>0</v>
      </c>
      <c r="AH339" s="179" t="s">
        <v>0</v>
      </c>
      <c r="AI339" s="179" t="s">
        <v>0</v>
      </c>
      <c r="AJ339" s="179" t="s">
        <v>0</v>
      </c>
      <c r="AK339" s="179" t="s">
        <v>0</v>
      </c>
      <c r="AL339" s="179" t="s">
        <v>0</v>
      </c>
      <c r="AM339" s="179" t="s">
        <v>0</v>
      </c>
      <c r="AN339" s="179" t="s">
        <v>0</v>
      </c>
      <c r="AO339" s="179" t="s">
        <v>0</v>
      </c>
      <c r="AP339" s="179" t="s">
        <v>0</v>
      </c>
      <c r="AQ339" s="179" t="s">
        <v>0</v>
      </c>
      <c r="AR339" s="179" t="s">
        <v>0</v>
      </c>
      <c r="AS339" s="179" t="s">
        <v>0</v>
      </c>
      <c r="AT339" s="179" t="s">
        <v>0</v>
      </c>
      <c r="AU339" s="179" t="s">
        <v>0</v>
      </c>
      <c r="AV339" s="179" t="s">
        <v>0</v>
      </c>
      <c r="AW339" s="179" t="s">
        <v>0</v>
      </c>
      <c r="AX339" s="179" t="s">
        <v>0</v>
      </c>
      <c r="AY339" s="179" t="s">
        <v>0</v>
      </c>
      <c r="AZ339" s="179" t="s">
        <v>0</v>
      </c>
      <c r="BA339" s="179" t="s">
        <v>0</v>
      </c>
      <c r="BB339" s="179" t="s">
        <v>0</v>
      </c>
      <c r="BC339" s="179" t="s">
        <v>0</v>
      </c>
      <c r="BD339" s="179" t="s">
        <v>0</v>
      </c>
      <c r="BE339" s="179" t="s">
        <v>0</v>
      </c>
      <c r="BF339" s="179" t="s">
        <v>0</v>
      </c>
      <c r="BG339" s="179" t="s">
        <v>0</v>
      </c>
      <c r="BH339" s="179" t="s">
        <v>0</v>
      </c>
      <c r="BI339" s="180" t="s">
        <v>4</v>
      </c>
      <c r="DL339">
        <f t="shared" si="1823"/>
        <v>0</v>
      </c>
      <c r="DM339">
        <f t="shared" si="1824"/>
        <v>0</v>
      </c>
      <c r="DN339">
        <f t="shared" si="1825"/>
        <v>0</v>
      </c>
      <c r="DO339">
        <f t="shared" si="1826"/>
        <v>0</v>
      </c>
      <c r="DP339">
        <f t="shared" si="1827"/>
        <v>0</v>
      </c>
      <c r="DQ339">
        <f t="shared" si="1828"/>
        <v>0</v>
      </c>
      <c r="DR339">
        <f t="shared" si="1829"/>
        <v>0</v>
      </c>
      <c r="DS339">
        <f t="shared" si="1830"/>
        <v>0</v>
      </c>
      <c r="DT339">
        <f t="shared" si="1831"/>
        <v>0</v>
      </c>
      <c r="DU339">
        <f t="shared" si="1832"/>
        <v>0</v>
      </c>
      <c r="DV339">
        <f t="shared" si="1833"/>
        <v>0</v>
      </c>
      <c r="DW339">
        <f t="shared" si="1834"/>
        <v>0</v>
      </c>
    </row>
    <row r="340" spans="6:127" x14ac:dyDescent="0.25">
      <c r="F340" s="155" t="s">
        <v>72</v>
      </c>
      <c r="G340" s="181">
        <v>36</v>
      </c>
      <c r="H340" s="196" t="s">
        <v>414</v>
      </c>
      <c r="I340" s="197" t="s">
        <v>73</v>
      </c>
      <c r="J340" s="13">
        <v>46041</v>
      </c>
      <c r="K340" s="14">
        <v>46048</v>
      </c>
      <c r="L340" s="14">
        <v>46055</v>
      </c>
      <c r="M340" s="14">
        <v>46062</v>
      </c>
      <c r="N340" s="14">
        <v>46069</v>
      </c>
      <c r="O340" s="14">
        <v>46076</v>
      </c>
      <c r="P340" s="14">
        <v>46083</v>
      </c>
      <c r="Q340" s="14">
        <v>46090</v>
      </c>
      <c r="R340" s="14">
        <v>46097</v>
      </c>
      <c r="S340" s="14">
        <v>46104</v>
      </c>
      <c r="T340" s="14">
        <v>46111</v>
      </c>
      <c r="U340" s="14">
        <v>46118</v>
      </c>
      <c r="V340" s="14">
        <v>46125</v>
      </c>
      <c r="W340" s="14">
        <v>46132</v>
      </c>
      <c r="X340" s="14">
        <v>46139</v>
      </c>
      <c r="Y340" s="14">
        <v>46146</v>
      </c>
      <c r="Z340" s="14">
        <v>46153</v>
      </c>
      <c r="AA340" s="14">
        <v>46160</v>
      </c>
      <c r="AB340" s="14">
        <v>46167</v>
      </c>
      <c r="AC340" s="14">
        <v>46174</v>
      </c>
      <c r="AD340" s="14">
        <v>46181</v>
      </c>
      <c r="AE340" s="14">
        <v>46188</v>
      </c>
      <c r="AF340" s="14">
        <v>46195</v>
      </c>
      <c r="AG340" s="14">
        <v>46202</v>
      </c>
      <c r="AH340" s="14">
        <v>46209</v>
      </c>
      <c r="AI340" s="14">
        <v>46216</v>
      </c>
      <c r="AJ340" s="14">
        <v>46223</v>
      </c>
      <c r="AK340" s="14">
        <v>46230</v>
      </c>
      <c r="AL340" s="14">
        <v>46237</v>
      </c>
      <c r="AM340" s="14">
        <v>46244</v>
      </c>
      <c r="AN340" s="14">
        <v>46251</v>
      </c>
      <c r="AO340" s="14">
        <v>46258</v>
      </c>
      <c r="AP340" s="14">
        <v>46265</v>
      </c>
      <c r="AQ340" s="14">
        <v>46272</v>
      </c>
      <c r="AR340" s="14">
        <v>46279</v>
      </c>
      <c r="AS340" s="14">
        <v>46286</v>
      </c>
      <c r="AT340" s="14">
        <v>46293</v>
      </c>
      <c r="AU340" s="14">
        <v>46300</v>
      </c>
      <c r="AV340" s="14">
        <v>46307</v>
      </c>
      <c r="AW340" s="14">
        <v>46314</v>
      </c>
      <c r="AX340" s="14">
        <v>46321</v>
      </c>
      <c r="AY340" s="14">
        <v>46328</v>
      </c>
      <c r="AZ340" s="14">
        <v>46335</v>
      </c>
      <c r="BA340" s="14">
        <v>46342</v>
      </c>
      <c r="BB340" s="14">
        <v>46349</v>
      </c>
      <c r="BC340" s="14">
        <v>46356</v>
      </c>
      <c r="BD340" s="14">
        <v>46363</v>
      </c>
      <c r="BE340" s="14">
        <v>46370</v>
      </c>
      <c r="BF340" s="14">
        <v>46377</v>
      </c>
      <c r="BG340" s="14">
        <v>46384</v>
      </c>
      <c r="BH340" s="14">
        <v>46391</v>
      </c>
      <c r="BI340" s="15">
        <v>46398</v>
      </c>
      <c r="DL340">
        <f t="shared" si="1823"/>
        <v>0</v>
      </c>
      <c r="DM340">
        <f t="shared" si="1824"/>
        <v>0</v>
      </c>
      <c r="DN340">
        <f t="shared" si="1825"/>
        <v>0</v>
      </c>
      <c r="DO340">
        <f t="shared" si="1826"/>
        <v>0</v>
      </c>
      <c r="DP340">
        <f t="shared" si="1827"/>
        <v>0</v>
      </c>
      <c r="DQ340">
        <f t="shared" si="1828"/>
        <v>0</v>
      </c>
      <c r="DR340">
        <f t="shared" si="1829"/>
        <v>0</v>
      </c>
      <c r="DS340">
        <f t="shared" si="1830"/>
        <v>0</v>
      </c>
      <c r="DT340">
        <f t="shared" si="1831"/>
        <v>0</v>
      </c>
      <c r="DU340">
        <f t="shared" si="1832"/>
        <v>0</v>
      </c>
      <c r="DV340">
        <f t="shared" si="1833"/>
        <v>0</v>
      </c>
      <c r="DW340">
        <f t="shared" si="1834"/>
        <v>0</v>
      </c>
    </row>
    <row r="341" spans="6:127" x14ac:dyDescent="0.25">
      <c r="F341" s="155" t="s">
        <v>74</v>
      </c>
      <c r="G341" s="181">
        <v>248</v>
      </c>
      <c r="H341" s="5" t="s">
        <v>60</v>
      </c>
      <c r="I341" s="11" t="s">
        <v>147</v>
      </c>
      <c r="J341" s="16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17"/>
      <c r="DL341">
        <f t="shared" si="1823"/>
        <v>0</v>
      </c>
      <c r="DM341">
        <f t="shared" si="1824"/>
        <v>0</v>
      </c>
      <c r="DN341">
        <f t="shared" si="1825"/>
        <v>0</v>
      </c>
      <c r="DO341">
        <f t="shared" si="1826"/>
        <v>0</v>
      </c>
      <c r="DP341">
        <f t="shared" si="1827"/>
        <v>0</v>
      </c>
      <c r="DQ341">
        <f t="shared" si="1828"/>
        <v>0</v>
      </c>
      <c r="DR341">
        <f t="shared" si="1829"/>
        <v>0</v>
      </c>
      <c r="DS341">
        <f t="shared" si="1830"/>
        <v>0</v>
      </c>
      <c r="DT341">
        <f t="shared" si="1831"/>
        <v>0</v>
      </c>
      <c r="DU341">
        <f t="shared" si="1832"/>
        <v>0</v>
      </c>
      <c r="DV341">
        <f t="shared" si="1833"/>
        <v>0</v>
      </c>
      <c r="DW341">
        <f t="shared" si="1834"/>
        <v>0</v>
      </c>
    </row>
    <row r="342" spans="6:127" x14ac:dyDescent="0.25">
      <c r="F342" s="155" t="s">
        <v>75</v>
      </c>
      <c r="G342" s="198" t="s">
        <v>257</v>
      </c>
      <c r="H342" s="9" t="s">
        <v>221</v>
      </c>
      <c r="I342" s="11" t="s">
        <v>76</v>
      </c>
      <c r="J342" s="143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>
        <v>0</v>
      </c>
      <c r="AA342" s="64">
        <v>0</v>
      </c>
      <c r="AB342" s="64">
        <v>0</v>
      </c>
      <c r="AC342" s="64">
        <v>0</v>
      </c>
      <c r="AD342" s="64">
        <v>0</v>
      </c>
      <c r="AE342" s="64">
        <v>0</v>
      </c>
      <c r="AF342" s="64">
        <v>0</v>
      </c>
      <c r="AG342" s="64">
        <v>0</v>
      </c>
      <c r="AH342" s="64">
        <v>0</v>
      </c>
      <c r="AI342" s="64">
        <v>0</v>
      </c>
      <c r="AJ342" s="64">
        <v>0</v>
      </c>
      <c r="AK342" s="64">
        <v>0</v>
      </c>
      <c r="AL342" s="64">
        <v>0</v>
      </c>
      <c r="AM342" s="64">
        <v>0</v>
      </c>
      <c r="AN342" s="64">
        <v>0</v>
      </c>
      <c r="AO342" s="64">
        <v>0</v>
      </c>
      <c r="AP342" s="64">
        <v>0</v>
      </c>
      <c r="AQ342" s="64">
        <v>0</v>
      </c>
      <c r="AR342" s="64">
        <v>0</v>
      </c>
      <c r="AS342" s="64">
        <v>0</v>
      </c>
      <c r="AT342" s="64">
        <v>0</v>
      </c>
      <c r="AU342" s="64">
        <v>0</v>
      </c>
      <c r="AV342" s="64">
        <v>0</v>
      </c>
      <c r="AW342" s="64">
        <v>0</v>
      </c>
      <c r="AX342" s="64">
        <v>0</v>
      </c>
      <c r="AY342" s="64">
        <v>0</v>
      </c>
      <c r="AZ342" s="64">
        <v>0</v>
      </c>
      <c r="BA342" s="64">
        <v>0</v>
      </c>
      <c r="BB342" s="64">
        <v>0</v>
      </c>
      <c r="BC342" s="64">
        <v>0</v>
      </c>
      <c r="BD342" s="64">
        <v>0</v>
      </c>
      <c r="BE342" s="64">
        <v>0</v>
      </c>
      <c r="BF342" s="64">
        <v>0</v>
      </c>
      <c r="BG342" s="64">
        <v>0</v>
      </c>
      <c r="BH342" s="64">
        <v>0</v>
      </c>
      <c r="BI342" s="144">
        <v>0</v>
      </c>
      <c r="BJ342" s="24" t="str">
        <f>+G339</f>
        <v>82115-0E501</v>
      </c>
      <c r="BK342" s="24">
        <f>+J342</f>
        <v>0</v>
      </c>
      <c r="BL342" s="24">
        <f t="shared" ref="BL342" si="1835">+K342</f>
        <v>0</v>
      </c>
      <c r="BM342" s="24">
        <f t="shared" ref="BM342" si="1836">+L342</f>
        <v>0</v>
      </c>
      <c r="BN342" s="24">
        <f t="shared" ref="BN342" si="1837">+M342</f>
        <v>0</v>
      </c>
      <c r="BO342" s="24">
        <f t="shared" ref="BO342" si="1838">+N342</f>
        <v>0</v>
      </c>
      <c r="BP342" s="24">
        <f t="shared" ref="BP342" si="1839">+O342</f>
        <v>0</v>
      </c>
      <c r="BQ342" s="24">
        <f t="shared" ref="BQ342" si="1840">+P342</f>
        <v>0</v>
      </c>
      <c r="BR342" s="24">
        <f t="shared" ref="BR342" si="1841">+Q342</f>
        <v>0</v>
      </c>
      <c r="BS342" s="24">
        <f t="shared" ref="BS342" si="1842">+R342</f>
        <v>0</v>
      </c>
      <c r="BT342" s="24">
        <f t="shared" ref="BT342" si="1843">+S342</f>
        <v>0</v>
      </c>
      <c r="BU342" s="24">
        <f t="shared" ref="BU342" si="1844">+T342</f>
        <v>0</v>
      </c>
      <c r="BV342" s="24">
        <f t="shared" ref="BV342" si="1845">+U342</f>
        <v>0</v>
      </c>
      <c r="BW342" s="24">
        <f t="shared" ref="BW342" si="1846">+V342</f>
        <v>0</v>
      </c>
      <c r="BX342" s="24">
        <f t="shared" ref="BX342" si="1847">+W342</f>
        <v>0</v>
      </c>
      <c r="BY342" s="24">
        <f t="shared" ref="BY342" si="1848">+X342</f>
        <v>0</v>
      </c>
      <c r="BZ342" s="24">
        <f t="shared" ref="BZ342" si="1849">+Y342</f>
        <v>0</v>
      </c>
      <c r="CA342" s="24">
        <f t="shared" ref="CA342" si="1850">+Z342</f>
        <v>0</v>
      </c>
      <c r="CB342" s="24">
        <f t="shared" ref="CB342" si="1851">+AA342</f>
        <v>0</v>
      </c>
      <c r="CC342" s="24">
        <f t="shared" ref="CC342" si="1852">+AB342</f>
        <v>0</v>
      </c>
      <c r="CD342" s="24">
        <f t="shared" ref="CD342" si="1853">+AC342</f>
        <v>0</v>
      </c>
      <c r="CE342" s="24">
        <f t="shared" ref="CE342" si="1854">+AD342</f>
        <v>0</v>
      </c>
      <c r="CF342" s="24">
        <f t="shared" ref="CF342" si="1855">+AE342</f>
        <v>0</v>
      </c>
      <c r="CG342" s="24">
        <f t="shared" ref="CG342" si="1856">+AF342</f>
        <v>0</v>
      </c>
      <c r="CH342" s="24">
        <f t="shared" ref="CH342" si="1857">+AG342</f>
        <v>0</v>
      </c>
      <c r="CI342" s="24">
        <f t="shared" ref="CI342" si="1858">+AH342</f>
        <v>0</v>
      </c>
      <c r="CJ342" s="24">
        <f t="shared" ref="CJ342" si="1859">+AI342</f>
        <v>0</v>
      </c>
      <c r="CK342" s="24">
        <f t="shared" ref="CK342" si="1860">+AJ342</f>
        <v>0</v>
      </c>
      <c r="CL342" s="24">
        <f t="shared" ref="CL342" si="1861">+AK342</f>
        <v>0</v>
      </c>
      <c r="CM342" s="24">
        <f t="shared" ref="CM342" si="1862">+AL342</f>
        <v>0</v>
      </c>
      <c r="CN342" s="24">
        <f t="shared" ref="CN342" si="1863">+AM342</f>
        <v>0</v>
      </c>
      <c r="CO342" s="24">
        <f t="shared" ref="CO342" si="1864">+AN342</f>
        <v>0</v>
      </c>
      <c r="CP342" s="166">
        <f t="shared" ref="CP342" si="1865">+AO342</f>
        <v>0</v>
      </c>
      <c r="CQ342" s="166">
        <f t="shared" ref="CQ342" si="1866">+AP342</f>
        <v>0</v>
      </c>
      <c r="CR342">
        <f t="shared" ref="CR342" si="1867">+AQ342</f>
        <v>0</v>
      </c>
      <c r="CS342">
        <f t="shared" ref="CS342" si="1868">+AR342</f>
        <v>0</v>
      </c>
      <c r="CT342">
        <f t="shared" ref="CT342" si="1869">+AS342</f>
        <v>0</v>
      </c>
      <c r="CU342">
        <f t="shared" ref="CU342" si="1870">+AT342</f>
        <v>0</v>
      </c>
      <c r="CV342">
        <f t="shared" ref="CV342" si="1871">+AU342</f>
        <v>0</v>
      </c>
      <c r="CW342">
        <f t="shared" ref="CW342" si="1872">+AV342</f>
        <v>0</v>
      </c>
      <c r="CX342">
        <f t="shared" ref="CX342" si="1873">+AW342</f>
        <v>0</v>
      </c>
      <c r="CY342">
        <f t="shared" ref="CY342" si="1874">+AX342</f>
        <v>0</v>
      </c>
      <c r="CZ342">
        <f t="shared" ref="CZ342" si="1875">+AY342</f>
        <v>0</v>
      </c>
      <c r="DA342">
        <f t="shared" ref="DA342" si="1876">+AZ342</f>
        <v>0</v>
      </c>
      <c r="DB342">
        <f t="shared" ref="DB342" si="1877">+BA342</f>
        <v>0</v>
      </c>
      <c r="DC342">
        <f t="shared" ref="DC342" si="1878">+BB342</f>
        <v>0</v>
      </c>
      <c r="DD342">
        <f t="shared" ref="DD342" si="1879">+BC342</f>
        <v>0</v>
      </c>
      <c r="DE342">
        <f t="shared" ref="DE342" si="1880">+BD342</f>
        <v>0</v>
      </c>
      <c r="DF342">
        <f t="shared" ref="DF342" si="1881">+BE342</f>
        <v>0</v>
      </c>
      <c r="DG342">
        <f t="shared" ref="DG342" si="1882">+BF342</f>
        <v>0</v>
      </c>
      <c r="DH342">
        <f t="shared" ref="DH342" si="1883">+BG342</f>
        <v>0</v>
      </c>
      <c r="DI342">
        <f t="shared" ref="DI342" si="1884">+BH342</f>
        <v>0</v>
      </c>
      <c r="DJ342">
        <f t="shared" ref="DJ342" si="1885">+BI342</f>
        <v>0</v>
      </c>
      <c r="DL342" s="24">
        <f t="shared" si="1823"/>
        <v>0</v>
      </c>
      <c r="DM342" s="24">
        <f t="shared" si="1824"/>
        <v>0</v>
      </c>
      <c r="DN342" s="24">
        <f t="shared" si="1825"/>
        <v>0</v>
      </c>
      <c r="DO342" s="24">
        <f t="shared" si="1826"/>
        <v>0</v>
      </c>
      <c r="DP342" s="24">
        <f t="shared" si="1827"/>
        <v>0</v>
      </c>
      <c r="DQ342" s="24">
        <f t="shared" si="1828"/>
        <v>0</v>
      </c>
      <c r="DR342" s="24">
        <f t="shared" si="1829"/>
        <v>0</v>
      </c>
      <c r="DS342" s="24">
        <f t="shared" si="1830"/>
        <v>0</v>
      </c>
      <c r="DT342" s="24">
        <f t="shared" si="1831"/>
        <v>0</v>
      </c>
      <c r="DU342">
        <f t="shared" si="1832"/>
        <v>0</v>
      </c>
      <c r="DV342">
        <f t="shared" si="1833"/>
        <v>0</v>
      </c>
      <c r="DW342">
        <f t="shared" si="1834"/>
        <v>0</v>
      </c>
    </row>
    <row r="343" spans="6:127" x14ac:dyDescent="0.25">
      <c r="F343" s="155" t="s">
        <v>77</v>
      </c>
      <c r="G343" s="181">
        <v>82115</v>
      </c>
      <c r="H343" s="10" t="s">
        <v>221</v>
      </c>
      <c r="I343" s="12" t="s">
        <v>78</v>
      </c>
      <c r="J343" s="152">
        <v>36</v>
      </c>
      <c r="K343" s="153">
        <v>36</v>
      </c>
      <c r="L343" s="153">
        <v>36</v>
      </c>
      <c r="M343" s="153">
        <v>36</v>
      </c>
      <c r="N343" s="153">
        <v>36</v>
      </c>
      <c r="O343" s="153">
        <v>36</v>
      </c>
      <c r="P343" s="153">
        <v>36</v>
      </c>
      <c r="Q343" s="153">
        <v>36</v>
      </c>
      <c r="R343" s="153">
        <v>36</v>
      </c>
      <c r="S343" s="153">
        <v>36</v>
      </c>
      <c r="T343" s="153">
        <v>36</v>
      </c>
      <c r="U343" s="153">
        <v>36</v>
      </c>
      <c r="V343" s="153">
        <v>36</v>
      </c>
      <c r="W343" s="153">
        <v>36</v>
      </c>
      <c r="X343" s="153">
        <v>36</v>
      </c>
      <c r="Y343" s="153">
        <v>36</v>
      </c>
      <c r="Z343" s="153">
        <v>36</v>
      </c>
      <c r="AA343" s="153">
        <v>36</v>
      </c>
      <c r="AB343" s="153">
        <v>36</v>
      </c>
      <c r="AC343" s="153">
        <v>36</v>
      </c>
      <c r="AD343" s="153">
        <v>36</v>
      </c>
      <c r="AE343" s="153">
        <v>36</v>
      </c>
      <c r="AF343" s="153">
        <v>36</v>
      </c>
      <c r="AG343" s="153">
        <v>36</v>
      </c>
      <c r="AH343" s="153">
        <v>36</v>
      </c>
      <c r="AI343" s="153">
        <v>36</v>
      </c>
      <c r="AJ343" s="153">
        <v>36</v>
      </c>
      <c r="AK343" s="153">
        <v>36</v>
      </c>
      <c r="AL343" s="153">
        <v>36</v>
      </c>
      <c r="AM343" s="153">
        <v>36</v>
      </c>
      <c r="AN343" s="153">
        <v>36</v>
      </c>
      <c r="AO343" s="153">
        <v>36</v>
      </c>
      <c r="AP343" s="153">
        <v>36</v>
      </c>
      <c r="AQ343" s="153">
        <v>36</v>
      </c>
      <c r="AR343" s="153">
        <v>36</v>
      </c>
      <c r="AS343" s="153">
        <v>36</v>
      </c>
      <c r="AT343" s="153">
        <v>36</v>
      </c>
      <c r="AU343" s="153">
        <v>36</v>
      </c>
      <c r="AV343" s="153">
        <v>36</v>
      </c>
      <c r="AW343" s="153">
        <v>36</v>
      </c>
      <c r="AX343" s="153">
        <v>36</v>
      </c>
      <c r="AY343" s="153">
        <v>36</v>
      </c>
      <c r="AZ343" s="153">
        <v>36</v>
      </c>
      <c r="BA343" s="153">
        <v>36</v>
      </c>
      <c r="BB343" s="153">
        <v>36</v>
      </c>
      <c r="BC343" s="153">
        <v>36</v>
      </c>
      <c r="BD343" s="153">
        <v>36</v>
      </c>
      <c r="BE343" s="153">
        <v>36</v>
      </c>
      <c r="BF343" s="153">
        <v>36</v>
      </c>
      <c r="BG343" s="153">
        <v>36</v>
      </c>
      <c r="BH343" s="153">
        <v>36</v>
      </c>
      <c r="BI343" s="154">
        <v>36</v>
      </c>
      <c r="DL343">
        <f t="shared" si="1823"/>
        <v>0</v>
      </c>
      <c r="DM343">
        <f t="shared" si="1824"/>
        <v>0</v>
      </c>
      <c r="DN343">
        <f t="shared" si="1825"/>
        <v>0</v>
      </c>
      <c r="DO343">
        <f t="shared" si="1826"/>
        <v>0</v>
      </c>
      <c r="DP343">
        <f t="shared" si="1827"/>
        <v>0</v>
      </c>
      <c r="DQ343">
        <f t="shared" si="1828"/>
        <v>0</v>
      </c>
      <c r="DR343">
        <f t="shared" si="1829"/>
        <v>0</v>
      </c>
      <c r="DS343">
        <f t="shared" si="1830"/>
        <v>0</v>
      </c>
      <c r="DT343">
        <f t="shared" si="1831"/>
        <v>0</v>
      </c>
      <c r="DU343">
        <f t="shared" si="1832"/>
        <v>0</v>
      </c>
      <c r="DV343">
        <f t="shared" si="1833"/>
        <v>0</v>
      </c>
      <c r="DW343">
        <f t="shared" si="1834"/>
        <v>0</v>
      </c>
    </row>
    <row r="344" spans="6:127" x14ac:dyDescent="0.25">
      <c r="F344" s="155" t="s">
        <v>79</v>
      </c>
      <c r="G344" s="199">
        <v>36</v>
      </c>
      <c r="H344" s="184" t="s">
        <v>80</v>
      </c>
      <c r="I344" s="185"/>
      <c r="J344" s="200" t="s">
        <v>313</v>
      </c>
      <c r="K344" s="156"/>
      <c r="L344" s="157" t="s">
        <v>0</v>
      </c>
      <c r="M344" s="157" t="s">
        <v>0</v>
      </c>
      <c r="N344" s="157" t="s">
        <v>0</v>
      </c>
      <c r="O344" s="157" t="s">
        <v>0</v>
      </c>
      <c r="P344" s="157" t="s">
        <v>0</v>
      </c>
      <c r="Q344" s="157" t="s">
        <v>0</v>
      </c>
      <c r="R344" s="157" t="s">
        <v>0</v>
      </c>
      <c r="S344" s="157" t="s">
        <v>0</v>
      </c>
      <c r="T344" s="157" t="s">
        <v>0</v>
      </c>
      <c r="U344" s="157" t="s">
        <v>0</v>
      </c>
      <c r="V344" s="157" t="s">
        <v>0</v>
      </c>
      <c r="W344" s="157" t="s">
        <v>0</v>
      </c>
      <c r="X344" s="157" t="s">
        <v>0</v>
      </c>
      <c r="Y344" s="157" t="s">
        <v>0</v>
      </c>
      <c r="Z344" s="157" t="s">
        <v>0</v>
      </c>
      <c r="AA344" s="157" t="s">
        <v>0</v>
      </c>
      <c r="AB344" s="157" t="s">
        <v>0</v>
      </c>
      <c r="AC344" s="157" t="s">
        <v>0</v>
      </c>
      <c r="AD344" s="157" t="s">
        <v>0</v>
      </c>
      <c r="AE344" s="157" t="s">
        <v>0</v>
      </c>
      <c r="AF344" s="157" t="s">
        <v>0</v>
      </c>
      <c r="AG344" s="157" t="s">
        <v>0</v>
      </c>
      <c r="AH344" s="157" t="s">
        <v>0</v>
      </c>
      <c r="AI344" s="157" t="s">
        <v>0</v>
      </c>
      <c r="AJ344" s="157" t="s">
        <v>0</v>
      </c>
      <c r="AK344" s="157" t="s">
        <v>0</v>
      </c>
      <c r="AL344" s="157" t="s">
        <v>0</v>
      </c>
      <c r="AM344" s="157" t="s">
        <v>0</v>
      </c>
      <c r="AN344" s="157" t="s">
        <v>0</v>
      </c>
      <c r="AO344" s="157" t="s">
        <v>0</v>
      </c>
      <c r="AP344" s="157" t="s">
        <v>0</v>
      </c>
      <c r="AQ344" s="157" t="s">
        <v>0</v>
      </c>
      <c r="AR344" s="157" t="s">
        <v>0</v>
      </c>
      <c r="AS344" s="157" t="s">
        <v>0</v>
      </c>
      <c r="AT344" s="157" t="s">
        <v>0</v>
      </c>
      <c r="AU344" s="157" t="s">
        <v>0</v>
      </c>
      <c r="AV344" s="157" t="s">
        <v>0</v>
      </c>
      <c r="AW344" s="157" t="s">
        <v>0</v>
      </c>
      <c r="AX344" s="157" t="s">
        <v>0</v>
      </c>
      <c r="AY344" s="157" t="s">
        <v>0</v>
      </c>
      <c r="AZ344" s="157" t="s">
        <v>0</v>
      </c>
      <c r="BA344" s="157" t="s">
        <v>0</v>
      </c>
      <c r="BB344" s="157" t="s">
        <v>0</v>
      </c>
      <c r="BC344" s="157" t="s">
        <v>0</v>
      </c>
      <c r="BD344" s="157" t="s">
        <v>0</v>
      </c>
      <c r="BE344" s="157" t="s">
        <v>0</v>
      </c>
      <c r="BF344" s="157" t="s">
        <v>0</v>
      </c>
      <c r="BG344" s="157" t="s">
        <v>0</v>
      </c>
      <c r="BH344" s="157" t="s">
        <v>0</v>
      </c>
      <c r="BI344" s="158"/>
      <c r="DL344">
        <f t="shared" si="1823"/>
        <v>0</v>
      </c>
      <c r="DM344">
        <f t="shared" si="1824"/>
        <v>0</v>
      </c>
      <c r="DN344">
        <f t="shared" si="1825"/>
        <v>0</v>
      </c>
      <c r="DO344">
        <f t="shared" si="1826"/>
        <v>0</v>
      </c>
      <c r="DP344">
        <f t="shared" si="1827"/>
        <v>0</v>
      </c>
      <c r="DQ344">
        <f t="shared" si="1828"/>
        <v>0</v>
      </c>
      <c r="DR344">
        <f t="shared" si="1829"/>
        <v>0</v>
      </c>
      <c r="DS344">
        <f t="shared" si="1830"/>
        <v>0</v>
      </c>
      <c r="DT344">
        <f t="shared" si="1831"/>
        <v>0</v>
      </c>
      <c r="DU344">
        <f t="shared" si="1832"/>
        <v>0</v>
      </c>
      <c r="DV344">
        <f t="shared" si="1833"/>
        <v>0</v>
      </c>
      <c r="DW344">
        <f t="shared" si="1834"/>
        <v>0</v>
      </c>
    </row>
    <row r="345" spans="6:127" x14ac:dyDescent="0.25">
      <c r="F345" s="159" t="s">
        <v>81</v>
      </c>
      <c r="G345" s="160" t="s">
        <v>60</v>
      </c>
      <c r="H345" s="201" t="s">
        <v>60</v>
      </c>
      <c r="I345" s="183" t="s">
        <v>60</v>
      </c>
      <c r="J345" s="183" t="s">
        <v>0</v>
      </c>
      <c r="K345" s="183" t="s">
        <v>0</v>
      </c>
      <c r="L345" s="183" t="s">
        <v>0</v>
      </c>
      <c r="M345" s="183" t="s">
        <v>0</v>
      </c>
      <c r="N345" s="183" t="s">
        <v>0</v>
      </c>
      <c r="O345" s="183" t="s">
        <v>0</v>
      </c>
      <c r="P345" s="183" t="s">
        <v>0</v>
      </c>
      <c r="Q345" s="183" t="s">
        <v>0</v>
      </c>
      <c r="R345" s="183" t="s">
        <v>0</v>
      </c>
      <c r="S345" s="183" t="s">
        <v>0</v>
      </c>
      <c r="T345" s="183" t="s">
        <v>0</v>
      </c>
      <c r="U345" s="183" t="s">
        <v>0</v>
      </c>
      <c r="V345" s="183" t="s">
        <v>0</v>
      </c>
      <c r="W345" s="183" t="s">
        <v>0</v>
      </c>
      <c r="X345" s="183" t="s">
        <v>0</v>
      </c>
      <c r="Y345" s="183" t="s">
        <v>0</v>
      </c>
      <c r="Z345" s="183" t="s">
        <v>0</v>
      </c>
      <c r="AA345" s="183" t="s">
        <v>0</v>
      </c>
      <c r="AB345" s="183" t="s">
        <v>0</v>
      </c>
      <c r="AC345" s="183" t="s">
        <v>0</v>
      </c>
      <c r="AD345" s="183" t="s">
        <v>0</v>
      </c>
      <c r="AE345" s="183" t="s">
        <v>0</v>
      </c>
      <c r="AF345" s="183" t="s">
        <v>0</v>
      </c>
      <c r="AG345" s="183" t="s">
        <v>0</v>
      </c>
      <c r="AH345" s="183" t="s">
        <v>0</v>
      </c>
      <c r="AI345" s="183" t="s">
        <v>0</v>
      </c>
      <c r="AJ345" s="183" t="s">
        <v>0</v>
      </c>
      <c r="AK345" s="183" t="s">
        <v>0</v>
      </c>
      <c r="AL345" s="183" t="s">
        <v>0</v>
      </c>
      <c r="AM345" s="183" t="s">
        <v>0</v>
      </c>
      <c r="AN345" s="183" t="s">
        <v>0</v>
      </c>
      <c r="AO345" s="183" t="s">
        <v>0</v>
      </c>
      <c r="AP345" s="183" t="s">
        <v>0</v>
      </c>
      <c r="AQ345" s="183" t="s">
        <v>0</v>
      </c>
      <c r="AR345" s="183" t="s">
        <v>0</v>
      </c>
      <c r="AS345" s="183" t="s">
        <v>0</v>
      </c>
      <c r="AT345" s="183" t="s">
        <v>0</v>
      </c>
      <c r="AU345" s="183" t="s">
        <v>0</v>
      </c>
      <c r="AV345" s="183" t="s">
        <v>0</v>
      </c>
      <c r="AW345" s="183" t="s">
        <v>0</v>
      </c>
      <c r="AX345" s="183" t="s">
        <v>0</v>
      </c>
      <c r="AY345" s="183" t="s">
        <v>0</v>
      </c>
      <c r="AZ345" s="183" t="s">
        <v>0</v>
      </c>
      <c r="BA345" s="183" t="s">
        <v>0</v>
      </c>
      <c r="BB345" s="183" t="s">
        <v>0</v>
      </c>
      <c r="BC345" s="183" t="s">
        <v>0</v>
      </c>
      <c r="BD345" s="183" t="s">
        <v>0</v>
      </c>
      <c r="BE345" s="183" t="s">
        <v>0</v>
      </c>
      <c r="BF345" s="183" t="s">
        <v>0</v>
      </c>
      <c r="BG345" s="183" t="s">
        <v>0</v>
      </c>
      <c r="BH345" s="183" t="s">
        <v>0</v>
      </c>
      <c r="BI345" s="161"/>
      <c r="DL345">
        <f t="shared" si="1823"/>
        <v>0</v>
      </c>
      <c r="DM345">
        <f t="shared" si="1824"/>
        <v>0</v>
      </c>
      <c r="DN345">
        <f t="shared" si="1825"/>
        <v>0</v>
      </c>
      <c r="DO345">
        <f t="shared" si="1826"/>
        <v>0</v>
      </c>
      <c r="DP345">
        <f t="shared" si="1827"/>
        <v>0</v>
      </c>
      <c r="DQ345">
        <f t="shared" si="1828"/>
        <v>0</v>
      </c>
      <c r="DR345">
        <f t="shared" si="1829"/>
        <v>0</v>
      </c>
      <c r="DS345">
        <f t="shared" si="1830"/>
        <v>0</v>
      </c>
      <c r="DT345">
        <f t="shared" si="1831"/>
        <v>0</v>
      </c>
      <c r="DU345">
        <f t="shared" si="1832"/>
        <v>0</v>
      </c>
      <c r="DV345">
        <f t="shared" si="1833"/>
        <v>0</v>
      </c>
      <c r="DW345">
        <f t="shared" si="1834"/>
        <v>0</v>
      </c>
    </row>
    <row r="346" spans="6:127" x14ac:dyDescent="0.25">
      <c r="F346" s="188" t="s">
        <v>60</v>
      </c>
      <c r="G346" s="162" t="s">
        <v>60</v>
      </c>
      <c r="H346" s="163" t="s">
        <v>60</v>
      </c>
      <c r="I346" s="164" t="s">
        <v>60</v>
      </c>
      <c r="J346" s="164" t="s">
        <v>0</v>
      </c>
      <c r="K346" s="164" t="s">
        <v>0</v>
      </c>
      <c r="L346" s="164" t="s">
        <v>0</v>
      </c>
      <c r="M346" s="164" t="s">
        <v>0</v>
      </c>
      <c r="N346" s="164" t="s">
        <v>0</v>
      </c>
      <c r="O346" s="164" t="s">
        <v>0</v>
      </c>
      <c r="P346" s="164" t="s">
        <v>0</v>
      </c>
      <c r="Q346" s="164" t="s">
        <v>0</v>
      </c>
      <c r="R346" s="164" t="s">
        <v>0</v>
      </c>
      <c r="S346" s="164" t="s">
        <v>0</v>
      </c>
      <c r="T346" s="164" t="s">
        <v>0</v>
      </c>
      <c r="U346" s="164" t="s">
        <v>0</v>
      </c>
      <c r="V346" s="164" t="s">
        <v>0</v>
      </c>
      <c r="W346" s="164" t="s">
        <v>0</v>
      </c>
      <c r="X346" s="164" t="s">
        <v>0</v>
      </c>
      <c r="Y346" s="164" t="s">
        <v>0</v>
      </c>
      <c r="Z346" s="164" t="s">
        <v>0</v>
      </c>
      <c r="AA346" s="164" t="s">
        <v>0</v>
      </c>
      <c r="AB346" s="164" t="s">
        <v>0</v>
      </c>
      <c r="AC346" s="164" t="s">
        <v>0</v>
      </c>
      <c r="AD346" s="164" t="s">
        <v>0</v>
      </c>
      <c r="AE346" s="164" t="s">
        <v>0</v>
      </c>
      <c r="AF346" s="164" t="s">
        <v>0</v>
      </c>
      <c r="AG346" s="164" t="s">
        <v>0</v>
      </c>
      <c r="AH346" s="164" t="s">
        <v>0</v>
      </c>
      <c r="AI346" s="164" t="s">
        <v>0</v>
      </c>
      <c r="AJ346" s="164" t="s">
        <v>0</v>
      </c>
      <c r="AK346" s="164" t="s">
        <v>0</v>
      </c>
      <c r="AL346" s="164" t="s">
        <v>0</v>
      </c>
      <c r="AM346" s="164" t="s">
        <v>0</v>
      </c>
      <c r="AN346" s="164" t="s">
        <v>0</v>
      </c>
      <c r="AO346" s="164" t="s">
        <v>0</v>
      </c>
      <c r="AP346" s="164" t="s">
        <v>0</v>
      </c>
      <c r="AQ346" s="164" t="s">
        <v>0</v>
      </c>
      <c r="AR346" s="164" t="s">
        <v>0</v>
      </c>
      <c r="AS346" s="164" t="s">
        <v>0</v>
      </c>
      <c r="AT346" s="164" t="s">
        <v>0</v>
      </c>
      <c r="AU346" s="164" t="s">
        <v>0</v>
      </c>
      <c r="AV346" s="164" t="s">
        <v>0</v>
      </c>
      <c r="AW346" s="164" t="s">
        <v>0</v>
      </c>
      <c r="AX346" s="164" t="s">
        <v>0</v>
      </c>
      <c r="AY346" s="164" t="s">
        <v>0</v>
      </c>
      <c r="AZ346" s="164" t="s">
        <v>0</v>
      </c>
      <c r="BA346" s="164" t="s">
        <v>0</v>
      </c>
      <c r="BB346" s="164" t="s">
        <v>0</v>
      </c>
      <c r="BC346" s="164" t="s">
        <v>0</v>
      </c>
      <c r="BD346" s="164" t="s">
        <v>0</v>
      </c>
      <c r="BE346" s="164" t="s">
        <v>0</v>
      </c>
      <c r="BF346" s="164" t="s">
        <v>0</v>
      </c>
      <c r="BG346" s="164" t="s">
        <v>0</v>
      </c>
      <c r="BH346" s="164" t="s">
        <v>0</v>
      </c>
      <c r="BI346" s="189"/>
      <c r="DL346">
        <f t="shared" si="1823"/>
        <v>0</v>
      </c>
      <c r="DM346">
        <f t="shared" si="1824"/>
        <v>0</v>
      </c>
      <c r="DN346">
        <f t="shared" si="1825"/>
        <v>0</v>
      </c>
      <c r="DO346">
        <f t="shared" si="1826"/>
        <v>0</v>
      </c>
      <c r="DP346">
        <f t="shared" si="1827"/>
        <v>0</v>
      </c>
      <c r="DQ346">
        <f t="shared" si="1828"/>
        <v>0</v>
      </c>
      <c r="DR346">
        <f t="shared" si="1829"/>
        <v>0</v>
      </c>
      <c r="DS346">
        <f t="shared" si="1830"/>
        <v>0</v>
      </c>
      <c r="DT346">
        <f t="shared" si="1831"/>
        <v>0</v>
      </c>
      <c r="DU346">
        <f t="shared" si="1832"/>
        <v>0</v>
      </c>
      <c r="DV346">
        <f t="shared" si="1833"/>
        <v>0</v>
      </c>
      <c r="DW346">
        <f t="shared" si="1834"/>
        <v>0</v>
      </c>
    </row>
    <row r="347" spans="6:127" x14ac:dyDescent="0.25">
      <c r="F347" s="155" t="s">
        <v>61</v>
      </c>
      <c r="G347" s="181">
        <v>5501017965</v>
      </c>
      <c r="H347" s="155" t="s">
        <v>62</v>
      </c>
      <c r="I347" s="181">
        <v>91</v>
      </c>
      <c r="J347" s="155" t="s">
        <v>63</v>
      </c>
      <c r="K347" s="160">
        <v>1177752</v>
      </c>
      <c r="L347" s="161"/>
      <c r="M347" s="190" t="s">
        <v>64</v>
      </c>
      <c r="N347" s="191"/>
      <c r="O347" s="192">
        <v>46086</v>
      </c>
      <c r="P347" s="155" t="s">
        <v>65</v>
      </c>
      <c r="Q347" s="181">
        <v>4</v>
      </c>
      <c r="R347" s="6" t="s">
        <v>0</v>
      </c>
      <c r="S347" s="7" t="s">
        <v>0</v>
      </c>
      <c r="T347" s="7" t="s">
        <v>0</v>
      </c>
      <c r="U347" s="7" t="s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 t="s">
        <v>0</v>
      </c>
      <c r="AA347" s="7" t="s">
        <v>0</v>
      </c>
      <c r="AB347" s="7" t="s">
        <v>0</v>
      </c>
      <c r="AC347" s="7" t="s">
        <v>0</v>
      </c>
      <c r="AD347" s="7" t="s">
        <v>0</v>
      </c>
      <c r="AE347" s="7" t="s">
        <v>0</v>
      </c>
      <c r="AF347" s="7" t="s">
        <v>0</v>
      </c>
      <c r="AG347" s="7" t="s">
        <v>0</v>
      </c>
      <c r="AH347" s="7" t="s">
        <v>0</v>
      </c>
      <c r="AI347" s="7" t="s">
        <v>0</v>
      </c>
      <c r="AJ347" s="7" t="s">
        <v>0</v>
      </c>
      <c r="AK347" s="7" t="s">
        <v>0</v>
      </c>
      <c r="AL347" s="7" t="s">
        <v>0</v>
      </c>
      <c r="AM347" s="7" t="s">
        <v>0</v>
      </c>
      <c r="AN347" s="7" t="s">
        <v>0</v>
      </c>
      <c r="AO347" s="7" t="s">
        <v>0</v>
      </c>
      <c r="AP347" s="7" t="s">
        <v>0</v>
      </c>
      <c r="AQ347" s="7" t="s">
        <v>0</v>
      </c>
      <c r="AR347" s="7" t="s">
        <v>0</v>
      </c>
      <c r="AS347" s="7" t="s">
        <v>0</v>
      </c>
      <c r="AT347" s="7" t="s">
        <v>0</v>
      </c>
      <c r="AU347" s="7" t="s">
        <v>0</v>
      </c>
      <c r="AV347" s="7" t="s">
        <v>0</v>
      </c>
      <c r="AW347" s="7" t="s">
        <v>0</v>
      </c>
      <c r="AX347" s="7" t="s">
        <v>0</v>
      </c>
      <c r="AY347" s="7" t="s">
        <v>0</v>
      </c>
      <c r="AZ347" s="7" t="s">
        <v>0</v>
      </c>
      <c r="BA347" s="7" t="s">
        <v>0</v>
      </c>
      <c r="BB347" s="7" t="s">
        <v>0</v>
      </c>
      <c r="BC347" s="7" t="s">
        <v>0</v>
      </c>
      <c r="BD347" s="7" t="s">
        <v>0</v>
      </c>
      <c r="BE347" s="7" t="s">
        <v>0</v>
      </c>
      <c r="BF347" s="7" t="s">
        <v>0</v>
      </c>
      <c r="BG347" s="7" t="s">
        <v>0</v>
      </c>
      <c r="BH347" s="7" t="s">
        <v>0</v>
      </c>
      <c r="BI347" s="8"/>
      <c r="DL347">
        <f t="shared" si="1823"/>
        <v>0</v>
      </c>
      <c r="DM347">
        <f t="shared" si="1824"/>
        <v>0</v>
      </c>
      <c r="DN347">
        <f t="shared" si="1825"/>
        <v>0</v>
      </c>
      <c r="DO347">
        <f t="shared" si="1826"/>
        <v>0</v>
      </c>
      <c r="DP347">
        <f t="shared" si="1827"/>
        <v>0</v>
      </c>
      <c r="DQ347">
        <f t="shared" si="1828"/>
        <v>0</v>
      </c>
      <c r="DR347">
        <f t="shared" si="1829"/>
        <v>0</v>
      </c>
      <c r="DS347">
        <f t="shared" si="1830"/>
        <v>0</v>
      </c>
      <c r="DT347">
        <f t="shared" si="1831"/>
        <v>0</v>
      </c>
      <c r="DU347">
        <f t="shared" si="1832"/>
        <v>0</v>
      </c>
      <c r="DV347">
        <f t="shared" si="1833"/>
        <v>0</v>
      </c>
      <c r="DW347">
        <f t="shared" si="1834"/>
        <v>0</v>
      </c>
    </row>
    <row r="348" spans="6:127" x14ac:dyDescent="0.25">
      <c r="F348" s="155" t="s">
        <v>66</v>
      </c>
      <c r="G348" s="181" t="s">
        <v>371</v>
      </c>
      <c r="H348" s="155" t="s">
        <v>67</v>
      </c>
      <c r="I348" s="182" t="s">
        <v>372</v>
      </c>
      <c r="J348" s="183"/>
      <c r="K348" s="183"/>
      <c r="L348" s="161"/>
      <c r="M348" s="155" t="s">
        <v>68</v>
      </c>
      <c r="N348" s="181">
        <v>2025</v>
      </c>
      <c r="O348" s="184" t="s">
        <v>69</v>
      </c>
      <c r="P348" s="185"/>
      <c r="Q348" s="193" t="s">
        <v>342</v>
      </c>
      <c r="R348" s="156" t="s">
        <v>0</v>
      </c>
      <c r="S348" s="157" t="s">
        <v>0</v>
      </c>
      <c r="T348" s="157" t="s">
        <v>0</v>
      </c>
      <c r="U348" s="157" t="s">
        <v>0</v>
      </c>
      <c r="V348" s="157" t="s">
        <v>0</v>
      </c>
      <c r="W348" s="157" t="s">
        <v>0</v>
      </c>
      <c r="X348" s="157" t="s">
        <v>0</v>
      </c>
      <c r="Y348" s="157" t="s">
        <v>0</v>
      </c>
      <c r="Z348" s="157" t="s">
        <v>0</v>
      </c>
      <c r="AA348" s="157" t="s">
        <v>0</v>
      </c>
      <c r="AB348" s="157" t="s">
        <v>0</v>
      </c>
      <c r="AC348" s="157" t="s">
        <v>0</v>
      </c>
      <c r="AD348" s="157" t="s">
        <v>0</v>
      </c>
      <c r="AE348" s="157" t="s">
        <v>0</v>
      </c>
      <c r="AF348" s="157" t="s">
        <v>0</v>
      </c>
      <c r="AG348" s="157" t="s">
        <v>0</v>
      </c>
      <c r="AH348" s="157" t="s">
        <v>0</v>
      </c>
      <c r="AI348" s="157" t="s">
        <v>0</v>
      </c>
      <c r="AJ348" s="157" t="s">
        <v>0</v>
      </c>
      <c r="AK348" s="157" t="s">
        <v>0</v>
      </c>
      <c r="AL348" s="157" t="s">
        <v>0</v>
      </c>
      <c r="AM348" s="157" t="s">
        <v>0</v>
      </c>
      <c r="AN348" s="157" t="s">
        <v>0</v>
      </c>
      <c r="AO348" s="157" t="s">
        <v>0</v>
      </c>
      <c r="AP348" s="157" t="s">
        <v>0</v>
      </c>
      <c r="AQ348" s="157" t="s">
        <v>0</v>
      </c>
      <c r="AR348" s="157" t="s">
        <v>0</v>
      </c>
      <c r="AS348" s="157" t="s">
        <v>0</v>
      </c>
      <c r="AT348" s="157" t="s">
        <v>0</v>
      </c>
      <c r="AU348" s="157" t="s">
        <v>0</v>
      </c>
      <c r="AV348" s="157" t="s">
        <v>0</v>
      </c>
      <c r="AW348" s="157" t="s">
        <v>0</v>
      </c>
      <c r="AX348" s="157" t="s">
        <v>0</v>
      </c>
      <c r="AY348" s="157" t="s">
        <v>0</v>
      </c>
      <c r="AZ348" s="157" t="s">
        <v>0</v>
      </c>
      <c r="BA348" s="157" t="s">
        <v>0</v>
      </c>
      <c r="BB348" s="157" t="s">
        <v>0</v>
      </c>
      <c r="BC348" s="157" t="s">
        <v>0</v>
      </c>
      <c r="BD348" s="157" t="s">
        <v>0</v>
      </c>
      <c r="BE348" s="157" t="s">
        <v>0</v>
      </c>
      <c r="BF348" s="157" t="s">
        <v>0</v>
      </c>
      <c r="BG348" s="157" t="s">
        <v>0</v>
      </c>
      <c r="BH348" s="157" t="s">
        <v>0</v>
      </c>
      <c r="BI348" s="158"/>
      <c r="DL348">
        <f t="shared" si="1823"/>
        <v>0</v>
      </c>
      <c r="DM348">
        <f t="shared" si="1824"/>
        <v>0</v>
      </c>
      <c r="DN348">
        <f t="shared" si="1825"/>
        <v>0</v>
      </c>
      <c r="DO348">
        <f t="shared" si="1826"/>
        <v>0</v>
      </c>
      <c r="DP348">
        <f t="shared" si="1827"/>
        <v>0</v>
      </c>
      <c r="DQ348">
        <f t="shared" si="1828"/>
        <v>0</v>
      </c>
      <c r="DR348">
        <f t="shared" si="1829"/>
        <v>0</v>
      </c>
      <c r="DS348">
        <f t="shared" si="1830"/>
        <v>0</v>
      </c>
      <c r="DT348">
        <f t="shared" si="1831"/>
        <v>0</v>
      </c>
      <c r="DU348">
        <f t="shared" si="1832"/>
        <v>0</v>
      </c>
      <c r="DV348">
        <f t="shared" si="1833"/>
        <v>0</v>
      </c>
      <c r="DW348">
        <f t="shared" si="1834"/>
        <v>0</v>
      </c>
    </row>
    <row r="349" spans="6:127" x14ac:dyDescent="0.25">
      <c r="F349" s="155" t="s">
        <v>70</v>
      </c>
      <c r="G349" s="181" t="s">
        <v>373</v>
      </c>
      <c r="H349" s="155" t="s">
        <v>71</v>
      </c>
      <c r="I349" s="182" t="s">
        <v>60</v>
      </c>
      <c r="J349" s="161" t="s">
        <v>0</v>
      </c>
      <c r="K349" s="194" t="s">
        <v>0</v>
      </c>
      <c r="L349" s="195" t="s">
        <v>0</v>
      </c>
      <c r="M349" s="179" t="s">
        <v>0</v>
      </c>
      <c r="N349" s="179" t="s">
        <v>0</v>
      </c>
      <c r="O349" s="179" t="s">
        <v>0</v>
      </c>
      <c r="P349" s="179" t="s">
        <v>0</v>
      </c>
      <c r="Q349" s="179" t="s">
        <v>1</v>
      </c>
      <c r="R349" s="179" t="s">
        <v>2</v>
      </c>
      <c r="S349" s="179" t="s">
        <v>0</v>
      </c>
      <c r="T349" s="179" t="s">
        <v>0</v>
      </c>
      <c r="U349" s="179" t="s">
        <v>0</v>
      </c>
      <c r="V349" s="179" t="s">
        <v>0</v>
      </c>
      <c r="W349" s="179" t="s">
        <v>0</v>
      </c>
      <c r="X349" s="179" t="s">
        <v>0</v>
      </c>
      <c r="Y349" s="179" t="s">
        <v>0</v>
      </c>
      <c r="Z349" s="179" t="s">
        <v>3</v>
      </c>
      <c r="AA349" s="179" t="s">
        <v>0</v>
      </c>
      <c r="AB349" s="179" t="s">
        <v>0</v>
      </c>
      <c r="AC349" s="179" t="s">
        <v>0</v>
      </c>
      <c r="AD349" s="179" t="s">
        <v>0</v>
      </c>
      <c r="AE349" s="179" t="s">
        <v>0</v>
      </c>
      <c r="AF349" s="179" t="s">
        <v>0</v>
      </c>
      <c r="AG349" s="179" t="s">
        <v>0</v>
      </c>
      <c r="AH349" s="179" t="s">
        <v>0</v>
      </c>
      <c r="AI349" s="179" t="s">
        <v>0</v>
      </c>
      <c r="AJ349" s="179" t="s">
        <v>0</v>
      </c>
      <c r="AK349" s="179" t="s">
        <v>0</v>
      </c>
      <c r="AL349" s="179" t="s">
        <v>0</v>
      </c>
      <c r="AM349" s="179" t="s">
        <v>0</v>
      </c>
      <c r="AN349" s="179" t="s">
        <v>0</v>
      </c>
      <c r="AO349" s="179" t="s">
        <v>0</v>
      </c>
      <c r="AP349" s="179" t="s">
        <v>0</v>
      </c>
      <c r="AQ349" s="179" t="s">
        <v>0</v>
      </c>
      <c r="AR349" s="179" t="s">
        <v>0</v>
      </c>
      <c r="AS349" s="179" t="s">
        <v>0</v>
      </c>
      <c r="AT349" s="179" t="s">
        <v>0</v>
      </c>
      <c r="AU349" s="179" t="s">
        <v>0</v>
      </c>
      <c r="AV349" s="179" t="s">
        <v>0</v>
      </c>
      <c r="AW349" s="179" t="s">
        <v>0</v>
      </c>
      <c r="AX349" s="179" t="s">
        <v>0</v>
      </c>
      <c r="AY349" s="179" t="s">
        <v>0</v>
      </c>
      <c r="AZ349" s="179" t="s">
        <v>0</v>
      </c>
      <c r="BA349" s="179" t="s">
        <v>0</v>
      </c>
      <c r="BB349" s="179" t="s">
        <v>0</v>
      </c>
      <c r="BC349" s="179" t="s">
        <v>0</v>
      </c>
      <c r="BD349" s="179" t="s">
        <v>0</v>
      </c>
      <c r="BE349" s="179" t="s">
        <v>0</v>
      </c>
      <c r="BF349" s="179" t="s">
        <v>0</v>
      </c>
      <c r="BG349" s="179" t="s">
        <v>0</v>
      </c>
      <c r="BH349" s="179" t="s">
        <v>0</v>
      </c>
      <c r="BI349" s="180" t="s">
        <v>4</v>
      </c>
      <c r="DL349">
        <f t="shared" si="1823"/>
        <v>0</v>
      </c>
      <c r="DM349">
        <f t="shared" si="1824"/>
        <v>0</v>
      </c>
      <c r="DN349">
        <f t="shared" si="1825"/>
        <v>0</v>
      </c>
      <c r="DO349">
        <f t="shared" si="1826"/>
        <v>0</v>
      </c>
      <c r="DP349">
        <f t="shared" si="1827"/>
        <v>0</v>
      </c>
      <c r="DQ349">
        <f t="shared" si="1828"/>
        <v>0</v>
      </c>
      <c r="DR349">
        <f t="shared" si="1829"/>
        <v>0</v>
      </c>
      <c r="DS349">
        <f t="shared" si="1830"/>
        <v>0</v>
      </c>
      <c r="DT349">
        <f t="shared" si="1831"/>
        <v>0</v>
      </c>
      <c r="DU349">
        <f t="shared" si="1832"/>
        <v>0</v>
      </c>
      <c r="DV349">
        <f t="shared" si="1833"/>
        <v>0</v>
      </c>
      <c r="DW349">
        <f t="shared" si="1834"/>
        <v>0</v>
      </c>
    </row>
    <row r="350" spans="6:127" x14ac:dyDescent="0.25">
      <c r="F350" s="155" t="s">
        <v>72</v>
      </c>
      <c r="G350" s="181">
        <v>0</v>
      </c>
      <c r="H350" s="196" t="s">
        <v>414</v>
      </c>
      <c r="I350" s="197" t="s">
        <v>73</v>
      </c>
      <c r="J350" s="13">
        <v>46041</v>
      </c>
      <c r="K350" s="14">
        <v>46048</v>
      </c>
      <c r="L350" s="14">
        <v>46055</v>
      </c>
      <c r="M350" s="14">
        <v>46062</v>
      </c>
      <c r="N350" s="14">
        <v>46069</v>
      </c>
      <c r="O350" s="14">
        <v>46076</v>
      </c>
      <c r="P350" s="14">
        <v>46083</v>
      </c>
      <c r="Q350" s="14">
        <v>46090</v>
      </c>
      <c r="R350" s="14">
        <v>46097</v>
      </c>
      <c r="S350" s="14">
        <v>46104</v>
      </c>
      <c r="T350" s="14">
        <v>46111</v>
      </c>
      <c r="U350" s="14">
        <v>46118</v>
      </c>
      <c r="V350" s="14">
        <v>46125</v>
      </c>
      <c r="W350" s="14">
        <v>46132</v>
      </c>
      <c r="X350" s="14">
        <v>46139</v>
      </c>
      <c r="Y350" s="14">
        <v>46146</v>
      </c>
      <c r="Z350" s="14">
        <v>46153</v>
      </c>
      <c r="AA350" s="14">
        <v>46160</v>
      </c>
      <c r="AB350" s="14">
        <v>46167</v>
      </c>
      <c r="AC350" s="14">
        <v>46174</v>
      </c>
      <c r="AD350" s="14">
        <v>46181</v>
      </c>
      <c r="AE350" s="14">
        <v>46188</v>
      </c>
      <c r="AF350" s="14">
        <v>46195</v>
      </c>
      <c r="AG350" s="14">
        <v>46202</v>
      </c>
      <c r="AH350" s="14">
        <v>46209</v>
      </c>
      <c r="AI350" s="14">
        <v>46216</v>
      </c>
      <c r="AJ350" s="14">
        <v>46223</v>
      </c>
      <c r="AK350" s="14">
        <v>46230</v>
      </c>
      <c r="AL350" s="14">
        <v>46237</v>
      </c>
      <c r="AM350" s="14">
        <v>46244</v>
      </c>
      <c r="AN350" s="14">
        <v>46251</v>
      </c>
      <c r="AO350" s="14">
        <v>46258</v>
      </c>
      <c r="AP350" s="14">
        <v>46265</v>
      </c>
      <c r="AQ350" s="14">
        <v>46272</v>
      </c>
      <c r="AR350" s="14">
        <v>46279</v>
      </c>
      <c r="AS350" s="14">
        <v>46286</v>
      </c>
      <c r="AT350" s="14">
        <v>46293</v>
      </c>
      <c r="AU350" s="14">
        <v>46300</v>
      </c>
      <c r="AV350" s="14">
        <v>46307</v>
      </c>
      <c r="AW350" s="14">
        <v>46314</v>
      </c>
      <c r="AX350" s="14">
        <v>46321</v>
      </c>
      <c r="AY350" s="14">
        <v>46328</v>
      </c>
      <c r="AZ350" s="14">
        <v>46335</v>
      </c>
      <c r="BA350" s="14">
        <v>46342</v>
      </c>
      <c r="BB350" s="14">
        <v>46349</v>
      </c>
      <c r="BC350" s="14">
        <v>46356</v>
      </c>
      <c r="BD350" s="14">
        <v>46363</v>
      </c>
      <c r="BE350" s="14">
        <v>46370</v>
      </c>
      <c r="BF350" s="14">
        <v>46377</v>
      </c>
      <c r="BG350" s="14">
        <v>46384</v>
      </c>
      <c r="BH350" s="14">
        <v>46391</v>
      </c>
      <c r="BI350" s="15">
        <v>46398</v>
      </c>
      <c r="DL350">
        <f t="shared" si="1823"/>
        <v>0</v>
      </c>
      <c r="DM350">
        <f t="shared" si="1824"/>
        <v>0</v>
      </c>
      <c r="DN350">
        <f t="shared" si="1825"/>
        <v>0</v>
      </c>
      <c r="DO350">
        <f t="shared" si="1826"/>
        <v>0</v>
      </c>
      <c r="DP350">
        <f t="shared" si="1827"/>
        <v>0</v>
      </c>
      <c r="DQ350">
        <f t="shared" si="1828"/>
        <v>0</v>
      </c>
      <c r="DR350">
        <f t="shared" si="1829"/>
        <v>0</v>
      </c>
      <c r="DS350">
        <f t="shared" si="1830"/>
        <v>0</v>
      </c>
      <c r="DT350">
        <f t="shared" si="1831"/>
        <v>0</v>
      </c>
      <c r="DU350">
        <f t="shared" si="1832"/>
        <v>0</v>
      </c>
      <c r="DV350">
        <f t="shared" si="1833"/>
        <v>0</v>
      </c>
      <c r="DW350">
        <f t="shared" si="1834"/>
        <v>0</v>
      </c>
    </row>
    <row r="351" spans="6:127" x14ac:dyDescent="0.25">
      <c r="F351" s="155" t="s">
        <v>74</v>
      </c>
      <c r="G351" s="181">
        <v>0</v>
      </c>
      <c r="H351" s="5" t="s">
        <v>60</v>
      </c>
      <c r="I351" s="11" t="s">
        <v>147</v>
      </c>
      <c r="J351" s="16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17"/>
      <c r="DL351">
        <f t="shared" si="1823"/>
        <v>0</v>
      </c>
      <c r="DM351">
        <f t="shared" si="1824"/>
        <v>0</v>
      </c>
      <c r="DN351">
        <f t="shared" si="1825"/>
        <v>0</v>
      </c>
      <c r="DO351">
        <f t="shared" si="1826"/>
        <v>0</v>
      </c>
      <c r="DP351">
        <f t="shared" si="1827"/>
        <v>0</v>
      </c>
      <c r="DQ351">
        <f t="shared" si="1828"/>
        <v>0</v>
      </c>
      <c r="DR351">
        <f t="shared" si="1829"/>
        <v>0</v>
      </c>
      <c r="DS351">
        <f t="shared" si="1830"/>
        <v>0</v>
      </c>
      <c r="DT351">
        <f t="shared" si="1831"/>
        <v>0</v>
      </c>
      <c r="DU351">
        <f t="shared" si="1832"/>
        <v>0</v>
      </c>
      <c r="DV351">
        <f t="shared" si="1833"/>
        <v>0</v>
      </c>
      <c r="DW351">
        <f t="shared" si="1834"/>
        <v>0</v>
      </c>
    </row>
    <row r="352" spans="6:127" x14ac:dyDescent="0.25">
      <c r="F352" s="155" t="s">
        <v>75</v>
      </c>
      <c r="G352" s="198" t="s">
        <v>257</v>
      </c>
      <c r="H352" s="9" t="s">
        <v>221</v>
      </c>
      <c r="I352" s="11" t="s">
        <v>76</v>
      </c>
      <c r="J352" s="143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>
        <v>0</v>
      </c>
      <c r="AA352" s="64">
        <v>0</v>
      </c>
      <c r="AB352" s="64">
        <v>0</v>
      </c>
      <c r="AC352" s="64">
        <v>0</v>
      </c>
      <c r="AD352" s="64">
        <v>0</v>
      </c>
      <c r="AE352" s="64">
        <v>0</v>
      </c>
      <c r="AF352" s="64">
        <v>0</v>
      </c>
      <c r="AG352" s="64">
        <v>0</v>
      </c>
      <c r="AH352" s="64">
        <v>0</v>
      </c>
      <c r="AI352" s="64">
        <v>0</v>
      </c>
      <c r="AJ352" s="64">
        <v>0</v>
      </c>
      <c r="AK352" s="64">
        <v>0</v>
      </c>
      <c r="AL352" s="64">
        <v>0</v>
      </c>
      <c r="AM352" s="64">
        <v>0</v>
      </c>
      <c r="AN352" s="64">
        <v>0</v>
      </c>
      <c r="AO352" s="64">
        <v>0</v>
      </c>
      <c r="AP352" s="64">
        <v>0</v>
      </c>
      <c r="AQ352" s="64">
        <v>0</v>
      </c>
      <c r="AR352" s="64">
        <v>0</v>
      </c>
      <c r="AS352" s="64">
        <v>0</v>
      </c>
      <c r="AT352" s="64">
        <v>0</v>
      </c>
      <c r="AU352" s="64">
        <v>0</v>
      </c>
      <c r="AV352" s="64">
        <v>0</v>
      </c>
      <c r="AW352" s="64">
        <v>0</v>
      </c>
      <c r="AX352" s="64">
        <v>0</v>
      </c>
      <c r="AY352" s="64">
        <v>0</v>
      </c>
      <c r="AZ352" s="64">
        <v>0</v>
      </c>
      <c r="BA352" s="64">
        <v>0</v>
      </c>
      <c r="BB352" s="64">
        <v>0</v>
      </c>
      <c r="BC352" s="64">
        <v>0</v>
      </c>
      <c r="BD352" s="64">
        <v>0</v>
      </c>
      <c r="BE352" s="64">
        <v>0</v>
      </c>
      <c r="BF352" s="64">
        <v>0</v>
      </c>
      <c r="BG352" s="64">
        <v>0</v>
      </c>
      <c r="BH352" s="64">
        <v>0</v>
      </c>
      <c r="BI352" s="144">
        <v>0</v>
      </c>
      <c r="BJ352" s="24" t="str">
        <f>+G349</f>
        <v>82115-0E501 B</v>
      </c>
      <c r="BK352" s="24">
        <f>+J352</f>
        <v>0</v>
      </c>
      <c r="BL352" s="24">
        <f t="shared" ref="BL352" si="1886">+K352</f>
        <v>0</v>
      </c>
      <c r="BM352" s="24">
        <f t="shared" ref="BM352" si="1887">+L352</f>
        <v>0</v>
      </c>
      <c r="BN352" s="24">
        <f t="shared" ref="BN352" si="1888">+M352</f>
        <v>0</v>
      </c>
      <c r="BO352" s="24">
        <f t="shared" ref="BO352" si="1889">+N352</f>
        <v>0</v>
      </c>
      <c r="BP352" s="24">
        <f t="shared" ref="BP352" si="1890">+O352</f>
        <v>0</v>
      </c>
      <c r="BQ352" s="24">
        <f t="shared" ref="BQ352" si="1891">+P352</f>
        <v>0</v>
      </c>
      <c r="BR352" s="24">
        <f t="shared" ref="BR352" si="1892">+Q352</f>
        <v>0</v>
      </c>
      <c r="BS352" s="24">
        <f t="shared" ref="BS352" si="1893">+R352</f>
        <v>0</v>
      </c>
      <c r="BT352" s="24">
        <f t="shared" ref="BT352" si="1894">+S352</f>
        <v>0</v>
      </c>
      <c r="BU352" s="24">
        <f t="shared" ref="BU352" si="1895">+T352</f>
        <v>0</v>
      </c>
      <c r="BV352" s="24">
        <f t="shared" ref="BV352" si="1896">+U352</f>
        <v>0</v>
      </c>
      <c r="BW352" s="24">
        <f t="shared" ref="BW352" si="1897">+V352</f>
        <v>0</v>
      </c>
      <c r="BX352" s="24">
        <f t="shared" ref="BX352" si="1898">+W352</f>
        <v>0</v>
      </c>
      <c r="BY352" s="24">
        <f t="shared" ref="BY352" si="1899">+X352</f>
        <v>0</v>
      </c>
      <c r="BZ352" s="24">
        <f t="shared" ref="BZ352" si="1900">+Y352</f>
        <v>0</v>
      </c>
      <c r="CA352" s="24">
        <f t="shared" ref="CA352" si="1901">+Z352</f>
        <v>0</v>
      </c>
      <c r="CB352" s="24">
        <f t="shared" ref="CB352" si="1902">+AA352</f>
        <v>0</v>
      </c>
      <c r="CC352" s="24">
        <f t="shared" ref="CC352" si="1903">+AB352</f>
        <v>0</v>
      </c>
      <c r="CD352" s="24">
        <f t="shared" ref="CD352" si="1904">+AC352</f>
        <v>0</v>
      </c>
      <c r="CE352" s="24">
        <f t="shared" ref="CE352" si="1905">+AD352</f>
        <v>0</v>
      </c>
      <c r="CF352" s="24">
        <f t="shared" ref="CF352" si="1906">+AE352</f>
        <v>0</v>
      </c>
      <c r="CG352" s="24">
        <f t="shared" ref="CG352" si="1907">+AF352</f>
        <v>0</v>
      </c>
      <c r="CH352" s="24">
        <f t="shared" ref="CH352" si="1908">+AG352</f>
        <v>0</v>
      </c>
      <c r="CI352" s="24">
        <f t="shared" ref="CI352" si="1909">+AH352</f>
        <v>0</v>
      </c>
      <c r="CJ352" s="24">
        <f t="shared" ref="CJ352" si="1910">+AI352</f>
        <v>0</v>
      </c>
      <c r="CK352" s="24">
        <f t="shared" ref="CK352" si="1911">+AJ352</f>
        <v>0</v>
      </c>
      <c r="CL352" s="24">
        <f t="shared" ref="CL352" si="1912">+AK352</f>
        <v>0</v>
      </c>
      <c r="CM352" s="24">
        <f t="shared" ref="CM352" si="1913">+AL352</f>
        <v>0</v>
      </c>
      <c r="CN352" s="24">
        <f t="shared" ref="CN352" si="1914">+AM352</f>
        <v>0</v>
      </c>
      <c r="CO352" s="24">
        <f t="shared" ref="CO352" si="1915">+AN352</f>
        <v>0</v>
      </c>
      <c r="CP352" s="166">
        <f t="shared" ref="CP352" si="1916">+AO352</f>
        <v>0</v>
      </c>
      <c r="CQ352" s="166">
        <f t="shared" ref="CQ352" si="1917">+AP352</f>
        <v>0</v>
      </c>
      <c r="CR352">
        <f t="shared" ref="CR352" si="1918">+AQ352</f>
        <v>0</v>
      </c>
      <c r="CS352">
        <f t="shared" ref="CS352" si="1919">+AR352</f>
        <v>0</v>
      </c>
      <c r="CT352">
        <f t="shared" ref="CT352" si="1920">+AS352</f>
        <v>0</v>
      </c>
      <c r="CU352">
        <f t="shared" ref="CU352" si="1921">+AT352</f>
        <v>0</v>
      </c>
      <c r="CV352">
        <f t="shared" ref="CV352" si="1922">+AU352</f>
        <v>0</v>
      </c>
      <c r="CW352">
        <f t="shared" ref="CW352" si="1923">+AV352</f>
        <v>0</v>
      </c>
      <c r="CX352">
        <f t="shared" ref="CX352" si="1924">+AW352</f>
        <v>0</v>
      </c>
      <c r="CY352">
        <f t="shared" ref="CY352" si="1925">+AX352</f>
        <v>0</v>
      </c>
      <c r="CZ352">
        <f t="shared" ref="CZ352" si="1926">+AY352</f>
        <v>0</v>
      </c>
      <c r="DA352">
        <f t="shared" ref="DA352" si="1927">+AZ352</f>
        <v>0</v>
      </c>
      <c r="DB352">
        <f t="shared" ref="DB352" si="1928">+BA352</f>
        <v>0</v>
      </c>
      <c r="DC352">
        <f t="shared" ref="DC352" si="1929">+BB352</f>
        <v>0</v>
      </c>
      <c r="DD352">
        <f t="shared" ref="DD352" si="1930">+BC352</f>
        <v>0</v>
      </c>
      <c r="DE352">
        <f t="shared" ref="DE352" si="1931">+BD352</f>
        <v>0</v>
      </c>
      <c r="DF352">
        <f t="shared" ref="DF352" si="1932">+BE352</f>
        <v>0</v>
      </c>
      <c r="DG352">
        <f t="shared" ref="DG352" si="1933">+BF352</f>
        <v>0</v>
      </c>
      <c r="DH352">
        <f t="shared" ref="DH352" si="1934">+BG352</f>
        <v>0</v>
      </c>
      <c r="DI352">
        <f t="shared" ref="DI352" si="1935">+BH352</f>
        <v>0</v>
      </c>
      <c r="DJ352">
        <f t="shared" ref="DJ352" si="1936">+BI352</f>
        <v>0</v>
      </c>
      <c r="DL352" s="24">
        <f t="shared" si="1823"/>
        <v>0</v>
      </c>
      <c r="DM352" s="24">
        <f t="shared" si="1824"/>
        <v>0</v>
      </c>
      <c r="DN352" s="24">
        <f t="shared" si="1825"/>
        <v>0</v>
      </c>
      <c r="DO352" s="24">
        <f t="shared" si="1826"/>
        <v>0</v>
      </c>
      <c r="DP352" s="24">
        <f t="shared" si="1827"/>
        <v>0</v>
      </c>
      <c r="DQ352" s="24">
        <f t="shared" si="1828"/>
        <v>0</v>
      </c>
      <c r="DR352" s="24">
        <f t="shared" si="1829"/>
        <v>0</v>
      </c>
      <c r="DS352" s="24">
        <f t="shared" si="1830"/>
        <v>0</v>
      </c>
      <c r="DT352" s="24">
        <f t="shared" si="1831"/>
        <v>0</v>
      </c>
      <c r="DU352">
        <f t="shared" si="1832"/>
        <v>0</v>
      </c>
      <c r="DV352">
        <f t="shared" si="1833"/>
        <v>0</v>
      </c>
      <c r="DW352">
        <f t="shared" si="1834"/>
        <v>0</v>
      </c>
    </row>
    <row r="353" spans="6:127" x14ac:dyDescent="0.25">
      <c r="F353" s="155" t="s">
        <v>77</v>
      </c>
      <c r="G353" s="181">
        <v>82115</v>
      </c>
      <c r="H353" s="10" t="s">
        <v>221</v>
      </c>
      <c r="I353" s="12" t="s">
        <v>78</v>
      </c>
      <c r="J353" s="152">
        <v>0</v>
      </c>
      <c r="K353" s="153">
        <v>0</v>
      </c>
      <c r="L353" s="153">
        <v>0</v>
      </c>
      <c r="M353" s="153">
        <v>0</v>
      </c>
      <c r="N353" s="153">
        <v>0</v>
      </c>
      <c r="O353" s="153">
        <v>0</v>
      </c>
      <c r="P353" s="153">
        <v>0</v>
      </c>
      <c r="Q353" s="153">
        <v>0</v>
      </c>
      <c r="R353" s="153">
        <v>0</v>
      </c>
      <c r="S353" s="153">
        <v>0</v>
      </c>
      <c r="T353" s="153">
        <v>0</v>
      </c>
      <c r="U353" s="153">
        <v>0</v>
      </c>
      <c r="V353" s="153">
        <v>0</v>
      </c>
      <c r="W353" s="153">
        <v>0</v>
      </c>
      <c r="X353" s="153">
        <v>0</v>
      </c>
      <c r="Y353" s="153">
        <v>0</v>
      </c>
      <c r="Z353" s="153">
        <v>0</v>
      </c>
      <c r="AA353" s="153">
        <v>0</v>
      </c>
      <c r="AB353" s="153">
        <v>0</v>
      </c>
      <c r="AC353" s="153">
        <v>0</v>
      </c>
      <c r="AD353" s="153">
        <v>0</v>
      </c>
      <c r="AE353" s="153">
        <v>0</v>
      </c>
      <c r="AF353" s="153">
        <v>0</v>
      </c>
      <c r="AG353" s="153">
        <v>0</v>
      </c>
      <c r="AH353" s="153">
        <v>0</v>
      </c>
      <c r="AI353" s="153">
        <v>0</v>
      </c>
      <c r="AJ353" s="153">
        <v>0</v>
      </c>
      <c r="AK353" s="153">
        <v>0</v>
      </c>
      <c r="AL353" s="153">
        <v>0</v>
      </c>
      <c r="AM353" s="153">
        <v>0</v>
      </c>
      <c r="AN353" s="153">
        <v>0</v>
      </c>
      <c r="AO353" s="153">
        <v>0</v>
      </c>
      <c r="AP353" s="153">
        <v>0</v>
      </c>
      <c r="AQ353" s="153">
        <v>0</v>
      </c>
      <c r="AR353" s="153">
        <v>0</v>
      </c>
      <c r="AS353" s="153">
        <v>0</v>
      </c>
      <c r="AT353" s="153">
        <v>0</v>
      </c>
      <c r="AU353" s="153">
        <v>0</v>
      </c>
      <c r="AV353" s="153">
        <v>0</v>
      </c>
      <c r="AW353" s="153">
        <v>0</v>
      </c>
      <c r="AX353" s="153">
        <v>0</v>
      </c>
      <c r="AY353" s="153">
        <v>0</v>
      </c>
      <c r="AZ353" s="153">
        <v>0</v>
      </c>
      <c r="BA353" s="153">
        <v>0</v>
      </c>
      <c r="BB353" s="153">
        <v>0</v>
      </c>
      <c r="BC353" s="153">
        <v>0</v>
      </c>
      <c r="BD353" s="153">
        <v>0</v>
      </c>
      <c r="BE353" s="153">
        <v>0</v>
      </c>
      <c r="BF353" s="153">
        <v>0</v>
      </c>
      <c r="BG353" s="153">
        <v>0</v>
      </c>
      <c r="BH353" s="153">
        <v>0</v>
      </c>
      <c r="BI353" s="154">
        <v>0</v>
      </c>
      <c r="DL353">
        <f t="shared" si="1823"/>
        <v>0</v>
      </c>
      <c r="DM353">
        <f t="shared" si="1824"/>
        <v>0</v>
      </c>
      <c r="DN353">
        <f t="shared" si="1825"/>
        <v>0</v>
      </c>
      <c r="DO353">
        <f t="shared" si="1826"/>
        <v>0</v>
      </c>
      <c r="DP353">
        <f t="shared" si="1827"/>
        <v>0</v>
      </c>
      <c r="DQ353">
        <f t="shared" si="1828"/>
        <v>0</v>
      </c>
      <c r="DR353">
        <f t="shared" si="1829"/>
        <v>0</v>
      </c>
      <c r="DS353">
        <f t="shared" si="1830"/>
        <v>0</v>
      </c>
      <c r="DT353">
        <f t="shared" si="1831"/>
        <v>0</v>
      </c>
      <c r="DU353">
        <f t="shared" si="1832"/>
        <v>0</v>
      </c>
      <c r="DV353">
        <f t="shared" si="1833"/>
        <v>0</v>
      </c>
      <c r="DW353">
        <f t="shared" si="1834"/>
        <v>0</v>
      </c>
    </row>
    <row r="354" spans="6:127" x14ac:dyDescent="0.25">
      <c r="F354" s="155" t="s">
        <v>79</v>
      </c>
      <c r="G354" s="199">
        <v>0</v>
      </c>
      <c r="H354" s="184" t="s">
        <v>80</v>
      </c>
      <c r="I354" s="185"/>
      <c r="J354" s="200"/>
      <c r="K354" s="156"/>
      <c r="L354" s="157" t="s">
        <v>0</v>
      </c>
      <c r="M354" s="157" t="s">
        <v>0</v>
      </c>
      <c r="N354" s="157" t="s">
        <v>0</v>
      </c>
      <c r="O354" s="157" t="s">
        <v>0</v>
      </c>
      <c r="P354" s="157" t="s">
        <v>0</v>
      </c>
      <c r="Q354" s="157" t="s">
        <v>0</v>
      </c>
      <c r="R354" s="157" t="s">
        <v>0</v>
      </c>
      <c r="S354" s="157" t="s">
        <v>0</v>
      </c>
      <c r="T354" s="157" t="s">
        <v>0</v>
      </c>
      <c r="U354" s="157" t="s">
        <v>0</v>
      </c>
      <c r="V354" s="157" t="s">
        <v>0</v>
      </c>
      <c r="W354" s="157" t="s">
        <v>0</v>
      </c>
      <c r="X354" s="157" t="s">
        <v>0</v>
      </c>
      <c r="Y354" s="157" t="s">
        <v>0</v>
      </c>
      <c r="Z354" s="157" t="s">
        <v>0</v>
      </c>
      <c r="AA354" s="157" t="s">
        <v>0</v>
      </c>
      <c r="AB354" s="157" t="s">
        <v>0</v>
      </c>
      <c r="AC354" s="157" t="s">
        <v>0</v>
      </c>
      <c r="AD354" s="157" t="s">
        <v>0</v>
      </c>
      <c r="AE354" s="157" t="s">
        <v>0</v>
      </c>
      <c r="AF354" s="157" t="s">
        <v>0</v>
      </c>
      <c r="AG354" s="157" t="s">
        <v>0</v>
      </c>
      <c r="AH354" s="157" t="s">
        <v>0</v>
      </c>
      <c r="AI354" s="157" t="s">
        <v>0</v>
      </c>
      <c r="AJ354" s="157" t="s">
        <v>0</v>
      </c>
      <c r="AK354" s="157" t="s">
        <v>0</v>
      </c>
      <c r="AL354" s="157" t="s">
        <v>0</v>
      </c>
      <c r="AM354" s="157" t="s">
        <v>0</v>
      </c>
      <c r="AN354" s="157" t="s">
        <v>0</v>
      </c>
      <c r="AO354" s="157" t="s">
        <v>0</v>
      </c>
      <c r="AP354" s="157" t="s">
        <v>0</v>
      </c>
      <c r="AQ354" s="157" t="s">
        <v>0</v>
      </c>
      <c r="AR354" s="157" t="s">
        <v>0</v>
      </c>
      <c r="AS354" s="157" t="s">
        <v>0</v>
      </c>
      <c r="AT354" s="157" t="s">
        <v>0</v>
      </c>
      <c r="AU354" s="157" t="s">
        <v>0</v>
      </c>
      <c r="AV354" s="157" t="s">
        <v>0</v>
      </c>
      <c r="AW354" s="157" t="s">
        <v>0</v>
      </c>
      <c r="AX354" s="157" t="s">
        <v>0</v>
      </c>
      <c r="AY354" s="157" t="s">
        <v>0</v>
      </c>
      <c r="AZ354" s="157" t="s">
        <v>0</v>
      </c>
      <c r="BA354" s="157" t="s">
        <v>0</v>
      </c>
      <c r="BB354" s="157" t="s">
        <v>0</v>
      </c>
      <c r="BC354" s="157" t="s">
        <v>0</v>
      </c>
      <c r="BD354" s="157" t="s">
        <v>0</v>
      </c>
      <c r="BE354" s="157" t="s">
        <v>0</v>
      </c>
      <c r="BF354" s="157" t="s">
        <v>0</v>
      </c>
      <c r="BG354" s="157" t="s">
        <v>0</v>
      </c>
      <c r="BH354" s="157" t="s">
        <v>0</v>
      </c>
      <c r="BI354" s="158"/>
      <c r="DL354">
        <f t="shared" si="1823"/>
        <v>0</v>
      </c>
      <c r="DM354">
        <f t="shared" si="1824"/>
        <v>0</v>
      </c>
      <c r="DN354">
        <f t="shared" si="1825"/>
        <v>0</v>
      </c>
      <c r="DO354">
        <f t="shared" si="1826"/>
        <v>0</v>
      </c>
      <c r="DP354">
        <f t="shared" si="1827"/>
        <v>0</v>
      </c>
      <c r="DQ354">
        <f t="shared" si="1828"/>
        <v>0</v>
      </c>
      <c r="DR354">
        <f t="shared" si="1829"/>
        <v>0</v>
      </c>
      <c r="DS354">
        <f t="shared" si="1830"/>
        <v>0</v>
      </c>
      <c r="DT354">
        <f t="shared" si="1831"/>
        <v>0</v>
      </c>
      <c r="DU354">
        <f t="shared" si="1832"/>
        <v>0</v>
      </c>
      <c r="DV354">
        <f t="shared" si="1833"/>
        <v>0</v>
      </c>
      <c r="DW354">
        <f t="shared" si="1834"/>
        <v>0</v>
      </c>
    </row>
    <row r="355" spans="6:127" x14ac:dyDescent="0.25">
      <c r="F355" s="159" t="s">
        <v>81</v>
      </c>
      <c r="G355" s="160" t="s">
        <v>60</v>
      </c>
      <c r="H355" s="201" t="s">
        <v>60</v>
      </c>
      <c r="I355" s="183" t="s">
        <v>60</v>
      </c>
      <c r="J355" s="183" t="s">
        <v>0</v>
      </c>
      <c r="K355" s="183" t="s">
        <v>0</v>
      </c>
      <c r="L355" s="183" t="s">
        <v>0</v>
      </c>
      <c r="M355" s="183" t="s">
        <v>0</v>
      </c>
      <c r="N355" s="183" t="s">
        <v>0</v>
      </c>
      <c r="O355" s="183" t="s">
        <v>0</v>
      </c>
      <c r="P355" s="183" t="s">
        <v>0</v>
      </c>
      <c r="Q355" s="183" t="s">
        <v>0</v>
      </c>
      <c r="R355" s="183" t="s">
        <v>0</v>
      </c>
      <c r="S355" s="183" t="s">
        <v>0</v>
      </c>
      <c r="T355" s="183" t="s">
        <v>0</v>
      </c>
      <c r="U355" s="183" t="s">
        <v>0</v>
      </c>
      <c r="V355" s="183" t="s">
        <v>0</v>
      </c>
      <c r="W355" s="183" t="s">
        <v>0</v>
      </c>
      <c r="X355" s="183" t="s">
        <v>0</v>
      </c>
      <c r="Y355" s="183" t="s">
        <v>0</v>
      </c>
      <c r="Z355" s="183" t="s">
        <v>0</v>
      </c>
      <c r="AA355" s="183" t="s">
        <v>0</v>
      </c>
      <c r="AB355" s="183" t="s">
        <v>0</v>
      </c>
      <c r="AC355" s="183" t="s">
        <v>0</v>
      </c>
      <c r="AD355" s="183" t="s">
        <v>0</v>
      </c>
      <c r="AE355" s="183" t="s">
        <v>0</v>
      </c>
      <c r="AF355" s="183" t="s">
        <v>0</v>
      </c>
      <c r="AG355" s="183" t="s">
        <v>0</v>
      </c>
      <c r="AH355" s="183" t="s">
        <v>0</v>
      </c>
      <c r="AI355" s="183" t="s">
        <v>0</v>
      </c>
      <c r="AJ355" s="183" t="s">
        <v>0</v>
      </c>
      <c r="AK355" s="183" t="s">
        <v>0</v>
      </c>
      <c r="AL355" s="183" t="s">
        <v>0</v>
      </c>
      <c r="AM355" s="183" t="s">
        <v>0</v>
      </c>
      <c r="AN355" s="183" t="s">
        <v>0</v>
      </c>
      <c r="AO355" s="183" t="s">
        <v>0</v>
      </c>
      <c r="AP355" s="183" t="s">
        <v>0</v>
      </c>
      <c r="AQ355" s="183" t="s">
        <v>0</v>
      </c>
      <c r="AR355" s="183" t="s">
        <v>0</v>
      </c>
      <c r="AS355" s="183" t="s">
        <v>0</v>
      </c>
      <c r="AT355" s="183" t="s">
        <v>0</v>
      </c>
      <c r="AU355" s="183" t="s">
        <v>0</v>
      </c>
      <c r="AV355" s="183" t="s">
        <v>0</v>
      </c>
      <c r="AW355" s="183" t="s">
        <v>0</v>
      </c>
      <c r="AX355" s="183" t="s">
        <v>0</v>
      </c>
      <c r="AY355" s="183" t="s">
        <v>0</v>
      </c>
      <c r="AZ355" s="183" t="s">
        <v>0</v>
      </c>
      <c r="BA355" s="183" t="s">
        <v>0</v>
      </c>
      <c r="BB355" s="183" t="s">
        <v>0</v>
      </c>
      <c r="BC355" s="183" t="s">
        <v>0</v>
      </c>
      <c r="BD355" s="183" t="s">
        <v>0</v>
      </c>
      <c r="BE355" s="183" t="s">
        <v>0</v>
      </c>
      <c r="BF355" s="183" t="s">
        <v>0</v>
      </c>
      <c r="BG355" s="183" t="s">
        <v>0</v>
      </c>
      <c r="BH355" s="183" t="s">
        <v>0</v>
      </c>
      <c r="BI355" s="161"/>
      <c r="DL355">
        <f t="shared" si="1823"/>
        <v>0</v>
      </c>
      <c r="DM355">
        <f t="shared" si="1824"/>
        <v>0</v>
      </c>
      <c r="DN355">
        <f t="shared" si="1825"/>
        <v>0</v>
      </c>
      <c r="DO355">
        <f t="shared" si="1826"/>
        <v>0</v>
      </c>
      <c r="DP355">
        <f t="shared" si="1827"/>
        <v>0</v>
      </c>
      <c r="DQ355">
        <f t="shared" si="1828"/>
        <v>0</v>
      </c>
      <c r="DR355">
        <f t="shared" si="1829"/>
        <v>0</v>
      </c>
      <c r="DS355">
        <f t="shared" si="1830"/>
        <v>0</v>
      </c>
      <c r="DT355">
        <f t="shared" si="1831"/>
        <v>0</v>
      </c>
      <c r="DU355">
        <f t="shared" si="1832"/>
        <v>0</v>
      </c>
      <c r="DV355">
        <f t="shared" si="1833"/>
        <v>0</v>
      </c>
      <c r="DW355">
        <f t="shared" si="1834"/>
        <v>0</v>
      </c>
    </row>
    <row r="356" spans="6:127" x14ac:dyDescent="0.25">
      <c r="F356" s="188" t="s">
        <v>60</v>
      </c>
      <c r="G356" s="162" t="s">
        <v>60</v>
      </c>
      <c r="H356" s="163" t="s">
        <v>60</v>
      </c>
      <c r="I356" s="164" t="s">
        <v>60</v>
      </c>
      <c r="J356" s="164" t="s">
        <v>0</v>
      </c>
      <c r="K356" s="164" t="s">
        <v>0</v>
      </c>
      <c r="L356" s="164" t="s">
        <v>0</v>
      </c>
      <c r="M356" s="164" t="s">
        <v>0</v>
      </c>
      <c r="N356" s="164" t="s">
        <v>0</v>
      </c>
      <c r="O356" s="164" t="s">
        <v>0</v>
      </c>
      <c r="P356" s="164" t="s">
        <v>0</v>
      </c>
      <c r="Q356" s="164" t="s">
        <v>0</v>
      </c>
      <c r="R356" s="164" t="s">
        <v>0</v>
      </c>
      <c r="S356" s="164" t="s">
        <v>0</v>
      </c>
      <c r="T356" s="164" t="s">
        <v>0</v>
      </c>
      <c r="U356" s="164" t="s">
        <v>0</v>
      </c>
      <c r="V356" s="164" t="s">
        <v>0</v>
      </c>
      <c r="W356" s="164" t="s">
        <v>0</v>
      </c>
      <c r="X356" s="164" t="s">
        <v>0</v>
      </c>
      <c r="Y356" s="164" t="s">
        <v>0</v>
      </c>
      <c r="Z356" s="164" t="s">
        <v>0</v>
      </c>
      <c r="AA356" s="164" t="s">
        <v>0</v>
      </c>
      <c r="AB356" s="164" t="s">
        <v>0</v>
      </c>
      <c r="AC356" s="164" t="s">
        <v>0</v>
      </c>
      <c r="AD356" s="164" t="s">
        <v>0</v>
      </c>
      <c r="AE356" s="164" t="s">
        <v>0</v>
      </c>
      <c r="AF356" s="164" t="s">
        <v>0</v>
      </c>
      <c r="AG356" s="164" t="s">
        <v>0</v>
      </c>
      <c r="AH356" s="164" t="s">
        <v>0</v>
      </c>
      <c r="AI356" s="164" t="s">
        <v>0</v>
      </c>
      <c r="AJ356" s="164" t="s">
        <v>0</v>
      </c>
      <c r="AK356" s="164" t="s">
        <v>0</v>
      </c>
      <c r="AL356" s="164" t="s">
        <v>0</v>
      </c>
      <c r="AM356" s="164" t="s">
        <v>0</v>
      </c>
      <c r="AN356" s="164" t="s">
        <v>0</v>
      </c>
      <c r="AO356" s="164" t="s">
        <v>0</v>
      </c>
      <c r="AP356" s="164" t="s">
        <v>0</v>
      </c>
      <c r="AQ356" s="164" t="s">
        <v>0</v>
      </c>
      <c r="AR356" s="164" t="s">
        <v>0</v>
      </c>
      <c r="AS356" s="164" t="s">
        <v>0</v>
      </c>
      <c r="AT356" s="164" t="s">
        <v>0</v>
      </c>
      <c r="AU356" s="164" t="s">
        <v>0</v>
      </c>
      <c r="AV356" s="164" t="s">
        <v>0</v>
      </c>
      <c r="AW356" s="164" t="s">
        <v>0</v>
      </c>
      <c r="AX356" s="164" t="s">
        <v>0</v>
      </c>
      <c r="AY356" s="164" t="s">
        <v>0</v>
      </c>
      <c r="AZ356" s="164" t="s">
        <v>0</v>
      </c>
      <c r="BA356" s="164" t="s">
        <v>0</v>
      </c>
      <c r="BB356" s="164" t="s">
        <v>0</v>
      </c>
      <c r="BC356" s="164" t="s">
        <v>0</v>
      </c>
      <c r="BD356" s="164" t="s">
        <v>0</v>
      </c>
      <c r="BE356" s="164" t="s">
        <v>0</v>
      </c>
      <c r="BF356" s="164" t="s">
        <v>0</v>
      </c>
      <c r="BG356" s="164" t="s">
        <v>0</v>
      </c>
      <c r="BH356" s="164" t="s">
        <v>0</v>
      </c>
      <c r="BI356" s="189"/>
      <c r="DL356">
        <f t="shared" si="1823"/>
        <v>0</v>
      </c>
      <c r="DM356">
        <f t="shared" si="1824"/>
        <v>0</v>
      </c>
      <c r="DN356">
        <f t="shared" si="1825"/>
        <v>0</v>
      </c>
      <c r="DO356">
        <f t="shared" si="1826"/>
        <v>0</v>
      </c>
      <c r="DP356">
        <f t="shared" si="1827"/>
        <v>0</v>
      </c>
      <c r="DQ356">
        <f t="shared" si="1828"/>
        <v>0</v>
      </c>
      <c r="DR356">
        <f t="shared" si="1829"/>
        <v>0</v>
      </c>
      <c r="DS356">
        <f t="shared" si="1830"/>
        <v>0</v>
      </c>
      <c r="DT356">
        <f t="shared" si="1831"/>
        <v>0</v>
      </c>
      <c r="DU356">
        <f t="shared" si="1832"/>
        <v>0</v>
      </c>
      <c r="DV356">
        <f t="shared" si="1833"/>
        <v>0</v>
      </c>
      <c r="DW356">
        <f t="shared" si="1834"/>
        <v>0</v>
      </c>
    </row>
    <row r="357" spans="6:127" x14ac:dyDescent="0.25">
      <c r="F357" s="155" t="s">
        <v>61</v>
      </c>
      <c r="G357" s="181">
        <v>5500990636</v>
      </c>
      <c r="H357" s="155" t="s">
        <v>62</v>
      </c>
      <c r="I357" s="181">
        <v>156</v>
      </c>
      <c r="J357" s="155" t="s">
        <v>63</v>
      </c>
      <c r="K357" s="160">
        <v>1121478</v>
      </c>
      <c r="L357" s="161"/>
      <c r="M357" s="190" t="s">
        <v>64</v>
      </c>
      <c r="N357" s="191"/>
      <c r="O357" s="192">
        <v>46086</v>
      </c>
      <c r="P357" s="155" t="s">
        <v>65</v>
      </c>
      <c r="Q357" s="181">
        <v>4</v>
      </c>
      <c r="R357" s="6" t="s">
        <v>0</v>
      </c>
      <c r="S357" s="7" t="s">
        <v>0</v>
      </c>
      <c r="T357" s="7" t="s">
        <v>0</v>
      </c>
      <c r="U357" s="7" t="s">
        <v>0</v>
      </c>
      <c r="V357" s="7" t="s">
        <v>0</v>
      </c>
      <c r="W357" s="7" t="s">
        <v>0</v>
      </c>
      <c r="X357" s="7" t="s">
        <v>0</v>
      </c>
      <c r="Y357" s="7" t="s">
        <v>0</v>
      </c>
      <c r="Z357" s="7" t="s">
        <v>0</v>
      </c>
      <c r="AA357" s="7" t="s">
        <v>0</v>
      </c>
      <c r="AB357" s="7" t="s">
        <v>0</v>
      </c>
      <c r="AC357" s="7" t="s">
        <v>0</v>
      </c>
      <c r="AD357" s="7" t="s">
        <v>0</v>
      </c>
      <c r="AE357" s="7" t="s">
        <v>0</v>
      </c>
      <c r="AF357" s="7" t="s">
        <v>0</v>
      </c>
      <c r="AG357" s="7" t="s">
        <v>0</v>
      </c>
      <c r="AH357" s="7" t="s">
        <v>0</v>
      </c>
      <c r="AI357" s="7" t="s">
        <v>0</v>
      </c>
      <c r="AJ357" s="7" t="s">
        <v>0</v>
      </c>
      <c r="AK357" s="7" t="s">
        <v>0</v>
      </c>
      <c r="AL357" s="7" t="s">
        <v>0</v>
      </c>
      <c r="AM357" s="7" t="s">
        <v>0</v>
      </c>
      <c r="AN357" s="7" t="s">
        <v>0</v>
      </c>
      <c r="AO357" s="7" t="s">
        <v>0</v>
      </c>
      <c r="AP357" s="7" t="s">
        <v>0</v>
      </c>
      <c r="AQ357" s="7" t="s">
        <v>0</v>
      </c>
      <c r="AR357" s="7" t="s">
        <v>0</v>
      </c>
      <c r="AS357" s="7" t="s">
        <v>0</v>
      </c>
      <c r="AT357" s="7" t="s">
        <v>0</v>
      </c>
      <c r="AU357" s="7" t="s">
        <v>0</v>
      </c>
      <c r="AV357" s="7" t="s">
        <v>0</v>
      </c>
      <c r="AW357" s="7" t="s">
        <v>0</v>
      </c>
      <c r="AX357" s="7" t="s">
        <v>0</v>
      </c>
      <c r="AY357" s="7" t="s">
        <v>0</v>
      </c>
      <c r="AZ357" s="7" t="s">
        <v>0</v>
      </c>
      <c r="BA357" s="7" t="s">
        <v>0</v>
      </c>
      <c r="BB357" s="7" t="s">
        <v>0</v>
      </c>
      <c r="BC357" s="7" t="s">
        <v>0</v>
      </c>
      <c r="BD357" s="7" t="s">
        <v>0</v>
      </c>
      <c r="BE357" s="7" t="s">
        <v>0</v>
      </c>
      <c r="BF357" s="7" t="s">
        <v>0</v>
      </c>
      <c r="BG357" s="7" t="s">
        <v>0</v>
      </c>
      <c r="BH357" s="7" t="s">
        <v>0</v>
      </c>
      <c r="BI357" s="8"/>
      <c r="DL357">
        <f t="shared" si="1823"/>
        <v>0</v>
      </c>
      <c r="DM357">
        <f t="shared" si="1824"/>
        <v>0</v>
      </c>
      <c r="DN357">
        <f t="shared" si="1825"/>
        <v>0</v>
      </c>
      <c r="DO357">
        <f t="shared" si="1826"/>
        <v>0</v>
      </c>
      <c r="DP357">
        <f t="shared" si="1827"/>
        <v>0</v>
      </c>
      <c r="DQ357">
        <f t="shared" si="1828"/>
        <v>0</v>
      </c>
      <c r="DR357">
        <f t="shared" si="1829"/>
        <v>0</v>
      </c>
      <c r="DS357">
        <f t="shared" si="1830"/>
        <v>0</v>
      </c>
      <c r="DT357">
        <f t="shared" si="1831"/>
        <v>0</v>
      </c>
      <c r="DU357">
        <f t="shared" si="1832"/>
        <v>0</v>
      </c>
      <c r="DV357">
        <f t="shared" si="1833"/>
        <v>0</v>
      </c>
      <c r="DW357">
        <f t="shared" si="1834"/>
        <v>0</v>
      </c>
    </row>
    <row r="358" spans="6:127" x14ac:dyDescent="0.25">
      <c r="F358" s="155" t="s">
        <v>66</v>
      </c>
      <c r="G358" s="181" t="s">
        <v>288</v>
      </c>
      <c r="H358" s="155" t="s">
        <v>67</v>
      </c>
      <c r="I358" s="182" t="s">
        <v>289</v>
      </c>
      <c r="J358" s="183"/>
      <c r="K358" s="183"/>
      <c r="L358" s="161"/>
      <c r="M358" s="155" t="s">
        <v>68</v>
      </c>
      <c r="N358" s="181">
        <v>2025</v>
      </c>
      <c r="O358" s="184" t="s">
        <v>69</v>
      </c>
      <c r="P358" s="185"/>
      <c r="Q358" s="193" t="s">
        <v>265</v>
      </c>
      <c r="R358" s="156" t="s">
        <v>0</v>
      </c>
      <c r="S358" s="157" t="s">
        <v>0</v>
      </c>
      <c r="T358" s="157" t="s">
        <v>0</v>
      </c>
      <c r="U358" s="157" t="s">
        <v>0</v>
      </c>
      <c r="V358" s="157" t="s">
        <v>0</v>
      </c>
      <c r="W358" s="157" t="s">
        <v>0</v>
      </c>
      <c r="X358" s="157" t="s">
        <v>0</v>
      </c>
      <c r="Y358" s="157" t="s">
        <v>0</v>
      </c>
      <c r="Z358" s="157" t="s">
        <v>0</v>
      </c>
      <c r="AA358" s="157" t="s">
        <v>0</v>
      </c>
      <c r="AB358" s="157" t="s">
        <v>0</v>
      </c>
      <c r="AC358" s="157" t="s">
        <v>0</v>
      </c>
      <c r="AD358" s="157" t="s">
        <v>0</v>
      </c>
      <c r="AE358" s="157" t="s">
        <v>0</v>
      </c>
      <c r="AF358" s="157" t="s">
        <v>0</v>
      </c>
      <c r="AG358" s="157" t="s">
        <v>0</v>
      </c>
      <c r="AH358" s="157" t="s">
        <v>0</v>
      </c>
      <c r="AI358" s="157" t="s">
        <v>0</v>
      </c>
      <c r="AJ358" s="157" t="s">
        <v>0</v>
      </c>
      <c r="AK358" s="157" t="s">
        <v>0</v>
      </c>
      <c r="AL358" s="157" t="s">
        <v>0</v>
      </c>
      <c r="AM358" s="157" t="s">
        <v>0</v>
      </c>
      <c r="AN358" s="157" t="s">
        <v>0</v>
      </c>
      <c r="AO358" s="157" t="s">
        <v>0</v>
      </c>
      <c r="AP358" s="157" t="s">
        <v>0</v>
      </c>
      <c r="AQ358" s="157" t="s">
        <v>0</v>
      </c>
      <c r="AR358" s="157" t="s">
        <v>0</v>
      </c>
      <c r="AS358" s="157" t="s">
        <v>0</v>
      </c>
      <c r="AT358" s="157" t="s">
        <v>0</v>
      </c>
      <c r="AU358" s="157" t="s">
        <v>0</v>
      </c>
      <c r="AV358" s="157" t="s">
        <v>0</v>
      </c>
      <c r="AW358" s="157" t="s">
        <v>0</v>
      </c>
      <c r="AX358" s="157" t="s">
        <v>0</v>
      </c>
      <c r="AY358" s="157" t="s">
        <v>0</v>
      </c>
      <c r="AZ358" s="157" t="s">
        <v>0</v>
      </c>
      <c r="BA358" s="157" t="s">
        <v>0</v>
      </c>
      <c r="BB358" s="157" t="s">
        <v>0</v>
      </c>
      <c r="BC358" s="157" t="s">
        <v>0</v>
      </c>
      <c r="BD358" s="157" t="s">
        <v>0</v>
      </c>
      <c r="BE358" s="157" t="s">
        <v>0</v>
      </c>
      <c r="BF358" s="157" t="s">
        <v>0</v>
      </c>
      <c r="BG358" s="157" t="s">
        <v>0</v>
      </c>
      <c r="BH358" s="157" t="s">
        <v>0</v>
      </c>
      <c r="BI358" s="158"/>
      <c r="DL358">
        <f t="shared" si="1823"/>
        <v>0</v>
      </c>
      <c r="DM358">
        <f t="shared" si="1824"/>
        <v>0</v>
      </c>
      <c r="DN358">
        <f t="shared" si="1825"/>
        <v>0</v>
      </c>
      <c r="DO358">
        <f t="shared" si="1826"/>
        <v>0</v>
      </c>
      <c r="DP358">
        <f t="shared" si="1827"/>
        <v>0</v>
      </c>
      <c r="DQ358">
        <f t="shared" si="1828"/>
        <v>0</v>
      </c>
      <c r="DR358">
        <f t="shared" si="1829"/>
        <v>0</v>
      </c>
      <c r="DS358">
        <f t="shared" si="1830"/>
        <v>0</v>
      </c>
      <c r="DT358">
        <f t="shared" si="1831"/>
        <v>0</v>
      </c>
      <c r="DU358">
        <f t="shared" si="1832"/>
        <v>0</v>
      </c>
      <c r="DV358">
        <f t="shared" si="1833"/>
        <v>0</v>
      </c>
      <c r="DW358">
        <f t="shared" si="1834"/>
        <v>0</v>
      </c>
    </row>
    <row r="359" spans="6:127" x14ac:dyDescent="0.25">
      <c r="F359" s="155" t="s">
        <v>70</v>
      </c>
      <c r="G359" s="181" t="s">
        <v>237</v>
      </c>
      <c r="H359" s="155" t="s">
        <v>71</v>
      </c>
      <c r="I359" s="182" t="s">
        <v>60</v>
      </c>
      <c r="J359" s="161" t="s">
        <v>0</v>
      </c>
      <c r="K359" s="194" t="s">
        <v>0</v>
      </c>
      <c r="L359" s="195" t="s">
        <v>0</v>
      </c>
      <c r="M359" s="179" t="s">
        <v>0</v>
      </c>
      <c r="N359" s="179" t="s">
        <v>0</v>
      </c>
      <c r="O359" s="179" t="s">
        <v>0</v>
      </c>
      <c r="P359" s="179" t="s">
        <v>0</v>
      </c>
      <c r="Q359" s="179" t="s">
        <v>1</v>
      </c>
      <c r="R359" s="179" t="s">
        <v>2</v>
      </c>
      <c r="S359" s="179" t="s">
        <v>0</v>
      </c>
      <c r="T359" s="179" t="s">
        <v>0</v>
      </c>
      <c r="U359" s="179" t="s">
        <v>0</v>
      </c>
      <c r="V359" s="179" t="s">
        <v>0</v>
      </c>
      <c r="W359" s="179" t="s">
        <v>0</v>
      </c>
      <c r="X359" s="179" t="s">
        <v>0</v>
      </c>
      <c r="Y359" s="179" t="s">
        <v>0</v>
      </c>
      <c r="Z359" s="179" t="s">
        <v>3</v>
      </c>
      <c r="AA359" s="179" t="s">
        <v>0</v>
      </c>
      <c r="AB359" s="179" t="s">
        <v>0</v>
      </c>
      <c r="AC359" s="179" t="s">
        <v>0</v>
      </c>
      <c r="AD359" s="179" t="s">
        <v>0</v>
      </c>
      <c r="AE359" s="179" t="s">
        <v>0</v>
      </c>
      <c r="AF359" s="179" t="s">
        <v>0</v>
      </c>
      <c r="AG359" s="179" t="s">
        <v>0</v>
      </c>
      <c r="AH359" s="179" t="s">
        <v>0</v>
      </c>
      <c r="AI359" s="179" t="s">
        <v>0</v>
      </c>
      <c r="AJ359" s="179" t="s">
        <v>0</v>
      </c>
      <c r="AK359" s="179" t="s">
        <v>0</v>
      </c>
      <c r="AL359" s="179" t="s">
        <v>0</v>
      </c>
      <c r="AM359" s="179" t="s">
        <v>0</v>
      </c>
      <c r="AN359" s="179" t="s">
        <v>0</v>
      </c>
      <c r="AO359" s="179" t="s">
        <v>0</v>
      </c>
      <c r="AP359" s="179" t="s">
        <v>0</v>
      </c>
      <c r="AQ359" s="179" t="s">
        <v>0</v>
      </c>
      <c r="AR359" s="179" t="s">
        <v>0</v>
      </c>
      <c r="AS359" s="179" t="s">
        <v>0</v>
      </c>
      <c r="AT359" s="179" t="s">
        <v>0</v>
      </c>
      <c r="AU359" s="179" t="s">
        <v>0</v>
      </c>
      <c r="AV359" s="179" t="s">
        <v>0</v>
      </c>
      <c r="AW359" s="179" t="s">
        <v>0</v>
      </c>
      <c r="AX359" s="179" t="s">
        <v>0</v>
      </c>
      <c r="AY359" s="179" t="s">
        <v>0</v>
      </c>
      <c r="AZ359" s="179" t="s">
        <v>0</v>
      </c>
      <c r="BA359" s="179" t="s">
        <v>0</v>
      </c>
      <c r="BB359" s="179" t="s">
        <v>0</v>
      </c>
      <c r="BC359" s="179" t="s">
        <v>0</v>
      </c>
      <c r="BD359" s="179" t="s">
        <v>0</v>
      </c>
      <c r="BE359" s="179" t="s">
        <v>0</v>
      </c>
      <c r="BF359" s="179" t="s">
        <v>0</v>
      </c>
      <c r="BG359" s="179" t="s">
        <v>0</v>
      </c>
      <c r="BH359" s="179" t="s">
        <v>0</v>
      </c>
      <c r="BI359" s="180" t="s">
        <v>4</v>
      </c>
      <c r="DL359">
        <f t="shared" si="1823"/>
        <v>0</v>
      </c>
      <c r="DM359">
        <f t="shared" si="1824"/>
        <v>0</v>
      </c>
      <c r="DN359">
        <f t="shared" si="1825"/>
        <v>0</v>
      </c>
      <c r="DO359">
        <f t="shared" si="1826"/>
        <v>0</v>
      </c>
      <c r="DP359">
        <f t="shared" si="1827"/>
        <v>0</v>
      </c>
      <c r="DQ359">
        <f t="shared" si="1828"/>
        <v>0</v>
      </c>
      <c r="DR359">
        <f t="shared" si="1829"/>
        <v>0</v>
      </c>
      <c r="DS359">
        <f t="shared" si="1830"/>
        <v>0</v>
      </c>
      <c r="DT359">
        <f t="shared" si="1831"/>
        <v>0</v>
      </c>
      <c r="DU359">
        <f t="shared" si="1832"/>
        <v>0</v>
      </c>
      <c r="DV359">
        <f t="shared" si="1833"/>
        <v>0</v>
      </c>
      <c r="DW359">
        <f t="shared" si="1834"/>
        <v>0</v>
      </c>
    </row>
    <row r="360" spans="6:127" x14ac:dyDescent="0.25">
      <c r="F360" s="155" t="s">
        <v>72</v>
      </c>
      <c r="G360" s="181">
        <v>48</v>
      </c>
      <c r="H360" s="196" t="s">
        <v>414</v>
      </c>
      <c r="I360" s="197" t="s">
        <v>73</v>
      </c>
      <c r="J360" s="13">
        <v>46041</v>
      </c>
      <c r="K360" s="14">
        <v>46048</v>
      </c>
      <c r="L360" s="14">
        <v>46055</v>
      </c>
      <c r="M360" s="14">
        <v>46062</v>
      </c>
      <c r="N360" s="14">
        <v>46069</v>
      </c>
      <c r="O360" s="14">
        <v>46076</v>
      </c>
      <c r="P360" s="14">
        <v>46083</v>
      </c>
      <c r="Q360" s="14">
        <v>46090</v>
      </c>
      <c r="R360" s="14">
        <v>46097</v>
      </c>
      <c r="S360" s="14">
        <v>46104</v>
      </c>
      <c r="T360" s="14">
        <v>46111</v>
      </c>
      <c r="U360" s="14">
        <v>46118</v>
      </c>
      <c r="V360" s="14">
        <v>46125</v>
      </c>
      <c r="W360" s="14">
        <v>46132</v>
      </c>
      <c r="X360" s="14">
        <v>46139</v>
      </c>
      <c r="Y360" s="14">
        <v>46146</v>
      </c>
      <c r="Z360" s="14">
        <v>46153</v>
      </c>
      <c r="AA360" s="14">
        <v>46160</v>
      </c>
      <c r="AB360" s="14">
        <v>46167</v>
      </c>
      <c r="AC360" s="14">
        <v>46174</v>
      </c>
      <c r="AD360" s="14">
        <v>46181</v>
      </c>
      <c r="AE360" s="14">
        <v>46188</v>
      </c>
      <c r="AF360" s="14">
        <v>46195</v>
      </c>
      <c r="AG360" s="14">
        <v>46202</v>
      </c>
      <c r="AH360" s="14">
        <v>46209</v>
      </c>
      <c r="AI360" s="14">
        <v>46216</v>
      </c>
      <c r="AJ360" s="14">
        <v>46223</v>
      </c>
      <c r="AK360" s="14">
        <v>46230</v>
      </c>
      <c r="AL360" s="14">
        <v>46237</v>
      </c>
      <c r="AM360" s="14">
        <v>46244</v>
      </c>
      <c r="AN360" s="14">
        <v>46251</v>
      </c>
      <c r="AO360" s="14">
        <v>46258</v>
      </c>
      <c r="AP360" s="14">
        <v>46265</v>
      </c>
      <c r="AQ360" s="14">
        <v>46272</v>
      </c>
      <c r="AR360" s="14">
        <v>46279</v>
      </c>
      <c r="AS360" s="14">
        <v>46286</v>
      </c>
      <c r="AT360" s="14">
        <v>46293</v>
      </c>
      <c r="AU360" s="14">
        <v>46300</v>
      </c>
      <c r="AV360" s="14">
        <v>46307</v>
      </c>
      <c r="AW360" s="14">
        <v>46314</v>
      </c>
      <c r="AX360" s="14">
        <v>46321</v>
      </c>
      <c r="AY360" s="14">
        <v>46328</v>
      </c>
      <c r="AZ360" s="14">
        <v>46335</v>
      </c>
      <c r="BA360" s="14">
        <v>46342</v>
      </c>
      <c r="BB360" s="14">
        <v>46349</v>
      </c>
      <c r="BC360" s="14">
        <v>46356</v>
      </c>
      <c r="BD360" s="14">
        <v>46363</v>
      </c>
      <c r="BE360" s="14">
        <v>46370</v>
      </c>
      <c r="BF360" s="14">
        <v>46377</v>
      </c>
      <c r="BG360" s="14">
        <v>46384</v>
      </c>
      <c r="BH360" s="14">
        <v>46391</v>
      </c>
      <c r="BI360" s="15">
        <v>46398</v>
      </c>
      <c r="DL360">
        <f t="shared" si="1823"/>
        <v>0</v>
      </c>
      <c r="DM360">
        <f t="shared" si="1824"/>
        <v>0</v>
      </c>
      <c r="DN360">
        <f t="shared" si="1825"/>
        <v>0</v>
      </c>
      <c r="DO360">
        <f t="shared" si="1826"/>
        <v>0</v>
      </c>
      <c r="DP360">
        <f t="shared" si="1827"/>
        <v>0</v>
      </c>
      <c r="DQ360">
        <f t="shared" si="1828"/>
        <v>0</v>
      </c>
      <c r="DR360">
        <f t="shared" si="1829"/>
        <v>0</v>
      </c>
      <c r="DS360">
        <f t="shared" si="1830"/>
        <v>0</v>
      </c>
      <c r="DT360">
        <f t="shared" si="1831"/>
        <v>0</v>
      </c>
      <c r="DU360">
        <f t="shared" si="1832"/>
        <v>0</v>
      </c>
      <c r="DV360">
        <f t="shared" si="1833"/>
        <v>0</v>
      </c>
      <c r="DW360">
        <f t="shared" si="1834"/>
        <v>0</v>
      </c>
    </row>
    <row r="361" spans="6:127" x14ac:dyDescent="0.25">
      <c r="F361" s="155" t="s">
        <v>74</v>
      </c>
      <c r="G361" s="181">
        <v>348</v>
      </c>
      <c r="H361" s="5" t="s">
        <v>60</v>
      </c>
      <c r="I361" s="11" t="s">
        <v>147</v>
      </c>
      <c r="J361" s="16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17"/>
      <c r="DL361">
        <f t="shared" si="1823"/>
        <v>0</v>
      </c>
      <c r="DM361">
        <f t="shared" si="1824"/>
        <v>0</v>
      </c>
      <c r="DN361">
        <f t="shared" si="1825"/>
        <v>0</v>
      </c>
      <c r="DO361">
        <f t="shared" si="1826"/>
        <v>0</v>
      </c>
      <c r="DP361">
        <f t="shared" si="1827"/>
        <v>0</v>
      </c>
      <c r="DQ361">
        <f t="shared" si="1828"/>
        <v>0</v>
      </c>
      <c r="DR361">
        <f t="shared" si="1829"/>
        <v>0</v>
      </c>
      <c r="DS361">
        <f t="shared" si="1830"/>
        <v>0</v>
      </c>
      <c r="DT361">
        <f t="shared" si="1831"/>
        <v>0</v>
      </c>
      <c r="DU361">
        <f t="shared" si="1832"/>
        <v>0</v>
      </c>
      <c r="DV361">
        <f t="shared" si="1833"/>
        <v>0</v>
      </c>
      <c r="DW361">
        <f t="shared" si="1834"/>
        <v>0</v>
      </c>
    </row>
    <row r="362" spans="6:127" x14ac:dyDescent="0.25">
      <c r="F362" s="155" t="s">
        <v>75</v>
      </c>
      <c r="G362" s="198" t="s">
        <v>257</v>
      </c>
      <c r="H362" s="9" t="s">
        <v>237</v>
      </c>
      <c r="I362" s="11" t="s">
        <v>76</v>
      </c>
      <c r="J362" s="143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>
        <v>0</v>
      </c>
      <c r="AA362" s="64">
        <v>0</v>
      </c>
      <c r="AB362" s="64">
        <v>0</v>
      </c>
      <c r="AC362" s="64">
        <v>0</v>
      </c>
      <c r="AD362" s="64">
        <v>0</v>
      </c>
      <c r="AE362" s="64">
        <v>0</v>
      </c>
      <c r="AF362" s="64">
        <v>0</v>
      </c>
      <c r="AG362" s="64">
        <v>0</v>
      </c>
      <c r="AH362" s="64">
        <v>0</v>
      </c>
      <c r="AI362" s="64">
        <v>0</v>
      </c>
      <c r="AJ362" s="64">
        <v>0</v>
      </c>
      <c r="AK362" s="64">
        <v>0</v>
      </c>
      <c r="AL362" s="64">
        <v>0</v>
      </c>
      <c r="AM362" s="64">
        <v>0</v>
      </c>
      <c r="AN362" s="64">
        <v>0</v>
      </c>
      <c r="AO362" s="64">
        <v>0</v>
      </c>
      <c r="AP362" s="64">
        <v>0</v>
      </c>
      <c r="AQ362" s="64">
        <v>0</v>
      </c>
      <c r="AR362" s="64">
        <v>0</v>
      </c>
      <c r="AS362" s="64">
        <v>0</v>
      </c>
      <c r="AT362" s="64">
        <v>0</v>
      </c>
      <c r="AU362" s="64">
        <v>0</v>
      </c>
      <c r="AV362" s="64">
        <v>0</v>
      </c>
      <c r="AW362" s="64">
        <v>0</v>
      </c>
      <c r="AX362" s="64">
        <v>0</v>
      </c>
      <c r="AY362" s="64">
        <v>0</v>
      </c>
      <c r="AZ362" s="64">
        <v>0</v>
      </c>
      <c r="BA362" s="64">
        <v>0</v>
      </c>
      <c r="BB362" s="64">
        <v>0</v>
      </c>
      <c r="BC362" s="64">
        <v>0</v>
      </c>
      <c r="BD362" s="64">
        <v>0</v>
      </c>
      <c r="BE362" s="64">
        <v>0</v>
      </c>
      <c r="BF362" s="64">
        <v>0</v>
      </c>
      <c r="BG362" s="64">
        <v>0</v>
      </c>
      <c r="BH362" s="64">
        <v>0</v>
      </c>
      <c r="BI362" s="144">
        <v>0</v>
      </c>
      <c r="BJ362" s="24" t="str">
        <f>+G359</f>
        <v>82115-0EA21</v>
      </c>
      <c r="BK362" s="24">
        <f>+J362</f>
        <v>0</v>
      </c>
      <c r="BL362" s="24">
        <f t="shared" ref="BL362" si="1937">+K362</f>
        <v>0</v>
      </c>
      <c r="BM362" s="24">
        <f t="shared" ref="BM362" si="1938">+L362</f>
        <v>0</v>
      </c>
      <c r="BN362" s="24">
        <f t="shared" ref="BN362" si="1939">+M362</f>
        <v>0</v>
      </c>
      <c r="BO362" s="24">
        <f t="shared" ref="BO362" si="1940">+N362</f>
        <v>0</v>
      </c>
      <c r="BP362" s="24">
        <f t="shared" ref="BP362" si="1941">+O362</f>
        <v>0</v>
      </c>
      <c r="BQ362" s="24">
        <f t="shared" ref="BQ362" si="1942">+P362</f>
        <v>0</v>
      </c>
      <c r="BR362" s="24">
        <f t="shared" ref="BR362" si="1943">+Q362</f>
        <v>0</v>
      </c>
      <c r="BS362" s="24">
        <f t="shared" ref="BS362" si="1944">+R362</f>
        <v>0</v>
      </c>
      <c r="BT362" s="24">
        <f t="shared" ref="BT362" si="1945">+S362</f>
        <v>0</v>
      </c>
      <c r="BU362" s="24">
        <f t="shared" ref="BU362" si="1946">+T362</f>
        <v>0</v>
      </c>
      <c r="BV362" s="24">
        <f t="shared" ref="BV362" si="1947">+U362</f>
        <v>0</v>
      </c>
      <c r="BW362" s="24">
        <f t="shared" ref="BW362" si="1948">+V362</f>
        <v>0</v>
      </c>
      <c r="BX362" s="24">
        <f t="shared" ref="BX362" si="1949">+W362</f>
        <v>0</v>
      </c>
      <c r="BY362" s="24">
        <f t="shared" ref="BY362" si="1950">+X362</f>
        <v>0</v>
      </c>
      <c r="BZ362" s="24">
        <f t="shared" ref="BZ362" si="1951">+Y362</f>
        <v>0</v>
      </c>
      <c r="CA362" s="24">
        <f t="shared" ref="CA362" si="1952">+Z362</f>
        <v>0</v>
      </c>
      <c r="CB362" s="24">
        <f t="shared" ref="CB362" si="1953">+AA362</f>
        <v>0</v>
      </c>
      <c r="CC362" s="24">
        <f t="shared" ref="CC362" si="1954">+AB362</f>
        <v>0</v>
      </c>
      <c r="CD362" s="24">
        <f t="shared" ref="CD362" si="1955">+AC362</f>
        <v>0</v>
      </c>
      <c r="CE362" s="24">
        <f t="shared" ref="CE362" si="1956">+AD362</f>
        <v>0</v>
      </c>
      <c r="CF362" s="24">
        <f t="shared" ref="CF362" si="1957">+AE362</f>
        <v>0</v>
      </c>
      <c r="CG362" s="24">
        <f t="shared" ref="CG362" si="1958">+AF362</f>
        <v>0</v>
      </c>
      <c r="CH362" s="24">
        <f t="shared" ref="CH362" si="1959">+AG362</f>
        <v>0</v>
      </c>
      <c r="CI362" s="24">
        <f t="shared" ref="CI362" si="1960">+AH362</f>
        <v>0</v>
      </c>
      <c r="CJ362" s="24">
        <f t="shared" ref="CJ362" si="1961">+AI362</f>
        <v>0</v>
      </c>
      <c r="CK362" s="24">
        <f t="shared" ref="CK362" si="1962">+AJ362</f>
        <v>0</v>
      </c>
      <c r="CL362" s="24">
        <f t="shared" ref="CL362" si="1963">+AK362</f>
        <v>0</v>
      </c>
      <c r="CM362" s="24">
        <f t="shared" ref="CM362" si="1964">+AL362</f>
        <v>0</v>
      </c>
      <c r="CN362" s="24">
        <f t="shared" ref="CN362" si="1965">+AM362</f>
        <v>0</v>
      </c>
      <c r="CO362" s="24">
        <f t="shared" ref="CO362" si="1966">+AN362</f>
        <v>0</v>
      </c>
      <c r="CP362" s="166">
        <f t="shared" ref="CP362" si="1967">+AO362</f>
        <v>0</v>
      </c>
      <c r="CQ362" s="166">
        <f t="shared" ref="CQ362" si="1968">+AP362</f>
        <v>0</v>
      </c>
      <c r="CR362">
        <f t="shared" ref="CR362" si="1969">+AQ362</f>
        <v>0</v>
      </c>
      <c r="CS362">
        <f t="shared" ref="CS362" si="1970">+AR362</f>
        <v>0</v>
      </c>
      <c r="CT362">
        <f t="shared" ref="CT362" si="1971">+AS362</f>
        <v>0</v>
      </c>
      <c r="CU362">
        <f t="shared" ref="CU362" si="1972">+AT362</f>
        <v>0</v>
      </c>
      <c r="CV362">
        <f t="shared" ref="CV362" si="1973">+AU362</f>
        <v>0</v>
      </c>
      <c r="CW362">
        <f t="shared" ref="CW362" si="1974">+AV362</f>
        <v>0</v>
      </c>
      <c r="CX362">
        <f t="shared" ref="CX362" si="1975">+AW362</f>
        <v>0</v>
      </c>
      <c r="CY362">
        <f t="shared" ref="CY362" si="1976">+AX362</f>
        <v>0</v>
      </c>
      <c r="CZ362">
        <f t="shared" ref="CZ362" si="1977">+AY362</f>
        <v>0</v>
      </c>
      <c r="DA362">
        <f t="shared" ref="DA362" si="1978">+AZ362</f>
        <v>0</v>
      </c>
      <c r="DB362">
        <f t="shared" ref="DB362" si="1979">+BA362</f>
        <v>0</v>
      </c>
      <c r="DC362">
        <f t="shared" ref="DC362" si="1980">+BB362</f>
        <v>0</v>
      </c>
      <c r="DD362">
        <f t="shared" ref="DD362" si="1981">+BC362</f>
        <v>0</v>
      </c>
      <c r="DE362">
        <f t="shared" ref="DE362" si="1982">+BD362</f>
        <v>0</v>
      </c>
      <c r="DF362">
        <f t="shared" ref="DF362" si="1983">+BE362</f>
        <v>0</v>
      </c>
      <c r="DG362">
        <f t="shared" ref="DG362" si="1984">+BF362</f>
        <v>0</v>
      </c>
      <c r="DH362">
        <f t="shared" ref="DH362" si="1985">+BG362</f>
        <v>0</v>
      </c>
      <c r="DI362">
        <f t="shared" ref="DI362" si="1986">+BH362</f>
        <v>0</v>
      </c>
      <c r="DJ362">
        <f t="shared" ref="DJ362" si="1987">+BI362</f>
        <v>0</v>
      </c>
      <c r="DL362" s="24">
        <f t="shared" si="1823"/>
        <v>0</v>
      </c>
      <c r="DM362" s="24">
        <f t="shared" si="1824"/>
        <v>0</v>
      </c>
      <c r="DN362" s="24">
        <f t="shared" si="1825"/>
        <v>0</v>
      </c>
      <c r="DO362" s="24">
        <f t="shared" si="1826"/>
        <v>0</v>
      </c>
      <c r="DP362" s="24">
        <f t="shared" si="1827"/>
        <v>0</v>
      </c>
      <c r="DQ362" s="24">
        <f t="shared" si="1828"/>
        <v>0</v>
      </c>
      <c r="DR362" s="24">
        <f t="shared" si="1829"/>
        <v>0</v>
      </c>
      <c r="DS362" s="24">
        <f t="shared" si="1830"/>
        <v>0</v>
      </c>
      <c r="DT362" s="24">
        <f t="shared" si="1831"/>
        <v>0</v>
      </c>
      <c r="DU362">
        <f t="shared" si="1832"/>
        <v>0</v>
      </c>
      <c r="DV362">
        <f t="shared" si="1833"/>
        <v>0</v>
      </c>
      <c r="DW362">
        <f t="shared" si="1834"/>
        <v>0</v>
      </c>
    </row>
    <row r="363" spans="6:127" x14ac:dyDescent="0.25">
      <c r="F363" s="155" t="s">
        <v>77</v>
      </c>
      <c r="G363" s="181">
        <v>82115</v>
      </c>
      <c r="H363" s="10" t="s">
        <v>237</v>
      </c>
      <c r="I363" s="12" t="s">
        <v>78</v>
      </c>
      <c r="J363" s="152">
        <v>48</v>
      </c>
      <c r="K363" s="153">
        <v>48</v>
      </c>
      <c r="L363" s="153">
        <v>48</v>
      </c>
      <c r="M363" s="153">
        <v>48</v>
      </c>
      <c r="N363" s="153">
        <v>48</v>
      </c>
      <c r="O363" s="153">
        <v>48</v>
      </c>
      <c r="P363" s="153">
        <v>48</v>
      </c>
      <c r="Q363" s="153">
        <v>48</v>
      </c>
      <c r="R363" s="153">
        <v>48</v>
      </c>
      <c r="S363" s="153">
        <v>48</v>
      </c>
      <c r="T363" s="153">
        <v>48</v>
      </c>
      <c r="U363" s="153">
        <v>48</v>
      </c>
      <c r="V363" s="153">
        <v>48</v>
      </c>
      <c r="W363" s="153">
        <v>48</v>
      </c>
      <c r="X363" s="153">
        <v>48</v>
      </c>
      <c r="Y363" s="153">
        <v>48</v>
      </c>
      <c r="Z363" s="153">
        <v>48</v>
      </c>
      <c r="AA363" s="153">
        <v>48</v>
      </c>
      <c r="AB363" s="153">
        <v>48</v>
      </c>
      <c r="AC363" s="153">
        <v>48</v>
      </c>
      <c r="AD363" s="153">
        <v>48</v>
      </c>
      <c r="AE363" s="153">
        <v>48</v>
      </c>
      <c r="AF363" s="153">
        <v>48</v>
      </c>
      <c r="AG363" s="153">
        <v>48</v>
      </c>
      <c r="AH363" s="153">
        <v>48</v>
      </c>
      <c r="AI363" s="153">
        <v>48</v>
      </c>
      <c r="AJ363" s="153">
        <v>48</v>
      </c>
      <c r="AK363" s="153">
        <v>48</v>
      </c>
      <c r="AL363" s="153">
        <v>48</v>
      </c>
      <c r="AM363" s="153">
        <v>48</v>
      </c>
      <c r="AN363" s="153">
        <v>48</v>
      </c>
      <c r="AO363" s="153">
        <v>48</v>
      </c>
      <c r="AP363" s="153">
        <v>48</v>
      </c>
      <c r="AQ363" s="153">
        <v>48</v>
      </c>
      <c r="AR363" s="153">
        <v>48</v>
      </c>
      <c r="AS363" s="153">
        <v>48</v>
      </c>
      <c r="AT363" s="153">
        <v>48</v>
      </c>
      <c r="AU363" s="153">
        <v>48</v>
      </c>
      <c r="AV363" s="153">
        <v>48</v>
      </c>
      <c r="AW363" s="153">
        <v>48</v>
      </c>
      <c r="AX363" s="153">
        <v>48</v>
      </c>
      <c r="AY363" s="153">
        <v>48</v>
      </c>
      <c r="AZ363" s="153">
        <v>48</v>
      </c>
      <c r="BA363" s="153">
        <v>48</v>
      </c>
      <c r="BB363" s="153">
        <v>48</v>
      </c>
      <c r="BC363" s="153">
        <v>48</v>
      </c>
      <c r="BD363" s="153">
        <v>48</v>
      </c>
      <c r="BE363" s="153">
        <v>48</v>
      </c>
      <c r="BF363" s="153">
        <v>48</v>
      </c>
      <c r="BG363" s="153">
        <v>48</v>
      </c>
      <c r="BH363" s="153">
        <v>48</v>
      </c>
      <c r="BI363" s="154">
        <v>48</v>
      </c>
      <c r="DL363">
        <f t="shared" si="1823"/>
        <v>0</v>
      </c>
      <c r="DM363">
        <f t="shared" si="1824"/>
        <v>0</v>
      </c>
      <c r="DN363">
        <f t="shared" si="1825"/>
        <v>0</v>
      </c>
      <c r="DO363">
        <f t="shared" si="1826"/>
        <v>0</v>
      </c>
      <c r="DP363">
        <f t="shared" si="1827"/>
        <v>0</v>
      </c>
      <c r="DQ363">
        <f t="shared" si="1828"/>
        <v>0</v>
      </c>
      <c r="DR363">
        <f t="shared" si="1829"/>
        <v>0</v>
      </c>
      <c r="DS363">
        <f t="shared" si="1830"/>
        <v>0</v>
      </c>
      <c r="DT363">
        <f t="shared" si="1831"/>
        <v>0</v>
      </c>
      <c r="DU363">
        <f t="shared" si="1832"/>
        <v>0</v>
      </c>
      <c r="DV363">
        <f t="shared" si="1833"/>
        <v>0</v>
      </c>
      <c r="DW363">
        <f t="shared" si="1834"/>
        <v>0</v>
      </c>
    </row>
    <row r="364" spans="6:127" x14ac:dyDescent="0.25">
      <c r="F364" s="155" t="s">
        <v>79</v>
      </c>
      <c r="G364" s="199">
        <v>48</v>
      </c>
      <c r="H364" s="184" t="s">
        <v>80</v>
      </c>
      <c r="I364" s="185"/>
      <c r="J364" s="200" t="s">
        <v>314</v>
      </c>
      <c r="K364" s="156"/>
      <c r="L364" s="157" t="s">
        <v>0</v>
      </c>
      <c r="M364" s="157" t="s">
        <v>0</v>
      </c>
      <c r="N364" s="157" t="s">
        <v>0</v>
      </c>
      <c r="O364" s="157" t="s">
        <v>0</v>
      </c>
      <c r="P364" s="157" t="s">
        <v>0</v>
      </c>
      <c r="Q364" s="157" t="s">
        <v>0</v>
      </c>
      <c r="R364" s="157" t="s">
        <v>0</v>
      </c>
      <c r="S364" s="157" t="s">
        <v>0</v>
      </c>
      <c r="T364" s="157" t="s">
        <v>0</v>
      </c>
      <c r="U364" s="157" t="s">
        <v>0</v>
      </c>
      <c r="V364" s="157" t="s">
        <v>0</v>
      </c>
      <c r="W364" s="157" t="s">
        <v>0</v>
      </c>
      <c r="X364" s="157" t="s">
        <v>0</v>
      </c>
      <c r="Y364" s="157" t="s">
        <v>0</v>
      </c>
      <c r="Z364" s="157" t="s">
        <v>0</v>
      </c>
      <c r="AA364" s="157" t="s">
        <v>0</v>
      </c>
      <c r="AB364" s="157" t="s">
        <v>0</v>
      </c>
      <c r="AC364" s="157" t="s">
        <v>0</v>
      </c>
      <c r="AD364" s="157" t="s">
        <v>0</v>
      </c>
      <c r="AE364" s="157" t="s">
        <v>0</v>
      </c>
      <c r="AF364" s="157" t="s">
        <v>0</v>
      </c>
      <c r="AG364" s="157" t="s">
        <v>0</v>
      </c>
      <c r="AH364" s="157" t="s">
        <v>0</v>
      </c>
      <c r="AI364" s="157" t="s">
        <v>0</v>
      </c>
      <c r="AJ364" s="157" t="s">
        <v>0</v>
      </c>
      <c r="AK364" s="157" t="s">
        <v>0</v>
      </c>
      <c r="AL364" s="157" t="s">
        <v>0</v>
      </c>
      <c r="AM364" s="157" t="s">
        <v>0</v>
      </c>
      <c r="AN364" s="157" t="s">
        <v>0</v>
      </c>
      <c r="AO364" s="157" t="s">
        <v>0</v>
      </c>
      <c r="AP364" s="157" t="s">
        <v>0</v>
      </c>
      <c r="AQ364" s="157" t="s">
        <v>0</v>
      </c>
      <c r="AR364" s="157" t="s">
        <v>0</v>
      </c>
      <c r="AS364" s="157" t="s">
        <v>0</v>
      </c>
      <c r="AT364" s="157" t="s">
        <v>0</v>
      </c>
      <c r="AU364" s="157" t="s">
        <v>0</v>
      </c>
      <c r="AV364" s="157" t="s">
        <v>0</v>
      </c>
      <c r="AW364" s="157" t="s">
        <v>0</v>
      </c>
      <c r="AX364" s="157" t="s">
        <v>0</v>
      </c>
      <c r="AY364" s="157" t="s">
        <v>0</v>
      </c>
      <c r="AZ364" s="157" t="s">
        <v>0</v>
      </c>
      <c r="BA364" s="157" t="s">
        <v>0</v>
      </c>
      <c r="BB364" s="157" t="s">
        <v>0</v>
      </c>
      <c r="BC364" s="157" t="s">
        <v>0</v>
      </c>
      <c r="BD364" s="157" t="s">
        <v>0</v>
      </c>
      <c r="BE364" s="157" t="s">
        <v>0</v>
      </c>
      <c r="BF364" s="157" t="s">
        <v>0</v>
      </c>
      <c r="BG364" s="157" t="s">
        <v>0</v>
      </c>
      <c r="BH364" s="157" t="s">
        <v>0</v>
      </c>
      <c r="BI364" s="158"/>
      <c r="DL364">
        <f t="shared" si="1823"/>
        <v>0</v>
      </c>
      <c r="DM364">
        <f t="shared" si="1824"/>
        <v>0</v>
      </c>
      <c r="DN364">
        <f t="shared" si="1825"/>
        <v>0</v>
      </c>
      <c r="DO364">
        <f t="shared" si="1826"/>
        <v>0</v>
      </c>
      <c r="DP364">
        <f t="shared" si="1827"/>
        <v>0</v>
      </c>
      <c r="DQ364">
        <f t="shared" si="1828"/>
        <v>0</v>
      </c>
      <c r="DR364">
        <f t="shared" si="1829"/>
        <v>0</v>
      </c>
      <c r="DS364">
        <f t="shared" si="1830"/>
        <v>0</v>
      </c>
      <c r="DT364">
        <f t="shared" si="1831"/>
        <v>0</v>
      </c>
      <c r="DU364">
        <f t="shared" si="1832"/>
        <v>0</v>
      </c>
      <c r="DV364">
        <f t="shared" si="1833"/>
        <v>0</v>
      </c>
      <c r="DW364">
        <f t="shared" si="1834"/>
        <v>0</v>
      </c>
    </row>
    <row r="365" spans="6:127" x14ac:dyDescent="0.25">
      <c r="F365" s="159" t="s">
        <v>81</v>
      </c>
      <c r="G365" s="160" t="s">
        <v>60</v>
      </c>
      <c r="H365" s="201" t="s">
        <v>60</v>
      </c>
      <c r="I365" s="183" t="s">
        <v>60</v>
      </c>
      <c r="J365" s="183" t="s">
        <v>0</v>
      </c>
      <c r="K365" s="183" t="s">
        <v>0</v>
      </c>
      <c r="L365" s="183" t="s">
        <v>0</v>
      </c>
      <c r="M365" s="183" t="s">
        <v>0</v>
      </c>
      <c r="N365" s="183" t="s">
        <v>0</v>
      </c>
      <c r="O365" s="183" t="s">
        <v>0</v>
      </c>
      <c r="P365" s="183" t="s">
        <v>0</v>
      </c>
      <c r="Q365" s="183" t="s">
        <v>0</v>
      </c>
      <c r="R365" s="183" t="s">
        <v>0</v>
      </c>
      <c r="S365" s="183" t="s">
        <v>0</v>
      </c>
      <c r="T365" s="183" t="s">
        <v>0</v>
      </c>
      <c r="U365" s="183" t="s">
        <v>0</v>
      </c>
      <c r="V365" s="183" t="s">
        <v>0</v>
      </c>
      <c r="W365" s="183" t="s">
        <v>0</v>
      </c>
      <c r="X365" s="183" t="s">
        <v>0</v>
      </c>
      <c r="Y365" s="183" t="s">
        <v>0</v>
      </c>
      <c r="Z365" s="183" t="s">
        <v>0</v>
      </c>
      <c r="AA365" s="183" t="s">
        <v>0</v>
      </c>
      <c r="AB365" s="183" t="s">
        <v>0</v>
      </c>
      <c r="AC365" s="183" t="s">
        <v>0</v>
      </c>
      <c r="AD365" s="183" t="s">
        <v>0</v>
      </c>
      <c r="AE365" s="183" t="s">
        <v>0</v>
      </c>
      <c r="AF365" s="183" t="s">
        <v>0</v>
      </c>
      <c r="AG365" s="183" t="s">
        <v>0</v>
      </c>
      <c r="AH365" s="183" t="s">
        <v>0</v>
      </c>
      <c r="AI365" s="183" t="s">
        <v>0</v>
      </c>
      <c r="AJ365" s="183" t="s">
        <v>0</v>
      </c>
      <c r="AK365" s="183" t="s">
        <v>0</v>
      </c>
      <c r="AL365" s="183" t="s">
        <v>0</v>
      </c>
      <c r="AM365" s="183" t="s">
        <v>0</v>
      </c>
      <c r="AN365" s="183" t="s">
        <v>0</v>
      </c>
      <c r="AO365" s="183" t="s">
        <v>0</v>
      </c>
      <c r="AP365" s="183" t="s">
        <v>0</v>
      </c>
      <c r="AQ365" s="183" t="s">
        <v>0</v>
      </c>
      <c r="AR365" s="183" t="s">
        <v>0</v>
      </c>
      <c r="AS365" s="183" t="s">
        <v>0</v>
      </c>
      <c r="AT365" s="183" t="s">
        <v>0</v>
      </c>
      <c r="AU365" s="183" t="s">
        <v>0</v>
      </c>
      <c r="AV365" s="183" t="s">
        <v>0</v>
      </c>
      <c r="AW365" s="183" t="s">
        <v>0</v>
      </c>
      <c r="AX365" s="183" t="s">
        <v>0</v>
      </c>
      <c r="AY365" s="183" t="s">
        <v>0</v>
      </c>
      <c r="AZ365" s="183" t="s">
        <v>0</v>
      </c>
      <c r="BA365" s="183" t="s">
        <v>0</v>
      </c>
      <c r="BB365" s="183" t="s">
        <v>0</v>
      </c>
      <c r="BC365" s="183" t="s">
        <v>0</v>
      </c>
      <c r="BD365" s="183" t="s">
        <v>0</v>
      </c>
      <c r="BE365" s="183" t="s">
        <v>0</v>
      </c>
      <c r="BF365" s="183" t="s">
        <v>0</v>
      </c>
      <c r="BG365" s="183" t="s">
        <v>0</v>
      </c>
      <c r="BH365" s="183" t="s">
        <v>0</v>
      </c>
      <c r="BI365" s="161"/>
      <c r="DL365">
        <f t="shared" si="1823"/>
        <v>0</v>
      </c>
      <c r="DM365">
        <f t="shared" si="1824"/>
        <v>0</v>
      </c>
      <c r="DN365">
        <f t="shared" si="1825"/>
        <v>0</v>
      </c>
      <c r="DO365">
        <f t="shared" si="1826"/>
        <v>0</v>
      </c>
      <c r="DP365">
        <f t="shared" si="1827"/>
        <v>0</v>
      </c>
      <c r="DQ365">
        <f t="shared" si="1828"/>
        <v>0</v>
      </c>
      <c r="DR365">
        <f t="shared" si="1829"/>
        <v>0</v>
      </c>
      <c r="DS365">
        <f t="shared" si="1830"/>
        <v>0</v>
      </c>
      <c r="DT365">
        <f t="shared" si="1831"/>
        <v>0</v>
      </c>
      <c r="DU365">
        <f t="shared" si="1832"/>
        <v>0</v>
      </c>
      <c r="DV365">
        <f t="shared" si="1833"/>
        <v>0</v>
      </c>
      <c r="DW365">
        <f t="shared" si="1834"/>
        <v>0</v>
      </c>
    </row>
    <row r="366" spans="6:127" x14ac:dyDescent="0.25">
      <c r="F366" s="188" t="s">
        <v>60</v>
      </c>
      <c r="G366" s="162" t="s">
        <v>60</v>
      </c>
      <c r="H366" s="163" t="s">
        <v>60</v>
      </c>
      <c r="I366" s="164" t="s">
        <v>60</v>
      </c>
      <c r="J366" s="164" t="s">
        <v>0</v>
      </c>
      <c r="K366" s="164" t="s">
        <v>0</v>
      </c>
      <c r="L366" s="164" t="s">
        <v>0</v>
      </c>
      <c r="M366" s="164" t="s">
        <v>0</v>
      </c>
      <c r="N366" s="164" t="s">
        <v>0</v>
      </c>
      <c r="O366" s="164" t="s">
        <v>0</v>
      </c>
      <c r="P366" s="164" t="s">
        <v>0</v>
      </c>
      <c r="Q366" s="164" t="s">
        <v>0</v>
      </c>
      <c r="R366" s="164" t="s">
        <v>0</v>
      </c>
      <c r="S366" s="164" t="s">
        <v>0</v>
      </c>
      <c r="T366" s="164" t="s">
        <v>0</v>
      </c>
      <c r="U366" s="164" t="s">
        <v>0</v>
      </c>
      <c r="V366" s="164" t="s">
        <v>0</v>
      </c>
      <c r="W366" s="164" t="s">
        <v>0</v>
      </c>
      <c r="X366" s="164" t="s">
        <v>0</v>
      </c>
      <c r="Y366" s="164" t="s">
        <v>0</v>
      </c>
      <c r="Z366" s="164" t="s">
        <v>0</v>
      </c>
      <c r="AA366" s="164" t="s">
        <v>0</v>
      </c>
      <c r="AB366" s="164" t="s">
        <v>0</v>
      </c>
      <c r="AC366" s="164" t="s">
        <v>0</v>
      </c>
      <c r="AD366" s="164" t="s">
        <v>0</v>
      </c>
      <c r="AE366" s="164" t="s">
        <v>0</v>
      </c>
      <c r="AF366" s="164" t="s">
        <v>0</v>
      </c>
      <c r="AG366" s="164" t="s">
        <v>0</v>
      </c>
      <c r="AH366" s="164" t="s">
        <v>0</v>
      </c>
      <c r="AI366" s="164" t="s">
        <v>0</v>
      </c>
      <c r="AJ366" s="164" t="s">
        <v>0</v>
      </c>
      <c r="AK366" s="164" t="s">
        <v>0</v>
      </c>
      <c r="AL366" s="164" t="s">
        <v>0</v>
      </c>
      <c r="AM366" s="164" t="s">
        <v>0</v>
      </c>
      <c r="AN366" s="164" t="s">
        <v>0</v>
      </c>
      <c r="AO366" s="164" t="s">
        <v>0</v>
      </c>
      <c r="AP366" s="164" t="s">
        <v>0</v>
      </c>
      <c r="AQ366" s="164" t="s">
        <v>0</v>
      </c>
      <c r="AR366" s="164" t="s">
        <v>0</v>
      </c>
      <c r="AS366" s="164" t="s">
        <v>0</v>
      </c>
      <c r="AT366" s="164" t="s">
        <v>0</v>
      </c>
      <c r="AU366" s="164" t="s">
        <v>0</v>
      </c>
      <c r="AV366" s="164" t="s">
        <v>0</v>
      </c>
      <c r="AW366" s="164" t="s">
        <v>0</v>
      </c>
      <c r="AX366" s="164" t="s">
        <v>0</v>
      </c>
      <c r="AY366" s="164" t="s">
        <v>0</v>
      </c>
      <c r="AZ366" s="164" t="s">
        <v>0</v>
      </c>
      <c r="BA366" s="164" t="s">
        <v>0</v>
      </c>
      <c r="BB366" s="164" t="s">
        <v>0</v>
      </c>
      <c r="BC366" s="164" t="s">
        <v>0</v>
      </c>
      <c r="BD366" s="164" t="s">
        <v>0</v>
      </c>
      <c r="BE366" s="164" t="s">
        <v>0</v>
      </c>
      <c r="BF366" s="164" t="s">
        <v>0</v>
      </c>
      <c r="BG366" s="164" t="s">
        <v>0</v>
      </c>
      <c r="BH366" s="164" t="s">
        <v>0</v>
      </c>
      <c r="BI366" s="189"/>
      <c r="DL366">
        <f t="shared" si="1823"/>
        <v>0</v>
      </c>
      <c r="DM366">
        <f t="shared" si="1824"/>
        <v>0</v>
      </c>
      <c r="DN366">
        <f t="shared" si="1825"/>
        <v>0</v>
      </c>
      <c r="DO366">
        <f t="shared" si="1826"/>
        <v>0</v>
      </c>
      <c r="DP366">
        <f t="shared" si="1827"/>
        <v>0</v>
      </c>
      <c r="DQ366">
        <f t="shared" si="1828"/>
        <v>0</v>
      </c>
      <c r="DR366">
        <f t="shared" si="1829"/>
        <v>0</v>
      </c>
      <c r="DS366">
        <f t="shared" si="1830"/>
        <v>0</v>
      </c>
      <c r="DT366">
        <f t="shared" si="1831"/>
        <v>0</v>
      </c>
      <c r="DU366">
        <f t="shared" si="1832"/>
        <v>0</v>
      </c>
      <c r="DV366">
        <f t="shared" si="1833"/>
        <v>0</v>
      </c>
      <c r="DW366">
        <f t="shared" si="1834"/>
        <v>0</v>
      </c>
    </row>
    <row r="367" spans="6:127" x14ac:dyDescent="0.25">
      <c r="F367" s="155" t="s">
        <v>61</v>
      </c>
      <c r="G367" s="181">
        <v>5501017972</v>
      </c>
      <c r="H367" s="155" t="s">
        <v>62</v>
      </c>
      <c r="I367" s="181">
        <v>91</v>
      </c>
      <c r="J367" s="155" t="s">
        <v>63</v>
      </c>
      <c r="K367" s="160">
        <v>1177759</v>
      </c>
      <c r="L367" s="161"/>
      <c r="M367" s="190" t="s">
        <v>64</v>
      </c>
      <c r="N367" s="191"/>
      <c r="O367" s="192">
        <v>46086</v>
      </c>
      <c r="P367" s="155" t="s">
        <v>65</v>
      </c>
      <c r="Q367" s="181">
        <v>4</v>
      </c>
      <c r="R367" s="6" t="s">
        <v>0</v>
      </c>
      <c r="S367" s="7" t="s">
        <v>0</v>
      </c>
      <c r="T367" s="7" t="s">
        <v>0</v>
      </c>
      <c r="U367" s="7" t="s">
        <v>0</v>
      </c>
      <c r="V367" s="7" t="s">
        <v>0</v>
      </c>
      <c r="W367" s="7" t="s">
        <v>0</v>
      </c>
      <c r="X367" s="7" t="s">
        <v>0</v>
      </c>
      <c r="Y367" s="7" t="s">
        <v>0</v>
      </c>
      <c r="Z367" s="7" t="s">
        <v>0</v>
      </c>
      <c r="AA367" s="7" t="s">
        <v>0</v>
      </c>
      <c r="AB367" s="7" t="s">
        <v>0</v>
      </c>
      <c r="AC367" s="7" t="s">
        <v>0</v>
      </c>
      <c r="AD367" s="7" t="s">
        <v>0</v>
      </c>
      <c r="AE367" s="7" t="s">
        <v>0</v>
      </c>
      <c r="AF367" s="7" t="s">
        <v>0</v>
      </c>
      <c r="AG367" s="7" t="s">
        <v>0</v>
      </c>
      <c r="AH367" s="7" t="s">
        <v>0</v>
      </c>
      <c r="AI367" s="7" t="s">
        <v>0</v>
      </c>
      <c r="AJ367" s="7" t="s">
        <v>0</v>
      </c>
      <c r="AK367" s="7" t="s">
        <v>0</v>
      </c>
      <c r="AL367" s="7" t="s">
        <v>0</v>
      </c>
      <c r="AM367" s="7" t="s">
        <v>0</v>
      </c>
      <c r="AN367" s="7" t="s">
        <v>0</v>
      </c>
      <c r="AO367" s="7" t="s">
        <v>0</v>
      </c>
      <c r="AP367" s="7" t="s">
        <v>0</v>
      </c>
      <c r="AQ367" s="7" t="s">
        <v>0</v>
      </c>
      <c r="AR367" s="7" t="s">
        <v>0</v>
      </c>
      <c r="AS367" s="7" t="s">
        <v>0</v>
      </c>
      <c r="AT367" s="7" t="s">
        <v>0</v>
      </c>
      <c r="AU367" s="7" t="s">
        <v>0</v>
      </c>
      <c r="AV367" s="7" t="s">
        <v>0</v>
      </c>
      <c r="AW367" s="7" t="s">
        <v>0</v>
      </c>
      <c r="AX367" s="7" t="s">
        <v>0</v>
      </c>
      <c r="AY367" s="7" t="s">
        <v>0</v>
      </c>
      <c r="AZ367" s="7" t="s">
        <v>0</v>
      </c>
      <c r="BA367" s="7" t="s">
        <v>0</v>
      </c>
      <c r="BB367" s="7" t="s">
        <v>0</v>
      </c>
      <c r="BC367" s="7" t="s">
        <v>0</v>
      </c>
      <c r="BD367" s="7" t="s">
        <v>0</v>
      </c>
      <c r="BE367" s="7" t="s">
        <v>0</v>
      </c>
      <c r="BF367" s="7" t="s">
        <v>0</v>
      </c>
      <c r="BG367" s="7" t="s">
        <v>0</v>
      </c>
      <c r="BH367" s="7" t="s">
        <v>0</v>
      </c>
      <c r="BI367" s="8"/>
      <c r="DL367">
        <f t="shared" si="1823"/>
        <v>0</v>
      </c>
      <c r="DM367">
        <f t="shared" si="1824"/>
        <v>0</v>
      </c>
      <c r="DN367">
        <f t="shared" si="1825"/>
        <v>0</v>
      </c>
      <c r="DO367">
        <f t="shared" si="1826"/>
        <v>0</v>
      </c>
      <c r="DP367">
        <f t="shared" si="1827"/>
        <v>0</v>
      </c>
      <c r="DQ367">
        <f t="shared" si="1828"/>
        <v>0</v>
      </c>
      <c r="DR367">
        <f t="shared" si="1829"/>
        <v>0</v>
      </c>
      <c r="DS367">
        <f t="shared" si="1830"/>
        <v>0</v>
      </c>
      <c r="DT367">
        <f t="shared" si="1831"/>
        <v>0</v>
      </c>
      <c r="DU367">
        <f t="shared" si="1832"/>
        <v>0</v>
      </c>
      <c r="DV367">
        <f t="shared" si="1833"/>
        <v>0</v>
      </c>
      <c r="DW367">
        <f t="shared" si="1834"/>
        <v>0</v>
      </c>
    </row>
    <row r="368" spans="6:127" x14ac:dyDescent="0.25">
      <c r="F368" s="155" t="s">
        <v>66</v>
      </c>
      <c r="G368" s="181" t="s">
        <v>374</v>
      </c>
      <c r="H368" s="155" t="s">
        <v>67</v>
      </c>
      <c r="I368" s="182" t="s">
        <v>375</v>
      </c>
      <c r="J368" s="183"/>
      <c r="K368" s="183"/>
      <c r="L368" s="161"/>
      <c r="M368" s="155" t="s">
        <v>68</v>
      </c>
      <c r="N368" s="181">
        <v>2025</v>
      </c>
      <c r="O368" s="184" t="s">
        <v>69</v>
      </c>
      <c r="P368" s="185"/>
      <c r="Q368" s="193" t="s">
        <v>342</v>
      </c>
      <c r="R368" s="156" t="s">
        <v>0</v>
      </c>
      <c r="S368" s="157" t="s">
        <v>0</v>
      </c>
      <c r="T368" s="157" t="s">
        <v>0</v>
      </c>
      <c r="U368" s="157" t="s">
        <v>0</v>
      </c>
      <c r="V368" s="157" t="s">
        <v>0</v>
      </c>
      <c r="W368" s="157" t="s">
        <v>0</v>
      </c>
      <c r="X368" s="157" t="s">
        <v>0</v>
      </c>
      <c r="Y368" s="157" t="s">
        <v>0</v>
      </c>
      <c r="Z368" s="157" t="s">
        <v>0</v>
      </c>
      <c r="AA368" s="157" t="s">
        <v>0</v>
      </c>
      <c r="AB368" s="157" t="s">
        <v>0</v>
      </c>
      <c r="AC368" s="157" t="s">
        <v>0</v>
      </c>
      <c r="AD368" s="157" t="s">
        <v>0</v>
      </c>
      <c r="AE368" s="157" t="s">
        <v>0</v>
      </c>
      <c r="AF368" s="157" t="s">
        <v>0</v>
      </c>
      <c r="AG368" s="157" t="s">
        <v>0</v>
      </c>
      <c r="AH368" s="157" t="s">
        <v>0</v>
      </c>
      <c r="AI368" s="157" t="s">
        <v>0</v>
      </c>
      <c r="AJ368" s="157" t="s">
        <v>0</v>
      </c>
      <c r="AK368" s="157" t="s">
        <v>0</v>
      </c>
      <c r="AL368" s="157" t="s">
        <v>0</v>
      </c>
      <c r="AM368" s="157" t="s">
        <v>0</v>
      </c>
      <c r="AN368" s="157" t="s">
        <v>0</v>
      </c>
      <c r="AO368" s="157" t="s">
        <v>0</v>
      </c>
      <c r="AP368" s="157" t="s">
        <v>0</v>
      </c>
      <c r="AQ368" s="157" t="s">
        <v>0</v>
      </c>
      <c r="AR368" s="157" t="s">
        <v>0</v>
      </c>
      <c r="AS368" s="157" t="s">
        <v>0</v>
      </c>
      <c r="AT368" s="157" t="s">
        <v>0</v>
      </c>
      <c r="AU368" s="157" t="s">
        <v>0</v>
      </c>
      <c r="AV368" s="157" t="s">
        <v>0</v>
      </c>
      <c r="AW368" s="157" t="s">
        <v>0</v>
      </c>
      <c r="AX368" s="157" t="s">
        <v>0</v>
      </c>
      <c r="AY368" s="157" t="s">
        <v>0</v>
      </c>
      <c r="AZ368" s="157" t="s">
        <v>0</v>
      </c>
      <c r="BA368" s="157" t="s">
        <v>0</v>
      </c>
      <c r="BB368" s="157" t="s">
        <v>0</v>
      </c>
      <c r="BC368" s="157" t="s">
        <v>0</v>
      </c>
      <c r="BD368" s="157" t="s">
        <v>0</v>
      </c>
      <c r="BE368" s="157" t="s">
        <v>0</v>
      </c>
      <c r="BF368" s="157" t="s">
        <v>0</v>
      </c>
      <c r="BG368" s="157" t="s">
        <v>0</v>
      </c>
      <c r="BH368" s="157" t="s">
        <v>0</v>
      </c>
      <c r="BI368" s="158"/>
      <c r="DL368">
        <f t="shared" si="1823"/>
        <v>0</v>
      </c>
      <c r="DM368">
        <f t="shared" si="1824"/>
        <v>0</v>
      </c>
      <c r="DN368">
        <f t="shared" si="1825"/>
        <v>0</v>
      </c>
      <c r="DO368">
        <f t="shared" si="1826"/>
        <v>0</v>
      </c>
      <c r="DP368">
        <f t="shared" si="1827"/>
        <v>0</v>
      </c>
      <c r="DQ368">
        <f t="shared" si="1828"/>
        <v>0</v>
      </c>
      <c r="DR368">
        <f t="shared" si="1829"/>
        <v>0</v>
      </c>
      <c r="DS368">
        <f t="shared" si="1830"/>
        <v>0</v>
      </c>
      <c r="DT368">
        <f t="shared" si="1831"/>
        <v>0</v>
      </c>
      <c r="DU368">
        <f t="shared" si="1832"/>
        <v>0</v>
      </c>
      <c r="DV368">
        <f t="shared" si="1833"/>
        <v>0</v>
      </c>
      <c r="DW368">
        <f t="shared" si="1834"/>
        <v>0</v>
      </c>
    </row>
    <row r="369" spans="6:127" x14ac:dyDescent="0.25">
      <c r="F369" s="155" t="s">
        <v>70</v>
      </c>
      <c r="G369" s="181" t="s">
        <v>376</v>
      </c>
      <c r="H369" s="155" t="s">
        <v>71</v>
      </c>
      <c r="I369" s="182" t="s">
        <v>60</v>
      </c>
      <c r="J369" s="161" t="s">
        <v>0</v>
      </c>
      <c r="K369" s="194" t="s">
        <v>0</v>
      </c>
      <c r="L369" s="195" t="s">
        <v>0</v>
      </c>
      <c r="M369" s="179" t="s">
        <v>0</v>
      </c>
      <c r="N369" s="179" t="s">
        <v>0</v>
      </c>
      <c r="O369" s="179" t="s">
        <v>0</v>
      </c>
      <c r="P369" s="179" t="s">
        <v>0</v>
      </c>
      <c r="Q369" s="179" t="s">
        <v>1</v>
      </c>
      <c r="R369" s="179" t="s">
        <v>2</v>
      </c>
      <c r="S369" s="179" t="s">
        <v>0</v>
      </c>
      <c r="T369" s="179" t="s">
        <v>0</v>
      </c>
      <c r="U369" s="179" t="s">
        <v>0</v>
      </c>
      <c r="V369" s="179" t="s">
        <v>0</v>
      </c>
      <c r="W369" s="179" t="s">
        <v>0</v>
      </c>
      <c r="X369" s="179" t="s">
        <v>0</v>
      </c>
      <c r="Y369" s="179" t="s">
        <v>0</v>
      </c>
      <c r="Z369" s="179" t="s">
        <v>3</v>
      </c>
      <c r="AA369" s="179" t="s">
        <v>0</v>
      </c>
      <c r="AB369" s="179" t="s">
        <v>0</v>
      </c>
      <c r="AC369" s="179" t="s">
        <v>0</v>
      </c>
      <c r="AD369" s="179" t="s">
        <v>0</v>
      </c>
      <c r="AE369" s="179" t="s">
        <v>0</v>
      </c>
      <c r="AF369" s="179" t="s">
        <v>0</v>
      </c>
      <c r="AG369" s="179" t="s">
        <v>0</v>
      </c>
      <c r="AH369" s="179" t="s">
        <v>0</v>
      </c>
      <c r="AI369" s="179" t="s">
        <v>0</v>
      </c>
      <c r="AJ369" s="179" t="s">
        <v>0</v>
      </c>
      <c r="AK369" s="179" t="s">
        <v>0</v>
      </c>
      <c r="AL369" s="179" t="s">
        <v>0</v>
      </c>
      <c r="AM369" s="179" t="s">
        <v>0</v>
      </c>
      <c r="AN369" s="179" t="s">
        <v>0</v>
      </c>
      <c r="AO369" s="179" t="s">
        <v>0</v>
      </c>
      <c r="AP369" s="179" t="s">
        <v>0</v>
      </c>
      <c r="AQ369" s="179" t="s">
        <v>0</v>
      </c>
      <c r="AR369" s="179" t="s">
        <v>0</v>
      </c>
      <c r="AS369" s="179" t="s">
        <v>0</v>
      </c>
      <c r="AT369" s="179" t="s">
        <v>0</v>
      </c>
      <c r="AU369" s="179" t="s">
        <v>0</v>
      </c>
      <c r="AV369" s="179" t="s">
        <v>0</v>
      </c>
      <c r="AW369" s="179" t="s">
        <v>0</v>
      </c>
      <c r="AX369" s="179" t="s">
        <v>0</v>
      </c>
      <c r="AY369" s="179" t="s">
        <v>0</v>
      </c>
      <c r="AZ369" s="179" t="s">
        <v>0</v>
      </c>
      <c r="BA369" s="179" t="s">
        <v>0</v>
      </c>
      <c r="BB369" s="179" t="s">
        <v>0</v>
      </c>
      <c r="BC369" s="179" t="s">
        <v>0</v>
      </c>
      <c r="BD369" s="179" t="s">
        <v>0</v>
      </c>
      <c r="BE369" s="179" t="s">
        <v>0</v>
      </c>
      <c r="BF369" s="179" t="s">
        <v>0</v>
      </c>
      <c r="BG369" s="179" t="s">
        <v>0</v>
      </c>
      <c r="BH369" s="179" t="s">
        <v>0</v>
      </c>
      <c r="BI369" s="180" t="s">
        <v>4</v>
      </c>
      <c r="DL369">
        <f t="shared" si="1823"/>
        <v>0</v>
      </c>
      <c r="DM369">
        <f t="shared" si="1824"/>
        <v>0</v>
      </c>
      <c r="DN369">
        <f t="shared" si="1825"/>
        <v>0</v>
      </c>
      <c r="DO369">
        <f t="shared" si="1826"/>
        <v>0</v>
      </c>
      <c r="DP369">
        <f t="shared" si="1827"/>
        <v>0</v>
      </c>
      <c r="DQ369">
        <f t="shared" si="1828"/>
        <v>0</v>
      </c>
      <c r="DR369">
        <f t="shared" si="1829"/>
        <v>0</v>
      </c>
      <c r="DS369">
        <f t="shared" si="1830"/>
        <v>0</v>
      </c>
      <c r="DT369">
        <f t="shared" si="1831"/>
        <v>0</v>
      </c>
      <c r="DU369">
        <f t="shared" si="1832"/>
        <v>0</v>
      </c>
      <c r="DV369">
        <f t="shared" si="1833"/>
        <v>0</v>
      </c>
      <c r="DW369">
        <f t="shared" si="1834"/>
        <v>0</v>
      </c>
    </row>
    <row r="370" spans="6:127" x14ac:dyDescent="0.25">
      <c r="F370" s="155" t="s">
        <v>72</v>
      </c>
      <c r="G370" s="181">
        <v>0</v>
      </c>
      <c r="H370" s="196" t="s">
        <v>414</v>
      </c>
      <c r="I370" s="197" t="s">
        <v>73</v>
      </c>
      <c r="J370" s="13">
        <v>46041</v>
      </c>
      <c r="K370" s="14">
        <v>46048</v>
      </c>
      <c r="L370" s="14">
        <v>46055</v>
      </c>
      <c r="M370" s="14">
        <v>46062</v>
      </c>
      <c r="N370" s="14">
        <v>46069</v>
      </c>
      <c r="O370" s="14">
        <v>46076</v>
      </c>
      <c r="P370" s="14">
        <v>46083</v>
      </c>
      <c r="Q370" s="14">
        <v>46090</v>
      </c>
      <c r="R370" s="14">
        <v>46097</v>
      </c>
      <c r="S370" s="14">
        <v>46104</v>
      </c>
      <c r="T370" s="14">
        <v>46111</v>
      </c>
      <c r="U370" s="14">
        <v>46118</v>
      </c>
      <c r="V370" s="14">
        <v>46125</v>
      </c>
      <c r="W370" s="14">
        <v>46132</v>
      </c>
      <c r="X370" s="14">
        <v>46139</v>
      </c>
      <c r="Y370" s="14">
        <v>46146</v>
      </c>
      <c r="Z370" s="14">
        <v>46153</v>
      </c>
      <c r="AA370" s="14">
        <v>46160</v>
      </c>
      <c r="AB370" s="14">
        <v>46167</v>
      </c>
      <c r="AC370" s="14">
        <v>46174</v>
      </c>
      <c r="AD370" s="14">
        <v>46181</v>
      </c>
      <c r="AE370" s="14">
        <v>46188</v>
      </c>
      <c r="AF370" s="14">
        <v>46195</v>
      </c>
      <c r="AG370" s="14">
        <v>46202</v>
      </c>
      <c r="AH370" s="14">
        <v>46209</v>
      </c>
      <c r="AI370" s="14">
        <v>46216</v>
      </c>
      <c r="AJ370" s="14">
        <v>46223</v>
      </c>
      <c r="AK370" s="14">
        <v>46230</v>
      </c>
      <c r="AL370" s="14">
        <v>46237</v>
      </c>
      <c r="AM370" s="14">
        <v>46244</v>
      </c>
      <c r="AN370" s="14">
        <v>46251</v>
      </c>
      <c r="AO370" s="14">
        <v>46258</v>
      </c>
      <c r="AP370" s="14">
        <v>46265</v>
      </c>
      <c r="AQ370" s="14">
        <v>46272</v>
      </c>
      <c r="AR370" s="14">
        <v>46279</v>
      </c>
      <c r="AS370" s="14">
        <v>46286</v>
      </c>
      <c r="AT370" s="14">
        <v>46293</v>
      </c>
      <c r="AU370" s="14">
        <v>46300</v>
      </c>
      <c r="AV370" s="14">
        <v>46307</v>
      </c>
      <c r="AW370" s="14">
        <v>46314</v>
      </c>
      <c r="AX370" s="14">
        <v>46321</v>
      </c>
      <c r="AY370" s="14">
        <v>46328</v>
      </c>
      <c r="AZ370" s="14">
        <v>46335</v>
      </c>
      <c r="BA370" s="14">
        <v>46342</v>
      </c>
      <c r="BB370" s="14">
        <v>46349</v>
      </c>
      <c r="BC370" s="14">
        <v>46356</v>
      </c>
      <c r="BD370" s="14">
        <v>46363</v>
      </c>
      <c r="BE370" s="14">
        <v>46370</v>
      </c>
      <c r="BF370" s="14">
        <v>46377</v>
      </c>
      <c r="BG370" s="14">
        <v>46384</v>
      </c>
      <c r="BH370" s="14">
        <v>46391</v>
      </c>
      <c r="BI370" s="15">
        <v>46398</v>
      </c>
      <c r="DL370">
        <f t="shared" si="1823"/>
        <v>0</v>
      </c>
      <c r="DM370">
        <f t="shared" si="1824"/>
        <v>0</v>
      </c>
      <c r="DN370">
        <f t="shared" si="1825"/>
        <v>0</v>
      </c>
      <c r="DO370">
        <f t="shared" si="1826"/>
        <v>0</v>
      </c>
      <c r="DP370">
        <f t="shared" si="1827"/>
        <v>0</v>
      </c>
      <c r="DQ370">
        <f t="shared" si="1828"/>
        <v>0</v>
      </c>
      <c r="DR370">
        <f t="shared" si="1829"/>
        <v>0</v>
      </c>
      <c r="DS370">
        <f t="shared" si="1830"/>
        <v>0</v>
      </c>
      <c r="DT370">
        <f t="shared" si="1831"/>
        <v>0</v>
      </c>
      <c r="DU370">
        <f t="shared" si="1832"/>
        <v>0</v>
      </c>
      <c r="DV370">
        <f t="shared" si="1833"/>
        <v>0</v>
      </c>
      <c r="DW370">
        <f t="shared" si="1834"/>
        <v>0</v>
      </c>
    </row>
    <row r="371" spans="6:127" x14ac:dyDescent="0.25">
      <c r="F371" s="155" t="s">
        <v>74</v>
      </c>
      <c r="G371" s="181">
        <v>0</v>
      </c>
      <c r="H371" s="5" t="s">
        <v>60</v>
      </c>
      <c r="I371" s="11" t="s">
        <v>147</v>
      </c>
      <c r="J371" s="16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17"/>
      <c r="DL371">
        <f t="shared" si="1823"/>
        <v>0</v>
      </c>
      <c r="DM371">
        <f t="shared" si="1824"/>
        <v>0</v>
      </c>
      <c r="DN371">
        <f t="shared" si="1825"/>
        <v>0</v>
      </c>
      <c r="DO371">
        <f t="shared" si="1826"/>
        <v>0</v>
      </c>
      <c r="DP371">
        <f t="shared" si="1827"/>
        <v>0</v>
      </c>
      <c r="DQ371">
        <f t="shared" si="1828"/>
        <v>0</v>
      </c>
      <c r="DR371">
        <f t="shared" si="1829"/>
        <v>0</v>
      </c>
      <c r="DS371">
        <f t="shared" si="1830"/>
        <v>0</v>
      </c>
      <c r="DT371">
        <f t="shared" si="1831"/>
        <v>0</v>
      </c>
      <c r="DU371">
        <f t="shared" si="1832"/>
        <v>0</v>
      </c>
      <c r="DV371">
        <f t="shared" si="1833"/>
        <v>0</v>
      </c>
      <c r="DW371">
        <f t="shared" si="1834"/>
        <v>0</v>
      </c>
    </row>
    <row r="372" spans="6:127" x14ac:dyDescent="0.25">
      <c r="F372" s="155" t="s">
        <v>75</v>
      </c>
      <c r="G372" s="198" t="s">
        <v>257</v>
      </c>
      <c r="H372" s="9" t="s">
        <v>237</v>
      </c>
      <c r="I372" s="11" t="s">
        <v>76</v>
      </c>
      <c r="J372" s="143">
        <v>0</v>
      </c>
      <c r="K372" s="64">
        <v>0</v>
      </c>
      <c r="L372" s="64">
        <v>0</v>
      </c>
      <c r="M372" s="64">
        <v>0</v>
      </c>
      <c r="N372" s="64">
        <v>0</v>
      </c>
      <c r="O372" s="64">
        <v>0</v>
      </c>
      <c r="P372" s="64">
        <v>0</v>
      </c>
      <c r="Q372" s="64">
        <v>0</v>
      </c>
      <c r="R372" s="64">
        <v>0</v>
      </c>
      <c r="S372" s="64">
        <v>0</v>
      </c>
      <c r="T372" s="64">
        <v>0</v>
      </c>
      <c r="U372" s="64">
        <v>0</v>
      </c>
      <c r="V372" s="64">
        <v>0</v>
      </c>
      <c r="W372" s="64">
        <v>0</v>
      </c>
      <c r="X372" s="64">
        <v>0</v>
      </c>
      <c r="Y372" s="64">
        <v>0</v>
      </c>
      <c r="Z372" s="64">
        <v>0</v>
      </c>
      <c r="AA372" s="64">
        <v>0</v>
      </c>
      <c r="AB372" s="64">
        <v>0</v>
      </c>
      <c r="AC372" s="64">
        <v>0</v>
      </c>
      <c r="AD372" s="64">
        <v>0</v>
      </c>
      <c r="AE372" s="64">
        <v>0</v>
      </c>
      <c r="AF372" s="64">
        <v>0</v>
      </c>
      <c r="AG372" s="64">
        <v>0</v>
      </c>
      <c r="AH372" s="64">
        <v>0</v>
      </c>
      <c r="AI372" s="64">
        <v>0</v>
      </c>
      <c r="AJ372" s="64">
        <v>0</v>
      </c>
      <c r="AK372" s="64">
        <v>0</v>
      </c>
      <c r="AL372" s="64">
        <v>0</v>
      </c>
      <c r="AM372" s="64">
        <v>0</v>
      </c>
      <c r="AN372" s="64">
        <v>0</v>
      </c>
      <c r="AO372" s="64">
        <v>0</v>
      </c>
      <c r="AP372" s="64">
        <v>0</v>
      </c>
      <c r="AQ372" s="64">
        <v>0</v>
      </c>
      <c r="AR372" s="64">
        <v>0</v>
      </c>
      <c r="AS372" s="64">
        <v>0</v>
      </c>
      <c r="AT372" s="64">
        <v>0</v>
      </c>
      <c r="AU372" s="64">
        <v>0</v>
      </c>
      <c r="AV372" s="64">
        <v>0</v>
      </c>
      <c r="AW372" s="64">
        <v>0</v>
      </c>
      <c r="AX372" s="64">
        <v>0</v>
      </c>
      <c r="AY372" s="64">
        <v>0</v>
      </c>
      <c r="AZ372" s="64">
        <v>0</v>
      </c>
      <c r="BA372" s="64">
        <v>0</v>
      </c>
      <c r="BB372" s="64">
        <v>0</v>
      </c>
      <c r="BC372" s="64">
        <v>0</v>
      </c>
      <c r="BD372" s="64">
        <v>0</v>
      </c>
      <c r="BE372" s="64">
        <v>0</v>
      </c>
      <c r="BF372" s="64">
        <v>0</v>
      </c>
      <c r="BG372" s="64">
        <v>0</v>
      </c>
      <c r="BH372" s="64">
        <v>0</v>
      </c>
      <c r="BI372" s="144">
        <v>0</v>
      </c>
      <c r="BJ372" s="24" t="str">
        <f>+G369</f>
        <v>82115-0EA21 B</v>
      </c>
      <c r="BK372" s="24">
        <f>+J372</f>
        <v>0</v>
      </c>
      <c r="BL372" s="24">
        <f t="shared" ref="BL372" si="1988">+K372</f>
        <v>0</v>
      </c>
      <c r="BM372" s="24">
        <f t="shared" ref="BM372" si="1989">+L372</f>
        <v>0</v>
      </c>
      <c r="BN372" s="24">
        <f t="shared" ref="BN372" si="1990">+M372</f>
        <v>0</v>
      </c>
      <c r="BO372" s="24">
        <f t="shared" ref="BO372" si="1991">+N372</f>
        <v>0</v>
      </c>
      <c r="BP372" s="24">
        <f t="shared" ref="BP372" si="1992">+O372</f>
        <v>0</v>
      </c>
      <c r="BQ372" s="24">
        <f t="shared" ref="BQ372" si="1993">+P372</f>
        <v>0</v>
      </c>
      <c r="BR372" s="24">
        <f t="shared" ref="BR372" si="1994">+Q372</f>
        <v>0</v>
      </c>
      <c r="BS372" s="24">
        <f t="shared" ref="BS372" si="1995">+R372</f>
        <v>0</v>
      </c>
      <c r="BT372" s="24">
        <f t="shared" ref="BT372" si="1996">+S372</f>
        <v>0</v>
      </c>
      <c r="BU372" s="24">
        <f t="shared" ref="BU372" si="1997">+T372</f>
        <v>0</v>
      </c>
      <c r="BV372" s="24">
        <f t="shared" ref="BV372" si="1998">+U372</f>
        <v>0</v>
      </c>
      <c r="BW372" s="24">
        <f t="shared" ref="BW372" si="1999">+V372</f>
        <v>0</v>
      </c>
      <c r="BX372" s="24">
        <f t="shared" ref="BX372" si="2000">+W372</f>
        <v>0</v>
      </c>
      <c r="BY372" s="24">
        <f t="shared" ref="BY372" si="2001">+X372</f>
        <v>0</v>
      </c>
      <c r="BZ372" s="24">
        <f t="shared" ref="BZ372" si="2002">+Y372</f>
        <v>0</v>
      </c>
      <c r="CA372" s="24">
        <f t="shared" ref="CA372" si="2003">+Z372</f>
        <v>0</v>
      </c>
      <c r="CB372" s="24">
        <f t="shared" ref="CB372" si="2004">+AA372</f>
        <v>0</v>
      </c>
      <c r="CC372" s="24">
        <f t="shared" ref="CC372" si="2005">+AB372</f>
        <v>0</v>
      </c>
      <c r="CD372" s="24">
        <f t="shared" ref="CD372" si="2006">+AC372</f>
        <v>0</v>
      </c>
      <c r="CE372" s="24">
        <f t="shared" ref="CE372" si="2007">+AD372</f>
        <v>0</v>
      </c>
      <c r="CF372" s="24">
        <f t="shared" ref="CF372" si="2008">+AE372</f>
        <v>0</v>
      </c>
      <c r="CG372" s="24">
        <f t="shared" ref="CG372" si="2009">+AF372</f>
        <v>0</v>
      </c>
      <c r="CH372" s="24">
        <f t="shared" ref="CH372" si="2010">+AG372</f>
        <v>0</v>
      </c>
      <c r="CI372" s="24">
        <f t="shared" ref="CI372" si="2011">+AH372</f>
        <v>0</v>
      </c>
      <c r="CJ372" s="24">
        <f t="shared" ref="CJ372" si="2012">+AI372</f>
        <v>0</v>
      </c>
      <c r="CK372" s="24">
        <f t="shared" ref="CK372" si="2013">+AJ372</f>
        <v>0</v>
      </c>
      <c r="CL372" s="24">
        <f t="shared" ref="CL372" si="2014">+AK372</f>
        <v>0</v>
      </c>
      <c r="CM372" s="24">
        <f t="shared" ref="CM372" si="2015">+AL372</f>
        <v>0</v>
      </c>
      <c r="CN372" s="24">
        <f t="shared" ref="CN372" si="2016">+AM372</f>
        <v>0</v>
      </c>
      <c r="CO372" s="24">
        <f t="shared" ref="CO372" si="2017">+AN372</f>
        <v>0</v>
      </c>
      <c r="CP372" s="166">
        <f t="shared" ref="CP372" si="2018">+AO372</f>
        <v>0</v>
      </c>
      <c r="CQ372" s="166">
        <f t="shared" ref="CQ372" si="2019">+AP372</f>
        <v>0</v>
      </c>
      <c r="CR372">
        <f t="shared" ref="CR372" si="2020">+AQ372</f>
        <v>0</v>
      </c>
      <c r="CS372">
        <f t="shared" ref="CS372" si="2021">+AR372</f>
        <v>0</v>
      </c>
      <c r="CT372">
        <f t="shared" ref="CT372" si="2022">+AS372</f>
        <v>0</v>
      </c>
      <c r="CU372">
        <f t="shared" ref="CU372" si="2023">+AT372</f>
        <v>0</v>
      </c>
      <c r="CV372">
        <f t="shared" ref="CV372" si="2024">+AU372</f>
        <v>0</v>
      </c>
      <c r="CW372">
        <f t="shared" ref="CW372" si="2025">+AV372</f>
        <v>0</v>
      </c>
      <c r="CX372">
        <f t="shared" ref="CX372" si="2026">+AW372</f>
        <v>0</v>
      </c>
      <c r="CY372">
        <f t="shared" ref="CY372" si="2027">+AX372</f>
        <v>0</v>
      </c>
      <c r="CZ372">
        <f t="shared" ref="CZ372" si="2028">+AY372</f>
        <v>0</v>
      </c>
      <c r="DA372">
        <f t="shared" ref="DA372" si="2029">+AZ372</f>
        <v>0</v>
      </c>
      <c r="DB372">
        <f t="shared" ref="DB372" si="2030">+BA372</f>
        <v>0</v>
      </c>
      <c r="DC372">
        <f t="shared" ref="DC372" si="2031">+BB372</f>
        <v>0</v>
      </c>
      <c r="DD372">
        <f t="shared" ref="DD372" si="2032">+BC372</f>
        <v>0</v>
      </c>
      <c r="DE372">
        <f t="shared" ref="DE372" si="2033">+BD372</f>
        <v>0</v>
      </c>
      <c r="DF372">
        <f t="shared" ref="DF372" si="2034">+BE372</f>
        <v>0</v>
      </c>
      <c r="DG372">
        <f t="shared" ref="DG372" si="2035">+BF372</f>
        <v>0</v>
      </c>
      <c r="DH372">
        <f t="shared" ref="DH372" si="2036">+BG372</f>
        <v>0</v>
      </c>
      <c r="DI372">
        <f t="shared" ref="DI372" si="2037">+BH372</f>
        <v>0</v>
      </c>
      <c r="DJ372">
        <f t="shared" ref="DJ372" si="2038">+BI372</f>
        <v>0</v>
      </c>
      <c r="DL372" s="24">
        <f t="shared" si="1823"/>
        <v>0</v>
      </c>
      <c r="DM372" s="24">
        <f t="shared" si="1824"/>
        <v>0</v>
      </c>
      <c r="DN372" s="24">
        <f t="shared" si="1825"/>
        <v>0</v>
      </c>
      <c r="DO372" s="24">
        <f t="shared" si="1826"/>
        <v>0</v>
      </c>
      <c r="DP372" s="24">
        <f t="shared" si="1827"/>
        <v>0</v>
      </c>
      <c r="DQ372" s="24">
        <f t="shared" si="1828"/>
        <v>0</v>
      </c>
      <c r="DR372" s="24">
        <f t="shared" si="1829"/>
        <v>0</v>
      </c>
      <c r="DS372" s="24">
        <f t="shared" si="1830"/>
        <v>0</v>
      </c>
      <c r="DT372" s="24">
        <f t="shared" si="1831"/>
        <v>0</v>
      </c>
      <c r="DU372">
        <f t="shared" si="1832"/>
        <v>0</v>
      </c>
      <c r="DV372">
        <f t="shared" si="1833"/>
        <v>0</v>
      </c>
      <c r="DW372">
        <f t="shared" si="1834"/>
        <v>0</v>
      </c>
    </row>
    <row r="373" spans="6:127" x14ac:dyDescent="0.25">
      <c r="F373" s="155" t="s">
        <v>77</v>
      </c>
      <c r="G373" s="181">
        <v>82115</v>
      </c>
      <c r="H373" s="10" t="s">
        <v>237</v>
      </c>
      <c r="I373" s="12" t="s">
        <v>78</v>
      </c>
      <c r="J373" s="152">
        <v>0</v>
      </c>
      <c r="K373" s="153">
        <v>0</v>
      </c>
      <c r="L373" s="153">
        <v>0</v>
      </c>
      <c r="M373" s="153">
        <v>0</v>
      </c>
      <c r="N373" s="153">
        <v>0</v>
      </c>
      <c r="O373" s="153">
        <v>0</v>
      </c>
      <c r="P373" s="153">
        <v>0</v>
      </c>
      <c r="Q373" s="153">
        <v>0</v>
      </c>
      <c r="R373" s="153">
        <v>0</v>
      </c>
      <c r="S373" s="153">
        <v>0</v>
      </c>
      <c r="T373" s="153">
        <v>0</v>
      </c>
      <c r="U373" s="153">
        <v>0</v>
      </c>
      <c r="V373" s="153">
        <v>0</v>
      </c>
      <c r="W373" s="153">
        <v>0</v>
      </c>
      <c r="X373" s="153">
        <v>0</v>
      </c>
      <c r="Y373" s="153">
        <v>0</v>
      </c>
      <c r="Z373" s="153">
        <v>0</v>
      </c>
      <c r="AA373" s="153">
        <v>0</v>
      </c>
      <c r="AB373" s="153">
        <v>0</v>
      </c>
      <c r="AC373" s="153">
        <v>0</v>
      </c>
      <c r="AD373" s="153">
        <v>0</v>
      </c>
      <c r="AE373" s="153">
        <v>0</v>
      </c>
      <c r="AF373" s="153">
        <v>0</v>
      </c>
      <c r="AG373" s="153">
        <v>0</v>
      </c>
      <c r="AH373" s="153">
        <v>0</v>
      </c>
      <c r="AI373" s="153">
        <v>0</v>
      </c>
      <c r="AJ373" s="153">
        <v>0</v>
      </c>
      <c r="AK373" s="153">
        <v>0</v>
      </c>
      <c r="AL373" s="153">
        <v>0</v>
      </c>
      <c r="AM373" s="153">
        <v>0</v>
      </c>
      <c r="AN373" s="153">
        <v>0</v>
      </c>
      <c r="AO373" s="153">
        <v>0</v>
      </c>
      <c r="AP373" s="153">
        <v>0</v>
      </c>
      <c r="AQ373" s="153">
        <v>0</v>
      </c>
      <c r="AR373" s="153">
        <v>0</v>
      </c>
      <c r="AS373" s="153">
        <v>0</v>
      </c>
      <c r="AT373" s="153">
        <v>0</v>
      </c>
      <c r="AU373" s="153">
        <v>0</v>
      </c>
      <c r="AV373" s="153">
        <v>0</v>
      </c>
      <c r="AW373" s="153">
        <v>0</v>
      </c>
      <c r="AX373" s="153">
        <v>0</v>
      </c>
      <c r="AY373" s="153">
        <v>0</v>
      </c>
      <c r="AZ373" s="153">
        <v>0</v>
      </c>
      <c r="BA373" s="153">
        <v>0</v>
      </c>
      <c r="BB373" s="153">
        <v>0</v>
      </c>
      <c r="BC373" s="153">
        <v>0</v>
      </c>
      <c r="BD373" s="153">
        <v>0</v>
      </c>
      <c r="BE373" s="153">
        <v>0</v>
      </c>
      <c r="BF373" s="153">
        <v>0</v>
      </c>
      <c r="BG373" s="153">
        <v>0</v>
      </c>
      <c r="BH373" s="153">
        <v>0</v>
      </c>
      <c r="BI373" s="154">
        <v>0</v>
      </c>
      <c r="DL373">
        <f t="shared" si="1823"/>
        <v>0</v>
      </c>
      <c r="DM373">
        <f t="shared" si="1824"/>
        <v>0</v>
      </c>
      <c r="DN373">
        <f t="shared" si="1825"/>
        <v>0</v>
      </c>
      <c r="DO373">
        <f t="shared" si="1826"/>
        <v>0</v>
      </c>
      <c r="DP373">
        <f t="shared" si="1827"/>
        <v>0</v>
      </c>
      <c r="DQ373">
        <f t="shared" si="1828"/>
        <v>0</v>
      </c>
      <c r="DR373">
        <f t="shared" si="1829"/>
        <v>0</v>
      </c>
      <c r="DS373">
        <f t="shared" si="1830"/>
        <v>0</v>
      </c>
      <c r="DT373">
        <f t="shared" si="1831"/>
        <v>0</v>
      </c>
      <c r="DU373">
        <f t="shared" si="1832"/>
        <v>0</v>
      </c>
      <c r="DV373">
        <f t="shared" si="1833"/>
        <v>0</v>
      </c>
      <c r="DW373">
        <f t="shared" si="1834"/>
        <v>0</v>
      </c>
    </row>
    <row r="374" spans="6:127" x14ac:dyDescent="0.25">
      <c r="F374" s="155" t="s">
        <v>79</v>
      </c>
      <c r="G374" s="199">
        <v>0</v>
      </c>
      <c r="H374" s="184" t="s">
        <v>80</v>
      </c>
      <c r="I374" s="185"/>
      <c r="J374" s="200"/>
      <c r="K374" s="156"/>
      <c r="L374" s="157" t="s">
        <v>0</v>
      </c>
      <c r="M374" s="157" t="s">
        <v>0</v>
      </c>
      <c r="N374" s="157" t="s">
        <v>0</v>
      </c>
      <c r="O374" s="157" t="s">
        <v>0</v>
      </c>
      <c r="P374" s="157" t="s">
        <v>0</v>
      </c>
      <c r="Q374" s="157" t="s">
        <v>0</v>
      </c>
      <c r="R374" s="157" t="s">
        <v>0</v>
      </c>
      <c r="S374" s="157" t="s">
        <v>0</v>
      </c>
      <c r="T374" s="157" t="s">
        <v>0</v>
      </c>
      <c r="U374" s="157" t="s">
        <v>0</v>
      </c>
      <c r="V374" s="157" t="s">
        <v>0</v>
      </c>
      <c r="W374" s="157" t="s">
        <v>0</v>
      </c>
      <c r="X374" s="157" t="s">
        <v>0</v>
      </c>
      <c r="Y374" s="157" t="s">
        <v>0</v>
      </c>
      <c r="Z374" s="157" t="s">
        <v>0</v>
      </c>
      <c r="AA374" s="157" t="s">
        <v>0</v>
      </c>
      <c r="AB374" s="157" t="s">
        <v>0</v>
      </c>
      <c r="AC374" s="157" t="s">
        <v>0</v>
      </c>
      <c r="AD374" s="157" t="s">
        <v>0</v>
      </c>
      <c r="AE374" s="157" t="s">
        <v>0</v>
      </c>
      <c r="AF374" s="157" t="s">
        <v>0</v>
      </c>
      <c r="AG374" s="157" t="s">
        <v>0</v>
      </c>
      <c r="AH374" s="157" t="s">
        <v>0</v>
      </c>
      <c r="AI374" s="157" t="s">
        <v>0</v>
      </c>
      <c r="AJ374" s="157" t="s">
        <v>0</v>
      </c>
      <c r="AK374" s="157" t="s">
        <v>0</v>
      </c>
      <c r="AL374" s="157" t="s">
        <v>0</v>
      </c>
      <c r="AM374" s="157" t="s">
        <v>0</v>
      </c>
      <c r="AN374" s="157" t="s">
        <v>0</v>
      </c>
      <c r="AO374" s="157" t="s">
        <v>0</v>
      </c>
      <c r="AP374" s="157" t="s">
        <v>0</v>
      </c>
      <c r="AQ374" s="157" t="s">
        <v>0</v>
      </c>
      <c r="AR374" s="157" t="s">
        <v>0</v>
      </c>
      <c r="AS374" s="157" t="s">
        <v>0</v>
      </c>
      <c r="AT374" s="157" t="s">
        <v>0</v>
      </c>
      <c r="AU374" s="157" t="s">
        <v>0</v>
      </c>
      <c r="AV374" s="157" t="s">
        <v>0</v>
      </c>
      <c r="AW374" s="157" t="s">
        <v>0</v>
      </c>
      <c r="AX374" s="157" t="s">
        <v>0</v>
      </c>
      <c r="AY374" s="157" t="s">
        <v>0</v>
      </c>
      <c r="AZ374" s="157" t="s">
        <v>0</v>
      </c>
      <c r="BA374" s="157" t="s">
        <v>0</v>
      </c>
      <c r="BB374" s="157" t="s">
        <v>0</v>
      </c>
      <c r="BC374" s="157" t="s">
        <v>0</v>
      </c>
      <c r="BD374" s="157" t="s">
        <v>0</v>
      </c>
      <c r="BE374" s="157" t="s">
        <v>0</v>
      </c>
      <c r="BF374" s="157" t="s">
        <v>0</v>
      </c>
      <c r="BG374" s="157" t="s">
        <v>0</v>
      </c>
      <c r="BH374" s="157" t="s">
        <v>0</v>
      </c>
      <c r="BI374" s="158"/>
      <c r="DL374">
        <f t="shared" si="1823"/>
        <v>0</v>
      </c>
      <c r="DM374">
        <f t="shared" si="1824"/>
        <v>0</v>
      </c>
      <c r="DN374">
        <f t="shared" si="1825"/>
        <v>0</v>
      </c>
      <c r="DO374">
        <f t="shared" si="1826"/>
        <v>0</v>
      </c>
      <c r="DP374">
        <f t="shared" si="1827"/>
        <v>0</v>
      </c>
      <c r="DQ374">
        <f t="shared" si="1828"/>
        <v>0</v>
      </c>
      <c r="DR374">
        <f t="shared" si="1829"/>
        <v>0</v>
      </c>
      <c r="DS374">
        <f t="shared" si="1830"/>
        <v>0</v>
      </c>
      <c r="DT374">
        <f t="shared" si="1831"/>
        <v>0</v>
      </c>
      <c r="DU374">
        <f t="shared" si="1832"/>
        <v>0</v>
      </c>
      <c r="DV374">
        <f t="shared" si="1833"/>
        <v>0</v>
      </c>
      <c r="DW374">
        <f t="shared" si="1834"/>
        <v>0</v>
      </c>
    </row>
    <row r="375" spans="6:127" x14ac:dyDescent="0.25">
      <c r="F375" s="159" t="s">
        <v>81</v>
      </c>
      <c r="G375" s="160" t="s">
        <v>60</v>
      </c>
      <c r="H375" s="201" t="s">
        <v>60</v>
      </c>
      <c r="I375" s="183" t="s">
        <v>60</v>
      </c>
      <c r="J375" s="183" t="s">
        <v>0</v>
      </c>
      <c r="K375" s="183" t="s">
        <v>0</v>
      </c>
      <c r="L375" s="183" t="s">
        <v>0</v>
      </c>
      <c r="M375" s="183" t="s">
        <v>0</v>
      </c>
      <c r="N375" s="183" t="s">
        <v>0</v>
      </c>
      <c r="O375" s="183" t="s">
        <v>0</v>
      </c>
      <c r="P375" s="183" t="s">
        <v>0</v>
      </c>
      <c r="Q375" s="183" t="s">
        <v>0</v>
      </c>
      <c r="R375" s="183" t="s">
        <v>0</v>
      </c>
      <c r="S375" s="183" t="s">
        <v>0</v>
      </c>
      <c r="T375" s="183" t="s">
        <v>0</v>
      </c>
      <c r="U375" s="183" t="s">
        <v>0</v>
      </c>
      <c r="V375" s="183" t="s">
        <v>0</v>
      </c>
      <c r="W375" s="183" t="s">
        <v>0</v>
      </c>
      <c r="X375" s="183" t="s">
        <v>0</v>
      </c>
      <c r="Y375" s="183" t="s">
        <v>0</v>
      </c>
      <c r="Z375" s="183" t="s">
        <v>0</v>
      </c>
      <c r="AA375" s="183" t="s">
        <v>0</v>
      </c>
      <c r="AB375" s="183" t="s">
        <v>0</v>
      </c>
      <c r="AC375" s="183" t="s">
        <v>0</v>
      </c>
      <c r="AD375" s="183" t="s">
        <v>0</v>
      </c>
      <c r="AE375" s="183" t="s">
        <v>0</v>
      </c>
      <c r="AF375" s="183" t="s">
        <v>0</v>
      </c>
      <c r="AG375" s="183" t="s">
        <v>0</v>
      </c>
      <c r="AH375" s="183" t="s">
        <v>0</v>
      </c>
      <c r="AI375" s="183" t="s">
        <v>0</v>
      </c>
      <c r="AJ375" s="183" t="s">
        <v>0</v>
      </c>
      <c r="AK375" s="183" t="s">
        <v>0</v>
      </c>
      <c r="AL375" s="183" t="s">
        <v>0</v>
      </c>
      <c r="AM375" s="183" t="s">
        <v>0</v>
      </c>
      <c r="AN375" s="183" t="s">
        <v>0</v>
      </c>
      <c r="AO375" s="183" t="s">
        <v>0</v>
      </c>
      <c r="AP375" s="183" t="s">
        <v>0</v>
      </c>
      <c r="AQ375" s="183" t="s">
        <v>0</v>
      </c>
      <c r="AR375" s="183" t="s">
        <v>0</v>
      </c>
      <c r="AS375" s="183" t="s">
        <v>0</v>
      </c>
      <c r="AT375" s="183" t="s">
        <v>0</v>
      </c>
      <c r="AU375" s="183" t="s">
        <v>0</v>
      </c>
      <c r="AV375" s="183" t="s">
        <v>0</v>
      </c>
      <c r="AW375" s="183" t="s">
        <v>0</v>
      </c>
      <c r="AX375" s="183" t="s">
        <v>0</v>
      </c>
      <c r="AY375" s="183" t="s">
        <v>0</v>
      </c>
      <c r="AZ375" s="183" t="s">
        <v>0</v>
      </c>
      <c r="BA375" s="183" t="s">
        <v>0</v>
      </c>
      <c r="BB375" s="183" t="s">
        <v>0</v>
      </c>
      <c r="BC375" s="183" t="s">
        <v>0</v>
      </c>
      <c r="BD375" s="183" t="s">
        <v>0</v>
      </c>
      <c r="BE375" s="183" t="s">
        <v>0</v>
      </c>
      <c r="BF375" s="183" t="s">
        <v>0</v>
      </c>
      <c r="BG375" s="183" t="s">
        <v>0</v>
      </c>
      <c r="BH375" s="183" t="s">
        <v>0</v>
      </c>
      <c r="BI375" s="161"/>
      <c r="DL375">
        <f t="shared" si="1823"/>
        <v>0</v>
      </c>
      <c r="DM375">
        <f t="shared" si="1824"/>
        <v>0</v>
      </c>
      <c r="DN375">
        <f t="shared" si="1825"/>
        <v>0</v>
      </c>
      <c r="DO375">
        <f t="shared" si="1826"/>
        <v>0</v>
      </c>
      <c r="DP375">
        <f t="shared" si="1827"/>
        <v>0</v>
      </c>
      <c r="DQ375">
        <f t="shared" si="1828"/>
        <v>0</v>
      </c>
      <c r="DR375">
        <f t="shared" si="1829"/>
        <v>0</v>
      </c>
      <c r="DS375">
        <f t="shared" si="1830"/>
        <v>0</v>
      </c>
      <c r="DT375">
        <f t="shared" si="1831"/>
        <v>0</v>
      </c>
      <c r="DU375">
        <f t="shared" si="1832"/>
        <v>0</v>
      </c>
      <c r="DV375">
        <f t="shared" si="1833"/>
        <v>0</v>
      </c>
      <c r="DW375">
        <f t="shared" si="1834"/>
        <v>0</v>
      </c>
    </row>
    <row r="376" spans="6:127" x14ac:dyDescent="0.25">
      <c r="F376" s="188" t="s">
        <v>60</v>
      </c>
      <c r="G376" s="162" t="s">
        <v>60</v>
      </c>
      <c r="H376" s="163" t="s">
        <v>60</v>
      </c>
      <c r="I376" s="164" t="s">
        <v>60</v>
      </c>
      <c r="J376" s="164" t="s">
        <v>0</v>
      </c>
      <c r="K376" s="164" t="s">
        <v>0</v>
      </c>
      <c r="L376" s="164" t="s">
        <v>0</v>
      </c>
      <c r="M376" s="164" t="s">
        <v>0</v>
      </c>
      <c r="N376" s="164" t="s">
        <v>0</v>
      </c>
      <c r="O376" s="164" t="s">
        <v>0</v>
      </c>
      <c r="P376" s="164" t="s">
        <v>0</v>
      </c>
      <c r="Q376" s="164" t="s">
        <v>0</v>
      </c>
      <c r="R376" s="164" t="s">
        <v>0</v>
      </c>
      <c r="S376" s="164" t="s">
        <v>0</v>
      </c>
      <c r="T376" s="164" t="s">
        <v>0</v>
      </c>
      <c r="U376" s="164" t="s">
        <v>0</v>
      </c>
      <c r="V376" s="164" t="s">
        <v>0</v>
      </c>
      <c r="W376" s="164" t="s">
        <v>0</v>
      </c>
      <c r="X376" s="164" t="s">
        <v>0</v>
      </c>
      <c r="Y376" s="164" t="s">
        <v>0</v>
      </c>
      <c r="Z376" s="164" t="s">
        <v>0</v>
      </c>
      <c r="AA376" s="164" t="s">
        <v>0</v>
      </c>
      <c r="AB376" s="164" t="s">
        <v>0</v>
      </c>
      <c r="AC376" s="164" t="s">
        <v>0</v>
      </c>
      <c r="AD376" s="164" t="s">
        <v>0</v>
      </c>
      <c r="AE376" s="164" t="s">
        <v>0</v>
      </c>
      <c r="AF376" s="164" t="s">
        <v>0</v>
      </c>
      <c r="AG376" s="164" t="s">
        <v>0</v>
      </c>
      <c r="AH376" s="164" t="s">
        <v>0</v>
      </c>
      <c r="AI376" s="164" t="s">
        <v>0</v>
      </c>
      <c r="AJ376" s="164" t="s">
        <v>0</v>
      </c>
      <c r="AK376" s="164" t="s">
        <v>0</v>
      </c>
      <c r="AL376" s="164" t="s">
        <v>0</v>
      </c>
      <c r="AM376" s="164" t="s">
        <v>0</v>
      </c>
      <c r="AN376" s="164" t="s">
        <v>0</v>
      </c>
      <c r="AO376" s="164" t="s">
        <v>0</v>
      </c>
      <c r="AP376" s="164" t="s">
        <v>0</v>
      </c>
      <c r="AQ376" s="164" t="s">
        <v>0</v>
      </c>
      <c r="AR376" s="164" t="s">
        <v>0</v>
      </c>
      <c r="AS376" s="164" t="s">
        <v>0</v>
      </c>
      <c r="AT376" s="164" t="s">
        <v>0</v>
      </c>
      <c r="AU376" s="164" t="s">
        <v>0</v>
      </c>
      <c r="AV376" s="164" t="s">
        <v>0</v>
      </c>
      <c r="AW376" s="164" t="s">
        <v>0</v>
      </c>
      <c r="AX376" s="164" t="s">
        <v>0</v>
      </c>
      <c r="AY376" s="164" t="s">
        <v>0</v>
      </c>
      <c r="AZ376" s="164" t="s">
        <v>0</v>
      </c>
      <c r="BA376" s="164" t="s">
        <v>0</v>
      </c>
      <c r="BB376" s="164" t="s">
        <v>0</v>
      </c>
      <c r="BC376" s="164" t="s">
        <v>0</v>
      </c>
      <c r="BD376" s="164" t="s">
        <v>0</v>
      </c>
      <c r="BE376" s="164" t="s">
        <v>0</v>
      </c>
      <c r="BF376" s="164" t="s">
        <v>0</v>
      </c>
      <c r="BG376" s="164" t="s">
        <v>0</v>
      </c>
      <c r="BH376" s="164" t="s">
        <v>0</v>
      </c>
      <c r="BI376" s="189"/>
      <c r="DL376">
        <f t="shared" si="1823"/>
        <v>0</v>
      </c>
      <c r="DM376">
        <f t="shared" si="1824"/>
        <v>0</v>
      </c>
      <c r="DN376">
        <f t="shared" si="1825"/>
        <v>0</v>
      </c>
      <c r="DO376">
        <f t="shared" si="1826"/>
        <v>0</v>
      </c>
      <c r="DP376">
        <f t="shared" si="1827"/>
        <v>0</v>
      </c>
      <c r="DQ376">
        <f t="shared" si="1828"/>
        <v>0</v>
      </c>
      <c r="DR376">
        <f t="shared" si="1829"/>
        <v>0</v>
      </c>
      <c r="DS376">
        <f t="shared" si="1830"/>
        <v>0</v>
      </c>
      <c r="DT376">
        <f t="shared" si="1831"/>
        <v>0</v>
      </c>
      <c r="DU376">
        <f t="shared" si="1832"/>
        <v>0</v>
      </c>
      <c r="DV376">
        <f t="shared" si="1833"/>
        <v>0</v>
      </c>
      <c r="DW376">
        <f t="shared" si="1834"/>
        <v>0</v>
      </c>
    </row>
    <row r="377" spans="6:127" x14ac:dyDescent="0.25">
      <c r="F377" s="155" t="s">
        <v>61</v>
      </c>
      <c r="G377" s="181">
        <v>5500990634</v>
      </c>
      <c r="H377" s="155" t="s">
        <v>62</v>
      </c>
      <c r="I377" s="181">
        <v>156</v>
      </c>
      <c r="J377" s="155" t="s">
        <v>63</v>
      </c>
      <c r="K377" s="160">
        <v>1121476</v>
      </c>
      <c r="L377" s="161"/>
      <c r="M377" s="190" t="s">
        <v>64</v>
      </c>
      <c r="N377" s="191"/>
      <c r="O377" s="192">
        <v>46086</v>
      </c>
      <c r="P377" s="155" t="s">
        <v>65</v>
      </c>
      <c r="Q377" s="181">
        <v>4</v>
      </c>
      <c r="R377" s="6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0</v>
      </c>
      <c r="AH377" s="7" t="s">
        <v>0</v>
      </c>
      <c r="AI377" s="7" t="s">
        <v>0</v>
      </c>
      <c r="AJ377" s="7" t="s">
        <v>0</v>
      </c>
      <c r="AK377" s="7" t="s">
        <v>0</v>
      </c>
      <c r="AL377" s="7" t="s">
        <v>0</v>
      </c>
      <c r="AM377" s="7" t="s">
        <v>0</v>
      </c>
      <c r="AN377" s="7" t="s">
        <v>0</v>
      </c>
      <c r="AO377" s="7" t="s">
        <v>0</v>
      </c>
      <c r="AP377" s="7" t="s">
        <v>0</v>
      </c>
      <c r="AQ377" s="7" t="s">
        <v>0</v>
      </c>
      <c r="AR377" s="7" t="s">
        <v>0</v>
      </c>
      <c r="AS377" s="7" t="s">
        <v>0</v>
      </c>
      <c r="AT377" s="7" t="s">
        <v>0</v>
      </c>
      <c r="AU377" s="7" t="s">
        <v>0</v>
      </c>
      <c r="AV377" s="7" t="s">
        <v>0</v>
      </c>
      <c r="AW377" s="7" t="s">
        <v>0</v>
      </c>
      <c r="AX377" s="7" t="s">
        <v>0</v>
      </c>
      <c r="AY377" s="7" t="s">
        <v>0</v>
      </c>
      <c r="AZ377" s="7" t="s">
        <v>0</v>
      </c>
      <c r="BA377" s="7" t="s">
        <v>0</v>
      </c>
      <c r="BB377" s="7" t="s">
        <v>0</v>
      </c>
      <c r="BC377" s="7" t="s">
        <v>0</v>
      </c>
      <c r="BD377" s="7" t="s">
        <v>0</v>
      </c>
      <c r="BE377" s="7" t="s">
        <v>0</v>
      </c>
      <c r="BF377" s="7" t="s">
        <v>0</v>
      </c>
      <c r="BG377" s="7" t="s">
        <v>0</v>
      </c>
      <c r="BH377" s="7" t="s">
        <v>0</v>
      </c>
      <c r="BI377" s="8"/>
      <c r="DL377">
        <f t="shared" si="1823"/>
        <v>0</v>
      </c>
      <c r="DM377">
        <f t="shared" si="1824"/>
        <v>0</v>
      </c>
      <c r="DN377">
        <f t="shared" si="1825"/>
        <v>0</v>
      </c>
      <c r="DO377">
        <f t="shared" si="1826"/>
        <v>0</v>
      </c>
      <c r="DP377">
        <f t="shared" si="1827"/>
        <v>0</v>
      </c>
      <c r="DQ377">
        <f t="shared" si="1828"/>
        <v>0</v>
      </c>
      <c r="DR377">
        <f t="shared" si="1829"/>
        <v>0</v>
      </c>
      <c r="DS377">
        <f t="shared" si="1830"/>
        <v>0</v>
      </c>
      <c r="DT377">
        <f t="shared" si="1831"/>
        <v>0</v>
      </c>
      <c r="DU377">
        <f t="shared" si="1832"/>
        <v>0</v>
      </c>
      <c r="DV377">
        <f t="shared" si="1833"/>
        <v>0</v>
      </c>
      <c r="DW377">
        <f t="shared" si="1834"/>
        <v>0</v>
      </c>
    </row>
    <row r="378" spans="6:127" x14ac:dyDescent="0.25">
      <c r="F378" s="155" t="s">
        <v>66</v>
      </c>
      <c r="G378" s="181" t="s">
        <v>290</v>
      </c>
      <c r="H378" s="155" t="s">
        <v>67</v>
      </c>
      <c r="I378" s="182" t="s">
        <v>291</v>
      </c>
      <c r="J378" s="183"/>
      <c r="K378" s="183"/>
      <c r="L378" s="161"/>
      <c r="M378" s="155" t="s">
        <v>68</v>
      </c>
      <c r="N378" s="181">
        <v>2026</v>
      </c>
      <c r="O378" s="184" t="s">
        <v>69</v>
      </c>
      <c r="P378" s="185"/>
      <c r="Q378" s="193" t="s">
        <v>265</v>
      </c>
      <c r="R378" s="156" t="s">
        <v>0</v>
      </c>
      <c r="S378" s="157" t="s">
        <v>0</v>
      </c>
      <c r="T378" s="157" t="s">
        <v>0</v>
      </c>
      <c r="U378" s="157" t="s">
        <v>0</v>
      </c>
      <c r="V378" s="157" t="s">
        <v>0</v>
      </c>
      <c r="W378" s="157" t="s">
        <v>0</v>
      </c>
      <c r="X378" s="157" t="s">
        <v>0</v>
      </c>
      <c r="Y378" s="157" t="s">
        <v>0</v>
      </c>
      <c r="Z378" s="157" t="s">
        <v>0</v>
      </c>
      <c r="AA378" s="157" t="s">
        <v>0</v>
      </c>
      <c r="AB378" s="157" t="s">
        <v>0</v>
      </c>
      <c r="AC378" s="157" t="s">
        <v>0</v>
      </c>
      <c r="AD378" s="157" t="s">
        <v>0</v>
      </c>
      <c r="AE378" s="157" t="s">
        <v>0</v>
      </c>
      <c r="AF378" s="157" t="s">
        <v>0</v>
      </c>
      <c r="AG378" s="157" t="s">
        <v>0</v>
      </c>
      <c r="AH378" s="157" t="s">
        <v>0</v>
      </c>
      <c r="AI378" s="157" t="s">
        <v>0</v>
      </c>
      <c r="AJ378" s="157" t="s">
        <v>0</v>
      </c>
      <c r="AK378" s="157" t="s">
        <v>0</v>
      </c>
      <c r="AL378" s="157" t="s">
        <v>0</v>
      </c>
      <c r="AM378" s="157" t="s">
        <v>0</v>
      </c>
      <c r="AN378" s="157" t="s">
        <v>0</v>
      </c>
      <c r="AO378" s="157" t="s">
        <v>0</v>
      </c>
      <c r="AP378" s="157" t="s">
        <v>0</v>
      </c>
      <c r="AQ378" s="157" t="s">
        <v>0</v>
      </c>
      <c r="AR378" s="157" t="s">
        <v>0</v>
      </c>
      <c r="AS378" s="157" t="s">
        <v>0</v>
      </c>
      <c r="AT378" s="157" t="s">
        <v>0</v>
      </c>
      <c r="AU378" s="157" t="s">
        <v>0</v>
      </c>
      <c r="AV378" s="157" t="s">
        <v>0</v>
      </c>
      <c r="AW378" s="157" t="s">
        <v>0</v>
      </c>
      <c r="AX378" s="157" t="s">
        <v>0</v>
      </c>
      <c r="AY378" s="157" t="s">
        <v>0</v>
      </c>
      <c r="AZ378" s="157" t="s">
        <v>0</v>
      </c>
      <c r="BA378" s="157" t="s">
        <v>0</v>
      </c>
      <c r="BB378" s="157" t="s">
        <v>0</v>
      </c>
      <c r="BC378" s="157" t="s">
        <v>0</v>
      </c>
      <c r="BD378" s="157" t="s">
        <v>0</v>
      </c>
      <c r="BE378" s="157" t="s">
        <v>0</v>
      </c>
      <c r="BF378" s="157" t="s">
        <v>0</v>
      </c>
      <c r="BG378" s="157" t="s">
        <v>0</v>
      </c>
      <c r="BH378" s="157" t="s">
        <v>0</v>
      </c>
      <c r="BI378" s="158"/>
      <c r="DL378">
        <f t="shared" si="1823"/>
        <v>0</v>
      </c>
      <c r="DM378">
        <f t="shared" si="1824"/>
        <v>0</v>
      </c>
      <c r="DN378">
        <f t="shared" si="1825"/>
        <v>0</v>
      </c>
      <c r="DO378">
        <f t="shared" si="1826"/>
        <v>0</v>
      </c>
      <c r="DP378">
        <f t="shared" si="1827"/>
        <v>0</v>
      </c>
      <c r="DQ378">
        <f t="shared" si="1828"/>
        <v>0</v>
      </c>
      <c r="DR378">
        <f t="shared" si="1829"/>
        <v>0</v>
      </c>
      <c r="DS378">
        <f t="shared" si="1830"/>
        <v>0</v>
      </c>
      <c r="DT378">
        <f t="shared" si="1831"/>
        <v>0</v>
      </c>
      <c r="DU378">
        <f t="shared" si="1832"/>
        <v>0</v>
      </c>
      <c r="DV378">
        <f t="shared" si="1833"/>
        <v>0</v>
      </c>
      <c r="DW378">
        <f t="shared" si="1834"/>
        <v>0</v>
      </c>
    </row>
    <row r="379" spans="6:127" x14ac:dyDescent="0.25">
      <c r="F379" s="155" t="s">
        <v>70</v>
      </c>
      <c r="G379" s="181" t="s">
        <v>233</v>
      </c>
      <c r="H379" s="155" t="s">
        <v>71</v>
      </c>
      <c r="I379" s="182" t="s">
        <v>60</v>
      </c>
      <c r="J379" s="161" t="s">
        <v>0</v>
      </c>
      <c r="K379" s="194" t="s">
        <v>0</v>
      </c>
      <c r="L379" s="195" t="s">
        <v>0</v>
      </c>
      <c r="M379" s="179" t="s">
        <v>0</v>
      </c>
      <c r="N379" s="179" t="s">
        <v>0</v>
      </c>
      <c r="O379" s="179" t="s">
        <v>0</v>
      </c>
      <c r="P379" s="179" t="s">
        <v>0</v>
      </c>
      <c r="Q379" s="179" t="s">
        <v>1</v>
      </c>
      <c r="R379" s="179" t="s">
        <v>2</v>
      </c>
      <c r="S379" s="179" t="s">
        <v>0</v>
      </c>
      <c r="T379" s="179" t="s">
        <v>0</v>
      </c>
      <c r="U379" s="179" t="s">
        <v>0</v>
      </c>
      <c r="V379" s="179" t="s">
        <v>0</v>
      </c>
      <c r="W379" s="179" t="s">
        <v>0</v>
      </c>
      <c r="X379" s="179" t="s">
        <v>0</v>
      </c>
      <c r="Y379" s="179" t="s">
        <v>0</v>
      </c>
      <c r="Z379" s="179" t="s">
        <v>3</v>
      </c>
      <c r="AA379" s="179" t="s">
        <v>0</v>
      </c>
      <c r="AB379" s="179" t="s">
        <v>0</v>
      </c>
      <c r="AC379" s="179" t="s">
        <v>0</v>
      </c>
      <c r="AD379" s="179" t="s">
        <v>0</v>
      </c>
      <c r="AE379" s="179" t="s">
        <v>0</v>
      </c>
      <c r="AF379" s="179" t="s">
        <v>0</v>
      </c>
      <c r="AG379" s="179" t="s">
        <v>0</v>
      </c>
      <c r="AH379" s="179" t="s">
        <v>0</v>
      </c>
      <c r="AI379" s="179" t="s">
        <v>0</v>
      </c>
      <c r="AJ379" s="179" t="s">
        <v>0</v>
      </c>
      <c r="AK379" s="179" t="s">
        <v>0</v>
      </c>
      <c r="AL379" s="179" t="s">
        <v>0</v>
      </c>
      <c r="AM379" s="179" t="s">
        <v>0</v>
      </c>
      <c r="AN379" s="179" t="s">
        <v>0</v>
      </c>
      <c r="AO379" s="179" t="s">
        <v>0</v>
      </c>
      <c r="AP379" s="179" t="s">
        <v>0</v>
      </c>
      <c r="AQ379" s="179" t="s">
        <v>0</v>
      </c>
      <c r="AR379" s="179" t="s">
        <v>0</v>
      </c>
      <c r="AS379" s="179" t="s">
        <v>0</v>
      </c>
      <c r="AT379" s="179" t="s">
        <v>0</v>
      </c>
      <c r="AU379" s="179" t="s">
        <v>0</v>
      </c>
      <c r="AV379" s="179" t="s">
        <v>0</v>
      </c>
      <c r="AW379" s="179" t="s">
        <v>0</v>
      </c>
      <c r="AX379" s="179" t="s">
        <v>0</v>
      </c>
      <c r="AY379" s="179" t="s">
        <v>0</v>
      </c>
      <c r="AZ379" s="179" t="s">
        <v>0</v>
      </c>
      <c r="BA379" s="179" t="s">
        <v>0</v>
      </c>
      <c r="BB379" s="179" t="s">
        <v>0</v>
      </c>
      <c r="BC379" s="179" t="s">
        <v>0</v>
      </c>
      <c r="BD379" s="179" t="s">
        <v>0</v>
      </c>
      <c r="BE379" s="179" t="s">
        <v>0</v>
      </c>
      <c r="BF379" s="179" t="s">
        <v>0</v>
      </c>
      <c r="BG379" s="179" t="s">
        <v>0</v>
      </c>
      <c r="BH379" s="179" t="s">
        <v>0</v>
      </c>
      <c r="BI379" s="180" t="s">
        <v>4</v>
      </c>
      <c r="DL379">
        <f t="shared" si="1823"/>
        <v>0</v>
      </c>
      <c r="DM379">
        <f t="shared" si="1824"/>
        <v>0</v>
      </c>
      <c r="DN379">
        <f t="shared" si="1825"/>
        <v>0</v>
      </c>
      <c r="DO379">
        <f t="shared" si="1826"/>
        <v>0</v>
      </c>
      <c r="DP379">
        <f t="shared" si="1827"/>
        <v>0</v>
      </c>
      <c r="DQ379">
        <f t="shared" si="1828"/>
        <v>0</v>
      </c>
      <c r="DR379">
        <f t="shared" si="1829"/>
        <v>0</v>
      </c>
      <c r="DS379">
        <f t="shared" si="1830"/>
        <v>0</v>
      </c>
      <c r="DT379">
        <f t="shared" si="1831"/>
        <v>0</v>
      </c>
      <c r="DU379">
        <f t="shared" si="1832"/>
        <v>0</v>
      </c>
      <c r="DV379">
        <f t="shared" si="1833"/>
        <v>0</v>
      </c>
      <c r="DW379">
        <f t="shared" si="1834"/>
        <v>0</v>
      </c>
    </row>
    <row r="380" spans="6:127" x14ac:dyDescent="0.25">
      <c r="F380" s="155" t="s">
        <v>72</v>
      </c>
      <c r="G380" s="181">
        <v>36</v>
      </c>
      <c r="H380" s="196" t="s">
        <v>414</v>
      </c>
      <c r="I380" s="197" t="s">
        <v>73</v>
      </c>
      <c r="J380" s="13">
        <v>46041</v>
      </c>
      <c r="K380" s="14">
        <v>46048</v>
      </c>
      <c r="L380" s="14">
        <v>46055</v>
      </c>
      <c r="M380" s="14">
        <v>46062</v>
      </c>
      <c r="N380" s="14">
        <v>46069</v>
      </c>
      <c r="O380" s="14">
        <v>46076</v>
      </c>
      <c r="P380" s="14">
        <v>46083</v>
      </c>
      <c r="Q380" s="14">
        <v>46090</v>
      </c>
      <c r="R380" s="14">
        <v>46097</v>
      </c>
      <c r="S380" s="14">
        <v>46104</v>
      </c>
      <c r="T380" s="14">
        <v>46111</v>
      </c>
      <c r="U380" s="14">
        <v>46118</v>
      </c>
      <c r="V380" s="14">
        <v>46125</v>
      </c>
      <c r="W380" s="14">
        <v>46132</v>
      </c>
      <c r="X380" s="14">
        <v>46139</v>
      </c>
      <c r="Y380" s="14">
        <v>46146</v>
      </c>
      <c r="Z380" s="14">
        <v>46153</v>
      </c>
      <c r="AA380" s="14">
        <v>46160</v>
      </c>
      <c r="AB380" s="14">
        <v>46167</v>
      </c>
      <c r="AC380" s="14">
        <v>46174</v>
      </c>
      <c r="AD380" s="14">
        <v>46181</v>
      </c>
      <c r="AE380" s="14">
        <v>46188</v>
      </c>
      <c r="AF380" s="14">
        <v>46195</v>
      </c>
      <c r="AG380" s="14">
        <v>46202</v>
      </c>
      <c r="AH380" s="14">
        <v>46209</v>
      </c>
      <c r="AI380" s="14">
        <v>46216</v>
      </c>
      <c r="AJ380" s="14">
        <v>46223</v>
      </c>
      <c r="AK380" s="14">
        <v>46230</v>
      </c>
      <c r="AL380" s="14">
        <v>46237</v>
      </c>
      <c r="AM380" s="14">
        <v>46244</v>
      </c>
      <c r="AN380" s="14">
        <v>46251</v>
      </c>
      <c r="AO380" s="14">
        <v>46258</v>
      </c>
      <c r="AP380" s="14">
        <v>46265</v>
      </c>
      <c r="AQ380" s="14">
        <v>46272</v>
      </c>
      <c r="AR380" s="14">
        <v>46279</v>
      </c>
      <c r="AS380" s="14">
        <v>46286</v>
      </c>
      <c r="AT380" s="14">
        <v>46293</v>
      </c>
      <c r="AU380" s="14">
        <v>46300</v>
      </c>
      <c r="AV380" s="14">
        <v>46307</v>
      </c>
      <c r="AW380" s="14">
        <v>46314</v>
      </c>
      <c r="AX380" s="14">
        <v>46321</v>
      </c>
      <c r="AY380" s="14">
        <v>46328</v>
      </c>
      <c r="AZ380" s="14">
        <v>46335</v>
      </c>
      <c r="BA380" s="14">
        <v>46342</v>
      </c>
      <c r="BB380" s="14">
        <v>46349</v>
      </c>
      <c r="BC380" s="14">
        <v>46356</v>
      </c>
      <c r="BD380" s="14">
        <v>46363</v>
      </c>
      <c r="BE380" s="14">
        <v>46370</v>
      </c>
      <c r="BF380" s="14">
        <v>46377</v>
      </c>
      <c r="BG380" s="14">
        <v>46384</v>
      </c>
      <c r="BH380" s="14">
        <v>46391</v>
      </c>
      <c r="BI380" s="15">
        <v>46398</v>
      </c>
      <c r="DL380">
        <f t="shared" si="1823"/>
        <v>0</v>
      </c>
      <c r="DM380">
        <f t="shared" si="1824"/>
        <v>0</v>
      </c>
      <c r="DN380">
        <f t="shared" si="1825"/>
        <v>0</v>
      </c>
      <c r="DO380">
        <f t="shared" si="1826"/>
        <v>0</v>
      </c>
      <c r="DP380">
        <f t="shared" si="1827"/>
        <v>0</v>
      </c>
      <c r="DQ380">
        <f t="shared" si="1828"/>
        <v>0</v>
      </c>
      <c r="DR380">
        <f t="shared" si="1829"/>
        <v>0</v>
      </c>
      <c r="DS380">
        <f t="shared" si="1830"/>
        <v>0</v>
      </c>
      <c r="DT380">
        <f t="shared" si="1831"/>
        <v>0</v>
      </c>
      <c r="DU380">
        <f t="shared" si="1832"/>
        <v>0</v>
      </c>
      <c r="DV380">
        <f t="shared" si="1833"/>
        <v>0</v>
      </c>
      <c r="DW380">
        <f t="shared" si="1834"/>
        <v>0</v>
      </c>
    </row>
    <row r="381" spans="6:127" x14ac:dyDescent="0.25">
      <c r="F381" s="155" t="s">
        <v>74</v>
      </c>
      <c r="G381" s="181">
        <v>196</v>
      </c>
      <c r="H381" s="5" t="s">
        <v>60</v>
      </c>
      <c r="I381" s="11" t="s">
        <v>147</v>
      </c>
      <c r="J381" s="16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17"/>
      <c r="DL381">
        <f t="shared" si="1823"/>
        <v>0</v>
      </c>
      <c r="DM381">
        <f t="shared" si="1824"/>
        <v>0</v>
      </c>
      <c r="DN381">
        <f t="shared" si="1825"/>
        <v>0</v>
      </c>
      <c r="DO381">
        <f t="shared" si="1826"/>
        <v>0</v>
      </c>
      <c r="DP381">
        <f t="shared" si="1827"/>
        <v>0</v>
      </c>
      <c r="DQ381">
        <f t="shared" si="1828"/>
        <v>0</v>
      </c>
      <c r="DR381">
        <f t="shared" si="1829"/>
        <v>0</v>
      </c>
      <c r="DS381">
        <f t="shared" si="1830"/>
        <v>0</v>
      </c>
      <c r="DT381">
        <f t="shared" si="1831"/>
        <v>0</v>
      </c>
      <c r="DU381">
        <f t="shared" si="1832"/>
        <v>0</v>
      </c>
      <c r="DV381">
        <f t="shared" si="1833"/>
        <v>0</v>
      </c>
      <c r="DW381">
        <f t="shared" si="1834"/>
        <v>0</v>
      </c>
    </row>
    <row r="382" spans="6:127" x14ac:dyDescent="0.25">
      <c r="F382" s="155" t="s">
        <v>75</v>
      </c>
      <c r="G382" s="198" t="s">
        <v>257</v>
      </c>
      <c r="H382" s="9" t="s">
        <v>233</v>
      </c>
      <c r="I382" s="11" t="s">
        <v>76</v>
      </c>
      <c r="J382" s="143">
        <v>0</v>
      </c>
      <c r="K382" s="64">
        <v>0</v>
      </c>
      <c r="L382" s="64">
        <v>0</v>
      </c>
      <c r="M382" s="64">
        <v>0</v>
      </c>
      <c r="N382" s="64">
        <v>0</v>
      </c>
      <c r="O382" s="64">
        <v>0</v>
      </c>
      <c r="P382" s="64">
        <v>0</v>
      </c>
      <c r="Q382" s="64">
        <v>0</v>
      </c>
      <c r="R382" s="64">
        <v>0</v>
      </c>
      <c r="S382" s="64">
        <v>0</v>
      </c>
      <c r="T382" s="64">
        <v>0</v>
      </c>
      <c r="U382" s="64">
        <v>0</v>
      </c>
      <c r="V382" s="64">
        <v>0</v>
      </c>
      <c r="W382" s="64">
        <v>0</v>
      </c>
      <c r="X382" s="64">
        <v>0</v>
      </c>
      <c r="Y382" s="64">
        <v>0</v>
      </c>
      <c r="Z382" s="64">
        <v>0</v>
      </c>
      <c r="AA382" s="64">
        <v>0</v>
      </c>
      <c r="AB382" s="64">
        <v>0</v>
      </c>
      <c r="AC382" s="64">
        <v>0</v>
      </c>
      <c r="AD382" s="64">
        <v>0</v>
      </c>
      <c r="AE382" s="64">
        <v>0</v>
      </c>
      <c r="AF382" s="64">
        <v>0</v>
      </c>
      <c r="AG382" s="64">
        <v>0</v>
      </c>
      <c r="AH382" s="64">
        <v>0</v>
      </c>
      <c r="AI382" s="64">
        <v>0</v>
      </c>
      <c r="AJ382" s="64">
        <v>0</v>
      </c>
      <c r="AK382" s="64">
        <v>0</v>
      </c>
      <c r="AL382" s="64">
        <v>0</v>
      </c>
      <c r="AM382" s="64">
        <v>0</v>
      </c>
      <c r="AN382" s="64">
        <v>0</v>
      </c>
      <c r="AO382" s="64">
        <v>0</v>
      </c>
      <c r="AP382" s="64">
        <v>0</v>
      </c>
      <c r="AQ382" s="64">
        <v>0</v>
      </c>
      <c r="AR382" s="64">
        <v>0</v>
      </c>
      <c r="AS382" s="64">
        <v>0</v>
      </c>
      <c r="AT382" s="64">
        <v>0</v>
      </c>
      <c r="AU382" s="64">
        <v>0</v>
      </c>
      <c r="AV382" s="64">
        <v>0</v>
      </c>
      <c r="AW382" s="64">
        <v>0</v>
      </c>
      <c r="AX382" s="64">
        <v>0</v>
      </c>
      <c r="AY382" s="64">
        <v>0</v>
      </c>
      <c r="AZ382" s="64">
        <v>0</v>
      </c>
      <c r="BA382" s="64">
        <v>0</v>
      </c>
      <c r="BB382" s="64">
        <v>0</v>
      </c>
      <c r="BC382" s="64">
        <v>0</v>
      </c>
      <c r="BD382" s="64">
        <v>0</v>
      </c>
      <c r="BE382" s="64">
        <v>0</v>
      </c>
      <c r="BF382" s="64">
        <v>0</v>
      </c>
      <c r="BG382" s="64">
        <v>0</v>
      </c>
      <c r="BH382" s="64">
        <v>0</v>
      </c>
      <c r="BI382" s="144">
        <v>0</v>
      </c>
      <c r="BJ382" t="str">
        <f>+G379</f>
        <v>82115-0E551</v>
      </c>
      <c r="BK382">
        <f>+J382</f>
        <v>0</v>
      </c>
      <c r="BL382">
        <f t="shared" ref="BL382" si="2039">+K382</f>
        <v>0</v>
      </c>
      <c r="BM382">
        <f t="shared" ref="BM382" si="2040">+L382</f>
        <v>0</v>
      </c>
      <c r="BN382">
        <f t="shared" ref="BN382" si="2041">+M382</f>
        <v>0</v>
      </c>
      <c r="BO382">
        <f t="shared" ref="BO382" si="2042">+N382</f>
        <v>0</v>
      </c>
      <c r="BP382">
        <f t="shared" ref="BP382" si="2043">+O382</f>
        <v>0</v>
      </c>
      <c r="BQ382">
        <f t="shared" ref="BQ382" si="2044">+P382</f>
        <v>0</v>
      </c>
      <c r="BR382">
        <f t="shared" ref="BR382" si="2045">+Q382</f>
        <v>0</v>
      </c>
      <c r="BS382">
        <f t="shared" ref="BS382" si="2046">+R382</f>
        <v>0</v>
      </c>
      <c r="BT382">
        <f t="shared" ref="BT382" si="2047">+S382</f>
        <v>0</v>
      </c>
      <c r="BU382">
        <f t="shared" ref="BU382" si="2048">+T382</f>
        <v>0</v>
      </c>
      <c r="BV382">
        <f t="shared" ref="BV382" si="2049">+U382</f>
        <v>0</v>
      </c>
      <c r="BW382">
        <f t="shared" ref="BW382" si="2050">+V382</f>
        <v>0</v>
      </c>
      <c r="BX382">
        <f t="shared" ref="BX382" si="2051">+W382</f>
        <v>0</v>
      </c>
      <c r="BY382">
        <f t="shared" ref="BY382" si="2052">+X382</f>
        <v>0</v>
      </c>
      <c r="BZ382">
        <f t="shared" ref="BZ382" si="2053">+Y382</f>
        <v>0</v>
      </c>
      <c r="CA382">
        <f t="shared" ref="CA382" si="2054">+Z382</f>
        <v>0</v>
      </c>
      <c r="CB382">
        <f t="shared" ref="CB382" si="2055">+AA382</f>
        <v>0</v>
      </c>
      <c r="CC382">
        <f t="shared" ref="CC382" si="2056">+AB382</f>
        <v>0</v>
      </c>
      <c r="CD382">
        <f t="shared" ref="CD382" si="2057">+AC382</f>
        <v>0</v>
      </c>
      <c r="CE382">
        <f t="shared" ref="CE382" si="2058">+AD382</f>
        <v>0</v>
      </c>
      <c r="CF382">
        <f t="shared" ref="CF382" si="2059">+AE382</f>
        <v>0</v>
      </c>
      <c r="CG382">
        <f t="shared" ref="CG382" si="2060">+AF382</f>
        <v>0</v>
      </c>
      <c r="CH382">
        <f t="shared" ref="CH382" si="2061">+AG382</f>
        <v>0</v>
      </c>
      <c r="CI382">
        <f t="shared" ref="CI382" si="2062">+AH382</f>
        <v>0</v>
      </c>
      <c r="CJ382">
        <f t="shared" ref="CJ382" si="2063">+AI382</f>
        <v>0</v>
      </c>
      <c r="CK382">
        <f t="shared" ref="CK382" si="2064">+AJ382</f>
        <v>0</v>
      </c>
      <c r="CL382">
        <f t="shared" ref="CL382" si="2065">+AK382</f>
        <v>0</v>
      </c>
      <c r="CM382">
        <f t="shared" ref="CM382" si="2066">+AL382</f>
        <v>0</v>
      </c>
      <c r="CN382">
        <f t="shared" ref="CN382" si="2067">+AM382</f>
        <v>0</v>
      </c>
      <c r="CO382">
        <f t="shared" ref="CO382" si="2068">+AN382</f>
        <v>0</v>
      </c>
      <c r="CP382">
        <f t="shared" ref="CP382" si="2069">+AO382</f>
        <v>0</v>
      </c>
      <c r="CQ382">
        <f t="shared" ref="CQ382" si="2070">+AP382</f>
        <v>0</v>
      </c>
      <c r="CR382">
        <f t="shared" ref="CR382" si="2071">+AQ382</f>
        <v>0</v>
      </c>
      <c r="CS382">
        <f t="shared" ref="CS382" si="2072">+AR382</f>
        <v>0</v>
      </c>
      <c r="CT382">
        <f t="shared" ref="CT382" si="2073">+AS382</f>
        <v>0</v>
      </c>
      <c r="CU382">
        <f t="shared" ref="CU382" si="2074">+AT382</f>
        <v>0</v>
      </c>
      <c r="CV382">
        <f t="shared" ref="CV382" si="2075">+AU382</f>
        <v>0</v>
      </c>
      <c r="CW382">
        <f t="shared" ref="CW382" si="2076">+AV382</f>
        <v>0</v>
      </c>
      <c r="CX382">
        <f t="shared" ref="CX382" si="2077">+AW382</f>
        <v>0</v>
      </c>
      <c r="CY382">
        <f t="shared" ref="CY382" si="2078">+AX382</f>
        <v>0</v>
      </c>
      <c r="CZ382">
        <f t="shared" ref="CZ382" si="2079">+AY382</f>
        <v>0</v>
      </c>
      <c r="DA382">
        <f t="shared" ref="DA382" si="2080">+AZ382</f>
        <v>0</v>
      </c>
      <c r="DB382">
        <f t="shared" ref="DB382" si="2081">+BA382</f>
        <v>0</v>
      </c>
      <c r="DC382">
        <f t="shared" ref="DC382" si="2082">+BB382</f>
        <v>0</v>
      </c>
      <c r="DD382">
        <f t="shared" ref="DD382" si="2083">+BC382</f>
        <v>0</v>
      </c>
      <c r="DE382">
        <f t="shared" ref="DE382" si="2084">+BD382</f>
        <v>0</v>
      </c>
      <c r="DF382">
        <f t="shared" ref="DF382" si="2085">+BE382</f>
        <v>0</v>
      </c>
      <c r="DG382">
        <f t="shared" ref="DG382" si="2086">+BF382</f>
        <v>0</v>
      </c>
      <c r="DH382">
        <f t="shared" ref="DH382" si="2087">+BG382</f>
        <v>0</v>
      </c>
      <c r="DI382">
        <f t="shared" ref="DI382" si="2088">+BH382</f>
        <v>0</v>
      </c>
      <c r="DJ382">
        <f t="shared" ref="DJ382" si="2089">+BI382</f>
        <v>0</v>
      </c>
      <c r="DL382">
        <f t="shared" si="1823"/>
        <v>0</v>
      </c>
      <c r="DM382">
        <f t="shared" si="1824"/>
        <v>0</v>
      </c>
      <c r="DN382">
        <f t="shared" si="1825"/>
        <v>0</v>
      </c>
      <c r="DO382">
        <f t="shared" si="1826"/>
        <v>0</v>
      </c>
      <c r="DP382">
        <f t="shared" si="1827"/>
        <v>0</v>
      </c>
      <c r="DQ382">
        <f t="shared" si="1828"/>
        <v>0</v>
      </c>
      <c r="DR382">
        <f t="shared" si="1829"/>
        <v>0</v>
      </c>
      <c r="DS382">
        <f t="shared" si="1830"/>
        <v>0</v>
      </c>
      <c r="DT382">
        <f t="shared" si="1831"/>
        <v>0</v>
      </c>
      <c r="DU382">
        <f t="shared" si="1832"/>
        <v>0</v>
      </c>
      <c r="DV382">
        <f t="shared" si="1833"/>
        <v>0</v>
      </c>
      <c r="DW382">
        <f t="shared" si="1834"/>
        <v>0</v>
      </c>
    </row>
    <row r="383" spans="6:127" x14ac:dyDescent="0.25">
      <c r="F383" s="155" t="s">
        <v>77</v>
      </c>
      <c r="G383" s="181">
        <v>82115</v>
      </c>
      <c r="H383" s="10" t="s">
        <v>233</v>
      </c>
      <c r="I383" s="12" t="s">
        <v>78</v>
      </c>
      <c r="J383" s="152">
        <v>36</v>
      </c>
      <c r="K383" s="153">
        <v>36</v>
      </c>
      <c r="L383" s="153">
        <v>36</v>
      </c>
      <c r="M383" s="153">
        <v>36</v>
      </c>
      <c r="N383" s="153">
        <v>36</v>
      </c>
      <c r="O383" s="153">
        <v>36</v>
      </c>
      <c r="P383" s="153">
        <v>36</v>
      </c>
      <c r="Q383" s="153">
        <v>36</v>
      </c>
      <c r="R383" s="153">
        <v>36</v>
      </c>
      <c r="S383" s="153">
        <v>36</v>
      </c>
      <c r="T383" s="153">
        <v>36</v>
      </c>
      <c r="U383" s="153">
        <v>36</v>
      </c>
      <c r="V383" s="153">
        <v>36</v>
      </c>
      <c r="W383" s="153">
        <v>36</v>
      </c>
      <c r="X383" s="153">
        <v>36</v>
      </c>
      <c r="Y383" s="153">
        <v>36</v>
      </c>
      <c r="Z383" s="153">
        <v>36</v>
      </c>
      <c r="AA383" s="153">
        <v>36</v>
      </c>
      <c r="AB383" s="153">
        <v>36</v>
      </c>
      <c r="AC383" s="153">
        <v>36</v>
      </c>
      <c r="AD383" s="153">
        <v>36</v>
      </c>
      <c r="AE383" s="153">
        <v>36</v>
      </c>
      <c r="AF383" s="153">
        <v>36</v>
      </c>
      <c r="AG383" s="153">
        <v>36</v>
      </c>
      <c r="AH383" s="153">
        <v>36</v>
      </c>
      <c r="AI383" s="153">
        <v>36</v>
      </c>
      <c r="AJ383" s="153">
        <v>36</v>
      </c>
      <c r="AK383" s="153">
        <v>36</v>
      </c>
      <c r="AL383" s="153">
        <v>36</v>
      </c>
      <c r="AM383" s="153">
        <v>36</v>
      </c>
      <c r="AN383" s="153">
        <v>36</v>
      </c>
      <c r="AO383" s="153">
        <v>36</v>
      </c>
      <c r="AP383" s="153">
        <v>36</v>
      </c>
      <c r="AQ383" s="153">
        <v>36</v>
      </c>
      <c r="AR383" s="153">
        <v>36</v>
      </c>
      <c r="AS383" s="153">
        <v>36</v>
      </c>
      <c r="AT383" s="153">
        <v>36</v>
      </c>
      <c r="AU383" s="153">
        <v>36</v>
      </c>
      <c r="AV383" s="153">
        <v>36</v>
      </c>
      <c r="AW383" s="153">
        <v>36</v>
      </c>
      <c r="AX383" s="153">
        <v>36</v>
      </c>
      <c r="AY383" s="153">
        <v>36</v>
      </c>
      <c r="AZ383" s="153">
        <v>36</v>
      </c>
      <c r="BA383" s="153">
        <v>36</v>
      </c>
      <c r="BB383" s="153">
        <v>36</v>
      </c>
      <c r="BC383" s="153">
        <v>36</v>
      </c>
      <c r="BD383" s="153">
        <v>36</v>
      </c>
      <c r="BE383" s="153">
        <v>36</v>
      </c>
      <c r="BF383" s="153">
        <v>36</v>
      </c>
      <c r="BG383" s="153">
        <v>36</v>
      </c>
      <c r="BH383" s="153">
        <v>36</v>
      </c>
      <c r="BI383" s="154">
        <v>36</v>
      </c>
      <c r="DL383">
        <f t="shared" si="1823"/>
        <v>0</v>
      </c>
      <c r="DM383">
        <f t="shared" si="1824"/>
        <v>0</v>
      </c>
      <c r="DN383">
        <f t="shared" si="1825"/>
        <v>0</v>
      </c>
      <c r="DO383">
        <f t="shared" si="1826"/>
        <v>0</v>
      </c>
      <c r="DP383">
        <f t="shared" si="1827"/>
        <v>0</v>
      </c>
      <c r="DQ383">
        <f t="shared" si="1828"/>
        <v>0</v>
      </c>
      <c r="DR383">
        <f t="shared" si="1829"/>
        <v>0</v>
      </c>
      <c r="DS383">
        <f t="shared" si="1830"/>
        <v>0</v>
      </c>
      <c r="DT383">
        <f t="shared" si="1831"/>
        <v>0</v>
      </c>
      <c r="DU383">
        <f t="shared" si="1832"/>
        <v>0</v>
      </c>
      <c r="DV383">
        <f t="shared" si="1833"/>
        <v>0</v>
      </c>
      <c r="DW383">
        <f t="shared" si="1834"/>
        <v>0</v>
      </c>
    </row>
    <row r="384" spans="6:127" x14ac:dyDescent="0.25">
      <c r="F384" s="155" t="s">
        <v>79</v>
      </c>
      <c r="G384" s="199">
        <v>36</v>
      </c>
      <c r="H384" s="184" t="s">
        <v>80</v>
      </c>
      <c r="I384" s="185"/>
      <c r="J384" s="200" t="s">
        <v>314</v>
      </c>
      <c r="K384" s="156"/>
      <c r="L384" s="157" t="s">
        <v>0</v>
      </c>
      <c r="M384" s="157" t="s">
        <v>0</v>
      </c>
      <c r="N384" s="157" t="s">
        <v>0</v>
      </c>
      <c r="O384" s="157" t="s">
        <v>0</v>
      </c>
      <c r="P384" s="157" t="s">
        <v>0</v>
      </c>
      <c r="Q384" s="157" t="s">
        <v>0</v>
      </c>
      <c r="R384" s="157" t="s">
        <v>0</v>
      </c>
      <c r="S384" s="157" t="s">
        <v>0</v>
      </c>
      <c r="T384" s="157" t="s">
        <v>0</v>
      </c>
      <c r="U384" s="157" t="s">
        <v>0</v>
      </c>
      <c r="V384" s="157" t="s">
        <v>0</v>
      </c>
      <c r="W384" s="157" t="s">
        <v>0</v>
      </c>
      <c r="X384" s="157" t="s">
        <v>0</v>
      </c>
      <c r="Y384" s="157" t="s">
        <v>0</v>
      </c>
      <c r="Z384" s="157" t="s">
        <v>0</v>
      </c>
      <c r="AA384" s="157" t="s">
        <v>0</v>
      </c>
      <c r="AB384" s="157" t="s">
        <v>0</v>
      </c>
      <c r="AC384" s="157" t="s">
        <v>0</v>
      </c>
      <c r="AD384" s="157" t="s">
        <v>0</v>
      </c>
      <c r="AE384" s="157" t="s">
        <v>0</v>
      </c>
      <c r="AF384" s="157" t="s">
        <v>0</v>
      </c>
      <c r="AG384" s="157" t="s">
        <v>0</v>
      </c>
      <c r="AH384" s="157" t="s">
        <v>0</v>
      </c>
      <c r="AI384" s="157" t="s">
        <v>0</v>
      </c>
      <c r="AJ384" s="157" t="s">
        <v>0</v>
      </c>
      <c r="AK384" s="157" t="s">
        <v>0</v>
      </c>
      <c r="AL384" s="157" t="s">
        <v>0</v>
      </c>
      <c r="AM384" s="157" t="s">
        <v>0</v>
      </c>
      <c r="AN384" s="157" t="s">
        <v>0</v>
      </c>
      <c r="AO384" s="157" t="s">
        <v>0</v>
      </c>
      <c r="AP384" s="157" t="s">
        <v>0</v>
      </c>
      <c r="AQ384" s="157" t="s">
        <v>0</v>
      </c>
      <c r="AR384" s="157" t="s">
        <v>0</v>
      </c>
      <c r="AS384" s="157" t="s">
        <v>0</v>
      </c>
      <c r="AT384" s="157" t="s">
        <v>0</v>
      </c>
      <c r="AU384" s="157" t="s">
        <v>0</v>
      </c>
      <c r="AV384" s="157" t="s">
        <v>0</v>
      </c>
      <c r="AW384" s="157" t="s">
        <v>0</v>
      </c>
      <c r="AX384" s="157" t="s">
        <v>0</v>
      </c>
      <c r="AY384" s="157" t="s">
        <v>0</v>
      </c>
      <c r="AZ384" s="157" t="s">
        <v>0</v>
      </c>
      <c r="BA384" s="157" t="s">
        <v>0</v>
      </c>
      <c r="BB384" s="157" t="s">
        <v>0</v>
      </c>
      <c r="BC384" s="157" t="s">
        <v>0</v>
      </c>
      <c r="BD384" s="157" t="s">
        <v>0</v>
      </c>
      <c r="BE384" s="157" t="s">
        <v>0</v>
      </c>
      <c r="BF384" s="157" t="s">
        <v>0</v>
      </c>
      <c r="BG384" s="157" t="s">
        <v>0</v>
      </c>
      <c r="BH384" s="157" t="s">
        <v>0</v>
      </c>
      <c r="BI384" s="158"/>
      <c r="DL384">
        <f t="shared" si="1823"/>
        <v>0</v>
      </c>
      <c r="DM384">
        <f t="shared" si="1824"/>
        <v>0</v>
      </c>
      <c r="DN384">
        <f t="shared" si="1825"/>
        <v>0</v>
      </c>
      <c r="DO384">
        <f t="shared" si="1826"/>
        <v>0</v>
      </c>
      <c r="DP384">
        <f t="shared" si="1827"/>
        <v>0</v>
      </c>
      <c r="DQ384">
        <f t="shared" si="1828"/>
        <v>0</v>
      </c>
      <c r="DR384">
        <f t="shared" si="1829"/>
        <v>0</v>
      </c>
      <c r="DS384">
        <f t="shared" si="1830"/>
        <v>0</v>
      </c>
      <c r="DT384">
        <f t="shared" si="1831"/>
        <v>0</v>
      </c>
      <c r="DU384">
        <f t="shared" si="1832"/>
        <v>0</v>
      </c>
      <c r="DV384">
        <f t="shared" si="1833"/>
        <v>0</v>
      </c>
      <c r="DW384">
        <f t="shared" si="1834"/>
        <v>0</v>
      </c>
    </row>
    <row r="385" spans="6:127" x14ac:dyDescent="0.25">
      <c r="F385" s="159" t="s">
        <v>81</v>
      </c>
      <c r="G385" s="160" t="s">
        <v>60</v>
      </c>
      <c r="H385" s="201" t="s">
        <v>60</v>
      </c>
      <c r="I385" s="183" t="s">
        <v>60</v>
      </c>
      <c r="J385" s="183" t="s">
        <v>0</v>
      </c>
      <c r="K385" s="183" t="s">
        <v>0</v>
      </c>
      <c r="L385" s="183" t="s">
        <v>0</v>
      </c>
      <c r="M385" s="183" t="s">
        <v>0</v>
      </c>
      <c r="N385" s="183" t="s">
        <v>0</v>
      </c>
      <c r="O385" s="183" t="s">
        <v>0</v>
      </c>
      <c r="P385" s="183" t="s">
        <v>0</v>
      </c>
      <c r="Q385" s="183" t="s">
        <v>0</v>
      </c>
      <c r="R385" s="183" t="s">
        <v>0</v>
      </c>
      <c r="S385" s="183" t="s">
        <v>0</v>
      </c>
      <c r="T385" s="183" t="s">
        <v>0</v>
      </c>
      <c r="U385" s="183" t="s">
        <v>0</v>
      </c>
      <c r="V385" s="183" t="s">
        <v>0</v>
      </c>
      <c r="W385" s="183" t="s">
        <v>0</v>
      </c>
      <c r="X385" s="183" t="s">
        <v>0</v>
      </c>
      <c r="Y385" s="183" t="s">
        <v>0</v>
      </c>
      <c r="Z385" s="183" t="s">
        <v>0</v>
      </c>
      <c r="AA385" s="183" t="s">
        <v>0</v>
      </c>
      <c r="AB385" s="183" t="s">
        <v>0</v>
      </c>
      <c r="AC385" s="183" t="s">
        <v>0</v>
      </c>
      <c r="AD385" s="183" t="s">
        <v>0</v>
      </c>
      <c r="AE385" s="183" t="s">
        <v>0</v>
      </c>
      <c r="AF385" s="183" t="s">
        <v>0</v>
      </c>
      <c r="AG385" s="183" t="s">
        <v>0</v>
      </c>
      <c r="AH385" s="183" t="s">
        <v>0</v>
      </c>
      <c r="AI385" s="183" t="s">
        <v>0</v>
      </c>
      <c r="AJ385" s="183" t="s">
        <v>0</v>
      </c>
      <c r="AK385" s="183" t="s">
        <v>0</v>
      </c>
      <c r="AL385" s="183" t="s">
        <v>0</v>
      </c>
      <c r="AM385" s="183" t="s">
        <v>0</v>
      </c>
      <c r="AN385" s="183" t="s">
        <v>0</v>
      </c>
      <c r="AO385" s="183" t="s">
        <v>0</v>
      </c>
      <c r="AP385" s="183" t="s">
        <v>0</v>
      </c>
      <c r="AQ385" s="183" t="s">
        <v>0</v>
      </c>
      <c r="AR385" s="183" t="s">
        <v>0</v>
      </c>
      <c r="AS385" s="183" t="s">
        <v>0</v>
      </c>
      <c r="AT385" s="183" t="s">
        <v>0</v>
      </c>
      <c r="AU385" s="183" t="s">
        <v>0</v>
      </c>
      <c r="AV385" s="183" t="s">
        <v>0</v>
      </c>
      <c r="AW385" s="183" t="s">
        <v>0</v>
      </c>
      <c r="AX385" s="183" t="s">
        <v>0</v>
      </c>
      <c r="AY385" s="183" t="s">
        <v>0</v>
      </c>
      <c r="AZ385" s="183" t="s">
        <v>0</v>
      </c>
      <c r="BA385" s="183" t="s">
        <v>0</v>
      </c>
      <c r="BB385" s="183" t="s">
        <v>0</v>
      </c>
      <c r="BC385" s="183" t="s">
        <v>0</v>
      </c>
      <c r="BD385" s="183" t="s">
        <v>0</v>
      </c>
      <c r="BE385" s="183" t="s">
        <v>0</v>
      </c>
      <c r="BF385" s="183" t="s">
        <v>0</v>
      </c>
      <c r="BG385" s="183" t="s">
        <v>0</v>
      </c>
      <c r="BH385" s="183" t="s">
        <v>0</v>
      </c>
      <c r="BI385" s="161"/>
      <c r="DL385">
        <f t="shared" si="1823"/>
        <v>0</v>
      </c>
      <c r="DM385">
        <f t="shared" si="1824"/>
        <v>0</v>
      </c>
      <c r="DN385">
        <f t="shared" si="1825"/>
        <v>0</v>
      </c>
      <c r="DO385">
        <f t="shared" si="1826"/>
        <v>0</v>
      </c>
      <c r="DP385">
        <f t="shared" si="1827"/>
        <v>0</v>
      </c>
      <c r="DQ385">
        <f t="shared" si="1828"/>
        <v>0</v>
      </c>
      <c r="DR385">
        <f t="shared" si="1829"/>
        <v>0</v>
      </c>
      <c r="DS385">
        <f t="shared" si="1830"/>
        <v>0</v>
      </c>
      <c r="DT385">
        <f t="shared" si="1831"/>
        <v>0</v>
      </c>
      <c r="DU385">
        <f t="shared" si="1832"/>
        <v>0</v>
      </c>
      <c r="DV385">
        <f t="shared" si="1833"/>
        <v>0</v>
      </c>
      <c r="DW385">
        <f t="shared" si="1834"/>
        <v>0</v>
      </c>
    </row>
    <row r="386" spans="6:127" x14ac:dyDescent="0.25">
      <c r="F386" s="188" t="s">
        <v>60</v>
      </c>
      <c r="G386" s="162" t="s">
        <v>60</v>
      </c>
      <c r="H386" s="163" t="s">
        <v>60</v>
      </c>
      <c r="I386" s="164" t="s">
        <v>60</v>
      </c>
      <c r="J386" s="164" t="s">
        <v>0</v>
      </c>
      <c r="K386" s="164" t="s">
        <v>0</v>
      </c>
      <c r="L386" s="164" t="s">
        <v>0</v>
      </c>
      <c r="M386" s="164" t="s">
        <v>0</v>
      </c>
      <c r="N386" s="164" t="s">
        <v>0</v>
      </c>
      <c r="O386" s="164" t="s">
        <v>0</v>
      </c>
      <c r="P386" s="164" t="s">
        <v>0</v>
      </c>
      <c r="Q386" s="164" t="s">
        <v>0</v>
      </c>
      <c r="R386" s="164" t="s">
        <v>0</v>
      </c>
      <c r="S386" s="164" t="s">
        <v>0</v>
      </c>
      <c r="T386" s="164" t="s">
        <v>0</v>
      </c>
      <c r="U386" s="164" t="s">
        <v>0</v>
      </c>
      <c r="V386" s="164" t="s">
        <v>0</v>
      </c>
      <c r="W386" s="164" t="s">
        <v>0</v>
      </c>
      <c r="X386" s="164" t="s">
        <v>0</v>
      </c>
      <c r="Y386" s="164" t="s">
        <v>0</v>
      </c>
      <c r="Z386" s="164" t="s">
        <v>0</v>
      </c>
      <c r="AA386" s="164" t="s">
        <v>0</v>
      </c>
      <c r="AB386" s="164" t="s">
        <v>0</v>
      </c>
      <c r="AC386" s="164" t="s">
        <v>0</v>
      </c>
      <c r="AD386" s="164" t="s">
        <v>0</v>
      </c>
      <c r="AE386" s="164" t="s">
        <v>0</v>
      </c>
      <c r="AF386" s="164" t="s">
        <v>0</v>
      </c>
      <c r="AG386" s="164" t="s">
        <v>0</v>
      </c>
      <c r="AH386" s="164" t="s">
        <v>0</v>
      </c>
      <c r="AI386" s="164" t="s">
        <v>0</v>
      </c>
      <c r="AJ386" s="164" t="s">
        <v>0</v>
      </c>
      <c r="AK386" s="164" t="s">
        <v>0</v>
      </c>
      <c r="AL386" s="164" t="s">
        <v>0</v>
      </c>
      <c r="AM386" s="164" t="s">
        <v>0</v>
      </c>
      <c r="AN386" s="164" t="s">
        <v>0</v>
      </c>
      <c r="AO386" s="164" t="s">
        <v>0</v>
      </c>
      <c r="AP386" s="164" t="s">
        <v>0</v>
      </c>
      <c r="AQ386" s="164" t="s">
        <v>0</v>
      </c>
      <c r="AR386" s="164" t="s">
        <v>0</v>
      </c>
      <c r="AS386" s="164" t="s">
        <v>0</v>
      </c>
      <c r="AT386" s="164" t="s">
        <v>0</v>
      </c>
      <c r="AU386" s="164" t="s">
        <v>0</v>
      </c>
      <c r="AV386" s="164" t="s">
        <v>0</v>
      </c>
      <c r="AW386" s="164" t="s">
        <v>0</v>
      </c>
      <c r="AX386" s="164" t="s">
        <v>0</v>
      </c>
      <c r="AY386" s="164" t="s">
        <v>0</v>
      </c>
      <c r="AZ386" s="164" t="s">
        <v>0</v>
      </c>
      <c r="BA386" s="164" t="s">
        <v>0</v>
      </c>
      <c r="BB386" s="164" t="s">
        <v>0</v>
      </c>
      <c r="BC386" s="164" t="s">
        <v>0</v>
      </c>
      <c r="BD386" s="164" t="s">
        <v>0</v>
      </c>
      <c r="BE386" s="164" t="s">
        <v>0</v>
      </c>
      <c r="BF386" s="164" t="s">
        <v>0</v>
      </c>
      <c r="BG386" s="164" t="s">
        <v>0</v>
      </c>
      <c r="BH386" s="164" t="s">
        <v>0</v>
      </c>
      <c r="BI386" s="189"/>
      <c r="DL386">
        <f t="shared" si="1823"/>
        <v>0</v>
      </c>
      <c r="DM386">
        <f t="shared" si="1824"/>
        <v>0</v>
      </c>
      <c r="DN386">
        <f t="shared" si="1825"/>
        <v>0</v>
      </c>
      <c r="DO386">
        <f t="shared" si="1826"/>
        <v>0</v>
      </c>
      <c r="DP386">
        <f t="shared" si="1827"/>
        <v>0</v>
      </c>
      <c r="DQ386">
        <f t="shared" si="1828"/>
        <v>0</v>
      </c>
      <c r="DR386">
        <f t="shared" si="1829"/>
        <v>0</v>
      </c>
      <c r="DS386">
        <f t="shared" si="1830"/>
        <v>0</v>
      </c>
      <c r="DT386">
        <f t="shared" si="1831"/>
        <v>0</v>
      </c>
      <c r="DU386">
        <f t="shared" si="1832"/>
        <v>0</v>
      </c>
      <c r="DV386">
        <f t="shared" si="1833"/>
        <v>0</v>
      </c>
      <c r="DW386">
        <f t="shared" si="1834"/>
        <v>0</v>
      </c>
    </row>
    <row r="387" spans="6:127" x14ac:dyDescent="0.25">
      <c r="F387" s="155" t="s">
        <v>61</v>
      </c>
      <c r="G387" s="181">
        <v>5501017970</v>
      </c>
      <c r="H387" s="155" t="s">
        <v>62</v>
      </c>
      <c r="I387" s="181">
        <v>91</v>
      </c>
      <c r="J387" s="155" t="s">
        <v>63</v>
      </c>
      <c r="K387" s="160">
        <v>1177757</v>
      </c>
      <c r="L387" s="161"/>
      <c r="M387" s="190" t="s">
        <v>64</v>
      </c>
      <c r="N387" s="191"/>
      <c r="O387" s="192">
        <v>46086</v>
      </c>
      <c r="P387" s="155" t="s">
        <v>65</v>
      </c>
      <c r="Q387" s="181">
        <v>4</v>
      </c>
      <c r="R387" s="6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0</v>
      </c>
      <c r="AH387" s="7" t="s">
        <v>0</v>
      </c>
      <c r="AI387" s="7" t="s">
        <v>0</v>
      </c>
      <c r="AJ387" s="7" t="s">
        <v>0</v>
      </c>
      <c r="AK387" s="7" t="s">
        <v>0</v>
      </c>
      <c r="AL387" s="7" t="s">
        <v>0</v>
      </c>
      <c r="AM387" s="7" t="s">
        <v>0</v>
      </c>
      <c r="AN387" s="7" t="s">
        <v>0</v>
      </c>
      <c r="AO387" s="7" t="s">
        <v>0</v>
      </c>
      <c r="AP387" s="7" t="s">
        <v>0</v>
      </c>
      <c r="AQ387" s="7" t="s">
        <v>0</v>
      </c>
      <c r="AR387" s="7" t="s">
        <v>0</v>
      </c>
      <c r="AS387" s="7" t="s">
        <v>0</v>
      </c>
      <c r="AT387" s="7" t="s">
        <v>0</v>
      </c>
      <c r="AU387" s="7" t="s">
        <v>0</v>
      </c>
      <c r="AV387" s="7" t="s">
        <v>0</v>
      </c>
      <c r="AW387" s="7" t="s">
        <v>0</v>
      </c>
      <c r="AX387" s="7" t="s">
        <v>0</v>
      </c>
      <c r="AY387" s="7" t="s">
        <v>0</v>
      </c>
      <c r="AZ387" s="7" t="s">
        <v>0</v>
      </c>
      <c r="BA387" s="7" t="s">
        <v>0</v>
      </c>
      <c r="BB387" s="7" t="s">
        <v>0</v>
      </c>
      <c r="BC387" s="7" t="s">
        <v>0</v>
      </c>
      <c r="BD387" s="7" t="s">
        <v>0</v>
      </c>
      <c r="BE387" s="7" t="s">
        <v>0</v>
      </c>
      <c r="BF387" s="7" t="s">
        <v>0</v>
      </c>
      <c r="BG387" s="7" t="s">
        <v>0</v>
      </c>
      <c r="BH387" s="7" t="s">
        <v>0</v>
      </c>
      <c r="BI387" s="8"/>
      <c r="DL387">
        <f t="shared" si="1823"/>
        <v>0</v>
      </c>
      <c r="DM387">
        <f t="shared" si="1824"/>
        <v>0</v>
      </c>
      <c r="DN387">
        <f t="shared" si="1825"/>
        <v>0</v>
      </c>
      <c r="DO387">
        <f t="shared" si="1826"/>
        <v>0</v>
      </c>
      <c r="DP387">
        <f t="shared" si="1827"/>
        <v>0</v>
      </c>
      <c r="DQ387">
        <f t="shared" si="1828"/>
        <v>0</v>
      </c>
      <c r="DR387">
        <f t="shared" si="1829"/>
        <v>0</v>
      </c>
      <c r="DS387">
        <f t="shared" si="1830"/>
        <v>0</v>
      </c>
      <c r="DT387">
        <f t="shared" si="1831"/>
        <v>0</v>
      </c>
      <c r="DU387">
        <f t="shared" si="1832"/>
        <v>0</v>
      </c>
      <c r="DV387">
        <f t="shared" si="1833"/>
        <v>0</v>
      </c>
      <c r="DW387">
        <f t="shared" si="1834"/>
        <v>0</v>
      </c>
    </row>
    <row r="388" spans="6:127" x14ac:dyDescent="0.25">
      <c r="F388" s="155" t="s">
        <v>66</v>
      </c>
      <c r="G388" s="181" t="s">
        <v>377</v>
      </c>
      <c r="H388" s="155" t="s">
        <v>67</v>
      </c>
      <c r="I388" s="182" t="s">
        <v>378</v>
      </c>
      <c r="J388" s="183"/>
      <c r="K388" s="183"/>
      <c r="L388" s="161"/>
      <c r="M388" s="155" t="s">
        <v>68</v>
      </c>
      <c r="N388" s="181">
        <v>2025</v>
      </c>
      <c r="O388" s="184" t="s">
        <v>69</v>
      </c>
      <c r="P388" s="185"/>
      <c r="Q388" s="193" t="s">
        <v>342</v>
      </c>
      <c r="R388" s="156" t="s">
        <v>0</v>
      </c>
      <c r="S388" s="157" t="s">
        <v>0</v>
      </c>
      <c r="T388" s="157" t="s">
        <v>0</v>
      </c>
      <c r="U388" s="157" t="s">
        <v>0</v>
      </c>
      <c r="V388" s="157" t="s">
        <v>0</v>
      </c>
      <c r="W388" s="157" t="s">
        <v>0</v>
      </c>
      <c r="X388" s="157" t="s">
        <v>0</v>
      </c>
      <c r="Y388" s="157" t="s">
        <v>0</v>
      </c>
      <c r="Z388" s="157" t="s">
        <v>0</v>
      </c>
      <c r="AA388" s="157" t="s">
        <v>0</v>
      </c>
      <c r="AB388" s="157" t="s">
        <v>0</v>
      </c>
      <c r="AC388" s="157" t="s">
        <v>0</v>
      </c>
      <c r="AD388" s="157" t="s">
        <v>0</v>
      </c>
      <c r="AE388" s="157" t="s">
        <v>0</v>
      </c>
      <c r="AF388" s="157" t="s">
        <v>0</v>
      </c>
      <c r="AG388" s="157" t="s">
        <v>0</v>
      </c>
      <c r="AH388" s="157" t="s">
        <v>0</v>
      </c>
      <c r="AI388" s="157" t="s">
        <v>0</v>
      </c>
      <c r="AJ388" s="157" t="s">
        <v>0</v>
      </c>
      <c r="AK388" s="157" t="s">
        <v>0</v>
      </c>
      <c r="AL388" s="157" t="s">
        <v>0</v>
      </c>
      <c r="AM388" s="157" t="s">
        <v>0</v>
      </c>
      <c r="AN388" s="157" t="s">
        <v>0</v>
      </c>
      <c r="AO388" s="157" t="s">
        <v>0</v>
      </c>
      <c r="AP388" s="157" t="s">
        <v>0</v>
      </c>
      <c r="AQ388" s="157" t="s">
        <v>0</v>
      </c>
      <c r="AR388" s="157" t="s">
        <v>0</v>
      </c>
      <c r="AS388" s="157" t="s">
        <v>0</v>
      </c>
      <c r="AT388" s="157" t="s">
        <v>0</v>
      </c>
      <c r="AU388" s="157" t="s">
        <v>0</v>
      </c>
      <c r="AV388" s="157" t="s">
        <v>0</v>
      </c>
      <c r="AW388" s="157" t="s">
        <v>0</v>
      </c>
      <c r="AX388" s="157" t="s">
        <v>0</v>
      </c>
      <c r="AY388" s="157" t="s">
        <v>0</v>
      </c>
      <c r="AZ388" s="157" t="s">
        <v>0</v>
      </c>
      <c r="BA388" s="157" t="s">
        <v>0</v>
      </c>
      <c r="BB388" s="157" t="s">
        <v>0</v>
      </c>
      <c r="BC388" s="157" t="s">
        <v>0</v>
      </c>
      <c r="BD388" s="157" t="s">
        <v>0</v>
      </c>
      <c r="BE388" s="157" t="s">
        <v>0</v>
      </c>
      <c r="BF388" s="157" t="s">
        <v>0</v>
      </c>
      <c r="BG388" s="157" t="s">
        <v>0</v>
      </c>
      <c r="BH388" s="157" t="s">
        <v>0</v>
      </c>
      <c r="BI388" s="158"/>
      <c r="DL388">
        <f t="shared" si="1823"/>
        <v>0</v>
      </c>
      <c r="DM388">
        <f t="shared" si="1824"/>
        <v>0</v>
      </c>
      <c r="DN388">
        <f t="shared" si="1825"/>
        <v>0</v>
      </c>
      <c r="DO388">
        <f t="shared" si="1826"/>
        <v>0</v>
      </c>
      <c r="DP388">
        <f t="shared" si="1827"/>
        <v>0</v>
      </c>
      <c r="DQ388">
        <f t="shared" si="1828"/>
        <v>0</v>
      </c>
      <c r="DR388">
        <f t="shared" si="1829"/>
        <v>0</v>
      </c>
      <c r="DS388">
        <f t="shared" si="1830"/>
        <v>0</v>
      </c>
      <c r="DT388">
        <f t="shared" si="1831"/>
        <v>0</v>
      </c>
      <c r="DU388">
        <f t="shared" si="1832"/>
        <v>0</v>
      </c>
      <c r="DV388">
        <f t="shared" si="1833"/>
        <v>0</v>
      </c>
      <c r="DW388">
        <f t="shared" si="1834"/>
        <v>0</v>
      </c>
    </row>
    <row r="389" spans="6:127" x14ac:dyDescent="0.25">
      <c r="F389" s="155" t="s">
        <v>70</v>
      </c>
      <c r="G389" s="181" t="s">
        <v>379</v>
      </c>
      <c r="H389" s="155" t="s">
        <v>71</v>
      </c>
      <c r="I389" s="182" t="s">
        <v>60</v>
      </c>
      <c r="J389" s="161" t="s">
        <v>0</v>
      </c>
      <c r="K389" s="194" t="s">
        <v>0</v>
      </c>
      <c r="L389" s="195" t="s">
        <v>0</v>
      </c>
      <c r="M389" s="179" t="s">
        <v>0</v>
      </c>
      <c r="N389" s="179" t="s">
        <v>0</v>
      </c>
      <c r="O389" s="179" t="s">
        <v>0</v>
      </c>
      <c r="P389" s="179" t="s">
        <v>0</v>
      </c>
      <c r="Q389" s="179" t="s">
        <v>1</v>
      </c>
      <c r="R389" s="179" t="s">
        <v>2</v>
      </c>
      <c r="S389" s="179" t="s">
        <v>0</v>
      </c>
      <c r="T389" s="179" t="s">
        <v>0</v>
      </c>
      <c r="U389" s="179" t="s">
        <v>0</v>
      </c>
      <c r="V389" s="179" t="s">
        <v>0</v>
      </c>
      <c r="W389" s="179" t="s">
        <v>0</v>
      </c>
      <c r="X389" s="179" t="s">
        <v>0</v>
      </c>
      <c r="Y389" s="179" t="s">
        <v>0</v>
      </c>
      <c r="Z389" s="179" t="s">
        <v>3</v>
      </c>
      <c r="AA389" s="179" t="s">
        <v>0</v>
      </c>
      <c r="AB389" s="179" t="s">
        <v>0</v>
      </c>
      <c r="AC389" s="179" t="s">
        <v>0</v>
      </c>
      <c r="AD389" s="179" t="s">
        <v>0</v>
      </c>
      <c r="AE389" s="179" t="s">
        <v>0</v>
      </c>
      <c r="AF389" s="179" t="s">
        <v>0</v>
      </c>
      <c r="AG389" s="179" t="s">
        <v>0</v>
      </c>
      <c r="AH389" s="179" t="s">
        <v>0</v>
      </c>
      <c r="AI389" s="179" t="s">
        <v>0</v>
      </c>
      <c r="AJ389" s="179" t="s">
        <v>0</v>
      </c>
      <c r="AK389" s="179" t="s">
        <v>0</v>
      </c>
      <c r="AL389" s="179" t="s">
        <v>0</v>
      </c>
      <c r="AM389" s="179" t="s">
        <v>0</v>
      </c>
      <c r="AN389" s="179" t="s">
        <v>0</v>
      </c>
      <c r="AO389" s="179" t="s">
        <v>0</v>
      </c>
      <c r="AP389" s="179" t="s">
        <v>0</v>
      </c>
      <c r="AQ389" s="179" t="s">
        <v>0</v>
      </c>
      <c r="AR389" s="179" t="s">
        <v>0</v>
      </c>
      <c r="AS389" s="179" t="s">
        <v>0</v>
      </c>
      <c r="AT389" s="179" t="s">
        <v>0</v>
      </c>
      <c r="AU389" s="179" t="s">
        <v>0</v>
      </c>
      <c r="AV389" s="179" t="s">
        <v>0</v>
      </c>
      <c r="AW389" s="179" t="s">
        <v>0</v>
      </c>
      <c r="AX389" s="179" t="s">
        <v>0</v>
      </c>
      <c r="AY389" s="179" t="s">
        <v>0</v>
      </c>
      <c r="AZ389" s="179" t="s">
        <v>0</v>
      </c>
      <c r="BA389" s="179" t="s">
        <v>0</v>
      </c>
      <c r="BB389" s="179" t="s">
        <v>0</v>
      </c>
      <c r="BC389" s="179" t="s">
        <v>0</v>
      </c>
      <c r="BD389" s="179" t="s">
        <v>0</v>
      </c>
      <c r="BE389" s="179" t="s">
        <v>0</v>
      </c>
      <c r="BF389" s="179" t="s">
        <v>0</v>
      </c>
      <c r="BG389" s="179" t="s">
        <v>0</v>
      </c>
      <c r="BH389" s="179" t="s">
        <v>0</v>
      </c>
      <c r="BI389" s="180" t="s">
        <v>4</v>
      </c>
      <c r="DL389">
        <f t="shared" si="1823"/>
        <v>0</v>
      </c>
      <c r="DM389">
        <f t="shared" si="1824"/>
        <v>0</v>
      </c>
      <c r="DN389">
        <f t="shared" si="1825"/>
        <v>0</v>
      </c>
      <c r="DO389">
        <f t="shared" si="1826"/>
        <v>0</v>
      </c>
      <c r="DP389">
        <f t="shared" si="1827"/>
        <v>0</v>
      </c>
      <c r="DQ389">
        <f t="shared" si="1828"/>
        <v>0</v>
      </c>
      <c r="DR389">
        <f t="shared" si="1829"/>
        <v>0</v>
      </c>
      <c r="DS389">
        <f t="shared" si="1830"/>
        <v>0</v>
      </c>
      <c r="DT389">
        <f t="shared" si="1831"/>
        <v>0</v>
      </c>
      <c r="DU389">
        <f t="shared" si="1832"/>
        <v>0</v>
      </c>
      <c r="DV389">
        <f t="shared" si="1833"/>
        <v>0</v>
      </c>
      <c r="DW389">
        <f t="shared" si="1834"/>
        <v>0</v>
      </c>
    </row>
    <row r="390" spans="6:127" x14ac:dyDescent="0.25">
      <c r="F390" s="155" t="s">
        <v>72</v>
      </c>
      <c r="G390" s="181">
        <v>0</v>
      </c>
      <c r="H390" s="196" t="s">
        <v>414</v>
      </c>
      <c r="I390" s="197" t="s">
        <v>73</v>
      </c>
      <c r="J390" s="13">
        <v>46041</v>
      </c>
      <c r="K390" s="14">
        <v>46048</v>
      </c>
      <c r="L390" s="14">
        <v>46055</v>
      </c>
      <c r="M390" s="14">
        <v>46062</v>
      </c>
      <c r="N390" s="14">
        <v>46069</v>
      </c>
      <c r="O390" s="14">
        <v>46076</v>
      </c>
      <c r="P390" s="14">
        <v>46083</v>
      </c>
      <c r="Q390" s="14">
        <v>46090</v>
      </c>
      <c r="R390" s="14">
        <v>46097</v>
      </c>
      <c r="S390" s="14">
        <v>46104</v>
      </c>
      <c r="T390" s="14">
        <v>46111</v>
      </c>
      <c r="U390" s="14">
        <v>46118</v>
      </c>
      <c r="V390" s="14">
        <v>46125</v>
      </c>
      <c r="W390" s="14">
        <v>46132</v>
      </c>
      <c r="X390" s="14">
        <v>46139</v>
      </c>
      <c r="Y390" s="14">
        <v>46146</v>
      </c>
      <c r="Z390" s="14">
        <v>46153</v>
      </c>
      <c r="AA390" s="14">
        <v>46160</v>
      </c>
      <c r="AB390" s="14">
        <v>46167</v>
      </c>
      <c r="AC390" s="14">
        <v>46174</v>
      </c>
      <c r="AD390" s="14">
        <v>46181</v>
      </c>
      <c r="AE390" s="14">
        <v>46188</v>
      </c>
      <c r="AF390" s="14">
        <v>46195</v>
      </c>
      <c r="AG390" s="14">
        <v>46202</v>
      </c>
      <c r="AH390" s="14">
        <v>46209</v>
      </c>
      <c r="AI390" s="14">
        <v>46216</v>
      </c>
      <c r="AJ390" s="14">
        <v>46223</v>
      </c>
      <c r="AK390" s="14">
        <v>46230</v>
      </c>
      <c r="AL390" s="14">
        <v>46237</v>
      </c>
      <c r="AM390" s="14">
        <v>46244</v>
      </c>
      <c r="AN390" s="14">
        <v>46251</v>
      </c>
      <c r="AO390" s="14">
        <v>46258</v>
      </c>
      <c r="AP390" s="14">
        <v>46265</v>
      </c>
      <c r="AQ390" s="14">
        <v>46272</v>
      </c>
      <c r="AR390" s="14">
        <v>46279</v>
      </c>
      <c r="AS390" s="14">
        <v>46286</v>
      </c>
      <c r="AT390" s="14">
        <v>46293</v>
      </c>
      <c r="AU390" s="14">
        <v>46300</v>
      </c>
      <c r="AV390" s="14">
        <v>46307</v>
      </c>
      <c r="AW390" s="14">
        <v>46314</v>
      </c>
      <c r="AX390" s="14">
        <v>46321</v>
      </c>
      <c r="AY390" s="14">
        <v>46328</v>
      </c>
      <c r="AZ390" s="14">
        <v>46335</v>
      </c>
      <c r="BA390" s="14">
        <v>46342</v>
      </c>
      <c r="BB390" s="14">
        <v>46349</v>
      </c>
      <c r="BC390" s="14">
        <v>46356</v>
      </c>
      <c r="BD390" s="14">
        <v>46363</v>
      </c>
      <c r="BE390" s="14">
        <v>46370</v>
      </c>
      <c r="BF390" s="14">
        <v>46377</v>
      </c>
      <c r="BG390" s="14">
        <v>46384</v>
      </c>
      <c r="BH390" s="14">
        <v>46391</v>
      </c>
      <c r="BI390" s="15">
        <v>46398</v>
      </c>
      <c r="DL390">
        <f t="shared" si="1823"/>
        <v>0</v>
      </c>
      <c r="DM390">
        <f t="shared" si="1824"/>
        <v>0</v>
      </c>
      <c r="DN390">
        <f t="shared" si="1825"/>
        <v>0</v>
      </c>
      <c r="DO390">
        <f t="shared" si="1826"/>
        <v>0</v>
      </c>
      <c r="DP390">
        <f t="shared" si="1827"/>
        <v>0</v>
      </c>
      <c r="DQ390">
        <f t="shared" si="1828"/>
        <v>0</v>
      </c>
      <c r="DR390">
        <f t="shared" si="1829"/>
        <v>0</v>
      </c>
      <c r="DS390">
        <f t="shared" si="1830"/>
        <v>0</v>
      </c>
      <c r="DT390">
        <f t="shared" si="1831"/>
        <v>0</v>
      </c>
      <c r="DU390">
        <f t="shared" si="1832"/>
        <v>0</v>
      </c>
      <c r="DV390">
        <f t="shared" si="1833"/>
        <v>0</v>
      </c>
      <c r="DW390">
        <f t="shared" si="1834"/>
        <v>0</v>
      </c>
    </row>
    <row r="391" spans="6:127" x14ac:dyDescent="0.25">
      <c r="F391" s="155" t="s">
        <v>74</v>
      </c>
      <c r="G391" s="181">
        <v>0</v>
      </c>
      <c r="H391" s="5" t="s">
        <v>60</v>
      </c>
      <c r="I391" s="11" t="s">
        <v>147</v>
      </c>
      <c r="J391" s="16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17"/>
      <c r="DL391">
        <f t="shared" si="1823"/>
        <v>0</v>
      </c>
      <c r="DM391">
        <f t="shared" si="1824"/>
        <v>0</v>
      </c>
      <c r="DN391">
        <f t="shared" si="1825"/>
        <v>0</v>
      </c>
      <c r="DO391">
        <f t="shared" si="1826"/>
        <v>0</v>
      </c>
      <c r="DP391">
        <f t="shared" si="1827"/>
        <v>0</v>
      </c>
      <c r="DQ391">
        <f t="shared" si="1828"/>
        <v>0</v>
      </c>
      <c r="DR391">
        <f t="shared" si="1829"/>
        <v>0</v>
      </c>
      <c r="DS391">
        <f t="shared" si="1830"/>
        <v>0</v>
      </c>
      <c r="DT391">
        <f t="shared" si="1831"/>
        <v>0</v>
      </c>
      <c r="DU391">
        <f t="shared" si="1832"/>
        <v>0</v>
      </c>
      <c r="DV391">
        <f t="shared" si="1833"/>
        <v>0</v>
      </c>
      <c r="DW391">
        <f t="shared" si="1834"/>
        <v>0</v>
      </c>
    </row>
    <row r="392" spans="6:127" x14ac:dyDescent="0.25">
      <c r="F392" s="155" t="s">
        <v>75</v>
      </c>
      <c r="G392" s="198" t="s">
        <v>257</v>
      </c>
      <c r="H392" s="9" t="s">
        <v>233</v>
      </c>
      <c r="I392" s="11" t="s">
        <v>76</v>
      </c>
      <c r="J392" s="143">
        <v>0</v>
      </c>
      <c r="K392" s="64">
        <v>0</v>
      </c>
      <c r="L392" s="64">
        <v>0</v>
      </c>
      <c r="M392" s="64">
        <v>0</v>
      </c>
      <c r="N392" s="64">
        <v>0</v>
      </c>
      <c r="O392" s="64">
        <v>0</v>
      </c>
      <c r="P392" s="64">
        <v>0</v>
      </c>
      <c r="Q392" s="64">
        <v>0</v>
      </c>
      <c r="R392" s="64">
        <v>0</v>
      </c>
      <c r="S392" s="64">
        <v>0</v>
      </c>
      <c r="T392" s="64">
        <v>0</v>
      </c>
      <c r="U392" s="64">
        <v>0</v>
      </c>
      <c r="V392" s="64">
        <v>0</v>
      </c>
      <c r="W392" s="64">
        <v>0</v>
      </c>
      <c r="X392" s="64">
        <v>0</v>
      </c>
      <c r="Y392" s="64">
        <v>0</v>
      </c>
      <c r="Z392" s="64">
        <v>0</v>
      </c>
      <c r="AA392" s="64">
        <v>0</v>
      </c>
      <c r="AB392" s="64">
        <v>0</v>
      </c>
      <c r="AC392" s="64">
        <v>0</v>
      </c>
      <c r="AD392" s="64">
        <v>0</v>
      </c>
      <c r="AE392" s="64">
        <v>0</v>
      </c>
      <c r="AF392" s="64">
        <v>0</v>
      </c>
      <c r="AG392" s="64">
        <v>0</v>
      </c>
      <c r="AH392" s="64">
        <v>0</v>
      </c>
      <c r="AI392" s="64">
        <v>0</v>
      </c>
      <c r="AJ392" s="64">
        <v>0</v>
      </c>
      <c r="AK392" s="64">
        <v>0</v>
      </c>
      <c r="AL392" s="64">
        <v>0</v>
      </c>
      <c r="AM392" s="64">
        <v>0</v>
      </c>
      <c r="AN392" s="64">
        <v>0</v>
      </c>
      <c r="AO392" s="64">
        <v>0</v>
      </c>
      <c r="AP392" s="64">
        <v>0</v>
      </c>
      <c r="AQ392" s="64">
        <v>0</v>
      </c>
      <c r="AR392" s="64">
        <v>0</v>
      </c>
      <c r="AS392" s="64">
        <v>0</v>
      </c>
      <c r="AT392" s="64">
        <v>0</v>
      </c>
      <c r="AU392" s="64">
        <v>0</v>
      </c>
      <c r="AV392" s="64">
        <v>0</v>
      </c>
      <c r="AW392" s="64">
        <v>0</v>
      </c>
      <c r="AX392" s="64">
        <v>0</v>
      </c>
      <c r="AY392" s="64">
        <v>0</v>
      </c>
      <c r="AZ392" s="64">
        <v>0</v>
      </c>
      <c r="BA392" s="64">
        <v>0</v>
      </c>
      <c r="BB392" s="64">
        <v>0</v>
      </c>
      <c r="BC392" s="64">
        <v>0</v>
      </c>
      <c r="BD392" s="64">
        <v>0</v>
      </c>
      <c r="BE392" s="64">
        <v>0</v>
      </c>
      <c r="BF392" s="64">
        <v>0</v>
      </c>
      <c r="BG392" s="64">
        <v>0</v>
      </c>
      <c r="BH392" s="64">
        <v>0</v>
      </c>
      <c r="BI392" s="144">
        <v>0</v>
      </c>
      <c r="BJ392" t="str">
        <f>+G389</f>
        <v>82115-0E551 B</v>
      </c>
      <c r="BK392">
        <f>+J392</f>
        <v>0</v>
      </c>
      <c r="BL392">
        <f t="shared" ref="BL392" si="2090">+K392</f>
        <v>0</v>
      </c>
      <c r="BM392">
        <f t="shared" ref="BM392" si="2091">+L392</f>
        <v>0</v>
      </c>
      <c r="BN392">
        <f t="shared" ref="BN392" si="2092">+M392</f>
        <v>0</v>
      </c>
      <c r="BO392">
        <f t="shared" ref="BO392" si="2093">+N392</f>
        <v>0</v>
      </c>
      <c r="BP392">
        <f t="shared" ref="BP392" si="2094">+O392</f>
        <v>0</v>
      </c>
      <c r="BQ392">
        <f t="shared" ref="BQ392" si="2095">+P392</f>
        <v>0</v>
      </c>
      <c r="BR392">
        <f t="shared" ref="BR392" si="2096">+Q392</f>
        <v>0</v>
      </c>
      <c r="BS392">
        <f t="shared" ref="BS392" si="2097">+R392</f>
        <v>0</v>
      </c>
      <c r="BT392">
        <f t="shared" ref="BT392" si="2098">+S392</f>
        <v>0</v>
      </c>
      <c r="BU392">
        <f t="shared" ref="BU392" si="2099">+T392</f>
        <v>0</v>
      </c>
      <c r="BV392">
        <f t="shared" ref="BV392" si="2100">+U392</f>
        <v>0</v>
      </c>
      <c r="BW392">
        <f t="shared" ref="BW392" si="2101">+V392</f>
        <v>0</v>
      </c>
      <c r="BX392">
        <f t="shared" ref="BX392" si="2102">+W392</f>
        <v>0</v>
      </c>
      <c r="BY392">
        <f t="shared" ref="BY392" si="2103">+X392</f>
        <v>0</v>
      </c>
      <c r="BZ392">
        <f t="shared" ref="BZ392" si="2104">+Y392</f>
        <v>0</v>
      </c>
      <c r="CA392">
        <f t="shared" ref="CA392" si="2105">+Z392</f>
        <v>0</v>
      </c>
      <c r="CB392">
        <f t="shared" ref="CB392" si="2106">+AA392</f>
        <v>0</v>
      </c>
      <c r="CC392">
        <f t="shared" ref="CC392" si="2107">+AB392</f>
        <v>0</v>
      </c>
      <c r="CD392">
        <f t="shared" ref="CD392" si="2108">+AC392</f>
        <v>0</v>
      </c>
      <c r="CE392">
        <f t="shared" ref="CE392" si="2109">+AD392</f>
        <v>0</v>
      </c>
      <c r="CF392">
        <f t="shared" ref="CF392" si="2110">+AE392</f>
        <v>0</v>
      </c>
      <c r="CG392">
        <f t="shared" ref="CG392" si="2111">+AF392</f>
        <v>0</v>
      </c>
      <c r="CH392">
        <f t="shared" ref="CH392" si="2112">+AG392</f>
        <v>0</v>
      </c>
      <c r="CI392">
        <f t="shared" ref="CI392" si="2113">+AH392</f>
        <v>0</v>
      </c>
      <c r="CJ392">
        <f t="shared" ref="CJ392" si="2114">+AI392</f>
        <v>0</v>
      </c>
      <c r="CK392">
        <f t="shared" ref="CK392" si="2115">+AJ392</f>
        <v>0</v>
      </c>
      <c r="CL392">
        <f t="shared" ref="CL392" si="2116">+AK392</f>
        <v>0</v>
      </c>
      <c r="CM392">
        <f t="shared" ref="CM392" si="2117">+AL392</f>
        <v>0</v>
      </c>
      <c r="CN392">
        <f t="shared" ref="CN392" si="2118">+AM392</f>
        <v>0</v>
      </c>
      <c r="CO392">
        <f t="shared" ref="CO392" si="2119">+AN392</f>
        <v>0</v>
      </c>
      <c r="CP392">
        <f t="shared" ref="CP392" si="2120">+AO392</f>
        <v>0</v>
      </c>
      <c r="CQ392">
        <f t="shared" ref="CQ392" si="2121">+AP392</f>
        <v>0</v>
      </c>
      <c r="CR392">
        <f t="shared" ref="CR392" si="2122">+AQ392</f>
        <v>0</v>
      </c>
      <c r="CS392">
        <f t="shared" ref="CS392" si="2123">+AR392</f>
        <v>0</v>
      </c>
      <c r="CT392">
        <f t="shared" ref="CT392" si="2124">+AS392</f>
        <v>0</v>
      </c>
      <c r="CU392">
        <f t="shared" ref="CU392" si="2125">+AT392</f>
        <v>0</v>
      </c>
      <c r="CV392">
        <f t="shared" ref="CV392" si="2126">+AU392</f>
        <v>0</v>
      </c>
      <c r="CW392">
        <f t="shared" ref="CW392" si="2127">+AV392</f>
        <v>0</v>
      </c>
      <c r="CX392">
        <f t="shared" ref="CX392" si="2128">+AW392</f>
        <v>0</v>
      </c>
      <c r="CY392">
        <f t="shared" ref="CY392" si="2129">+AX392</f>
        <v>0</v>
      </c>
      <c r="CZ392">
        <f t="shared" ref="CZ392" si="2130">+AY392</f>
        <v>0</v>
      </c>
      <c r="DA392">
        <f t="shared" ref="DA392" si="2131">+AZ392</f>
        <v>0</v>
      </c>
      <c r="DB392">
        <f t="shared" ref="DB392" si="2132">+BA392</f>
        <v>0</v>
      </c>
      <c r="DC392">
        <f t="shared" ref="DC392" si="2133">+BB392</f>
        <v>0</v>
      </c>
      <c r="DD392">
        <f t="shared" ref="DD392" si="2134">+BC392</f>
        <v>0</v>
      </c>
      <c r="DE392">
        <f t="shared" ref="DE392" si="2135">+BD392</f>
        <v>0</v>
      </c>
      <c r="DF392">
        <f t="shared" ref="DF392" si="2136">+BE392</f>
        <v>0</v>
      </c>
      <c r="DG392">
        <f t="shared" ref="DG392" si="2137">+BF392</f>
        <v>0</v>
      </c>
      <c r="DH392">
        <f t="shared" ref="DH392" si="2138">+BG392</f>
        <v>0</v>
      </c>
      <c r="DI392">
        <f t="shared" ref="DI392" si="2139">+BH392</f>
        <v>0</v>
      </c>
      <c r="DJ392">
        <f t="shared" ref="DJ392" si="2140">+BI392</f>
        <v>0</v>
      </c>
      <c r="DL392">
        <f t="shared" si="1823"/>
        <v>0</v>
      </c>
      <c r="DM392">
        <f t="shared" si="1824"/>
        <v>0</v>
      </c>
      <c r="DN392">
        <f t="shared" si="1825"/>
        <v>0</v>
      </c>
      <c r="DO392">
        <f t="shared" si="1826"/>
        <v>0</v>
      </c>
      <c r="DP392">
        <f t="shared" si="1827"/>
        <v>0</v>
      </c>
      <c r="DQ392">
        <f t="shared" si="1828"/>
        <v>0</v>
      </c>
      <c r="DR392">
        <f t="shared" si="1829"/>
        <v>0</v>
      </c>
      <c r="DS392">
        <f t="shared" si="1830"/>
        <v>0</v>
      </c>
      <c r="DT392">
        <f t="shared" si="1831"/>
        <v>0</v>
      </c>
      <c r="DU392">
        <f t="shared" si="1832"/>
        <v>0</v>
      </c>
      <c r="DV392">
        <f t="shared" si="1833"/>
        <v>0</v>
      </c>
      <c r="DW392">
        <f t="shared" si="1834"/>
        <v>0</v>
      </c>
    </row>
    <row r="393" spans="6:127" x14ac:dyDescent="0.25">
      <c r="F393" s="155" t="s">
        <v>77</v>
      </c>
      <c r="G393" s="181">
        <v>82115</v>
      </c>
      <c r="H393" s="10" t="s">
        <v>233</v>
      </c>
      <c r="I393" s="12" t="s">
        <v>78</v>
      </c>
      <c r="J393" s="152">
        <v>0</v>
      </c>
      <c r="K393" s="153">
        <v>0</v>
      </c>
      <c r="L393" s="153">
        <v>0</v>
      </c>
      <c r="M393" s="153">
        <v>0</v>
      </c>
      <c r="N393" s="153">
        <v>0</v>
      </c>
      <c r="O393" s="153">
        <v>0</v>
      </c>
      <c r="P393" s="153">
        <v>0</v>
      </c>
      <c r="Q393" s="153">
        <v>0</v>
      </c>
      <c r="R393" s="153">
        <v>0</v>
      </c>
      <c r="S393" s="153">
        <v>0</v>
      </c>
      <c r="T393" s="153">
        <v>0</v>
      </c>
      <c r="U393" s="153">
        <v>0</v>
      </c>
      <c r="V393" s="153">
        <v>0</v>
      </c>
      <c r="W393" s="153">
        <v>0</v>
      </c>
      <c r="X393" s="153">
        <v>0</v>
      </c>
      <c r="Y393" s="153">
        <v>0</v>
      </c>
      <c r="Z393" s="153">
        <v>0</v>
      </c>
      <c r="AA393" s="153">
        <v>0</v>
      </c>
      <c r="AB393" s="153">
        <v>0</v>
      </c>
      <c r="AC393" s="153">
        <v>0</v>
      </c>
      <c r="AD393" s="153">
        <v>0</v>
      </c>
      <c r="AE393" s="153">
        <v>0</v>
      </c>
      <c r="AF393" s="153">
        <v>0</v>
      </c>
      <c r="AG393" s="153">
        <v>0</v>
      </c>
      <c r="AH393" s="153">
        <v>0</v>
      </c>
      <c r="AI393" s="153">
        <v>0</v>
      </c>
      <c r="AJ393" s="153">
        <v>0</v>
      </c>
      <c r="AK393" s="153">
        <v>0</v>
      </c>
      <c r="AL393" s="153">
        <v>0</v>
      </c>
      <c r="AM393" s="153">
        <v>0</v>
      </c>
      <c r="AN393" s="153">
        <v>0</v>
      </c>
      <c r="AO393" s="153">
        <v>0</v>
      </c>
      <c r="AP393" s="153">
        <v>0</v>
      </c>
      <c r="AQ393" s="153">
        <v>0</v>
      </c>
      <c r="AR393" s="153">
        <v>0</v>
      </c>
      <c r="AS393" s="153">
        <v>0</v>
      </c>
      <c r="AT393" s="153">
        <v>0</v>
      </c>
      <c r="AU393" s="153">
        <v>0</v>
      </c>
      <c r="AV393" s="153">
        <v>0</v>
      </c>
      <c r="AW393" s="153">
        <v>0</v>
      </c>
      <c r="AX393" s="153">
        <v>0</v>
      </c>
      <c r="AY393" s="153">
        <v>0</v>
      </c>
      <c r="AZ393" s="153">
        <v>0</v>
      </c>
      <c r="BA393" s="153">
        <v>0</v>
      </c>
      <c r="BB393" s="153">
        <v>0</v>
      </c>
      <c r="BC393" s="153">
        <v>0</v>
      </c>
      <c r="BD393" s="153">
        <v>0</v>
      </c>
      <c r="BE393" s="153">
        <v>0</v>
      </c>
      <c r="BF393" s="153">
        <v>0</v>
      </c>
      <c r="BG393" s="153">
        <v>0</v>
      </c>
      <c r="BH393" s="153">
        <v>0</v>
      </c>
      <c r="BI393" s="154">
        <v>0</v>
      </c>
      <c r="DL393">
        <f t="shared" si="1823"/>
        <v>0</v>
      </c>
      <c r="DM393">
        <f t="shared" si="1824"/>
        <v>0</v>
      </c>
      <c r="DN393">
        <f t="shared" si="1825"/>
        <v>0</v>
      </c>
      <c r="DO393">
        <f t="shared" si="1826"/>
        <v>0</v>
      </c>
      <c r="DP393">
        <f t="shared" si="1827"/>
        <v>0</v>
      </c>
      <c r="DQ393">
        <f t="shared" si="1828"/>
        <v>0</v>
      </c>
      <c r="DR393">
        <f t="shared" si="1829"/>
        <v>0</v>
      </c>
      <c r="DS393">
        <f t="shared" si="1830"/>
        <v>0</v>
      </c>
      <c r="DT393">
        <f t="shared" si="1831"/>
        <v>0</v>
      </c>
      <c r="DU393">
        <f t="shared" si="1832"/>
        <v>0</v>
      </c>
      <c r="DV393">
        <f t="shared" si="1833"/>
        <v>0</v>
      </c>
      <c r="DW393">
        <f t="shared" si="1834"/>
        <v>0</v>
      </c>
    </row>
    <row r="394" spans="6:127" x14ac:dyDescent="0.25">
      <c r="F394" s="155" t="s">
        <v>79</v>
      </c>
      <c r="G394" s="199">
        <v>0</v>
      </c>
      <c r="H394" s="184" t="s">
        <v>80</v>
      </c>
      <c r="I394" s="185"/>
      <c r="J394" s="200"/>
      <c r="K394" s="156"/>
      <c r="L394" s="157" t="s">
        <v>0</v>
      </c>
      <c r="M394" s="157" t="s">
        <v>0</v>
      </c>
      <c r="N394" s="157" t="s">
        <v>0</v>
      </c>
      <c r="O394" s="157" t="s">
        <v>0</v>
      </c>
      <c r="P394" s="157" t="s">
        <v>0</v>
      </c>
      <c r="Q394" s="157" t="s">
        <v>0</v>
      </c>
      <c r="R394" s="157" t="s">
        <v>0</v>
      </c>
      <c r="S394" s="157" t="s">
        <v>0</v>
      </c>
      <c r="T394" s="157" t="s">
        <v>0</v>
      </c>
      <c r="U394" s="157" t="s">
        <v>0</v>
      </c>
      <c r="V394" s="157" t="s">
        <v>0</v>
      </c>
      <c r="W394" s="157" t="s">
        <v>0</v>
      </c>
      <c r="X394" s="157" t="s">
        <v>0</v>
      </c>
      <c r="Y394" s="157" t="s">
        <v>0</v>
      </c>
      <c r="Z394" s="157" t="s">
        <v>0</v>
      </c>
      <c r="AA394" s="157" t="s">
        <v>0</v>
      </c>
      <c r="AB394" s="157" t="s">
        <v>0</v>
      </c>
      <c r="AC394" s="157" t="s">
        <v>0</v>
      </c>
      <c r="AD394" s="157" t="s">
        <v>0</v>
      </c>
      <c r="AE394" s="157" t="s">
        <v>0</v>
      </c>
      <c r="AF394" s="157" t="s">
        <v>0</v>
      </c>
      <c r="AG394" s="157" t="s">
        <v>0</v>
      </c>
      <c r="AH394" s="157" t="s">
        <v>0</v>
      </c>
      <c r="AI394" s="157" t="s">
        <v>0</v>
      </c>
      <c r="AJ394" s="157" t="s">
        <v>0</v>
      </c>
      <c r="AK394" s="157" t="s">
        <v>0</v>
      </c>
      <c r="AL394" s="157" t="s">
        <v>0</v>
      </c>
      <c r="AM394" s="157" t="s">
        <v>0</v>
      </c>
      <c r="AN394" s="157" t="s">
        <v>0</v>
      </c>
      <c r="AO394" s="157" t="s">
        <v>0</v>
      </c>
      <c r="AP394" s="157" t="s">
        <v>0</v>
      </c>
      <c r="AQ394" s="157" t="s">
        <v>0</v>
      </c>
      <c r="AR394" s="157" t="s">
        <v>0</v>
      </c>
      <c r="AS394" s="157" t="s">
        <v>0</v>
      </c>
      <c r="AT394" s="157" t="s">
        <v>0</v>
      </c>
      <c r="AU394" s="157" t="s">
        <v>0</v>
      </c>
      <c r="AV394" s="157" t="s">
        <v>0</v>
      </c>
      <c r="AW394" s="157" t="s">
        <v>0</v>
      </c>
      <c r="AX394" s="157" t="s">
        <v>0</v>
      </c>
      <c r="AY394" s="157" t="s">
        <v>0</v>
      </c>
      <c r="AZ394" s="157" t="s">
        <v>0</v>
      </c>
      <c r="BA394" s="157" t="s">
        <v>0</v>
      </c>
      <c r="BB394" s="157" t="s">
        <v>0</v>
      </c>
      <c r="BC394" s="157" t="s">
        <v>0</v>
      </c>
      <c r="BD394" s="157" t="s">
        <v>0</v>
      </c>
      <c r="BE394" s="157" t="s">
        <v>0</v>
      </c>
      <c r="BF394" s="157" t="s">
        <v>0</v>
      </c>
      <c r="BG394" s="157" t="s">
        <v>0</v>
      </c>
      <c r="BH394" s="157" t="s">
        <v>0</v>
      </c>
      <c r="BI394" s="158"/>
      <c r="DL394">
        <f t="shared" si="1823"/>
        <v>0</v>
      </c>
      <c r="DM394">
        <f t="shared" si="1824"/>
        <v>0</v>
      </c>
      <c r="DN394">
        <f t="shared" si="1825"/>
        <v>0</v>
      </c>
      <c r="DO394">
        <f t="shared" si="1826"/>
        <v>0</v>
      </c>
      <c r="DP394">
        <f t="shared" si="1827"/>
        <v>0</v>
      </c>
      <c r="DQ394">
        <f t="shared" si="1828"/>
        <v>0</v>
      </c>
      <c r="DR394">
        <f t="shared" si="1829"/>
        <v>0</v>
      </c>
      <c r="DS394">
        <f t="shared" si="1830"/>
        <v>0</v>
      </c>
      <c r="DT394">
        <f t="shared" si="1831"/>
        <v>0</v>
      </c>
      <c r="DU394">
        <f t="shared" si="1832"/>
        <v>0</v>
      </c>
      <c r="DV394">
        <f t="shared" si="1833"/>
        <v>0</v>
      </c>
      <c r="DW394">
        <f t="shared" si="1834"/>
        <v>0</v>
      </c>
    </row>
    <row r="395" spans="6:127" x14ac:dyDescent="0.25">
      <c r="F395" s="159" t="s">
        <v>81</v>
      </c>
      <c r="G395" s="160" t="s">
        <v>60</v>
      </c>
      <c r="H395" s="201" t="s">
        <v>60</v>
      </c>
      <c r="I395" s="183" t="s">
        <v>60</v>
      </c>
      <c r="J395" s="183" t="s">
        <v>0</v>
      </c>
      <c r="K395" s="183" t="s">
        <v>0</v>
      </c>
      <c r="L395" s="183" t="s">
        <v>0</v>
      </c>
      <c r="M395" s="183" t="s">
        <v>0</v>
      </c>
      <c r="N395" s="183" t="s">
        <v>0</v>
      </c>
      <c r="O395" s="183" t="s">
        <v>0</v>
      </c>
      <c r="P395" s="183" t="s">
        <v>0</v>
      </c>
      <c r="Q395" s="183" t="s">
        <v>0</v>
      </c>
      <c r="R395" s="183" t="s">
        <v>0</v>
      </c>
      <c r="S395" s="183" t="s">
        <v>0</v>
      </c>
      <c r="T395" s="183" t="s">
        <v>0</v>
      </c>
      <c r="U395" s="183" t="s">
        <v>0</v>
      </c>
      <c r="V395" s="183" t="s">
        <v>0</v>
      </c>
      <c r="W395" s="183" t="s">
        <v>0</v>
      </c>
      <c r="X395" s="183" t="s">
        <v>0</v>
      </c>
      <c r="Y395" s="183" t="s">
        <v>0</v>
      </c>
      <c r="Z395" s="183" t="s">
        <v>0</v>
      </c>
      <c r="AA395" s="183" t="s">
        <v>0</v>
      </c>
      <c r="AB395" s="183" t="s">
        <v>0</v>
      </c>
      <c r="AC395" s="183" t="s">
        <v>0</v>
      </c>
      <c r="AD395" s="183" t="s">
        <v>0</v>
      </c>
      <c r="AE395" s="183" t="s">
        <v>0</v>
      </c>
      <c r="AF395" s="183" t="s">
        <v>0</v>
      </c>
      <c r="AG395" s="183" t="s">
        <v>0</v>
      </c>
      <c r="AH395" s="183" t="s">
        <v>0</v>
      </c>
      <c r="AI395" s="183" t="s">
        <v>0</v>
      </c>
      <c r="AJ395" s="183" t="s">
        <v>0</v>
      </c>
      <c r="AK395" s="183" t="s">
        <v>0</v>
      </c>
      <c r="AL395" s="183" t="s">
        <v>0</v>
      </c>
      <c r="AM395" s="183" t="s">
        <v>0</v>
      </c>
      <c r="AN395" s="183" t="s">
        <v>0</v>
      </c>
      <c r="AO395" s="183" t="s">
        <v>0</v>
      </c>
      <c r="AP395" s="183" t="s">
        <v>0</v>
      </c>
      <c r="AQ395" s="183" t="s">
        <v>0</v>
      </c>
      <c r="AR395" s="183" t="s">
        <v>0</v>
      </c>
      <c r="AS395" s="183" t="s">
        <v>0</v>
      </c>
      <c r="AT395" s="183" t="s">
        <v>0</v>
      </c>
      <c r="AU395" s="183" t="s">
        <v>0</v>
      </c>
      <c r="AV395" s="183" t="s">
        <v>0</v>
      </c>
      <c r="AW395" s="183" t="s">
        <v>0</v>
      </c>
      <c r="AX395" s="183" t="s">
        <v>0</v>
      </c>
      <c r="AY395" s="183" t="s">
        <v>0</v>
      </c>
      <c r="AZ395" s="183" t="s">
        <v>0</v>
      </c>
      <c r="BA395" s="183" t="s">
        <v>0</v>
      </c>
      <c r="BB395" s="183" t="s">
        <v>0</v>
      </c>
      <c r="BC395" s="183" t="s">
        <v>0</v>
      </c>
      <c r="BD395" s="183" t="s">
        <v>0</v>
      </c>
      <c r="BE395" s="183" t="s">
        <v>0</v>
      </c>
      <c r="BF395" s="183" t="s">
        <v>0</v>
      </c>
      <c r="BG395" s="183" t="s">
        <v>0</v>
      </c>
      <c r="BH395" s="183" t="s">
        <v>0</v>
      </c>
      <c r="BI395" s="161"/>
      <c r="DL395">
        <f t="shared" si="1823"/>
        <v>0</v>
      </c>
      <c r="DM395">
        <f t="shared" si="1824"/>
        <v>0</v>
      </c>
      <c r="DN395">
        <f t="shared" si="1825"/>
        <v>0</v>
      </c>
      <c r="DO395">
        <f t="shared" si="1826"/>
        <v>0</v>
      </c>
      <c r="DP395">
        <f t="shared" si="1827"/>
        <v>0</v>
      </c>
      <c r="DQ395">
        <f t="shared" si="1828"/>
        <v>0</v>
      </c>
      <c r="DR395">
        <f t="shared" si="1829"/>
        <v>0</v>
      </c>
      <c r="DS395">
        <f t="shared" si="1830"/>
        <v>0</v>
      </c>
      <c r="DT395">
        <f t="shared" si="1831"/>
        <v>0</v>
      </c>
      <c r="DU395">
        <f t="shared" si="1832"/>
        <v>0</v>
      </c>
      <c r="DV395">
        <f t="shared" si="1833"/>
        <v>0</v>
      </c>
      <c r="DW395">
        <f t="shared" si="1834"/>
        <v>0</v>
      </c>
    </row>
    <row r="396" spans="6:127" x14ac:dyDescent="0.25">
      <c r="F396" s="188" t="s">
        <v>60</v>
      </c>
      <c r="G396" s="162" t="s">
        <v>60</v>
      </c>
      <c r="H396" s="163" t="s">
        <v>60</v>
      </c>
      <c r="I396" s="164" t="s">
        <v>60</v>
      </c>
      <c r="J396" s="164" t="s">
        <v>0</v>
      </c>
      <c r="K396" s="164" t="s">
        <v>0</v>
      </c>
      <c r="L396" s="164" t="s">
        <v>0</v>
      </c>
      <c r="M396" s="164" t="s">
        <v>0</v>
      </c>
      <c r="N396" s="164" t="s">
        <v>0</v>
      </c>
      <c r="O396" s="164" t="s">
        <v>0</v>
      </c>
      <c r="P396" s="164" t="s">
        <v>0</v>
      </c>
      <c r="Q396" s="164" t="s">
        <v>0</v>
      </c>
      <c r="R396" s="164" t="s">
        <v>0</v>
      </c>
      <c r="S396" s="164" t="s">
        <v>0</v>
      </c>
      <c r="T396" s="164" t="s">
        <v>0</v>
      </c>
      <c r="U396" s="164" t="s">
        <v>0</v>
      </c>
      <c r="V396" s="164" t="s">
        <v>0</v>
      </c>
      <c r="W396" s="164" t="s">
        <v>0</v>
      </c>
      <c r="X396" s="164" t="s">
        <v>0</v>
      </c>
      <c r="Y396" s="164" t="s">
        <v>0</v>
      </c>
      <c r="Z396" s="164" t="s">
        <v>0</v>
      </c>
      <c r="AA396" s="164" t="s">
        <v>0</v>
      </c>
      <c r="AB396" s="164" t="s">
        <v>0</v>
      </c>
      <c r="AC396" s="164" t="s">
        <v>0</v>
      </c>
      <c r="AD396" s="164" t="s">
        <v>0</v>
      </c>
      <c r="AE396" s="164" t="s">
        <v>0</v>
      </c>
      <c r="AF396" s="164" t="s">
        <v>0</v>
      </c>
      <c r="AG396" s="164" t="s">
        <v>0</v>
      </c>
      <c r="AH396" s="164" t="s">
        <v>0</v>
      </c>
      <c r="AI396" s="164" t="s">
        <v>0</v>
      </c>
      <c r="AJ396" s="164" t="s">
        <v>0</v>
      </c>
      <c r="AK396" s="164" t="s">
        <v>0</v>
      </c>
      <c r="AL396" s="164" t="s">
        <v>0</v>
      </c>
      <c r="AM396" s="164" t="s">
        <v>0</v>
      </c>
      <c r="AN396" s="164" t="s">
        <v>0</v>
      </c>
      <c r="AO396" s="164" t="s">
        <v>0</v>
      </c>
      <c r="AP396" s="164" t="s">
        <v>0</v>
      </c>
      <c r="AQ396" s="164" t="s">
        <v>0</v>
      </c>
      <c r="AR396" s="164" t="s">
        <v>0</v>
      </c>
      <c r="AS396" s="164" t="s">
        <v>0</v>
      </c>
      <c r="AT396" s="164" t="s">
        <v>0</v>
      </c>
      <c r="AU396" s="164" t="s">
        <v>0</v>
      </c>
      <c r="AV396" s="164" t="s">
        <v>0</v>
      </c>
      <c r="AW396" s="164" t="s">
        <v>0</v>
      </c>
      <c r="AX396" s="164" t="s">
        <v>0</v>
      </c>
      <c r="AY396" s="164" t="s">
        <v>0</v>
      </c>
      <c r="AZ396" s="164" t="s">
        <v>0</v>
      </c>
      <c r="BA396" s="164" t="s">
        <v>0</v>
      </c>
      <c r="BB396" s="164" t="s">
        <v>0</v>
      </c>
      <c r="BC396" s="164" t="s">
        <v>0</v>
      </c>
      <c r="BD396" s="164" t="s">
        <v>0</v>
      </c>
      <c r="BE396" s="164" t="s">
        <v>0</v>
      </c>
      <c r="BF396" s="164" t="s">
        <v>0</v>
      </c>
      <c r="BG396" s="164" t="s">
        <v>0</v>
      </c>
      <c r="BH396" s="164" t="s">
        <v>0</v>
      </c>
      <c r="BI396" s="189"/>
      <c r="DL396">
        <f t="shared" si="1823"/>
        <v>0</v>
      </c>
      <c r="DM396">
        <f t="shared" si="1824"/>
        <v>0</v>
      </c>
      <c r="DN396">
        <f t="shared" si="1825"/>
        <v>0</v>
      </c>
      <c r="DO396">
        <f t="shared" si="1826"/>
        <v>0</v>
      </c>
      <c r="DP396">
        <f t="shared" si="1827"/>
        <v>0</v>
      </c>
      <c r="DQ396">
        <f t="shared" si="1828"/>
        <v>0</v>
      </c>
      <c r="DR396">
        <f t="shared" si="1829"/>
        <v>0</v>
      </c>
      <c r="DS396">
        <f t="shared" si="1830"/>
        <v>0</v>
      </c>
      <c r="DT396">
        <f t="shared" si="1831"/>
        <v>0</v>
      </c>
      <c r="DU396">
        <f t="shared" si="1832"/>
        <v>0</v>
      </c>
      <c r="DV396">
        <f t="shared" si="1833"/>
        <v>0</v>
      </c>
      <c r="DW396">
        <f t="shared" si="1834"/>
        <v>0</v>
      </c>
    </row>
    <row r="397" spans="6:127" x14ac:dyDescent="0.25">
      <c r="F397" s="155" t="s">
        <v>61</v>
      </c>
      <c r="G397" s="181">
        <v>5500990620</v>
      </c>
      <c r="H397" s="155" t="s">
        <v>62</v>
      </c>
      <c r="I397" s="181">
        <v>156</v>
      </c>
      <c r="J397" s="155" t="s">
        <v>63</v>
      </c>
      <c r="K397" s="160">
        <v>1121479</v>
      </c>
      <c r="L397" s="161"/>
      <c r="M397" s="190" t="s">
        <v>64</v>
      </c>
      <c r="N397" s="191"/>
      <c r="O397" s="192">
        <v>46086</v>
      </c>
      <c r="P397" s="155" t="s">
        <v>65</v>
      </c>
      <c r="Q397" s="181">
        <v>4</v>
      </c>
      <c r="R397" s="6" t="s">
        <v>0</v>
      </c>
      <c r="S397" s="7" t="s">
        <v>0</v>
      </c>
      <c r="T397" s="7" t="s">
        <v>0</v>
      </c>
      <c r="U397" s="7" t="s">
        <v>0</v>
      </c>
      <c r="V397" s="7" t="s">
        <v>0</v>
      </c>
      <c r="W397" s="7" t="s">
        <v>0</v>
      </c>
      <c r="X397" s="7" t="s">
        <v>0</v>
      </c>
      <c r="Y397" s="7" t="s">
        <v>0</v>
      </c>
      <c r="Z397" s="7" t="s">
        <v>0</v>
      </c>
      <c r="AA397" s="7" t="s">
        <v>0</v>
      </c>
      <c r="AB397" s="7" t="s">
        <v>0</v>
      </c>
      <c r="AC397" s="7" t="s">
        <v>0</v>
      </c>
      <c r="AD397" s="7" t="s">
        <v>0</v>
      </c>
      <c r="AE397" s="7" t="s">
        <v>0</v>
      </c>
      <c r="AF397" s="7" t="s">
        <v>0</v>
      </c>
      <c r="AG397" s="7" t="s">
        <v>0</v>
      </c>
      <c r="AH397" s="7" t="s">
        <v>0</v>
      </c>
      <c r="AI397" s="7" t="s">
        <v>0</v>
      </c>
      <c r="AJ397" s="7" t="s">
        <v>0</v>
      </c>
      <c r="AK397" s="7" t="s">
        <v>0</v>
      </c>
      <c r="AL397" s="7" t="s">
        <v>0</v>
      </c>
      <c r="AM397" s="7" t="s">
        <v>0</v>
      </c>
      <c r="AN397" s="7" t="s">
        <v>0</v>
      </c>
      <c r="AO397" s="7" t="s">
        <v>0</v>
      </c>
      <c r="AP397" s="7" t="s">
        <v>0</v>
      </c>
      <c r="AQ397" s="7" t="s">
        <v>0</v>
      </c>
      <c r="AR397" s="7" t="s">
        <v>0</v>
      </c>
      <c r="AS397" s="7" t="s">
        <v>0</v>
      </c>
      <c r="AT397" s="7" t="s">
        <v>0</v>
      </c>
      <c r="AU397" s="7" t="s">
        <v>0</v>
      </c>
      <c r="AV397" s="7" t="s">
        <v>0</v>
      </c>
      <c r="AW397" s="7" t="s">
        <v>0</v>
      </c>
      <c r="AX397" s="7" t="s">
        <v>0</v>
      </c>
      <c r="AY397" s="7" t="s">
        <v>0</v>
      </c>
      <c r="AZ397" s="7" t="s">
        <v>0</v>
      </c>
      <c r="BA397" s="7" t="s">
        <v>0</v>
      </c>
      <c r="BB397" s="7" t="s">
        <v>0</v>
      </c>
      <c r="BC397" s="7" t="s">
        <v>0</v>
      </c>
      <c r="BD397" s="7" t="s">
        <v>0</v>
      </c>
      <c r="BE397" s="7" t="s">
        <v>0</v>
      </c>
      <c r="BF397" s="7" t="s">
        <v>0</v>
      </c>
      <c r="BG397" s="7" t="s">
        <v>0</v>
      </c>
      <c r="BH397" s="7" t="s">
        <v>0</v>
      </c>
      <c r="BI397" s="8"/>
      <c r="DL397">
        <f t="shared" ref="DL397:DL439" si="2141">SUM(BK397:BL397)</f>
        <v>0</v>
      </c>
      <c r="DM397">
        <f t="shared" ref="DM397:DM439" si="2142">SUM(BM397:BP397)</f>
        <v>0</v>
      </c>
      <c r="DN397">
        <f t="shared" ref="DN397:DN439" si="2143">SUM(BQ397:BT397)</f>
        <v>0</v>
      </c>
      <c r="DO397">
        <f t="shared" ref="DO397:DO439" si="2144">SUM(BU397:BY397)</f>
        <v>0</v>
      </c>
      <c r="DP397">
        <f t="shared" ref="DP397:DP439" si="2145">SUM(BZ397:CC397)</f>
        <v>0</v>
      </c>
      <c r="DQ397">
        <f t="shared" ref="DQ397:DQ439" si="2146">SUM(CD397:CG397)</f>
        <v>0</v>
      </c>
      <c r="DR397">
        <f t="shared" ref="DR397:DR439" si="2147">SUM(CH397:CL397)</f>
        <v>0</v>
      </c>
      <c r="DS397">
        <f t="shared" ref="DS397:DS439" si="2148">SUM(CM397:CP397)</f>
        <v>0</v>
      </c>
      <c r="DT397">
        <f t="shared" ref="DT397:DT439" si="2149">SUM(CQ397:CU397)</f>
        <v>0</v>
      </c>
      <c r="DU397">
        <f t="shared" ref="DU397:DU439" si="2150">SUM(CV397:CY397)</f>
        <v>0</v>
      </c>
      <c r="DV397">
        <f t="shared" ref="DV397:DV439" si="2151">SUM(CZ397:DC397)</f>
        <v>0</v>
      </c>
      <c r="DW397">
        <f t="shared" ref="DW397:DW439" si="2152">SUM(DD397:DH397)</f>
        <v>0</v>
      </c>
    </row>
    <row r="398" spans="6:127" x14ac:dyDescent="0.25">
      <c r="F398" s="155" t="s">
        <v>66</v>
      </c>
      <c r="G398" s="181" t="s">
        <v>292</v>
      </c>
      <c r="H398" s="155" t="s">
        <v>67</v>
      </c>
      <c r="I398" s="182" t="s">
        <v>293</v>
      </c>
      <c r="J398" s="183"/>
      <c r="K398" s="183"/>
      <c r="L398" s="161"/>
      <c r="M398" s="155" t="s">
        <v>68</v>
      </c>
      <c r="N398" s="181">
        <v>2026</v>
      </c>
      <c r="O398" s="184" t="s">
        <v>69</v>
      </c>
      <c r="P398" s="185"/>
      <c r="Q398" s="193" t="s">
        <v>265</v>
      </c>
      <c r="R398" s="156" t="s">
        <v>0</v>
      </c>
      <c r="S398" s="157" t="s">
        <v>0</v>
      </c>
      <c r="T398" s="157" t="s">
        <v>0</v>
      </c>
      <c r="U398" s="157" t="s">
        <v>0</v>
      </c>
      <c r="V398" s="157" t="s">
        <v>0</v>
      </c>
      <c r="W398" s="157" t="s">
        <v>0</v>
      </c>
      <c r="X398" s="157" t="s">
        <v>0</v>
      </c>
      <c r="Y398" s="157" t="s">
        <v>0</v>
      </c>
      <c r="Z398" s="157" t="s">
        <v>0</v>
      </c>
      <c r="AA398" s="157" t="s">
        <v>0</v>
      </c>
      <c r="AB398" s="157" t="s">
        <v>0</v>
      </c>
      <c r="AC398" s="157" t="s">
        <v>0</v>
      </c>
      <c r="AD398" s="157" t="s">
        <v>0</v>
      </c>
      <c r="AE398" s="157" t="s">
        <v>0</v>
      </c>
      <c r="AF398" s="157" t="s">
        <v>0</v>
      </c>
      <c r="AG398" s="157" t="s">
        <v>0</v>
      </c>
      <c r="AH398" s="157" t="s">
        <v>0</v>
      </c>
      <c r="AI398" s="157" t="s">
        <v>0</v>
      </c>
      <c r="AJ398" s="157" t="s">
        <v>0</v>
      </c>
      <c r="AK398" s="157" t="s">
        <v>0</v>
      </c>
      <c r="AL398" s="157" t="s">
        <v>0</v>
      </c>
      <c r="AM398" s="157" t="s">
        <v>0</v>
      </c>
      <c r="AN398" s="157" t="s">
        <v>0</v>
      </c>
      <c r="AO398" s="157" t="s">
        <v>0</v>
      </c>
      <c r="AP398" s="157" t="s">
        <v>0</v>
      </c>
      <c r="AQ398" s="157" t="s">
        <v>0</v>
      </c>
      <c r="AR398" s="157" t="s">
        <v>0</v>
      </c>
      <c r="AS398" s="157" t="s">
        <v>0</v>
      </c>
      <c r="AT398" s="157" t="s">
        <v>0</v>
      </c>
      <c r="AU398" s="157" t="s">
        <v>0</v>
      </c>
      <c r="AV398" s="157" t="s">
        <v>0</v>
      </c>
      <c r="AW398" s="157" t="s">
        <v>0</v>
      </c>
      <c r="AX398" s="157" t="s">
        <v>0</v>
      </c>
      <c r="AY398" s="157" t="s">
        <v>0</v>
      </c>
      <c r="AZ398" s="157" t="s">
        <v>0</v>
      </c>
      <c r="BA398" s="157" t="s">
        <v>0</v>
      </c>
      <c r="BB398" s="157" t="s">
        <v>0</v>
      </c>
      <c r="BC398" s="157" t="s">
        <v>0</v>
      </c>
      <c r="BD398" s="157" t="s">
        <v>0</v>
      </c>
      <c r="BE398" s="157" t="s">
        <v>0</v>
      </c>
      <c r="BF398" s="157" t="s">
        <v>0</v>
      </c>
      <c r="BG398" s="157" t="s">
        <v>0</v>
      </c>
      <c r="BH398" s="157" t="s">
        <v>0</v>
      </c>
      <c r="BI398" s="158"/>
      <c r="DL398">
        <f t="shared" si="2141"/>
        <v>0</v>
      </c>
      <c r="DM398">
        <f t="shared" si="2142"/>
        <v>0</v>
      </c>
      <c r="DN398">
        <f t="shared" si="2143"/>
        <v>0</v>
      </c>
      <c r="DO398">
        <f t="shared" si="2144"/>
        <v>0</v>
      </c>
      <c r="DP398">
        <f t="shared" si="2145"/>
        <v>0</v>
      </c>
      <c r="DQ398">
        <f t="shared" si="2146"/>
        <v>0</v>
      </c>
      <c r="DR398">
        <f t="shared" si="2147"/>
        <v>0</v>
      </c>
      <c r="DS398">
        <f t="shared" si="2148"/>
        <v>0</v>
      </c>
      <c r="DT398">
        <f t="shared" si="2149"/>
        <v>0</v>
      </c>
      <c r="DU398">
        <f t="shared" si="2150"/>
        <v>0</v>
      </c>
      <c r="DV398">
        <f t="shared" si="2151"/>
        <v>0</v>
      </c>
      <c r="DW398">
        <f t="shared" si="2152"/>
        <v>0</v>
      </c>
    </row>
    <row r="399" spans="6:127" x14ac:dyDescent="0.25">
      <c r="F399" s="155" t="s">
        <v>70</v>
      </c>
      <c r="G399" s="181" t="s">
        <v>239</v>
      </c>
      <c r="H399" s="155" t="s">
        <v>71</v>
      </c>
      <c r="I399" s="182" t="s">
        <v>60</v>
      </c>
      <c r="J399" s="161" t="s">
        <v>0</v>
      </c>
      <c r="K399" s="194" t="s">
        <v>0</v>
      </c>
      <c r="L399" s="195" t="s">
        <v>0</v>
      </c>
      <c r="M399" s="179" t="s">
        <v>0</v>
      </c>
      <c r="N399" s="179" t="s">
        <v>0</v>
      </c>
      <c r="O399" s="179" t="s">
        <v>0</v>
      </c>
      <c r="P399" s="179" t="s">
        <v>0</v>
      </c>
      <c r="Q399" s="179" t="s">
        <v>1</v>
      </c>
      <c r="R399" s="179" t="s">
        <v>2</v>
      </c>
      <c r="S399" s="179" t="s">
        <v>0</v>
      </c>
      <c r="T399" s="179" t="s">
        <v>0</v>
      </c>
      <c r="U399" s="179" t="s">
        <v>0</v>
      </c>
      <c r="V399" s="179" t="s">
        <v>0</v>
      </c>
      <c r="W399" s="179" t="s">
        <v>0</v>
      </c>
      <c r="X399" s="179" t="s">
        <v>0</v>
      </c>
      <c r="Y399" s="179" t="s">
        <v>0</v>
      </c>
      <c r="Z399" s="179" t="s">
        <v>3</v>
      </c>
      <c r="AA399" s="179" t="s">
        <v>0</v>
      </c>
      <c r="AB399" s="179" t="s">
        <v>0</v>
      </c>
      <c r="AC399" s="179" t="s">
        <v>0</v>
      </c>
      <c r="AD399" s="179" t="s">
        <v>0</v>
      </c>
      <c r="AE399" s="179" t="s">
        <v>0</v>
      </c>
      <c r="AF399" s="179" t="s">
        <v>0</v>
      </c>
      <c r="AG399" s="179" t="s">
        <v>0</v>
      </c>
      <c r="AH399" s="179" t="s">
        <v>0</v>
      </c>
      <c r="AI399" s="179" t="s">
        <v>0</v>
      </c>
      <c r="AJ399" s="179" t="s">
        <v>0</v>
      </c>
      <c r="AK399" s="179" t="s">
        <v>0</v>
      </c>
      <c r="AL399" s="179" t="s">
        <v>0</v>
      </c>
      <c r="AM399" s="179" t="s">
        <v>0</v>
      </c>
      <c r="AN399" s="179" t="s">
        <v>0</v>
      </c>
      <c r="AO399" s="179" t="s">
        <v>0</v>
      </c>
      <c r="AP399" s="179" t="s">
        <v>0</v>
      </c>
      <c r="AQ399" s="179" t="s">
        <v>0</v>
      </c>
      <c r="AR399" s="179" t="s">
        <v>0</v>
      </c>
      <c r="AS399" s="179" t="s">
        <v>0</v>
      </c>
      <c r="AT399" s="179" t="s">
        <v>0</v>
      </c>
      <c r="AU399" s="179" t="s">
        <v>0</v>
      </c>
      <c r="AV399" s="179" t="s">
        <v>0</v>
      </c>
      <c r="AW399" s="179" t="s">
        <v>0</v>
      </c>
      <c r="AX399" s="179" t="s">
        <v>0</v>
      </c>
      <c r="AY399" s="179" t="s">
        <v>0</v>
      </c>
      <c r="AZ399" s="179" t="s">
        <v>0</v>
      </c>
      <c r="BA399" s="179" t="s">
        <v>0</v>
      </c>
      <c r="BB399" s="179" t="s">
        <v>0</v>
      </c>
      <c r="BC399" s="179" t="s">
        <v>0</v>
      </c>
      <c r="BD399" s="179" t="s">
        <v>0</v>
      </c>
      <c r="BE399" s="179" t="s">
        <v>0</v>
      </c>
      <c r="BF399" s="179" t="s">
        <v>0</v>
      </c>
      <c r="BG399" s="179" t="s">
        <v>0</v>
      </c>
      <c r="BH399" s="179" t="s">
        <v>0</v>
      </c>
      <c r="BI399" s="180" t="s">
        <v>4</v>
      </c>
      <c r="DL399">
        <f t="shared" si="2141"/>
        <v>0</v>
      </c>
      <c r="DM399">
        <f t="shared" si="2142"/>
        <v>0</v>
      </c>
      <c r="DN399">
        <f t="shared" si="2143"/>
        <v>0</v>
      </c>
      <c r="DO399">
        <f t="shared" si="2144"/>
        <v>0</v>
      </c>
      <c r="DP399">
        <f t="shared" si="2145"/>
        <v>0</v>
      </c>
      <c r="DQ399">
        <f t="shared" si="2146"/>
        <v>0</v>
      </c>
      <c r="DR399">
        <f t="shared" si="2147"/>
        <v>0</v>
      </c>
      <c r="DS399">
        <f t="shared" si="2148"/>
        <v>0</v>
      </c>
      <c r="DT399">
        <f t="shared" si="2149"/>
        <v>0</v>
      </c>
      <c r="DU399">
        <f t="shared" si="2150"/>
        <v>0</v>
      </c>
      <c r="DV399">
        <f t="shared" si="2151"/>
        <v>0</v>
      </c>
      <c r="DW399">
        <f t="shared" si="2152"/>
        <v>0</v>
      </c>
    </row>
    <row r="400" spans="6:127" x14ac:dyDescent="0.25">
      <c r="F400" s="155" t="s">
        <v>72</v>
      </c>
      <c r="G400" s="181">
        <v>12</v>
      </c>
      <c r="H400" s="196" t="s">
        <v>414</v>
      </c>
      <c r="I400" s="197" t="s">
        <v>73</v>
      </c>
      <c r="J400" s="13">
        <v>46041</v>
      </c>
      <c r="K400" s="14">
        <v>46048</v>
      </c>
      <c r="L400" s="14">
        <v>46055</v>
      </c>
      <c r="M400" s="14">
        <v>46062</v>
      </c>
      <c r="N400" s="14">
        <v>46069</v>
      </c>
      <c r="O400" s="14">
        <v>46076</v>
      </c>
      <c r="P400" s="14">
        <v>46083</v>
      </c>
      <c r="Q400" s="14">
        <v>46090</v>
      </c>
      <c r="R400" s="14">
        <v>46097</v>
      </c>
      <c r="S400" s="14">
        <v>46104</v>
      </c>
      <c r="T400" s="14">
        <v>46111</v>
      </c>
      <c r="U400" s="14">
        <v>46118</v>
      </c>
      <c r="V400" s="14">
        <v>46125</v>
      </c>
      <c r="W400" s="14">
        <v>46132</v>
      </c>
      <c r="X400" s="14">
        <v>46139</v>
      </c>
      <c r="Y400" s="14">
        <v>46146</v>
      </c>
      <c r="Z400" s="14">
        <v>46153</v>
      </c>
      <c r="AA400" s="14">
        <v>46160</v>
      </c>
      <c r="AB400" s="14">
        <v>46167</v>
      </c>
      <c r="AC400" s="14">
        <v>46174</v>
      </c>
      <c r="AD400" s="14">
        <v>46181</v>
      </c>
      <c r="AE400" s="14">
        <v>46188</v>
      </c>
      <c r="AF400" s="14">
        <v>46195</v>
      </c>
      <c r="AG400" s="14">
        <v>46202</v>
      </c>
      <c r="AH400" s="14">
        <v>46209</v>
      </c>
      <c r="AI400" s="14">
        <v>46216</v>
      </c>
      <c r="AJ400" s="14">
        <v>46223</v>
      </c>
      <c r="AK400" s="14">
        <v>46230</v>
      </c>
      <c r="AL400" s="14">
        <v>46237</v>
      </c>
      <c r="AM400" s="14">
        <v>46244</v>
      </c>
      <c r="AN400" s="14">
        <v>46251</v>
      </c>
      <c r="AO400" s="14">
        <v>46258</v>
      </c>
      <c r="AP400" s="14">
        <v>46265</v>
      </c>
      <c r="AQ400" s="14">
        <v>46272</v>
      </c>
      <c r="AR400" s="14">
        <v>46279</v>
      </c>
      <c r="AS400" s="14">
        <v>46286</v>
      </c>
      <c r="AT400" s="14">
        <v>46293</v>
      </c>
      <c r="AU400" s="14">
        <v>46300</v>
      </c>
      <c r="AV400" s="14">
        <v>46307</v>
      </c>
      <c r="AW400" s="14">
        <v>46314</v>
      </c>
      <c r="AX400" s="14">
        <v>46321</v>
      </c>
      <c r="AY400" s="14">
        <v>46328</v>
      </c>
      <c r="AZ400" s="14">
        <v>46335</v>
      </c>
      <c r="BA400" s="14">
        <v>46342</v>
      </c>
      <c r="BB400" s="14">
        <v>46349</v>
      </c>
      <c r="BC400" s="14">
        <v>46356</v>
      </c>
      <c r="BD400" s="14">
        <v>46363</v>
      </c>
      <c r="BE400" s="14">
        <v>46370</v>
      </c>
      <c r="BF400" s="14">
        <v>46377</v>
      </c>
      <c r="BG400" s="14">
        <v>46384</v>
      </c>
      <c r="BH400" s="14">
        <v>46391</v>
      </c>
      <c r="BI400" s="15">
        <v>46398</v>
      </c>
      <c r="DL400">
        <f t="shared" si="2141"/>
        <v>0</v>
      </c>
      <c r="DM400">
        <f t="shared" si="2142"/>
        <v>0</v>
      </c>
      <c r="DN400">
        <f t="shared" si="2143"/>
        <v>0</v>
      </c>
      <c r="DO400">
        <f t="shared" si="2144"/>
        <v>0</v>
      </c>
      <c r="DP400">
        <f t="shared" si="2145"/>
        <v>0</v>
      </c>
      <c r="DQ400">
        <f t="shared" si="2146"/>
        <v>0</v>
      </c>
      <c r="DR400">
        <f t="shared" si="2147"/>
        <v>0</v>
      </c>
      <c r="DS400">
        <f t="shared" si="2148"/>
        <v>0</v>
      </c>
      <c r="DT400">
        <f t="shared" si="2149"/>
        <v>0</v>
      </c>
      <c r="DU400">
        <f t="shared" si="2150"/>
        <v>0</v>
      </c>
      <c r="DV400">
        <f t="shared" si="2151"/>
        <v>0</v>
      </c>
      <c r="DW400">
        <f t="shared" si="2152"/>
        <v>0</v>
      </c>
    </row>
    <row r="401" spans="6:127" x14ac:dyDescent="0.25">
      <c r="F401" s="155" t="s">
        <v>74</v>
      </c>
      <c r="G401" s="181">
        <v>64</v>
      </c>
      <c r="H401" s="5" t="s">
        <v>60</v>
      </c>
      <c r="I401" s="11" t="s">
        <v>147</v>
      </c>
      <c r="J401" s="16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17"/>
      <c r="DL401">
        <f t="shared" si="2141"/>
        <v>0</v>
      </c>
      <c r="DM401">
        <f t="shared" si="2142"/>
        <v>0</v>
      </c>
      <c r="DN401">
        <f t="shared" si="2143"/>
        <v>0</v>
      </c>
      <c r="DO401">
        <f t="shared" si="2144"/>
        <v>0</v>
      </c>
      <c r="DP401">
        <f t="shared" si="2145"/>
        <v>0</v>
      </c>
      <c r="DQ401">
        <f t="shared" si="2146"/>
        <v>0</v>
      </c>
      <c r="DR401">
        <f t="shared" si="2147"/>
        <v>0</v>
      </c>
      <c r="DS401">
        <f t="shared" si="2148"/>
        <v>0</v>
      </c>
      <c r="DT401">
        <f t="shared" si="2149"/>
        <v>0</v>
      </c>
      <c r="DU401">
        <f t="shared" si="2150"/>
        <v>0</v>
      </c>
      <c r="DV401">
        <f t="shared" si="2151"/>
        <v>0</v>
      </c>
      <c r="DW401">
        <f t="shared" si="2152"/>
        <v>0</v>
      </c>
    </row>
    <row r="402" spans="6:127" x14ac:dyDescent="0.25">
      <c r="F402" s="155" t="s">
        <v>75</v>
      </c>
      <c r="G402" s="198" t="s">
        <v>257</v>
      </c>
      <c r="H402" s="9" t="s">
        <v>239</v>
      </c>
      <c r="I402" s="11" t="s">
        <v>76</v>
      </c>
      <c r="J402" s="143">
        <v>0</v>
      </c>
      <c r="K402" s="64">
        <v>0</v>
      </c>
      <c r="L402" s="64">
        <v>0</v>
      </c>
      <c r="M402" s="64">
        <v>0</v>
      </c>
      <c r="N402" s="64">
        <v>0</v>
      </c>
      <c r="O402" s="64">
        <v>0</v>
      </c>
      <c r="P402" s="64">
        <v>0</v>
      </c>
      <c r="Q402" s="64">
        <v>0</v>
      </c>
      <c r="R402" s="64">
        <v>0</v>
      </c>
      <c r="S402" s="64">
        <v>0</v>
      </c>
      <c r="T402" s="64">
        <v>0</v>
      </c>
      <c r="U402" s="64">
        <v>0</v>
      </c>
      <c r="V402" s="64">
        <v>0</v>
      </c>
      <c r="W402" s="64">
        <v>0</v>
      </c>
      <c r="X402" s="64">
        <v>0</v>
      </c>
      <c r="Y402" s="64">
        <v>0</v>
      </c>
      <c r="Z402" s="64">
        <v>0</v>
      </c>
      <c r="AA402" s="64">
        <v>0</v>
      </c>
      <c r="AB402" s="64">
        <v>0</v>
      </c>
      <c r="AC402" s="64">
        <v>0</v>
      </c>
      <c r="AD402" s="64">
        <v>0</v>
      </c>
      <c r="AE402" s="64">
        <v>0</v>
      </c>
      <c r="AF402" s="64">
        <v>0</v>
      </c>
      <c r="AG402" s="64">
        <v>0</v>
      </c>
      <c r="AH402" s="64">
        <v>0</v>
      </c>
      <c r="AI402" s="64">
        <v>0</v>
      </c>
      <c r="AJ402" s="64">
        <v>0</v>
      </c>
      <c r="AK402" s="64">
        <v>0</v>
      </c>
      <c r="AL402" s="64">
        <v>0</v>
      </c>
      <c r="AM402" s="64">
        <v>0</v>
      </c>
      <c r="AN402" s="64">
        <v>0</v>
      </c>
      <c r="AO402" s="64">
        <v>0</v>
      </c>
      <c r="AP402" s="64">
        <v>0</v>
      </c>
      <c r="AQ402" s="64">
        <v>0</v>
      </c>
      <c r="AR402" s="64">
        <v>0</v>
      </c>
      <c r="AS402" s="64">
        <v>0</v>
      </c>
      <c r="AT402" s="64">
        <v>0</v>
      </c>
      <c r="AU402" s="64">
        <v>0</v>
      </c>
      <c r="AV402" s="64">
        <v>0</v>
      </c>
      <c r="AW402" s="64">
        <v>0</v>
      </c>
      <c r="AX402" s="64">
        <v>0</v>
      </c>
      <c r="AY402" s="64">
        <v>0</v>
      </c>
      <c r="AZ402" s="64">
        <v>0</v>
      </c>
      <c r="BA402" s="64">
        <v>0</v>
      </c>
      <c r="BB402" s="64">
        <v>0</v>
      </c>
      <c r="BC402" s="64">
        <v>0</v>
      </c>
      <c r="BD402" s="64">
        <v>0</v>
      </c>
      <c r="BE402" s="64">
        <v>0</v>
      </c>
      <c r="BF402" s="64">
        <v>0</v>
      </c>
      <c r="BG402" s="64">
        <v>0</v>
      </c>
      <c r="BH402" s="64">
        <v>0</v>
      </c>
      <c r="BI402" s="144">
        <v>0</v>
      </c>
      <c r="BJ402" t="str">
        <f>+G399</f>
        <v>82115-0EA31</v>
      </c>
      <c r="BK402">
        <f>+J402</f>
        <v>0</v>
      </c>
      <c r="BL402">
        <f t="shared" ref="BL402" si="2153">+K402</f>
        <v>0</v>
      </c>
      <c r="BM402">
        <f t="shared" ref="BM402" si="2154">+L402</f>
        <v>0</v>
      </c>
      <c r="BN402">
        <f t="shared" ref="BN402" si="2155">+M402</f>
        <v>0</v>
      </c>
      <c r="BO402">
        <f t="shared" ref="BO402" si="2156">+N402</f>
        <v>0</v>
      </c>
      <c r="BP402">
        <f t="shared" ref="BP402" si="2157">+O402</f>
        <v>0</v>
      </c>
      <c r="BQ402">
        <f t="shared" ref="BQ402" si="2158">+P402</f>
        <v>0</v>
      </c>
      <c r="BR402">
        <f t="shared" ref="BR402" si="2159">+Q402</f>
        <v>0</v>
      </c>
      <c r="BS402">
        <f t="shared" ref="BS402" si="2160">+R402</f>
        <v>0</v>
      </c>
      <c r="BT402">
        <f t="shared" ref="BT402" si="2161">+S402</f>
        <v>0</v>
      </c>
      <c r="BU402">
        <f t="shared" ref="BU402" si="2162">+T402</f>
        <v>0</v>
      </c>
      <c r="BV402">
        <f t="shared" ref="BV402" si="2163">+U402</f>
        <v>0</v>
      </c>
      <c r="BW402">
        <f t="shared" ref="BW402" si="2164">+V402</f>
        <v>0</v>
      </c>
      <c r="BX402">
        <f t="shared" ref="BX402" si="2165">+W402</f>
        <v>0</v>
      </c>
      <c r="BY402">
        <f t="shared" ref="BY402" si="2166">+X402</f>
        <v>0</v>
      </c>
      <c r="BZ402">
        <f t="shared" ref="BZ402" si="2167">+Y402</f>
        <v>0</v>
      </c>
      <c r="CA402">
        <f t="shared" ref="CA402" si="2168">+Z402</f>
        <v>0</v>
      </c>
      <c r="CB402">
        <f t="shared" ref="CB402" si="2169">+AA402</f>
        <v>0</v>
      </c>
      <c r="CC402">
        <f t="shared" ref="CC402" si="2170">+AB402</f>
        <v>0</v>
      </c>
      <c r="CD402">
        <f t="shared" ref="CD402" si="2171">+AC402</f>
        <v>0</v>
      </c>
      <c r="CE402">
        <f t="shared" ref="CE402" si="2172">+AD402</f>
        <v>0</v>
      </c>
      <c r="CF402">
        <f t="shared" ref="CF402" si="2173">+AE402</f>
        <v>0</v>
      </c>
      <c r="CG402">
        <f t="shared" ref="CG402" si="2174">+AF402</f>
        <v>0</v>
      </c>
      <c r="CH402">
        <f t="shared" ref="CH402" si="2175">+AG402</f>
        <v>0</v>
      </c>
      <c r="CI402">
        <f t="shared" ref="CI402" si="2176">+AH402</f>
        <v>0</v>
      </c>
      <c r="CJ402">
        <f t="shared" ref="CJ402" si="2177">+AI402</f>
        <v>0</v>
      </c>
      <c r="CK402">
        <f t="shared" ref="CK402" si="2178">+AJ402</f>
        <v>0</v>
      </c>
      <c r="CL402">
        <f t="shared" ref="CL402" si="2179">+AK402</f>
        <v>0</v>
      </c>
      <c r="CM402">
        <f t="shared" ref="CM402" si="2180">+AL402</f>
        <v>0</v>
      </c>
      <c r="CN402">
        <f t="shared" ref="CN402" si="2181">+AM402</f>
        <v>0</v>
      </c>
      <c r="CO402">
        <f t="shared" ref="CO402" si="2182">+AN402</f>
        <v>0</v>
      </c>
      <c r="CP402">
        <f t="shared" ref="CP402" si="2183">+AO402</f>
        <v>0</v>
      </c>
      <c r="CQ402">
        <f t="shared" ref="CQ402" si="2184">+AP402</f>
        <v>0</v>
      </c>
      <c r="CR402">
        <f t="shared" ref="CR402" si="2185">+AQ402</f>
        <v>0</v>
      </c>
      <c r="CS402">
        <f t="shared" ref="CS402" si="2186">+AR402</f>
        <v>0</v>
      </c>
      <c r="CT402">
        <f t="shared" ref="CT402" si="2187">+AS402</f>
        <v>0</v>
      </c>
      <c r="CU402">
        <f t="shared" ref="CU402" si="2188">+AT402</f>
        <v>0</v>
      </c>
      <c r="CV402">
        <f t="shared" ref="CV402" si="2189">+AU402</f>
        <v>0</v>
      </c>
      <c r="CW402">
        <f t="shared" ref="CW402" si="2190">+AV402</f>
        <v>0</v>
      </c>
      <c r="CX402">
        <f t="shared" ref="CX402" si="2191">+AW402</f>
        <v>0</v>
      </c>
      <c r="CY402">
        <f t="shared" ref="CY402" si="2192">+AX402</f>
        <v>0</v>
      </c>
      <c r="CZ402">
        <f t="shared" ref="CZ402" si="2193">+AY402</f>
        <v>0</v>
      </c>
      <c r="DA402">
        <f t="shared" ref="DA402" si="2194">+AZ402</f>
        <v>0</v>
      </c>
      <c r="DB402">
        <f t="shared" ref="DB402" si="2195">+BA402</f>
        <v>0</v>
      </c>
      <c r="DC402">
        <f t="shared" ref="DC402" si="2196">+BB402</f>
        <v>0</v>
      </c>
      <c r="DD402">
        <f t="shared" ref="DD402" si="2197">+BC402</f>
        <v>0</v>
      </c>
      <c r="DE402">
        <f t="shared" ref="DE402" si="2198">+BD402</f>
        <v>0</v>
      </c>
      <c r="DF402">
        <f t="shared" ref="DF402" si="2199">+BE402</f>
        <v>0</v>
      </c>
      <c r="DG402">
        <f t="shared" ref="DG402" si="2200">+BF402</f>
        <v>0</v>
      </c>
      <c r="DH402">
        <f t="shared" ref="DH402" si="2201">+BG402</f>
        <v>0</v>
      </c>
      <c r="DI402">
        <f t="shared" ref="DI402" si="2202">+BH402</f>
        <v>0</v>
      </c>
      <c r="DJ402">
        <f t="shared" ref="DJ402" si="2203">+BI402</f>
        <v>0</v>
      </c>
      <c r="DL402">
        <f t="shared" si="2141"/>
        <v>0</v>
      </c>
      <c r="DM402">
        <f t="shared" si="2142"/>
        <v>0</v>
      </c>
      <c r="DN402">
        <f t="shared" si="2143"/>
        <v>0</v>
      </c>
      <c r="DO402">
        <f t="shared" si="2144"/>
        <v>0</v>
      </c>
      <c r="DP402">
        <f t="shared" si="2145"/>
        <v>0</v>
      </c>
      <c r="DQ402">
        <f t="shared" si="2146"/>
        <v>0</v>
      </c>
      <c r="DR402">
        <f t="shared" si="2147"/>
        <v>0</v>
      </c>
      <c r="DS402">
        <f t="shared" si="2148"/>
        <v>0</v>
      </c>
      <c r="DT402">
        <f t="shared" si="2149"/>
        <v>0</v>
      </c>
      <c r="DU402">
        <f t="shared" si="2150"/>
        <v>0</v>
      </c>
      <c r="DV402">
        <f t="shared" si="2151"/>
        <v>0</v>
      </c>
      <c r="DW402">
        <f t="shared" si="2152"/>
        <v>0</v>
      </c>
    </row>
    <row r="403" spans="6:127" x14ac:dyDescent="0.25">
      <c r="F403" s="155" t="s">
        <v>77</v>
      </c>
      <c r="G403" s="181">
        <v>82115</v>
      </c>
      <c r="H403" s="10" t="s">
        <v>239</v>
      </c>
      <c r="I403" s="12" t="s">
        <v>78</v>
      </c>
      <c r="J403" s="152">
        <v>12</v>
      </c>
      <c r="K403" s="153">
        <v>12</v>
      </c>
      <c r="L403" s="153">
        <v>12</v>
      </c>
      <c r="M403" s="153">
        <v>12</v>
      </c>
      <c r="N403" s="153">
        <v>12</v>
      </c>
      <c r="O403" s="153">
        <v>12</v>
      </c>
      <c r="P403" s="153">
        <v>12</v>
      </c>
      <c r="Q403" s="153">
        <v>12</v>
      </c>
      <c r="R403" s="153">
        <v>12</v>
      </c>
      <c r="S403" s="153">
        <v>12</v>
      </c>
      <c r="T403" s="153">
        <v>12</v>
      </c>
      <c r="U403" s="153">
        <v>12</v>
      </c>
      <c r="V403" s="153">
        <v>12</v>
      </c>
      <c r="W403" s="153">
        <v>12</v>
      </c>
      <c r="X403" s="153">
        <v>12</v>
      </c>
      <c r="Y403" s="153">
        <v>12</v>
      </c>
      <c r="Z403" s="153">
        <v>12</v>
      </c>
      <c r="AA403" s="153">
        <v>12</v>
      </c>
      <c r="AB403" s="153">
        <v>12</v>
      </c>
      <c r="AC403" s="153">
        <v>12</v>
      </c>
      <c r="AD403" s="153">
        <v>12</v>
      </c>
      <c r="AE403" s="153">
        <v>12</v>
      </c>
      <c r="AF403" s="153">
        <v>12</v>
      </c>
      <c r="AG403" s="153">
        <v>12</v>
      </c>
      <c r="AH403" s="153">
        <v>12</v>
      </c>
      <c r="AI403" s="153">
        <v>12</v>
      </c>
      <c r="AJ403" s="153">
        <v>12</v>
      </c>
      <c r="AK403" s="153">
        <v>12</v>
      </c>
      <c r="AL403" s="153">
        <v>12</v>
      </c>
      <c r="AM403" s="153">
        <v>12</v>
      </c>
      <c r="AN403" s="153">
        <v>12</v>
      </c>
      <c r="AO403" s="153">
        <v>12</v>
      </c>
      <c r="AP403" s="153">
        <v>12</v>
      </c>
      <c r="AQ403" s="153">
        <v>12</v>
      </c>
      <c r="AR403" s="153">
        <v>12</v>
      </c>
      <c r="AS403" s="153">
        <v>12</v>
      </c>
      <c r="AT403" s="153">
        <v>12</v>
      </c>
      <c r="AU403" s="153">
        <v>12</v>
      </c>
      <c r="AV403" s="153">
        <v>12</v>
      </c>
      <c r="AW403" s="153">
        <v>12</v>
      </c>
      <c r="AX403" s="153">
        <v>12</v>
      </c>
      <c r="AY403" s="153">
        <v>12</v>
      </c>
      <c r="AZ403" s="153">
        <v>12</v>
      </c>
      <c r="BA403" s="153">
        <v>12</v>
      </c>
      <c r="BB403" s="153">
        <v>12</v>
      </c>
      <c r="BC403" s="153">
        <v>12</v>
      </c>
      <c r="BD403" s="153">
        <v>12</v>
      </c>
      <c r="BE403" s="153">
        <v>12</v>
      </c>
      <c r="BF403" s="153">
        <v>12</v>
      </c>
      <c r="BG403" s="153">
        <v>12</v>
      </c>
      <c r="BH403" s="153">
        <v>12</v>
      </c>
      <c r="BI403" s="154">
        <v>12</v>
      </c>
      <c r="DL403">
        <f t="shared" si="2141"/>
        <v>0</v>
      </c>
      <c r="DM403">
        <f t="shared" si="2142"/>
        <v>0</v>
      </c>
      <c r="DN403">
        <f t="shared" si="2143"/>
        <v>0</v>
      </c>
      <c r="DO403">
        <f t="shared" si="2144"/>
        <v>0</v>
      </c>
      <c r="DP403">
        <f t="shared" si="2145"/>
        <v>0</v>
      </c>
      <c r="DQ403">
        <f t="shared" si="2146"/>
        <v>0</v>
      </c>
      <c r="DR403">
        <f t="shared" si="2147"/>
        <v>0</v>
      </c>
      <c r="DS403">
        <f t="shared" si="2148"/>
        <v>0</v>
      </c>
      <c r="DT403">
        <f t="shared" si="2149"/>
        <v>0</v>
      </c>
      <c r="DU403">
        <f t="shared" si="2150"/>
        <v>0</v>
      </c>
      <c r="DV403">
        <f t="shared" si="2151"/>
        <v>0</v>
      </c>
      <c r="DW403">
        <f t="shared" si="2152"/>
        <v>0</v>
      </c>
    </row>
    <row r="404" spans="6:127" x14ac:dyDescent="0.25">
      <c r="F404" s="155" t="s">
        <v>79</v>
      </c>
      <c r="G404" s="199">
        <v>12</v>
      </c>
      <c r="H404" s="184" t="s">
        <v>80</v>
      </c>
      <c r="I404" s="185"/>
      <c r="J404" s="200" t="s">
        <v>313</v>
      </c>
      <c r="K404" s="156"/>
      <c r="L404" s="157" t="s">
        <v>0</v>
      </c>
      <c r="M404" s="157" t="s">
        <v>0</v>
      </c>
      <c r="N404" s="157" t="s">
        <v>0</v>
      </c>
      <c r="O404" s="157" t="s">
        <v>0</v>
      </c>
      <c r="P404" s="157" t="s">
        <v>0</v>
      </c>
      <c r="Q404" s="157" t="s">
        <v>0</v>
      </c>
      <c r="R404" s="157" t="s">
        <v>0</v>
      </c>
      <c r="S404" s="157" t="s">
        <v>0</v>
      </c>
      <c r="T404" s="157" t="s">
        <v>0</v>
      </c>
      <c r="U404" s="157" t="s">
        <v>0</v>
      </c>
      <c r="V404" s="157" t="s">
        <v>0</v>
      </c>
      <c r="W404" s="157" t="s">
        <v>0</v>
      </c>
      <c r="X404" s="157" t="s">
        <v>0</v>
      </c>
      <c r="Y404" s="157" t="s">
        <v>0</v>
      </c>
      <c r="Z404" s="157" t="s">
        <v>0</v>
      </c>
      <c r="AA404" s="157" t="s">
        <v>0</v>
      </c>
      <c r="AB404" s="157" t="s">
        <v>0</v>
      </c>
      <c r="AC404" s="157" t="s">
        <v>0</v>
      </c>
      <c r="AD404" s="157" t="s">
        <v>0</v>
      </c>
      <c r="AE404" s="157" t="s">
        <v>0</v>
      </c>
      <c r="AF404" s="157" t="s">
        <v>0</v>
      </c>
      <c r="AG404" s="157" t="s">
        <v>0</v>
      </c>
      <c r="AH404" s="157" t="s">
        <v>0</v>
      </c>
      <c r="AI404" s="157" t="s">
        <v>0</v>
      </c>
      <c r="AJ404" s="157" t="s">
        <v>0</v>
      </c>
      <c r="AK404" s="157" t="s">
        <v>0</v>
      </c>
      <c r="AL404" s="157" t="s">
        <v>0</v>
      </c>
      <c r="AM404" s="157" t="s">
        <v>0</v>
      </c>
      <c r="AN404" s="157" t="s">
        <v>0</v>
      </c>
      <c r="AO404" s="157" t="s">
        <v>0</v>
      </c>
      <c r="AP404" s="157" t="s">
        <v>0</v>
      </c>
      <c r="AQ404" s="157" t="s">
        <v>0</v>
      </c>
      <c r="AR404" s="157" t="s">
        <v>0</v>
      </c>
      <c r="AS404" s="157" t="s">
        <v>0</v>
      </c>
      <c r="AT404" s="157" t="s">
        <v>0</v>
      </c>
      <c r="AU404" s="157" t="s">
        <v>0</v>
      </c>
      <c r="AV404" s="157" t="s">
        <v>0</v>
      </c>
      <c r="AW404" s="157" t="s">
        <v>0</v>
      </c>
      <c r="AX404" s="157" t="s">
        <v>0</v>
      </c>
      <c r="AY404" s="157" t="s">
        <v>0</v>
      </c>
      <c r="AZ404" s="157" t="s">
        <v>0</v>
      </c>
      <c r="BA404" s="157" t="s">
        <v>0</v>
      </c>
      <c r="BB404" s="157" t="s">
        <v>0</v>
      </c>
      <c r="BC404" s="157" t="s">
        <v>0</v>
      </c>
      <c r="BD404" s="157" t="s">
        <v>0</v>
      </c>
      <c r="BE404" s="157" t="s">
        <v>0</v>
      </c>
      <c r="BF404" s="157" t="s">
        <v>0</v>
      </c>
      <c r="BG404" s="157" t="s">
        <v>0</v>
      </c>
      <c r="BH404" s="157" t="s">
        <v>0</v>
      </c>
      <c r="BI404" s="158"/>
      <c r="DL404">
        <f t="shared" si="2141"/>
        <v>0</v>
      </c>
      <c r="DM404">
        <f t="shared" si="2142"/>
        <v>0</v>
      </c>
      <c r="DN404">
        <f t="shared" si="2143"/>
        <v>0</v>
      </c>
      <c r="DO404">
        <f t="shared" si="2144"/>
        <v>0</v>
      </c>
      <c r="DP404">
        <f t="shared" si="2145"/>
        <v>0</v>
      </c>
      <c r="DQ404">
        <f t="shared" si="2146"/>
        <v>0</v>
      </c>
      <c r="DR404">
        <f t="shared" si="2147"/>
        <v>0</v>
      </c>
      <c r="DS404">
        <f t="shared" si="2148"/>
        <v>0</v>
      </c>
      <c r="DT404">
        <f t="shared" si="2149"/>
        <v>0</v>
      </c>
      <c r="DU404">
        <f t="shared" si="2150"/>
        <v>0</v>
      </c>
      <c r="DV404">
        <f t="shared" si="2151"/>
        <v>0</v>
      </c>
      <c r="DW404">
        <f t="shared" si="2152"/>
        <v>0</v>
      </c>
    </row>
    <row r="405" spans="6:127" x14ac:dyDescent="0.25">
      <c r="F405" s="159" t="s">
        <v>81</v>
      </c>
      <c r="G405" s="160" t="s">
        <v>60</v>
      </c>
      <c r="H405" s="201" t="s">
        <v>60</v>
      </c>
      <c r="I405" s="183" t="s">
        <v>60</v>
      </c>
      <c r="J405" s="183" t="s">
        <v>0</v>
      </c>
      <c r="K405" s="183" t="s">
        <v>0</v>
      </c>
      <c r="L405" s="183" t="s">
        <v>0</v>
      </c>
      <c r="M405" s="183" t="s">
        <v>0</v>
      </c>
      <c r="N405" s="183" t="s">
        <v>0</v>
      </c>
      <c r="O405" s="183" t="s">
        <v>0</v>
      </c>
      <c r="P405" s="183" t="s">
        <v>0</v>
      </c>
      <c r="Q405" s="183" t="s">
        <v>0</v>
      </c>
      <c r="R405" s="183" t="s">
        <v>0</v>
      </c>
      <c r="S405" s="183" t="s">
        <v>0</v>
      </c>
      <c r="T405" s="183" t="s">
        <v>0</v>
      </c>
      <c r="U405" s="183" t="s">
        <v>0</v>
      </c>
      <c r="V405" s="183" t="s">
        <v>0</v>
      </c>
      <c r="W405" s="183" t="s">
        <v>0</v>
      </c>
      <c r="X405" s="183" t="s">
        <v>0</v>
      </c>
      <c r="Y405" s="183" t="s">
        <v>0</v>
      </c>
      <c r="Z405" s="183" t="s">
        <v>0</v>
      </c>
      <c r="AA405" s="183" t="s">
        <v>0</v>
      </c>
      <c r="AB405" s="183" t="s">
        <v>0</v>
      </c>
      <c r="AC405" s="183" t="s">
        <v>0</v>
      </c>
      <c r="AD405" s="183" t="s">
        <v>0</v>
      </c>
      <c r="AE405" s="183" t="s">
        <v>0</v>
      </c>
      <c r="AF405" s="183" t="s">
        <v>0</v>
      </c>
      <c r="AG405" s="183" t="s">
        <v>0</v>
      </c>
      <c r="AH405" s="183" t="s">
        <v>0</v>
      </c>
      <c r="AI405" s="183" t="s">
        <v>0</v>
      </c>
      <c r="AJ405" s="183" t="s">
        <v>0</v>
      </c>
      <c r="AK405" s="183" t="s">
        <v>0</v>
      </c>
      <c r="AL405" s="183" t="s">
        <v>0</v>
      </c>
      <c r="AM405" s="183" t="s">
        <v>0</v>
      </c>
      <c r="AN405" s="183" t="s">
        <v>0</v>
      </c>
      <c r="AO405" s="183" t="s">
        <v>0</v>
      </c>
      <c r="AP405" s="183" t="s">
        <v>0</v>
      </c>
      <c r="AQ405" s="183" t="s">
        <v>0</v>
      </c>
      <c r="AR405" s="183" t="s">
        <v>0</v>
      </c>
      <c r="AS405" s="183" t="s">
        <v>0</v>
      </c>
      <c r="AT405" s="183" t="s">
        <v>0</v>
      </c>
      <c r="AU405" s="183" t="s">
        <v>0</v>
      </c>
      <c r="AV405" s="183" t="s">
        <v>0</v>
      </c>
      <c r="AW405" s="183" t="s">
        <v>0</v>
      </c>
      <c r="AX405" s="183" t="s">
        <v>0</v>
      </c>
      <c r="AY405" s="183" t="s">
        <v>0</v>
      </c>
      <c r="AZ405" s="183" t="s">
        <v>0</v>
      </c>
      <c r="BA405" s="183" t="s">
        <v>0</v>
      </c>
      <c r="BB405" s="183" t="s">
        <v>0</v>
      </c>
      <c r="BC405" s="183" t="s">
        <v>0</v>
      </c>
      <c r="BD405" s="183" t="s">
        <v>0</v>
      </c>
      <c r="BE405" s="183" t="s">
        <v>0</v>
      </c>
      <c r="BF405" s="183" t="s">
        <v>0</v>
      </c>
      <c r="BG405" s="183" t="s">
        <v>0</v>
      </c>
      <c r="BH405" s="183" t="s">
        <v>0</v>
      </c>
      <c r="BI405" s="161"/>
      <c r="DL405">
        <f t="shared" si="2141"/>
        <v>0</v>
      </c>
      <c r="DM405">
        <f t="shared" si="2142"/>
        <v>0</v>
      </c>
      <c r="DN405">
        <f t="shared" si="2143"/>
        <v>0</v>
      </c>
      <c r="DO405">
        <f t="shared" si="2144"/>
        <v>0</v>
      </c>
      <c r="DP405">
        <f t="shared" si="2145"/>
        <v>0</v>
      </c>
      <c r="DQ405">
        <f t="shared" si="2146"/>
        <v>0</v>
      </c>
      <c r="DR405">
        <f t="shared" si="2147"/>
        <v>0</v>
      </c>
      <c r="DS405">
        <f t="shared" si="2148"/>
        <v>0</v>
      </c>
      <c r="DT405">
        <f t="shared" si="2149"/>
        <v>0</v>
      </c>
      <c r="DU405">
        <f t="shared" si="2150"/>
        <v>0</v>
      </c>
      <c r="DV405">
        <f t="shared" si="2151"/>
        <v>0</v>
      </c>
      <c r="DW405">
        <f t="shared" si="2152"/>
        <v>0</v>
      </c>
    </row>
    <row r="406" spans="6:127" x14ac:dyDescent="0.25">
      <c r="F406" s="188" t="s">
        <v>60</v>
      </c>
      <c r="G406" s="162" t="s">
        <v>60</v>
      </c>
      <c r="H406" s="163" t="s">
        <v>60</v>
      </c>
      <c r="I406" s="164" t="s">
        <v>60</v>
      </c>
      <c r="J406" s="164" t="s">
        <v>0</v>
      </c>
      <c r="K406" s="164" t="s">
        <v>0</v>
      </c>
      <c r="L406" s="164" t="s">
        <v>0</v>
      </c>
      <c r="M406" s="164" t="s">
        <v>0</v>
      </c>
      <c r="N406" s="164" t="s">
        <v>0</v>
      </c>
      <c r="O406" s="164" t="s">
        <v>0</v>
      </c>
      <c r="P406" s="164" t="s">
        <v>0</v>
      </c>
      <c r="Q406" s="164" t="s">
        <v>0</v>
      </c>
      <c r="R406" s="164" t="s">
        <v>0</v>
      </c>
      <c r="S406" s="164" t="s">
        <v>0</v>
      </c>
      <c r="T406" s="164" t="s">
        <v>0</v>
      </c>
      <c r="U406" s="164" t="s">
        <v>0</v>
      </c>
      <c r="V406" s="164" t="s">
        <v>0</v>
      </c>
      <c r="W406" s="164" t="s">
        <v>0</v>
      </c>
      <c r="X406" s="164" t="s">
        <v>0</v>
      </c>
      <c r="Y406" s="164" t="s">
        <v>0</v>
      </c>
      <c r="Z406" s="164" t="s">
        <v>0</v>
      </c>
      <c r="AA406" s="164" t="s">
        <v>0</v>
      </c>
      <c r="AB406" s="164" t="s">
        <v>0</v>
      </c>
      <c r="AC406" s="164" t="s">
        <v>0</v>
      </c>
      <c r="AD406" s="164" t="s">
        <v>0</v>
      </c>
      <c r="AE406" s="164" t="s">
        <v>0</v>
      </c>
      <c r="AF406" s="164" t="s">
        <v>0</v>
      </c>
      <c r="AG406" s="164" t="s">
        <v>0</v>
      </c>
      <c r="AH406" s="164" t="s">
        <v>0</v>
      </c>
      <c r="AI406" s="164" t="s">
        <v>0</v>
      </c>
      <c r="AJ406" s="164" t="s">
        <v>0</v>
      </c>
      <c r="AK406" s="164" t="s">
        <v>0</v>
      </c>
      <c r="AL406" s="164" t="s">
        <v>0</v>
      </c>
      <c r="AM406" s="164" t="s">
        <v>0</v>
      </c>
      <c r="AN406" s="164" t="s">
        <v>0</v>
      </c>
      <c r="AO406" s="164" t="s">
        <v>0</v>
      </c>
      <c r="AP406" s="164" t="s">
        <v>0</v>
      </c>
      <c r="AQ406" s="164" t="s">
        <v>0</v>
      </c>
      <c r="AR406" s="164" t="s">
        <v>0</v>
      </c>
      <c r="AS406" s="164" t="s">
        <v>0</v>
      </c>
      <c r="AT406" s="164" t="s">
        <v>0</v>
      </c>
      <c r="AU406" s="164" t="s">
        <v>0</v>
      </c>
      <c r="AV406" s="164" t="s">
        <v>0</v>
      </c>
      <c r="AW406" s="164" t="s">
        <v>0</v>
      </c>
      <c r="AX406" s="164" t="s">
        <v>0</v>
      </c>
      <c r="AY406" s="164" t="s">
        <v>0</v>
      </c>
      <c r="AZ406" s="164" t="s">
        <v>0</v>
      </c>
      <c r="BA406" s="164" t="s">
        <v>0</v>
      </c>
      <c r="BB406" s="164" t="s">
        <v>0</v>
      </c>
      <c r="BC406" s="164" t="s">
        <v>0</v>
      </c>
      <c r="BD406" s="164" t="s">
        <v>0</v>
      </c>
      <c r="BE406" s="164" t="s">
        <v>0</v>
      </c>
      <c r="BF406" s="164" t="s">
        <v>0</v>
      </c>
      <c r="BG406" s="164" t="s">
        <v>0</v>
      </c>
      <c r="BH406" s="164" t="s">
        <v>0</v>
      </c>
      <c r="BI406" s="189"/>
      <c r="DL406">
        <f t="shared" si="2141"/>
        <v>0</v>
      </c>
      <c r="DM406">
        <f t="shared" si="2142"/>
        <v>0</v>
      </c>
      <c r="DN406">
        <f t="shared" si="2143"/>
        <v>0</v>
      </c>
      <c r="DO406">
        <f t="shared" si="2144"/>
        <v>0</v>
      </c>
      <c r="DP406">
        <f t="shared" si="2145"/>
        <v>0</v>
      </c>
      <c r="DQ406">
        <f t="shared" si="2146"/>
        <v>0</v>
      </c>
      <c r="DR406">
        <f t="shared" si="2147"/>
        <v>0</v>
      </c>
      <c r="DS406">
        <f t="shared" si="2148"/>
        <v>0</v>
      </c>
      <c r="DT406">
        <f t="shared" si="2149"/>
        <v>0</v>
      </c>
      <c r="DU406">
        <f t="shared" si="2150"/>
        <v>0</v>
      </c>
      <c r="DV406">
        <f t="shared" si="2151"/>
        <v>0</v>
      </c>
      <c r="DW406">
        <f t="shared" si="2152"/>
        <v>0</v>
      </c>
    </row>
    <row r="407" spans="6:127" x14ac:dyDescent="0.25">
      <c r="F407" s="155" t="s">
        <v>61</v>
      </c>
      <c r="G407" s="181">
        <v>5501017973</v>
      </c>
      <c r="H407" s="155" t="s">
        <v>62</v>
      </c>
      <c r="I407" s="181">
        <v>91</v>
      </c>
      <c r="J407" s="155" t="s">
        <v>63</v>
      </c>
      <c r="K407" s="160">
        <v>1177760</v>
      </c>
      <c r="L407" s="161"/>
      <c r="M407" s="190" t="s">
        <v>64</v>
      </c>
      <c r="N407" s="191"/>
      <c r="O407" s="192">
        <v>46086</v>
      </c>
      <c r="P407" s="155" t="s">
        <v>65</v>
      </c>
      <c r="Q407" s="181">
        <v>4</v>
      </c>
      <c r="R407" s="6" t="s">
        <v>0</v>
      </c>
      <c r="S407" s="7" t="s">
        <v>0</v>
      </c>
      <c r="T407" s="7" t="s">
        <v>0</v>
      </c>
      <c r="U407" s="7" t="s">
        <v>0</v>
      </c>
      <c r="V407" s="7" t="s">
        <v>0</v>
      </c>
      <c r="W407" s="7" t="s">
        <v>0</v>
      </c>
      <c r="X407" s="7" t="s">
        <v>0</v>
      </c>
      <c r="Y407" s="7" t="s">
        <v>0</v>
      </c>
      <c r="Z407" s="7" t="s">
        <v>0</v>
      </c>
      <c r="AA407" s="7" t="s">
        <v>0</v>
      </c>
      <c r="AB407" s="7" t="s">
        <v>0</v>
      </c>
      <c r="AC407" s="7" t="s">
        <v>0</v>
      </c>
      <c r="AD407" s="7" t="s">
        <v>0</v>
      </c>
      <c r="AE407" s="7" t="s">
        <v>0</v>
      </c>
      <c r="AF407" s="7" t="s">
        <v>0</v>
      </c>
      <c r="AG407" s="7" t="s">
        <v>0</v>
      </c>
      <c r="AH407" s="7" t="s">
        <v>0</v>
      </c>
      <c r="AI407" s="7" t="s">
        <v>0</v>
      </c>
      <c r="AJ407" s="7" t="s">
        <v>0</v>
      </c>
      <c r="AK407" s="7" t="s">
        <v>0</v>
      </c>
      <c r="AL407" s="7" t="s">
        <v>0</v>
      </c>
      <c r="AM407" s="7" t="s">
        <v>0</v>
      </c>
      <c r="AN407" s="7" t="s">
        <v>0</v>
      </c>
      <c r="AO407" s="7" t="s">
        <v>0</v>
      </c>
      <c r="AP407" s="7" t="s">
        <v>0</v>
      </c>
      <c r="AQ407" s="7" t="s">
        <v>0</v>
      </c>
      <c r="AR407" s="7" t="s">
        <v>0</v>
      </c>
      <c r="AS407" s="7" t="s">
        <v>0</v>
      </c>
      <c r="AT407" s="7" t="s">
        <v>0</v>
      </c>
      <c r="AU407" s="7" t="s">
        <v>0</v>
      </c>
      <c r="AV407" s="7" t="s">
        <v>0</v>
      </c>
      <c r="AW407" s="7" t="s">
        <v>0</v>
      </c>
      <c r="AX407" s="7" t="s">
        <v>0</v>
      </c>
      <c r="AY407" s="7" t="s">
        <v>0</v>
      </c>
      <c r="AZ407" s="7" t="s">
        <v>0</v>
      </c>
      <c r="BA407" s="7" t="s">
        <v>0</v>
      </c>
      <c r="BB407" s="7" t="s">
        <v>0</v>
      </c>
      <c r="BC407" s="7" t="s">
        <v>0</v>
      </c>
      <c r="BD407" s="7" t="s">
        <v>0</v>
      </c>
      <c r="BE407" s="7" t="s">
        <v>0</v>
      </c>
      <c r="BF407" s="7" t="s">
        <v>0</v>
      </c>
      <c r="BG407" s="7" t="s">
        <v>0</v>
      </c>
      <c r="BH407" s="7" t="s">
        <v>0</v>
      </c>
      <c r="BI407" s="8"/>
      <c r="DL407">
        <f t="shared" si="2141"/>
        <v>0</v>
      </c>
      <c r="DM407">
        <f t="shared" si="2142"/>
        <v>0</v>
      </c>
      <c r="DN407">
        <f t="shared" si="2143"/>
        <v>0</v>
      </c>
      <c r="DO407">
        <f t="shared" si="2144"/>
        <v>0</v>
      </c>
      <c r="DP407">
        <f t="shared" si="2145"/>
        <v>0</v>
      </c>
      <c r="DQ407">
        <f t="shared" si="2146"/>
        <v>0</v>
      </c>
      <c r="DR407">
        <f t="shared" si="2147"/>
        <v>0</v>
      </c>
      <c r="DS407">
        <f t="shared" si="2148"/>
        <v>0</v>
      </c>
      <c r="DT407">
        <f t="shared" si="2149"/>
        <v>0</v>
      </c>
      <c r="DU407">
        <f t="shared" si="2150"/>
        <v>0</v>
      </c>
      <c r="DV407">
        <f t="shared" si="2151"/>
        <v>0</v>
      </c>
      <c r="DW407">
        <f t="shared" si="2152"/>
        <v>0</v>
      </c>
    </row>
    <row r="408" spans="6:127" x14ac:dyDescent="0.25">
      <c r="F408" s="155" t="s">
        <v>66</v>
      </c>
      <c r="G408" s="181" t="s">
        <v>380</v>
      </c>
      <c r="H408" s="155" t="s">
        <v>67</v>
      </c>
      <c r="I408" s="182" t="s">
        <v>381</v>
      </c>
      <c r="J408" s="183"/>
      <c r="K408" s="183"/>
      <c r="L408" s="161"/>
      <c r="M408" s="155" t="s">
        <v>68</v>
      </c>
      <c r="N408" s="181">
        <v>2026</v>
      </c>
      <c r="O408" s="184" t="s">
        <v>69</v>
      </c>
      <c r="P408" s="185"/>
      <c r="Q408" s="193" t="s">
        <v>342</v>
      </c>
      <c r="R408" s="156" t="s">
        <v>0</v>
      </c>
      <c r="S408" s="157" t="s">
        <v>0</v>
      </c>
      <c r="T408" s="157" t="s">
        <v>0</v>
      </c>
      <c r="U408" s="157" t="s">
        <v>0</v>
      </c>
      <c r="V408" s="157" t="s">
        <v>0</v>
      </c>
      <c r="W408" s="157" t="s">
        <v>0</v>
      </c>
      <c r="X408" s="157" t="s">
        <v>0</v>
      </c>
      <c r="Y408" s="157" t="s">
        <v>0</v>
      </c>
      <c r="Z408" s="157" t="s">
        <v>0</v>
      </c>
      <c r="AA408" s="157" t="s">
        <v>0</v>
      </c>
      <c r="AB408" s="157" t="s">
        <v>0</v>
      </c>
      <c r="AC408" s="157" t="s">
        <v>0</v>
      </c>
      <c r="AD408" s="157" t="s">
        <v>0</v>
      </c>
      <c r="AE408" s="157" t="s">
        <v>0</v>
      </c>
      <c r="AF408" s="157" t="s">
        <v>0</v>
      </c>
      <c r="AG408" s="157" t="s">
        <v>0</v>
      </c>
      <c r="AH408" s="157" t="s">
        <v>0</v>
      </c>
      <c r="AI408" s="157" t="s">
        <v>0</v>
      </c>
      <c r="AJ408" s="157" t="s">
        <v>0</v>
      </c>
      <c r="AK408" s="157" t="s">
        <v>0</v>
      </c>
      <c r="AL408" s="157" t="s">
        <v>0</v>
      </c>
      <c r="AM408" s="157" t="s">
        <v>0</v>
      </c>
      <c r="AN408" s="157" t="s">
        <v>0</v>
      </c>
      <c r="AO408" s="157" t="s">
        <v>0</v>
      </c>
      <c r="AP408" s="157" t="s">
        <v>0</v>
      </c>
      <c r="AQ408" s="157" t="s">
        <v>0</v>
      </c>
      <c r="AR408" s="157" t="s">
        <v>0</v>
      </c>
      <c r="AS408" s="157" t="s">
        <v>0</v>
      </c>
      <c r="AT408" s="157" t="s">
        <v>0</v>
      </c>
      <c r="AU408" s="157" t="s">
        <v>0</v>
      </c>
      <c r="AV408" s="157" t="s">
        <v>0</v>
      </c>
      <c r="AW408" s="157" t="s">
        <v>0</v>
      </c>
      <c r="AX408" s="157" t="s">
        <v>0</v>
      </c>
      <c r="AY408" s="157" t="s">
        <v>0</v>
      </c>
      <c r="AZ408" s="157" t="s">
        <v>0</v>
      </c>
      <c r="BA408" s="157" t="s">
        <v>0</v>
      </c>
      <c r="BB408" s="157" t="s">
        <v>0</v>
      </c>
      <c r="BC408" s="157" t="s">
        <v>0</v>
      </c>
      <c r="BD408" s="157" t="s">
        <v>0</v>
      </c>
      <c r="BE408" s="157" t="s">
        <v>0</v>
      </c>
      <c r="BF408" s="157" t="s">
        <v>0</v>
      </c>
      <c r="BG408" s="157" t="s">
        <v>0</v>
      </c>
      <c r="BH408" s="157" t="s">
        <v>0</v>
      </c>
      <c r="BI408" s="158"/>
      <c r="DL408">
        <f t="shared" si="2141"/>
        <v>0</v>
      </c>
      <c r="DM408">
        <f t="shared" si="2142"/>
        <v>0</v>
      </c>
      <c r="DN408">
        <f t="shared" si="2143"/>
        <v>0</v>
      </c>
      <c r="DO408">
        <f t="shared" si="2144"/>
        <v>0</v>
      </c>
      <c r="DP408">
        <f t="shared" si="2145"/>
        <v>0</v>
      </c>
      <c r="DQ408">
        <f t="shared" si="2146"/>
        <v>0</v>
      </c>
      <c r="DR408">
        <f t="shared" si="2147"/>
        <v>0</v>
      </c>
      <c r="DS408">
        <f t="shared" si="2148"/>
        <v>0</v>
      </c>
      <c r="DT408">
        <f t="shared" si="2149"/>
        <v>0</v>
      </c>
      <c r="DU408">
        <f t="shared" si="2150"/>
        <v>0</v>
      </c>
      <c r="DV408">
        <f t="shared" si="2151"/>
        <v>0</v>
      </c>
      <c r="DW408">
        <f t="shared" si="2152"/>
        <v>0</v>
      </c>
    </row>
    <row r="409" spans="6:127" x14ac:dyDescent="0.25">
      <c r="F409" s="155" t="s">
        <v>70</v>
      </c>
      <c r="G409" s="181" t="s">
        <v>382</v>
      </c>
      <c r="H409" s="155" t="s">
        <v>71</v>
      </c>
      <c r="I409" s="182" t="s">
        <v>60</v>
      </c>
      <c r="J409" s="161" t="s">
        <v>0</v>
      </c>
      <c r="K409" s="194" t="s">
        <v>0</v>
      </c>
      <c r="L409" s="195" t="s">
        <v>0</v>
      </c>
      <c r="M409" s="179" t="s">
        <v>0</v>
      </c>
      <c r="N409" s="179" t="s">
        <v>0</v>
      </c>
      <c r="O409" s="179" t="s">
        <v>0</v>
      </c>
      <c r="P409" s="179" t="s">
        <v>0</v>
      </c>
      <c r="Q409" s="179" t="s">
        <v>1</v>
      </c>
      <c r="R409" s="179" t="s">
        <v>2</v>
      </c>
      <c r="S409" s="179" t="s">
        <v>0</v>
      </c>
      <c r="T409" s="179" t="s">
        <v>0</v>
      </c>
      <c r="U409" s="179" t="s">
        <v>0</v>
      </c>
      <c r="V409" s="179" t="s">
        <v>0</v>
      </c>
      <c r="W409" s="179" t="s">
        <v>0</v>
      </c>
      <c r="X409" s="179" t="s">
        <v>0</v>
      </c>
      <c r="Y409" s="179" t="s">
        <v>0</v>
      </c>
      <c r="Z409" s="179" t="s">
        <v>3</v>
      </c>
      <c r="AA409" s="179" t="s">
        <v>0</v>
      </c>
      <c r="AB409" s="179" t="s">
        <v>0</v>
      </c>
      <c r="AC409" s="179" t="s">
        <v>0</v>
      </c>
      <c r="AD409" s="179" t="s">
        <v>0</v>
      </c>
      <c r="AE409" s="179" t="s">
        <v>0</v>
      </c>
      <c r="AF409" s="179" t="s">
        <v>0</v>
      </c>
      <c r="AG409" s="179" t="s">
        <v>0</v>
      </c>
      <c r="AH409" s="179" t="s">
        <v>0</v>
      </c>
      <c r="AI409" s="179" t="s">
        <v>0</v>
      </c>
      <c r="AJ409" s="179" t="s">
        <v>0</v>
      </c>
      <c r="AK409" s="179" t="s">
        <v>0</v>
      </c>
      <c r="AL409" s="179" t="s">
        <v>0</v>
      </c>
      <c r="AM409" s="179" t="s">
        <v>0</v>
      </c>
      <c r="AN409" s="179" t="s">
        <v>0</v>
      </c>
      <c r="AO409" s="179" t="s">
        <v>0</v>
      </c>
      <c r="AP409" s="179" t="s">
        <v>0</v>
      </c>
      <c r="AQ409" s="179" t="s">
        <v>0</v>
      </c>
      <c r="AR409" s="179" t="s">
        <v>0</v>
      </c>
      <c r="AS409" s="179" t="s">
        <v>0</v>
      </c>
      <c r="AT409" s="179" t="s">
        <v>0</v>
      </c>
      <c r="AU409" s="179" t="s">
        <v>0</v>
      </c>
      <c r="AV409" s="179" t="s">
        <v>0</v>
      </c>
      <c r="AW409" s="179" t="s">
        <v>0</v>
      </c>
      <c r="AX409" s="179" t="s">
        <v>0</v>
      </c>
      <c r="AY409" s="179" t="s">
        <v>0</v>
      </c>
      <c r="AZ409" s="179" t="s">
        <v>0</v>
      </c>
      <c r="BA409" s="179" t="s">
        <v>0</v>
      </c>
      <c r="BB409" s="179" t="s">
        <v>0</v>
      </c>
      <c r="BC409" s="179" t="s">
        <v>0</v>
      </c>
      <c r="BD409" s="179" t="s">
        <v>0</v>
      </c>
      <c r="BE409" s="179" t="s">
        <v>0</v>
      </c>
      <c r="BF409" s="179" t="s">
        <v>0</v>
      </c>
      <c r="BG409" s="179" t="s">
        <v>0</v>
      </c>
      <c r="BH409" s="179" t="s">
        <v>0</v>
      </c>
      <c r="BI409" s="180" t="s">
        <v>4</v>
      </c>
      <c r="DL409">
        <f t="shared" si="2141"/>
        <v>0</v>
      </c>
      <c r="DM409">
        <f t="shared" si="2142"/>
        <v>0</v>
      </c>
      <c r="DN409">
        <f t="shared" si="2143"/>
        <v>0</v>
      </c>
      <c r="DO409">
        <f t="shared" si="2144"/>
        <v>0</v>
      </c>
      <c r="DP409">
        <f t="shared" si="2145"/>
        <v>0</v>
      </c>
      <c r="DQ409">
        <f t="shared" si="2146"/>
        <v>0</v>
      </c>
      <c r="DR409">
        <f t="shared" si="2147"/>
        <v>0</v>
      </c>
      <c r="DS409">
        <f t="shared" si="2148"/>
        <v>0</v>
      </c>
      <c r="DT409">
        <f t="shared" si="2149"/>
        <v>0</v>
      </c>
      <c r="DU409">
        <f t="shared" si="2150"/>
        <v>0</v>
      </c>
      <c r="DV409">
        <f t="shared" si="2151"/>
        <v>0</v>
      </c>
      <c r="DW409">
        <f t="shared" si="2152"/>
        <v>0</v>
      </c>
    </row>
    <row r="410" spans="6:127" x14ac:dyDescent="0.25">
      <c r="F410" s="155" t="s">
        <v>72</v>
      </c>
      <c r="G410" s="181">
        <v>0</v>
      </c>
      <c r="H410" s="196" t="s">
        <v>414</v>
      </c>
      <c r="I410" s="197" t="s">
        <v>73</v>
      </c>
      <c r="J410" s="13">
        <v>46041</v>
      </c>
      <c r="K410" s="14">
        <v>46048</v>
      </c>
      <c r="L410" s="14">
        <v>46055</v>
      </c>
      <c r="M410" s="14">
        <v>46062</v>
      </c>
      <c r="N410" s="14">
        <v>46069</v>
      </c>
      <c r="O410" s="14">
        <v>46076</v>
      </c>
      <c r="P410" s="14">
        <v>46083</v>
      </c>
      <c r="Q410" s="14">
        <v>46090</v>
      </c>
      <c r="R410" s="14">
        <v>46097</v>
      </c>
      <c r="S410" s="14">
        <v>46104</v>
      </c>
      <c r="T410" s="14">
        <v>46111</v>
      </c>
      <c r="U410" s="14">
        <v>46118</v>
      </c>
      <c r="V410" s="14">
        <v>46125</v>
      </c>
      <c r="W410" s="14">
        <v>46132</v>
      </c>
      <c r="X410" s="14">
        <v>46139</v>
      </c>
      <c r="Y410" s="14">
        <v>46146</v>
      </c>
      <c r="Z410" s="14">
        <v>46153</v>
      </c>
      <c r="AA410" s="14">
        <v>46160</v>
      </c>
      <c r="AB410" s="14">
        <v>46167</v>
      </c>
      <c r="AC410" s="14">
        <v>46174</v>
      </c>
      <c r="AD410" s="14">
        <v>46181</v>
      </c>
      <c r="AE410" s="14">
        <v>46188</v>
      </c>
      <c r="AF410" s="14">
        <v>46195</v>
      </c>
      <c r="AG410" s="14">
        <v>46202</v>
      </c>
      <c r="AH410" s="14">
        <v>46209</v>
      </c>
      <c r="AI410" s="14">
        <v>46216</v>
      </c>
      <c r="AJ410" s="14">
        <v>46223</v>
      </c>
      <c r="AK410" s="14">
        <v>46230</v>
      </c>
      <c r="AL410" s="14">
        <v>46237</v>
      </c>
      <c r="AM410" s="14">
        <v>46244</v>
      </c>
      <c r="AN410" s="14">
        <v>46251</v>
      </c>
      <c r="AO410" s="14">
        <v>46258</v>
      </c>
      <c r="AP410" s="14">
        <v>46265</v>
      </c>
      <c r="AQ410" s="14">
        <v>46272</v>
      </c>
      <c r="AR410" s="14">
        <v>46279</v>
      </c>
      <c r="AS410" s="14">
        <v>46286</v>
      </c>
      <c r="AT410" s="14">
        <v>46293</v>
      </c>
      <c r="AU410" s="14">
        <v>46300</v>
      </c>
      <c r="AV410" s="14">
        <v>46307</v>
      </c>
      <c r="AW410" s="14">
        <v>46314</v>
      </c>
      <c r="AX410" s="14">
        <v>46321</v>
      </c>
      <c r="AY410" s="14">
        <v>46328</v>
      </c>
      <c r="AZ410" s="14">
        <v>46335</v>
      </c>
      <c r="BA410" s="14">
        <v>46342</v>
      </c>
      <c r="BB410" s="14">
        <v>46349</v>
      </c>
      <c r="BC410" s="14">
        <v>46356</v>
      </c>
      <c r="BD410" s="14">
        <v>46363</v>
      </c>
      <c r="BE410" s="14">
        <v>46370</v>
      </c>
      <c r="BF410" s="14">
        <v>46377</v>
      </c>
      <c r="BG410" s="14">
        <v>46384</v>
      </c>
      <c r="BH410" s="14">
        <v>46391</v>
      </c>
      <c r="BI410" s="15">
        <v>46398</v>
      </c>
      <c r="DL410">
        <f t="shared" si="2141"/>
        <v>0</v>
      </c>
      <c r="DM410">
        <f t="shared" si="2142"/>
        <v>0</v>
      </c>
      <c r="DN410">
        <f t="shared" si="2143"/>
        <v>0</v>
      </c>
      <c r="DO410">
        <f t="shared" si="2144"/>
        <v>0</v>
      </c>
      <c r="DP410">
        <f t="shared" si="2145"/>
        <v>0</v>
      </c>
      <c r="DQ410">
        <f t="shared" si="2146"/>
        <v>0</v>
      </c>
      <c r="DR410">
        <f t="shared" si="2147"/>
        <v>0</v>
      </c>
      <c r="DS410">
        <f t="shared" si="2148"/>
        <v>0</v>
      </c>
      <c r="DT410">
        <f t="shared" si="2149"/>
        <v>0</v>
      </c>
      <c r="DU410">
        <f t="shared" si="2150"/>
        <v>0</v>
      </c>
      <c r="DV410">
        <f t="shared" si="2151"/>
        <v>0</v>
      </c>
      <c r="DW410">
        <f t="shared" si="2152"/>
        <v>0</v>
      </c>
    </row>
    <row r="411" spans="6:127" x14ac:dyDescent="0.25">
      <c r="F411" s="155" t="s">
        <v>74</v>
      </c>
      <c r="G411" s="181">
        <v>0</v>
      </c>
      <c r="H411" s="5" t="s">
        <v>60</v>
      </c>
      <c r="I411" s="11" t="s">
        <v>147</v>
      </c>
      <c r="J411" s="16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17"/>
      <c r="DL411">
        <f t="shared" si="2141"/>
        <v>0</v>
      </c>
      <c r="DM411">
        <f t="shared" si="2142"/>
        <v>0</v>
      </c>
      <c r="DN411">
        <f t="shared" si="2143"/>
        <v>0</v>
      </c>
      <c r="DO411">
        <f t="shared" si="2144"/>
        <v>0</v>
      </c>
      <c r="DP411">
        <f t="shared" si="2145"/>
        <v>0</v>
      </c>
      <c r="DQ411">
        <f t="shared" si="2146"/>
        <v>0</v>
      </c>
      <c r="DR411">
        <f t="shared" si="2147"/>
        <v>0</v>
      </c>
      <c r="DS411">
        <f t="shared" si="2148"/>
        <v>0</v>
      </c>
      <c r="DT411">
        <f t="shared" si="2149"/>
        <v>0</v>
      </c>
      <c r="DU411">
        <f t="shared" si="2150"/>
        <v>0</v>
      </c>
      <c r="DV411">
        <f t="shared" si="2151"/>
        <v>0</v>
      </c>
      <c r="DW411">
        <f t="shared" si="2152"/>
        <v>0</v>
      </c>
    </row>
    <row r="412" spans="6:127" x14ac:dyDescent="0.25">
      <c r="F412" s="155" t="s">
        <v>75</v>
      </c>
      <c r="G412" s="198" t="s">
        <v>257</v>
      </c>
      <c r="H412" s="9" t="s">
        <v>239</v>
      </c>
      <c r="I412" s="11" t="s">
        <v>76</v>
      </c>
      <c r="J412" s="143">
        <v>0</v>
      </c>
      <c r="K412" s="64">
        <v>0</v>
      </c>
      <c r="L412" s="64">
        <v>0</v>
      </c>
      <c r="M412" s="64">
        <v>0</v>
      </c>
      <c r="N412" s="64">
        <v>0</v>
      </c>
      <c r="O412" s="64">
        <v>0</v>
      </c>
      <c r="P412" s="64">
        <v>0</v>
      </c>
      <c r="Q412" s="64">
        <v>0</v>
      </c>
      <c r="R412" s="64">
        <v>0</v>
      </c>
      <c r="S412" s="64">
        <v>0</v>
      </c>
      <c r="T412" s="64">
        <v>0</v>
      </c>
      <c r="U412" s="64">
        <v>0</v>
      </c>
      <c r="V412" s="64">
        <v>0</v>
      </c>
      <c r="W412" s="64">
        <v>0</v>
      </c>
      <c r="X412" s="64">
        <v>0</v>
      </c>
      <c r="Y412" s="64">
        <v>0</v>
      </c>
      <c r="Z412" s="64">
        <v>0</v>
      </c>
      <c r="AA412" s="64">
        <v>0</v>
      </c>
      <c r="AB412" s="64">
        <v>0</v>
      </c>
      <c r="AC412" s="64">
        <v>0</v>
      </c>
      <c r="AD412" s="64">
        <v>0</v>
      </c>
      <c r="AE412" s="64">
        <v>0</v>
      </c>
      <c r="AF412" s="64">
        <v>0</v>
      </c>
      <c r="AG412" s="64">
        <v>0</v>
      </c>
      <c r="AH412" s="64">
        <v>0</v>
      </c>
      <c r="AI412" s="64">
        <v>0</v>
      </c>
      <c r="AJ412" s="64">
        <v>0</v>
      </c>
      <c r="AK412" s="64">
        <v>0</v>
      </c>
      <c r="AL412" s="64">
        <v>0</v>
      </c>
      <c r="AM412" s="64">
        <v>0</v>
      </c>
      <c r="AN412" s="64">
        <v>0</v>
      </c>
      <c r="AO412" s="64">
        <v>0</v>
      </c>
      <c r="AP412" s="64">
        <v>0</v>
      </c>
      <c r="AQ412" s="64">
        <v>0</v>
      </c>
      <c r="AR412" s="64">
        <v>0</v>
      </c>
      <c r="AS412" s="64">
        <v>0</v>
      </c>
      <c r="AT412" s="64">
        <v>0</v>
      </c>
      <c r="AU412" s="64">
        <v>0</v>
      </c>
      <c r="AV412" s="64">
        <v>0</v>
      </c>
      <c r="AW412" s="64">
        <v>0</v>
      </c>
      <c r="AX412" s="64">
        <v>0</v>
      </c>
      <c r="AY412" s="64">
        <v>0</v>
      </c>
      <c r="AZ412" s="64">
        <v>0</v>
      </c>
      <c r="BA412" s="64">
        <v>0</v>
      </c>
      <c r="BB412" s="64">
        <v>0</v>
      </c>
      <c r="BC412" s="64">
        <v>0</v>
      </c>
      <c r="BD412" s="64">
        <v>0</v>
      </c>
      <c r="BE412" s="64">
        <v>0</v>
      </c>
      <c r="BF412" s="64">
        <v>0</v>
      </c>
      <c r="BG412" s="64">
        <v>0</v>
      </c>
      <c r="BH412" s="64">
        <v>0</v>
      </c>
      <c r="BI412" s="144">
        <v>0</v>
      </c>
      <c r="BJ412" t="str">
        <f>+G409</f>
        <v>82115-0EA31 B</v>
      </c>
      <c r="BK412">
        <f>+J412</f>
        <v>0</v>
      </c>
      <c r="BL412">
        <f t="shared" ref="BL412" si="2204">+K412</f>
        <v>0</v>
      </c>
      <c r="BM412">
        <f t="shared" ref="BM412" si="2205">+L412</f>
        <v>0</v>
      </c>
      <c r="BN412">
        <f t="shared" ref="BN412" si="2206">+M412</f>
        <v>0</v>
      </c>
      <c r="BO412">
        <f t="shared" ref="BO412" si="2207">+N412</f>
        <v>0</v>
      </c>
      <c r="BP412">
        <f t="shared" ref="BP412" si="2208">+O412</f>
        <v>0</v>
      </c>
      <c r="BQ412">
        <f t="shared" ref="BQ412" si="2209">+P412</f>
        <v>0</v>
      </c>
      <c r="BR412">
        <f t="shared" ref="BR412" si="2210">+Q412</f>
        <v>0</v>
      </c>
      <c r="BS412">
        <f t="shared" ref="BS412" si="2211">+R412</f>
        <v>0</v>
      </c>
      <c r="BT412">
        <f t="shared" ref="BT412" si="2212">+S412</f>
        <v>0</v>
      </c>
      <c r="BU412">
        <f t="shared" ref="BU412" si="2213">+T412</f>
        <v>0</v>
      </c>
      <c r="BV412">
        <f t="shared" ref="BV412" si="2214">+U412</f>
        <v>0</v>
      </c>
      <c r="BW412">
        <f t="shared" ref="BW412" si="2215">+V412</f>
        <v>0</v>
      </c>
      <c r="BX412">
        <f t="shared" ref="BX412" si="2216">+W412</f>
        <v>0</v>
      </c>
      <c r="BY412">
        <f t="shared" ref="BY412" si="2217">+X412</f>
        <v>0</v>
      </c>
      <c r="BZ412">
        <f t="shared" ref="BZ412" si="2218">+Y412</f>
        <v>0</v>
      </c>
      <c r="CA412">
        <f t="shared" ref="CA412" si="2219">+Z412</f>
        <v>0</v>
      </c>
      <c r="CB412">
        <f t="shared" ref="CB412" si="2220">+AA412</f>
        <v>0</v>
      </c>
      <c r="CC412">
        <f t="shared" ref="CC412" si="2221">+AB412</f>
        <v>0</v>
      </c>
      <c r="CD412">
        <f t="shared" ref="CD412" si="2222">+AC412</f>
        <v>0</v>
      </c>
      <c r="CE412">
        <f t="shared" ref="CE412" si="2223">+AD412</f>
        <v>0</v>
      </c>
      <c r="CF412">
        <f t="shared" ref="CF412" si="2224">+AE412</f>
        <v>0</v>
      </c>
      <c r="CG412">
        <f t="shared" ref="CG412" si="2225">+AF412</f>
        <v>0</v>
      </c>
      <c r="CH412">
        <f t="shared" ref="CH412" si="2226">+AG412</f>
        <v>0</v>
      </c>
      <c r="CI412">
        <f t="shared" ref="CI412" si="2227">+AH412</f>
        <v>0</v>
      </c>
      <c r="CJ412">
        <f t="shared" ref="CJ412" si="2228">+AI412</f>
        <v>0</v>
      </c>
      <c r="CK412">
        <f t="shared" ref="CK412" si="2229">+AJ412</f>
        <v>0</v>
      </c>
      <c r="CL412">
        <f t="shared" ref="CL412" si="2230">+AK412</f>
        <v>0</v>
      </c>
      <c r="CM412">
        <f t="shared" ref="CM412" si="2231">+AL412</f>
        <v>0</v>
      </c>
      <c r="CN412">
        <f t="shared" ref="CN412" si="2232">+AM412</f>
        <v>0</v>
      </c>
      <c r="CO412">
        <f t="shared" ref="CO412" si="2233">+AN412</f>
        <v>0</v>
      </c>
      <c r="CP412">
        <f t="shared" ref="CP412" si="2234">+AO412</f>
        <v>0</v>
      </c>
      <c r="CQ412">
        <f t="shared" ref="CQ412" si="2235">+AP412</f>
        <v>0</v>
      </c>
      <c r="CR412">
        <f t="shared" ref="CR412" si="2236">+AQ412</f>
        <v>0</v>
      </c>
      <c r="CS412">
        <f t="shared" ref="CS412" si="2237">+AR412</f>
        <v>0</v>
      </c>
      <c r="CT412">
        <f t="shared" ref="CT412" si="2238">+AS412</f>
        <v>0</v>
      </c>
      <c r="CU412">
        <f t="shared" ref="CU412" si="2239">+AT412</f>
        <v>0</v>
      </c>
      <c r="CV412">
        <f t="shared" ref="CV412" si="2240">+AU412</f>
        <v>0</v>
      </c>
      <c r="CW412">
        <f t="shared" ref="CW412" si="2241">+AV412</f>
        <v>0</v>
      </c>
      <c r="CX412">
        <f t="shared" ref="CX412" si="2242">+AW412</f>
        <v>0</v>
      </c>
      <c r="CY412">
        <f t="shared" ref="CY412" si="2243">+AX412</f>
        <v>0</v>
      </c>
      <c r="CZ412">
        <f t="shared" ref="CZ412" si="2244">+AY412</f>
        <v>0</v>
      </c>
      <c r="DA412">
        <f t="shared" ref="DA412" si="2245">+AZ412</f>
        <v>0</v>
      </c>
      <c r="DB412">
        <f t="shared" ref="DB412" si="2246">+BA412</f>
        <v>0</v>
      </c>
      <c r="DC412">
        <f t="shared" ref="DC412" si="2247">+BB412</f>
        <v>0</v>
      </c>
      <c r="DD412">
        <f t="shared" ref="DD412" si="2248">+BC412</f>
        <v>0</v>
      </c>
      <c r="DE412">
        <f t="shared" ref="DE412" si="2249">+BD412</f>
        <v>0</v>
      </c>
      <c r="DF412">
        <f t="shared" ref="DF412" si="2250">+BE412</f>
        <v>0</v>
      </c>
      <c r="DG412">
        <f t="shared" ref="DG412" si="2251">+BF412</f>
        <v>0</v>
      </c>
      <c r="DH412">
        <f t="shared" ref="DH412" si="2252">+BG412</f>
        <v>0</v>
      </c>
      <c r="DI412">
        <f t="shared" ref="DI412" si="2253">+BH412</f>
        <v>0</v>
      </c>
      <c r="DJ412">
        <f t="shared" ref="DJ412" si="2254">+BI412</f>
        <v>0</v>
      </c>
      <c r="DL412">
        <f t="shared" si="2141"/>
        <v>0</v>
      </c>
      <c r="DM412">
        <f t="shared" si="2142"/>
        <v>0</v>
      </c>
      <c r="DN412">
        <f t="shared" si="2143"/>
        <v>0</v>
      </c>
      <c r="DO412">
        <f t="shared" si="2144"/>
        <v>0</v>
      </c>
      <c r="DP412">
        <f t="shared" si="2145"/>
        <v>0</v>
      </c>
      <c r="DQ412">
        <f t="shared" si="2146"/>
        <v>0</v>
      </c>
      <c r="DR412">
        <f t="shared" si="2147"/>
        <v>0</v>
      </c>
      <c r="DS412">
        <f t="shared" si="2148"/>
        <v>0</v>
      </c>
      <c r="DT412">
        <f t="shared" si="2149"/>
        <v>0</v>
      </c>
      <c r="DU412">
        <f t="shared" si="2150"/>
        <v>0</v>
      </c>
      <c r="DV412">
        <f t="shared" si="2151"/>
        <v>0</v>
      </c>
      <c r="DW412">
        <f t="shared" si="2152"/>
        <v>0</v>
      </c>
    </row>
    <row r="413" spans="6:127" x14ac:dyDescent="0.25">
      <c r="F413" s="155" t="s">
        <v>77</v>
      </c>
      <c r="G413" s="181">
        <v>82115</v>
      </c>
      <c r="H413" s="10" t="s">
        <v>239</v>
      </c>
      <c r="I413" s="12" t="s">
        <v>78</v>
      </c>
      <c r="J413" s="152">
        <v>0</v>
      </c>
      <c r="K413" s="153">
        <v>0</v>
      </c>
      <c r="L413" s="153">
        <v>0</v>
      </c>
      <c r="M413" s="153">
        <v>0</v>
      </c>
      <c r="N413" s="153">
        <v>0</v>
      </c>
      <c r="O413" s="153">
        <v>0</v>
      </c>
      <c r="P413" s="153">
        <v>0</v>
      </c>
      <c r="Q413" s="153">
        <v>0</v>
      </c>
      <c r="R413" s="153">
        <v>0</v>
      </c>
      <c r="S413" s="153">
        <v>0</v>
      </c>
      <c r="T413" s="153">
        <v>0</v>
      </c>
      <c r="U413" s="153">
        <v>0</v>
      </c>
      <c r="V413" s="153">
        <v>0</v>
      </c>
      <c r="W413" s="153">
        <v>0</v>
      </c>
      <c r="X413" s="153">
        <v>0</v>
      </c>
      <c r="Y413" s="153">
        <v>0</v>
      </c>
      <c r="Z413" s="153">
        <v>0</v>
      </c>
      <c r="AA413" s="153">
        <v>0</v>
      </c>
      <c r="AB413" s="153">
        <v>0</v>
      </c>
      <c r="AC413" s="153">
        <v>0</v>
      </c>
      <c r="AD413" s="153">
        <v>0</v>
      </c>
      <c r="AE413" s="153">
        <v>0</v>
      </c>
      <c r="AF413" s="153">
        <v>0</v>
      </c>
      <c r="AG413" s="153">
        <v>0</v>
      </c>
      <c r="AH413" s="153">
        <v>0</v>
      </c>
      <c r="AI413" s="153">
        <v>0</v>
      </c>
      <c r="AJ413" s="153">
        <v>0</v>
      </c>
      <c r="AK413" s="153">
        <v>0</v>
      </c>
      <c r="AL413" s="153">
        <v>0</v>
      </c>
      <c r="AM413" s="153">
        <v>0</v>
      </c>
      <c r="AN413" s="153">
        <v>0</v>
      </c>
      <c r="AO413" s="153">
        <v>0</v>
      </c>
      <c r="AP413" s="153">
        <v>0</v>
      </c>
      <c r="AQ413" s="153">
        <v>0</v>
      </c>
      <c r="AR413" s="153">
        <v>0</v>
      </c>
      <c r="AS413" s="153">
        <v>0</v>
      </c>
      <c r="AT413" s="153">
        <v>0</v>
      </c>
      <c r="AU413" s="153">
        <v>0</v>
      </c>
      <c r="AV413" s="153">
        <v>0</v>
      </c>
      <c r="AW413" s="153">
        <v>0</v>
      </c>
      <c r="AX413" s="153">
        <v>0</v>
      </c>
      <c r="AY413" s="153">
        <v>0</v>
      </c>
      <c r="AZ413" s="153">
        <v>0</v>
      </c>
      <c r="BA413" s="153">
        <v>0</v>
      </c>
      <c r="BB413" s="153">
        <v>0</v>
      </c>
      <c r="BC413" s="153">
        <v>0</v>
      </c>
      <c r="BD413" s="153">
        <v>0</v>
      </c>
      <c r="BE413" s="153">
        <v>0</v>
      </c>
      <c r="BF413" s="153">
        <v>0</v>
      </c>
      <c r="BG413" s="153">
        <v>0</v>
      </c>
      <c r="BH413" s="153">
        <v>0</v>
      </c>
      <c r="BI413" s="154">
        <v>0</v>
      </c>
      <c r="DL413">
        <f t="shared" si="2141"/>
        <v>0</v>
      </c>
      <c r="DM413">
        <f t="shared" si="2142"/>
        <v>0</v>
      </c>
      <c r="DN413">
        <f t="shared" si="2143"/>
        <v>0</v>
      </c>
      <c r="DO413">
        <f t="shared" si="2144"/>
        <v>0</v>
      </c>
      <c r="DP413">
        <f t="shared" si="2145"/>
        <v>0</v>
      </c>
      <c r="DQ413">
        <f t="shared" si="2146"/>
        <v>0</v>
      </c>
      <c r="DR413">
        <f t="shared" si="2147"/>
        <v>0</v>
      </c>
      <c r="DS413">
        <f t="shared" si="2148"/>
        <v>0</v>
      </c>
      <c r="DT413">
        <f t="shared" si="2149"/>
        <v>0</v>
      </c>
      <c r="DU413">
        <f t="shared" si="2150"/>
        <v>0</v>
      </c>
      <c r="DV413">
        <f t="shared" si="2151"/>
        <v>0</v>
      </c>
      <c r="DW413">
        <f t="shared" si="2152"/>
        <v>0</v>
      </c>
    </row>
    <row r="414" spans="6:127" x14ac:dyDescent="0.25">
      <c r="F414" s="155" t="s">
        <v>79</v>
      </c>
      <c r="G414" s="199">
        <v>0</v>
      </c>
      <c r="H414" s="184" t="s">
        <v>80</v>
      </c>
      <c r="I414" s="185"/>
      <c r="J414" s="200"/>
      <c r="K414" s="156"/>
      <c r="L414" s="157" t="s">
        <v>0</v>
      </c>
      <c r="M414" s="157" t="s">
        <v>0</v>
      </c>
      <c r="N414" s="157" t="s">
        <v>0</v>
      </c>
      <c r="O414" s="157" t="s">
        <v>0</v>
      </c>
      <c r="P414" s="157" t="s">
        <v>0</v>
      </c>
      <c r="Q414" s="157" t="s">
        <v>0</v>
      </c>
      <c r="R414" s="157" t="s">
        <v>0</v>
      </c>
      <c r="S414" s="157" t="s">
        <v>0</v>
      </c>
      <c r="T414" s="157" t="s">
        <v>0</v>
      </c>
      <c r="U414" s="157" t="s">
        <v>0</v>
      </c>
      <c r="V414" s="157" t="s">
        <v>0</v>
      </c>
      <c r="W414" s="157" t="s">
        <v>0</v>
      </c>
      <c r="X414" s="157" t="s">
        <v>0</v>
      </c>
      <c r="Y414" s="157" t="s">
        <v>0</v>
      </c>
      <c r="Z414" s="157" t="s">
        <v>0</v>
      </c>
      <c r="AA414" s="157" t="s">
        <v>0</v>
      </c>
      <c r="AB414" s="157" t="s">
        <v>0</v>
      </c>
      <c r="AC414" s="157" t="s">
        <v>0</v>
      </c>
      <c r="AD414" s="157" t="s">
        <v>0</v>
      </c>
      <c r="AE414" s="157" t="s">
        <v>0</v>
      </c>
      <c r="AF414" s="157" t="s">
        <v>0</v>
      </c>
      <c r="AG414" s="157" t="s">
        <v>0</v>
      </c>
      <c r="AH414" s="157" t="s">
        <v>0</v>
      </c>
      <c r="AI414" s="157" t="s">
        <v>0</v>
      </c>
      <c r="AJ414" s="157" t="s">
        <v>0</v>
      </c>
      <c r="AK414" s="157" t="s">
        <v>0</v>
      </c>
      <c r="AL414" s="157" t="s">
        <v>0</v>
      </c>
      <c r="AM414" s="157" t="s">
        <v>0</v>
      </c>
      <c r="AN414" s="157" t="s">
        <v>0</v>
      </c>
      <c r="AO414" s="157" t="s">
        <v>0</v>
      </c>
      <c r="AP414" s="157" t="s">
        <v>0</v>
      </c>
      <c r="AQ414" s="157" t="s">
        <v>0</v>
      </c>
      <c r="AR414" s="157" t="s">
        <v>0</v>
      </c>
      <c r="AS414" s="157" t="s">
        <v>0</v>
      </c>
      <c r="AT414" s="157" t="s">
        <v>0</v>
      </c>
      <c r="AU414" s="157" t="s">
        <v>0</v>
      </c>
      <c r="AV414" s="157" t="s">
        <v>0</v>
      </c>
      <c r="AW414" s="157" t="s">
        <v>0</v>
      </c>
      <c r="AX414" s="157" t="s">
        <v>0</v>
      </c>
      <c r="AY414" s="157" t="s">
        <v>0</v>
      </c>
      <c r="AZ414" s="157" t="s">
        <v>0</v>
      </c>
      <c r="BA414" s="157" t="s">
        <v>0</v>
      </c>
      <c r="BB414" s="157" t="s">
        <v>0</v>
      </c>
      <c r="BC414" s="157" t="s">
        <v>0</v>
      </c>
      <c r="BD414" s="157" t="s">
        <v>0</v>
      </c>
      <c r="BE414" s="157" t="s">
        <v>0</v>
      </c>
      <c r="BF414" s="157" t="s">
        <v>0</v>
      </c>
      <c r="BG414" s="157" t="s">
        <v>0</v>
      </c>
      <c r="BH414" s="157" t="s">
        <v>0</v>
      </c>
      <c r="BI414" s="158"/>
      <c r="DL414">
        <f t="shared" si="2141"/>
        <v>0</v>
      </c>
      <c r="DM414">
        <f t="shared" si="2142"/>
        <v>0</v>
      </c>
      <c r="DN414">
        <f t="shared" si="2143"/>
        <v>0</v>
      </c>
      <c r="DO414">
        <f t="shared" si="2144"/>
        <v>0</v>
      </c>
      <c r="DP414">
        <f t="shared" si="2145"/>
        <v>0</v>
      </c>
      <c r="DQ414">
        <f t="shared" si="2146"/>
        <v>0</v>
      </c>
      <c r="DR414">
        <f t="shared" si="2147"/>
        <v>0</v>
      </c>
      <c r="DS414">
        <f t="shared" si="2148"/>
        <v>0</v>
      </c>
      <c r="DT414">
        <f t="shared" si="2149"/>
        <v>0</v>
      </c>
      <c r="DU414">
        <f t="shared" si="2150"/>
        <v>0</v>
      </c>
      <c r="DV414">
        <f t="shared" si="2151"/>
        <v>0</v>
      </c>
      <c r="DW414">
        <f t="shared" si="2152"/>
        <v>0</v>
      </c>
    </row>
    <row r="415" spans="6:127" x14ac:dyDescent="0.25">
      <c r="F415" s="159" t="s">
        <v>81</v>
      </c>
      <c r="G415" s="160" t="s">
        <v>60</v>
      </c>
      <c r="H415" s="201" t="s">
        <v>60</v>
      </c>
      <c r="I415" s="183" t="s">
        <v>60</v>
      </c>
      <c r="J415" s="183" t="s">
        <v>0</v>
      </c>
      <c r="K415" s="183" t="s">
        <v>0</v>
      </c>
      <c r="L415" s="183" t="s">
        <v>0</v>
      </c>
      <c r="M415" s="183" t="s">
        <v>0</v>
      </c>
      <c r="N415" s="183" t="s">
        <v>0</v>
      </c>
      <c r="O415" s="183" t="s">
        <v>0</v>
      </c>
      <c r="P415" s="183" t="s">
        <v>0</v>
      </c>
      <c r="Q415" s="183" t="s">
        <v>0</v>
      </c>
      <c r="R415" s="183" t="s">
        <v>0</v>
      </c>
      <c r="S415" s="183" t="s">
        <v>0</v>
      </c>
      <c r="T415" s="183" t="s">
        <v>0</v>
      </c>
      <c r="U415" s="183" t="s">
        <v>0</v>
      </c>
      <c r="V415" s="183" t="s">
        <v>0</v>
      </c>
      <c r="W415" s="183" t="s">
        <v>0</v>
      </c>
      <c r="X415" s="183" t="s">
        <v>0</v>
      </c>
      <c r="Y415" s="183" t="s">
        <v>0</v>
      </c>
      <c r="Z415" s="183" t="s">
        <v>0</v>
      </c>
      <c r="AA415" s="183" t="s">
        <v>0</v>
      </c>
      <c r="AB415" s="183" t="s">
        <v>0</v>
      </c>
      <c r="AC415" s="183" t="s">
        <v>0</v>
      </c>
      <c r="AD415" s="183" t="s">
        <v>0</v>
      </c>
      <c r="AE415" s="183" t="s">
        <v>0</v>
      </c>
      <c r="AF415" s="183" t="s">
        <v>0</v>
      </c>
      <c r="AG415" s="183" t="s">
        <v>0</v>
      </c>
      <c r="AH415" s="183" t="s">
        <v>0</v>
      </c>
      <c r="AI415" s="183" t="s">
        <v>0</v>
      </c>
      <c r="AJ415" s="183" t="s">
        <v>0</v>
      </c>
      <c r="AK415" s="183" t="s">
        <v>0</v>
      </c>
      <c r="AL415" s="183" t="s">
        <v>0</v>
      </c>
      <c r="AM415" s="183" t="s">
        <v>0</v>
      </c>
      <c r="AN415" s="183" t="s">
        <v>0</v>
      </c>
      <c r="AO415" s="183" t="s">
        <v>0</v>
      </c>
      <c r="AP415" s="183" t="s">
        <v>0</v>
      </c>
      <c r="AQ415" s="183" t="s">
        <v>0</v>
      </c>
      <c r="AR415" s="183" t="s">
        <v>0</v>
      </c>
      <c r="AS415" s="183" t="s">
        <v>0</v>
      </c>
      <c r="AT415" s="183" t="s">
        <v>0</v>
      </c>
      <c r="AU415" s="183" t="s">
        <v>0</v>
      </c>
      <c r="AV415" s="183" t="s">
        <v>0</v>
      </c>
      <c r="AW415" s="183" t="s">
        <v>0</v>
      </c>
      <c r="AX415" s="183" t="s">
        <v>0</v>
      </c>
      <c r="AY415" s="183" t="s">
        <v>0</v>
      </c>
      <c r="AZ415" s="183" t="s">
        <v>0</v>
      </c>
      <c r="BA415" s="183" t="s">
        <v>0</v>
      </c>
      <c r="BB415" s="183" t="s">
        <v>0</v>
      </c>
      <c r="BC415" s="183" t="s">
        <v>0</v>
      </c>
      <c r="BD415" s="183" t="s">
        <v>0</v>
      </c>
      <c r="BE415" s="183" t="s">
        <v>0</v>
      </c>
      <c r="BF415" s="183" t="s">
        <v>0</v>
      </c>
      <c r="BG415" s="183" t="s">
        <v>0</v>
      </c>
      <c r="BH415" s="183" t="s">
        <v>0</v>
      </c>
      <c r="BI415" s="161"/>
      <c r="DL415">
        <f t="shared" si="2141"/>
        <v>0</v>
      </c>
      <c r="DM415">
        <f t="shared" si="2142"/>
        <v>0</v>
      </c>
      <c r="DN415">
        <f t="shared" si="2143"/>
        <v>0</v>
      </c>
      <c r="DO415">
        <f t="shared" si="2144"/>
        <v>0</v>
      </c>
      <c r="DP415">
        <f t="shared" si="2145"/>
        <v>0</v>
      </c>
      <c r="DQ415">
        <f t="shared" si="2146"/>
        <v>0</v>
      </c>
      <c r="DR415">
        <f t="shared" si="2147"/>
        <v>0</v>
      </c>
      <c r="DS415">
        <f t="shared" si="2148"/>
        <v>0</v>
      </c>
      <c r="DT415">
        <f t="shared" si="2149"/>
        <v>0</v>
      </c>
      <c r="DU415">
        <f t="shared" si="2150"/>
        <v>0</v>
      </c>
      <c r="DV415">
        <f t="shared" si="2151"/>
        <v>0</v>
      </c>
      <c r="DW415">
        <f t="shared" si="2152"/>
        <v>0</v>
      </c>
    </row>
    <row r="416" spans="6:127" x14ac:dyDescent="0.25">
      <c r="F416" s="188" t="s">
        <v>60</v>
      </c>
      <c r="G416" s="162" t="s">
        <v>60</v>
      </c>
      <c r="H416" s="163" t="s">
        <v>60</v>
      </c>
      <c r="I416" s="164" t="s">
        <v>60</v>
      </c>
      <c r="J416" s="164" t="s">
        <v>0</v>
      </c>
      <c r="K416" s="164" t="s">
        <v>0</v>
      </c>
      <c r="L416" s="164" t="s">
        <v>0</v>
      </c>
      <c r="M416" s="164" t="s">
        <v>0</v>
      </c>
      <c r="N416" s="164" t="s">
        <v>0</v>
      </c>
      <c r="O416" s="164" t="s">
        <v>0</v>
      </c>
      <c r="P416" s="164" t="s">
        <v>0</v>
      </c>
      <c r="Q416" s="164" t="s">
        <v>0</v>
      </c>
      <c r="R416" s="164" t="s">
        <v>0</v>
      </c>
      <c r="S416" s="164" t="s">
        <v>0</v>
      </c>
      <c r="T416" s="164" t="s">
        <v>0</v>
      </c>
      <c r="U416" s="164" t="s">
        <v>0</v>
      </c>
      <c r="V416" s="164" t="s">
        <v>0</v>
      </c>
      <c r="W416" s="164" t="s">
        <v>0</v>
      </c>
      <c r="X416" s="164" t="s">
        <v>0</v>
      </c>
      <c r="Y416" s="164" t="s">
        <v>0</v>
      </c>
      <c r="Z416" s="164" t="s">
        <v>0</v>
      </c>
      <c r="AA416" s="164" t="s">
        <v>0</v>
      </c>
      <c r="AB416" s="164" t="s">
        <v>0</v>
      </c>
      <c r="AC416" s="164" t="s">
        <v>0</v>
      </c>
      <c r="AD416" s="164" t="s">
        <v>0</v>
      </c>
      <c r="AE416" s="164" t="s">
        <v>0</v>
      </c>
      <c r="AF416" s="164" t="s">
        <v>0</v>
      </c>
      <c r="AG416" s="164" t="s">
        <v>0</v>
      </c>
      <c r="AH416" s="164" t="s">
        <v>0</v>
      </c>
      <c r="AI416" s="164" t="s">
        <v>0</v>
      </c>
      <c r="AJ416" s="164" t="s">
        <v>0</v>
      </c>
      <c r="AK416" s="164" t="s">
        <v>0</v>
      </c>
      <c r="AL416" s="164" t="s">
        <v>0</v>
      </c>
      <c r="AM416" s="164" t="s">
        <v>0</v>
      </c>
      <c r="AN416" s="164" t="s">
        <v>0</v>
      </c>
      <c r="AO416" s="164" t="s">
        <v>0</v>
      </c>
      <c r="AP416" s="164" t="s">
        <v>0</v>
      </c>
      <c r="AQ416" s="164" t="s">
        <v>0</v>
      </c>
      <c r="AR416" s="164" t="s">
        <v>0</v>
      </c>
      <c r="AS416" s="164" t="s">
        <v>0</v>
      </c>
      <c r="AT416" s="164" t="s">
        <v>0</v>
      </c>
      <c r="AU416" s="164" t="s">
        <v>0</v>
      </c>
      <c r="AV416" s="164" t="s">
        <v>0</v>
      </c>
      <c r="AW416" s="164" t="s">
        <v>0</v>
      </c>
      <c r="AX416" s="164" t="s">
        <v>0</v>
      </c>
      <c r="AY416" s="164" t="s">
        <v>0</v>
      </c>
      <c r="AZ416" s="164" t="s">
        <v>0</v>
      </c>
      <c r="BA416" s="164" t="s">
        <v>0</v>
      </c>
      <c r="BB416" s="164" t="s">
        <v>0</v>
      </c>
      <c r="BC416" s="164" t="s">
        <v>0</v>
      </c>
      <c r="BD416" s="164" t="s">
        <v>0</v>
      </c>
      <c r="BE416" s="164" t="s">
        <v>0</v>
      </c>
      <c r="BF416" s="164" t="s">
        <v>0</v>
      </c>
      <c r="BG416" s="164" t="s">
        <v>0</v>
      </c>
      <c r="BH416" s="164" t="s">
        <v>0</v>
      </c>
      <c r="BI416" s="189"/>
      <c r="DL416">
        <f t="shared" si="2141"/>
        <v>0</v>
      </c>
      <c r="DM416">
        <f t="shared" si="2142"/>
        <v>0</v>
      </c>
      <c r="DN416">
        <f t="shared" si="2143"/>
        <v>0</v>
      </c>
      <c r="DO416">
        <f t="shared" si="2144"/>
        <v>0</v>
      </c>
      <c r="DP416">
        <f t="shared" si="2145"/>
        <v>0</v>
      </c>
      <c r="DQ416">
        <f t="shared" si="2146"/>
        <v>0</v>
      </c>
      <c r="DR416">
        <f t="shared" si="2147"/>
        <v>0</v>
      </c>
      <c r="DS416">
        <f t="shared" si="2148"/>
        <v>0</v>
      </c>
      <c r="DT416">
        <f t="shared" si="2149"/>
        <v>0</v>
      </c>
      <c r="DU416">
        <f t="shared" si="2150"/>
        <v>0</v>
      </c>
      <c r="DV416">
        <f t="shared" si="2151"/>
        <v>0</v>
      </c>
      <c r="DW416">
        <f t="shared" si="2152"/>
        <v>0</v>
      </c>
    </row>
    <row r="417" spans="6:127" x14ac:dyDescent="0.25">
      <c r="F417" s="155" t="s">
        <v>61</v>
      </c>
      <c r="G417" s="181">
        <v>5501017968</v>
      </c>
      <c r="H417" s="155" t="s">
        <v>62</v>
      </c>
      <c r="I417" s="181">
        <v>91</v>
      </c>
      <c r="J417" s="155" t="s">
        <v>63</v>
      </c>
      <c r="K417" s="160">
        <v>1177755</v>
      </c>
      <c r="L417" s="161"/>
      <c r="M417" s="190" t="s">
        <v>64</v>
      </c>
      <c r="N417" s="191"/>
      <c r="O417" s="192">
        <v>46086</v>
      </c>
      <c r="P417" s="155" t="s">
        <v>65</v>
      </c>
      <c r="Q417" s="181">
        <v>4</v>
      </c>
      <c r="R417" s="6" t="s">
        <v>0</v>
      </c>
      <c r="S417" s="7" t="s">
        <v>0</v>
      </c>
      <c r="T417" s="7" t="s">
        <v>0</v>
      </c>
      <c r="U417" s="7" t="s">
        <v>0</v>
      </c>
      <c r="V417" s="7" t="s">
        <v>0</v>
      </c>
      <c r="W417" s="7" t="s">
        <v>0</v>
      </c>
      <c r="X417" s="7" t="s">
        <v>0</v>
      </c>
      <c r="Y417" s="7" t="s">
        <v>0</v>
      </c>
      <c r="Z417" s="7" t="s">
        <v>0</v>
      </c>
      <c r="AA417" s="7" t="s">
        <v>0</v>
      </c>
      <c r="AB417" s="7" t="s">
        <v>0</v>
      </c>
      <c r="AC417" s="7" t="s">
        <v>0</v>
      </c>
      <c r="AD417" s="7" t="s">
        <v>0</v>
      </c>
      <c r="AE417" s="7" t="s">
        <v>0</v>
      </c>
      <c r="AF417" s="7" t="s">
        <v>0</v>
      </c>
      <c r="AG417" s="7" t="s">
        <v>0</v>
      </c>
      <c r="AH417" s="7" t="s">
        <v>0</v>
      </c>
      <c r="AI417" s="7" t="s">
        <v>0</v>
      </c>
      <c r="AJ417" s="7" t="s">
        <v>0</v>
      </c>
      <c r="AK417" s="7" t="s">
        <v>0</v>
      </c>
      <c r="AL417" s="7" t="s">
        <v>0</v>
      </c>
      <c r="AM417" s="7" t="s">
        <v>0</v>
      </c>
      <c r="AN417" s="7" t="s">
        <v>0</v>
      </c>
      <c r="AO417" s="7" t="s">
        <v>0</v>
      </c>
      <c r="AP417" s="7" t="s">
        <v>0</v>
      </c>
      <c r="AQ417" s="7" t="s">
        <v>0</v>
      </c>
      <c r="AR417" s="7" t="s">
        <v>0</v>
      </c>
      <c r="AS417" s="7" t="s">
        <v>0</v>
      </c>
      <c r="AT417" s="7" t="s">
        <v>0</v>
      </c>
      <c r="AU417" s="7" t="s">
        <v>0</v>
      </c>
      <c r="AV417" s="7" t="s">
        <v>0</v>
      </c>
      <c r="AW417" s="7" t="s">
        <v>0</v>
      </c>
      <c r="AX417" s="7" t="s">
        <v>0</v>
      </c>
      <c r="AY417" s="7" t="s">
        <v>0</v>
      </c>
      <c r="AZ417" s="7" t="s">
        <v>0</v>
      </c>
      <c r="BA417" s="7" t="s">
        <v>0</v>
      </c>
      <c r="BB417" s="7" t="s">
        <v>0</v>
      </c>
      <c r="BC417" s="7" t="s">
        <v>0</v>
      </c>
      <c r="BD417" s="7" t="s">
        <v>0</v>
      </c>
      <c r="BE417" s="7" t="s">
        <v>0</v>
      </c>
      <c r="BF417" s="7" t="s">
        <v>0</v>
      </c>
      <c r="BG417" s="7" t="s">
        <v>0</v>
      </c>
      <c r="BH417" s="7" t="s">
        <v>0</v>
      </c>
      <c r="BI417" s="8"/>
      <c r="DL417">
        <f t="shared" si="2141"/>
        <v>0</v>
      </c>
      <c r="DM417">
        <f t="shared" si="2142"/>
        <v>0</v>
      </c>
      <c r="DN417">
        <f t="shared" si="2143"/>
        <v>0</v>
      </c>
      <c r="DO417">
        <f t="shared" si="2144"/>
        <v>0</v>
      </c>
      <c r="DP417">
        <f t="shared" si="2145"/>
        <v>0</v>
      </c>
      <c r="DQ417">
        <f t="shared" si="2146"/>
        <v>0</v>
      </c>
      <c r="DR417">
        <f t="shared" si="2147"/>
        <v>0</v>
      </c>
      <c r="DS417">
        <f t="shared" si="2148"/>
        <v>0</v>
      </c>
      <c r="DT417">
        <f t="shared" si="2149"/>
        <v>0</v>
      </c>
      <c r="DU417">
        <f t="shared" si="2150"/>
        <v>0</v>
      </c>
      <c r="DV417">
        <f t="shared" si="2151"/>
        <v>0</v>
      </c>
      <c r="DW417">
        <f t="shared" si="2152"/>
        <v>0</v>
      </c>
    </row>
    <row r="418" spans="6:127" x14ac:dyDescent="0.25">
      <c r="F418" s="155" t="s">
        <v>66</v>
      </c>
      <c r="G418" s="181" t="s">
        <v>383</v>
      </c>
      <c r="H418" s="155" t="s">
        <v>67</v>
      </c>
      <c r="I418" s="182" t="s">
        <v>384</v>
      </c>
      <c r="J418" s="183"/>
      <c r="K418" s="183"/>
      <c r="L418" s="161"/>
      <c r="M418" s="155" t="s">
        <v>68</v>
      </c>
      <c r="N418" s="181">
        <v>2025</v>
      </c>
      <c r="O418" s="184" t="s">
        <v>69</v>
      </c>
      <c r="P418" s="185"/>
      <c r="Q418" s="193" t="s">
        <v>342</v>
      </c>
      <c r="R418" s="156" t="s">
        <v>0</v>
      </c>
      <c r="S418" s="157"/>
      <c r="T418" s="157"/>
      <c r="U418" s="157" t="s">
        <v>0</v>
      </c>
      <c r="V418" s="157" t="s">
        <v>0</v>
      </c>
      <c r="W418" s="157" t="s">
        <v>0</v>
      </c>
      <c r="X418" s="157" t="s">
        <v>0</v>
      </c>
      <c r="Y418" s="157" t="s">
        <v>0</v>
      </c>
      <c r="Z418" s="157" t="s">
        <v>0</v>
      </c>
      <c r="AA418" s="157" t="s">
        <v>0</v>
      </c>
      <c r="AB418" s="157" t="s">
        <v>0</v>
      </c>
      <c r="AC418" s="157" t="s">
        <v>0</v>
      </c>
      <c r="AD418" s="157" t="s">
        <v>0</v>
      </c>
      <c r="AE418" s="157" t="s">
        <v>0</v>
      </c>
      <c r="AF418" s="157" t="s">
        <v>0</v>
      </c>
      <c r="AG418" s="157" t="s">
        <v>0</v>
      </c>
      <c r="AH418" s="157" t="s">
        <v>0</v>
      </c>
      <c r="AI418" s="157" t="s">
        <v>0</v>
      </c>
      <c r="AJ418" s="157" t="s">
        <v>0</v>
      </c>
      <c r="AK418" s="157" t="s">
        <v>0</v>
      </c>
      <c r="AL418" s="157" t="s">
        <v>0</v>
      </c>
      <c r="AM418" s="157" t="s">
        <v>0</v>
      </c>
      <c r="AN418" s="157" t="s">
        <v>0</v>
      </c>
      <c r="AO418" s="157" t="s">
        <v>0</v>
      </c>
      <c r="AP418" s="157" t="s">
        <v>0</v>
      </c>
      <c r="AQ418" s="157" t="s">
        <v>0</v>
      </c>
      <c r="AR418" s="157" t="s">
        <v>0</v>
      </c>
      <c r="AS418" s="157" t="s">
        <v>0</v>
      </c>
      <c r="AT418" s="157" t="s">
        <v>0</v>
      </c>
      <c r="AU418" s="157" t="s">
        <v>0</v>
      </c>
      <c r="AV418" s="157" t="s">
        <v>0</v>
      </c>
      <c r="AW418" s="157" t="s">
        <v>0</v>
      </c>
      <c r="AX418" s="157" t="s">
        <v>0</v>
      </c>
      <c r="AY418" s="157" t="s">
        <v>0</v>
      </c>
      <c r="AZ418" s="157" t="s">
        <v>0</v>
      </c>
      <c r="BA418" s="157" t="s">
        <v>0</v>
      </c>
      <c r="BB418" s="157" t="s">
        <v>0</v>
      </c>
      <c r="BC418" s="157" t="s">
        <v>0</v>
      </c>
      <c r="BD418" s="157" t="s">
        <v>0</v>
      </c>
      <c r="BE418" s="157" t="s">
        <v>0</v>
      </c>
      <c r="BF418" s="157" t="s">
        <v>0</v>
      </c>
      <c r="BG418" s="157" t="s">
        <v>0</v>
      </c>
      <c r="BH418" s="157" t="s">
        <v>0</v>
      </c>
      <c r="BI418" s="158"/>
      <c r="DL418">
        <f t="shared" si="2141"/>
        <v>0</v>
      </c>
      <c r="DM418">
        <f t="shared" si="2142"/>
        <v>0</v>
      </c>
      <c r="DN418">
        <f t="shared" si="2143"/>
        <v>0</v>
      </c>
      <c r="DO418">
        <f t="shared" si="2144"/>
        <v>0</v>
      </c>
      <c r="DP418">
        <f t="shared" si="2145"/>
        <v>0</v>
      </c>
      <c r="DQ418">
        <f t="shared" si="2146"/>
        <v>0</v>
      </c>
      <c r="DR418">
        <f t="shared" si="2147"/>
        <v>0</v>
      </c>
      <c r="DS418">
        <f t="shared" si="2148"/>
        <v>0</v>
      </c>
      <c r="DT418">
        <f t="shared" si="2149"/>
        <v>0</v>
      </c>
      <c r="DU418">
        <f t="shared" si="2150"/>
        <v>0</v>
      </c>
      <c r="DV418">
        <f t="shared" si="2151"/>
        <v>0</v>
      </c>
      <c r="DW418">
        <f t="shared" si="2152"/>
        <v>0</v>
      </c>
    </row>
    <row r="419" spans="6:127" x14ac:dyDescent="0.25">
      <c r="F419" s="155" t="s">
        <v>70</v>
      </c>
      <c r="G419" s="181" t="s">
        <v>385</v>
      </c>
      <c r="H419" s="155" t="s">
        <v>71</v>
      </c>
      <c r="I419" s="182" t="s">
        <v>60</v>
      </c>
      <c r="J419" s="161" t="s">
        <v>0</v>
      </c>
      <c r="K419" s="194" t="s">
        <v>0</v>
      </c>
      <c r="L419" s="195" t="s">
        <v>0</v>
      </c>
      <c r="M419" s="179" t="s">
        <v>0</v>
      </c>
      <c r="N419" s="179" t="s">
        <v>0</v>
      </c>
      <c r="O419" s="179" t="s">
        <v>0</v>
      </c>
      <c r="P419" s="179" t="s">
        <v>0</v>
      </c>
      <c r="Q419" s="179" t="s">
        <v>1</v>
      </c>
      <c r="R419" s="179" t="s">
        <v>2</v>
      </c>
      <c r="S419" s="179" t="s">
        <v>0</v>
      </c>
      <c r="T419" s="179" t="s">
        <v>0</v>
      </c>
      <c r="U419" s="179" t="s">
        <v>0</v>
      </c>
      <c r="V419" s="179" t="s">
        <v>0</v>
      </c>
      <c r="W419" s="179" t="s">
        <v>0</v>
      </c>
      <c r="X419" s="179" t="s">
        <v>0</v>
      </c>
      <c r="Y419" s="179" t="s">
        <v>0</v>
      </c>
      <c r="Z419" s="179" t="s">
        <v>3</v>
      </c>
      <c r="AA419" s="179" t="s">
        <v>0</v>
      </c>
      <c r="AB419" s="179" t="s">
        <v>0</v>
      </c>
      <c r="AC419" s="179" t="s">
        <v>0</v>
      </c>
      <c r="AD419" s="179" t="s">
        <v>0</v>
      </c>
      <c r="AE419" s="179" t="s">
        <v>0</v>
      </c>
      <c r="AF419" s="179" t="s">
        <v>0</v>
      </c>
      <c r="AG419" s="179" t="s">
        <v>0</v>
      </c>
      <c r="AH419" s="179" t="s">
        <v>0</v>
      </c>
      <c r="AI419" s="179" t="s">
        <v>0</v>
      </c>
      <c r="AJ419" s="179" t="s">
        <v>0</v>
      </c>
      <c r="AK419" s="179" t="s">
        <v>0</v>
      </c>
      <c r="AL419" s="179" t="s">
        <v>0</v>
      </c>
      <c r="AM419" s="179" t="s">
        <v>0</v>
      </c>
      <c r="AN419" s="179" t="s">
        <v>0</v>
      </c>
      <c r="AO419" s="179" t="s">
        <v>0</v>
      </c>
      <c r="AP419" s="179" t="s">
        <v>0</v>
      </c>
      <c r="AQ419" s="179" t="s">
        <v>0</v>
      </c>
      <c r="AR419" s="179" t="s">
        <v>0</v>
      </c>
      <c r="AS419" s="179" t="s">
        <v>0</v>
      </c>
      <c r="AT419" s="179" t="s">
        <v>0</v>
      </c>
      <c r="AU419" s="179" t="s">
        <v>0</v>
      </c>
      <c r="AV419" s="179" t="s">
        <v>0</v>
      </c>
      <c r="AW419" s="179" t="s">
        <v>0</v>
      </c>
      <c r="AX419" s="179" t="s">
        <v>0</v>
      </c>
      <c r="AY419" s="179" t="s">
        <v>0</v>
      </c>
      <c r="AZ419" s="179" t="s">
        <v>0</v>
      </c>
      <c r="BA419" s="179" t="s">
        <v>0</v>
      </c>
      <c r="BB419" s="179" t="s">
        <v>0</v>
      </c>
      <c r="BC419" s="179" t="s">
        <v>0</v>
      </c>
      <c r="BD419" s="179" t="s">
        <v>0</v>
      </c>
      <c r="BE419" s="179" t="s">
        <v>0</v>
      </c>
      <c r="BF419" s="179" t="s">
        <v>0</v>
      </c>
      <c r="BG419" s="179" t="s">
        <v>0</v>
      </c>
      <c r="BH419" s="179" t="s">
        <v>0</v>
      </c>
      <c r="BI419" s="180" t="s">
        <v>4</v>
      </c>
      <c r="DL419">
        <f t="shared" si="2141"/>
        <v>0</v>
      </c>
      <c r="DM419">
        <f t="shared" si="2142"/>
        <v>0</v>
      </c>
      <c r="DN419">
        <f t="shared" si="2143"/>
        <v>0</v>
      </c>
      <c r="DO419">
        <f t="shared" si="2144"/>
        <v>0</v>
      </c>
      <c r="DP419">
        <f t="shared" si="2145"/>
        <v>0</v>
      </c>
      <c r="DQ419">
        <f t="shared" si="2146"/>
        <v>0</v>
      </c>
      <c r="DR419">
        <f t="shared" si="2147"/>
        <v>0</v>
      </c>
      <c r="DS419">
        <f t="shared" si="2148"/>
        <v>0</v>
      </c>
      <c r="DT419">
        <f t="shared" si="2149"/>
        <v>0</v>
      </c>
      <c r="DU419">
        <f t="shared" si="2150"/>
        <v>0</v>
      </c>
      <c r="DV419">
        <f t="shared" si="2151"/>
        <v>0</v>
      </c>
      <c r="DW419">
        <f t="shared" si="2152"/>
        <v>0</v>
      </c>
    </row>
    <row r="420" spans="6:127" x14ac:dyDescent="0.25">
      <c r="F420" s="155" t="s">
        <v>72</v>
      </c>
      <c r="G420" s="181">
        <v>28728</v>
      </c>
      <c r="H420" s="196" t="s">
        <v>415</v>
      </c>
      <c r="I420" s="197" t="s">
        <v>73</v>
      </c>
      <c r="J420" s="13">
        <v>46041</v>
      </c>
      <c r="K420" s="14">
        <v>46048</v>
      </c>
      <c r="L420" s="14">
        <v>46055</v>
      </c>
      <c r="M420" s="14">
        <v>46062</v>
      </c>
      <c r="N420" s="14">
        <v>46069</v>
      </c>
      <c r="O420" s="14">
        <v>46076</v>
      </c>
      <c r="P420" s="14">
        <v>46083</v>
      </c>
      <c r="Q420" s="14">
        <v>46090</v>
      </c>
      <c r="R420" s="14">
        <v>46097</v>
      </c>
      <c r="S420" s="14">
        <v>46104</v>
      </c>
      <c r="T420" s="14">
        <v>46111</v>
      </c>
      <c r="U420" s="14">
        <v>46118</v>
      </c>
      <c r="V420" s="14">
        <v>46125</v>
      </c>
      <c r="W420" s="14">
        <v>46132</v>
      </c>
      <c r="X420" s="14">
        <v>46139</v>
      </c>
      <c r="Y420" s="14">
        <v>46146</v>
      </c>
      <c r="Z420" s="14">
        <v>46153</v>
      </c>
      <c r="AA420" s="14">
        <v>46160</v>
      </c>
      <c r="AB420" s="14">
        <v>46167</v>
      </c>
      <c r="AC420" s="14">
        <v>46174</v>
      </c>
      <c r="AD420" s="14">
        <v>46181</v>
      </c>
      <c r="AE420" s="14">
        <v>46188</v>
      </c>
      <c r="AF420" s="14">
        <v>46195</v>
      </c>
      <c r="AG420" s="14">
        <v>46202</v>
      </c>
      <c r="AH420" s="14">
        <v>46209</v>
      </c>
      <c r="AI420" s="14">
        <v>46216</v>
      </c>
      <c r="AJ420" s="14">
        <v>46223</v>
      </c>
      <c r="AK420" s="14">
        <v>46230</v>
      </c>
      <c r="AL420" s="14">
        <v>46237</v>
      </c>
      <c r="AM420" s="14">
        <v>46244</v>
      </c>
      <c r="AN420" s="14">
        <v>46251</v>
      </c>
      <c r="AO420" s="14">
        <v>46258</v>
      </c>
      <c r="AP420" s="14">
        <v>46265</v>
      </c>
      <c r="AQ420" s="14">
        <v>46272</v>
      </c>
      <c r="AR420" s="14">
        <v>46279</v>
      </c>
      <c r="AS420" s="14">
        <v>46286</v>
      </c>
      <c r="AT420" s="14">
        <v>46293</v>
      </c>
      <c r="AU420" s="14">
        <v>46300</v>
      </c>
      <c r="AV420" s="14">
        <v>46307</v>
      </c>
      <c r="AW420" s="14">
        <v>46314</v>
      </c>
      <c r="AX420" s="14">
        <v>46321</v>
      </c>
      <c r="AY420" s="14">
        <v>46328</v>
      </c>
      <c r="AZ420" s="14">
        <v>46335</v>
      </c>
      <c r="BA420" s="14">
        <v>46342</v>
      </c>
      <c r="BB420" s="14">
        <v>46349</v>
      </c>
      <c r="BC420" s="14">
        <v>46356</v>
      </c>
      <c r="BD420" s="14">
        <v>46363</v>
      </c>
      <c r="BE420" s="14">
        <v>46370</v>
      </c>
      <c r="BF420" s="14">
        <v>46377</v>
      </c>
      <c r="BG420" s="14">
        <v>46384</v>
      </c>
      <c r="BH420" s="14">
        <v>46391</v>
      </c>
      <c r="BI420" s="15">
        <v>46398</v>
      </c>
      <c r="DL420">
        <f t="shared" si="2141"/>
        <v>0</v>
      </c>
      <c r="DM420">
        <f t="shared" si="2142"/>
        <v>0</v>
      </c>
      <c r="DN420">
        <f t="shared" si="2143"/>
        <v>0</v>
      </c>
      <c r="DO420">
        <f t="shared" si="2144"/>
        <v>0</v>
      </c>
      <c r="DP420">
        <f t="shared" si="2145"/>
        <v>0</v>
      </c>
      <c r="DQ420">
        <f t="shared" si="2146"/>
        <v>0</v>
      </c>
      <c r="DR420">
        <f t="shared" si="2147"/>
        <v>0</v>
      </c>
      <c r="DS420">
        <f t="shared" si="2148"/>
        <v>0</v>
      </c>
      <c r="DT420">
        <f t="shared" si="2149"/>
        <v>0</v>
      </c>
      <c r="DU420">
        <f t="shared" si="2150"/>
        <v>0</v>
      </c>
      <c r="DV420">
        <f t="shared" si="2151"/>
        <v>0</v>
      </c>
      <c r="DW420">
        <f t="shared" si="2152"/>
        <v>0</v>
      </c>
    </row>
    <row r="421" spans="6:127" x14ac:dyDescent="0.25">
      <c r="F421" s="155" t="s">
        <v>74</v>
      </c>
      <c r="G421" s="181">
        <v>32708</v>
      </c>
      <c r="H421" s="5" t="s">
        <v>60</v>
      </c>
      <c r="I421" s="11" t="s">
        <v>147</v>
      </c>
      <c r="J421" s="16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17"/>
      <c r="DL421">
        <f t="shared" si="2141"/>
        <v>0</v>
      </c>
      <c r="DM421">
        <f t="shared" si="2142"/>
        <v>0</v>
      </c>
      <c r="DN421">
        <f t="shared" si="2143"/>
        <v>0</v>
      </c>
      <c r="DO421">
        <f t="shared" si="2144"/>
        <v>0</v>
      </c>
      <c r="DP421">
        <f t="shared" si="2145"/>
        <v>0</v>
      </c>
      <c r="DQ421">
        <f t="shared" si="2146"/>
        <v>0</v>
      </c>
      <c r="DR421">
        <f t="shared" si="2147"/>
        <v>0</v>
      </c>
      <c r="DS421">
        <f t="shared" si="2148"/>
        <v>0</v>
      </c>
      <c r="DT421">
        <f t="shared" si="2149"/>
        <v>0</v>
      </c>
      <c r="DU421">
        <f t="shared" si="2150"/>
        <v>0</v>
      </c>
      <c r="DV421">
        <f t="shared" si="2151"/>
        <v>0</v>
      </c>
      <c r="DW421">
        <f t="shared" si="2152"/>
        <v>0</v>
      </c>
    </row>
    <row r="422" spans="6:127" x14ac:dyDescent="0.25">
      <c r="F422" s="155" t="s">
        <v>75</v>
      </c>
      <c r="G422" s="198" t="s">
        <v>257</v>
      </c>
      <c r="H422" s="9" t="s">
        <v>229</v>
      </c>
      <c r="I422" s="11" t="s">
        <v>76</v>
      </c>
      <c r="J422" s="143">
        <v>1380</v>
      </c>
      <c r="K422" s="64">
        <v>784</v>
      </c>
      <c r="L422" s="64">
        <v>748</v>
      </c>
      <c r="M422" s="64">
        <v>1000</v>
      </c>
      <c r="N422" s="64">
        <v>1036</v>
      </c>
      <c r="O422" s="64">
        <v>700</v>
      </c>
      <c r="P422" s="64">
        <v>1100</v>
      </c>
      <c r="Q422" s="64">
        <v>1500</v>
      </c>
      <c r="R422" s="64">
        <v>0</v>
      </c>
      <c r="S422" s="64">
        <v>176</v>
      </c>
      <c r="T422" s="64">
        <v>800</v>
      </c>
      <c r="U422" s="64">
        <v>680</v>
      </c>
      <c r="V422" s="64">
        <v>460</v>
      </c>
      <c r="W422" s="64">
        <v>580</v>
      </c>
      <c r="X422" s="64">
        <v>372</v>
      </c>
      <c r="Y422" s="64">
        <v>368</v>
      </c>
      <c r="Z422" s="64">
        <v>692</v>
      </c>
      <c r="AA422" s="64">
        <v>728</v>
      </c>
      <c r="AB422" s="64">
        <v>728</v>
      </c>
      <c r="AC422" s="64">
        <v>732</v>
      </c>
      <c r="AD422" s="64">
        <v>444</v>
      </c>
      <c r="AE422" s="64">
        <v>444</v>
      </c>
      <c r="AF422" s="64">
        <v>700</v>
      </c>
      <c r="AG422" s="64">
        <v>704</v>
      </c>
      <c r="AH422" s="64">
        <v>700</v>
      </c>
      <c r="AI422" s="64">
        <v>692</v>
      </c>
      <c r="AJ422" s="64">
        <v>744</v>
      </c>
      <c r="AK422" s="64">
        <v>744</v>
      </c>
      <c r="AL422" s="64">
        <v>744</v>
      </c>
      <c r="AM422" s="64">
        <v>912</v>
      </c>
      <c r="AN422" s="64">
        <v>800</v>
      </c>
      <c r="AO422" s="64">
        <v>800</v>
      </c>
      <c r="AP422" s="64">
        <v>800</v>
      </c>
      <c r="AQ422" s="64">
        <v>800</v>
      </c>
      <c r="AR422" s="64">
        <v>800</v>
      </c>
      <c r="AS422" s="64">
        <v>800</v>
      </c>
      <c r="AT422" s="64">
        <v>800</v>
      </c>
      <c r="AU422" s="64">
        <v>800</v>
      </c>
      <c r="AV422" s="64">
        <v>800</v>
      </c>
      <c r="AW422" s="64">
        <v>800</v>
      </c>
      <c r="AX422" s="64">
        <v>800</v>
      </c>
      <c r="AY422" s="64">
        <v>800</v>
      </c>
      <c r="AZ422" s="64">
        <v>800</v>
      </c>
      <c r="BA422" s="64">
        <v>800</v>
      </c>
      <c r="BB422" s="64">
        <v>800</v>
      </c>
      <c r="BC422" s="64">
        <v>800</v>
      </c>
      <c r="BD422" s="64">
        <v>800</v>
      </c>
      <c r="BE422" s="64">
        <v>800</v>
      </c>
      <c r="BF422" s="64">
        <v>800</v>
      </c>
      <c r="BG422" s="64">
        <v>800</v>
      </c>
      <c r="BH422" s="64">
        <v>800</v>
      </c>
      <c r="BI422" s="144">
        <v>800</v>
      </c>
      <c r="BJ422" t="str">
        <f>+G419</f>
        <v>82115-0E531 B</v>
      </c>
      <c r="BK422">
        <f>+J422</f>
        <v>1380</v>
      </c>
      <c r="BL422">
        <f t="shared" ref="BL422" si="2255">+K422</f>
        <v>784</v>
      </c>
      <c r="BM422">
        <f t="shared" ref="BM422" si="2256">+L422</f>
        <v>748</v>
      </c>
      <c r="BN422">
        <f t="shared" ref="BN422" si="2257">+M422</f>
        <v>1000</v>
      </c>
      <c r="BO422">
        <f t="shared" ref="BO422" si="2258">+N422</f>
        <v>1036</v>
      </c>
      <c r="BP422">
        <f t="shared" ref="BP422" si="2259">+O422</f>
        <v>700</v>
      </c>
      <c r="BQ422">
        <f t="shared" ref="BQ422" si="2260">+P422</f>
        <v>1100</v>
      </c>
      <c r="BR422">
        <f t="shared" ref="BR422" si="2261">+Q422</f>
        <v>1500</v>
      </c>
      <c r="BS422">
        <f t="shared" ref="BS422" si="2262">+R422</f>
        <v>0</v>
      </c>
      <c r="BT422">
        <f t="shared" ref="BT422" si="2263">+S422</f>
        <v>176</v>
      </c>
      <c r="BU422">
        <f t="shared" ref="BU422" si="2264">+T422</f>
        <v>800</v>
      </c>
      <c r="BV422">
        <f t="shared" ref="BV422" si="2265">+U422</f>
        <v>680</v>
      </c>
      <c r="BW422">
        <f t="shared" ref="BW422" si="2266">+V422</f>
        <v>460</v>
      </c>
      <c r="BX422">
        <f t="shared" ref="BX422" si="2267">+W422</f>
        <v>580</v>
      </c>
      <c r="BY422">
        <f t="shared" ref="BY422" si="2268">+X422</f>
        <v>372</v>
      </c>
      <c r="BZ422">
        <f t="shared" ref="BZ422" si="2269">+Y422</f>
        <v>368</v>
      </c>
      <c r="CA422">
        <f t="shared" ref="CA422" si="2270">+Z422</f>
        <v>692</v>
      </c>
      <c r="CB422">
        <f t="shared" ref="CB422" si="2271">+AA422</f>
        <v>728</v>
      </c>
      <c r="CC422">
        <f t="shared" ref="CC422" si="2272">+AB422</f>
        <v>728</v>
      </c>
      <c r="CD422">
        <f t="shared" ref="CD422" si="2273">+AC422</f>
        <v>732</v>
      </c>
      <c r="CE422">
        <f t="shared" ref="CE422" si="2274">+AD422</f>
        <v>444</v>
      </c>
      <c r="CF422">
        <f t="shared" ref="CF422" si="2275">+AE422</f>
        <v>444</v>
      </c>
      <c r="CG422">
        <f t="shared" ref="CG422" si="2276">+AF422</f>
        <v>700</v>
      </c>
      <c r="CH422">
        <f t="shared" ref="CH422" si="2277">+AG422</f>
        <v>704</v>
      </c>
      <c r="CI422">
        <f t="shared" ref="CI422" si="2278">+AH422</f>
        <v>700</v>
      </c>
      <c r="CJ422">
        <f t="shared" ref="CJ422" si="2279">+AI422</f>
        <v>692</v>
      </c>
      <c r="CK422">
        <f t="shared" ref="CK422" si="2280">+AJ422</f>
        <v>744</v>
      </c>
      <c r="CL422">
        <f t="shared" ref="CL422" si="2281">+AK422</f>
        <v>744</v>
      </c>
      <c r="CM422">
        <f t="shared" ref="CM422" si="2282">+AL422</f>
        <v>744</v>
      </c>
      <c r="CN422">
        <f t="shared" ref="CN422" si="2283">+AM422</f>
        <v>912</v>
      </c>
      <c r="CO422">
        <f t="shared" ref="CO422" si="2284">+AN422</f>
        <v>800</v>
      </c>
      <c r="CP422">
        <f t="shared" ref="CP422" si="2285">+AO422</f>
        <v>800</v>
      </c>
      <c r="CQ422">
        <f t="shared" ref="CQ422" si="2286">+AP422</f>
        <v>800</v>
      </c>
      <c r="CR422">
        <f t="shared" ref="CR422" si="2287">+AQ422</f>
        <v>800</v>
      </c>
      <c r="CS422">
        <f t="shared" ref="CS422" si="2288">+AR422</f>
        <v>800</v>
      </c>
      <c r="CT422">
        <f t="shared" ref="CT422" si="2289">+AS422</f>
        <v>800</v>
      </c>
      <c r="CU422">
        <f t="shared" ref="CU422" si="2290">+AT422</f>
        <v>800</v>
      </c>
      <c r="CV422">
        <f t="shared" ref="CV422" si="2291">+AU422</f>
        <v>800</v>
      </c>
      <c r="CW422">
        <f t="shared" ref="CW422" si="2292">+AV422</f>
        <v>800</v>
      </c>
      <c r="CX422">
        <f t="shared" ref="CX422" si="2293">+AW422</f>
        <v>800</v>
      </c>
      <c r="CY422">
        <f t="shared" ref="CY422" si="2294">+AX422</f>
        <v>800</v>
      </c>
      <c r="CZ422">
        <f t="shared" ref="CZ422" si="2295">+AY422</f>
        <v>800</v>
      </c>
      <c r="DA422">
        <f t="shared" ref="DA422" si="2296">+AZ422</f>
        <v>800</v>
      </c>
      <c r="DB422">
        <f t="shared" ref="DB422" si="2297">+BA422</f>
        <v>800</v>
      </c>
      <c r="DC422">
        <f t="shared" ref="DC422" si="2298">+BB422</f>
        <v>800</v>
      </c>
      <c r="DD422">
        <f t="shared" ref="DD422" si="2299">+BC422</f>
        <v>800</v>
      </c>
      <c r="DE422">
        <f t="shared" ref="DE422" si="2300">+BD422</f>
        <v>800</v>
      </c>
      <c r="DF422">
        <f t="shared" ref="DF422" si="2301">+BE422</f>
        <v>800</v>
      </c>
      <c r="DG422">
        <f t="shared" ref="DG422" si="2302">+BF422</f>
        <v>800</v>
      </c>
      <c r="DH422">
        <f t="shared" ref="DH422" si="2303">+BG422</f>
        <v>800</v>
      </c>
      <c r="DI422">
        <f t="shared" ref="DI422" si="2304">+BH422</f>
        <v>800</v>
      </c>
      <c r="DJ422">
        <f t="shared" ref="DJ422" si="2305">+BI422</f>
        <v>800</v>
      </c>
      <c r="DL422">
        <f t="shared" si="2141"/>
        <v>2164</v>
      </c>
      <c r="DM422">
        <f t="shared" si="2142"/>
        <v>3484</v>
      </c>
      <c r="DN422">
        <f t="shared" si="2143"/>
        <v>2776</v>
      </c>
      <c r="DO422">
        <f t="shared" si="2144"/>
        <v>2892</v>
      </c>
      <c r="DP422">
        <f t="shared" si="2145"/>
        <v>2516</v>
      </c>
      <c r="DQ422">
        <f t="shared" si="2146"/>
        <v>2320</v>
      </c>
      <c r="DR422">
        <f t="shared" si="2147"/>
        <v>3584</v>
      </c>
      <c r="DS422">
        <f t="shared" si="2148"/>
        <v>3256</v>
      </c>
      <c r="DT422">
        <f t="shared" si="2149"/>
        <v>4000</v>
      </c>
      <c r="DU422">
        <f t="shared" si="2150"/>
        <v>3200</v>
      </c>
      <c r="DV422">
        <f t="shared" si="2151"/>
        <v>3200</v>
      </c>
      <c r="DW422">
        <f t="shared" si="2152"/>
        <v>4000</v>
      </c>
    </row>
    <row r="423" spans="6:127" x14ac:dyDescent="0.25">
      <c r="F423" s="155" t="s">
        <v>77</v>
      </c>
      <c r="G423" s="181">
        <v>82115</v>
      </c>
      <c r="H423" s="10" t="s">
        <v>229</v>
      </c>
      <c r="I423" s="12" t="s">
        <v>78</v>
      </c>
      <c r="J423" s="152">
        <v>21860</v>
      </c>
      <c r="K423" s="153">
        <v>22644</v>
      </c>
      <c r="L423" s="153">
        <v>23392</v>
      </c>
      <c r="M423" s="153">
        <v>24392</v>
      </c>
      <c r="N423" s="153">
        <v>25428</v>
      </c>
      <c r="O423" s="153">
        <v>26128</v>
      </c>
      <c r="P423" s="153">
        <v>27228</v>
      </c>
      <c r="Q423" s="153">
        <v>28728</v>
      </c>
      <c r="R423" s="153">
        <v>28728</v>
      </c>
      <c r="S423" s="153">
        <v>28904</v>
      </c>
      <c r="T423" s="153">
        <v>29704</v>
      </c>
      <c r="U423" s="153">
        <v>30384</v>
      </c>
      <c r="V423" s="153">
        <v>30844</v>
      </c>
      <c r="W423" s="153">
        <v>31424</v>
      </c>
      <c r="X423" s="153">
        <v>31796</v>
      </c>
      <c r="Y423" s="153">
        <v>32164</v>
      </c>
      <c r="Z423" s="153">
        <v>32856</v>
      </c>
      <c r="AA423" s="153">
        <v>33584</v>
      </c>
      <c r="AB423" s="153">
        <v>34312</v>
      </c>
      <c r="AC423" s="153">
        <v>35044</v>
      </c>
      <c r="AD423" s="153">
        <v>35488</v>
      </c>
      <c r="AE423" s="153">
        <v>35932</v>
      </c>
      <c r="AF423" s="153">
        <v>36632</v>
      </c>
      <c r="AG423" s="153">
        <v>37336</v>
      </c>
      <c r="AH423" s="153">
        <v>38036</v>
      </c>
      <c r="AI423" s="153">
        <v>38728</v>
      </c>
      <c r="AJ423" s="153">
        <v>39472</v>
      </c>
      <c r="AK423" s="153">
        <v>40216</v>
      </c>
      <c r="AL423" s="153">
        <v>40960</v>
      </c>
      <c r="AM423" s="153">
        <v>41872</v>
      </c>
      <c r="AN423" s="153">
        <v>42672</v>
      </c>
      <c r="AO423" s="153">
        <v>43472</v>
      </c>
      <c r="AP423" s="153">
        <v>44272</v>
      </c>
      <c r="AQ423" s="153">
        <v>45072</v>
      </c>
      <c r="AR423" s="153">
        <v>45872</v>
      </c>
      <c r="AS423" s="153">
        <v>46672</v>
      </c>
      <c r="AT423" s="153">
        <v>47472</v>
      </c>
      <c r="AU423" s="153">
        <v>48272</v>
      </c>
      <c r="AV423" s="153">
        <v>49072</v>
      </c>
      <c r="AW423" s="153">
        <v>49872</v>
      </c>
      <c r="AX423" s="153">
        <v>50672</v>
      </c>
      <c r="AY423" s="153">
        <v>51472</v>
      </c>
      <c r="AZ423" s="153">
        <v>52272</v>
      </c>
      <c r="BA423" s="153">
        <v>53072</v>
      </c>
      <c r="BB423" s="153">
        <v>53872</v>
      </c>
      <c r="BC423" s="153">
        <v>54672</v>
      </c>
      <c r="BD423" s="153">
        <v>55472</v>
      </c>
      <c r="BE423" s="153">
        <v>56272</v>
      </c>
      <c r="BF423" s="153">
        <v>57072</v>
      </c>
      <c r="BG423" s="153">
        <v>57872</v>
      </c>
      <c r="BH423" s="153">
        <v>58672</v>
      </c>
      <c r="BI423" s="154">
        <v>59472</v>
      </c>
      <c r="DL423">
        <f t="shared" si="2141"/>
        <v>0</v>
      </c>
      <c r="DM423">
        <f t="shared" si="2142"/>
        <v>0</v>
      </c>
      <c r="DN423">
        <f t="shared" si="2143"/>
        <v>0</v>
      </c>
      <c r="DO423">
        <f t="shared" si="2144"/>
        <v>0</v>
      </c>
      <c r="DP423">
        <f t="shared" si="2145"/>
        <v>0</v>
      </c>
      <c r="DQ423">
        <f t="shared" si="2146"/>
        <v>0</v>
      </c>
      <c r="DR423">
        <f t="shared" si="2147"/>
        <v>0</v>
      </c>
      <c r="DS423">
        <f t="shared" si="2148"/>
        <v>0</v>
      </c>
      <c r="DT423">
        <f t="shared" si="2149"/>
        <v>0</v>
      </c>
      <c r="DU423">
        <f t="shared" si="2150"/>
        <v>0</v>
      </c>
      <c r="DV423">
        <f t="shared" si="2151"/>
        <v>0</v>
      </c>
      <c r="DW423">
        <f t="shared" si="2152"/>
        <v>0</v>
      </c>
    </row>
    <row r="424" spans="6:127" x14ac:dyDescent="0.25">
      <c r="F424" s="155" t="s">
        <v>79</v>
      </c>
      <c r="G424" s="199">
        <v>20480</v>
      </c>
      <c r="H424" s="184" t="s">
        <v>80</v>
      </c>
      <c r="I424" s="185"/>
      <c r="J424" s="200" t="s">
        <v>507</v>
      </c>
      <c r="K424" s="156"/>
      <c r="L424" s="157" t="s">
        <v>0</v>
      </c>
      <c r="M424" s="157" t="s">
        <v>0</v>
      </c>
      <c r="N424" s="157" t="s">
        <v>0</v>
      </c>
      <c r="O424" s="157" t="s">
        <v>0</v>
      </c>
      <c r="P424" s="157" t="s">
        <v>0</v>
      </c>
      <c r="Q424" s="157">
        <v>0.36363636363636365</v>
      </c>
      <c r="R424" s="157" t="s">
        <v>0</v>
      </c>
      <c r="S424" s="157" t="s">
        <v>0</v>
      </c>
      <c r="T424" s="157" t="s">
        <v>0</v>
      </c>
      <c r="U424" s="157" t="s">
        <v>0</v>
      </c>
      <c r="V424" s="157" t="s">
        <v>0</v>
      </c>
      <c r="W424" s="157" t="s">
        <v>0</v>
      </c>
      <c r="X424" s="157" t="s">
        <v>0</v>
      </c>
      <c r="Y424" s="157" t="s">
        <v>0</v>
      </c>
      <c r="Z424" s="157" t="s">
        <v>0</v>
      </c>
      <c r="AA424" s="157" t="s">
        <v>0</v>
      </c>
      <c r="AB424" s="157" t="s">
        <v>0</v>
      </c>
      <c r="AC424" s="157" t="s">
        <v>0</v>
      </c>
      <c r="AD424" s="157" t="s">
        <v>0</v>
      </c>
      <c r="AE424" s="157" t="s">
        <v>0</v>
      </c>
      <c r="AF424" s="157" t="s">
        <v>0</v>
      </c>
      <c r="AG424" s="157" t="s">
        <v>0</v>
      </c>
      <c r="AH424" s="157" t="s">
        <v>0</v>
      </c>
      <c r="AI424" s="157" t="s">
        <v>0</v>
      </c>
      <c r="AJ424" s="157" t="s">
        <v>0</v>
      </c>
      <c r="AK424" s="157" t="s">
        <v>0</v>
      </c>
      <c r="AL424" s="157" t="s">
        <v>0</v>
      </c>
      <c r="AM424" s="157" t="s">
        <v>0</v>
      </c>
      <c r="AN424" s="157" t="s">
        <v>0</v>
      </c>
      <c r="AO424" s="157" t="s">
        <v>0</v>
      </c>
      <c r="AP424" s="157" t="s">
        <v>0</v>
      </c>
      <c r="AQ424" s="157" t="s">
        <v>0</v>
      </c>
      <c r="AR424" s="157" t="s">
        <v>0</v>
      </c>
      <c r="AS424" s="157" t="s">
        <v>0</v>
      </c>
      <c r="AT424" s="157" t="s">
        <v>0</v>
      </c>
      <c r="AU424" s="157" t="s">
        <v>0</v>
      </c>
      <c r="AV424" s="157" t="s">
        <v>0</v>
      </c>
      <c r="AW424" s="157" t="s">
        <v>0</v>
      </c>
      <c r="AX424" s="157" t="s">
        <v>0</v>
      </c>
      <c r="AY424" s="157" t="s">
        <v>0</v>
      </c>
      <c r="AZ424" s="157" t="s">
        <v>0</v>
      </c>
      <c r="BA424" s="157" t="s">
        <v>0</v>
      </c>
      <c r="BB424" s="157" t="s">
        <v>0</v>
      </c>
      <c r="BC424" s="157" t="s">
        <v>0</v>
      </c>
      <c r="BD424" s="157" t="s">
        <v>0</v>
      </c>
      <c r="BE424" s="157" t="s">
        <v>0</v>
      </c>
      <c r="BF424" s="157" t="s">
        <v>0</v>
      </c>
      <c r="BG424" s="157" t="s">
        <v>0</v>
      </c>
      <c r="BH424" s="157" t="s">
        <v>0</v>
      </c>
      <c r="BI424" s="158"/>
      <c r="DL424">
        <f t="shared" si="2141"/>
        <v>0</v>
      </c>
      <c r="DM424">
        <f t="shared" si="2142"/>
        <v>0</v>
      </c>
      <c r="DN424">
        <f t="shared" si="2143"/>
        <v>0</v>
      </c>
      <c r="DO424">
        <f t="shared" si="2144"/>
        <v>0</v>
      </c>
      <c r="DP424">
        <f t="shared" si="2145"/>
        <v>0</v>
      </c>
      <c r="DQ424">
        <f t="shared" si="2146"/>
        <v>0</v>
      </c>
      <c r="DR424">
        <f t="shared" si="2147"/>
        <v>0</v>
      </c>
      <c r="DS424">
        <f t="shared" si="2148"/>
        <v>0</v>
      </c>
      <c r="DT424">
        <f t="shared" si="2149"/>
        <v>0</v>
      </c>
      <c r="DU424">
        <f t="shared" si="2150"/>
        <v>0</v>
      </c>
      <c r="DV424">
        <f t="shared" si="2151"/>
        <v>0</v>
      </c>
      <c r="DW424">
        <f t="shared" si="2152"/>
        <v>0</v>
      </c>
    </row>
    <row r="425" spans="6:127" x14ac:dyDescent="0.25">
      <c r="F425" s="159" t="s">
        <v>81</v>
      </c>
      <c r="G425" s="160" t="s">
        <v>60</v>
      </c>
      <c r="H425" s="201" t="s">
        <v>60</v>
      </c>
      <c r="I425" s="183" t="s">
        <v>60</v>
      </c>
      <c r="J425" s="183" t="s">
        <v>0</v>
      </c>
      <c r="K425" s="183" t="s">
        <v>0</v>
      </c>
      <c r="L425" s="183" t="s">
        <v>0</v>
      </c>
      <c r="M425" s="183" t="s">
        <v>0</v>
      </c>
      <c r="N425" s="183" t="s">
        <v>0</v>
      </c>
      <c r="O425" s="183" t="s">
        <v>0</v>
      </c>
      <c r="P425" s="183" t="s">
        <v>0</v>
      </c>
      <c r="Q425" s="183" t="s">
        <v>505</v>
      </c>
      <c r="R425" s="183"/>
      <c r="S425" s="183" t="s">
        <v>0</v>
      </c>
      <c r="T425" s="183" t="s">
        <v>0</v>
      </c>
      <c r="U425" s="183" t="s">
        <v>0</v>
      </c>
      <c r="V425" s="183" t="s">
        <v>0</v>
      </c>
      <c r="W425" s="183" t="s">
        <v>0</v>
      </c>
      <c r="X425" s="183" t="s">
        <v>0</v>
      </c>
      <c r="Y425" s="183" t="s">
        <v>0</v>
      </c>
      <c r="Z425" s="183" t="s">
        <v>0</v>
      </c>
      <c r="AA425" s="183" t="s">
        <v>0</v>
      </c>
      <c r="AB425" s="183" t="s">
        <v>0</v>
      </c>
      <c r="AC425" s="183" t="s">
        <v>0</v>
      </c>
      <c r="AD425" s="183" t="s">
        <v>0</v>
      </c>
      <c r="AE425" s="183" t="s">
        <v>0</v>
      </c>
      <c r="AF425" s="183" t="s">
        <v>0</v>
      </c>
      <c r="AG425" s="183" t="s">
        <v>0</v>
      </c>
      <c r="AH425" s="183" t="s">
        <v>0</v>
      </c>
      <c r="AI425" s="183" t="s">
        <v>0</v>
      </c>
      <c r="AJ425" s="183" t="s">
        <v>0</v>
      </c>
      <c r="AK425" s="183" t="s">
        <v>0</v>
      </c>
      <c r="AL425" s="183" t="s">
        <v>0</v>
      </c>
      <c r="AM425" s="183" t="s">
        <v>0</v>
      </c>
      <c r="AN425" s="183" t="s">
        <v>0</v>
      </c>
      <c r="AO425" s="183" t="s">
        <v>0</v>
      </c>
      <c r="AP425" s="183" t="s">
        <v>0</v>
      </c>
      <c r="AQ425" s="183" t="s">
        <v>0</v>
      </c>
      <c r="AR425" s="183" t="s">
        <v>0</v>
      </c>
      <c r="AS425" s="183" t="s">
        <v>0</v>
      </c>
      <c r="AT425" s="183" t="s">
        <v>0</v>
      </c>
      <c r="AU425" s="183" t="s">
        <v>0</v>
      </c>
      <c r="AV425" s="183" t="s">
        <v>0</v>
      </c>
      <c r="AW425" s="183" t="s">
        <v>0</v>
      </c>
      <c r="AX425" s="183" t="s">
        <v>0</v>
      </c>
      <c r="AY425" s="183" t="s">
        <v>0</v>
      </c>
      <c r="AZ425" s="183" t="s">
        <v>0</v>
      </c>
      <c r="BA425" s="183" t="s">
        <v>0</v>
      </c>
      <c r="BB425" s="183" t="s">
        <v>0</v>
      </c>
      <c r="BC425" s="183" t="s">
        <v>0</v>
      </c>
      <c r="BD425" s="183" t="s">
        <v>0</v>
      </c>
      <c r="BE425" s="183" t="s">
        <v>0</v>
      </c>
      <c r="BF425" s="183" t="s">
        <v>0</v>
      </c>
      <c r="BG425" s="183" t="s">
        <v>0</v>
      </c>
      <c r="BH425" s="183" t="s">
        <v>0</v>
      </c>
      <c r="BI425" s="161"/>
      <c r="DL425">
        <f t="shared" si="2141"/>
        <v>0</v>
      </c>
      <c r="DM425">
        <f t="shared" si="2142"/>
        <v>0</v>
      </c>
      <c r="DN425">
        <f t="shared" si="2143"/>
        <v>0</v>
      </c>
      <c r="DO425">
        <f t="shared" si="2144"/>
        <v>0</v>
      </c>
      <c r="DP425">
        <f t="shared" si="2145"/>
        <v>0</v>
      </c>
      <c r="DQ425">
        <f t="shared" si="2146"/>
        <v>0</v>
      </c>
      <c r="DR425">
        <f t="shared" si="2147"/>
        <v>0</v>
      </c>
      <c r="DS425">
        <f t="shared" si="2148"/>
        <v>0</v>
      </c>
      <c r="DT425">
        <f t="shared" si="2149"/>
        <v>0</v>
      </c>
      <c r="DU425">
        <f t="shared" si="2150"/>
        <v>0</v>
      </c>
      <c r="DV425">
        <f t="shared" si="2151"/>
        <v>0</v>
      </c>
      <c r="DW425">
        <f t="shared" si="2152"/>
        <v>0</v>
      </c>
    </row>
    <row r="426" spans="6:127" x14ac:dyDescent="0.25">
      <c r="F426" s="188" t="s">
        <v>60</v>
      </c>
      <c r="G426" s="162" t="s">
        <v>60</v>
      </c>
      <c r="H426" s="163" t="s">
        <v>60</v>
      </c>
      <c r="I426" s="164" t="s">
        <v>60</v>
      </c>
      <c r="J426" s="164" t="s">
        <v>0</v>
      </c>
      <c r="K426" s="164" t="s">
        <v>0</v>
      </c>
      <c r="L426" s="164" t="s">
        <v>0</v>
      </c>
      <c r="M426" s="164" t="s">
        <v>0</v>
      </c>
      <c r="N426" s="164" t="s">
        <v>0</v>
      </c>
      <c r="O426" s="164" t="s">
        <v>0</v>
      </c>
      <c r="P426" s="164" t="s">
        <v>0</v>
      </c>
      <c r="Q426" s="164" t="s">
        <v>0</v>
      </c>
      <c r="R426" s="164" t="s">
        <v>0</v>
      </c>
      <c r="S426" s="164" t="s">
        <v>0</v>
      </c>
      <c r="T426" s="164" t="s">
        <v>0</v>
      </c>
      <c r="U426" s="164" t="s">
        <v>0</v>
      </c>
      <c r="V426" s="164" t="s">
        <v>0</v>
      </c>
      <c r="W426" s="164" t="s">
        <v>0</v>
      </c>
      <c r="X426" s="164" t="s">
        <v>0</v>
      </c>
      <c r="Y426" s="164" t="s">
        <v>0</v>
      </c>
      <c r="Z426" s="164" t="s">
        <v>0</v>
      </c>
      <c r="AA426" s="164" t="s">
        <v>0</v>
      </c>
      <c r="AB426" s="164" t="s">
        <v>0</v>
      </c>
      <c r="AC426" s="164" t="s">
        <v>0</v>
      </c>
      <c r="AD426" s="164" t="s">
        <v>0</v>
      </c>
      <c r="AE426" s="164" t="s">
        <v>0</v>
      </c>
      <c r="AF426" s="164" t="s">
        <v>0</v>
      </c>
      <c r="AG426" s="164" t="s">
        <v>0</v>
      </c>
      <c r="AH426" s="164" t="s">
        <v>0</v>
      </c>
      <c r="AI426" s="164" t="s">
        <v>0</v>
      </c>
      <c r="AJ426" s="164" t="s">
        <v>0</v>
      </c>
      <c r="AK426" s="164" t="s">
        <v>0</v>
      </c>
      <c r="AL426" s="164" t="s">
        <v>0</v>
      </c>
      <c r="AM426" s="164" t="s">
        <v>0</v>
      </c>
      <c r="AN426" s="164" t="s">
        <v>0</v>
      </c>
      <c r="AO426" s="164" t="s">
        <v>0</v>
      </c>
      <c r="AP426" s="164" t="s">
        <v>0</v>
      </c>
      <c r="AQ426" s="164" t="s">
        <v>0</v>
      </c>
      <c r="AR426" s="164" t="s">
        <v>0</v>
      </c>
      <c r="AS426" s="164" t="s">
        <v>0</v>
      </c>
      <c r="AT426" s="164" t="s">
        <v>0</v>
      </c>
      <c r="AU426" s="164" t="s">
        <v>0</v>
      </c>
      <c r="AV426" s="164" t="s">
        <v>0</v>
      </c>
      <c r="AW426" s="164" t="s">
        <v>0</v>
      </c>
      <c r="AX426" s="164" t="s">
        <v>0</v>
      </c>
      <c r="AY426" s="164" t="s">
        <v>0</v>
      </c>
      <c r="AZ426" s="164" t="s">
        <v>0</v>
      </c>
      <c r="BA426" s="164" t="s">
        <v>0</v>
      </c>
      <c r="BB426" s="164" t="s">
        <v>0</v>
      </c>
      <c r="BC426" s="164" t="s">
        <v>0</v>
      </c>
      <c r="BD426" s="164" t="s">
        <v>0</v>
      </c>
      <c r="BE426" s="164" t="s">
        <v>0</v>
      </c>
      <c r="BF426" s="164" t="s">
        <v>0</v>
      </c>
      <c r="BG426" s="164" t="s">
        <v>0</v>
      </c>
      <c r="BH426" s="164" t="s">
        <v>0</v>
      </c>
      <c r="BI426" s="189"/>
      <c r="DL426">
        <f t="shared" si="2141"/>
        <v>0</v>
      </c>
      <c r="DM426">
        <f t="shared" si="2142"/>
        <v>0</v>
      </c>
      <c r="DN426">
        <f t="shared" si="2143"/>
        <v>0</v>
      </c>
      <c r="DO426">
        <f t="shared" si="2144"/>
        <v>0</v>
      </c>
      <c r="DP426">
        <f t="shared" si="2145"/>
        <v>0</v>
      </c>
      <c r="DQ426">
        <f t="shared" si="2146"/>
        <v>0</v>
      </c>
      <c r="DR426">
        <f t="shared" si="2147"/>
        <v>0</v>
      </c>
      <c r="DS426">
        <f t="shared" si="2148"/>
        <v>0</v>
      </c>
      <c r="DT426">
        <f t="shared" si="2149"/>
        <v>0</v>
      </c>
      <c r="DU426">
        <f t="shared" si="2150"/>
        <v>0</v>
      </c>
      <c r="DV426">
        <f t="shared" si="2151"/>
        <v>0</v>
      </c>
      <c r="DW426">
        <f t="shared" si="2152"/>
        <v>0</v>
      </c>
    </row>
    <row r="427" spans="6:127" x14ac:dyDescent="0.25">
      <c r="F427" s="155" t="s">
        <v>61</v>
      </c>
      <c r="G427" s="181">
        <v>5501017966</v>
      </c>
      <c r="H427" s="155" t="s">
        <v>62</v>
      </c>
      <c r="I427" s="181">
        <v>91</v>
      </c>
      <c r="J427" s="155" t="s">
        <v>63</v>
      </c>
      <c r="K427" s="160">
        <v>1177753</v>
      </c>
      <c r="L427" s="161"/>
      <c r="M427" s="190" t="s">
        <v>64</v>
      </c>
      <c r="N427" s="191"/>
      <c r="O427" s="192">
        <v>46086</v>
      </c>
      <c r="P427" s="155" t="s">
        <v>65</v>
      </c>
      <c r="Q427" s="181">
        <v>4</v>
      </c>
      <c r="R427" s="6" t="s">
        <v>0</v>
      </c>
      <c r="S427" s="7" t="s">
        <v>0</v>
      </c>
      <c r="T427" s="7" t="s">
        <v>0</v>
      </c>
      <c r="U427" s="7" t="s">
        <v>0</v>
      </c>
      <c r="V427" s="7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0</v>
      </c>
      <c r="AH427" s="7" t="s">
        <v>0</v>
      </c>
      <c r="AI427" s="7" t="s">
        <v>0</v>
      </c>
      <c r="AJ427" s="7" t="s">
        <v>0</v>
      </c>
      <c r="AK427" s="7" t="s">
        <v>0</v>
      </c>
      <c r="AL427" s="7" t="s">
        <v>0</v>
      </c>
      <c r="AM427" s="7" t="s">
        <v>0</v>
      </c>
      <c r="AN427" s="7" t="s">
        <v>0</v>
      </c>
      <c r="AO427" s="7" t="s">
        <v>0</v>
      </c>
      <c r="AP427" s="7" t="s">
        <v>0</v>
      </c>
      <c r="AQ427" s="7" t="s">
        <v>0</v>
      </c>
      <c r="AR427" s="7" t="s">
        <v>0</v>
      </c>
      <c r="AS427" s="7" t="s">
        <v>0</v>
      </c>
      <c r="AT427" s="7" t="s">
        <v>0</v>
      </c>
      <c r="AU427" s="7" t="s">
        <v>0</v>
      </c>
      <c r="AV427" s="7" t="s">
        <v>0</v>
      </c>
      <c r="AW427" s="7" t="s">
        <v>0</v>
      </c>
      <c r="AX427" s="7" t="s">
        <v>0</v>
      </c>
      <c r="AY427" s="7" t="s">
        <v>0</v>
      </c>
      <c r="AZ427" s="7" t="s">
        <v>0</v>
      </c>
      <c r="BA427" s="7" t="s">
        <v>0</v>
      </c>
      <c r="BB427" s="7" t="s">
        <v>0</v>
      </c>
      <c r="BC427" s="7" t="s">
        <v>0</v>
      </c>
      <c r="BD427" s="7" t="s">
        <v>0</v>
      </c>
      <c r="BE427" s="7" t="s">
        <v>0</v>
      </c>
      <c r="BF427" s="7" t="s">
        <v>0</v>
      </c>
      <c r="BG427" s="7" t="s">
        <v>0</v>
      </c>
      <c r="BH427" s="7" t="s">
        <v>0</v>
      </c>
      <c r="BI427" s="8"/>
      <c r="DL427">
        <f t="shared" si="2141"/>
        <v>0</v>
      </c>
      <c r="DM427">
        <f t="shared" si="2142"/>
        <v>0</v>
      </c>
      <c r="DN427">
        <f t="shared" si="2143"/>
        <v>0</v>
      </c>
      <c r="DO427">
        <f t="shared" si="2144"/>
        <v>0</v>
      </c>
      <c r="DP427">
        <f t="shared" si="2145"/>
        <v>0</v>
      </c>
      <c r="DQ427">
        <f t="shared" si="2146"/>
        <v>0</v>
      </c>
      <c r="DR427">
        <f t="shared" si="2147"/>
        <v>0</v>
      </c>
      <c r="DS427">
        <f t="shared" si="2148"/>
        <v>0</v>
      </c>
      <c r="DT427">
        <f t="shared" si="2149"/>
        <v>0</v>
      </c>
      <c r="DU427">
        <f t="shared" si="2150"/>
        <v>0</v>
      </c>
      <c r="DV427">
        <f t="shared" si="2151"/>
        <v>0</v>
      </c>
      <c r="DW427">
        <f t="shared" si="2152"/>
        <v>0</v>
      </c>
    </row>
    <row r="428" spans="6:127" x14ac:dyDescent="0.25">
      <c r="F428" s="155" t="s">
        <v>66</v>
      </c>
      <c r="G428" s="181" t="s">
        <v>386</v>
      </c>
      <c r="H428" s="155" t="s">
        <v>67</v>
      </c>
      <c r="I428" s="182" t="s">
        <v>387</v>
      </c>
      <c r="J428" s="183"/>
      <c r="K428" s="183"/>
      <c r="L428" s="161"/>
      <c r="M428" s="155" t="s">
        <v>68</v>
      </c>
      <c r="N428" s="181">
        <v>2025</v>
      </c>
      <c r="O428" s="184" t="s">
        <v>69</v>
      </c>
      <c r="P428" s="185"/>
      <c r="Q428" s="193" t="s">
        <v>342</v>
      </c>
      <c r="R428" s="156" t="s">
        <v>0</v>
      </c>
      <c r="S428" s="157" t="s">
        <v>0</v>
      </c>
      <c r="T428" s="157" t="s">
        <v>0</v>
      </c>
      <c r="U428" s="157" t="s">
        <v>0</v>
      </c>
      <c r="V428" s="157" t="s">
        <v>0</v>
      </c>
      <c r="W428" s="157" t="s">
        <v>0</v>
      </c>
      <c r="X428" s="157" t="s">
        <v>0</v>
      </c>
      <c r="Y428" s="157" t="s">
        <v>0</v>
      </c>
      <c r="Z428" s="157" t="s">
        <v>0</v>
      </c>
      <c r="AA428" s="157" t="s">
        <v>0</v>
      </c>
      <c r="AB428" s="157" t="s">
        <v>0</v>
      </c>
      <c r="AC428" s="157" t="s">
        <v>0</v>
      </c>
      <c r="AD428" s="157" t="s">
        <v>0</v>
      </c>
      <c r="AE428" s="157" t="s">
        <v>0</v>
      </c>
      <c r="AF428" s="157" t="s">
        <v>0</v>
      </c>
      <c r="AG428" s="157" t="s">
        <v>0</v>
      </c>
      <c r="AH428" s="157" t="s">
        <v>0</v>
      </c>
      <c r="AI428" s="157" t="s">
        <v>0</v>
      </c>
      <c r="AJ428" s="157" t="s">
        <v>0</v>
      </c>
      <c r="AK428" s="157" t="s">
        <v>0</v>
      </c>
      <c r="AL428" s="157" t="s">
        <v>0</v>
      </c>
      <c r="AM428" s="157" t="s">
        <v>0</v>
      </c>
      <c r="AN428" s="157" t="s">
        <v>0</v>
      </c>
      <c r="AO428" s="157" t="s">
        <v>0</v>
      </c>
      <c r="AP428" s="157" t="s">
        <v>0</v>
      </c>
      <c r="AQ428" s="157" t="s">
        <v>0</v>
      </c>
      <c r="AR428" s="157" t="s">
        <v>0</v>
      </c>
      <c r="AS428" s="157" t="s">
        <v>0</v>
      </c>
      <c r="AT428" s="157" t="s">
        <v>0</v>
      </c>
      <c r="AU428" s="157" t="s">
        <v>0</v>
      </c>
      <c r="AV428" s="157" t="s">
        <v>0</v>
      </c>
      <c r="AW428" s="157" t="s">
        <v>0</v>
      </c>
      <c r="AX428" s="157" t="s">
        <v>0</v>
      </c>
      <c r="AY428" s="157" t="s">
        <v>0</v>
      </c>
      <c r="AZ428" s="157" t="s">
        <v>0</v>
      </c>
      <c r="BA428" s="157" t="s">
        <v>0</v>
      </c>
      <c r="BB428" s="157" t="s">
        <v>0</v>
      </c>
      <c r="BC428" s="157" t="s">
        <v>0</v>
      </c>
      <c r="BD428" s="157" t="s">
        <v>0</v>
      </c>
      <c r="BE428" s="157" t="s">
        <v>0</v>
      </c>
      <c r="BF428" s="157" t="s">
        <v>0</v>
      </c>
      <c r="BG428" s="157" t="s">
        <v>0</v>
      </c>
      <c r="BH428" s="157" t="s">
        <v>0</v>
      </c>
      <c r="BI428" s="158"/>
      <c r="DL428">
        <f t="shared" si="2141"/>
        <v>0</v>
      </c>
      <c r="DM428">
        <f t="shared" si="2142"/>
        <v>0</v>
      </c>
      <c r="DN428">
        <f t="shared" si="2143"/>
        <v>0</v>
      </c>
      <c r="DO428">
        <f t="shared" si="2144"/>
        <v>0</v>
      </c>
      <c r="DP428">
        <f t="shared" si="2145"/>
        <v>0</v>
      </c>
      <c r="DQ428">
        <f t="shared" si="2146"/>
        <v>0</v>
      </c>
      <c r="DR428">
        <f t="shared" si="2147"/>
        <v>0</v>
      </c>
      <c r="DS428">
        <f t="shared" si="2148"/>
        <v>0</v>
      </c>
      <c r="DT428">
        <f t="shared" si="2149"/>
        <v>0</v>
      </c>
      <c r="DU428">
        <f t="shared" si="2150"/>
        <v>0</v>
      </c>
      <c r="DV428">
        <f t="shared" si="2151"/>
        <v>0</v>
      </c>
      <c r="DW428">
        <f t="shared" si="2152"/>
        <v>0</v>
      </c>
    </row>
    <row r="429" spans="6:127" x14ac:dyDescent="0.25">
      <c r="F429" s="155" t="s">
        <v>70</v>
      </c>
      <c r="G429" s="181" t="s">
        <v>388</v>
      </c>
      <c r="H429" s="155" t="s">
        <v>71</v>
      </c>
      <c r="I429" s="182" t="s">
        <v>60</v>
      </c>
      <c r="J429" s="161" t="s">
        <v>0</v>
      </c>
      <c r="K429" s="194" t="s">
        <v>0</v>
      </c>
      <c r="L429" s="195" t="s">
        <v>0</v>
      </c>
      <c r="M429" s="179" t="s">
        <v>0</v>
      </c>
      <c r="N429" s="179" t="s">
        <v>0</v>
      </c>
      <c r="O429" s="179" t="s">
        <v>0</v>
      </c>
      <c r="P429" s="179" t="s">
        <v>0</v>
      </c>
      <c r="Q429" s="179" t="s">
        <v>1</v>
      </c>
      <c r="R429" s="179" t="s">
        <v>2</v>
      </c>
      <c r="S429" s="179" t="s">
        <v>0</v>
      </c>
      <c r="T429" s="179" t="s">
        <v>0</v>
      </c>
      <c r="U429" s="179" t="s">
        <v>0</v>
      </c>
      <c r="V429" s="179" t="s">
        <v>0</v>
      </c>
      <c r="W429" s="179" t="s">
        <v>0</v>
      </c>
      <c r="X429" s="179" t="s">
        <v>0</v>
      </c>
      <c r="Y429" s="179" t="s">
        <v>0</v>
      </c>
      <c r="Z429" s="179" t="s">
        <v>3</v>
      </c>
      <c r="AA429" s="179" t="s">
        <v>0</v>
      </c>
      <c r="AB429" s="179" t="s">
        <v>0</v>
      </c>
      <c r="AC429" s="179" t="s">
        <v>0</v>
      </c>
      <c r="AD429" s="179" t="s">
        <v>0</v>
      </c>
      <c r="AE429" s="179" t="s">
        <v>0</v>
      </c>
      <c r="AF429" s="179" t="s">
        <v>0</v>
      </c>
      <c r="AG429" s="179" t="s">
        <v>0</v>
      </c>
      <c r="AH429" s="179" t="s">
        <v>0</v>
      </c>
      <c r="AI429" s="179" t="s">
        <v>0</v>
      </c>
      <c r="AJ429" s="179" t="s">
        <v>0</v>
      </c>
      <c r="AK429" s="179" t="s">
        <v>0</v>
      </c>
      <c r="AL429" s="179" t="s">
        <v>0</v>
      </c>
      <c r="AM429" s="179" t="s">
        <v>0</v>
      </c>
      <c r="AN429" s="179" t="s">
        <v>0</v>
      </c>
      <c r="AO429" s="179" t="s">
        <v>0</v>
      </c>
      <c r="AP429" s="179" t="s">
        <v>0</v>
      </c>
      <c r="AQ429" s="179" t="s">
        <v>0</v>
      </c>
      <c r="AR429" s="179" t="s">
        <v>0</v>
      </c>
      <c r="AS429" s="179" t="s">
        <v>0</v>
      </c>
      <c r="AT429" s="179" t="s">
        <v>0</v>
      </c>
      <c r="AU429" s="179" t="s">
        <v>0</v>
      </c>
      <c r="AV429" s="179" t="s">
        <v>0</v>
      </c>
      <c r="AW429" s="179" t="s">
        <v>0</v>
      </c>
      <c r="AX429" s="179" t="s">
        <v>0</v>
      </c>
      <c r="AY429" s="179" t="s">
        <v>0</v>
      </c>
      <c r="AZ429" s="179" t="s">
        <v>0</v>
      </c>
      <c r="BA429" s="179" t="s">
        <v>0</v>
      </c>
      <c r="BB429" s="179" t="s">
        <v>0</v>
      </c>
      <c r="BC429" s="179" t="s">
        <v>0</v>
      </c>
      <c r="BD429" s="179" t="s">
        <v>0</v>
      </c>
      <c r="BE429" s="179" t="s">
        <v>0</v>
      </c>
      <c r="BF429" s="179" t="s">
        <v>0</v>
      </c>
      <c r="BG429" s="179" t="s">
        <v>0</v>
      </c>
      <c r="BH429" s="179" t="s">
        <v>0</v>
      </c>
      <c r="BI429" s="180" t="s">
        <v>4</v>
      </c>
      <c r="DL429">
        <f t="shared" si="2141"/>
        <v>0</v>
      </c>
      <c r="DM429">
        <f t="shared" si="2142"/>
        <v>0</v>
      </c>
      <c r="DN429">
        <f t="shared" si="2143"/>
        <v>0</v>
      </c>
      <c r="DO429">
        <f t="shared" si="2144"/>
        <v>0</v>
      </c>
      <c r="DP429">
        <f t="shared" si="2145"/>
        <v>0</v>
      </c>
      <c r="DQ429">
        <f t="shared" si="2146"/>
        <v>0</v>
      </c>
      <c r="DR429">
        <f t="shared" si="2147"/>
        <v>0</v>
      </c>
      <c r="DS429">
        <f t="shared" si="2148"/>
        <v>0</v>
      </c>
      <c r="DT429">
        <f t="shared" si="2149"/>
        <v>0</v>
      </c>
      <c r="DU429">
        <f t="shared" si="2150"/>
        <v>0</v>
      </c>
      <c r="DV429">
        <f t="shared" si="2151"/>
        <v>0</v>
      </c>
      <c r="DW429">
        <f t="shared" si="2152"/>
        <v>0</v>
      </c>
    </row>
    <row r="430" spans="6:127" x14ac:dyDescent="0.25">
      <c r="F430" s="155" t="s">
        <v>72</v>
      </c>
      <c r="G430" s="181">
        <v>1152</v>
      </c>
      <c r="H430" s="196" t="s">
        <v>414</v>
      </c>
      <c r="I430" s="197" t="s">
        <v>73</v>
      </c>
      <c r="J430" s="13">
        <v>46041</v>
      </c>
      <c r="K430" s="14">
        <v>46048</v>
      </c>
      <c r="L430" s="14">
        <v>46055</v>
      </c>
      <c r="M430" s="14">
        <v>46062</v>
      </c>
      <c r="N430" s="14">
        <v>46069</v>
      </c>
      <c r="O430" s="14">
        <v>46076</v>
      </c>
      <c r="P430" s="14">
        <v>46083</v>
      </c>
      <c r="Q430" s="14">
        <v>46090</v>
      </c>
      <c r="R430" s="14">
        <v>46097</v>
      </c>
      <c r="S430" s="14">
        <v>46104</v>
      </c>
      <c r="T430" s="14">
        <v>46111</v>
      </c>
      <c r="U430" s="14">
        <v>46118</v>
      </c>
      <c r="V430" s="14">
        <v>46125</v>
      </c>
      <c r="W430" s="14">
        <v>46132</v>
      </c>
      <c r="X430" s="14">
        <v>46139</v>
      </c>
      <c r="Y430" s="14">
        <v>46146</v>
      </c>
      <c r="Z430" s="14">
        <v>46153</v>
      </c>
      <c r="AA430" s="14">
        <v>46160</v>
      </c>
      <c r="AB430" s="14">
        <v>46167</v>
      </c>
      <c r="AC430" s="14">
        <v>46174</v>
      </c>
      <c r="AD430" s="14">
        <v>46181</v>
      </c>
      <c r="AE430" s="14">
        <v>46188</v>
      </c>
      <c r="AF430" s="14">
        <v>46195</v>
      </c>
      <c r="AG430" s="14">
        <v>46202</v>
      </c>
      <c r="AH430" s="14">
        <v>46209</v>
      </c>
      <c r="AI430" s="14">
        <v>46216</v>
      </c>
      <c r="AJ430" s="14">
        <v>46223</v>
      </c>
      <c r="AK430" s="14">
        <v>46230</v>
      </c>
      <c r="AL430" s="14">
        <v>46237</v>
      </c>
      <c r="AM430" s="14">
        <v>46244</v>
      </c>
      <c r="AN430" s="14">
        <v>46251</v>
      </c>
      <c r="AO430" s="14">
        <v>46258</v>
      </c>
      <c r="AP430" s="14">
        <v>46265</v>
      </c>
      <c r="AQ430" s="14">
        <v>46272</v>
      </c>
      <c r="AR430" s="14">
        <v>46279</v>
      </c>
      <c r="AS430" s="14">
        <v>46286</v>
      </c>
      <c r="AT430" s="14">
        <v>46293</v>
      </c>
      <c r="AU430" s="14">
        <v>46300</v>
      </c>
      <c r="AV430" s="14">
        <v>46307</v>
      </c>
      <c r="AW430" s="14">
        <v>46314</v>
      </c>
      <c r="AX430" s="14">
        <v>46321</v>
      </c>
      <c r="AY430" s="14">
        <v>46328</v>
      </c>
      <c r="AZ430" s="14">
        <v>46335</v>
      </c>
      <c r="BA430" s="14">
        <v>46342</v>
      </c>
      <c r="BB430" s="14">
        <v>46349</v>
      </c>
      <c r="BC430" s="14">
        <v>46356</v>
      </c>
      <c r="BD430" s="14">
        <v>46363</v>
      </c>
      <c r="BE430" s="14">
        <v>46370</v>
      </c>
      <c r="BF430" s="14">
        <v>46377</v>
      </c>
      <c r="BG430" s="14">
        <v>46384</v>
      </c>
      <c r="BH430" s="14">
        <v>46391</v>
      </c>
      <c r="BI430" s="15">
        <v>46398</v>
      </c>
      <c r="DL430">
        <f t="shared" si="2141"/>
        <v>0</v>
      </c>
      <c r="DM430">
        <f t="shared" si="2142"/>
        <v>0</v>
      </c>
      <c r="DN430">
        <f t="shared" si="2143"/>
        <v>0</v>
      </c>
      <c r="DO430">
        <f t="shared" si="2144"/>
        <v>0</v>
      </c>
      <c r="DP430">
        <f t="shared" si="2145"/>
        <v>0</v>
      </c>
      <c r="DQ430">
        <f t="shared" si="2146"/>
        <v>0</v>
      </c>
      <c r="DR430">
        <f t="shared" si="2147"/>
        <v>0</v>
      </c>
      <c r="DS430">
        <f t="shared" si="2148"/>
        <v>0</v>
      </c>
      <c r="DT430">
        <f t="shared" si="2149"/>
        <v>0</v>
      </c>
      <c r="DU430">
        <f t="shared" si="2150"/>
        <v>0</v>
      </c>
      <c r="DV430">
        <f t="shared" si="2151"/>
        <v>0</v>
      </c>
      <c r="DW430">
        <f t="shared" si="2152"/>
        <v>0</v>
      </c>
    </row>
    <row r="431" spans="6:127" x14ac:dyDescent="0.25">
      <c r="F431" s="155" t="s">
        <v>74</v>
      </c>
      <c r="G431" s="181">
        <v>1308</v>
      </c>
      <c r="H431" s="5" t="s">
        <v>60</v>
      </c>
      <c r="I431" s="11" t="s">
        <v>147</v>
      </c>
      <c r="J431" s="16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17"/>
      <c r="DL431">
        <f t="shared" si="2141"/>
        <v>0</v>
      </c>
      <c r="DM431">
        <f t="shared" si="2142"/>
        <v>0</v>
      </c>
      <c r="DN431">
        <f t="shared" si="2143"/>
        <v>0</v>
      </c>
      <c r="DO431">
        <f t="shared" si="2144"/>
        <v>0</v>
      </c>
      <c r="DP431">
        <f t="shared" si="2145"/>
        <v>0</v>
      </c>
      <c r="DQ431">
        <f t="shared" si="2146"/>
        <v>0</v>
      </c>
      <c r="DR431">
        <f t="shared" si="2147"/>
        <v>0</v>
      </c>
      <c r="DS431">
        <f t="shared" si="2148"/>
        <v>0</v>
      </c>
      <c r="DT431">
        <f t="shared" si="2149"/>
        <v>0</v>
      </c>
      <c r="DU431">
        <f t="shared" si="2150"/>
        <v>0</v>
      </c>
      <c r="DV431">
        <f t="shared" si="2151"/>
        <v>0</v>
      </c>
      <c r="DW431">
        <f t="shared" si="2152"/>
        <v>0</v>
      </c>
    </row>
    <row r="432" spans="6:127" x14ac:dyDescent="0.25">
      <c r="F432" s="155" t="s">
        <v>75</v>
      </c>
      <c r="G432" s="198" t="s">
        <v>257</v>
      </c>
      <c r="H432" s="9" t="s">
        <v>225</v>
      </c>
      <c r="I432" s="11" t="s">
        <v>76</v>
      </c>
      <c r="J432" s="143">
        <v>72</v>
      </c>
      <c r="K432" s="64">
        <v>80</v>
      </c>
      <c r="L432" s="64">
        <v>16</v>
      </c>
      <c r="M432" s="64">
        <v>28</v>
      </c>
      <c r="N432" s="64">
        <v>20</v>
      </c>
      <c r="O432" s="64">
        <v>64</v>
      </c>
      <c r="P432" s="64">
        <v>52</v>
      </c>
      <c r="Q432" s="64">
        <v>60</v>
      </c>
      <c r="R432" s="64">
        <v>0</v>
      </c>
      <c r="S432" s="64">
        <v>0</v>
      </c>
      <c r="T432" s="64">
        <v>20</v>
      </c>
      <c r="U432" s="64">
        <v>28</v>
      </c>
      <c r="V432" s="64">
        <v>28</v>
      </c>
      <c r="W432" s="64">
        <v>20</v>
      </c>
      <c r="X432" s="64">
        <v>8</v>
      </c>
      <c r="Y432" s="64">
        <v>32</v>
      </c>
      <c r="Z432" s="64">
        <v>20</v>
      </c>
      <c r="AA432" s="64">
        <v>32</v>
      </c>
      <c r="AB432" s="64">
        <v>32</v>
      </c>
      <c r="AC432" s="64">
        <v>32</v>
      </c>
      <c r="AD432" s="64">
        <v>28</v>
      </c>
      <c r="AE432" s="64">
        <v>32</v>
      </c>
      <c r="AF432" s="64">
        <v>32</v>
      </c>
      <c r="AG432" s="64">
        <v>32</v>
      </c>
      <c r="AH432" s="64">
        <v>8</v>
      </c>
      <c r="AI432" s="64">
        <v>32</v>
      </c>
      <c r="AJ432" s="64">
        <v>32</v>
      </c>
      <c r="AK432" s="64">
        <v>36</v>
      </c>
      <c r="AL432" s="64">
        <v>44</v>
      </c>
      <c r="AM432" s="64">
        <v>32</v>
      </c>
      <c r="AN432" s="64">
        <v>32</v>
      </c>
      <c r="AO432" s="64">
        <v>32</v>
      </c>
      <c r="AP432" s="64">
        <v>32</v>
      </c>
      <c r="AQ432" s="64">
        <v>32</v>
      </c>
      <c r="AR432" s="64">
        <v>32</v>
      </c>
      <c r="AS432" s="64">
        <v>32</v>
      </c>
      <c r="AT432" s="64">
        <v>32</v>
      </c>
      <c r="AU432" s="64">
        <v>32</v>
      </c>
      <c r="AV432" s="64">
        <v>32</v>
      </c>
      <c r="AW432" s="64">
        <v>32</v>
      </c>
      <c r="AX432" s="64">
        <v>32</v>
      </c>
      <c r="AY432" s="64">
        <v>32</v>
      </c>
      <c r="AZ432" s="64">
        <v>32</v>
      </c>
      <c r="BA432" s="64">
        <v>32</v>
      </c>
      <c r="BB432" s="64">
        <v>32</v>
      </c>
      <c r="BC432" s="64">
        <v>32</v>
      </c>
      <c r="BD432" s="64">
        <v>32</v>
      </c>
      <c r="BE432" s="64">
        <v>32</v>
      </c>
      <c r="BF432" s="64">
        <v>32</v>
      </c>
      <c r="BG432" s="64">
        <v>32</v>
      </c>
      <c r="BH432" s="64">
        <v>32</v>
      </c>
      <c r="BI432" s="144">
        <v>32</v>
      </c>
      <c r="BJ432" t="str">
        <f>+G429</f>
        <v>82115-0E511 B</v>
      </c>
      <c r="BK432">
        <f>+J432</f>
        <v>72</v>
      </c>
      <c r="BL432">
        <f t="shared" ref="BL432" si="2306">+K432</f>
        <v>80</v>
      </c>
      <c r="BM432">
        <f t="shared" ref="BM432" si="2307">+L432</f>
        <v>16</v>
      </c>
      <c r="BN432">
        <f t="shared" ref="BN432" si="2308">+M432</f>
        <v>28</v>
      </c>
      <c r="BO432">
        <f t="shared" ref="BO432" si="2309">+N432</f>
        <v>20</v>
      </c>
      <c r="BP432">
        <f t="shared" ref="BP432" si="2310">+O432</f>
        <v>64</v>
      </c>
      <c r="BQ432">
        <f t="shared" ref="BQ432" si="2311">+P432</f>
        <v>52</v>
      </c>
      <c r="BR432">
        <f t="shared" ref="BR432" si="2312">+Q432</f>
        <v>60</v>
      </c>
      <c r="BS432">
        <f t="shared" ref="BS432" si="2313">+R432</f>
        <v>0</v>
      </c>
      <c r="BT432">
        <f t="shared" ref="BT432" si="2314">+S432</f>
        <v>0</v>
      </c>
      <c r="BU432">
        <f t="shared" ref="BU432" si="2315">+T432</f>
        <v>20</v>
      </c>
      <c r="BV432">
        <f t="shared" ref="BV432" si="2316">+U432</f>
        <v>28</v>
      </c>
      <c r="BW432">
        <f t="shared" ref="BW432" si="2317">+V432</f>
        <v>28</v>
      </c>
      <c r="BX432">
        <f t="shared" ref="BX432" si="2318">+W432</f>
        <v>20</v>
      </c>
      <c r="BY432">
        <f t="shared" ref="BY432" si="2319">+X432</f>
        <v>8</v>
      </c>
      <c r="BZ432">
        <f t="shared" ref="BZ432" si="2320">+Y432</f>
        <v>32</v>
      </c>
      <c r="CA432">
        <f t="shared" ref="CA432" si="2321">+Z432</f>
        <v>20</v>
      </c>
      <c r="CB432">
        <f t="shared" ref="CB432" si="2322">+AA432</f>
        <v>32</v>
      </c>
      <c r="CC432">
        <f t="shared" ref="CC432" si="2323">+AB432</f>
        <v>32</v>
      </c>
      <c r="CD432">
        <f t="shared" ref="CD432" si="2324">+AC432</f>
        <v>32</v>
      </c>
      <c r="CE432">
        <f t="shared" ref="CE432" si="2325">+AD432</f>
        <v>28</v>
      </c>
      <c r="CF432">
        <f t="shared" ref="CF432" si="2326">+AE432</f>
        <v>32</v>
      </c>
      <c r="CG432">
        <f t="shared" ref="CG432" si="2327">+AF432</f>
        <v>32</v>
      </c>
      <c r="CH432">
        <f t="shared" ref="CH432" si="2328">+AG432</f>
        <v>32</v>
      </c>
      <c r="CI432">
        <f t="shared" ref="CI432" si="2329">+AH432</f>
        <v>8</v>
      </c>
      <c r="CJ432">
        <f t="shared" ref="CJ432" si="2330">+AI432</f>
        <v>32</v>
      </c>
      <c r="CK432">
        <f t="shared" ref="CK432" si="2331">+AJ432</f>
        <v>32</v>
      </c>
      <c r="CL432">
        <f t="shared" ref="CL432" si="2332">+AK432</f>
        <v>36</v>
      </c>
      <c r="CM432">
        <f t="shared" ref="CM432" si="2333">+AL432</f>
        <v>44</v>
      </c>
      <c r="CN432">
        <f t="shared" ref="CN432" si="2334">+AM432</f>
        <v>32</v>
      </c>
      <c r="CO432">
        <f t="shared" ref="CO432" si="2335">+AN432</f>
        <v>32</v>
      </c>
      <c r="CP432">
        <f t="shared" ref="CP432" si="2336">+AO432</f>
        <v>32</v>
      </c>
      <c r="CQ432">
        <f t="shared" ref="CQ432" si="2337">+AP432</f>
        <v>32</v>
      </c>
      <c r="CR432">
        <f t="shared" ref="CR432" si="2338">+AQ432</f>
        <v>32</v>
      </c>
      <c r="CS432">
        <f t="shared" ref="CS432" si="2339">+AR432</f>
        <v>32</v>
      </c>
      <c r="CT432">
        <f t="shared" ref="CT432" si="2340">+AS432</f>
        <v>32</v>
      </c>
      <c r="CU432">
        <f t="shared" ref="CU432" si="2341">+AT432</f>
        <v>32</v>
      </c>
      <c r="CV432">
        <f t="shared" ref="CV432" si="2342">+AU432</f>
        <v>32</v>
      </c>
      <c r="CW432">
        <f t="shared" ref="CW432" si="2343">+AV432</f>
        <v>32</v>
      </c>
      <c r="CX432">
        <f t="shared" ref="CX432" si="2344">+AW432</f>
        <v>32</v>
      </c>
      <c r="CY432">
        <f t="shared" ref="CY432" si="2345">+AX432</f>
        <v>32</v>
      </c>
      <c r="CZ432">
        <f t="shared" ref="CZ432" si="2346">+AY432</f>
        <v>32</v>
      </c>
      <c r="DA432">
        <f t="shared" ref="DA432" si="2347">+AZ432</f>
        <v>32</v>
      </c>
      <c r="DB432">
        <f t="shared" ref="DB432" si="2348">+BA432</f>
        <v>32</v>
      </c>
      <c r="DC432">
        <f t="shared" ref="DC432" si="2349">+BB432</f>
        <v>32</v>
      </c>
      <c r="DD432">
        <f t="shared" ref="DD432" si="2350">+BC432</f>
        <v>32</v>
      </c>
      <c r="DE432">
        <f t="shared" ref="DE432" si="2351">+BD432</f>
        <v>32</v>
      </c>
      <c r="DF432">
        <f t="shared" ref="DF432" si="2352">+BE432</f>
        <v>32</v>
      </c>
      <c r="DG432">
        <f t="shared" ref="DG432" si="2353">+BF432</f>
        <v>32</v>
      </c>
      <c r="DH432">
        <f t="shared" ref="DH432" si="2354">+BG432</f>
        <v>32</v>
      </c>
      <c r="DI432">
        <f t="shared" ref="DI432" si="2355">+BH432</f>
        <v>32</v>
      </c>
      <c r="DJ432">
        <f t="shared" ref="DJ432" si="2356">+BI432</f>
        <v>32</v>
      </c>
      <c r="DL432">
        <f t="shared" si="2141"/>
        <v>152</v>
      </c>
      <c r="DM432">
        <f t="shared" si="2142"/>
        <v>128</v>
      </c>
      <c r="DN432">
        <f t="shared" si="2143"/>
        <v>112</v>
      </c>
      <c r="DO432">
        <f t="shared" si="2144"/>
        <v>104</v>
      </c>
      <c r="DP432">
        <f t="shared" si="2145"/>
        <v>116</v>
      </c>
      <c r="DQ432">
        <f t="shared" si="2146"/>
        <v>124</v>
      </c>
      <c r="DR432">
        <f t="shared" si="2147"/>
        <v>140</v>
      </c>
      <c r="DS432">
        <f t="shared" si="2148"/>
        <v>140</v>
      </c>
      <c r="DT432">
        <f t="shared" si="2149"/>
        <v>160</v>
      </c>
      <c r="DU432">
        <f t="shared" si="2150"/>
        <v>128</v>
      </c>
      <c r="DV432">
        <f t="shared" si="2151"/>
        <v>128</v>
      </c>
      <c r="DW432">
        <f t="shared" si="2152"/>
        <v>160</v>
      </c>
    </row>
    <row r="433" spans="6:127" x14ac:dyDescent="0.25">
      <c r="F433" s="155" t="s">
        <v>77</v>
      </c>
      <c r="G433" s="181">
        <v>82115</v>
      </c>
      <c r="H433" s="10" t="s">
        <v>225</v>
      </c>
      <c r="I433" s="12" t="s">
        <v>78</v>
      </c>
      <c r="J433" s="152">
        <v>832</v>
      </c>
      <c r="K433" s="153">
        <v>912</v>
      </c>
      <c r="L433" s="153">
        <v>928</v>
      </c>
      <c r="M433" s="153">
        <v>956</v>
      </c>
      <c r="N433" s="153">
        <v>976</v>
      </c>
      <c r="O433" s="153">
        <v>1040</v>
      </c>
      <c r="P433" s="153">
        <v>1092</v>
      </c>
      <c r="Q433" s="153">
        <v>1152</v>
      </c>
      <c r="R433" s="153">
        <v>1152</v>
      </c>
      <c r="S433" s="153">
        <v>1152</v>
      </c>
      <c r="T433" s="153">
        <v>1172</v>
      </c>
      <c r="U433" s="153">
        <v>1200</v>
      </c>
      <c r="V433" s="153">
        <v>1228</v>
      </c>
      <c r="W433" s="153">
        <v>1248</v>
      </c>
      <c r="X433" s="153">
        <v>1256</v>
      </c>
      <c r="Y433" s="153">
        <v>1288</v>
      </c>
      <c r="Z433" s="153">
        <v>1308</v>
      </c>
      <c r="AA433" s="153">
        <v>1340</v>
      </c>
      <c r="AB433" s="153">
        <v>1372</v>
      </c>
      <c r="AC433" s="153">
        <v>1404</v>
      </c>
      <c r="AD433" s="153">
        <v>1432</v>
      </c>
      <c r="AE433" s="153">
        <v>1464</v>
      </c>
      <c r="AF433" s="153">
        <v>1496</v>
      </c>
      <c r="AG433" s="153">
        <v>1528</v>
      </c>
      <c r="AH433" s="153">
        <v>1536</v>
      </c>
      <c r="AI433" s="153">
        <v>1568</v>
      </c>
      <c r="AJ433" s="153">
        <v>1600</v>
      </c>
      <c r="AK433" s="153">
        <v>1636</v>
      </c>
      <c r="AL433" s="153">
        <v>1680</v>
      </c>
      <c r="AM433" s="153">
        <v>1712</v>
      </c>
      <c r="AN433" s="153">
        <v>1744</v>
      </c>
      <c r="AO433" s="153">
        <v>1776</v>
      </c>
      <c r="AP433" s="153">
        <v>1808</v>
      </c>
      <c r="AQ433" s="153">
        <v>1840</v>
      </c>
      <c r="AR433" s="153">
        <v>1872</v>
      </c>
      <c r="AS433" s="153">
        <v>1904</v>
      </c>
      <c r="AT433" s="153">
        <v>1936</v>
      </c>
      <c r="AU433" s="153">
        <v>1968</v>
      </c>
      <c r="AV433" s="153">
        <v>2000</v>
      </c>
      <c r="AW433" s="153">
        <v>2032</v>
      </c>
      <c r="AX433" s="153">
        <v>2064</v>
      </c>
      <c r="AY433" s="153">
        <v>2096</v>
      </c>
      <c r="AZ433" s="153">
        <v>2128</v>
      </c>
      <c r="BA433" s="153">
        <v>2160</v>
      </c>
      <c r="BB433" s="153">
        <v>2192</v>
      </c>
      <c r="BC433" s="153">
        <v>2224</v>
      </c>
      <c r="BD433" s="153">
        <v>2256</v>
      </c>
      <c r="BE433" s="153">
        <v>2288</v>
      </c>
      <c r="BF433" s="153">
        <v>2320</v>
      </c>
      <c r="BG433" s="153">
        <v>2352</v>
      </c>
      <c r="BH433" s="153">
        <v>2384</v>
      </c>
      <c r="BI433" s="154">
        <v>2416</v>
      </c>
      <c r="DL433">
        <f t="shared" si="2141"/>
        <v>0</v>
      </c>
      <c r="DM433">
        <f t="shared" si="2142"/>
        <v>0</v>
      </c>
      <c r="DN433">
        <f t="shared" si="2143"/>
        <v>0</v>
      </c>
      <c r="DO433">
        <f t="shared" si="2144"/>
        <v>0</v>
      </c>
      <c r="DP433">
        <f t="shared" si="2145"/>
        <v>0</v>
      </c>
      <c r="DQ433">
        <f t="shared" si="2146"/>
        <v>0</v>
      </c>
      <c r="DR433">
        <f t="shared" si="2147"/>
        <v>0</v>
      </c>
      <c r="DS433">
        <f t="shared" si="2148"/>
        <v>0</v>
      </c>
      <c r="DT433">
        <f t="shared" si="2149"/>
        <v>0</v>
      </c>
      <c r="DU433">
        <f t="shared" si="2150"/>
        <v>0</v>
      </c>
      <c r="DV433">
        <f t="shared" si="2151"/>
        <v>0</v>
      </c>
      <c r="DW433">
        <f t="shared" si="2152"/>
        <v>0</v>
      </c>
    </row>
    <row r="434" spans="6:127" x14ac:dyDescent="0.25">
      <c r="F434" s="155" t="s">
        <v>79</v>
      </c>
      <c r="G434" s="199">
        <v>760</v>
      </c>
      <c r="H434" s="184" t="s">
        <v>80</v>
      </c>
      <c r="I434" s="185"/>
      <c r="J434" s="200" t="s">
        <v>502</v>
      </c>
      <c r="K434" s="156"/>
      <c r="L434" s="157" t="s">
        <v>0</v>
      </c>
      <c r="M434" s="157" t="s">
        <v>0</v>
      </c>
      <c r="N434" s="157" t="s">
        <v>0</v>
      </c>
      <c r="O434" s="157" t="s">
        <v>0</v>
      </c>
      <c r="P434" s="157" t="s">
        <v>0</v>
      </c>
      <c r="Q434" s="157">
        <v>0.15384615384615385</v>
      </c>
      <c r="R434" s="157" t="s">
        <v>0</v>
      </c>
      <c r="S434" s="157" t="s">
        <v>0</v>
      </c>
      <c r="T434" s="157" t="s">
        <v>0</v>
      </c>
      <c r="U434" s="157" t="s">
        <v>0</v>
      </c>
      <c r="V434" s="157" t="s">
        <v>0</v>
      </c>
      <c r="W434" s="157" t="s">
        <v>0</v>
      </c>
      <c r="X434" s="157" t="s">
        <v>0</v>
      </c>
      <c r="Y434" s="157" t="s">
        <v>0</v>
      </c>
      <c r="Z434" s="157" t="s">
        <v>0</v>
      </c>
      <c r="AA434" s="157" t="s">
        <v>0</v>
      </c>
      <c r="AB434" s="157" t="s">
        <v>0</v>
      </c>
      <c r="AC434" s="157" t="s">
        <v>0</v>
      </c>
      <c r="AD434" s="157" t="s">
        <v>0</v>
      </c>
      <c r="AE434" s="157" t="s">
        <v>0</v>
      </c>
      <c r="AF434" s="157" t="s">
        <v>0</v>
      </c>
      <c r="AG434" s="157" t="s">
        <v>0</v>
      </c>
      <c r="AH434" s="157" t="s">
        <v>0</v>
      </c>
      <c r="AI434" s="157" t="s">
        <v>0</v>
      </c>
      <c r="AJ434" s="157" t="s">
        <v>0</v>
      </c>
      <c r="AK434" s="157" t="s">
        <v>0</v>
      </c>
      <c r="AL434" s="157" t="s">
        <v>0</v>
      </c>
      <c r="AM434" s="157" t="s">
        <v>0</v>
      </c>
      <c r="AN434" s="157" t="s">
        <v>0</v>
      </c>
      <c r="AO434" s="157" t="s">
        <v>0</v>
      </c>
      <c r="AP434" s="157" t="s">
        <v>0</v>
      </c>
      <c r="AQ434" s="157" t="s">
        <v>0</v>
      </c>
      <c r="AR434" s="157" t="s">
        <v>0</v>
      </c>
      <c r="AS434" s="157" t="s">
        <v>0</v>
      </c>
      <c r="AT434" s="157" t="s">
        <v>0</v>
      </c>
      <c r="AU434" s="157" t="s">
        <v>0</v>
      </c>
      <c r="AV434" s="157" t="s">
        <v>0</v>
      </c>
      <c r="AW434" s="157" t="s">
        <v>0</v>
      </c>
      <c r="AX434" s="157" t="s">
        <v>0</v>
      </c>
      <c r="AY434" s="157" t="s">
        <v>0</v>
      </c>
      <c r="AZ434" s="157" t="s">
        <v>0</v>
      </c>
      <c r="BA434" s="157" t="s">
        <v>0</v>
      </c>
      <c r="BB434" s="157" t="s">
        <v>0</v>
      </c>
      <c r="BC434" s="157" t="s">
        <v>0</v>
      </c>
      <c r="BD434" s="157" t="s">
        <v>0</v>
      </c>
      <c r="BE434" s="157" t="s">
        <v>0</v>
      </c>
      <c r="BF434" s="157" t="s">
        <v>0</v>
      </c>
      <c r="BG434" s="157" t="s">
        <v>0</v>
      </c>
      <c r="BH434" s="157" t="s">
        <v>0</v>
      </c>
      <c r="BI434" s="158"/>
      <c r="DL434">
        <f t="shared" si="2141"/>
        <v>0</v>
      </c>
      <c r="DM434">
        <f t="shared" si="2142"/>
        <v>0</v>
      </c>
      <c r="DN434">
        <f t="shared" si="2143"/>
        <v>0</v>
      </c>
      <c r="DO434">
        <f t="shared" si="2144"/>
        <v>0</v>
      </c>
      <c r="DP434">
        <f t="shared" si="2145"/>
        <v>0</v>
      </c>
      <c r="DQ434">
        <f t="shared" si="2146"/>
        <v>0</v>
      </c>
      <c r="DR434">
        <f t="shared" si="2147"/>
        <v>0</v>
      </c>
      <c r="DS434">
        <f t="shared" si="2148"/>
        <v>0</v>
      </c>
      <c r="DT434">
        <f t="shared" si="2149"/>
        <v>0</v>
      </c>
      <c r="DU434">
        <f t="shared" si="2150"/>
        <v>0</v>
      </c>
      <c r="DV434">
        <f t="shared" si="2151"/>
        <v>0</v>
      </c>
      <c r="DW434">
        <f t="shared" si="2152"/>
        <v>0</v>
      </c>
    </row>
    <row r="435" spans="6:127" x14ac:dyDescent="0.25">
      <c r="F435" s="159" t="s">
        <v>81</v>
      </c>
      <c r="G435" s="160" t="s">
        <v>60</v>
      </c>
      <c r="H435" s="201" t="s">
        <v>60</v>
      </c>
      <c r="I435" s="183" t="s">
        <v>60</v>
      </c>
      <c r="J435" s="183" t="s">
        <v>0</v>
      </c>
      <c r="K435" s="183" t="s">
        <v>0</v>
      </c>
      <c r="L435" s="183" t="s">
        <v>0</v>
      </c>
      <c r="M435" s="183" t="s">
        <v>0</v>
      </c>
      <c r="N435" s="183" t="s">
        <v>0</v>
      </c>
      <c r="O435" s="183" t="s">
        <v>0</v>
      </c>
      <c r="P435" s="183" t="s">
        <v>0</v>
      </c>
      <c r="Q435" s="183" t="s">
        <v>523</v>
      </c>
      <c r="R435" s="183"/>
      <c r="S435" s="183" t="s">
        <v>0</v>
      </c>
      <c r="T435" s="183" t="s">
        <v>0</v>
      </c>
      <c r="U435" s="183" t="s">
        <v>0</v>
      </c>
      <c r="V435" s="183" t="s">
        <v>0</v>
      </c>
      <c r="W435" s="183" t="s">
        <v>0</v>
      </c>
      <c r="X435" s="183" t="s">
        <v>0</v>
      </c>
      <c r="Y435" s="183" t="s">
        <v>0</v>
      </c>
      <c r="Z435" s="183" t="s">
        <v>0</v>
      </c>
      <c r="AA435" s="183" t="s">
        <v>0</v>
      </c>
      <c r="AB435" s="183" t="s">
        <v>0</v>
      </c>
      <c r="AC435" s="183" t="s">
        <v>0</v>
      </c>
      <c r="AD435" s="183" t="s">
        <v>0</v>
      </c>
      <c r="AE435" s="183" t="s">
        <v>0</v>
      </c>
      <c r="AF435" s="183" t="s">
        <v>0</v>
      </c>
      <c r="AG435" s="183" t="s">
        <v>0</v>
      </c>
      <c r="AH435" s="183" t="s">
        <v>0</v>
      </c>
      <c r="AI435" s="183" t="s">
        <v>0</v>
      </c>
      <c r="AJ435" s="183" t="s">
        <v>0</v>
      </c>
      <c r="AK435" s="183" t="s">
        <v>0</v>
      </c>
      <c r="AL435" s="183" t="s">
        <v>0</v>
      </c>
      <c r="AM435" s="183" t="s">
        <v>0</v>
      </c>
      <c r="AN435" s="183" t="s">
        <v>0</v>
      </c>
      <c r="AO435" s="183" t="s">
        <v>0</v>
      </c>
      <c r="AP435" s="183" t="s">
        <v>0</v>
      </c>
      <c r="AQ435" s="183" t="s">
        <v>0</v>
      </c>
      <c r="AR435" s="183" t="s">
        <v>0</v>
      </c>
      <c r="AS435" s="183" t="s">
        <v>0</v>
      </c>
      <c r="AT435" s="183" t="s">
        <v>0</v>
      </c>
      <c r="AU435" s="183" t="s">
        <v>0</v>
      </c>
      <c r="AV435" s="183" t="s">
        <v>0</v>
      </c>
      <c r="AW435" s="183" t="s">
        <v>0</v>
      </c>
      <c r="AX435" s="183" t="s">
        <v>0</v>
      </c>
      <c r="AY435" s="183" t="s">
        <v>0</v>
      </c>
      <c r="AZ435" s="183" t="s">
        <v>0</v>
      </c>
      <c r="BA435" s="183" t="s">
        <v>0</v>
      </c>
      <c r="BB435" s="183" t="s">
        <v>0</v>
      </c>
      <c r="BC435" s="183" t="s">
        <v>0</v>
      </c>
      <c r="BD435" s="183" t="s">
        <v>0</v>
      </c>
      <c r="BE435" s="183" t="s">
        <v>0</v>
      </c>
      <c r="BF435" s="183" t="s">
        <v>0</v>
      </c>
      <c r="BG435" s="183" t="s">
        <v>0</v>
      </c>
      <c r="BH435" s="183" t="s">
        <v>0</v>
      </c>
      <c r="BI435" s="161"/>
      <c r="DL435">
        <f t="shared" si="2141"/>
        <v>0</v>
      </c>
      <c r="DM435">
        <f t="shared" si="2142"/>
        <v>0</v>
      </c>
      <c r="DN435">
        <f t="shared" si="2143"/>
        <v>0</v>
      </c>
      <c r="DO435">
        <f t="shared" si="2144"/>
        <v>0</v>
      </c>
      <c r="DP435">
        <f t="shared" si="2145"/>
        <v>0</v>
      </c>
      <c r="DQ435">
        <f t="shared" si="2146"/>
        <v>0</v>
      </c>
      <c r="DR435">
        <f t="shared" si="2147"/>
        <v>0</v>
      </c>
      <c r="DS435">
        <f t="shared" si="2148"/>
        <v>0</v>
      </c>
      <c r="DT435">
        <f t="shared" si="2149"/>
        <v>0</v>
      </c>
      <c r="DU435">
        <f t="shared" si="2150"/>
        <v>0</v>
      </c>
      <c r="DV435">
        <f t="shared" si="2151"/>
        <v>0</v>
      </c>
      <c r="DW435">
        <f t="shared" si="2152"/>
        <v>0</v>
      </c>
    </row>
    <row r="436" spans="6:127" x14ac:dyDescent="0.25">
      <c r="F436" s="188" t="s">
        <v>60</v>
      </c>
      <c r="G436" s="162" t="s">
        <v>60</v>
      </c>
      <c r="H436" s="163" t="s">
        <v>60</v>
      </c>
      <c r="I436" s="164" t="s">
        <v>60</v>
      </c>
      <c r="J436" s="164" t="s">
        <v>0</v>
      </c>
      <c r="K436" s="164" t="s">
        <v>0</v>
      </c>
      <c r="L436" s="164" t="s">
        <v>0</v>
      </c>
      <c r="M436" s="164" t="s">
        <v>0</v>
      </c>
      <c r="N436" s="164" t="s">
        <v>0</v>
      </c>
      <c r="O436" s="164" t="s">
        <v>0</v>
      </c>
      <c r="P436" s="164" t="s">
        <v>0</v>
      </c>
      <c r="Q436" s="164" t="s">
        <v>0</v>
      </c>
      <c r="R436" s="164" t="s">
        <v>0</v>
      </c>
      <c r="S436" s="164" t="s">
        <v>0</v>
      </c>
      <c r="T436" s="164" t="s">
        <v>0</v>
      </c>
      <c r="U436" s="164" t="s">
        <v>0</v>
      </c>
      <c r="V436" s="164" t="s">
        <v>0</v>
      </c>
      <c r="W436" s="164" t="s">
        <v>0</v>
      </c>
      <c r="X436" s="164" t="s">
        <v>0</v>
      </c>
      <c r="Y436" s="164" t="s">
        <v>0</v>
      </c>
      <c r="Z436" s="164" t="s">
        <v>0</v>
      </c>
      <c r="AA436" s="164" t="s">
        <v>0</v>
      </c>
      <c r="AB436" s="164" t="s">
        <v>0</v>
      </c>
      <c r="AC436" s="164" t="s">
        <v>0</v>
      </c>
      <c r="AD436" s="164" t="s">
        <v>0</v>
      </c>
      <c r="AE436" s="164" t="s">
        <v>0</v>
      </c>
      <c r="AF436" s="164" t="s">
        <v>0</v>
      </c>
      <c r="AG436" s="164" t="s">
        <v>0</v>
      </c>
      <c r="AH436" s="164" t="s">
        <v>0</v>
      </c>
      <c r="AI436" s="164" t="s">
        <v>0</v>
      </c>
      <c r="AJ436" s="164" t="s">
        <v>0</v>
      </c>
      <c r="AK436" s="164" t="s">
        <v>0</v>
      </c>
      <c r="AL436" s="164" t="s">
        <v>0</v>
      </c>
      <c r="AM436" s="164" t="s">
        <v>0</v>
      </c>
      <c r="AN436" s="164" t="s">
        <v>0</v>
      </c>
      <c r="AO436" s="164" t="s">
        <v>0</v>
      </c>
      <c r="AP436" s="164" t="s">
        <v>0</v>
      </c>
      <c r="AQ436" s="164" t="s">
        <v>0</v>
      </c>
      <c r="AR436" s="164" t="s">
        <v>0</v>
      </c>
      <c r="AS436" s="164" t="s">
        <v>0</v>
      </c>
      <c r="AT436" s="164" t="s">
        <v>0</v>
      </c>
      <c r="AU436" s="164" t="s">
        <v>0</v>
      </c>
      <c r="AV436" s="164" t="s">
        <v>0</v>
      </c>
      <c r="AW436" s="164" t="s">
        <v>0</v>
      </c>
      <c r="AX436" s="164" t="s">
        <v>0</v>
      </c>
      <c r="AY436" s="164" t="s">
        <v>0</v>
      </c>
      <c r="AZ436" s="164" t="s">
        <v>0</v>
      </c>
      <c r="BA436" s="164" t="s">
        <v>0</v>
      </c>
      <c r="BB436" s="164" t="s">
        <v>0</v>
      </c>
      <c r="BC436" s="164" t="s">
        <v>0</v>
      </c>
      <c r="BD436" s="164" t="s">
        <v>0</v>
      </c>
      <c r="BE436" s="164" t="s">
        <v>0</v>
      </c>
      <c r="BF436" s="164" t="s">
        <v>0</v>
      </c>
      <c r="BG436" s="164" t="s">
        <v>0</v>
      </c>
      <c r="BH436" s="164" t="s">
        <v>0</v>
      </c>
      <c r="BI436" s="189"/>
      <c r="DL436">
        <f t="shared" si="2141"/>
        <v>0</v>
      </c>
      <c r="DM436">
        <f t="shared" si="2142"/>
        <v>0</v>
      </c>
      <c r="DN436">
        <f t="shared" si="2143"/>
        <v>0</v>
      </c>
      <c r="DO436">
        <f t="shared" si="2144"/>
        <v>0</v>
      </c>
      <c r="DP436">
        <f t="shared" si="2145"/>
        <v>0</v>
      </c>
      <c r="DQ436">
        <f t="shared" si="2146"/>
        <v>0</v>
      </c>
      <c r="DR436">
        <f t="shared" si="2147"/>
        <v>0</v>
      </c>
      <c r="DS436">
        <f t="shared" si="2148"/>
        <v>0</v>
      </c>
      <c r="DT436">
        <f t="shared" si="2149"/>
        <v>0</v>
      </c>
      <c r="DU436">
        <f t="shared" si="2150"/>
        <v>0</v>
      </c>
      <c r="DV436">
        <f t="shared" si="2151"/>
        <v>0</v>
      </c>
      <c r="DW436">
        <f t="shared" si="2152"/>
        <v>0</v>
      </c>
    </row>
    <row r="437" spans="6:127" x14ac:dyDescent="0.25">
      <c r="F437" s="148" t="s">
        <v>203</v>
      </c>
      <c r="G437" s="145" t="s">
        <v>60</v>
      </c>
      <c r="H437" s="203" t="s">
        <v>204</v>
      </c>
      <c r="I437" s="204"/>
      <c r="J437" s="205">
        <v>9848</v>
      </c>
      <c r="K437" s="205">
        <v>3896</v>
      </c>
      <c r="L437" s="205">
        <v>3112</v>
      </c>
      <c r="M437" s="205">
        <v>3816</v>
      </c>
      <c r="N437" s="205">
        <v>4448</v>
      </c>
      <c r="O437" s="205">
        <v>3732</v>
      </c>
      <c r="P437" s="205">
        <v>4940</v>
      </c>
      <c r="Q437" s="205">
        <v>5024</v>
      </c>
      <c r="R437" s="205">
        <v>0</v>
      </c>
      <c r="S437" s="205">
        <v>3200</v>
      </c>
      <c r="T437" s="205">
        <v>3200</v>
      </c>
      <c r="U437" s="205">
        <v>3196</v>
      </c>
      <c r="V437" s="205">
        <v>2560</v>
      </c>
      <c r="W437" s="205">
        <v>2424</v>
      </c>
      <c r="X437" s="205">
        <v>1764</v>
      </c>
      <c r="Y437" s="205">
        <v>1804</v>
      </c>
      <c r="Z437" s="205">
        <v>2500</v>
      </c>
      <c r="AA437" s="205">
        <v>3100</v>
      </c>
      <c r="AB437" s="205">
        <v>3088</v>
      </c>
      <c r="AC437" s="205">
        <v>3100</v>
      </c>
      <c r="AD437" s="205">
        <v>2464</v>
      </c>
      <c r="AE437" s="205">
        <v>2544</v>
      </c>
      <c r="AF437" s="205">
        <v>2512</v>
      </c>
      <c r="AG437" s="205">
        <v>2988</v>
      </c>
      <c r="AH437" s="205">
        <v>2120</v>
      </c>
      <c r="AI437" s="205">
        <v>2816</v>
      </c>
      <c r="AJ437" s="205">
        <v>3236</v>
      </c>
      <c r="AK437" s="205">
        <v>3236</v>
      </c>
      <c r="AL437" s="205">
        <v>4212</v>
      </c>
      <c r="AM437" s="205">
        <v>4108</v>
      </c>
      <c r="AN437" s="205">
        <v>4008</v>
      </c>
      <c r="AO437" s="205">
        <v>4008</v>
      </c>
      <c r="AP437" s="205">
        <v>4008</v>
      </c>
      <c r="AQ437" s="205">
        <v>4008</v>
      </c>
      <c r="AR437" s="205">
        <v>4008</v>
      </c>
      <c r="AS437" s="205">
        <v>4008</v>
      </c>
      <c r="AT437" s="205">
        <v>4008</v>
      </c>
      <c r="AU437" s="205">
        <v>4008</v>
      </c>
      <c r="AV437" s="205">
        <v>4008</v>
      </c>
      <c r="AW437" s="205">
        <v>4008</v>
      </c>
      <c r="AX437" s="205">
        <v>4008</v>
      </c>
      <c r="AY437" s="205">
        <v>4008</v>
      </c>
      <c r="AZ437" s="205">
        <v>4008</v>
      </c>
      <c r="BA437" s="205">
        <v>4008</v>
      </c>
      <c r="BB437" s="205">
        <v>4008</v>
      </c>
      <c r="BC437" s="205">
        <v>4008</v>
      </c>
      <c r="BD437" s="205">
        <v>4008</v>
      </c>
      <c r="BE437" s="205">
        <v>4008</v>
      </c>
      <c r="BF437" s="205">
        <v>4008</v>
      </c>
      <c r="BG437" s="205">
        <v>4008</v>
      </c>
      <c r="BH437" s="205">
        <v>4008</v>
      </c>
      <c r="BI437" s="205">
        <v>4008</v>
      </c>
      <c r="BJ437" s="167" t="str">
        <f>+F437</f>
        <v>Total</v>
      </c>
      <c r="BK437" s="167">
        <f>+J437</f>
        <v>9848</v>
      </c>
      <c r="BL437" s="167">
        <f t="shared" ref="BL437:DJ437" si="2357">+K437</f>
        <v>3896</v>
      </c>
      <c r="BM437" s="167">
        <f t="shared" si="2357"/>
        <v>3112</v>
      </c>
      <c r="BN437" s="167">
        <f t="shared" si="2357"/>
        <v>3816</v>
      </c>
      <c r="BO437" s="167">
        <f t="shared" si="2357"/>
        <v>4448</v>
      </c>
      <c r="BP437" s="167">
        <f t="shared" si="2357"/>
        <v>3732</v>
      </c>
      <c r="BQ437" s="167">
        <f t="shared" si="2357"/>
        <v>4940</v>
      </c>
      <c r="BR437" s="167">
        <f t="shared" si="2357"/>
        <v>5024</v>
      </c>
      <c r="BS437" s="167">
        <f t="shared" si="2357"/>
        <v>0</v>
      </c>
      <c r="BT437" s="167">
        <f t="shared" si="2357"/>
        <v>3200</v>
      </c>
      <c r="BU437" s="167">
        <f t="shared" si="2357"/>
        <v>3200</v>
      </c>
      <c r="BV437" s="167">
        <f t="shared" si="2357"/>
        <v>3196</v>
      </c>
      <c r="BW437" s="167">
        <f t="shared" si="2357"/>
        <v>2560</v>
      </c>
      <c r="BX437" s="167">
        <f t="shared" si="2357"/>
        <v>2424</v>
      </c>
      <c r="BY437" s="167">
        <f t="shared" si="2357"/>
        <v>1764</v>
      </c>
      <c r="BZ437" s="167">
        <f t="shared" si="2357"/>
        <v>1804</v>
      </c>
      <c r="CA437" s="167">
        <f t="shared" si="2357"/>
        <v>2500</v>
      </c>
      <c r="CB437" s="167">
        <f t="shared" si="2357"/>
        <v>3100</v>
      </c>
      <c r="CC437" s="167">
        <f t="shared" si="2357"/>
        <v>3088</v>
      </c>
      <c r="CD437" s="167">
        <f t="shared" si="2357"/>
        <v>3100</v>
      </c>
      <c r="CE437" s="167">
        <f t="shared" si="2357"/>
        <v>2464</v>
      </c>
      <c r="CF437" s="167">
        <f t="shared" si="2357"/>
        <v>2544</v>
      </c>
      <c r="CG437" s="167">
        <f t="shared" si="2357"/>
        <v>2512</v>
      </c>
      <c r="CH437" s="167">
        <f t="shared" si="2357"/>
        <v>2988</v>
      </c>
      <c r="CI437" s="167">
        <f t="shared" si="2357"/>
        <v>2120</v>
      </c>
      <c r="CJ437" s="167">
        <f t="shared" si="2357"/>
        <v>2816</v>
      </c>
      <c r="CK437" s="167">
        <f t="shared" si="2357"/>
        <v>3236</v>
      </c>
      <c r="CL437" s="167">
        <f t="shared" si="2357"/>
        <v>3236</v>
      </c>
      <c r="CM437" s="167">
        <f t="shared" si="2357"/>
        <v>4212</v>
      </c>
      <c r="CN437" s="167">
        <f t="shared" si="2357"/>
        <v>4108</v>
      </c>
      <c r="CO437" s="167">
        <f t="shared" si="2357"/>
        <v>4008</v>
      </c>
      <c r="CP437" s="167">
        <f t="shared" si="2357"/>
        <v>4008</v>
      </c>
      <c r="CQ437" s="167">
        <f t="shared" si="2357"/>
        <v>4008</v>
      </c>
      <c r="CR437" s="167">
        <f t="shared" si="2357"/>
        <v>4008</v>
      </c>
      <c r="CS437" s="167">
        <f t="shared" si="2357"/>
        <v>4008</v>
      </c>
      <c r="CT437" s="167">
        <f t="shared" si="2357"/>
        <v>4008</v>
      </c>
      <c r="CU437" s="167">
        <f t="shared" si="2357"/>
        <v>4008</v>
      </c>
      <c r="CV437" s="167">
        <f t="shared" si="2357"/>
        <v>4008</v>
      </c>
      <c r="CW437" s="167">
        <f t="shared" si="2357"/>
        <v>4008</v>
      </c>
      <c r="CX437" s="167">
        <f t="shared" si="2357"/>
        <v>4008</v>
      </c>
      <c r="CY437" s="167">
        <f t="shared" si="2357"/>
        <v>4008</v>
      </c>
      <c r="CZ437" s="167">
        <f t="shared" si="2357"/>
        <v>4008</v>
      </c>
      <c r="DA437" s="167">
        <f t="shared" si="2357"/>
        <v>4008</v>
      </c>
      <c r="DB437" s="167">
        <f t="shared" si="2357"/>
        <v>4008</v>
      </c>
      <c r="DC437" s="167">
        <f t="shared" si="2357"/>
        <v>4008</v>
      </c>
      <c r="DD437" s="167">
        <f t="shared" si="2357"/>
        <v>4008</v>
      </c>
      <c r="DE437" s="167">
        <f t="shared" si="2357"/>
        <v>4008</v>
      </c>
      <c r="DF437" s="167">
        <f t="shared" si="2357"/>
        <v>4008</v>
      </c>
      <c r="DG437" s="167">
        <f t="shared" si="2357"/>
        <v>4008</v>
      </c>
      <c r="DH437" s="167">
        <f t="shared" si="2357"/>
        <v>4008</v>
      </c>
      <c r="DI437" s="167">
        <f t="shared" si="2357"/>
        <v>4008</v>
      </c>
      <c r="DJ437" s="167">
        <f t="shared" si="2357"/>
        <v>4008</v>
      </c>
      <c r="DL437" s="167">
        <f t="shared" si="2141"/>
        <v>13744</v>
      </c>
      <c r="DM437" s="167">
        <f t="shared" si="2142"/>
        <v>15108</v>
      </c>
      <c r="DN437" s="167">
        <f t="shared" si="2143"/>
        <v>13164</v>
      </c>
      <c r="DO437" s="167">
        <f t="shared" si="2144"/>
        <v>13144</v>
      </c>
      <c r="DP437" s="167">
        <f t="shared" si="2145"/>
        <v>10492</v>
      </c>
      <c r="DQ437" s="167">
        <f t="shared" si="2146"/>
        <v>10620</v>
      </c>
      <c r="DR437" s="167">
        <f t="shared" si="2147"/>
        <v>14396</v>
      </c>
      <c r="DS437" s="167">
        <f t="shared" si="2148"/>
        <v>16336</v>
      </c>
      <c r="DT437" s="167">
        <f t="shared" si="2149"/>
        <v>20040</v>
      </c>
      <c r="DU437" s="167">
        <f t="shared" si="2150"/>
        <v>16032</v>
      </c>
      <c r="DV437" s="167">
        <f t="shared" si="2151"/>
        <v>16032</v>
      </c>
      <c r="DW437" s="167">
        <f t="shared" si="2152"/>
        <v>20040</v>
      </c>
    </row>
    <row r="438" spans="6:127" x14ac:dyDescent="0.25">
      <c r="F438" s="3" t="s">
        <v>60</v>
      </c>
      <c r="G438" s="149" t="s">
        <v>60</v>
      </c>
      <c r="H438" s="203" t="s">
        <v>205</v>
      </c>
      <c r="I438" s="204"/>
      <c r="J438" s="206">
        <v>134356</v>
      </c>
      <c r="K438" s="206">
        <v>138252</v>
      </c>
      <c r="L438" s="206">
        <v>141364</v>
      </c>
      <c r="M438" s="206">
        <v>145180</v>
      </c>
      <c r="N438" s="206">
        <v>149628</v>
      </c>
      <c r="O438" s="206">
        <v>153360</v>
      </c>
      <c r="P438" s="206">
        <v>158300</v>
      </c>
      <c r="Q438" s="206">
        <v>163324</v>
      </c>
      <c r="R438" s="206">
        <v>163324</v>
      </c>
      <c r="S438" s="206">
        <v>166524</v>
      </c>
      <c r="T438" s="206">
        <v>169724</v>
      </c>
      <c r="U438" s="206">
        <v>172920</v>
      </c>
      <c r="V438" s="206">
        <v>175480</v>
      </c>
      <c r="W438" s="206">
        <v>177904</v>
      </c>
      <c r="X438" s="206">
        <v>179668</v>
      </c>
      <c r="Y438" s="206">
        <v>181472</v>
      </c>
      <c r="Z438" s="206">
        <v>183972</v>
      </c>
      <c r="AA438" s="206">
        <v>187072</v>
      </c>
      <c r="AB438" s="206">
        <v>190160</v>
      </c>
      <c r="AC438" s="206">
        <v>193260</v>
      </c>
      <c r="AD438" s="206">
        <v>195724</v>
      </c>
      <c r="AE438" s="206">
        <v>198268</v>
      </c>
      <c r="AF438" s="206">
        <v>200780</v>
      </c>
      <c r="AG438" s="206">
        <v>203768</v>
      </c>
      <c r="AH438" s="206">
        <v>205888</v>
      </c>
      <c r="AI438" s="206">
        <v>208704</v>
      </c>
      <c r="AJ438" s="206">
        <v>211940</v>
      </c>
      <c r="AK438" s="206">
        <v>215176</v>
      </c>
      <c r="AL438" s="206">
        <v>219388</v>
      </c>
      <c r="AM438" s="206">
        <v>223496</v>
      </c>
      <c r="AN438" s="206">
        <v>227504</v>
      </c>
      <c r="AO438" s="206">
        <v>231512</v>
      </c>
      <c r="AP438" s="206">
        <v>235520</v>
      </c>
      <c r="AQ438" s="206">
        <v>239528</v>
      </c>
      <c r="AR438" s="206">
        <v>243536</v>
      </c>
      <c r="AS438" s="206">
        <v>247544</v>
      </c>
      <c r="AT438" s="206">
        <v>251552</v>
      </c>
      <c r="AU438" s="206">
        <v>255560</v>
      </c>
      <c r="AV438" s="206">
        <v>259568</v>
      </c>
      <c r="AW438" s="206">
        <v>263576</v>
      </c>
      <c r="AX438" s="206">
        <v>267584</v>
      </c>
      <c r="AY438" s="206">
        <v>271592</v>
      </c>
      <c r="AZ438" s="206">
        <v>275600</v>
      </c>
      <c r="BA438" s="206">
        <v>279608</v>
      </c>
      <c r="BB438" s="206">
        <v>283616</v>
      </c>
      <c r="BC438" s="206">
        <v>287624</v>
      </c>
      <c r="BD438" s="206">
        <v>291632</v>
      </c>
      <c r="BE438" s="206">
        <v>295640</v>
      </c>
      <c r="BF438" s="206">
        <v>299648</v>
      </c>
      <c r="BG438" s="206">
        <v>303656</v>
      </c>
      <c r="BH438" s="206">
        <v>307664</v>
      </c>
      <c r="BI438" s="206">
        <v>311672</v>
      </c>
      <c r="BJ438" s="168" t="s">
        <v>259</v>
      </c>
      <c r="BK438" s="169">
        <f>SUM(BK12:BK436)</f>
        <v>9848</v>
      </c>
      <c r="BL438" s="169">
        <f t="shared" ref="BL438:DJ438" si="2358">SUM(BL12:BL436)</f>
        <v>3896</v>
      </c>
      <c r="BM438" s="169">
        <f t="shared" si="2358"/>
        <v>3112</v>
      </c>
      <c r="BN438" s="169">
        <f t="shared" si="2358"/>
        <v>3816</v>
      </c>
      <c r="BO438" s="169">
        <f t="shared" si="2358"/>
        <v>4448</v>
      </c>
      <c r="BP438" s="169">
        <f t="shared" si="2358"/>
        <v>3732</v>
      </c>
      <c r="BQ438" s="169">
        <f t="shared" si="2358"/>
        <v>4940</v>
      </c>
      <c r="BR438" s="169">
        <f t="shared" si="2358"/>
        <v>5024</v>
      </c>
      <c r="BS438" s="169">
        <f t="shared" si="2358"/>
        <v>0</v>
      </c>
      <c r="BT438" s="169">
        <f t="shared" si="2358"/>
        <v>3200</v>
      </c>
      <c r="BU438" s="169">
        <f t="shared" si="2358"/>
        <v>3200</v>
      </c>
      <c r="BV438" s="169">
        <f t="shared" si="2358"/>
        <v>3196</v>
      </c>
      <c r="BW438" s="169">
        <f t="shared" si="2358"/>
        <v>2560</v>
      </c>
      <c r="BX438" s="169">
        <f t="shared" si="2358"/>
        <v>2424</v>
      </c>
      <c r="BY438" s="169">
        <f t="shared" si="2358"/>
        <v>1764</v>
      </c>
      <c r="BZ438" s="169">
        <f t="shared" si="2358"/>
        <v>1804</v>
      </c>
      <c r="CA438" s="169">
        <f t="shared" si="2358"/>
        <v>2500</v>
      </c>
      <c r="CB438" s="169">
        <f t="shared" si="2358"/>
        <v>3100</v>
      </c>
      <c r="CC438" s="169">
        <f t="shared" si="2358"/>
        <v>3088</v>
      </c>
      <c r="CD438" s="169">
        <f t="shared" si="2358"/>
        <v>3100</v>
      </c>
      <c r="CE438" s="169">
        <f t="shared" si="2358"/>
        <v>2464</v>
      </c>
      <c r="CF438" s="169">
        <f t="shared" si="2358"/>
        <v>2544</v>
      </c>
      <c r="CG438" s="169">
        <f t="shared" si="2358"/>
        <v>2512</v>
      </c>
      <c r="CH438" s="169">
        <f t="shared" si="2358"/>
        <v>2988</v>
      </c>
      <c r="CI438" s="169">
        <f t="shared" si="2358"/>
        <v>2120</v>
      </c>
      <c r="CJ438" s="169">
        <f t="shared" si="2358"/>
        <v>2816</v>
      </c>
      <c r="CK438" s="169">
        <f t="shared" si="2358"/>
        <v>3236</v>
      </c>
      <c r="CL438" s="169">
        <f t="shared" si="2358"/>
        <v>3236</v>
      </c>
      <c r="CM438" s="169">
        <f t="shared" si="2358"/>
        <v>4212</v>
      </c>
      <c r="CN438" s="169">
        <f t="shared" si="2358"/>
        <v>4108</v>
      </c>
      <c r="CO438" s="169">
        <f t="shared" si="2358"/>
        <v>4008</v>
      </c>
      <c r="CP438" s="169">
        <f t="shared" si="2358"/>
        <v>4008</v>
      </c>
      <c r="CQ438" s="169">
        <f t="shared" si="2358"/>
        <v>4008</v>
      </c>
      <c r="CR438" s="169">
        <f t="shared" si="2358"/>
        <v>4008</v>
      </c>
      <c r="CS438" s="169">
        <f t="shared" si="2358"/>
        <v>4008</v>
      </c>
      <c r="CT438" s="169">
        <f t="shared" si="2358"/>
        <v>4008</v>
      </c>
      <c r="CU438" s="169">
        <f t="shared" si="2358"/>
        <v>4008</v>
      </c>
      <c r="CV438" s="169">
        <f t="shared" si="2358"/>
        <v>4008</v>
      </c>
      <c r="CW438" s="169">
        <f t="shared" si="2358"/>
        <v>4008</v>
      </c>
      <c r="CX438" s="169">
        <f t="shared" si="2358"/>
        <v>4008</v>
      </c>
      <c r="CY438" s="169">
        <f t="shared" si="2358"/>
        <v>4008</v>
      </c>
      <c r="CZ438" s="169">
        <f t="shared" si="2358"/>
        <v>4008</v>
      </c>
      <c r="DA438" s="169">
        <f t="shared" si="2358"/>
        <v>4008</v>
      </c>
      <c r="DB438" s="169">
        <f t="shared" si="2358"/>
        <v>4008</v>
      </c>
      <c r="DC438" s="169">
        <f t="shared" si="2358"/>
        <v>4008</v>
      </c>
      <c r="DD438" s="169">
        <f t="shared" si="2358"/>
        <v>4008</v>
      </c>
      <c r="DE438" s="169">
        <f t="shared" si="2358"/>
        <v>4008</v>
      </c>
      <c r="DF438" s="169">
        <f t="shared" si="2358"/>
        <v>4008</v>
      </c>
      <c r="DG438" s="169">
        <f t="shared" si="2358"/>
        <v>4008</v>
      </c>
      <c r="DH438" s="169">
        <f t="shared" si="2358"/>
        <v>4008</v>
      </c>
      <c r="DI438" s="169">
        <f t="shared" si="2358"/>
        <v>4008</v>
      </c>
      <c r="DJ438" s="169">
        <f t="shared" si="2358"/>
        <v>4008</v>
      </c>
      <c r="DL438" s="169">
        <f t="shared" si="2141"/>
        <v>13744</v>
      </c>
      <c r="DM438" s="169">
        <f t="shared" si="2142"/>
        <v>15108</v>
      </c>
      <c r="DN438" s="169">
        <f t="shared" si="2143"/>
        <v>13164</v>
      </c>
      <c r="DO438" s="169">
        <f t="shared" si="2144"/>
        <v>13144</v>
      </c>
      <c r="DP438" s="169">
        <f t="shared" si="2145"/>
        <v>10492</v>
      </c>
      <c r="DQ438" s="169">
        <f t="shared" si="2146"/>
        <v>10620</v>
      </c>
      <c r="DR438" s="169">
        <f t="shared" si="2147"/>
        <v>14396</v>
      </c>
      <c r="DS438" s="169">
        <f t="shared" si="2148"/>
        <v>16336</v>
      </c>
      <c r="DT438" s="169">
        <f t="shared" si="2149"/>
        <v>20040</v>
      </c>
      <c r="DU438" s="169">
        <f t="shared" si="2150"/>
        <v>16032</v>
      </c>
      <c r="DV438" s="169">
        <f t="shared" si="2151"/>
        <v>16032</v>
      </c>
      <c r="DW438" s="169">
        <f t="shared" si="2152"/>
        <v>20040</v>
      </c>
    </row>
    <row r="439" spans="6:127" x14ac:dyDescent="0.25">
      <c r="F439" s="188"/>
      <c r="G439" s="162"/>
      <c r="H439" s="163"/>
      <c r="I439" s="164"/>
      <c r="J439" s="164"/>
      <c r="K439" s="164" t="s">
        <v>0</v>
      </c>
      <c r="L439" s="164" t="s">
        <v>0</v>
      </c>
      <c r="M439" s="164" t="s">
        <v>0</v>
      </c>
      <c r="N439" s="164" t="s">
        <v>0</v>
      </c>
      <c r="O439" s="164" t="s">
        <v>0</v>
      </c>
      <c r="P439" s="164" t="s">
        <v>311</v>
      </c>
      <c r="Q439" s="164">
        <v>1256</v>
      </c>
      <c r="R439" s="164">
        <v>0</v>
      </c>
      <c r="S439" s="164">
        <v>800</v>
      </c>
      <c r="T439" s="164">
        <v>800</v>
      </c>
      <c r="U439" s="164">
        <v>799</v>
      </c>
      <c r="V439" s="164">
        <v>640</v>
      </c>
      <c r="W439" s="164">
        <v>606</v>
      </c>
      <c r="X439" s="164">
        <v>441</v>
      </c>
      <c r="Y439" s="164">
        <v>451</v>
      </c>
      <c r="Z439" s="164">
        <v>625</v>
      </c>
      <c r="AA439" s="164">
        <v>775</v>
      </c>
      <c r="AB439" s="164">
        <v>772</v>
      </c>
      <c r="AC439" s="164">
        <v>775</v>
      </c>
      <c r="AD439" s="164">
        <v>616</v>
      </c>
      <c r="AE439" s="164">
        <v>636</v>
      </c>
      <c r="AF439" s="164">
        <v>628</v>
      </c>
      <c r="AG439" s="164">
        <v>747</v>
      </c>
      <c r="AH439" s="164">
        <v>530</v>
      </c>
      <c r="AI439" s="164">
        <v>704</v>
      </c>
      <c r="AJ439" s="164">
        <v>809</v>
      </c>
      <c r="AK439" s="164">
        <v>809</v>
      </c>
      <c r="AL439" s="164">
        <v>1053</v>
      </c>
      <c r="AM439" s="164">
        <v>1027</v>
      </c>
      <c r="AN439" s="164">
        <v>1002</v>
      </c>
      <c r="AO439" s="164">
        <v>1002</v>
      </c>
      <c r="AP439" s="164">
        <v>1002</v>
      </c>
      <c r="AQ439" s="164">
        <v>1002</v>
      </c>
      <c r="AR439" s="164">
        <v>1002</v>
      </c>
      <c r="AS439" s="164">
        <v>1002</v>
      </c>
      <c r="AT439" s="164">
        <v>1002</v>
      </c>
      <c r="AU439" s="164">
        <v>1002</v>
      </c>
      <c r="AV439" s="164">
        <v>1002</v>
      </c>
      <c r="AW439" s="164">
        <v>1002</v>
      </c>
      <c r="AX439" s="164">
        <v>1002</v>
      </c>
      <c r="AY439" s="164">
        <v>1002</v>
      </c>
      <c r="AZ439" s="164">
        <v>1002</v>
      </c>
      <c r="BA439" s="164">
        <v>1002</v>
      </c>
      <c r="BB439" s="164">
        <v>1002</v>
      </c>
      <c r="BC439" s="164">
        <v>1002</v>
      </c>
      <c r="BD439" s="164">
        <v>1002</v>
      </c>
      <c r="BE439" s="164">
        <v>1002</v>
      </c>
      <c r="BF439" s="164">
        <v>1002</v>
      </c>
      <c r="BG439" s="164">
        <v>1002</v>
      </c>
      <c r="BH439" s="164">
        <v>1002</v>
      </c>
      <c r="BI439" s="189">
        <v>1002</v>
      </c>
      <c r="BJ439" s="24" t="s">
        <v>258</v>
      </c>
      <c r="BK439" s="24" t="str">
        <f>IF(BK437=BK438,"OK","N-OK")</f>
        <v>OK</v>
      </c>
      <c r="BL439" s="24" t="str">
        <f t="shared" ref="BL439:DJ439" si="2359">IF(BL437=BL438,"OK","N-OK")</f>
        <v>OK</v>
      </c>
      <c r="BM439" s="24" t="str">
        <f t="shared" si="2359"/>
        <v>OK</v>
      </c>
      <c r="BN439" s="24" t="str">
        <f t="shared" si="2359"/>
        <v>OK</v>
      </c>
      <c r="BO439" s="24" t="str">
        <f t="shared" si="2359"/>
        <v>OK</v>
      </c>
      <c r="BP439" s="24" t="str">
        <f t="shared" si="2359"/>
        <v>OK</v>
      </c>
      <c r="BQ439" s="24" t="str">
        <f t="shared" si="2359"/>
        <v>OK</v>
      </c>
      <c r="BR439" s="24" t="str">
        <f t="shared" si="2359"/>
        <v>OK</v>
      </c>
      <c r="BS439" s="24" t="str">
        <f t="shared" si="2359"/>
        <v>OK</v>
      </c>
      <c r="BT439" s="24" t="str">
        <f t="shared" si="2359"/>
        <v>OK</v>
      </c>
      <c r="BU439" s="24" t="str">
        <f t="shared" si="2359"/>
        <v>OK</v>
      </c>
      <c r="BV439" s="24" t="str">
        <f t="shared" si="2359"/>
        <v>OK</v>
      </c>
      <c r="BW439" s="24" t="str">
        <f t="shared" si="2359"/>
        <v>OK</v>
      </c>
      <c r="BX439" s="24" t="str">
        <f t="shared" si="2359"/>
        <v>OK</v>
      </c>
      <c r="BY439" s="24" t="str">
        <f t="shared" si="2359"/>
        <v>OK</v>
      </c>
      <c r="BZ439" s="24" t="str">
        <f t="shared" si="2359"/>
        <v>OK</v>
      </c>
      <c r="CA439" s="24" t="str">
        <f t="shared" si="2359"/>
        <v>OK</v>
      </c>
      <c r="CB439" s="24" t="str">
        <f t="shared" si="2359"/>
        <v>OK</v>
      </c>
      <c r="CC439" s="24" t="str">
        <f t="shared" si="2359"/>
        <v>OK</v>
      </c>
      <c r="CD439" s="24" t="str">
        <f t="shared" si="2359"/>
        <v>OK</v>
      </c>
      <c r="CE439" s="24" t="str">
        <f t="shared" si="2359"/>
        <v>OK</v>
      </c>
      <c r="CF439" s="24" t="str">
        <f t="shared" si="2359"/>
        <v>OK</v>
      </c>
      <c r="CG439" s="24" t="str">
        <f t="shared" si="2359"/>
        <v>OK</v>
      </c>
      <c r="CH439" s="24" t="str">
        <f t="shared" si="2359"/>
        <v>OK</v>
      </c>
      <c r="CI439" s="24" t="str">
        <f t="shared" si="2359"/>
        <v>OK</v>
      </c>
      <c r="CJ439" s="24" t="str">
        <f t="shared" si="2359"/>
        <v>OK</v>
      </c>
      <c r="CK439" s="24" t="str">
        <f t="shared" si="2359"/>
        <v>OK</v>
      </c>
      <c r="CL439" s="24" t="str">
        <f t="shared" si="2359"/>
        <v>OK</v>
      </c>
      <c r="CM439" s="24" t="str">
        <f t="shared" si="2359"/>
        <v>OK</v>
      </c>
      <c r="CN439" s="24" t="str">
        <f t="shared" si="2359"/>
        <v>OK</v>
      </c>
      <c r="CO439" s="24" t="str">
        <f t="shared" si="2359"/>
        <v>OK</v>
      </c>
      <c r="CP439" s="24" t="str">
        <f t="shared" si="2359"/>
        <v>OK</v>
      </c>
      <c r="CQ439" s="24" t="str">
        <f t="shared" si="2359"/>
        <v>OK</v>
      </c>
      <c r="CR439" s="24" t="str">
        <f t="shared" si="2359"/>
        <v>OK</v>
      </c>
      <c r="CS439" s="24" t="str">
        <f t="shared" si="2359"/>
        <v>OK</v>
      </c>
      <c r="CT439" s="24" t="str">
        <f t="shared" si="2359"/>
        <v>OK</v>
      </c>
      <c r="CU439" s="24" t="str">
        <f t="shared" si="2359"/>
        <v>OK</v>
      </c>
      <c r="CV439" s="24" t="str">
        <f t="shared" si="2359"/>
        <v>OK</v>
      </c>
      <c r="CW439" s="24" t="str">
        <f t="shared" si="2359"/>
        <v>OK</v>
      </c>
      <c r="CX439" s="24" t="str">
        <f t="shared" si="2359"/>
        <v>OK</v>
      </c>
      <c r="CY439" s="24" t="str">
        <f t="shared" si="2359"/>
        <v>OK</v>
      </c>
      <c r="CZ439" s="24" t="str">
        <f t="shared" si="2359"/>
        <v>OK</v>
      </c>
      <c r="DA439" s="24" t="str">
        <f t="shared" si="2359"/>
        <v>OK</v>
      </c>
      <c r="DB439" s="24" t="str">
        <f t="shared" si="2359"/>
        <v>OK</v>
      </c>
      <c r="DC439" s="24" t="str">
        <f t="shared" si="2359"/>
        <v>OK</v>
      </c>
      <c r="DD439" s="24" t="str">
        <f t="shared" si="2359"/>
        <v>OK</v>
      </c>
      <c r="DE439" s="24" t="str">
        <f t="shared" si="2359"/>
        <v>OK</v>
      </c>
      <c r="DF439" s="24" t="str">
        <f t="shared" si="2359"/>
        <v>OK</v>
      </c>
      <c r="DG439" s="24" t="str">
        <f t="shared" si="2359"/>
        <v>OK</v>
      </c>
      <c r="DH439" s="24" t="str">
        <f t="shared" si="2359"/>
        <v>OK</v>
      </c>
      <c r="DI439" s="24" t="str">
        <f t="shared" si="2359"/>
        <v>OK</v>
      </c>
      <c r="DJ439" s="24" t="str">
        <f t="shared" si="2359"/>
        <v>OK</v>
      </c>
      <c r="DL439" s="24">
        <f t="shared" si="2141"/>
        <v>0</v>
      </c>
      <c r="DM439" s="24">
        <f t="shared" si="2142"/>
        <v>0</v>
      </c>
      <c r="DN439" s="24">
        <f t="shared" si="2143"/>
        <v>0</v>
      </c>
      <c r="DO439" s="24">
        <f t="shared" si="2144"/>
        <v>0</v>
      </c>
      <c r="DP439" s="24">
        <f t="shared" si="2145"/>
        <v>0</v>
      </c>
      <c r="DQ439" s="24">
        <f t="shared" si="2146"/>
        <v>0</v>
      </c>
      <c r="DR439" s="24">
        <f t="shared" si="2147"/>
        <v>0</v>
      </c>
      <c r="DS439" s="24">
        <f t="shared" si="2148"/>
        <v>0</v>
      </c>
      <c r="DT439" s="24">
        <f t="shared" si="2149"/>
        <v>0</v>
      </c>
      <c r="DU439" s="24">
        <f t="shared" si="2150"/>
        <v>0</v>
      </c>
      <c r="DV439" s="24">
        <f t="shared" si="2151"/>
        <v>0</v>
      </c>
      <c r="DW439" s="24">
        <f t="shared" si="2152"/>
        <v>0</v>
      </c>
    </row>
    <row r="440" spans="6:127" x14ac:dyDescent="0.25">
      <c r="Q440"/>
    </row>
    <row r="441" spans="6:127" x14ac:dyDescent="0.25">
      <c r="Q441"/>
    </row>
    <row r="442" spans="6:127" x14ac:dyDescent="0.25">
      <c r="Q442"/>
    </row>
    <row r="443" spans="6:127" x14ac:dyDescent="0.25">
      <c r="Q443"/>
    </row>
    <row r="444" spans="6:127" x14ac:dyDescent="0.25">
      <c r="Q444"/>
    </row>
    <row r="445" spans="6:127" x14ac:dyDescent="0.25">
      <c r="Q445"/>
    </row>
    <row r="446" spans="6:127" x14ac:dyDescent="0.25">
      <c r="Q446"/>
    </row>
    <row r="447" spans="6:127" x14ac:dyDescent="0.25">
      <c r="Q447"/>
    </row>
    <row r="448" spans="6:127" x14ac:dyDescent="0.25">
      <c r="Q448"/>
    </row>
    <row r="449" spans="17:17" x14ac:dyDescent="0.25">
      <c r="Q449"/>
    </row>
    <row r="450" spans="17:17" x14ac:dyDescent="0.25">
      <c r="Q450"/>
    </row>
    <row r="451" spans="17:17" x14ac:dyDescent="0.25">
      <c r="Q451"/>
    </row>
    <row r="452" spans="17:17" x14ac:dyDescent="0.25">
      <c r="Q452"/>
    </row>
    <row r="453" spans="17:17" x14ac:dyDescent="0.25">
      <c r="Q453"/>
    </row>
    <row r="454" spans="17:17" x14ac:dyDescent="0.25">
      <c r="Q454"/>
    </row>
    <row r="455" spans="17:17" x14ac:dyDescent="0.25">
      <c r="Q455"/>
    </row>
    <row r="456" spans="17:17" x14ac:dyDescent="0.25">
      <c r="Q456"/>
    </row>
    <row r="457" spans="17:17" x14ac:dyDescent="0.25">
      <c r="Q457"/>
    </row>
    <row r="458" spans="17:17" x14ac:dyDescent="0.25">
      <c r="Q458"/>
    </row>
    <row r="459" spans="17:17" x14ac:dyDescent="0.25">
      <c r="Q459"/>
    </row>
    <row r="460" spans="17:17" x14ac:dyDescent="0.25">
      <c r="Q460"/>
    </row>
    <row r="461" spans="17:17" x14ac:dyDescent="0.25">
      <c r="Q461"/>
    </row>
    <row r="462" spans="17:17" x14ac:dyDescent="0.25">
      <c r="Q462"/>
    </row>
    <row r="463" spans="17:17" x14ac:dyDescent="0.25">
      <c r="Q463"/>
    </row>
    <row r="464" spans="17:17" x14ac:dyDescent="0.25">
      <c r="Q464"/>
    </row>
    <row r="465" spans="17:17" x14ac:dyDescent="0.25">
      <c r="Q465"/>
    </row>
    <row r="466" spans="17:17" x14ac:dyDescent="0.25">
      <c r="Q466"/>
    </row>
    <row r="467" spans="17:17" x14ac:dyDescent="0.25">
      <c r="Q467"/>
    </row>
    <row r="468" spans="17:17" x14ac:dyDescent="0.25">
      <c r="Q468"/>
    </row>
    <row r="469" spans="17:17" x14ac:dyDescent="0.25">
      <c r="Q469"/>
    </row>
    <row r="470" spans="17:17" x14ac:dyDescent="0.25">
      <c r="Q470"/>
    </row>
    <row r="471" spans="17:17" x14ac:dyDescent="0.25">
      <c r="Q471"/>
    </row>
    <row r="472" spans="17:17" x14ac:dyDescent="0.25">
      <c r="Q472"/>
    </row>
    <row r="473" spans="17:17" x14ac:dyDescent="0.25">
      <c r="Q473"/>
    </row>
    <row r="474" spans="17:17" x14ac:dyDescent="0.25">
      <c r="Q474"/>
    </row>
    <row r="475" spans="17:17" x14ac:dyDescent="0.25">
      <c r="Q475"/>
    </row>
    <row r="476" spans="17:17" x14ac:dyDescent="0.25">
      <c r="Q476"/>
    </row>
    <row r="477" spans="17:17" x14ac:dyDescent="0.25">
      <c r="Q477"/>
    </row>
    <row r="478" spans="17:17" x14ac:dyDescent="0.25">
      <c r="Q478"/>
    </row>
    <row r="479" spans="17:17" x14ac:dyDescent="0.25">
      <c r="Q479"/>
    </row>
    <row r="480" spans="17:17" x14ac:dyDescent="0.25">
      <c r="Q480"/>
    </row>
    <row r="481" spans="17:17" x14ac:dyDescent="0.25">
      <c r="Q481"/>
    </row>
    <row r="482" spans="17:17" x14ac:dyDescent="0.25">
      <c r="Q482"/>
    </row>
    <row r="483" spans="17:17" x14ac:dyDescent="0.25">
      <c r="Q483"/>
    </row>
    <row r="484" spans="17:17" x14ac:dyDescent="0.25">
      <c r="Q484"/>
    </row>
    <row r="485" spans="17:17" x14ac:dyDescent="0.25">
      <c r="Q485"/>
    </row>
    <row r="486" spans="17:17" x14ac:dyDescent="0.25">
      <c r="Q486"/>
    </row>
    <row r="487" spans="17:17" x14ac:dyDescent="0.25">
      <c r="Q487"/>
    </row>
    <row r="488" spans="17:17" x14ac:dyDescent="0.25">
      <c r="Q488"/>
    </row>
    <row r="489" spans="17:17" x14ac:dyDescent="0.25">
      <c r="Q489"/>
    </row>
    <row r="490" spans="17:17" x14ac:dyDescent="0.25">
      <c r="Q490"/>
    </row>
    <row r="491" spans="17:17" x14ac:dyDescent="0.25">
      <c r="Q491"/>
    </row>
    <row r="492" spans="17:17" x14ac:dyDescent="0.25">
      <c r="Q492"/>
    </row>
    <row r="493" spans="17:17" x14ac:dyDescent="0.25">
      <c r="Q493"/>
    </row>
    <row r="494" spans="17:17" x14ac:dyDescent="0.25">
      <c r="Q494"/>
    </row>
    <row r="495" spans="17:17" x14ac:dyDescent="0.25">
      <c r="Q495"/>
    </row>
    <row r="496" spans="17:17" x14ac:dyDescent="0.25">
      <c r="Q496"/>
    </row>
    <row r="497" spans="17:17" x14ac:dyDescent="0.25">
      <c r="Q497"/>
    </row>
    <row r="498" spans="17:17" x14ac:dyDescent="0.25">
      <c r="Q498"/>
    </row>
    <row r="499" spans="17:17" x14ac:dyDescent="0.25">
      <c r="Q499"/>
    </row>
    <row r="500" spans="17:17" x14ac:dyDescent="0.25">
      <c r="Q500"/>
    </row>
    <row r="501" spans="17:17" x14ac:dyDescent="0.25">
      <c r="Q501"/>
    </row>
    <row r="502" spans="17:17" x14ac:dyDescent="0.25">
      <c r="Q502"/>
    </row>
    <row r="503" spans="17:17" x14ac:dyDescent="0.25">
      <c r="Q503"/>
    </row>
    <row r="504" spans="17:17" x14ac:dyDescent="0.25">
      <c r="Q504"/>
    </row>
    <row r="505" spans="17:17" x14ac:dyDescent="0.25">
      <c r="Q505"/>
    </row>
    <row r="506" spans="17:17" x14ac:dyDescent="0.25">
      <c r="Q506"/>
    </row>
    <row r="507" spans="17:17" x14ac:dyDescent="0.25">
      <c r="Q507"/>
    </row>
    <row r="508" spans="17:17" x14ac:dyDescent="0.25">
      <c r="Q508"/>
    </row>
    <row r="509" spans="17:17" x14ac:dyDescent="0.25">
      <c r="Q509"/>
    </row>
    <row r="510" spans="17:17" x14ac:dyDescent="0.25">
      <c r="Q510"/>
    </row>
    <row r="511" spans="17:17" x14ac:dyDescent="0.25">
      <c r="Q511"/>
    </row>
    <row r="512" spans="17:17" x14ac:dyDescent="0.25">
      <c r="Q512"/>
    </row>
    <row r="513" spans="17:17" x14ac:dyDescent="0.25">
      <c r="Q513"/>
    </row>
    <row r="514" spans="17:17" x14ac:dyDescent="0.25">
      <c r="Q514"/>
    </row>
    <row r="515" spans="17:17" x14ac:dyDescent="0.25">
      <c r="Q515"/>
    </row>
    <row r="516" spans="17:17" x14ac:dyDescent="0.25">
      <c r="Q516"/>
    </row>
    <row r="517" spans="17:17" x14ac:dyDescent="0.25">
      <c r="Q517"/>
    </row>
    <row r="518" spans="17:17" x14ac:dyDescent="0.25">
      <c r="Q518"/>
    </row>
    <row r="519" spans="17:17" x14ac:dyDescent="0.25">
      <c r="Q519"/>
    </row>
    <row r="520" spans="17:17" x14ac:dyDescent="0.25">
      <c r="Q520"/>
    </row>
    <row r="521" spans="17:17" x14ac:dyDescent="0.25">
      <c r="Q521"/>
    </row>
    <row r="522" spans="17:17" x14ac:dyDescent="0.25">
      <c r="Q522"/>
    </row>
    <row r="523" spans="17:17" x14ac:dyDescent="0.25">
      <c r="Q523"/>
    </row>
    <row r="524" spans="17:17" x14ac:dyDescent="0.25">
      <c r="Q524"/>
    </row>
    <row r="525" spans="17:17" x14ac:dyDescent="0.25">
      <c r="Q525"/>
    </row>
    <row r="526" spans="17:17" x14ac:dyDescent="0.25">
      <c r="Q526"/>
    </row>
    <row r="527" spans="17:17" x14ac:dyDescent="0.25">
      <c r="Q527"/>
    </row>
    <row r="528" spans="17:17" x14ac:dyDescent="0.25">
      <c r="Q528"/>
    </row>
    <row r="529" spans="17:17" x14ac:dyDescent="0.25">
      <c r="Q529"/>
    </row>
    <row r="530" spans="17:17" x14ac:dyDescent="0.25">
      <c r="Q530"/>
    </row>
    <row r="531" spans="17:17" x14ac:dyDescent="0.25">
      <c r="Q531"/>
    </row>
    <row r="532" spans="17:17" x14ac:dyDescent="0.25">
      <c r="Q532"/>
    </row>
    <row r="533" spans="17:17" x14ac:dyDescent="0.25">
      <c r="Q533"/>
    </row>
    <row r="534" spans="17:17" x14ac:dyDescent="0.25">
      <c r="Q534"/>
    </row>
    <row r="535" spans="17:17" x14ac:dyDescent="0.25">
      <c r="Q535"/>
    </row>
    <row r="536" spans="17:17" x14ac:dyDescent="0.25">
      <c r="Q536"/>
    </row>
    <row r="537" spans="17:17" x14ac:dyDescent="0.25">
      <c r="Q537"/>
    </row>
    <row r="538" spans="17:17" x14ac:dyDescent="0.25">
      <c r="Q538"/>
    </row>
    <row r="539" spans="17:17" x14ac:dyDescent="0.25">
      <c r="Q539"/>
    </row>
    <row r="540" spans="17:17" x14ac:dyDescent="0.25">
      <c r="Q540"/>
    </row>
    <row r="541" spans="17:17" x14ac:dyDescent="0.25">
      <c r="Q541"/>
    </row>
    <row r="542" spans="17:17" x14ac:dyDescent="0.25">
      <c r="Q542"/>
    </row>
    <row r="543" spans="17:17" x14ac:dyDescent="0.25">
      <c r="Q543"/>
    </row>
    <row r="544" spans="17:17" x14ac:dyDescent="0.25">
      <c r="Q544"/>
    </row>
    <row r="545" spans="17:17" x14ac:dyDescent="0.25">
      <c r="Q545"/>
    </row>
    <row r="546" spans="17:17" x14ac:dyDescent="0.25">
      <c r="Q546"/>
    </row>
    <row r="547" spans="17:17" x14ac:dyDescent="0.25">
      <c r="Q547"/>
    </row>
    <row r="548" spans="17:17" x14ac:dyDescent="0.25">
      <c r="Q548"/>
    </row>
    <row r="549" spans="17:17" x14ac:dyDescent="0.25">
      <c r="Q549"/>
    </row>
    <row r="550" spans="17:17" x14ac:dyDescent="0.25">
      <c r="Q550"/>
    </row>
    <row r="551" spans="17:17" x14ac:dyDescent="0.25">
      <c r="Q551"/>
    </row>
    <row r="552" spans="17:17" x14ac:dyDescent="0.25">
      <c r="Q552"/>
    </row>
    <row r="553" spans="17:17" x14ac:dyDescent="0.25">
      <c r="Q553"/>
    </row>
    <row r="554" spans="17:17" x14ac:dyDescent="0.25">
      <c r="Q554"/>
    </row>
    <row r="555" spans="17:17" x14ac:dyDescent="0.25">
      <c r="Q555"/>
    </row>
    <row r="556" spans="17:17" x14ac:dyDescent="0.25">
      <c r="Q556"/>
    </row>
    <row r="557" spans="17:17" x14ac:dyDescent="0.25">
      <c r="Q557"/>
    </row>
    <row r="558" spans="17:17" x14ac:dyDescent="0.25">
      <c r="Q558"/>
    </row>
    <row r="559" spans="17:17" x14ac:dyDescent="0.25">
      <c r="Q559"/>
    </row>
    <row r="560" spans="17:17" x14ac:dyDescent="0.25">
      <c r="Q560"/>
    </row>
    <row r="561" spans="17:17" x14ac:dyDescent="0.25">
      <c r="Q561"/>
    </row>
    <row r="562" spans="17:17" x14ac:dyDescent="0.25">
      <c r="Q562"/>
    </row>
    <row r="563" spans="17:17" x14ac:dyDescent="0.25">
      <c r="Q563"/>
    </row>
    <row r="564" spans="17:17" x14ac:dyDescent="0.25">
      <c r="Q564"/>
    </row>
    <row r="565" spans="17:17" x14ac:dyDescent="0.25">
      <c r="Q565"/>
    </row>
    <row r="566" spans="17:17" x14ac:dyDescent="0.25">
      <c r="Q566"/>
    </row>
    <row r="567" spans="17:17" x14ac:dyDescent="0.25">
      <c r="Q567"/>
    </row>
    <row r="568" spans="17:17" x14ac:dyDescent="0.25">
      <c r="Q568"/>
    </row>
    <row r="569" spans="17:17" x14ac:dyDescent="0.25">
      <c r="Q569"/>
    </row>
    <row r="570" spans="17:17" x14ac:dyDescent="0.25">
      <c r="Q570"/>
    </row>
    <row r="571" spans="17:17" x14ac:dyDescent="0.25">
      <c r="Q571"/>
    </row>
    <row r="572" spans="17:17" x14ac:dyDescent="0.25">
      <c r="Q572"/>
    </row>
    <row r="573" spans="17:17" x14ac:dyDescent="0.25">
      <c r="Q573"/>
    </row>
    <row r="574" spans="17:17" x14ac:dyDescent="0.25">
      <c r="Q574"/>
    </row>
    <row r="575" spans="17:17" x14ac:dyDescent="0.25">
      <c r="Q575"/>
    </row>
    <row r="576" spans="17:17" x14ac:dyDescent="0.25">
      <c r="Q576"/>
    </row>
    <row r="577" spans="17:17" x14ac:dyDescent="0.25">
      <c r="Q577"/>
    </row>
    <row r="578" spans="17:17" x14ac:dyDescent="0.25">
      <c r="Q578"/>
    </row>
    <row r="579" spans="17:17" x14ac:dyDescent="0.25">
      <c r="Q579"/>
    </row>
    <row r="580" spans="17:17" x14ac:dyDescent="0.25">
      <c r="Q580"/>
    </row>
    <row r="581" spans="17:17" x14ac:dyDescent="0.25">
      <c r="Q581"/>
    </row>
    <row r="582" spans="17:17" x14ac:dyDescent="0.25">
      <c r="Q582"/>
    </row>
    <row r="583" spans="17:17" x14ac:dyDescent="0.25">
      <c r="Q583"/>
    </row>
    <row r="584" spans="17:17" x14ac:dyDescent="0.25">
      <c r="Q584"/>
    </row>
    <row r="585" spans="17:17" x14ac:dyDescent="0.25">
      <c r="Q585"/>
    </row>
    <row r="586" spans="17:17" x14ac:dyDescent="0.25">
      <c r="Q586"/>
    </row>
    <row r="587" spans="17:17" x14ac:dyDescent="0.25">
      <c r="Q587"/>
    </row>
    <row r="588" spans="17:17" x14ac:dyDescent="0.25">
      <c r="Q588"/>
    </row>
    <row r="589" spans="17:17" x14ac:dyDescent="0.25">
      <c r="Q589"/>
    </row>
    <row r="590" spans="17:17" x14ac:dyDescent="0.25">
      <c r="Q590"/>
    </row>
    <row r="591" spans="17:17" x14ac:dyDescent="0.25">
      <c r="Q591"/>
    </row>
    <row r="592" spans="17:17" x14ac:dyDescent="0.25">
      <c r="Q592"/>
    </row>
    <row r="593" spans="17:17" x14ac:dyDescent="0.25">
      <c r="Q593"/>
    </row>
    <row r="594" spans="17:17" x14ac:dyDescent="0.25">
      <c r="Q594"/>
    </row>
    <row r="595" spans="17:17" x14ac:dyDescent="0.25">
      <c r="Q595"/>
    </row>
    <row r="596" spans="17:17" x14ac:dyDescent="0.25">
      <c r="Q596"/>
    </row>
    <row r="597" spans="17:17" x14ac:dyDescent="0.25">
      <c r="Q597"/>
    </row>
    <row r="598" spans="17:17" x14ac:dyDescent="0.25">
      <c r="Q598"/>
    </row>
    <row r="599" spans="17:17" x14ac:dyDescent="0.25">
      <c r="Q599"/>
    </row>
    <row r="600" spans="17:17" x14ac:dyDescent="0.25">
      <c r="Q600"/>
    </row>
    <row r="601" spans="17:17" x14ac:dyDescent="0.25">
      <c r="Q601"/>
    </row>
    <row r="602" spans="17:17" x14ac:dyDescent="0.25">
      <c r="Q602"/>
    </row>
    <row r="603" spans="17:17" x14ac:dyDescent="0.25">
      <c r="Q603"/>
    </row>
    <row r="604" spans="17:17" x14ac:dyDescent="0.25">
      <c r="Q604"/>
    </row>
    <row r="605" spans="17:17" x14ac:dyDescent="0.25">
      <c r="Q605"/>
    </row>
    <row r="606" spans="17:17" x14ac:dyDescent="0.25">
      <c r="Q606"/>
    </row>
    <row r="607" spans="17:17" x14ac:dyDescent="0.25">
      <c r="Q607"/>
    </row>
    <row r="608" spans="17:17" x14ac:dyDescent="0.25">
      <c r="Q608"/>
    </row>
    <row r="609" spans="17:17" x14ac:dyDescent="0.25">
      <c r="Q609"/>
    </row>
    <row r="610" spans="17:17" x14ac:dyDescent="0.25">
      <c r="Q610"/>
    </row>
    <row r="611" spans="17:17" x14ac:dyDescent="0.25">
      <c r="Q611"/>
    </row>
    <row r="612" spans="17:17" x14ac:dyDescent="0.25">
      <c r="Q612"/>
    </row>
    <row r="613" spans="17:17" x14ac:dyDescent="0.25">
      <c r="Q613"/>
    </row>
    <row r="614" spans="17:17" x14ac:dyDescent="0.25">
      <c r="Q614"/>
    </row>
    <row r="615" spans="17:17" x14ac:dyDescent="0.25">
      <c r="Q615"/>
    </row>
    <row r="616" spans="17:17" x14ac:dyDescent="0.25">
      <c r="Q616"/>
    </row>
    <row r="617" spans="17:17" x14ac:dyDescent="0.25">
      <c r="Q617"/>
    </row>
    <row r="618" spans="17:17" x14ac:dyDescent="0.25">
      <c r="Q618"/>
    </row>
    <row r="619" spans="17:17" x14ac:dyDescent="0.25">
      <c r="Q619"/>
    </row>
    <row r="620" spans="17:17" x14ac:dyDescent="0.25">
      <c r="Q620"/>
    </row>
    <row r="621" spans="17:17" x14ac:dyDescent="0.25">
      <c r="Q621"/>
    </row>
    <row r="622" spans="17:17" x14ac:dyDescent="0.25">
      <c r="Q622"/>
    </row>
    <row r="623" spans="17:17" x14ac:dyDescent="0.25">
      <c r="Q623"/>
    </row>
    <row r="624" spans="17:17" x14ac:dyDescent="0.25">
      <c r="Q624"/>
    </row>
    <row r="625" spans="17:17" x14ac:dyDescent="0.25">
      <c r="Q625"/>
    </row>
    <row r="626" spans="17:17" x14ac:dyDescent="0.25">
      <c r="Q626"/>
    </row>
    <row r="627" spans="17:17" x14ac:dyDescent="0.25">
      <c r="Q627"/>
    </row>
    <row r="628" spans="17:17" x14ac:dyDescent="0.25">
      <c r="Q628"/>
    </row>
    <row r="629" spans="17:17" x14ac:dyDescent="0.25">
      <c r="Q629"/>
    </row>
    <row r="630" spans="17:17" x14ac:dyDescent="0.25">
      <c r="Q630"/>
    </row>
    <row r="631" spans="17:17" x14ac:dyDescent="0.25">
      <c r="Q631"/>
    </row>
    <row r="632" spans="17:17" x14ac:dyDescent="0.25">
      <c r="Q632"/>
    </row>
    <row r="633" spans="17:17" x14ac:dyDescent="0.25">
      <c r="Q633"/>
    </row>
    <row r="634" spans="17:17" x14ac:dyDescent="0.25">
      <c r="Q634"/>
    </row>
    <row r="635" spans="17:17" x14ac:dyDescent="0.25">
      <c r="Q635"/>
    </row>
    <row r="636" spans="17:17" x14ac:dyDescent="0.25">
      <c r="Q636"/>
    </row>
    <row r="637" spans="17:17" x14ac:dyDescent="0.25">
      <c r="Q637"/>
    </row>
    <row r="638" spans="17:17" x14ac:dyDescent="0.25">
      <c r="Q638"/>
    </row>
    <row r="639" spans="17:17" x14ac:dyDescent="0.25">
      <c r="Q639"/>
    </row>
    <row r="640" spans="17:17" x14ac:dyDescent="0.25">
      <c r="Q640"/>
    </row>
    <row r="641" spans="17:17" x14ac:dyDescent="0.25">
      <c r="Q641"/>
    </row>
    <row r="642" spans="17:17" x14ac:dyDescent="0.25">
      <c r="Q642"/>
    </row>
    <row r="643" spans="17:17" x14ac:dyDescent="0.25">
      <c r="Q643"/>
    </row>
    <row r="644" spans="17:17" x14ac:dyDescent="0.25">
      <c r="Q644"/>
    </row>
    <row r="645" spans="17:17" x14ac:dyDescent="0.25">
      <c r="Q645"/>
    </row>
    <row r="646" spans="17:17" x14ac:dyDescent="0.25">
      <c r="Q646"/>
    </row>
    <row r="647" spans="17:17" x14ac:dyDescent="0.25">
      <c r="Q647"/>
    </row>
    <row r="648" spans="17:17" x14ac:dyDescent="0.25">
      <c r="Q648"/>
    </row>
    <row r="649" spans="17:17" x14ac:dyDescent="0.25">
      <c r="Q649"/>
    </row>
    <row r="650" spans="17:17" x14ac:dyDescent="0.25">
      <c r="Q650"/>
    </row>
    <row r="651" spans="17:17" x14ac:dyDescent="0.25">
      <c r="Q651"/>
    </row>
    <row r="652" spans="17:17" x14ac:dyDescent="0.25">
      <c r="Q652"/>
    </row>
    <row r="653" spans="17:17" x14ac:dyDescent="0.25">
      <c r="Q653"/>
    </row>
    <row r="654" spans="17:17" x14ac:dyDescent="0.25">
      <c r="Q654"/>
    </row>
    <row r="655" spans="17:17" x14ac:dyDescent="0.25">
      <c r="Q655"/>
    </row>
    <row r="656" spans="17:17" x14ac:dyDescent="0.25">
      <c r="Q656"/>
    </row>
    <row r="657" spans="17:17" x14ac:dyDescent="0.25">
      <c r="Q657"/>
    </row>
    <row r="658" spans="17:17" x14ac:dyDescent="0.25">
      <c r="Q658"/>
    </row>
    <row r="659" spans="17:17" x14ac:dyDescent="0.25">
      <c r="Q659"/>
    </row>
    <row r="660" spans="17:17" x14ac:dyDescent="0.25">
      <c r="Q660"/>
    </row>
    <row r="661" spans="17:17" x14ac:dyDescent="0.25">
      <c r="Q661"/>
    </row>
    <row r="662" spans="17:17" x14ac:dyDescent="0.25">
      <c r="Q662"/>
    </row>
    <row r="663" spans="17:17" x14ac:dyDescent="0.25">
      <c r="Q663"/>
    </row>
    <row r="664" spans="17:17" x14ac:dyDescent="0.25">
      <c r="Q664"/>
    </row>
    <row r="665" spans="17:17" x14ac:dyDescent="0.25">
      <c r="Q665"/>
    </row>
    <row r="666" spans="17:17" x14ac:dyDescent="0.25">
      <c r="Q666"/>
    </row>
    <row r="667" spans="17:17" x14ac:dyDescent="0.25">
      <c r="Q667"/>
    </row>
    <row r="668" spans="17:17" x14ac:dyDescent="0.25">
      <c r="Q668"/>
    </row>
    <row r="669" spans="17:17" x14ac:dyDescent="0.25">
      <c r="Q669"/>
    </row>
    <row r="670" spans="17:17" x14ac:dyDescent="0.25">
      <c r="Q670"/>
    </row>
    <row r="671" spans="17:17" x14ac:dyDescent="0.25">
      <c r="Q671"/>
    </row>
    <row r="672" spans="17:17" x14ac:dyDescent="0.25">
      <c r="Q672"/>
    </row>
    <row r="673" spans="17:17" x14ac:dyDescent="0.25">
      <c r="Q673"/>
    </row>
    <row r="674" spans="17:17" x14ac:dyDescent="0.25">
      <c r="Q674"/>
    </row>
    <row r="675" spans="17:17" x14ac:dyDescent="0.25">
      <c r="Q675"/>
    </row>
    <row r="676" spans="17:17" x14ac:dyDescent="0.25">
      <c r="Q676"/>
    </row>
    <row r="677" spans="17:17" x14ac:dyDescent="0.25">
      <c r="Q677"/>
    </row>
    <row r="678" spans="17:17" x14ac:dyDescent="0.25">
      <c r="Q678"/>
    </row>
    <row r="679" spans="17:17" x14ac:dyDescent="0.25">
      <c r="Q679"/>
    </row>
    <row r="680" spans="17:17" x14ac:dyDescent="0.25">
      <c r="Q680"/>
    </row>
    <row r="681" spans="17:17" x14ac:dyDescent="0.25">
      <c r="Q681"/>
    </row>
    <row r="682" spans="17:17" x14ac:dyDescent="0.25">
      <c r="Q682"/>
    </row>
    <row r="683" spans="17:17" x14ac:dyDescent="0.25">
      <c r="Q683"/>
    </row>
    <row r="684" spans="17:17" x14ac:dyDescent="0.25">
      <c r="Q684"/>
    </row>
    <row r="685" spans="17:17" x14ac:dyDescent="0.25">
      <c r="Q685"/>
    </row>
    <row r="686" spans="17:17" x14ac:dyDescent="0.25">
      <c r="Q686"/>
    </row>
    <row r="687" spans="17:17" x14ac:dyDescent="0.25">
      <c r="Q687"/>
    </row>
    <row r="688" spans="17:17" x14ac:dyDescent="0.25">
      <c r="Q688"/>
    </row>
    <row r="689" spans="17:17" x14ac:dyDescent="0.25">
      <c r="Q689"/>
    </row>
    <row r="690" spans="17:17" x14ac:dyDescent="0.25">
      <c r="Q690"/>
    </row>
    <row r="691" spans="17:17" x14ac:dyDescent="0.25">
      <c r="Q691"/>
    </row>
    <row r="692" spans="17:17" x14ac:dyDescent="0.25">
      <c r="Q692"/>
    </row>
    <row r="693" spans="17:17" x14ac:dyDescent="0.25">
      <c r="Q693"/>
    </row>
    <row r="694" spans="17:17" x14ac:dyDescent="0.25">
      <c r="Q694"/>
    </row>
    <row r="695" spans="17:17" x14ac:dyDescent="0.25">
      <c r="Q695"/>
    </row>
    <row r="696" spans="17:17" x14ac:dyDescent="0.25">
      <c r="Q696"/>
    </row>
    <row r="697" spans="17:17" x14ac:dyDescent="0.25">
      <c r="Q697"/>
    </row>
    <row r="698" spans="17:17" x14ac:dyDescent="0.25">
      <c r="Q698"/>
    </row>
    <row r="699" spans="17:17" x14ac:dyDescent="0.25">
      <c r="Q699"/>
    </row>
    <row r="700" spans="17:17" x14ac:dyDescent="0.25">
      <c r="Q700"/>
    </row>
    <row r="701" spans="17:17" x14ac:dyDescent="0.25">
      <c r="Q701"/>
    </row>
    <row r="702" spans="17:17" x14ac:dyDescent="0.25">
      <c r="Q702"/>
    </row>
    <row r="703" spans="17:17" x14ac:dyDescent="0.25">
      <c r="Q703"/>
    </row>
    <row r="704" spans="17:17" x14ac:dyDescent="0.25">
      <c r="Q704"/>
    </row>
    <row r="705" spans="17:17" x14ac:dyDescent="0.25">
      <c r="Q705"/>
    </row>
    <row r="706" spans="17:17" x14ac:dyDescent="0.25">
      <c r="Q706"/>
    </row>
    <row r="707" spans="17:17" x14ac:dyDescent="0.25">
      <c r="Q707"/>
    </row>
    <row r="708" spans="17:17" x14ac:dyDescent="0.25">
      <c r="Q708"/>
    </row>
    <row r="709" spans="17:17" x14ac:dyDescent="0.25">
      <c r="Q709"/>
    </row>
    <row r="710" spans="17:17" x14ac:dyDescent="0.25">
      <c r="Q710"/>
    </row>
    <row r="711" spans="17:17" x14ac:dyDescent="0.25">
      <c r="Q711"/>
    </row>
    <row r="712" spans="17:17" x14ac:dyDescent="0.25">
      <c r="Q712"/>
    </row>
    <row r="713" spans="17:17" x14ac:dyDescent="0.25">
      <c r="Q713"/>
    </row>
    <row r="714" spans="17:17" x14ac:dyDescent="0.25">
      <c r="Q714"/>
    </row>
    <row r="715" spans="17:17" x14ac:dyDescent="0.25">
      <c r="Q715"/>
    </row>
    <row r="716" spans="17:17" x14ac:dyDescent="0.25">
      <c r="Q716"/>
    </row>
    <row r="717" spans="17:17" x14ac:dyDescent="0.25">
      <c r="Q717"/>
    </row>
    <row r="718" spans="17:17" x14ac:dyDescent="0.25">
      <c r="Q718"/>
    </row>
    <row r="719" spans="17:17" x14ac:dyDescent="0.25">
      <c r="Q719"/>
    </row>
    <row r="720" spans="17:17" x14ac:dyDescent="0.25">
      <c r="Q720"/>
    </row>
    <row r="721" spans="17:17" x14ac:dyDescent="0.25">
      <c r="Q721"/>
    </row>
    <row r="722" spans="17:17" x14ac:dyDescent="0.25">
      <c r="Q722"/>
    </row>
    <row r="723" spans="17:17" x14ac:dyDescent="0.25">
      <c r="Q723"/>
    </row>
    <row r="724" spans="17:17" x14ac:dyDescent="0.25">
      <c r="Q724"/>
    </row>
    <row r="725" spans="17:17" x14ac:dyDescent="0.25">
      <c r="Q725"/>
    </row>
    <row r="726" spans="17:17" x14ac:dyDescent="0.25">
      <c r="Q726"/>
    </row>
    <row r="727" spans="17:17" x14ac:dyDescent="0.25">
      <c r="Q727"/>
    </row>
    <row r="728" spans="17:17" x14ac:dyDescent="0.25">
      <c r="Q728"/>
    </row>
    <row r="729" spans="17:17" x14ac:dyDescent="0.25">
      <c r="Q729"/>
    </row>
    <row r="730" spans="17:17" x14ac:dyDescent="0.25">
      <c r="Q730"/>
    </row>
    <row r="731" spans="17:17" x14ac:dyDescent="0.25">
      <c r="Q731"/>
    </row>
    <row r="732" spans="17:17" x14ac:dyDescent="0.25">
      <c r="Q732"/>
    </row>
    <row r="733" spans="17:17" x14ac:dyDescent="0.25">
      <c r="Q733"/>
    </row>
    <row r="734" spans="17:17" x14ac:dyDescent="0.25">
      <c r="Q734"/>
    </row>
    <row r="735" spans="17:17" x14ac:dyDescent="0.25">
      <c r="Q735"/>
    </row>
    <row r="736" spans="17:17" x14ac:dyDescent="0.25">
      <c r="Q736"/>
    </row>
    <row r="737" spans="17:17" x14ac:dyDescent="0.25">
      <c r="Q737"/>
    </row>
    <row r="738" spans="17:17" x14ac:dyDescent="0.25">
      <c r="Q738"/>
    </row>
    <row r="739" spans="17:17" x14ac:dyDescent="0.25">
      <c r="Q739"/>
    </row>
    <row r="740" spans="17:17" x14ac:dyDescent="0.25">
      <c r="Q740"/>
    </row>
    <row r="741" spans="17:17" x14ac:dyDescent="0.25">
      <c r="Q741"/>
    </row>
    <row r="742" spans="17:17" x14ac:dyDescent="0.25">
      <c r="Q742"/>
    </row>
    <row r="743" spans="17:17" x14ac:dyDescent="0.25">
      <c r="Q743"/>
    </row>
    <row r="744" spans="17:17" x14ac:dyDescent="0.25">
      <c r="Q744"/>
    </row>
    <row r="745" spans="17:17" x14ac:dyDescent="0.25">
      <c r="Q745"/>
    </row>
    <row r="746" spans="17:17" x14ac:dyDescent="0.25">
      <c r="Q746"/>
    </row>
    <row r="747" spans="17:17" x14ac:dyDescent="0.25">
      <c r="Q747"/>
    </row>
    <row r="748" spans="17:17" x14ac:dyDescent="0.25">
      <c r="Q748"/>
    </row>
    <row r="749" spans="17:17" x14ac:dyDescent="0.25">
      <c r="Q749"/>
    </row>
    <row r="750" spans="17:17" x14ac:dyDescent="0.25">
      <c r="Q750"/>
    </row>
    <row r="751" spans="17:17" x14ac:dyDescent="0.25">
      <c r="Q751"/>
    </row>
    <row r="752" spans="17:17" x14ac:dyDescent="0.25">
      <c r="Q752"/>
    </row>
    <row r="753" spans="17:17" x14ac:dyDescent="0.25">
      <c r="Q753"/>
    </row>
    <row r="754" spans="17:17" x14ac:dyDescent="0.25">
      <c r="Q754"/>
    </row>
    <row r="755" spans="17:17" x14ac:dyDescent="0.25">
      <c r="Q755"/>
    </row>
    <row r="756" spans="17:17" x14ac:dyDescent="0.25">
      <c r="Q756"/>
    </row>
    <row r="757" spans="17:17" x14ac:dyDescent="0.25">
      <c r="Q757"/>
    </row>
    <row r="758" spans="17:17" x14ac:dyDescent="0.25">
      <c r="Q758"/>
    </row>
    <row r="759" spans="17:17" x14ac:dyDescent="0.25">
      <c r="Q759"/>
    </row>
    <row r="760" spans="17:17" x14ac:dyDescent="0.25">
      <c r="Q760"/>
    </row>
    <row r="761" spans="17:17" x14ac:dyDescent="0.25">
      <c r="Q761"/>
    </row>
    <row r="762" spans="17:17" x14ac:dyDescent="0.25">
      <c r="Q762"/>
    </row>
    <row r="763" spans="17:17" x14ac:dyDescent="0.25">
      <c r="Q763"/>
    </row>
    <row r="764" spans="17:17" x14ac:dyDescent="0.25">
      <c r="Q764"/>
    </row>
    <row r="765" spans="17:17" x14ac:dyDescent="0.25">
      <c r="Q765"/>
    </row>
    <row r="766" spans="17:17" x14ac:dyDescent="0.25">
      <c r="Q766"/>
    </row>
    <row r="767" spans="17:17" x14ac:dyDescent="0.25">
      <c r="Q767"/>
    </row>
    <row r="768" spans="17:17" x14ac:dyDescent="0.25">
      <c r="Q768"/>
    </row>
    <row r="769" spans="17:17" x14ac:dyDescent="0.25">
      <c r="Q769"/>
    </row>
    <row r="770" spans="17:17" x14ac:dyDescent="0.25">
      <c r="Q770"/>
    </row>
    <row r="771" spans="17:17" x14ac:dyDescent="0.25">
      <c r="Q771"/>
    </row>
    <row r="772" spans="17:17" x14ac:dyDescent="0.25">
      <c r="Q772"/>
    </row>
    <row r="773" spans="17:17" x14ac:dyDescent="0.25">
      <c r="Q773"/>
    </row>
    <row r="774" spans="17:17" x14ac:dyDescent="0.25">
      <c r="Q774"/>
    </row>
    <row r="775" spans="17:17" x14ac:dyDescent="0.25">
      <c r="Q775"/>
    </row>
    <row r="776" spans="17:17" x14ac:dyDescent="0.25">
      <c r="Q776"/>
    </row>
    <row r="777" spans="17:17" x14ac:dyDescent="0.25">
      <c r="Q777"/>
    </row>
    <row r="778" spans="17:17" x14ac:dyDescent="0.25">
      <c r="Q778"/>
    </row>
    <row r="779" spans="17:17" x14ac:dyDescent="0.25">
      <c r="Q779"/>
    </row>
    <row r="780" spans="17:17" x14ac:dyDescent="0.25">
      <c r="Q780"/>
    </row>
    <row r="781" spans="17:17" x14ac:dyDescent="0.25">
      <c r="Q781"/>
    </row>
    <row r="782" spans="17:17" x14ac:dyDescent="0.25">
      <c r="Q782"/>
    </row>
    <row r="783" spans="17:17" x14ac:dyDescent="0.25">
      <c r="Q783"/>
    </row>
    <row r="784" spans="17:17" x14ac:dyDescent="0.25">
      <c r="Q784"/>
    </row>
    <row r="785" spans="17:17" x14ac:dyDescent="0.25">
      <c r="Q785"/>
    </row>
    <row r="786" spans="17:17" x14ac:dyDescent="0.25">
      <c r="Q786"/>
    </row>
    <row r="787" spans="17:17" x14ac:dyDescent="0.25">
      <c r="Q787"/>
    </row>
    <row r="788" spans="17:17" x14ac:dyDescent="0.25">
      <c r="Q788"/>
    </row>
    <row r="789" spans="17:17" x14ac:dyDescent="0.25">
      <c r="Q789"/>
    </row>
    <row r="790" spans="17:17" x14ac:dyDescent="0.25">
      <c r="Q790"/>
    </row>
    <row r="791" spans="17:17" x14ac:dyDescent="0.25">
      <c r="Q791"/>
    </row>
    <row r="792" spans="17:17" x14ac:dyDescent="0.25">
      <c r="Q792"/>
    </row>
    <row r="793" spans="17:17" x14ac:dyDescent="0.25">
      <c r="Q793"/>
    </row>
    <row r="794" spans="17:17" x14ac:dyDescent="0.25">
      <c r="Q794"/>
    </row>
    <row r="795" spans="17:17" x14ac:dyDescent="0.25">
      <c r="Q795"/>
    </row>
    <row r="796" spans="17:17" x14ac:dyDescent="0.25">
      <c r="Q796"/>
    </row>
    <row r="797" spans="17:17" x14ac:dyDescent="0.25">
      <c r="Q797"/>
    </row>
    <row r="798" spans="17:17" x14ac:dyDescent="0.25">
      <c r="Q798"/>
    </row>
    <row r="799" spans="17:17" x14ac:dyDescent="0.25">
      <c r="Q799"/>
    </row>
    <row r="800" spans="17:17" x14ac:dyDescent="0.25">
      <c r="Q800"/>
    </row>
    <row r="801" spans="17:17" x14ac:dyDescent="0.25">
      <c r="Q801"/>
    </row>
    <row r="802" spans="17:17" x14ac:dyDescent="0.25">
      <c r="Q802"/>
    </row>
    <row r="803" spans="17:17" x14ac:dyDescent="0.25">
      <c r="Q803"/>
    </row>
    <row r="804" spans="17:17" x14ac:dyDescent="0.25">
      <c r="Q804"/>
    </row>
    <row r="805" spans="17:17" x14ac:dyDescent="0.25">
      <c r="Q805"/>
    </row>
    <row r="806" spans="17:17" x14ac:dyDescent="0.25">
      <c r="Q806"/>
    </row>
    <row r="807" spans="17:17" x14ac:dyDescent="0.25">
      <c r="Q807"/>
    </row>
    <row r="808" spans="17:17" x14ac:dyDescent="0.25">
      <c r="Q808"/>
    </row>
    <row r="809" spans="17:17" x14ac:dyDescent="0.25">
      <c r="Q809"/>
    </row>
    <row r="810" spans="17:17" x14ac:dyDescent="0.25">
      <c r="Q810"/>
    </row>
    <row r="811" spans="17:17" x14ac:dyDescent="0.25">
      <c r="Q811"/>
    </row>
    <row r="812" spans="17:17" x14ac:dyDescent="0.25">
      <c r="Q812"/>
    </row>
    <row r="813" spans="17:17" x14ac:dyDescent="0.25">
      <c r="Q813"/>
    </row>
    <row r="814" spans="17:17" x14ac:dyDescent="0.25">
      <c r="Q814"/>
    </row>
    <row r="815" spans="17:17" x14ac:dyDescent="0.25">
      <c r="Q815"/>
    </row>
    <row r="816" spans="17:17" x14ac:dyDescent="0.25">
      <c r="Q816"/>
    </row>
    <row r="817" spans="17:17" x14ac:dyDescent="0.25">
      <c r="Q817"/>
    </row>
    <row r="818" spans="17:17" x14ac:dyDescent="0.25">
      <c r="Q818"/>
    </row>
    <row r="819" spans="17:17" x14ac:dyDescent="0.25">
      <c r="Q819"/>
    </row>
    <row r="820" spans="17:17" x14ac:dyDescent="0.25">
      <c r="Q820"/>
    </row>
    <row r="821" spans="17:17" x14ac:dyDescent="0.25">
      <c r="Q821"/>
    </row>
    <row r="822" spans="17:17" x14ac:dyDescent="0.25">
      <c r="Q822"/>
    </row>
    <row r="823" spans="17:17" x14ac:dyDescent="0.25">
      <c r="Q823"/>
    </row>
    <row r="824" spans="17:17" x14ac:dyDescent="0.25">
      <c r="Q824"/>
    </row>
    <row r="825" spans="17:17" x14ac:dyDescent="0.25">
      <c r="Q825"/>
    </row>
    <row r="826" spans="17:17" x14ac:dyDescent="0.25">
      <c r="Q826"/>
    </row>
    <row r="827" spans="17:17" x14ac:dyDescent="0.25">
      <c r="Q827"/>
    </row>
    <row r="828" spans="17:17" x14ac:dyDescent="0.25">
      <c r="Q828"/>
    </row>
    <row r="829" spans="17:17" x14ac:dyDescent="0.25">
      <c r="Q829"/>
    </row>
    <row r="830" spans="17:17" x14ac:dyDescent="0.25">
      <c r="Q830"/>
    </row>
    <row r="831" spans="17:17" x14ac:dyDescent="0.25">
      <c r="Q831"/>
    </row>
    <row r="832" spans="17:17" x14ac:dyDescent="0.25">
      <c r="Q832"/>
    </row>
    <row r="833" spans="17:17" x14ac:dyDescent="0.25">
      <c r="Q833"/>
    </row>
    <row r="834" spans="17:17" x14ac:dyDescent="0.25">
      <c r="Q834"/>
    </row>
    <row r="835" spans="17:17" x14ac:dyDescent="0.25">
      <c r="Q835"/>
    </row>
    <row r="836" spans="17:17" x14ac:dyDescent="0.25">
      <c r="Q836"/>
    </row>
    <row r="837" spans="17:17" x14ac:dyDescent="0.25">
      <c r="Q837"/>
    </row>
    <row r="838" spans="17:17" x14ac:dyDescent="0.25">
      <c r="Q838"/>
    </row>
    <row r="839" spans="17:17" x14ac:dyDescent="0.25">
      <c r="Q839"/>
    </row>
    <row r="840" spans="17:17" x14ac:dyDescent="0.25">
      <c r="Q840"/>
    </row>
    <row r="841" spans="17:17" x14ac:dyDescent="0.25">
      <c r="Q841"/>
    </row>
    <row r="842" spans="17:17" x14ac:dyDescent="0.25">
      <c r="Q842"/>
    </row>
    <row r="843" spans="17:17" x14ac:dyDescent="0.25">
      <c r="Q843"/>
    </row>
    <row r="844" spans="17:17" x14ac:dyDescent="0.25">
      <c r="Q844"/>
    </row>
    <row r="845" spans="17:17" x14ac:dyDescent="0.25">
      <c r="Q845"/>
    </row>
    <row r="846" spans="17:17" x14ac:dyDescent="0.25">
      <c r="Q846"/>
    </row>
    <row r="847" spans="17:17" x14ac:dyDescent="0.25">
      <c r="Q847"/>
    </row>
    <row r="848" spans="17:17" x14ac:dyDescent="0.25">
      <c r="Q848"/>
    </row>
    <row r="849" spans="17:17" x14ac:dyDescent="0.25">
      <c r="Q849"/>
    </row>
    <row r="850" spans="17:17" x14ac:dyDescent="0.25">
      <c r="Q850"/>
    </row>
    <row r="851" spans="17:17" x14ac:dyDescent="0.25">
      <c r="Q851"/>
    </row>
    <row r="852" spans="17:17" x14ac:dyDescent="0.25">
      <c r="Q852"/>
    </row>
    <row r="853" spans="17:17" x14ac:dyDescent="0.25">
      <c r="Q853"/>
    </row>
    <row r="854" spans="17:17" x14ac:dyDescent="0.25">
      <c r="Q854"/>
    </row>
    <row r="855" spans="17:17" x14ac:dyDescent="0.25">
      <c r="Q855"/>
    </row>
    <row r="856" spans="17:17" x14ac:dyDescent="0.25">
      <c r="Q856"/>
    </row>
    <row r="857" spans="17:17" x14ac:dyDescent="0.25">
      <c r="Q857"/>
    </row>
    <row r="858" spans="17:17" x14ac:dyDescent="0.25">
      <c r="Q858"/>
    </row>
    <row r="859" spans="17:17" x14ac:dyDescent="0.25">
      <c r="Q859"/>
    </row>
    <row r="860" spans="17:17" x14ac:dyDescent="0.25">
      <c r="Q860"/>
    </row>
    <row r="861" spans="17:17" x14ac:dyDescent="0.25">
      <c r="Q861"/>
    </row>
    <row r="862" spans="17:17" x14ac:dyDescent="0.25">
      <c r="Q862"/>
    </row>
    <row r="863" spans="17:17" x14ac:dyDescent="0.25">
      <c r="Q863"/>
    </row>
    <row r="864" spans="17:17" x14ac:dyDescent="0.25">
      <c r="Q864"/>
    </row>
    <row r="865" spans="17:17" x14ac:dyDescent="0.25">
      <c r="Q865"/>
    </row>
    <row r="866" spans="17:17" x14ac:dyDescent="0.25">
      <c r="Q866"/>
    </row>
    <row r="867" spans="17:17" x14ac:dyDescent="0.25">
      <c r="Q867"/>
    </row>
    <row r="868" spans="17:17" x14ac:dyDescent="0.25">
      <c r="Q868"/>
    </row>
    <row r="869" spans="17:17" x14ac:dyDescent="0.25">
      <c r="Q869"/>
    </row>
    <row r="870" spans="17:17" x14ac:dyDescent="0.25">
      <c r="Q870"/>
    </row>
    <row r="871" spans="17:17" x14ac:dyDescent="0.25">
      <c r="Q871"/>
    </row>
    <row r="872" spans="17:17" x14ac:dyDescent="0.25">
      <c r="Q872"/>
    </row>
    <row r="873" spans="17:17" x14ac:dyDescent="0.25">
      <c r="Q873"/>
    </row>
    <row r="874" spans="17:17" x14ac:dyDescent="0.25">
      <c r="Q874"/>
    </row>
    <row r="875" spans="17:17" x14ac:dyDescent="0.25">
      <c r="Q875"/>
    </row>
    <row r="876" spans="17:17" x14ac:dyDescent="0.25">
      <c r="Q876"/>
    </row>
    <row r="877" spans="17:17" x14ac:dyDescent="0.25">
      <c r="Q877"/>
    </row>
    <row r="878" spans="17:17" x14ac:dyDescent="0.25">
      <c r="Q878"/>
    </row>
    <row r="879" spans="17:17" x14ac:dyDescent="0.25">
      <c r="Q879"/>
    </row>
    <row r="880" spans="17:17" x14ac:dyDescent="0.25">
      <c r="Q880"/>
    </row>
    <row r="881" spans="17:17" x14ac:dyDescent="0.25">
      <c r="Q881"/>
    </row>
    <row r="882" spans="17:17" x14ac:dyDescent="0.25">
      <c r="Q882"/>
    </row>
    <row r="883" spans="17:17" x14ac:dyDescent="0.25">
      <c r="Q883"/>
    </row>
    <row r="884" spans="17:17" x14ac:dyDescent="0.25">
      <c r="Q884"/>
    </row>
    <row r="885" spans="17:17" x14ac:dyDescent="0.25">
      <c r="Q885"/>
    </row>
    <row r="886" spans="17:17" x14ac:dyDescent="0.25">
      <c r="Q886"/>
    </row>
    <row r="887" spans="17:17" x14ac:dyDescent="0.25">
      <c r="Q887"/>
    </row>
    <row r="888" spans="17:17" x14ac:dyDescent="0.25">
      <c r="Q888"/>
    </row>
    <row r="889" spans="17:17" x14ac:dyDescent="0.25">
      <c r="Q889"/>
    </row>
    <row r="890" spans="17:17" x14ac:dyDescent="0.25">
      <c r="Q890"/>
    </row>
    <row r="891" spans="17:17" x14ac:dyDescent="0.25">
      <c r="Q891"/>
    </row>
    <row r="892" spans="17:17" x14ac:dyDescent="0.25">
      <c r="Q892"/>
    </row>
  </sheetData>
  <sortState ref="A7:AM46">
    <sortCondition ref="E7:E46"/>
    <sortCondition ref="C7:C46"/>
  </sortState>
  <conditionalFormatting sqref="D6">
    <cfRule type="cellIs" dxfId="232" priority="181" operator="equal">
      <formula>"RUS"</formula>
    </cfRule>
    <cfRule type="cellIs" dxfId="231" priority="182" operator="equal">
      <formula>"TWN"</formula>
    </cfRule>
    <cfRule type="beginsWith" dxfId="230" priority="187" operator="beginsWith" text="N">
      <formula>LEFT(D6,LEN("N"))="N"</formula>
    </cfRule>
    <cfRule type="beginsWith" dxfId="229" priority="188" operator="beginsWith" text="GC">
      <formula>LEFT(D6,LEN("GC"))="GC"</formula>
    </cfRule>
    <cfRule type="beginsWith" dxfId="228" priority="189" operator="beginsWith" text="M">
      <formula>LEFT(D6,LEN("M"))="M"</formula>
    </cfRule>
    <cfRule type="beginsWith" dxfId="227" priority="190" operator="beginsWith" text="GO">
      <formula>LEFT(D6,LEN("GO"))="GO"</formula>
    </cfRule>
    <cfRule type="beginsWith" dxfId="226" priority="191" operator="beginsWith" text="A">
      <formula>LEFT(D6,LEN("A"))="A"</formula>
    </cfRule>
    <cfRule type="beginsWith" dxfId="225" priority="192" operator="beginsWith" text="PRC">
      <formula>LEFT(D6,LEN("PRC"))="PRC"</formula>
    </cfRule>
    <cfRule type="beginsWith" dxfId="224" priority="193" operator="beginsWith" text="K">
      <formula>LEFT(D6,LEN("K"))="K"</formula>
    </cfRule>
    <cfRule type="beginsWith" dxfId="223" priority="194" operator="beginsWith" text="L">
      <formula>LEFT(D6,LEN("L"))="L"</formula>
    </cfRule>
  </conditionalFormatting>
  <conditionalFormatting sqref="D16">
    <cfRule type="cellIs" dxfId="222" priority="195" operator="equal">
      <formula>"RUS"</formula>
    </cfRule>
    <cfRule type="cellIs" dxfId="221" priority="196" operator="equal">
      <formula>"TWN"</formula>
    </cfRule>
    <cfRule type="beginsWith" dxfId="220" priority="197" operator="beginsWith" text="N">
      <formula>LEFT(D16,LEN("N"))="N"</formula>
    </cfRule>
    <cfRule type="beginsWith" dxfId="219" priority="198" operator="beginsWith" text="GC">
      <formula>LEFT(D16,LEN("GC"))="GC"</formula>
    </cfRule>
    <cfRule type="beginsWith" dxfId="218" priority="199" operator="beginsWith" text="M">
      <formula>LEFT(D16,LEN("M"))="M"</formula>
    </cfRule>
    <cfRule type="beginsWith" dxfId="217" priority="200" operator="beginsWith" text="GO">
      <formula>LEFT(D16,LEN("GO"))="GO"</formula>
    </cfRule>
    <cfRule type="beginsWith" dxfId="216" priority="201" operator="beginsWith" text="A">
      <formula>LEFT(D16,LEN("A"))="A"</formula>
    </cfRule>
    <cfRule type="beginsWith" dxfId="215" priority="202" operator="beginsWith" text="PRC">
      <formula>LEFT(D16,LEN("PRC"))="PRC"</formula>
    </cfRule>
    <cfRule type="beginsWith" dxfId="214" priority="203" operator="beginsWith" text="K">
      <formula>LEFT(D16,LEN("K"))="K"</formula>
    </cfRule>
    <cfRule type="beginsWith" dxfId="213" priority="204" operator="beginsWith" text="L">
      <formula>LEFT(D16,LEN("L"))="L"</formula>
    </cfRule>
  </conditionalFormatting>
  <conditionalFormatting sqref="D26 D36 D46 D56 D66 D76 D86 D96 D106 D116 D126 D136 D146">
    <cfRule type="cellIs" dxfId="212" priority="171" operator="equal">
      <formula>"RUS"</formula>
    </cfRule>
    <cfRule type="cellIs" dxfId="211" priority="172" operator="equal">
      <formula>"TWN"</formula>
    </cfRule>
    <cfRule type="beginsWith" dxfId="210" priority="173" operator="beginsWith" text="N">
      <formula>LEFT(D26,LEN("N"))="N"</formula>
    </cfRule>
    <cfRule type="beginsWith" dxfId="209" priority="174" operator="beginsWith" text="GC">
      <formula>LEFT(D26,LEN("GC"))="GC"</formula>
    </cfRule>
    <cfRule type="beginsWith" dxfId="208" priority="175" operator="beginsWith" text="M">
      <formula>LEFT(D26,LEN("M"))="M"</formula>
    </cfRule>
    <cfRule type="beginsWith" dxfId="207" priority="176" operator="beginsWith" text="GO">
      <formula>LEFT(D26,LEN("GO"))="GO"</formula>
    </cfRule>
    <cfRule type="beginsWith" dxfId="206" priority="177" operator="beginsWith" text="A">
      <formula>LEFT(D26,LEN("A"))="A"</formula>
    </cfRule>
    <cfRule type="beginsWith" dxfId="205" priority="178" operator="beginsWith" text="PRC">
      <formula>LEFT(D26,LEN("PRC"))="PRC"</formula>
    </cfRule>
    <cfRule type="beginsWith" dxfId="204" priority="179" operator="beginsWith" text="K">
      <formula>LEFT(D26,LEN("K"))="K"</formula>
    </cfRule>
    <cfRule type="beginsWith" dxfId="203" priority="180" operator="beginsWith" text="L">
      <formula>LEFT(D26,LEN("L"))="L"</formula>
    </cfRule>
  </conditionalFormatting>
  <conditionalFormatting sqref="E6">
    <cfRule type="containsText" dxfId="202" priority="183" operator="containsText" text="P42M">
      <formula>NOT(ISERROR(SEARCH("P42M",E6)))</formula>
    </cfRule>
    <cfRule type="containsText" dxfId="201" priority="184" operator="containsText" text="L42N">
      <formula>NOT(ISERROR(SEARCH("L42N",E6)))</formula>
    </cfRule>
    <cfRule type="containsText" dxfId="200" priority="185" operator="containsText" text="P42K">
      <formula>NOT(ISERROR(SEARCH("P42K",E6)))</formula>
    </cfRule>
    <cfRule type="containsText" dxfId="199" priority="186" operator="containsText" text="P42J">
      <formula>NOT(ISERROR(SEARCH("P42J",E6)))</formula>
    </cfRule>
  </conditionalFormatting>
  <conditionalFormatting sqref="D156">
    <cfRule type="cellIs" dxfId="198" priority="161" operator="equal">
      <formula>"RUS"</formula>
    </cfRule>
    <cfRule type="cellIs" dxfId="197" priority="162" operator="equal">
      <formula>"TWN"</formula>
    </cfRule>
    <cfRule type="beginsWith" dxfId="196" priority="163" operator="beginsWith" text="N">
      <formula>LEFT(D156,LEN("N"))="N"</formula>
    </cfRule>
    <cfRule type="beginsWith" dxfId="195" priority="164" operator="beginsWith" text="GC">
      <formula>LEFT(D156,LEN("GC"))="GC"</formula>
    </cfRule>
    <cfRule type="beginsWith" dxfId="194" priority="165" operator="beginsWith" text="M">
      <formula>LEFT(D156,LEN("M"))="M"</formula>
    </cfRule>
    <cfRule type="beginsWith" dxfId="193" priority="166" operator="beginsWith" text="GO">
      <formula>LEFT(D156,LEN("GO"))="GO"</formula>
    </cfRule>
    <cfRule type="beginsWith" dxfId="192" priority="167" operator="beginsWith" text="A">
      <formula>LEFT(D156,LEN("A"))="A"</formula>
    </cfRule>
    <cfRule type="beginsWith" dxfId="191" priority="168" operator="beginsWith" text="PRC">
      <formula>LEFT(D156,LEN("PRC"))="PRC"</formula>
    </cfRule>
    <cfRule type="beginsWith" dxfId="190" priority="169" operator="beginsWith" text="K">
      <formula>LEFT(D156,LEN("K"))="K"</formula>
    </cfRule>
    <cfRule type="beginsWith" dxfId="189" priority="170" operator="beginsWith" text="L">
      <formula>LEFT(D156,LEN("L"))="L"</formula>
    </cfRule>
  </conditionalFormatting>
  <conditionalFormatting sqref="D166">
    <cfRule type="cellIs" dxfId="188" priority="151" operator="equal">
      <formula>"RUS"</formula>
    </cfRule>
    <cfRule type="cellIs" dxfId="187" priority="152" operator="equal">
      <formula>"TWN"</formula>
    </cfRule>
    <cfRule type="beginsWith" dxfId="186" priority="153" operator="beginsWith" text="N">
      <formula>LEFT(D166,LEN("N"))="N"</formula>
    </cfRule>
    <cfRule type="beginsWith" dxfId="185" priority="154" operator="beginsWith" text="GC">
      <formula>LEFT(D166,LEN("GC"))="GC"</formula>
    </cfRule>
    <cfRule type="beginsWith" dxfId="184" priority="155" operator="beginsWith" text="M">
      <formula>LEFT(D166,LEN("M"))="M"</formula>
    </cfRule>
    <cfRule type="beginsWith" dxfId="183" priority="156" operator="beginsWith" text="GO">
      <formula>LEFT(D166,LEN("GO"))="GO"</formula>
    </cfRule>
    <cfRule type="beginsWith" dxfId="182" priority="157" operator="beginsWith" text="A">
      <formula>LEFT(D166,LEN("A"))="A"</formula>
    </cfRule>
    <cfRule type="beginsWith" dxfId="181" priority="158" operator="beginsWith" text="PRC">
      <formula>LEFT(D166,LEN("PRC"))="PRC"</formula>
    </cfRule>
    <cfRule type="beginsWith" dxfId="180" priority="159" operator="beginsWith" text="K">
      <formula>LEFT(D166,LEN("K"))="K"</formula>
    </cfRule>
    <cfRule type="beginsWith" dxfId="179" priority="160" operator="beginsWith" text="L">
      <formula>LEFT(D166,LEN("L"))="L"</formula>
    </cfRule>
  </conditionalFormatting>
  <conditionalFormatting sqref="D176 D186 D196 D206 D216 D226 D236 D246 D256 D266 D276 D286 D296 D306">
    <cfRule type="cellIs" dxfId="178" priority="141" operator="equal">
      <formula>"RUS"</formula>
    </cfRule>
    <cfRule type="cellIs" dxfId="177" priority="142" operator="equal">
      <formula>"TWN"</formula>
    </cfRule>
    <cfRule type="beginsWith" dxfId="176" priority="143" operator="beginsWith" text="N">
      <formula>LEFT(D176,LEN("N"))="N"</formula>
    </cfRule>
    <cfRule type="beginsWith" dxfId="175" priority="144" operator="beginsWith" text="GC">
      <formula>LEFT(D176,LEN("GC"))="GC"</formula>
    </cfRule>
    <cfRule type="beginsWith" dxfId="174" priority="145" operator="beginsWith" text="M">
      <formula>LEFT(D176,LEN("M"))="M"</formula>
    </cfRule>
    <cfRule type="beginsWith" dxfId="173" priority="146" operator="beginsWith" text="GO">
      <formula>LEFT(D176,LEN("GO"))="GO"</formula>
    </cfRule>
    <cfRule type="beginsWith" dxfId="172" priority="147" operator="beginsWith" text="A">
      <formula>LEFT(D176,LEN("A"))="A"</formula>
    </cfRule>
    <cfRule type="beginsWith" dxfId="171" priority="148" operator="beginsWith" text="PRC">
      <formula>LEFT(D176,LEN("PRC"))="PRC"</formula>
    </cfRule>
    <cfRule type="beginsWith" dxfId="170" priority="149" operator="beginsWith" text="K">
      <formula>LEFT(D176,LEN("K"))="K"</formula>
    </cfRule>
    <cfRule type="beginsWith" dxfId="169" priority="150" operator="beginsWith" text="L">
      <formula>LEFT(D176,LEN("L"))="L"</formula>
    </cfRule>
  </conditionalFormatting>
  <conditionalFormatting sqref="D316">
    <cfRule type="cellIs" dxfId="168" priority="131" operator="equal">
      <formula>"RUS"</formula>
    </cfRule>
    <cfRule type="cellIs" dxfId="167" priority="132" operator="equal">
      <formula>"TWN"</formula>
    </cfRule>
    <cfRule type="beginsWith" dxfId="166" priority="133" operator="beginsWith" text="N">
      <formula>LEFT(D316,LEN("N"))="N"</formula>
    </cfRule>
    <cfRule type="beginsWith" dxfId="165" priority="134" operator="beginsWith" text="GC">
      <formula>LEFT(D316,LEN("GC"))="GC"</formula>
    </cfRule>
    <cfRule type="beginsWith" dxfId="164" priority="135" operator="beginsWith" text="M">
      <formula>LEFT(D316,LEN("M"))="M"</formula>
    </cfRule>
    <cfRule type="beginsWith" dxfId="163" priority="136" operator="beginsWith" text="GO">
      <formula>LEFT(D316,LEN("GO"))="GO"</formula>
    </cfRule>
    <cfRule type="beginsWith" dxfId="162" priority="137" operator="beginsWith" text="A">
      <formula>LEFT(D316,LEN("A"))="A"</formula>
    </cfRule>
    <cfRule type="beginsWith" dxfId="161" priority="138" operator="beginsWith" text="PRC">
      <formula>LEFT(D316,LEN("PRC"))="PRC"</formula>
    </cfRule>
    <cfRule type="beginsWith" dxfId="160" priority="139" operator="beginsWith" text="K">
      <formula>LEFT(D316,LEN("K"))="K"</formula>
    </cfRule>
    <cfRule type="beginsWith" dxfId="159" priority="140" operator="beginsWith" text="L">
      <formula>LEFT(D316,LEN("L"))="L"</formula>
    </cfRule>
  </conditionalFormatting>
  <conditionalFormatting sqref="D326">
    <cfRule type="cellIs" dxfId="158" priority="121" operator="equal">
      <formula>"RUS"</formula>
    </cfRule>
    <cfRule type="cellIs" dxfId="157" priority="122" operator="equal">
      <formula>"TWN"</formula>
    </cfRule>
    <cfRule type="beginsWith" dxfId="156" priority="123" operator="beginsWith" text="N">
      <formula>LEFT(D326,LEN("N"))="N"</formula>
    </cfRule>
    <cfRule type="beginsWith" dxfId="155" priority="124" operator="beginsWith" text="GC">
      <formula>LEFT(D326,LEN("GC"))="GC"</formula>
    </cfRule>
    <cfRule type="beginsWith" dxfId="154" priority="125" operator="beginsWith" text="M">
      <formula>LEFT(D326,LEN("M"))="M"</formula>
    </cfRule>
    <cfRule type="beginsWith" dxfId="153" priority="126" operator="beginsWith" text="GO">
      <formula>LEFT(D326,LEN("GO"))="GO"</formula>
    </cfRule>
    <cfRule type="beginsWith" dxfId="152" priority="127" operator="beginsWith" text="A">
      <formula>LEFT(D326,LEN("A"))="A"</formula>
    </cfRule>
    <cfRule type="beginsWith" dxfId="151" priority="128" operator="beginsWith" text="PRC">
      <formula>LEFT(D326,LEN("PRC"))="PRC"</formula>
    </cfRule>
    <cfRule type="beginsWith" dxfId="150" priority="129" operator="beginsWith" text="K">
      <formula>LEFT(D326,LEN("K"))="K"</formula>
    </cfRule>
    <cfRule type="beginsWith" dxfId="149" priority="130" operator="beginsWith" text="L">
      <formula>LEFT(D326,LEN("L"))="L"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workbookViewId="0">
      <selection activeCell="H5" sqref="H5"/>
    </sheetView>
  </sheetViews>
  <sheetFormatPr defaultRowHeight="15" x14ac:dyDescent="0.25"/>
  <cols>
    <col min="2" max="2" width="19.5703125" customWidth="1"/>
    <col min="3" max="3" width="32.42578125" customWidth="1"/>
  </cols>
  <sheetData>
    <row r="2" spans="2:4" x14ac:dyDescent="0.25">
      <c r="B2" s="181" t="s">
        <v>298</v>
      </c>
      <c r="C2" s="182" t="s">
        <v>299</v>
      </c>
      <c r="D2" s="183"/>
    </row>
    <row r="3" spans="2:4" x14ac:dyDescent="0.25">
      <c r="B3" s="181" t="s">
        <v>300</v>
      </c>
      <c r="C3" s="182" t="s">
        <v>301</v>
      </c>
      <c r="D3" s="183"/>
    </row>
    <row r="4" spans="2:4" x14ac:dyDescent="0.25">
      <c r="B4" s="181" t="s">
        <v>302</v>
      </c>
      <c r="C4" s="182" t="s">
        <v>303</v>
      </c>
      <c r="D4" s="183"/>
    </row>
    <row r="5" spans="2:4" x14ac:dyDescent="0.25">
      <c r="B5" s="181" t="s">
        <v>304</v>
      </c>
      <c r="C5" s="182" t="s">
        <v>305</v>
      </c>
      <c r="D5" s="183"/>
    </row>
    <row r="6" spans="2:4" x14ac:dyDescent="0.25">
      <c r="B6" s="181" t="s">
        <v>306</v>
      </c>
      <c r="C6" s="182" t="s">
        <v>307</v>
      </c>
      <c r="D6" s="183"/>
    </row>
    <row r="7" spans="2:4" x14ac:dyDescent="0.25">
      <c r="B7" s="181" t="s">
        <v>308</v>
      </c>
      <c r="C7" s="182" t="s">
        <v>309</v>
      </c>
      <c r="D7" s="183"/>
    </row>
    <row r="8" spans="2:4" x14ac:dyDescent="0.25">
      <c r="B8" s="181" t="s">
        <v>263</v>
      </c>
      <c r="C8" s="182" t="s">
        <v>264</v>
      </c>
      <c r="D8" s="183"/>
    </row>
    <row r="9" spans="2:4" x14ac:dyDescent="0.25">
      <c r="B9" s="181" t="s">
        <v>266</v>
      </c>
      <c r="C9" s="182" t="s">
        <v>267</v>
      </c>
      <c r="D9" s="183"/>
    </row>
    <row r="10" spans="2:4" x14ac:dyDescent="0.25">
      <c r="B10" s="181" t="s">
        <v>268</v>
      </c>
      <c r="C10" s="182" t="s">
        <v>269</v>
      </c>
      <c r="D10" s="183"/>
    </row>
    <row r="11" spans="2:4" x14ac:dyDescent="0.25">
      <c r="B11" s="181" t="s">
        <v>270</v>
      </c>
      <c r="C11" s="182" t="s">
        <v>271</v>
      </c>
      <c r="D11" s="183"/>
    </row>
    <row r="12" spans="2:4" x14ac:dyDescent="0.25">
      <c r="B12" s="181" t="s">
        <v>272</v>
      </c>
      <c r="C12" s="182" t="s">
        <v>273</v>
      </c>
      <c r="D12" s="183"/>
    </row>
    <row r="13" spans="2:4" x14ac:dyDescent="0.25">
      <c r="B13" s="181" t="s">
        <v>274</v>
      </c>
      <c r="C13" s="182" t="s">
        <v>275</v>
      </c>
      <c r="D13" s="183"/>
    </row>
    <row r="14" spans="2:4" x14ac:dyDescent="0.25">
      <c r="B14" s="181" t="s">
        <v>276</v>
      </c>
      <c r="C14" s="182" t="s">
        <v>277</v>
      </c>
      <c r="D14" s="183"/>
    </row>
    <row r="15" spans="2:4" x14ac:dyDescent="0.25">
      <c r="B15" s="181" t="s">
        <v>278</v>
      </c>
      <c r="C15" s="182" t="s">
        <v>279</v>
      </c>
      <c r="D15" s="183"/>
    </row>
    <row r="16" spans="2:4" x14ac:dyDescent="0.25">
      <c r="B16" s="181" t="s">
        <v>280</v>
      </c>
      <c r="C16" s="182" t="s">
        <v>281</v>
      </c>
      <c r="D16" s="183"/>
    </row>
    <row r="17" spans="2:4" x14ac:dyDescent="0.25">
      <c r="B17" s="181" t="s">
        <v>282</v>
      </c>
      <c r="C17" s="182" t="s">
        <v>283</v>
      </c>
      <c r="D17" s="183"/>
    </row>
    <row r="18" spans="2:4" x14ac:dyDescent="0.25">
      <c r="B18" s="181" t="s">
        <v>284</v>
      </c>
      <c r="C18" s="182" t="s">
        <v>285</v>
      </c>
      <c r="D18" s="183"/>
    </row>
    <row r="19" spans="2:4" x14ac:dyDescent="0.25">
      <c r="B19" s="181" t="s">
        <v>286</v>
      </c>
      <c r="C19" s="182" t="s">
        <v>287</v>
      </c>
      <c r="D19" s="183"/>
    </row>
    <row r="20" spans="2:4" x14ac:dyDescent="0.25">
      <c r="B20" s="181" t="s">
        <v>288</v>
      </c>
      <c r="C20" s="182" t="s">
        <v>289</v>
      </c>
      <c r="D20" s="183"/>
    </row>
    <row r="21" spans="2:4" x14ac:dyDescent="0.25">
      <c r="B21" s="181" t="s">
        <v>290</v>
      </c>
      <c r="C21" s="182" t="s">
        <v>291</v>
      </c>
      <c r="D21" s="183"/>
    </row>
    <row r="22" spans="2:4" x14ac:dyDescent="0.25">
      <c r="B22" s="181" t="s">
        <v>292</v>
      </c>
      <c r="C22" s="182" t="s">
        <v>293</v>
      </c>
      <c r="D22" s="183"/>
    </row>
    <row r="23" spans="2:4" x14ac:dyDescent="0.25">
      <c r="B23" s="181" t="s">
        <v>294</v>
      </c>
      <c r="C23" s="182" t="s">
        <v>295</v>
      </c>
      <c r="D23" s="183"/>
    </row>
    <row r="24" spans="2:4" x14ac:dyDescent="0.25">
      <c r="B24" s="181" t="s">
        <v>296</v>
      </c>
      <c r="C24" s="182" t="s">
        <v>297</v>
      </c>
      <c r="D24" s="1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2"/>
  <sheetViews>
    <sheetView topLeftCell="A37" zoomScale="90" zoomScaleNormal="90" workbookViewId="0">
      <selection activeCell="K42" sqref="K42"/>
    </sheetView>
  </sheetViews>
  <sheetFormatPr defaultColWidth="9.140625" defaultRowHeight="12.75" x14ac:dyDescent="0.2"/>
  <cols>
    <col min="1" max="1" width="11.5703125" style="105" bestFit="1" customWidth="1"/>
    <col min="2" max="2" width="16.5703125" style="104" bestFit="1" customWidth="1"/>
    <col min="3" max="17" width="9.140625" style="104"/>
    <col min="18" max="18" width="9.140625" style="104" customWidth="1"/>
    <col min="19" max="16384" width="9.140625" style="104"/>
  </cols>
  <sheetData>
    <row r="1" spans="1:34" x14ac:dyDescent="0.2">
      <c r="E1" s="104" t="s">
        <v>0</v>
      </c>
      <c r="F1" s="104" t="s">
        <v>0</v>
      </c>
      <c r="G1" s="104" t="s">
        <v>0</v>
      </c>
      <c r="H1" s="104" t="s">
        <v>0</v>
      </c>
      <c r="I1" s="104" t="s">
        <v>0</v>
      </c>
      <c r="K1" s="111"/>
      <c r="L1" s="111"/>
      <c r="M1" s="111"/>
      <c r="U1" s="104" t="s">
        <v>0</v>
      </c>
      <c r="V1" s="104" t="s">
        <v>0</v>
      </c>
      <c r="W1" s="104" t="s">
        <v>0</v>
      </c>
      <c r="X1" s="104" t="s">
        <v>0</v>
      </c>
      <c r="Y1" s="104" t="s">
        <v>0</v>
      </c>
      <c r="Z1" s="104" t="s">
        <v>0</v>
      </c>
      <c r="AA1" s="104" t="s">
        <v>0</v>
      </c>
      <c r="AB1" s="104" t="s">
        <v>0</v>
      </c>
      <c r="AC1" s="104" t="s">
        <v>0</v>
      </c>
      <c r="AD1" s="104" t="s">
        <v>0</v>
      </c>
      <c r="AE1" s="104" t="s">
        <v>0</v>
      </c>
      <c r="AF1" s="104" t="s">
        <v>0</v>
      </c>
      <c r="AG1" s="104" t="s">
        <v>0</v>
      </c>
    </row>
    <row r="2" spans="1:34" x14ac:dyDescent="0.2">
      <c r="C2" s="243" t="s">
        <v>5</v>
      </c>
      <c r="D2" s="244"/>
      <c r="E2" s="132">
        <f>'Final SR'!$J$10</f>
        <v>46041</v>
      </c>
      <c r="F2" s="130">
        <f>E2+7</f>
        <v>46048</v>
      </c>
      <c r="G2" s="130">
        <f t="shared" ref="G2:AH2" si="0">F2+7</f>
        <v>46055</v>
      </c>
      <c r="H2" s="130">
        <f t="shared" si="0"/>
        <v>46062</v>
      </c>
      <c r="I2" s="130">
        <f t="shared" si="0"/>
        <v>46069</v>
      </c>
      <c r="J2" s="130">
        <f t="shared" si="0"/>
        <v>46076</v>
      </c>
      <c r="K2" s="130">
        <f t="shared" si="0"/>
        <v>46083</v>
      </c>
      <c r="L2" s="130">
        <f t="shared" si="0"/>
        <v>46090</v>
      </c>
      <c r="M2" s="130">
        <f t="shared" si="0"/>
        <v>46097</v>
      </c>
      <c r="N2" s="130">
        <f t="shared" si="0"/>
        <v>46104</v>
      </c>
      <c r="O2" s="130">
        <f t="shared" si="0"/>
        <v>46111</v>
      </c>
      <c r="P2" s="130">
        <f t="shared" si="0"/>
        <v>46118</v>
      </c>
      <c r="Q2" s="130">
        <f t="shared" si="0"/>
        <v>46125</v>
      </c>
      <c r="R2" s="130">
        <f t="shared" si="0"/>
        <v>46132</v>
      </c>
      <c r="S2" s="130">
        <f t="shared" si="0"/>
        <v>46139</v>
      </c>
      <c r="T2" s="130">
        <f t="shared" si="0"/>
        <v>46146</v>
      </c>
      <c r="U2" s="130">
        <f t="shared" si="0"/>
        <v>46153</v>
      </c>
      <c r="V2" s="130">
        <f t="shared" si="0"/>
        <v>46160</v>
      </c>
      <c r="W2" s="130">
        <f t="shared" si="0"/>
        <v>46167</v>
      </c>
      <c r="X2" s="130">
        <f t="shared" si="0"/>
        <v>46174</v>
      </c>
      <c r="Y2" s="130">
        <f t="shared" si="0"/>
        <v>46181</v>
      </c>
      <c r="Z2" s="130">
        <f t="shared" si="0"/>
        <v>46188</v>
      </c>
      <c r="AA2" s="130">
        <f t="shared" si="0"/>
        <v>46195</v>
      </c>
      <c r="AB2" s="130">
        <f t="shared" si="0"/>
        <v>46202</v>
      </c>
      <c r="AC2" s="130">
        <f t="shared" si="0"/>
        <v>46209</v>
      </c>
      <c r="AD2" s="130">
        <f t="shared" si="0"/>
        <v>46216</v>
      </c>
      <c r="AE2" s="130">
        <f t="shared" si="0"/>
        <v>46223</v>
      </c>
      <c r="AF2" s="130">
        <f t="shared" si="0"/>
        <v>46230</v>
      </c>
      <c r="AG2" s="130">
        <f t="shared" si="0"/>
        <v>46237</v>
      </c>
      <c r="AH2" s="130">
        <f t="shared" si="0"/>
        <v>46244</v>
      </c>
    </row>
    <row r="3" spans="1:34" x14ac:dyDescent="0.2">
      <c r="C3" s="245"/>
      <c r="D3" s="246"/>
      <c r="E3" s="131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</row>
    <row r="4" spans="1:34" x14ac:dyDescent="0.2">
      <c r="A4" s="119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8" t="s">
        <v>1</v>
      </c>
      <c r="M4" s="118" t="s">
        <v>2</v>
      </c>
      <c r="N4" s="117" t="s">
        <v>0</v>
      </c>
      <c r="O4" s="117" t="s">
        <v>0</v>
      </c>
      <c r="P4" s="117" t="s">
        <v>0</v>
      </c>
      <c r="Q4" s="117" t="s">
        <v>0</v>
      </c>
      <c r="R4" s="117" t="s">
        <v>0</v>
      </c>
      <c r="S4" s="117" t="s">
        <v>0</v>
      </c>
      <c r="T4" s="117" t="s">
        <v>0</v>
      </c>
      <c r="U4" s="117" t="s">
        <v>3</v>
      </c>
      <c r="V4" s="117" t="s">
        <v>0</v>
      </c>
      <c r="W4" s="117" t="s">
        <v>0</v>
      </c>
      <c r="X4" s="117" t="s">
        <v>0</v>
      </c>
      <c r="Y4" s="116"/>
      <c r="Z4" s="116"/>
      <c r="AA4" s="116"/>
      <c r="AB4" s="116"/>
      <c r="AC4" s="116"/>
      <c r="AD4" s="116"/>
      <c r="AE4" s="116"/>
      <c r="AF4" s="116"/>
      <c r="AG4" s="116"/>
      <c r="AH4" s="116"/>
    </row>
    <row r="5" spans="1:34" x14ac:dyDescent="0.2">
      <c r="A5" s="129" t="s">
        <v>6</v>
      </c>
      <c r="B5" s="128" t="s">
        <v>84</v>
      </c>
      <c r="C5" s="127" t="s">
        <v>7</v>
      </c>
      <c r="D5" s="126"/>
      <c r="E5" s="125">
        <f>SUMIFS('Final SR'!J:J,'Final SR'!$E:$E,TOTALss!$B6,'Final SR'!$I:$I,'Final SR'!$I$12)</f>
        <v>0</v>
      </c>
      <c r="F5" s="125">
        <f>SUMIFS('Final SR'!K:K,'Final SR'!$E:$E,TOTALss!$B6,'Final SR'!$I:$I,'Final SR'!$I$12)</f>
        <v>0</v>
      </c>
      <c r="G5" s="125">
        <f>SUMIFS('Final SR'!L:L,'Final SR'!$E:$E,TOTALss!$B6,'Final SR'!$I:$I,'Final SR'!$I$12)</f>
        <v>0</v>
      </c>
      <c r="H5" s="125">
        <f>SUMIFS('Final SR'!M:M,'Final SR'!$E:$E,TOTALss!$B6,'Final SR'!$I:$I,'Final SR'!$I$12)</f>
        <v>0</v>
      </c>
      <c r="I5" s="125">
        <f>SUMIFS('Final SR'!N:N,'Final SR'!$E:$E,TOTALss!$B6,'Final SR'!$I:$I,'Final SR'!$I$12)</f>
        <v>0</v>
      </c>
      <c r="J5" s="125">
        <f>SUMIFS('Final SR'!O:O,'Final SR'!$E:$E,TOTALss!$B6,'Final SR'!$I:$I,'Final SR'!$I$12)</f>
        <v>0</v>
      </c>
      <c r="K5" s="125">
        <f>SUMIFS('Final SR'!P:P,'Final SR'!$E:$E,TOTALss!$B6,'Final SR'!$I:$I,'Final SR'!$I$12)</f>
        <v>0</v>
      </c>
      <c r="L5" s="125">
        <f>SUMIFS('Final SR'!Q:Q,'Final SR'!$E:$E,TOTALss!$B6,'Final SR'!$I:$I,'Final SR'!$I$12)</f>
        <v>0</v>
      </c>
      <c r="M5" s="125">
        <f>SUMIFS('Final SR'!R:R,'Final SR'!$E:$E,TOTALss!$B6,'Final SR'!$I:$I,'Final SR'!$I$12)</f>
        <v>0</v>
      </c>
      <c r="N5" s="125">
        <f>SUMIFS('Final SR'!S:S,'Final SR'!$E:$E,TOTALss!$B6,'Final SR'!$I:$I,'Final SR'!$I$12)</f>
        <v>0</v>
      </c>
      <c r="O5" s="125">
        <f>SUMIFS('Final SR'!T:T,'Final SR'!$E:$E,TOTALss!$B6,'Final SR'!$I:$I,'Final SR'!$I$12)</f>
        <v>0</v>
      </c>
      <c r="P5" s="125">
        <f>SUMIFS('Final SR'!U:U,'Final SR'!$E:$E,TOTALss!$B6,'Final SR'!$I:$I,'Final SR'!$I$12)</f>
        <v>0</v>
      </c>
      <c r="Q5" s="125">
        <f>SUMIFS('Final SR'!V:V,'Final SR'!$E:$E,TOTALss!$B6,'Final SR'!$I:$I,'Final SR'!$I$12)</f>
        <v>0</v>
      </c>
      <c r="R5" s="125">
        <f>SUMIFS('Final SR'!W:W,'Final SR'!$E:$E,TOTALss!$B6,'Final SR'!$I:$I,'Final SR'!$I$12)</f>
        <v>0</v>
      </c>
      <c r="S5" s="125">
        <f>SUMIFS('Final SR'!X:X,'Final SR'!$E:$E,TOTALss!$B6,'Final SR'!$I:$I,'Final SR'!$I$12)</f>
        <v>0</v>
      </c>
      <c r="T5" s="125">
        <f>SUMIFS('Final SR'!Y:Y,'Final SR'!$E:$E,TOTALss!$B6,'Final SR'!$I:$I,'Final SR'!$I$12)</f>
        <v>0</v>
      </c>
      <c r="U5" s="125">
        <f>SUMIFS('Final SR'!Z:Z,'Final SR'!$E:$E,TOTALss!$B6,'Final SR'!$I:$I,'Final SR'!$I$12)</f>
        <v>0</v>
      </c>
      <c r="V5" s="125">
        <f>SUMIFS('Final SR'!AA:AA,'Final SR'!$E:$E,TOTALss!$B6,'Final SR'!$I:$I,'Final SR'!$I$12)</f>
        <v>0</v>
      </c>
      <c r="W5" s="125">
        <f>SUMIFS('Final SR'!AB:AB,'Final SR'!$E:$E,TOTALss!$B6,'Final SR'!$I:$I,'Final SR'!$I$12)</f>
        <v>0</v>
      </c>
      <c r="X5" s="125">
        <f>SUMIFS('Final SR'!AC:AC,'Final SR'!$E:$E,TOTALss!$B6,'Final SR'!$I:$I,'Final SR'!$I$12)</f>
        <v>0</v>
      </c>
      <c r="Y5" s="125">
        <f>SUMIFS('Final SR'!AD:AD,'Final SR'!$E:$E,TOTALss!$B6,'Final SR'!$I:$I,'Final SR'!$I$12)</f>
        <v>0</v>
      </c>
      <c r="Z5" s="125">
        <f>SUMIFS('Final SR'!AE:AE,'Final SR'!$E:$E,TOTALss!$B6,'Final SR'!$I:$I,'Final SR'!$I$12)</f>
        <v>0</v>
      </c>
      <c r="AA5" s="125">
        <f>SUMIFS('Final SR'!AF:AF,'Final SR'!$E:$E,TOTALss!$B6,'Final SR'!$I:$I,'Final SR'!$I$12)</f>
        <v>0</v>
      </c>
      <c r="AB5" s="125">
        <f>SUMIFS('Final SR'!AG:AG,'Final SR'!$E:$E,TOTALss!$B6,'Final SR'!$I:$I,'Final SR'!$I$12)</f>
        <v>0</v>
      </c>
      <c r="AC5" s="125">
        <f>SUMIFS('Final SR'!AH:AH,'Final SR'!$E:$E,TOTALss!$B6,'Final SR'!$I:$I,'Final SR'!$I$12)</f>
        <v>0</v>
      </c>
      <c r="AD5" s="125">
        <f>SUMIFS('Final SR'!AI:AI,'Final SR'!$E:$E,TOTALss!$B6,'Final SR'!$I:$I,'Final SR'!$I$12)</f>
        <v>0</v>
      </c>
      <c r="AE5" s="125">
        <f>SUMIFS('Final SR'!AJ:AJ,'Final SR'!$E:$E,TOTALss!$B6,'Final SR'!$I:$I,'Final SR'!$I$12)</f>
        <v>0</v>
      </c>
      <c r="AF5" s="125">
        <f>SUMIFS('Final SR'!AK:AK,'Final SR'!$E:$E,TOTALss!$B6,'Final SR'!$I:$I,'Final SR'!$I$12)</f>
        <v>0</v>
      </c>
      <c r="AG5" s="125">
        <f>SUMIFS('Final SR'!AL:AL,'Final SR'!$E:$E,TOTALss!$B6,'Final SR'!$I:$I,'Final SR'!$I$12)</f>
        <v>0</v>
      </c>
      <c r="AH5" s="125">
        <f>SUMIFS('Final SR'!AM:AM,'Final SR'!$E:$E,TOTALss!$B6,'Final SR'!$I:$I,'Final SR'!$I$12)</f>
        <v>0</v>
      </c>
    </row>
    <row r="6" spans="1:34" x14ac:dyDescent="0.2">
      <c r="A6" s="124"/>
      <c r="B6" s="123"/>
      <c r="C6" s="122" t="s">
        <v>8</v>
      </c>
      <c r="D6" s="121"/>
      <c r="E6" s="120">
        <f t="shared" ref="E6:F6" si="1">+E5+D6</f>
        <v>0</v>
      </c>
      <c r="F6" s="120">
        <f t="shared" si="1"/>
        <v>0</v>
      </c>
      <c r="G6" s="120">
        <f t="shared" ref="G6" si="2">+G5+F6</f>
        <v>0</v>
      </c>
      <c r="H6" s="120">
        <f t="shared" ref="H6" si="3">+H5+G6</f>
        <v>0</v>
      </c>
      <c r="I6" s="120">
        <f t="shared" ref="I6" si="4">+I5+H6</f>
        <v>0</v>
      </c>
      <c r="J6" s="120">
        <f t="shared" ref="J6" si="5">+J5+I6</f>
        <v>0</v>
      </c>
      <c r="K6" s="120">
        <f t="shared" ref="K6" si="6">+K5+J6</f>
        <v>0</v>
      </c>
      <c r="L6" s="120">
        <f t="shared" ref="L6" si="7">+L5+K6</f>
        <v>0</v>
      </c>
      <c r="M6" s="120">
        <f t="shared" ref="M6" si="8">+M5+L6</f>
        <v>0</v>
      </c>
      <c r="N6" s="120">
        <f t="shared" ref="N6" si="9">+N5+M6</f>
        <v>0</v>
      </c>
      <c r="O6" s="120">
        <f t="shared" ref="O6" si="10">+O5+N6</f>
        <v>0</v>
      </c>
      <c r="P6" s="120">
        <f t="shared" ref="P6" si="11">+P5+O6</f>
        <v>0</v>
      </c>
      <c r="Q6" s="120">
        <f t="shared" ref="Q6" si="12">+Q5+P6</f>
        <v>0</v>
      </c>
      <c r="R6" s="120">
        <f t="shared" ref="R6" si="13">+R5+Q6</f>
        <v>0</v>
      </c>
      <c r="S6" s="120">
        <f t="shared" ref="S6" si="14">+S5+R6</f>
        <v>0</v>
      </c>
      <c r="T6" s="120">
        <f t="shared" ref="T6" si="15">+T5+S6</f>
        <v>0</v>
      </c>
      <c r="U6" s="120">
        <f t="shared" ref="U6" si="16">+U5+T6</f>
        <v>0</v>
      </c>
      <c r="V6" s="120">
        <f t="shared" ref="V6" si="17">+V5+U6</f>
        <v>0</v>
      </c>
      <c r="W6" s="120">
        <f t="shared" ref="W6" si="18">+W5+V6</f>
        <v>0</v>
      </c>
      <c r="X6" s="120">
        <f t="shared" ref="X6" si="19">+X5+W6</f>
        <v>0</v>
      </c>
      <c r="Y6" s="120">
        <f t="shared" ref="Y6" si="20">+Y5+X6</f>
        <v>0</v>
      </c>
      <c r="Z6" s="120">
        <f t="shared" ref="Z6" si="21">+Z5+Y6</f>
        <v>0</v>
      </c>
      <c r="AA6" s="120">
        <f t="shared" ref="AA6" si="22">+AA5+Z6</f>
        <v>0</v>
      </c>
      <c r="AB6" s="120">
        <f t="shared" ref="AB6" si="23">+AB5+AA6</f>
        <v>0</v>
      </c>
      <c r="AC6" s="120">
        <f t="shared" ref="AC6" si="24">+AC5+AB6</f>
        <v>0</v>
      </c>
      <c r="AD6" s="120">
        <f t="shared" ref="AD6" si="25">+AD5+AC6</f>
        <v>0</v>
      </c>
      <c r="AE6" s="120">
        <f t="shared" ref="AE6" si="26">+AE5+AD6</f>
        <v>0</v>
      </c>
      <c r="AF6" s="120">
        <f t="shared" ref="AF6" si="27">+AF5+AE6</f>
        <v>0</v>
      </c>
      <c r="AG6" s="120">
        <f t="shared" ref="AG6" si="28">+AG5+AF6</f>
        <v>0</v>
      </c>
      <c r="AH6" s="120">
        <f t="shared" ref="AH6" si="29">+AH5+AG6</f>
        <v>0</v>
      </c>
    </row>
    <row r="7" spans="1:34" x14ac:dyDescent="0.2">
      <c r="A7" s="119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8" t="s">
        <v>1</v>
      </c>
      <c r="M7" s="118" t="s">
        <v>2</v>
      </c>
      <c r="N7" s="117" t="s">
        <v>0</v>
      </c>
      <c r="O7" s="117" t="s">
        <v>0</v>
      </c>
      <c r="P7" s="117" t="s">
        <v>0</v>
      </c>
      <c r="Q7" s="117" t="s">
        <v>0</v>
      </c>
      <c r="R7" s="117" t="s">
        <v>0</v>
      </c>
      <c r="S7" s="117" t="s">
        <v>0</v>
      </c>
      <c r="T7" s="117" t="s">
        <v>0</v>
      </c>
      <c r="U7" s="117" t="s">
        <v>3</v>
      </c>
      <c r="V7" s="117" t="s">
        <v>0</v>
      </c>
      <c r="W7" s="117" t="s">
        <v>0</v>
      </c>
      <c r="X7" s="117" t="s">
        <v>0</v>
      </c>
      <c r="Y7" s="116"/>
      <c r="Z7" s="116"/>
      <c r="AA7" s="116"/>
      <c r="AB7" s="116"/>
      <c r="AC7" s="116"/>
      <c r="AD7" s="116"/>
      <c r="AE7" s="116"/>
      <c r="AF7" s="116"/>
      <c r="AG7" s="116"/>
      <c r="AH7" s="116"/>
    </row>
    <row r="8" spans="1:34" ht="20.25" customHeight="1" thickBot="1" x14ac:dyDescent="0.25">
      <c r="A8" s="115"/>
      <c r="B8" s="114"/>
      <c r="C8" s="113"/>
      <c r="D8" s="113"/>
      <c r="K8" s="118" t="s">
        <v>1</v>
      </c>
      <c r="L8" s="118" t="s">
        <v>2</v>
      </c>
    </row>
    <row r="9" spans="1:34" x14ac:dyDescent="0.2">
      <c r="A9" s="115"/>
      <c r="B9" s="114"/>
      <c r="C9" s="113"/>
      <c r="D9" s="113"/>
      <c r="G9" s="229" t="str">
        <f>B5</f>
        <v>220D- GAS</v>
      </c>
      <c r="H9" s="232" t="s">
        <v>9</v>
      </c>
      <c r="I9" s="77" t="s">
        <v>10</v>
      </c>
      <c r="J9" s="77">
        <f t="shared" ref="J9:L10" si="30">K5</f>
        <v>0</v>
      </c>
      <c r="K9" s="77">
        <f>L5</f>
        <v>0</v>
      </c>
      <c r="L9" s="77">
        <f>M5</f>
        <v>0</v>
      </c>
      <c r="M9" s="108" t="b">
        <f>K9=K11</f>
        <v>0</v>
      </c>
      <c r="N9" s="234">
        <f>K10-K12</f>
        <v>0</v>
      </c>
      <c r="O9" s="235"/>
      <c r="P9" s="236"/>
    </row>
    <row r="10" spans="1:34" ht="13.5" thickBot="1" x14ac:dyDescent="0.25">
      <c r="A10" s="115"/>
      <c r="B10" s="114"/>
      <c r="C10" s="113"/>
      <c r="D10" s="113"/>
      <c r="G10" s="230"/>
      <c r="H10" s="233"/>
      <c r="I10" s="24" t="s">
        <v>11</v>
      </c>
      <c r="J10" s="24">
        <f t="shared" si="30"/>
        <v>0</v>
      </c>
      <c r="K10" s="24">
        <v>10186</v>
      </c>
      <c r="L10" s="24">
        <f t="shared" si="30"/>
        <v>0</v>
      </c>
      <c r="M10" s="110" t="b">
        <f>K10=K12</f>
        <v>1</v>
      </c>
      <c r="N10" s="237"/>
      <c r="O10" s="238"/>
      <c r="P10" s="239"/>
    </row>
    <row r="11" spans="1:34" x14ac:dyDescent="0.2">
      <c r="A11" s="115"/>
      <c r="B11" s="114"/>
      <c r="C11" s="113"/>
      <c r="D11" s="113"/>
      <c r="G11" s="230"/>
      <c r="H11" s="232" t="s">
        <v>12</v>
      </c>
      <c r="I11" s="109" t="s">
        <v>10</v>
      </c>
      <c r="J11" s="77"/>
      <c r="K11" s="77">
        <v>752</v>
      </c>
      <c r="L11" s="77"/>
      <c r="M11" s="108"/>
      <c r="N11" s="237"/>
      <c r="O11" s="238"/>
      <c r="P11" s="239"/>
    </row>
    <row r="12" spans="1:34" ht="13.5" thickBot="1" x14ac:dyDescent="0.25">
      <c r="A12" s="115"/>
      <c r="B12" s="114"/>
      <c r="C12" s="113"/>
      <c r="D12" s="113"/>
      <c r="G12" s="231"/>
      <c r="H12" s="233"/>
      <c r="I12" s="107" t="s">
        <v>11</v>
      </c>
      <c r="J12" s="78"/>
      <c r="K12" s="78">
        <v>10186</v>
      </c>
      <c r="L12" s="78"/>
      <c r="M12" s="106"/>
      <c r="N12" s="240"/>
      <c r="O12" s="241"/>
      <c r="P12" s="242"/>
    </row>
    <row r="13" spans="1:34" x14ac:dyDescent="0.2">
      <c r="R13" s="112"/>
      <c r="S13" s="111"/>
    </row>
    <row r="14" spans="1:34" x14ac:dyDescent="0.2">
      <c r="A14" s="119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8" t="s">
        <v>1</v>
      </c>
      <c r="M14" s="118" t="s">
        <v>2</v>
      </c>
      <c r="N14" s="117" t="s">
        <v>0</v>
      </c>
      <c r="O14" s="117" t="s">
        <v>0</v>
      </c>
      <c r="P14" s="117" t="s">
        <v>0</v>
      </c>
      <c r="Q14" s="117" t="s">
        <v>0</v>
      </c>
      <c r="R14" s="117" t="s">
        <v>0</v>
      </c>
      <c r="S14" s="117" t="s">
        <v>0</v>
      </c>
      <c r="T14" s="117" t="s">
        <v>0</v>
      </c>
      <c r="U14" s="117" t="s">
        <v>3</v>
      </c>
      <c r="V14" s="117" t="s">
        <v>0</v>
      </c>
      <c r="W14" s="117" t="s">
        <v>0</v>
      </c>
      <c r="X14" s="117" t="s">
        <v>0</v>
      </c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</row>
    <row r="15" spans="1:34" x14ac:dyDescent="0.2">
      <c r="A15" s="129" t="s">
        <v>6</v>
      </c>
      <c r="B15" s="128" t="s">
        <v>103</v>
      </c>
      <c r="C15" s="127" t="s">
        <v>7</v>
      </c>
      <c r="D15" s="126"/>
      <c r="E15" s="125">
        <f>SUMIFS('Final SR'!J:J,'Final SR'!$E:$E,TOTALss!$B56,'Final SR'!$I:$I,'Final SR'!$I$12)</f>
        <v>0</v>
      </c>
      <c r="F15" s="125">
        <f>SUMIFS('Final SR'!K:K,'Final SR'!$E:$E,TOTALss!$B56,'Final SR'!$I:$I,'Final SR'!$I$12)</f>
        <v>0</v>
      </c>
      <c r="G15" s="125">
        <f>SUMIFS('Final SR'!L:L,'Final SR'!$E:$E,TOTALss!$B56,'Final SR'!$I:$I,'Final SR'!$I$12)</f>
        <v>0</v>
      </c>
      <c r="H15" s="125">
        <f>SUMIFS('Final SR'!M:M,'Final SR'!$E:$E,TOTALss!$B56,'Final SR'!$I:$I,'Final SR'!$I$12)</f>
        <v>0</v>
      </c>
      <c r="I15" s="125">
        <f>SUMIFS('Final SR'!N:N,'Final SR'!$E:$E,TOTALss!$B56,'Final SR'!$I:$I,'Final SR'!$I$12)</f>
        <v>0</v>
      </c>
      <c r="J15" s="125">
        <f>SUMIFS('Final SR'!O:O,'Final SR'!$E:$E,TOTALss!$B56,'Final SR'!$I:$I,'Final SR'!$I$12)</f>
        <v>0</v>
      </c>
      <c r="K15" s="125">
        <f>SUMIFS('Final SR'!P:P,'Final SR'!$E:$E,TOTALss!$B56,'Final SR'!$I:$I,'Final SR'!$I$12)</f>
        <v>0</v>
      </c>
      <c r="L15" s="125">
        <f>SUMIFS('Final SR'!Q:Q,'Final SR'!$E:$E,TOTALss!$B56,'Final SR'!$I:$I,'Final SR'!$I$12)</f>
        <v>0</v>
      </c>
      <c r="M15" s="125">
        <f>SUMIFS('Final SR'!R:R,'Final SR'!$E:$E,TOTALss!$B56,'Final SR'!$I:$I,'Final SR'!$I$12)</f>
        <v>0</v>
      </c>
      <c r="N15" s="125">
        <f>SUMIFS('Final SR'!S:S,'Final SR'!$E:$E,TOTALss!$B56,'Final SR'!$I:$I,'Final SR'!$I$12)</f>
        <v>0</v>
      </c>
      <c r="O15" s="125">
        <f>SUMIFS('Final SR'!T:T,'Final SR'!$E:$E,TOTALss!$B56,'Final SR'!$I:$I,'Final SR'!$I$12)</f>
        <v>0</v>
      </c>
      <c r="P15" s="125">
        <f>SUMIFS('Final SR'!U:U,'Final SR'!$E:$E,TOTALss!$B56,'Final SR'!$I:$I,'Final SR'!$I$12)</f>
        <v>0</v>
      </c>
      <c r="Q15" s="125">
        <f>SUMIFS('Final SR'!V:V,'Final SR'!$E:$E,TOTALss!$B56,'Final SR'!$I:$I,'Final SR'!$I$12)</f>
        <v>0</v>
      </c>
      <c r="R15" s="125">
        <f>SUMIFS('Final SR'!W:W,'Final SR'!$E:$E,TOTALss!$B56,'Final SR'!$I:$I,'Final SR'!$I$12)</f>
        <v>0</v>
      </c>
      <c r="S15" s="125">
        <f>SUMIFS('Final SR'!X:X,'Final SR'!$E:$E,TOTALss!$B56,'Final SR'!$I:$I,'Final SR'!$I$12)</f>
        <v>0</v>
      </c>
      <c r="T15" s="125">
        <f>SUMIFS('Final SR'!Y:Y,'Final SR'!$E:$E,TOTALss!$B56,'Final SR'!$I:$I,'Final SR'!$I$12)</f>
        <v>0</v>
      </c>
      <c r="U15" s="125">
        <f>SUMIFS('Final SR'!Z:Z,'Final SR'!$E:$E,TOTALss!$B56,'Final SR'!$I:$I,'Final SR'!$I$12)</f>
        <v>0</v>
      </c>
      <c r="V15" s="125">
        <f>SUMIFS('Final SR'!AA:AA,'Final SR'!$E:$E,TOTALss!$B56,'Final SR'!$I:$I,'Final SR'!$I$12)</f>
        <v>0</v>
      </c>
      <c r="W15" s="125">
        <f>SUMIFS('Final SR'!AB:AB,'Final SR'!$E:$E,TOTALss!$B56,'Final SR'!$I:$I,'Final SR'!$I$12)</f>
        <v>0</v>
      </c>
      <c r="X15" s="125">
        <f>SUMIFS('Final SR'!AC:AC,'Final SR'!$E:$E,TOTALss!$B56,'Final SR'!$I:$I,'Final SR'!$I$12)</f>
        <v>0</v>
      </c>
      <c r="Y15" s="125">
        <f>SUMIFS('Final SR'!AD:AD,'Final SR'!$E:$E,TOTALss!$B56,'Final SR'!$I:$I,'Final SR'!$I$12)</f>
        <v>0</v>
      </c>
      <c r="Z15" s="125">
        <f>SUMIFS('Final SR'!AE:AE,'Final SR'!$E:$E,TOTALss!$B56,'Final SR'!$I:$I,'Final SR'!$I$12)</f>
        <v>0</v>
      </c>
      <c r="AA15" s="125">
        <f>SUMIFS('Final SR'!AF:AF,'Final SR'!$E:$E,TOTALss!$B56,'Final SR'!$I:$I,'Final SR'!$I$12)</f>
        <v>0</v>
      </c>
      <c r="AB15" s="125">
        <f>SUMIFS('Final SR'!AG:AG,'Final SR'!$E:$E,TOTALss!$B56,'Final SR'!$I:$I,'Final SR'!$I$12)</f>
        <v>0</v>
      </c>
      <c r="AC15" s="125">
        <f>SUMIFS('Final SR'!AH:AH,'Final SR'!$E:$E,TOTALss!$B56,'Final SR'!$I:$I,'Final SR'!$I$12)</f>
        <v>0</v>
      </c>
      <c r="AD15" s="125">
        <f>SUMIFS('Final SR'!AI:AI,'Final SR'!$E:$E,TOTALss!$B56,'Final SR'!$I:$I,'Final SR'!$I$12)</f>
        <v>0</v>
      </c>
      <c r="AE15" s="125">
        <f>SUMIFS('Final SR'!AJ:AJ,'Final SR'!$E:$E,TOTALss!$B56,'Final SR'!$I:$I,'Final SR'!$I$12)</f>
        <v>0</v>
      </c>
      <c r="AF15" s="125">
        <f>SUMIFS('Final SR'!AK:AK,'Final SR'!$E:$E,TOTALss!$B56,'Final SR'!$I:$I,'Final SR'!$I$12)</f>
        <v>0</v>
      </c>
      <c r="AG15" s="125">
        <f>SUMIFS('Final SR'!AL:AL,'Final SR'!$E:$E,TOTALss!$B56,'Final SR'!$I:$I,'Final SR'!$I$12)</f>
        <v>0</v>
      </c>
      <c r="AH15" s="125">
        <f>SUMIFS('Final SR'!AM:AM,'Final SR'!$E:$E,TOTALss!$B56,'Final SR'!$I:$I,'Final SR'!$I$12)</f>
        <v>0</v>
      </c>
    </row>
    <row r="16" spans="1:34" x14ac:dyDescent="0.2">
      <c r="A16" s="124"/>
      <c r="B16" s="123"/>
      <c r="C16" s="122" t="s">
        <v>8</v>
      </c>
      <c r="D16" s="121"/>
      <c r="E16" s="120">
        <f>SUMIFS('Final SR'!J:J,'Final SR'!$E:$E,TOTALss!$B56,'Final SR'!$I:$I,'Final SR'!$I$13)</f>
        <v>0</v>
      </c>
      <c r="F16" s="120">
        <f>SUMIFS('Final SR'!K:K,'Final SR'!$E:$E,TOTALss!$B56,'Final SR'!$I:$I,'Final SR'!$I$13)</f>
        <v>0</v>
      </c>
      <c r="G16" s="120">
        <f>SUMIFS('Final SR'!L:L,'Final SR'!$E:$E,TOTALss!$B56,'Final SR'!$I:$I,'Final SR'!$I$13)</f>
        <v>0</v>
      </c>
      <c r="H16" s="120">
        <f>SUMIFS('Final SR'!M:M,'Final SR'!$E:$E,TOTALss!$B56,'Final SR'!$I:$I,'Final SR'!$I$13)</f>
        <v>0</v>
      </c>
      <c r="I16" s="120">
        <f>SUMIFS('Final SR'!N:N,'Final SR'!$E:$E,TOTALss!$B56,'Final SR'!$I:$I,'Final SR'!$I$13)</f>
        <v>0</v>
      </c>
      <c r="J16" s="120">
        <f>SUMIFS('Final SR'!O:O,'Final SR'!$E:$E,TOTALss!$B56,'Final SR'!$I:$I,'Final SR'!$I$13)</f>
        <v>0</v>
      </c>
      <c r="K16" s="120">
        <f>SUMIFS('Final SR'!P:P,'Final SR'!$E:$E,TOTALss!$B56,'Final SR'!$I:$I,'Final SR'!$I$13)</f>
        <v>0</v>
      </c>
      <c r="L16" s="120">
        <f>SUMIFS('Final SR'!Q:Q,'Final SR'!$E:$E,TOTALss!$B56,'Final SR'!$I:$I,'Final SR'!$I$13)</f>
        <v>0</v>
      </c>
      <c r="M16" s="120">
        <f>SUMIFS('Final SR'!R:R,'Final SR'!$E:$E,TOTALss!$B56,'Final SR'!$I:$I,'Final SR'!$I$13)</f>
        <v>0</v>
      </c>
      <c r="N16" s="120">
        <f>SUMIFS('Final SR'!S:S,'Final SR'!$E:$E,TOTALss!$B56,'Final SR'!$I:$I,'Final SR'!$I$13)</f>
        <v>0</v>
      </c>
      <c r="O16" s="120">
        <f>SUMIFS('Final SR'!T:T,'Final SR'!$E:$E,TOTALss!$B56,'Final SR'!$I:$I,'Final SR'!$I$13)</f>
        <v>0</v>
      </c>
      <c r="P16" s="120">
        <f>SUMIFS('Final SR'!U:U,'Final SR'!$E:$E,TOTALss!$B56,'Final SR'!$I:$I,'Final SR'!$I$13)</f>
        <v>0</v>
      </c>
      <c r="Q16" s="120">
        <f>SUMIFS('Final SR'!V:V,'Final SR'!$E:$E,TOTALss!$B56,'Final SR'!$I:$I,'Final SR'!$I$13)</f>
        <v>0</v>
      </c>
      <c r="R16" s="120">
        <f>SUMIFS('Final SR'!W:W,'Final SR'!$E:$E,TOTALss!$B56,'Final SR'!$I:$I,'Final SR'!$I$13)</f>
        <v>0</v>
      </c>
      <c r="S16" s="120">
        <f>SUMIFS('Final SR'!X:X,'Final SR'!$E:$E,TOTALss!$B56,'Final SR'!$I:$I,'Final SR'!$I$13)</f>
        <v>0</v>
      </c>
      <c r="T16" s="120">
        <f>SUMIFS('Final SR'!Y:Y,'Final SR'!$E:$E,TOTALss!$B56,'Final SR'!$I:$I,'Final SR'!$I$13)</f>
        <v>0</v>
      </c>
      <c r="U16" s="120">
        <f>SUMIFS('Final SR'!Z:Z,'Final SR'!$E:$E,TOTALss!$B56,'Final SR'!$I:$I,'Final SR'!$I$13)</f>
        <v>0</v>
      </c>
      <c r="V16" s="120">
        <f>SUMIFS('Final SR'!AA:AA,'Final SR'!$E:$E,TOTALss!$B56,'Final SR'!$I:$I,'Final SR'!$I$13)</f>
        <v>0</v>
      </c>
      <c r="W16" s="120">
        <f>SUMIFS('Final SR'!AB:AB,'Final SR'!$E:$E,TOTALss!$B56,'Final SR'!$I:$I,'Final SR'!$I$13)</f>
        <v>0</v>
      </c>
      <c r="X16" s="120">
        <f>SUMIFS('Final SR'!AC:AC,'Final SR'!$E:$E,TOTALss!$B56,'Final SR'!$I:$I,'Final SR'!$I$13)</f>
        <v>0</v>
      </c>
      <c r="Y16" s="120">
        <f>SUMIFS('Final SR'!AD:AD,'Final SR'!$E:$E,TOTALss!$B56,'Final SR'!$I:$I,'Final SR'!$I$13)</f>
        <v>0</v>
      </c>
      <c r="Z16" s="120">
        <f>SUMIFS('Final SR'!AE:AE,'Final SR'!$E:$E,TOTALss!$B56,'Final SR'!$I:$I,'Final SR'!$I$13)</f>
        <v>0</v>
      </c>
      <c r="AA16" s="120">
        <f>SUMIFS('Final SR'!AF:AF,'Final SR'!$E:$E,TOTALss!$B56,'Final SR'!$I:$I,'Final SR'!$I$13)</f>
        <v>0</v>
      </c>
      <c r="AB16" s="120">
        <f>SUMIFS('Final SR'!AG:AG,'Final SR'!$E:$E,TOTALss!$B56,'Final SR'!$I:$I,'Final SR'!$I$13)</f>
        <v>0</v>
      </c>
      <c r="AC16" s="120">
        <f>SUMIFS('Final SR'!AH:AH,'Final SR'!$E:$E,TOTALss!$B56,'Final SR'!$I:$I,'Final SR'!$I$13)</f>
        <v>0</v>
      </c>
      <c r="AD16" s="120">
        <f>SUMIFS('Final SR'!AI:AI,'Final SR'!$E:$E,TOTALss!$B56,'Final SR'!$I:$I,'Final SR'!$I$13)</f>
        <v>0</v>
      </c>
      <c r="AE16" s="120">
        <f>SUMIFS('Final SR'!AJ:AJ,'Final SR'!$E:$E,TOTALss!$B56,'Final SR'!$I:$I,'Final SR'!$I$13)</f>
        <v>0</v>
      </c>
      <c r="AF16" s="120">
        <f>SUMIFS('Final SR'!AK:AK,'Final SR'!$E:$E,TOTALss!$B56,'Final SR'!$I:$I,'Final SR'!$I$13)</f>
        <v>0</v>
      </c>
      <c r="AG16" s="120">
        <f>SUMIFS('Final SR'!AL:AL,'Final SR'!$E:$E,TOTALss!$B56,'Final SR'!$I:$I,'Final SR'!$I$13)</f>
        <v>0</v>
      </c>
      <c r="AH16" s="120">
        <f>SUMIFS('Final SR'!AM:AM,'Final SR'!$E:$E,TOTALss!$B56,'Final SR'!$I:$I,'Final SR'!$I$13)</f>
        <v>0</v>
      </c>
    </row>
    <row r="17" spans="1:34" x14ac:dyDescent="0.2">
      <c r="A17" s="119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8" t="s">
        <v>1</v>
      </c>
      <c r="M17" s="118" t="s">
        <v>2</v>
      </c>
      <c r="N17" s="117" t="s">
        <v>0</v>
      </c>
      <c r="O17" s="117" t="s">
        <v>0</v>
      </c>
      <c r="P17" s="117" t="s">
        <v>0</v>
      </c>
      <c r="Q17" s="117" t="s">
        <v>0</v>
      </c>
      <c r="R17" s="117" t="s">
        <v>0</v>
      </c>
      <c r="S17" s="117" t="s">
        <v>0</v>
      </c>
      <c r="T17" s="117" t="s">
        <v>0</v>
      </c>
      <c r="U17" s="117" t="s">
        <v>3</v>
      </c>
      <c r="V17" s="117" t="s">
        <v>0</v>
      </c>
      <c r="W17" s="117" t="s">
        <v>0</v>
      </c>
      <c r="X17" s="117" t="s">
        <v>0</v>
      </c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</row>
    <row r="18" spans="1:34" ht="20.25" customHeight="1" thickBot="1" x14ac:dyDescent="0.25">
      <c r="A18" s="115"/>
      <c r="B18" s="114"/>
      <c r="C18" s="113"/>
      <c r="D18" s="113"/>
      <c r="K18" s="118" t="s">
        <v>1</v>
      </c>
      <c r="L18" s="118" t="s">
        <v>2</v>
      </c>
    </row>
    <row r="19" spans="1:34" x14ac:dyDescent="0.2">
      <c r="A19" s="115"/>
      <c r="B19" s="114"/>
      <c r="C19" s="113"/>
      <c r="D19" s="113"/>
      <c r="G19" s="229" t="str">
        <f>B15</f>
        <v>220D-HV</v>
      </c>
      <c r="H19" s="232" t="s">
        <v>9</v>
      </c>
      <c r="I19" s="77" t="s">
        <v>10</v>
      </c>
      <c r="J19" s="77">
        <f t="shared" ref="J19:L20" si="31">K15</f>
        <v>0</v>
      </c>
      <c r="K19" s="77">
        <f t="shared" si="31"/>
        <v>0</v>
      </c>
      <c r="L19" s="77">
        <f t="shared" si="31"/>
        <v>0</v>
      </c>
      <c r="M19" s="108" t="b">
        <f>K19=K21</f>
        <v>1</v>
      </c>
      <c r="N19" s="234">
        <f>K20-K22</f>
        <v>-7228</v>
      </c>
      <c r="O19" s="235"/>
      <c r="P19" s="236"/>
    </row>
    <row r="20" spans="1:34" ht="13.5" thickBot="1" x14ac:dyDescent="0.25">
      <c r="A20" s="115"/>
      <c r="B20" s="114"/>
      <c r="C20" s="113"/>
      <c r="D20" s="113"/>
      <c r="G20" s="230"/>
      <c r="H20" s="233"/>
      <c r="I20" s="24" t="s">
        <v>11</v>
      </c>
      <c r="J20" s="24">
        <f t="shared" si="31"/>
        <v>0</v>
      </c>
      <c r="K20" s="24">
        <f t="shared" si="31"/>
        <v>0</v>
      </c>
      <c r="L20" s="24">
        <f t="shared" si="31"/>
        <v>0</v>
      </c>
      <c r="M20" s="110" t="b">
        <f>K20=K22</f>
        <v>0</v>
      </c>
      <c r="N20" s="237"/>
      <c r="O20" s="238"/>
      <c r="P20" s="239"/>
    </row>
    <row r="21" spans="1:34" x14ac:dyDescent="0.2">
      <c r="A21" s="115"/>
      <c r="B21" s="114"/>
      <c r="C21" s="113"/>
      <c r="D21" s="113"/>
      <c r="G21" s="230"/>
      <c r="H21" s="232" t="s">
        <v>12</v>
      </c>
      <c r="I21" s="109" t="s">
        <v>10</v>
      </c>
      <c r="J21" s="77"/>
      <c r="K21" s="77">
        <v>0</v>
      </c>
      <c r="L21" s="77"/>
      <c r="M21" s="108"/>
      <c r="N21" s="237"/>
      <c r="O21" s="238"/>
      <c r="P21" s="239"/>
    </row>
    <row r="22" spans="1:34" ht="13.5" thickBot="1" x14ac:dyDescent="0.25">
      <c r="A22" s="115"/>
      <c r="B22" s="114"/>
      <c r="C22" s="113"/>
      <c r="D22" s="113"/>
      <c r="G22" s="231"/>
      <c r="H22" s="233"/>
      <c r="I22" s="107" t="s">
        <v>11</v>
      </c>
      <c r="J22" s="78"/>
      <c r="K22" s="78">
        <v>7228</v>
      </c>
      <c r="L22" s="78"/>
      <c r="M22" s="106"/>
      <c r="N22" s="240"/>
      <c r="O22" s="241"/>
      <c r="P22" s="242"/>
    </row>
    <row r="24" spans="1:34" x14ac:dyDescent="0.2">
      <c r="A24" s="119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8" t="s">
        <v>1</v>
      </c>
      <c r="M24" s="118" t="s">
        <v>2</v>
      </c>
      <c r="N24" s="117" t="s">
        <v>0</v>
      </c>
      <c r="O24" s="117" t="s">
        <v>0</v>
      </c>
      <c r="P24" s="117" t="s">
        <v>0</v>
      </c>
      <c r="Q24" s="117" t="s">
        <v>0</v>
      </c>
      <c r="R24" s="117" t="s">
        <v>0</v>
      </c>
      <c r="S24" s="117" t="s">
        <v>0</v>
      </c>
      <c r="T24" s="117" t="s">
        <v>0</v>
      </c>
      <c r="U24" s="117" t="s">
        <v>3</v>
      </c>
      <c r="V24" s="117" t="s">
        <v>0</v>
      </c>
      <c r="W24" s="117" t="s">
        <v>0</v>
      </c>
      <c r="X24" s="117" t="s">
        <v>0</v>
      </c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</row>
    <row r="25" spans="1:34" x14ac:dyDescent="0.2">
      <c r="A25" s="129" t="s">
        <v>6</v>
      </c>
      <c r="B25" s="128" t="s">
        <v>136</v>
      </c>
      <c r="C25" s="127" t="s">
        <v>7</v>
      </c>
      <c r="D25" s="126"/>
      <c r="E25" s="125">
        <f>SUMIFS('Final SR'!J:J,'Final SR'!$E:$E,TOTALss!$B106,'Final SR'!$I:$I,'Final SR'!$I$12)</f>
        <v>0</v>
      </c>
      <c r="F25" s="125">
        <f>SUMIFS('Final SR'!K:K,'Final SR'!$E:$E,TOTALss!$B106,'Final SR'!$I:$I,'Final SR'!$I$12)</f>
        <v>0</v>
      </c>
      <c r="G25" s="125">
        <f>SUMIFS('Final SR'!L:L,'Final SR'!$E:$E,TOTALss!$B106,'Final SR'!$I:$I,'Final SR'!$I$12)</f>
        <v>0</v>
      </c>
      <c r="H25" s="125">
        <f>SUMIFS('Final SR'!M:M,'Final SR'!$E:$E,TOTALss!$B106,'Final SR'!$I:$I,'Final SR'!$I$12)</f>
        <v>0</v>
      </c>
      <c r="I25" s="125">
        <f>SUMIFS('Final SR'!N:N,'Final SR'!$E:$E,TOTALss!$B106,'Final SR'!$I:$I,'Final SR'!$I$12)</f>
        <v>0</v>
      </c>
      <c r="J25" s="125">
        <f>SUMIFS('Final SR'!O:O,'Final SR'!$E:$E,TOTALss!$B106,'Final SR'!$I:$I,'Final SR'!$I$12)</f>
        <v>0</v>
      </c>
      <c r="K25" s="125">
        <f>SUMIFS('Final SR'!P:P,'Final SR'!$E:$E,TOTALss!$B106,'Final SR'!$I:$I,'Final SR'!$I$12)</f>
        <v>0</v>
      </c>
      <c r="L25" s="125">
        <f>SUMIFS('Final SR'!Q:Q,'Final SR'!$E:$E,TOTALss!$B106,'Final SR'!$I:$I,'Final SR'!$I$12)</f>
        <v>0</v>
      </c>
      <c r="M25" s="125">
        <f>SUMIFS('Final SR'!R:R,'Final SR'!$E:$E,TOTALss!$B106,'Final SR'!$I:$I,'Final SR'!$I$12)</f>
        <v>0</v>
      </c>
      <c r="N25" s="125">
        <f>SUMIFS('Final SR'!S:S,'Final SR'!$E:$E,TOTALss!$B106,'Final SR'!$I:$I,'Final SR'!$I$12)</f>
        <v>0</v>
      </c>
      <c r="O25" s="125">
        <f>SUMIFS('Final SR'!T:T,'Final SR'!$E:$E,TOTALss!$B106,'Final SR'!$I:$I,'Final SR'!$I$12)</f>
        <v>0</v>
      </c>
      <c r="P25" s="125">
        <f>SUMIFS('Final SR'!U:U,'Final SR'!$E:$E,TOTALss!$B106,'Final SR'!$I:$I,'Final SR'!$I$12)</f>
        <v>0</v>
      </c>
      <c r="Q25" s="125">
        <f>SUMIFS('Final SR'!V:V,'Final SR'!$E:$E,TOTALss!$B106,'Final SR'!$I:$I,'Final SR'!$I$12)</f>
        <v>0</v>
      </c>
      <c r="R25" s="125">
        <f>SUMIFS('Final SR'!W:W,'Final SR'!$E:$E,TOTALss!$B106,'Final SR'!$I:$I,'Final SR'!$I$12)</f>
        <v>0</v>
      </c>
      <c r="S25" s="125">
        <f>SUMIFS('Final SR'!X:X,'Final SR'!$E:$E,TOTALss!$B106,'Final SR'!$I:$I,'Final SR'!$I$12)</f>
        <v>0</v>
      </c>
      <c r="T25" s="125">
        <f>SUMIFS('Final SR'!Y:Y,'Final SR'!$E:$E,TOTALss!$B106,'Final SR'!$I:$I,'Final SR'!$I$12)</f>
        <v>0</v>
      </c>
      <c r="U25" s="125">
        <f>SUMIFS('Final SR'!Z:Z,'Final SR'!$E:$E,TOTALss!$B106,'Final SR'!$I:$I,'Final SR'!$I$12)</f>
        <v>0</v>
      </c>
      <c r="V25" s="125">
        <f>SUMIFS('Final SR'!AA:AA,'Final SR'!$E:$E,TOTALss!$B106,'Final SR'!$I:$I,'Final SR'!$I$12)</f>
        <v>0</v>
      </c>
      <c r="W25" s="125">
        <f>SUMIFS('Final SR'!AB:AB,'Final SR'!$E:$E,TOTALss!$B106,'Final SR'!$I:$I,'Final SR'!$I$12)</f>
        <v>0</v>
      </c>
      <c r="X25" s="125">
        <f>SUMIFS('Final SR'!AC:AC,'Final SR'!$E:$E,TOTALss!$B106,'Final SR'!$I:$I,'Final SR'!$I$12)</f>
        <v>0</v>
      </c>
      <c r="Y25" s="125">
        <f>SUMIFS('Final SR'!AD:AD,'Final SR'!$E:$E,TOTALss!$B106,'Final SR'!$I:$I,'Final SR'!$I$12)</f>
        <v>0</v>
      </c>
      <c r="Z25" s="125">
        <f>SUMIFS('Final SR'!AE:AE,'Final SR'!$E:$E,TOTALss!$B106,'Final SR'!$I:$I,'Final SR'!$I$12)</f>
        <v>0</v>
      </c>
      <c r="AA25" s="125">
        <f>SUMIFS('Final SR'!AF:AF,'Final SR'!$E:$E,TOTALss!$B106,'Final SR'!$I:$I,'Final SR'!$I$12)</f>
        <v>0</v>
      </c>
      <c r="AB25" s="125">
        <f>SUMIFS('Final SR'!AG:AG,'Final SR'!$E:$E,TOTALss!$B106,'Final SR'!$I:$I,'Final SR'!$I$12)</f>
        <v>0</v>
      </c>
      <c r="AC25" s="125">
        <f>SUMIFS('Final SR'!AH:AH,'Final SR'!$E:$E,TOTALss!$B106,'Final SR'!$I:$I,'Final SR'!$I$12)</f>
        <v>0</v>
      </c>
      <c r="AD25" s="125">
        <f>SUMIFS('Final SR'!AI:AI,'Final SR'!$E:$E,TOTALss!$B106,'Final SR'!$I:$I,'Final SR'!$I$12)</f>
        <v>0</v>
      </c>
      <c r="AE25" s="125">
        <f>SUMIFS('Final SR'!AJ:AJ,'Final SR'!$E:$E,TOTALss!$B106,'Final SR'!$I:$I,'Final SR'!$I$12)</f>
        <v>0</v>
      </c>
      <c r="AF25" s="125">
        <f>SUMIFS('Final SR'!AK:AK,'Final SR'!$E:$E,TOTALss!$B106,'Final SR'!$I:$I,'Final SR'!$I$12)</f>
        <v>0</v>
      </c>
      <c r="AG25" s="125">
        <f>SUMIFS('Final SR'!AL:AL,'Final SR'!$E:$E,TOTALss!$B106,'Final SR'!$I:$I,'Final SR'!$I$12)</f>
        <v>0</v>
      </c>
      <c r="AH25" s="125">
        <f>SUMIFS('Final SR'!AM:AM,'Final SR'!$E:$E,TOTALss!$B106,'Final SR'!$I:$I,'Final SR'!$I$12)</f>
        <v>0</v>
      </c>
    </row>
    <row r="26" spans="1:34" x14ac:dyDescent="0.2">
      <c r="A26" s="124"/>
      <c r="B26" s="123"/>
      <c r="C26" s="122" t="s">
        <v>8</v>
      </c>
      <c r="D26" s="121"/>
      <c r="E26" s="120">
        <f>SUMIFS('Final SR'!J:J,'Final SR'!$E:$E,TOTALss!$B106,'Final SR'!$I:$I,'Final SR'!$I$13)</f>
        <v>0</v>
      </c>
      <c r="F26" s="120">
        <f>SUMIFS('Final SR'!K:K,'Final SR'!$E:$E,TOTALss!$B106,'Final SR'!$I:$I,'Final SR'!$I$13)</f>
        <v>0</v>
      </c>
      <c r="G26" s="120">
        <f>SUMIFS('Final SR'!L:L,'Final SR'!$E:$E,TOTALss!$B106,'Final SR'!$I:$I,'Final SR'!$I$13)</f>
        <v>0</v>
      </c>
      <c r="H26" s="120">
        <f>SUMIFS('Final SR'!M:M,'Final SR'!$E:$E,TOTALss!$B106,'Final SR'!$I:$I,'Final SR'!$I$13)</f>
        <v>0</v>
      </c>
      <c r="I26" s="120">
        <f>SUMIFS('Final SR'!N:N,'Final SR'!$E:$E,TOTALss!$B106,'Final SR'!$I:$I,'Final SR'!$I$13)</f>
        <v>0</v>
      </c>
      <c r="J26" s="120">
        <f>SUMIFS('Final SR'!O:O,'Final SR'!$E:$E,TOTALss!$B106,'Final SR'!$I:$I,'Final SR'!$I$13)</f>
        <v>0</v>
      </c>
      <c r="K26" s="120">
        <f>SUMIFS('Final SR'!P:P,'Final SR'!$E:$E,TOTALss!$B106,'Final SR'!$I:$I,'Final SR'!$I$13)</f>
        <v>0</v>
      </c>
      <c r="L26" s="120">
        <f>SUMIFS('Final SR'!Q:Q,'Final SR'!$E:$E,TOTALss!$B106,'Final SR'!$I:$I,'Final SR'!$I$13)</f>
        <v>0</v>
      </c>
      <c r="M26" s="120">
        <f>SUMIFS('Final SR'!R:R,'Final SR'!$E:$E,TOTALss!$B106,'Final SR'!$I:$I,'Final SR'!$I$13)</f>
        <v>0</v>
      </c>
      <c r="N26" s="120">
        <f>SUMIFS('Final SR'!S:S,'Final SR'!$E:$E,TOTALss!$B106,'Final SR'!$I:$I,'Final SR'!$I$13)</f>
        <v>0</v>
      </c>
      <c r="O26" s="120">
        <f>SUMIFS('Final SR'!T:T,'Final SR'!$E:$E,TOTALss!$B106,'Final SR'!$I:$I,'Final SR'!$I$13)</f>
        <v>0</v>
      </c>
      <c r="P26" s="120">
        <f>SUMIFS('Final SR'!U:U,'Final SR'!$E:$E,TOTALss!$B106,'Final SR'!$I:$I,'Final SR'!$I$13)</f>
        <v>0</v>
      </c>
      <c r="Q26" s="120">
        <f>SUMIFS('Final SR'!V:V,'Final SR'!$E:$E,TOTALss!$B106,'Final SR'!$I:$I,'Final SR'!$I$13)</f>
        <v>0</v>
      </c>
      <c r="R26" s="120">
        <f>SUMIFS('Final SR'!W:W,'Final SR'!$E:$E,TOTALss!$B106,'Final SR'!$I:$I,'Final SR'!$I$13)</f>
        <v>0</v>
      </c>
      <c r="S26" s="120">
        <f>SUMIFS('Final SR'!X:X,'Final SR'!$E:$E,TOTALss!$B106,'Final SR'!$I:$I,'Final SR'!$I$13)</f>
        <v>0</v>
      </c>
      <c r="T26" s="120">
        <f>SUMIFS('Final SR'!Y:Y,'Final SR'!$E:$E,TOTALss!$B106,'Final SR'!$I:$I,'Final SR'!$I$13)</f>
        <v>0</v>
      </c>
      <c r="U26" s="120">
        <f>SUMIFS('Final SR'!Z:Z,'Final SR'!$E:$E,TOTALss!$B106,'Final SR'!$I:$I,'Final SR'!$I$13)</f>
        <v>0</v>
      </c>
      <c r="V26" s="120">
        <f>SUMIFS('Final SR'!AA:AA,'Final SR'!$E:$E,TOTALss!$B106,'Final SR'!$I:$I,'Final SR'!$I$13)</f>
        <v>0</v>
      </c>
      <c r="W26" s="120">
        <f>SUMIFS('Final SR'!AB:AB,'Final SR'!$E:$E,TOTALss!$B106,'Final SR'!$I:$I,'Final SR'!$I$13)</f>
        <v>0</v>
      </c>
      <c r="X26" s="120">
        <f>SUMIFS('Final SR'!AC:AC,'Final SR'!$E:$E,TOTALss!$B106,'Final SR'!$I:$I,'Final SR'!$I$13)</f>
        <v>0</v>
      </c>
      <c r="Y26" s="120">
        <f>SUMIFS('Final SR'!AD:AD,'Final SR'!$E:$E,TOTALss!$B106,'Final SR'!$I:$I,'Final SR'!$I$13)</f>
        <v>0</v>
      </c>
      <c r="Z26" s="120">
        <f>SUMIFS('Final SR'!AE:AE,'Final SR'!$E:$E,TOTALss!$B106,'Final SR'!$I:$I,'Final SR'!$I$13)</f>
        <v>0</v>
      </c>
      <c r="AA26" s="120">
        <f>SUMIFS('Final SR'!AF:AF,'Final SR'!$E:$E,TOTALss!$B106,'Final SR'!$I:$I,'Final SR'!$I$13)</f>
        <v>0</v>
      </c>
      <c r="AB26" s="120">
        <f>SUMIFS('Final SR'!AG:AG,'Final SR'!$E:$E,TOTALss!$B106,'Final SR'!$I:$I,'Final SR'!$I$13)</f>
        <v>0</v>
      </c>
      <c r="AC26" s="120">
        <f>SUMIFS('Final SR'!AH:AH,'Final SR'!$E:$E,TOTALss!$B106,'Final SR'!$I:$I,'Final SR'!$I$13)</f>
        <v>0</v>
      </c>
      <c r="AD26" s="120">
        <f>SUMIFS('Final SR'!AI:AI,'Final SR'!$E:$E,TOTALss!$B106,'Final SR'!$I:$I,'Final SR'!$I$13)</f>
        <v>0</v>
      </c>
      <c r="AE26" s="120">
        <f>SUMIFS('Final SR'!AJ:AJ,'Final SR'!$E:$E,TOTALss!$B106,'Final SR'!$I:$I,'Final SR'!$I$13)</f>
        <v>0</v>
      </c>
      <c r="AF26" s="120">
        <f>SUMIFS('Final SR'!AK:AK,'Final SR'!$E:$E,TOTALss!$B106,'Final SR'!$I:$I,'Final SR'!$I$13)</f>
        <v>0</v>
      </c>
      <c r="AG26" s="120">
        <f>SUMIFS('Final SR'!AL:AL,'Final SR'!$E:$E,TOTALss!$B106,'Final SR'!$I:$I,'Final SR'!$I$13)</f>
        <v>0</v>
      </c>
      <c r="AH26" s="120">
        <f>SUMIFS('Final SR'!AM:AM,'Final SR'!$E:$E,TOTALss!$B106,'Final SR'!$I:$I,'Final SR'!$I$13)</f>
        <v>0</v>
      </c>
    </row>
    <row r="27" spans="1:34" x14ac:dyDescent="0.2">
      <c r="A27" s="119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8" t="s">
        <v>1</v>
      </c>
      <c r="M27" s="118" t="s">
        <v>2</v>
      </c>
      <c r="N27" s="117" t="s">
        <v>0</v>
      </c>
      <c r="O27" s="117" t="s">
        <v>0</v>
      </c>
      <c r="P27" s="117" t="s">
        <v>0</v>
      </c>
      <c r="Q27" s="117" t="s">
        <v>0</v>
      </c>
      <c r="R27" s="117" t="s">
        <v>0</v>
      </c>
      <c r="S27" s="117" t="s">
        <v>0</v>
      </c>
      <c r="T27" s="117" t="s">
        <v>0</v>
      </c>
      <c r="U27" s="117" t="s">
        <v>3</v>
      </c>
      <c r="V27" s="117" t="s">
        <v>0</v>
      </c>
      <c r="W27" s="117" t="s">
        <v>0</v>
      </c>
      <c r="X27" s="117" t="s">
        <v>0</v>
      </c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</row>
    <row r="28" spans="1:34" ht="20.25" customHeight="1" thickBot="1" x14ac:dyDescent="0.25">
      <c r="A28" s="115"/>
      <c r="B28" s="114"/>
      <c r="C28" s="113"/>
      <c r="D28" s="113"/>
      <c r="K28" s="118" t="s">
        <v>1</v>
      </c>
      <c r="L28" s="118" t="s">
        <v>2</v>
      </c>
    </row>
    <row r="29" spans="1:34" x14ac:dyDescent="0.2">
      <c r="A29" s="115"/>
      <c r="B29" s="114"/>
      <c r="C29" s="113"/>
      <c r="D29" s="113"/>
      <c r="G29" s="229" t="str">
        <f>B25</f>
        <v>200D-GAS</v>
      </c>
      <c r="H29" s="232" t="s">
        <v>9</v>
      </c>
      <c r="I29" s="77" t="s">
        <v>10</v>
      </c>
      <c r="J29" s="77">
        <f t="shared" ref="J29:L30" si="32">K25</f>
        <v>0</v>
      </c>
      <c r="K29" s="77">
        <f t="shared" si="32"/>
        <v>0</v>
      </c>
      <c r="L29" s="77">
        <f t="shared" si="32"/>
        <v>0</v>
      </c>
      <c r="M29" s="108" t="b">
        <f>K29=K31</f>
        <v>0</v>
      </c>
      <c r="N29" s="234">
        <f>K30-K32</f>
        <v>-91378</v>
      </c>
      <c r="O29" s="235"/>
      <c r="P29" s="236"/>
    </row>
    <row r="30" spans="1:34" ht="13.5" thickBot="1" x14ac:dyDescent="0.25">
      <c r="A30" s="115"/>
      <c r="B30" s="114"/>
      <c r="C30" s="113"/>
      <c r="D30" s="113"/>
      <c r="G30" s="230"/>
      <c r="H30" s="233"/>
      <c r="I30" s="24" t="s">
        <v>11</v>
      </c>
      <c r="J30" s="24">
        <f t="shared" si="32"/>
        <v>0</v>
      </c>
      <c r="K30" s="24">
        <f t="shared" si="32"/>
        <v>0</v>
      </c>
      <c r="L30" s="24">
        <f t="shared" si="32"/>
        <v>0</v>
      </c>
      <c r="M30" s="110" t="b">
        <f>K30=K32</f>
        <v>0</v>
      </c>
      <c r="N30" s="237"/>
      <c r="O30" s="238"/>
      <c r="P30" s="239"/>
    </row>
    <row r="31" spans="1:34" x14ac:dyDescent="0.2">
      <c r="A31" s="115"/>
      <c r="B31" s="114"/>
      <c r="C31" s="113"/>
      <c r="D31" s="113"/>
      <c r="G31" s="230"/>
      <c r="H31" s="232" t="s">
        <v>12</v>
      </c>
      <c r="I31" s="109" t="s">
        <v>10</v>
      </c>
      <c r="J31" s="77"/>
      <c r="K31" s="77">
        <v>2016</v>
      </c>
      <c r="L31" s="77"/>
      <c r="M31" s="108"/>
      <c r="N31" s="237"/>
      <c r="O31" s="238"/>
      <c r="P31" s="239"/>
    </row>
    <row r="32" spans="1:34" ht="13.5" thickBot="1" x14ac:dyDescent="0.25">
      <c r="A32" s="115"/>
      <c r="B32" s="114"/>
      <c r="C32" s="113"/>
      <c r="D32" s="113"/>
      <c r="G32" s="231"/>
      <c r="H32" s="233"/>
      <c r="I32" s="107" t="s">
        <v>11</v>
      </c>
      <c r="J32" s="78"/>
      <c r="K32" s="78">
        <v>91378</v>
      </c>
      <c r="L32" s="78"/>
      <c r="M32" s="106"/>
      <c r="N32" s="240"/>
      <c r="O32" s="241"/>
      <c r="P32" s="242"/>
    </row>
    <row r="34" spans="1:34" x14ac:dyDescent="0.2">
      <c r="A34" s="119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8" t="s">
        <v>1</v>
      </c>
      <c r="M34" s="118" t="s">
        <v>2</v>
      </c>
      <c r="N34" s="117" t="s">
        <v>0</v>
      </c>
      <c r="O34" s="117" t="s">
        <v>0</v>
      </c>
      <c r="P34" s="117" t="s">
        <v>0</v>
      </c>
      <c r="Q34" s="117" t="s">
        <v>0</v>
      </c>
      <c r="R34" s="117" t="s">
        <v>0</v>
      </c>
      <c r="S34" s="117" t="s">
        <v>0</v>
      </c>
      <c r="T34" s="117" t="s">
        <v>0</v>
      </c>
      <c r="U34" s="117" t="s">
        <v>3</v>
      </c>
      <c r="V34" s="117" t="s">
        <v>0</v>
      </c>
      <c r="W34" s="117" t="s">
        <v>0</v>
      </c>
      <c r="X34" s="117" t="s">
        <v>0</v>
      </c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</row>
    <row r="35" spans="1:34" x14ac:dyDescent="0.2">
      <c r="A35" s="129" t="s">
        <v>6</v>
      </c>
      <c r="B35" s="128" t="s">
        <v>106</v>
      </c>
      <c r="C35" s="127" t="s">
        <v>7</v>
      </c>
      <c r="D35" s="126"/>
      <c r="E35" s="125">
        <f>SUMIFS('Final SR'!J:J,'Final SR'!$E:$E,TOTALss!$B156,'Final SR'!$I:$I,'Final SR'!$I$12)</f>
        <v>0</v>
      </c>
      <c r="F35" s="125">
        <f>SUMIFS('Final SR'!K:K,'Final SR'!$E:$E,TOTALss!$B156,'Final SR'!$I:$I,'Final SR'!$I$12)</f>
        <v>0</v>
      </c>
      <c r="G35" s="125">
        <f>SUMIFS('Final SR'!L:L,'Final SR'!$E:$E,TOTALss!$B156,'Final SR'!$I:$I,'Final SR'!$I$12)</f>
        <v>0</v>
      </c>
      <c r="H35" s="125">
        <f>SUMIFS('Final SR'!M:M,'Final SR'!$E:$E,TOTALss!$B156,'Final SR'!$I:$I,'Final SR'!$I$12)</f>
        <v>0</v>
      </c>
      <c r="I35" s="125">
        <f>SUMIFS('Final SR'!N:N,'Final SR'!$E:$E,TOTALss!$B156,'Final SR'!$I:$I,'Final SR'!$I$12)</f>
        <v>0</v>
      </c>
      <c r="J35" s="125">
        <f>SUMIFS('Final SR'!O:O,'Final SR'!$E:$E,TOTALss!$B156,'Final SR'!$I:$I,'Final SR'!$I$12)</f>
        <v>0</v>
      </c>
      <c r="K35" s="125">
        <f>SUMIFS('Final SR'!P:P,'Final SR'!$E:$E,TOTALss!$B156,'Final SR'!$I:$I,'Final SR'!$I$12)</f>
        <v>0</v>
      </c>
      <c r="L35" s="125">
        <f>SUMIFS('Final SR'!Q:Q,'Final SR'!$E:$E,TOTALss!$B156,'Final SR'!$I:$I,'Final SR'!$I$12)</f>
        <v>0</v>
      </c>
      <c r="M35" s="125">
        <f>SUMIFS('Final SR'!R:R,'Final SR'!$E:$E,TOTALss!$B156,'Final SR'!$I:$I,'Final SR'!$I$12)</f>
        <v>0</v>
      </c>
      <c r="N35" s="125">
        <f>SUMIFS('Final SR'!S:S,'Final SR'!$E:$E,TOTALss!$B156,'Final SR'!$I:$I,'Final SR'!$I$12)</f>
        <v>0</v>
      </c>
      <c r="O35" s="125">
        <f>SUMIFS('Final SR'!T:T,'Final SR'!$E:$E,TOTALss!$B156,'Final SR'!$I:$I,'Final SR'!$I$12)</f>
        <v>0</v>
      </c>
      <c r="P35" s="125">
        <f>SUMIFS('Final SR'!U:U,'Final SR'!$E:$E,TOTALss!$B156,'Final SR'!$I:$I,'Final SR'!$I$12)</f>
        <v>0</v>
      </c>
      <c r="Q35" s="125">
        <f>SUMIFS('Final SR'!V:V,'Final SR'!$E:$E,TOTALss!$B156,'Final SR'!$I:$I,'Final SR'!$I$12)</f>
        <v>0</v>
      </c>
      <c r="R35" s="125">
        <f>SUMIFS('Final SR'!W:W,'Final SR'!$E:$E,TOTALss!$B156,'Final SR'!$I:$I,'Final SR'!$I$12)</f>
        <v>0</v>
      </c>
      <c r="S35" s="125">
        <f>SUMIFS('Final SR'!X:X,'Final SR'!$E:$E,TOTALss!$B156,'Final SR'!$I:$I,'Final SR'!$I$12)</f>
        <v>0</v>
      </c>
      <c r="T35" s="125">
        <f>SUMIFS('Final SR'!Y:Y,'Final SR'!$E:$E,TOTALss!$B156,'Final SR'!$I:$I,'Final SR'!$I$12)</f>
        <v>0</v>
      </c>
      <c r="U35" s="125">
        <f>SUMIFS('Final SR'!Z:Z,'Final SR'!$E:$E,TOTALss!$B156,'Final SR'!$I:$I,'Final SR'!$I$12)</f>
        <v>0</v>
      </c>
      <c r="V35" s="125">
        <f>SUMIFS('Final SR'!AA:AA,'Final SR'!$E:$E,TOTALss!$B156,'Final SR'!$I:$I,'Final SR'!$I$12)</f>
        <v>0</v>
      </c>
      <c r="W35" s="125">
        <f>SUMIFS('Final SR'!AB:AB,'Final SR'!$E:$E,TOTALss!$B156,'Final SR'!$I:$I,'Final SR'!$I$12)</f>
        <v>0</v>
      </c>
      <c r="X35" s="125">
        <f>SUMIFS('Final SR'!AC:AC,'Final SR'!$E:$E,TOTALss!$B156,'Final SR'!$I:$I,'Final SR'!$I$12)</f>
        <v>0</v>
      </c>
      <c r="Y35" s="125">
        <f>SUMIFS('Final SR'!AD:AD,'Final SR'!$E:$E,TOTALss!$B156,'Final SR'!$I:$I,'Final SR'!$I$12)</f>
        <v>0</v>
      </c>
      <c r="Z35" s="125">
        <f>SUMIFS('Final SR'!AE:AE,'Final SR'!$E:$E,TOTALss!$B156,'Final SR'!$I:$I,'Final SR'!$I$12)</f>
        <v>0</v>
      </c>
      <c r="AA35" s="125">
        <f>SUMIFS('Final SR'!AF:AF,'Final SR'!$E:$E,TOTALss!$B156,'Final SR'!$I:$I,'Final SR'!$I$12)</f>
        <v>0</v>
      </c>
      <c r="AB35" s="125">
        <f>SUMIFS('Final SR'!AG:AG,'Final SR'!$E:$E,TOTALss!$B156,'Final SR'!$I:$I,'Final SR'!$I$12)</f>
        <v>0</v>
      </c>
      <c r="AC35" s="125">
        <f>SUMIFS('Final SR'!AH:AH,'Final SR'!$E:$E,TOTALss!$B156,'Final SR'!$I:$I,'Final SR'!$I$12)</f>
        <v>0</v>
      </c>
      <c r="AD35" s="125">
        <f>SUMIFS('Final SR'!AI:AI,'Final SR'!$E:$E,TOTALss!$B156,'Final SR'!$I:$I,'Final SR'!$I$12)</f>
        <v>0</v>
      </c>
      <c r="AE35" s="125">
        <f>SUMIFS('Final SR'!AJ:AJ,'Final SR'!$E:$E,TOTALss!$B156,'Final SR'!$I:$I,'Final SR'!$I$12)</f>
        <v>0</v>
      </c>
      <c r="AF35" s="125">
        <f>SUMIFS('Final SR'!AK:AK,'Final SR'!$E:$E,TOTALss!$B156,'Final SR'!$I:$I,'Final SR'!$I$12)</f>
        <v>0</v>
      </c>
      <c r="AG35" s="125">
        <f>SUMIFS('Final SR'!AL:AL,'Final SR'!$E:$E,TOTALss!$B156,'Final SR'!$I:$I,'Final SR'!$I$12)</f>
        <v>0</v>
      </c>
      <c r="AH35" s="125">
        <f>SUMIFS('Final SR'!AM:AM,'Final SR'!$E:$E,TOTALss!$B156,'Final SR'!$I:$I,'Final SR'!$I$12)</f>
        <v>0</v>
      </c>
    </row>
    <row r="36" spans="1:34" x14ac:dyDescent="0.2">
      <c r="A36" s="124"/>
      <c r="B36" s="123"/>
      <c r="C36" s="122" t="s">
        <v>8</v>
      </c>
      <c r="D36" s="121"/>
      <c r="E36" s="120">
        <f>SUMIFS('Final SR'!J:J,'Final SR'!$E:$E,TOTALss!$B156,'Final SR'!$I:$I,'Final SR'!$I$13)</f>
        <v>0</v>
      </c>
      <c r="F36" s="120">
        <f>SUMIFS('Final SR'!K:K,'Final SR'!$E:$E,TOTALss!$B156,'Final SR'!$I:$I,'Final SR'!$I$13)</f>
        <v>0</v>
      </c>
      <c r="G36" s="120">
        <f>SUMIFS('Final SR'!L:L,'Final SR'!$E:$E,TOTALss!$B156,'Final SR'!$I:$I,'Final SR'!$I$13)</f>
        <v>0</v>
      </c>
      <c r="H36" s="120">
        <f>SUMIFS('Final SR'!M:M,'Final SR'!$E:$E,TOTALss!$B156,'Final SR'!$I:$I,'Final SR'!$I$13)</f>
        <v>0</v>
      </c>
      <c r="I36" s="120">
        <f>SUMIFS('Final SR'!N:N,'Final SR'!$E:$E,TOTALss!$B156,'Final SR'!$I:$I,'Final SR'!$I$13)</f>
        <v>0</v>
      </c>
      <c r="J36" s="120">
        <f>SUMIFS('Final SR'!O:O,'Final SR'!$E:$E,TOTALss!$B156,'Final SR'!$I:$I,'Final SR'!$I$13)</f>
        <v>0</v>
      </c>
      <c r="K36" s="120">
        <f>SUMIFS('Final SR'!P:P,'Final SR'!$E:$E,TOTALss!$B156,'Final SR'!$I:$I,'Final SR'!$I$13)</f>
        <v>0</v>
      </c>
      <c r="L36" s="120">
        <f>SUMIFS('Final SR'!Q:Q,'Final SR'!$E:$E,TOTALss!$B156,'Final SR'!$I:$I,'Final SR'!$I$13)</f>
        <v>0</v>
      </c>
      <c r="M36" s="120">
        <f>SUMIFS('Final SR'!R:R,'Final SR'!$E:$E,TOTALss!$B156,'Final SR'!$I:$I,'Final SR'!$I$13)</f>
        <v>0</v>
      </c>
      <c r="N36" s="120">
        <f>SUMIFS('Final SR'!S:S,'Final SR'!$E:$E,TOTALss!$B156,'Final SR'!$I:$I,'Final SR'!$I$13)</f>
        <v>0</v>
      </c>
      <c r="O36" s="120">
        <f>SUMIFS('Final SR'!T:T,'Final SR'!$E:$E,TOTALss!$B156,'Final SR'!$I:$I,'Final SR'!$I$13)</f>
        <v>0</v>
      </c>
      <c r="P36" s="120">
        <f>SUMIFS('Final SR'!U:U,'Final SR'!$E:$E,TOTALss!$B156,'Final SR'!$I:$I,'Final SR'!$I$13)</f>
        <v>0</v>
      </c>
      <c r="Q36" s="120">
        <f>SUMIFS('Final SR'!V:V,'Final SR'!$E:$E,TOTALss!$B156,'Final SR'!$I:$I,'Final SR'!$I$13)</f>
        <v>0</v>
      </c>
      <c r="R36" s="120">
        <f>SUMIFS('Final SR'!W:W,'Final SR'!$E:$E,TOTALss!$B156,'Final SR'!$I:$I,'Final SR'!$I$13)</f>
        <v>0</v>
      </c>
      <c r="S36" s="120">
        <f>SUMIFS('Final SR'!X:X,'Final SR'!$E:$E,TOTALss!$B156,'Final SR'!$I:$I,'Final SR'!$I$13)</f>
        <v>0</v>
      </c>
      <c r="T36" s="120">
        <f>SUMIFS('Final SR'!Y:Y,'Final SR'!$E:$E,TOTALss!$B156,'Final SR'!$I:$I,'Final SR'!$I$13)</f>
        <v>0</v>
      </c>
      <c r="U36" s="120">
        <f>SUMIFS('Final SR'!Z:Z,'Final SR'!$E:$E,TOTALss!$B156,'Final SR'!$I:$I,'Final SR'!$I$13)</f>
        <v>0</v>
      </c>
      <c r="V36" s="120">
        <f>SUMIFS('Final SR'!AA:AA,'Final SR'!$E:$E,TOTALss!$B156,'Final SR'!$I:$I,'Final SR'!$I$13)</f>
        <v>0</v>
      </c>
      <c r="W36" s="120">
        <f>SUMIFS('Final SR'!AB:AB,'Final SR'!$E:$E,TOTALss!$B156,'Final SR'!$I:$I,'Final SR'!$I$13)</f>
        <v>0</v>
      </c>
      <c r="X36" s="120">
        <f>SUMIFS('Final SR'!AC:AC,'Final SR'!$E:$E,TOTALss!$B156,'Final SR'!$I:$I,'Final SR'!$I$13)</f>
        <v>0</v>
      </c>
      <c r="Y36" s="120">
        <f>SUMIFS('Final SR'!AD:AD,'Final SR'!$E:$E,TOTALss!$B156,'Final SR'!$I:$I,'Final SR'!$I$13)</f>
        <v>0</v>
      </c>
      <c r="Z36" s="120">
        <f>SUMIFS('Final SR'!AE:AE,'Final SR'!$E:$E,TOTALss!$B156,'Final SR'!$I:$I,'Final SR'!$I$13)</f>
        <v>0</v>
      </c>
      <c r="AA36" s="120">
        <f>SUMIFS('Final SR'!AF:AF,'Final SR'!$E:$E,TOTALss!$B156,'Final SR'!$I:$I,'Final SR'!$I$13)</f>
        <v>0</v>
      </c>
      <c r="AB36" s="120">
        <f>SUMIFS('Final SR'!AG:AG,'Final SR'!$E:$E,TOTALss!$B156,'Final SR'!$I:$I,'Final SR'!$I$13)</f>
        <v>0</v>
      </c>
      <c r="AC36" s="120">
        <f>SUMIFS('Final SR'!AH:AH,'Final SR'!$E:$E,TOTALss!$B156,'Final SR'!$I:$I,'Final SR'!$I$13)</f>
        <v>0</v>
      </c>
      <c r="AD36" s="120">
        <f>SUMIFS('Final SR'!AI:AI,'Final SR'!$E:$E,TOTALss!$B156,'Final SR'!$I:$I,'Final SR'!$I$13)</f>
        <v>0</v>
      </c>
      <c r="AE36" s="120">
        <f>SUMIFS('Final SR'!AJ:AJ,'Final SR'!$E:$E,TOTALss!$B156,'Final SR'!$I:$I,'Final SR'!$I$13)</f>
        <v>0</v>
      </c>
      <c r="AF36" s="120">
        <f>SUMIFS('Final SR'!AK:AK,'Final SR'!$E:$E,TOTALss!$B156,'Final SR'!$I:$I,'Final SR'!$I$13)</f>
        <v>0</v>
      </c>
      <c r="AG36" s="120">
        <f>SUMIFS('Final SR'!AL:AL,'Final SR'!$E:$E,TOTALss!$B156,'Final SR'!$I:$I,'Final SR'!$I$13)</f>
        <v>0</v>
      </c>
      <c r="AH36" s="120">
        <f>SUMIFS('Final SR'!AM:AM,'Final SR'!$E:$E,TOTALss!$B156,'Final SR'!$I:$I,'Final SR'!$I$13)</f>
        <v>0</v>
      </c>
    </row>
    <row r="37" spans="1:34" x14ac:dyDescent="0.2">
      <c r="A37" s="119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8" t="s">
        <v>1</v>
      </c>
      <c r="M37" s="118" t="s">
        <v>2</v>
      </c>
      <c r="N37" s="117" t="s">
        <v>0</v>
      </c>
      <c r="O37" s="117" t="s">
        <v>0</v>
      </c>
      <c r="P37" s="117" t="s">
        <v>0</v>
      </c>
      <c r="Q37" s="117" t="s">
        <v>0</v>
      </c>
      <c r="R37" s="117" t="s">
        <v>0</v>
      </c>
      <c r="S37" s="117" t="s">
        <v>0</v>
      </c>
      <c r="T37" s="117" t="s">
        <v>0</v>
      </c>
      <c r="U37" s="117" t="s">
        <v>3</v>
      </c>
      <c r="V37" s="117" t="s">
        <v>0</v>
      </c>
      <c r="W37" s="117" t="s">
        <v>0</v>
      </c>
      <c r="X37" s="117" t="s">
        <v>0</v>
      </c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</row>
    <row r="38" spans="1:34" ht="20.25" customHeight="1" thickBot="1" x14ac:dyDescent="0.25">
      <c r="A38" s="115"/>
      <c r="B38" s="114"/>
      <c r="C38" s="113"/>
      <c r="K38" s="118" t="s">
        <v>1</v>
      </c>
      <c r="L38" s="118" t="s">
        <v>2</v>
      </c>
    </row>
    <row r="39" spans="1:34" x14ac:dyDescent="0.2">
      <c r="A39" s="115"/>
      <c r="B39" s="114"/>
      <c r="C39" s="113"/>
      <c r="G39" s="229" t="str">
        <f>B35</f>
        <v>200D-HV</v>
      </c>
      <c r="H39" s="232" t="s">
        <v>9</v>
      </c>
      <c r="I39" s="77" t="s">
        <v>10</v>
      </c>
      <c r="J39" s="77">
        <f t="shared" ref="J39:L40" si="33">K35</f>
        <v>0</v>
      </c>
      <c r="K39" s="77">
        <f>L35</f>
        <v>0</v>
      </c>
      <c r="L39" s="77">
        <f t="shared" si="33"/>
        <v>0</v>
      </c>
      <c r="M39" s="108" t="b">
        <f>K39=K41</f>
        <v>0</v>
      </c>
      <c r="N39" s="234">
        <f>K40-K42</f>
        <v>-23512</v>
      </c>
      <c r="O39" s="235"/>
      <c r="P39" s="236"/>
    </row>
    <row r="40" spans="1:34" ht="13.5" thickBot="1" x14ac:dyDescent="0.25">
      <c r="A40" s="115"/>
      <c r="B40" s="114"/>
      <c r="C40" s="113"/>
      <c r="G40" s="230"/>
      <c r="H40" s="233"/>
      <c r="I40" s="24" t="s">
        <v>11</v>
      </c>
      <c r="J40" s="24">
        <f t="shared" si="33"/>
        <v>0</v>
      </c>
      <c r="K40" s="24">
        <f t="shared" si="33"/>
        <v>0</v>
      </c>
      <c r="L40" s="24">
        <f t="shared" si="33"/>
        <v>0</v>
      </c>
      <c r="M40" s="110" t="b">
        <f>K40=K42</f>
        <v>0</v>
      </c>
      <c r="N40" s="237"/>
      <c r="O40" s="238"/>
      <c r="P40" s="239"/>
    </row>
    <row r="41" spans="1:34" x14ac:dyDescent="0.2">
      <c r="A41" s="115"/>
      <c r="B41" s="114"/>
      <c r="C41" s="113"/>
      <c r="G41" s="230"/>
      <c r="H41" s="232" t="s">
        <v>12</v>
      </c>
      <c r="I41" s="109" t="s">
        <v>10</v>
      </c>
      <c r="J41" s="77"/>
      <c r="K41" s="77">
        <v>456</v>
      </c>
      <c r="L41" s="77"/>
      <c r="M41" s="108"/>
      <c r="N41" s="237"/>
      <c r="O41" s="238"/>
      <c r="P41" s="239"/>
    </row>
    <row r="42" spans="1:34" ht="13.5" thickBot="1" x14ac:dyDescent="0.25">
      <c r="A42" s="115"/>
      <c r="B42" s="114"/>
      <c r="C42" s="113"/>
      <c r="G42" s="231"/>
      <c r="H42" s="233"/>
      <c r="I42" s="107" t="s">
        <v>11</v>
      </c>
      <c r="J42" s="78"/>
      <c r="K42" s="78">
        <v>23512</v>
      </c>
      <c r="L42" s="78"/>
      <c r="M42" s="106"/>
      <c r="N42" s="240"/>
      <c r="O42" s="241"/>
      <c r="P42" s="242"/>
    </row>
    <row r="44" spans="1:34" x14ac:dyDescent="0.2">
      <c r="A44" s="119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8" t="s">
        <v>1</v>
      </c>
      <c r="M44" s="118" t="s">
        <v>2</v>
      </c>
      <c r="N44" s="117" t="s">
        <v>0</v>
      </c>
      <c r="O44" s="117" t="s">
        <v>0</v>
      </c>
      <c r="P44" s="117" t="s">
        <v>0</v>
      </c>
      <c r="Q44" s="117" t="s">
        <v>0</v>
      </c>
      <c r="R44" s="117" t="s">
        <v>0</v>
      </c>
      <c r="S44" s="117" t="s">
        <v>0</v>
      </c>
      <c r="T44" s="117" t="s">
        <v>0</v>
      </c>
      <c r="U44" s="117" t="s">
        <v>3</v>
      </c>
      <c r="V44" s="117" t="s">
        <v>0</v>
      </c>
      <c r="W44" s="117" t="s">
        <v>0</v>
      </c>
      <c r="X44" s="117" t="s">
        <v>0</v>
      </c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</row>
    <row r="45" spans="1:34" x14ac:dyDescent="0.2">
      <c r="A45" s="129" t="s">
        <v>6</v>
      </c>
      <c r="B45" s="128" t="s">
        <v>223</v>
      </c>
      <c r="C45" s="127" t="s">
        <v>7</v>
      </c>
      <c r="D45" s="126"/>
      <c r="E45" s="125">
        <f>SUMIFS('Final SR'!J:J,'Final SR'!$E:$E,TOTALss!$B166,'Final SR'!$I:$I,'Final SR'!$I$12)</f>
        <v>0</v>
      </c>
      <c r="F45" s="125">
        <f>SUMIFS('Final SR'!K:K,'Final SR'!$E:$E,TOTALss!$B166,'Final SR'!$I:$I,'Final SR'!$I$12)</f>
        <v>0</v>
      </c>
      <c r="G45" s="125">
        <f>SUMIFS('Final SR'!L:L,'Final SR'!$E:$E,TOTALss!$B166,'Final SR'!$I:$I,'Final SR'!$I$12)</f>
        <v>0</v>
      </c>
      <c r="H45" s="125">
        <f>SUMIFS('Final SR'!M:M,'Final SR'!$E:$E,TOTALss!$B166,'Final SR'!$I:$I,'Final SR'!$I$12)</f>
        <v>0</v>
      </c>
      <c r="I45" s="125">
        <f>SUMIFS('Final SR'!N:N,'Final SR'!$E:$E,TOTALss!$B166,'Final SR'!$I:$I,'Final SR'!$I$12)</f>
        <v>0</v>
      </c>
      <c r="J45" s="125">
        <f>SUMIFS('Final SR'!O:O,'Final SR'!$E:$E,TOTALss!$B166,'Final SR'!$I:$I,'Final SR'!$I$12)</f>
        <v>0</v>
      </c>
      <c r="K45" s="125">
        <f>SUMIFS('Final SR'!P:P,'Final SR'!$E:$E,TOTALss!$B166,'Final SR'!$I:$I,'Final SR'!$I$12)</f>
        <v>0</v>
      </c>
      <c r="L45" s="125">
        <f>SUMIFS('Final SR'!Q:Q,'Final SR'!$E:$E,TOTALss!$B166,'Final SR'!$I:$I,'Final SR'!$I$12)</f>
        <v>0</v>
      </c>
      <c r="M45" s="125">
        <f>SUMIFS('Final SR'!R:R,'Final SR'!$E:$E,TOTALss!$B166,'Final SR'!$I:$I,'Final SR'!$I$12)</f>
        <v>0</v>
      </c>
      <c r="N45" s="125">
        <f>SUMIFS('Final SR'!S:S,'Final SR'!$E:$E,TOTALss!$B166,'Final SR'!$I:$I,'Final SR'!$I$12)</f>
        <v>0</v>
      </c>
      <c r="O45" s="125">
        <f>SUMIFS('Final SR'!T:T,'Final SR'!$E:$E,TOTALss!$B166,'Final SR'!$I:$I,'Final SR'!$I$12)</f>
        <v>0</v>
      </c>
      <c r="P45" s="125">
        <f>SUMIFS('Final SR'!U:U,'Final SR'!$E:$E,TOTALss!$B166,'Final SR'!$I:$I,'Final SR'!$I$12)</f>
        <v>0</v>
      </c>
      <c r="Q45" s="125">
        <f>SUMIFS('Final SR'!V:V,'Final SR'!$E:$E,TOTALss!$B166,'Final SR'!$I:$I,'Final SR'!$I$12)</f>
        <v>0</v>
      </c>
      <c r="R45" s="125">
        <f>SUMIFS('Final SR'!W:W,'Final SR'!$E:$E,TOTALss!$B166,'Final SR'!$I:$I,'Final SR'!$I$12)</f>
        <v>0</v>
      </c>
      <c r="S45" s="125">
        <f>SUMIFS('Final SR'!X:X,'Final SR'!$E:$E,TOTALss!$B166,'Final SR'!$I:$I,'Final SR'!$I$12)</f>
        <v>0</v>
      </c>
      <c r="T45" s="125">
        <f>SUMIFS('Final SR'!Y:Y,'Final SR'!$E:$E,TOTALss!$B166,'Final SR'!$I:$I,'Final SR'!$I$12)</f>
        <v>0</v>
      </c>
      <c r="U45" s="125">
        <f>SUMIFS('Final SR'!Z:Z,'Final SR'!$E:$E,TOTALss!$B166,'Final SR'!$I:$I,'Final SR'!$I$12)</f>
        <v>0</v>
      </c>
      <c r="V45" s="125">
        <f>SUMIFS('Final SR'!AA:AA,'Final SR'!$E:$E,TOTALss!$B166,'Final SR'!$I:$I,'Final SR'!$I$12)</f>
        <v>0</v>
      </c>
      <c r="W45" s="125">
        <f>SUMIFS('Final SR'!AB:AB,'Final SR'!$E:$E,TOTALss!$B166,'Final SR'!$I:$I,'Final SR'!$I$12)</f>
        <v>0</v>
      </c>
      <c r="X45" s="125">
        <f>SUMIFS('Final SR'!AC:AC,'Final SR'!$E:$E,TOTALss!$B166,'Final SR'!$I:$I,'Final SR'!$I$12)</f>
        <v>0</v>
      </c>
      <c r="Y45" s="125">
        <f>SUMIFS('Final SR'!AD:AD,'Final SR'!$E:$E,TOTALss!$B166,'Final SR'!$I:$I,'Final SR'!$I$12)</f>
        <v>0</v>
      </c>
      <c r="Z45" s="125">
        <f>SUMIFS('Final SR'!AE:AE,'Final SR'!$E:$E,TOTALss!$B166,'Final SR'!$I:$I,'Final SR'!$I$12)</f>
        <v>0</v>
      </c>
      <c r="AA45" s="125">
        <f>SUMIFS('Final SR'!AF:AF,'Final SR'!$E:$E,TOTALss!$B166,'Final SR'!$I:$I,'Final SR'!$I$12)</f>
        <v>0</v>
      </c>
      <c r="AB45" s="125">
        <f>SUMIFS('Final SR'!AG:AG,'Final SR'!$E:$E,TOTALss!$B166,'Final SR'!$I:$I,'Final SR'!$I$12)</f>
        <v>0</v>
      </c>
      <c r="AC45" s="125">
        <f>SUMIFS('Final SR'!AH:AH,'Final SR'!$E:$E,TOTALss!$B166,'Final SR'!$I:$I,'Final SR'!$I$12)</f>
        <v>0</v>
      </c>
      <c r="AD45" s="125">
        <f>SUMIFS('Final SR'!AI:AI,'Final SR'!$E:$E,TOTALss!$B166,'Final SR'!$I:$I,'Final SR'!$I$12)</f>
        <v>0</v>
      </c>
      <c r="AE45" s="125">
        <f>SUMIFS('Final SR'!AJ:AJ,'Final SR'!$E:$E,TOTALss!$B166,'Final SR'!$I:$I,'Final SR'!$I$12)</f>
        <v>0</v>
      </c>
      <c r="AF45" s="125">
        <f>SUMIFS('Final SR'!AK:AK,'Final SR'!$E:$E,TOTALss!$B166,'Final SR'!$I:$I,'Final SR'!$I$12)</f>
        <v>0</v>
      </c>
      <c r="AG45" s="125">
        <f>SUMIFS('Final SR'!AL:AL,'Final SR'!$E:$E,TOTALss!$B166,'Final SR'!$I:$I,'Final SR'!$I$12)</f>
        <v>0</v>
      </c>
      <c r="AH45" s="125">
        <f>SUMIFS('Final SR'!AM:AM,'Final SR'!$E:$E,TOTALss!$B166,'Final SR'!$I:$I,'Final SR'!$I$12)</f>
        <v>0</v>
      </c>
    </row>
    <row r="46" spans="1:34" x14ac:dyDescent="0.2">
      <c r="A46" s="124"/>
      <c r="B46" s="123"/>
      <c r="C46" s="122" t="s">
        <v>8</v>
      </c>
      <c r="D46" s="121"/>
      <c r="E46" s="120">
        <f>SUMIFS('Final SR'!J:J,'Final SR'!$E:$E,TOTALss!$B166,'Final SR'!$I:$I,'Final SR'!$I$13)</f>
        <v>0</v>
      </c>
      <c r="F46" s="120">
        <f>SUMIFS('Final SR'!K:K,'Final SR'!$E:$E,TOTALss!$B166,'Final SR'!$I:$I,'Final SR'!$I$13)</f>
        <v>0</v>
      </c>
      <c r="G46" s="120">
        <f>SUMIFS('Final SR'!L:L,'Final SR'!$E:$E,TOTALss!$B166,'Final SR'!$I:$I,'Final SR'!$I$13)</f>
        <v>0</v>
      </c>
      <c r="H46" s="120">
        <f>SUMIFS('Final SR'!M:M,'Final SR'!$E:$E,TOTALss!$B166,'Final SR'!$I:$I,'Final SR'!$I$13)</f>
        <v>0</v>
      </c>
      <c r="I46" s="120">
        <f>SUMIFS('Final SR'!N:N,'Final SR'!$E:$E,TOTALss!$B166,'Final SR'!$I:$I,'Final SR'!$I$13)</f>
        <v>0</v>
      </c>
      <c r="J46" s="120">
        <f>SUMIFS('Final SR'!O:O,'Final SR'!$E:$E,TOTALss!$B166,'Final SR'!$I:$I,'Final SR'!$I$13)</f>
        <v>0</v>
      </c>
      <c r="K46" s="120">
        <f>SUMIFS('Final SR'!P:P,'Final SR'!$E:$E,TOTALss!$B166,'Final SR'!$I:$I,'Final SR'!$I$13)</f>
        <v>0</v>
      </c>
      <c r="L46" s="120">
        <f>SUMIFS('Final SR'!Q:Q,'Final SR'!$E:$E,TOTALss!$B166,'Final SR'!$I:$I,'Final SR'!$I$13)</f>
        <v>0</v>
      </c>
      <c r="M46" s="120">
        <f>SUMIFS('Final SR'!R:R,'Final SR'!$E:$E,TOTALss!$B166,'Final SR'!$I:$I,'Final SR'!$I$13)</f>
        <v>0</v>
      </c>
      <c r="N46" s="120">
        <f>SUMIFS('Final SR'!S:S,'Final SR'!$E:$E,TOTALss!$B166,'Final SR'!$I:$I,'Final SR'!$I$13)</f>
        <v>0</v>
      </c>
      <c r="O46" s="120">
        <f>SUMIFS('Final SR'!T:T,'Final SR'!$E:$E,TOTALss!$B166,'Final SR'!$I:$I,'Final SR'!$I$13)</f>
        <v>0</v>
      </c>
      <c r="P46" s="120">
        <f>SUMIFS('Final SR'!U:U,'Final SR'!$E:$E,TOTALss!$B166,'Final SR'!$I:$I,'Final SR'!$I$13)</f>
        <v>0</v>
      </c>
      <c r="Q46" s="120">
        <f>SUMIFS('Final SR'!V:V,'Final SR'!$E:$E,TOTALss!$B166,'Final SR'!$I:$I,'Final SR'!$I$13)</f>
        <v>0</v>
      </c>
      <c r="R46" s="120">
        <f>SUMIFS('Final SR'!W:W,'Final SR'!$E:$E,TOTALss!$B166,'Final SR'!$I:$I,'Final SR'!$I$13)</f>
        <v>0</v>
      </c>
      <c r="S46" s="120">
        <f>SUMIFS('Final SR'!X:X,'Final SR'!$E:$E,TOTALss!$B166,'Final SR'!$I:$I,'Final SR'!$I$13)</f>
        <v>0</v>
      </c>
      <c r="T46" s="120">
        <f>SUMIFS('Final SR'!Y:Y,'Final SR'!$E:$E,TOTALss!$B166,'Final SR'!$I:$I,'Final SR'!$I$13)</f>
        <v>0</v>
      </c>
      <c r="U46" s="120">
        <f>SUMIFS('Final SR'!Z:Z,'Final SR'!$E:$E,TOTALss!$B166,'Final SR'!$I:$I,'Final SR'!$I$13)</f>
        <v>0</v>
      </c>
      <c r="V46" s="120">
        <f>SUMIFS('Final SR'!AA:AA,'Final SR'!$E:$E,TOTALss!$B166,'Final SR'!$I:$I,'Final SR'!$I$13)</f>
        <v>0</v>
      </c>
      <c r="W46" s="120">
        <f>SUMIFS('Final SR'!AB:AB,'Final SR'!$E:$E,TOTALss!$B166,'Final SR'!$I:$I,'Final SR'!$I$13)</f>
        <v>0</v>
      </c>
      <c r="X46" s="120">
        <f>SUMIFS('Final SR'!AC:AC,'Final SR'!$E:$E,TOTALss!$B166,'Final SR'!$I:$I,'Final SR'!$I$13)</f>
        <v>0</v>
      </c>
      <c r="Y46" s="120">
        <f>SUMIFS('Final SR'!AD:AD,'Final SR'!$E:$E,TOTALss!$B166,'Final SR'!$I:$I,'Final SR'!$I$13)</f>
        <v>0</v>
      </c>
      <c r="Z46" s="120">
        <f>SUMIFS('Final SR'!AE:AE,'Final SR'!$E:$E,TOTALss!$B166,'Final SR'!$I:$I,'Final SR'!$I$13)</f>
        <v>0</v>
      </c>
      <c r="AA46" s="120">
        <f>SUMIFS('Final SR'!AF:AF,'Final SR'!$E:$E,TOTALss!$B166,'Final SR'!$I:$I,'Final SR'!$I$13)</f>
        <v>0</v>
      </c>
      <c r="AB46" s="120">
        <f>SUMIFS('Final SR'!AG:AG,'Final SR'!$E:$E,TOTALss!$B166,'Final SR'!$I:$I,'Final SR'!$I$13)</f>
        <v>0</v>
      </c>
      <c r="AC46" s="120">
        <f>SUMIFS('Final SR'!AH:AH,'Final SR'!$E:$E,TOTALss!$B166,'Final SR'!$I:$I,'Final SR'!$I$13)</f>
        <v>0</v>
      </c>
      <c r="AD46" s="120">
        <f>SUMIFS('Final SR'!AI:AI,'Final SR'!$E:$E,TOTALss!$B166,'Final SR'!$I:$I,'Final SR'!$I$13)</f>
        <v>0</v>
      </c>
      <c r="AE46" s="120">
        <f>SUMIFS('Final SR'!AJ:AJ,'Final SR'!$E:$E,TOTALss!$B166,'Final SR'!$I:$I,'Final SR'!$I$13)</f>
        <v>0</v>
      </c>
      <c r="AF46" s="120">
        <f>SUMIFS('Final SR'!AK:AK,'Final SR'!$E:$E,TOTALss!$B166,'Final SR'!$I:$I,'Final SR'!$I$13)</f>
        <v>0</v>
      </c>
      <c r="AG46" s="120">
        <f>SUMIFS('Final SR'!AL:AL,'Final SR'!$E:$E,TOTALss!$B166,'Final SR'!$I:$I,'Final SR'!$I$13)</f>
        <v>0</v>
      </c>
      <c r="AH46" s="120">
        <f>SUMIFS('Final SR'!AM:AM,'Final SR'!$E:$E,TOTALss!$B166,'Final SR'!$I:$I,'Final SR'!$I$13)</f>
        <v>0</v>
      </c>
    </row>
    <row r="47" spans="1:34" x14ac:dyDescent="0.2">
      <c r="A47" s="119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8" t="s">
        <v>1</v>
      </c>
      <c r="M47" s="118" t="s">
        <v>2</v>
      </c>
      <c r="N47" s="117" t="s">
        <v>0</v>
      </c>
      <c r="O47" s="117" t="s">
        <v>0</v>
      </c>
      <c r="P47" s="117" t="s">
        <v>0</v>
      </c>
      <c r="Q47" s="117" t="s">
        <v>0</v>
      </c>
      <c r="R47" s="117" t="s">
        <v>0</v>
      </c>
      <c r="S47" s="117" t="s">
        <v>0</v>
      </c>
      <c r="T47" s="117" t="s">
        <v>0</v>
      </c>
      <c r="U47" s="117" t="s">
        <v>3</v>
      </c>
      <c r="V47" s="117" t="s">
        <v>0</v>
      </c>
      <c r="W47" s="117" t="s">
        <v>0</v>
      </c>
      <c r="X47" s="117" t="s">
        <v>0</v>
      </c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</row>
    <row r="48" spans="1:34" ht="20.25" customHeight="1" thickBot="1" x14ac:dyDescent="0.25">
      <c r="A48" s="115"/>
      <c r="B48" s="114"/>
      <c r="C48" s="113"/>
      <c r="K48" s="118" t="s">
        <v>1</v>
      </c>
      <c r="L48" s="118" t="s">
        <v>2</v>
      </c>
    </row>
    <row r="49" spans="1:16" x14ac:dyDescent="0.2">
      <c r="A49" s="115"/>
      <c r="B49" s="114"/>
      <c r="C49" s="113"/>
      <c r="G49" s="229" t="str">
        <f>B45</f>
        <v>564D-GAS</v>
      </c>
      <c r="H49" s="232" t="s">
        <v>9</v>
      </c>
      <c r="I49" s="77" t="s">
        <v>10</v>
      </c>
      <c r="J49" s="77">
        <f t="shared" ref="J49:J50" si="34">K45</f>
        <v>0</v>
      </c>
      <c r="K49" s="77">
        <f>L45</f>
        <v>0</v>
      </c>
      <c r="L49" s="77">
        <f t="shared" ref="L49:L50" si="35">M45</f>
        <v>0</v>
      </c>
      <c r="M49" s="108" t="b">
        <f>K49=K51</f>
        <v>1</v>
      </c>
      <c r="N49" s="234">
        <f>K50-K52</f>
        <v>0</v>
      </c>
      <c r="O49" s="235"/>
      <c r="P49" s="236"/>
    </row>
    <row r="50" spans="1:16" ht="13.5" thickBot="1" x14ac:dyDescent="0.25">
      <c r="A50" s="115"/>
      <c r="B50" s="114"/>
      <c r="C50" s="113"/>
      <c r="G50" s="230"/>
      <c r="H50" s="233"/>
      <c r="I50" s="24" t="s">
        <v>11</v>
      </c>
      <c r="J50" s="24">
        <f t="shared" si="34"/>
        <v>0</v>
      </c>
      <c r="K50" s="24">
        <f t="shared" ref="K50" si="36">L46</f>
        <v>0</v>
      </c>
      <c r="L50" s="24">
        <f t="shared" si="35"/>
        <v>0</v>
      </c>
      <c r="M50" s="110" t="b">
        <f>K50=K52</f>
        <v>1</v>
      </c>
      <c r="N50" s="237"/>
      <c r="O50" s="238"/>
      <c r="P50" s="239"/>
    </row>
    <row r="51" spans="1:16" x14ac:dyDescent="0.2">
      <c r="A51" s="115"/>
      <c r="B51" s="114"/>
      <c r="C51" s="113"/>
      <c r="G51" s="230"/>
      <c r="H51" s="232" t="s">
        <v>12</v>
      </c>
      <c r="I51" s="109" t="s">
        <v>10</v>
      </c>
      <c r="J51" s="77"/>
      <c r="K51" s="77">
        <v>0</v>
      </c>
      <c r="L51" s="77"/>
      <c r="M51" s="108"/>
      <c r="N51" s="237"/>
      <c r="O51" s="238"/>
      <c r="P51" s="239"/>
    </row>
    <row r="52" spans="1:16" ht="13.5" thickBot="1" x14ac:dyDescent="0.25">
      <c r="A52" s="115"/>
      <c r="B52" s="114"/>
      <c r="C52" s="113"/>
      <c r="G52" s="231"/>
      <c r="H52" s="233"/>
      <c r="I52" s="107" t="s">
        <v>11</v>
      </c>
      <c r="J52" s="78"/>
      <c r="K52" s="78">
        <v>0</v>
      </c>
      <c r="L52" s="78"/>
      <c r="M52" s="106"/>
      <c r="N52" s="240"/>
      <c r="O52" s="241"/>
      <c r="P52" s="242"/>
    </row>
  </sheetData>
  <mergeCells count="22">
    <mergeCell ref="N19:P22"/>
    <mergeCell ref="H21:H22"/>
    <mergeCell ref="G29:G32"/>
    <mergeCell ref="H29:H30"/>
    <mergeCell ref="N29:P32"/>
    <mergeCell ref="H31:H32"/>
    <mergeCell ref="G49:G52"/>
    <mergeCell ref="H49:H50"/>
    <mergeCell ref="N49:P52"/>
    <mergeCell ref="H51:H52"/>
    <mergeCell ref="C2:D2"/>
    <mergeCell ref="C3:D3"/>
    <mergeCell ref="G9:G12"/>
    <mergeCell ref="H9:H10"/>
    <mergeCell ref="H11:H12"/>
    <mergeCell ref="G39:G42"/>
    <mergeCell ref="H39:H40"/>
    <mergeCell ref="N39:P42"/>
    <mergeCell ref="H41:H42"/>
    <mergeCell ref="N9:P12"/>
    <mergeCell ref="G19:G22"/>
    <mergeCell ref="H19:H20"/>
  </mergeCells>
  <conditionalFormatting sqref="M9:M10">
    <cfRule type="containsText" dxfId="148" priority="10" operator="containsText" text="TRUE">
      <formula>NOT(ISERROR(SEARCH("TRUE",M9)))</formula>
    </cfRule>
  </conditionalFormatting>
  <conditionalFormatting sqref="M9:M10">
    <cfRule type="containsText" dxfId="147" priority="9" operator="containsText" text="FALSE">
      <formula>NOT(ISERROR(SEARCH("FALSE",M9)))</formula>
    </cfRule>
  </conditionalFormatting>
  <conditionalFormatting sqref="M19:M20">
    <cfRule type="containsText" dxfId="146" priority="8" operator="containsText" text="TRUE">
      <formula>NOT(ISERROR(SEARCH("TRUE",M19)))</formula>
    </cfRule>
  </conditionalFormatting>
  <conditionalFormatting sqref="M19:M20">
    <cfRule type="containsText" dxfId="145" priority="7" operator="containsText" text="FALSE">
      <formula>NOT(ISERROR(SEARCH("FALSE",M19)))</formula>
    </cfRule>
  </conditionalFormatting>
  <conditionalFormatting sqref="M29:M30">
    <cfRule type="containsText" dxfId="144" priority="6" operator="containsText" text="TRUE">
      <formula>NOT(ISERROR(SEARCH("TRUE",M29)))</formula>
    </cfRule>
  </conditionalFormatting>
  <conditionalFormatting sqref="M29:M30">
    <cfRule type="containsText" dxfId="143" priority="5" operator="containsText" text="FALSE">
      <formula>NOT(ISERROR(SEARCH("FALSE",M29)))</formula>
    </cfRule>
  </conditionalFormatting>
  <conditionalFormatting sqref="M39:M40">
    <cfRule type="containsText" dxfId="142" priority="4" operator="containsText" text="TRUE">
      <formula>NOT(ISERROR(SEARCH("TRUE",M39)))</formula>
    </cfRule>
  </conditionalFormatting>
  <conditionalFormatting sqref="M39:M40">
    <cfRule type="containsText" dxfId="141" priority="3" operator="containsText" text="FALSE">
      <formula>NOT(ISERROR(SEARCH("FALSE",M39)))</formula>
    </cfRule>
  </conditionalFormatting>
  <conditionalFormatting sqref="M49:M50">
    <cfRule type="containsText" dxfId="140" priority="2" operator="containsText" text="TRUE">
      <formula>NOT(ISERROR(SEARCH("TRUE",M49)))</formula>
    </cfRule>
  </conditionalFormatting>
  <conditionalFormatting sqref="M49:M50">
    <cfRule type="containsText" dxfId="139" priority="1" operator="containsText" text="FALSE">
      <formula>NOT(ISERROR(SEARCH("FALSE",M49)))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N252"/>
  <sheetViews>
    <sheetView topLeftCell="B1" zoomScale="60" zoomScaleNormal="60" workbookViewId="0">
      <pane xSplit="3" ySplit="4" topLeftCell="E5" activePane="bottomRight" state="frozen"/>
      <selection activeCell="B5" sqref="B5"/>
      <selection pane="topRight" activeCell="B5" sqref="B5"/>
      <selection pane="bottomLeft" activeCell="B5" sqref="B5"/>
      <selection pane="bottomRight" activeCell="E208" sqref="E208:AH209"/>
    </sheetView>
  </sheetViews>
  <sheetFormatPr defaultColWidth="9.140625" defaultRowHeight="12.75" x14ac:dyDescent="0.2"/>
  <cols>
    <col min="1" max="1" width="3" style="24" customWidth="1"/>
    <col min="2" max="2" width="23.85546875" style="24" customWidth="1"/>
    <col min="3" max="3" width="20" style="24" customWidth="1"/>
    <col min="4" max="4" width="14.140625" style="24" customWidth="1"/>
    <col min="5" max="34" width="10.140625" style="24" customWidth="1"/>
    <col min="35" max="35" width="9.85546875" style="24" customWidth="1"/>
    <col min="36" max="36" width="9.140625" style="24"/>
    <col min="37" max="39" width="10" style="24" customWidth="1"/>
    <col min="40" max="16384" width="9.140625" style="24"/>
  </cols>
  <sheetData>
    <row r="1" spans="1:40" x14ac:dyDescent="0.2">
      <c r="B1" s="247" t="s">
        <v>13</v>
      </c>
      <c r="C1" s="248"/>
      <c r="D1" s="249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69"/>
    </row>
    <row r="2" spans="1:40" x14ac:dyDescent="0.2">
      <c r="B2" s="247" t="s">
        <v>14</v>
      </c>
      <c r="C2" s="248"/>
      <c r="D2" s="249"/>
      <c r="E2" s="134"/>
      <c r="F2" s="134"/>
      <c r="G2" s="134"/>
      <c r="H2" s="134"/>
      <c r="I2" s="134"/>
      <c r="J2" s="134"/>
      <c r="K2" s="134"/>
      <c r="L2" s="134"/>
      <c r="M2" s="134"/>
      <c r="N2" s="134"/>
      <c r="X2" s="56"/>
      <c r="Y2" s="56"/>
      <c r="Z2" s="56"/>
      <c r="AA2" s="56"/>
      <c r="AB2" s="56"/>
    </row>
    <row r="3" spans="1:40" x14ac:dyDescent="0.2">
      <c r="C3" s="25"/>
      <c r="D3" s="26" t="s">
        <v>15</v>
      </c>
      <c r="E3" s="27">
        <f>'Final SR'!$J$10</f>
        <v>46041</v>
      </c>
      <c r="F3" s="27">
        <f t="shared" ref="F3:U3" si="0">+E3+7</f>
        <v>46048</v>
      </c>
      <c r="G3" s="27">
        <f t="shared" si="0"/>
        <v>46055</v>
      </c>
      <c r="H3" s="27">
        <f t="shared" si="0"/>
        <v>46062</v>
      </c>
      <c r="I3" s="27">
        <f t="shared" si="0"/>
        <v>46069</v>
      </c>
      <c r="J3" s="27">
        <f t="shared" si="0"/>
        <v>46076</v>
      </c>
      <c r="K3" s="27">
        <f t="shared" si="0"/>
        <v>46083</v>
      </c>
      <c r="L3" s="27">
        <f t="shared" si="0"/>
        <v>46090</v>
      </c>
      <c r="M3" s="28">
        <f t="shared" si="0"/>
        <v>46097</v>
      </c>
      <c r="N3" s="27">
        <f t="shared" si="0"/>
        <v>46104</v>
      </c>
      <c r="O3" s="27">
        <f t="shared" si="0"/>
        <v>46111</v>
      </c>
      <c r="P3" s="27">
        <f t="shared" si="0"/>
        <v>46118</v>
      </c>
      <c r="Q3" s="27">
        <f t="shared" si="0"/>
        <v>46125</v>
      </c>
      <c r="R3" s="27">
        <f t="shared" si="0"/>
        <v>46132</v>
      </c>
      <c r="S3" s="27">
        <f t="shared" si="0"/>
        <v>46139</v>
      </c>
      <c r="T3" s="27">
        <f t="shared" si="0"/>
        <v>46146</v>
      </c>
      <c r="U3" s="28">
        <f t="shared" si="0"/>
        <v>46153</v>
      </c>
      <c r="V3" s="27">
        <f t="shared" ref="V3:AH3" si="1">+U3+7</f>
        <v>46160</v>
      </c>
      <c r="W3" s="27">
        <f t="shared" si="1"/>
        <v>46167</v>
      </c>
      <c r="X3" s="27">
        <f t="shared" si="1"/>
        <v>46174</v>
      </c>
      <c r="Y3" s="27">
        <f t="shared" si="1"/>
        <v>46181</v>
      </c>
      <c r="Z3" s="27">
        <f t="shared" si="1"/>
        <v>46188</v>
      </c>
      <c r="AA3" s="27">
        <f t="shared" si="1"/>
        <v>46195</v>
      </c>
      <c r="AB3" s="27">
        <f t="shared" si="1"/>
        <v>46202</v>
      </c>
      <c r="AC3" s="27">
        <f t="shared" si="1"/>
        <v>46209</v>
      </c>
      <c r="AD3" s="27">
        <f t="shared" si="1"/>
        <v>46216</v>
      </c>
      <c r="AE3" s="27">
        <f t="shared" si="1"/>
        <v>46223</v>
      </c>
      <c r="AF3" s="27">
        <f t="shared" si="1"/>
        <v>46230</v>
      </c>
      <c r="AG3" s="27">
        <f t="shared" si="1"/>
        <v>46237</v>
      </c>
      <c r="AH3" s="27">
        <f t="shared" si="1"/>
        <v>46244</v>
      </c>
      <c r="AI3" s="56"/>
    </row>
    <row r="4" spans="1:40" ht="13.5" thickBot="1" x14ac:dyDescent="0.25">
      <c r="C4" s="136"/>
      <c r="D4" s="137"/>
      <c r="E4" s="29"/>
      <c r="F4" s="29"/>
      <c r="G4" s="29"/>
      <c r="H4" s="29"/>
      <c r="I4" s="29"/>
      <c r="J4" s="29"/>
      <c r="K4" s="29"/>
      <c r="L4" s="29"/>
      <c r="M4" s="30"/>
      <c r="N4" s="29"/>
      <c r="O4" s="29"/>
      <c r="P4" s="29"/>
      <c r="Q4" s="29"/>
      <c r="R4" s="29"/>
      <c r="S4" s="29"/>
      <c r="T4" s="29"/>
      <c r="U4" s="30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56"/>
    </row>
    <row r="5" spans="1:40" ht="13.5" thickBot="1" x14ac:dyDescent="0.25">
      <c r="A5" s="138"/>
      <c r="B5" s="139"/>
      <c r="C5" s="139"/>
      <c r="D5" s="139"/>
      <c r="E5" s="139" t="s">
        <v>0</v>
      </c>
      <c r="F5" s="139" t="s">
        <v>0</v>
      </c>
      <c r="G5" s="139" t="s">
        <v>0</v>
      </c>
      <c r="H5" s="139" t="s">
        <v>0</v>
      </c>
      <c r="I5" s="139" t="s">
        <v>0</v>
      </c>
      <c r="J5" s="139" t="s">
        <v>0</v>
      </c>
      <c r="K5" s="139" t="s">
        <v>0</v>
      </c>
      <c r="L5" s="140" t="s">
        <v>1</v>
      </c>
      <c r="M5" s="140" t="s">
        <v>2</v>
      </c>
      <c r="N5" s="140" t="s">
        <v>0</v>
      </c>
      <c r="O5" s="140" t="s">
        <v>0</v>
      </c>
      <c r="P5" s="140" t="s">
        <v>0</v>
      </c>
      <c r="Q5" s="140" t="s">
        <v>0</v>
      </c>
      <c r="R5" s="140" t="s">
        <v>0</v>
      </c>
      <c r="S5" s="140" t="s">
        <v>0</v>
      </c>
      <c r="T5" s="140" t="s">
        <v>0</v>
      </c>
      <c r="U5" s="140" t="s">
        <v>3</v>
      </c>
      <c r="V5" s="140" t="s">
        <v>0</v>
      </c>
      <c r="W5" s="140" t="s">
        <v>0</v>
      </c>
      <c r="X5" s="140" t="s">
        <v>0</v>
      </c>
      <c r="Y5" s="139" t="s">
        <v>0</v>
      </c>
      <c r="Z5" s="139" t="s">
        <v>0</v>
      </c>
      <c r="AA5" s="139" t="s">
        <v>0</v>
      </c>
      <c r="AB5" s="139" t="s">
        <v>0</v>
      </c>
      <c r="AC5" s="139" t="s">
        <v>0</v>
      </c>
      <c r="AD5" s="139" t="s">
        <v>0</v>
      </c>
      <c r="AE5" s="139" t="s">
        <v>0</v>
      </c>
      <c r="AF5" s="139" t="s">
        <v>0</v>
      </c>
      <c r="AG5" s="139" t="s">
        <v>0</v>
      </c>
      <c r="AH5" s="139" t="s">
        <v>4</v>
      </c>
      <c r="AK5" s="31" t="s">
        <v>16</v>
      </c>
      <c r="AL5" s="31" t="s">
        <v>17</v>
      </c>
      <c r="AM5" s="32" t="s">
        <v>18</v>
      </c>
    </row>
    <row r="6" spans="1:40" ht="13.5" thickBot="1" x14ac:dyDescent="0.25">
      <c r="A6" s="33"/>
      <c r="B6" s="34" t="s">
        <v>84</v>
      </c>
      <c r="C6" s="141" t="s">
        <v>7</v>
      </c>
      <c r="D6" s="142"/>
      <c r="E6" s="135">
        <f>SUMIFS('Final SR'!J:J,'Final SR'!$E:$E,TOTALss!$B6,'Final SR'!$I:$I,'Final SR'!$I$12)</f>
        <v>0</v>
      </c>
      <c r="F6" s="135">
        <f>SUMIFS('Final SR'!K:K,'Final SR'!$E:$E,TOTALss!$B6,'Final SR'!$I:$I,'Final SR'!$I$12)</f>
        <v>0</v>
      </c>
      <c r="G6" s="135">
        <f>SUMIFS('Final SR'!L:L,'Final SR'!$E:$E,TOTALss!$B6,'Final SR'!$I:$I,'Final SR'!$I$12)</f>
        <v>0</v>
      </c>
      <c r="H6" s="135">
        <f>SUMIFS('Final SR'!M:M,'Final SR'!$E:$E,TOTALss!$B6,'Final SR'!$I:$I,'Final SR'!$I$12)</f>
        <v>0</v>
      </c>
      <c r="I6" s="135">
        <f>SUMIFS('Final SR'!N:N,'Final SR'!$E:$E,TOTALss!$B6,'Final SR'!$I:$I,'Final SR'!$I$12)</f>
        <v>0</v>
      </c>
      <c r="J6" s="135">
        <f>SUMIFS('Final SR'!O:O,'Final SR'!$E:$E,TOTALss!$B6,'Final SR'!$I:$I,'Final SR'!$I$12)</f>
        <v>0</v>
      </c>
      <c r="K6" s="135">
        <f>SUMIFS('Final SR'!P:P,'Final SR'!$E:$E,TOTALss!$B6,'Final SR'!$I:$I,'Final SR'!$I$12)</f>
        <v>0</v>
      </c>
      <c r="L6" s="135">
        <f>SUMIFS('Final SR'!Q:Q,'Final SR'!$E:$E,TOTALss!$B6,'Final SR'!$I:$I,'Final SR'!$I$12)</f>
        <v>0</v>
      </c>
      <c r="M6" s="135">
        <f>SUMIFS('Final SR'!R:R,'Final SR'!$E:$E,TOTALss!$B6,'Final SR'!$I:$I,'Final SR'!$I$12)</f>
        <v>0</v>
      </c>
      <c r="N6" s="135">
        <f>SUMIFS('Final SR'!S:S,'Final SR'!$E:$E,TOTALss!$B6,'Final SR'!$I:$I,'Final SR'!$I$12)</f>
        <v>0</v>
      </c>
      <c r="O6" s="135">
        <f>SUMIFS('Final SR'!T:T,'Final SR'!$E:$E,TOTALss!$B6,'Final SR'!$I:$I,'Final SR'!$I$12)</f>
        <v>0</v>
      </c>
      <c r="P6" s="135">
        <f>SUMIFS('Final SR'!U:U,'Final SR'!$E:$E,TOTALss!$B6,'Final SR'!$I:$I,'Final SR'!$I$12)</f>
        <v>0</v>
      </c>
      <c r="Q6" s="135">
        <f>SUMIFS('Final SR'!V:V,'Final SR'!$E:$E,TOTALss!$B6,'Final SR'!$I:$I,'Final SR'!$I$12)</f>
        <v>0</v>
      </c>
      <c r="R6" s="135">
        <f>SUMIFS('Final SR'!W:W,'Final SR'!$E:$E,TOTALss!$B6,'Final SR'!$I:$I,'Final SR'!$I$12)</f>
        <v>0</v>
      </c>
      <c r="S6" s="135">
        <f>SUMIFS('Final SR'!X:X,'Final SR'!$E:$E,TOTALss!$B6,'Final SR'!$I:$I,'Final SR'!$I$12)</f>
        <v>0</v>
      </c>
      <c r="T6" s="135">
        <f>SUMIFS('Final SR'!Y:Y,'Final SR'!$E:$E,TOTALss!$B6,'Final SR'!$I:$I,'Final SR'!$I$12)</f>
        <v>0</v>
      </c>
      <c r="U6" s="135">
        <f>SUMIFS('Final SR'!Z:Z,'Final SR'!$E:$E,TOTALss!$B6,'Final SR'!$I:$I,'Final SR'!$I$12)</f>
        <v>0</v>
      </c>
      <c r="V6" s="135">
        <f>SUMIFS('Final SR'!AA:AA,'Final SR'!$E:$E,TOTALss!$B6,'Final SR'!$I:$I,'Final SR'!$I$12)</f>
        <v>0</v>
      </c>
      <c r="W6" s="135">
        <f>SUMIFS('Final SR'!AB:AB,'Final SR'!$E:$E,TOTALss!$B6,'Final SR'!$I:$I,'Final SR'!$I$12)</f>
        <v>0</v>
      </c>
      <c r="X6" s="135">
        <f>SUMIFS('Final SR'!AC:AC,'Final SR'!$E:$E,TOTALss!$B6,'Final SR'!$I:$I,'Final SR'!$I$12)</f>
        <v>0</v>
      </c>
      <c r="Y6" s="135">
        <f>SUMIFS('Final SR'!AD:AD,'Final SR'!$E:$E,TOTALss!$B6,'Final SR'!$I:$I,'Final SR'!$I$12)</f>
        <v>0</v>
      </c>
      <c r="Z6" s="135">
        <f>SUMIFS('Final SR'!AE:AE,'Final SR'!$E:$E,TOTALss!$B6,'Final SR'!$I:$I,'Final SR'!$I$12)</f>
        <v>0</v>
      </c>
      <c r="AA6" s="135">
        <f>SUMIFS('Final SR'!AF:AF,'Final SR'!$E:$E,TOTALss!$B6,'Final SR'!$I:$I,'Final SR'!$I$12)</f>
        <v>0</v>
      </c>
      <c r="AB6" s="135">
        <f>SUMIFS('Final SR'!AG:AG,'Final SR'!$E:$E,TOTALss!$B6,'Final SR'!$I:$I,'Final SR'!$I$12)</f>
        <v>0</v>
      </c>
      <c r="AC6" s="135">
        <f>SUMIFS('Final SR'!AH:AH,'Final SR'!$E:$E,TOTALss!$B6,'Final SR'!$I:$I,'Final SR'!$I$12)</f>
        <v>0</v>
      </c>
      <c r="AD6" s="135">
        <f>SUMIFS('Final SR'!AI:AI,'Final SR'!$E:$E,TOTALss!$B6,'Final SR'!$I:$I,'Final SR'!$I$12)</f>
        <v>0</v>
      </c>
      <c r="AE6" s="135">
        <f>SUMIFS('Final SR'!AJ:AJ,'Final SR'!$E:$E,TOTALss!$B6,'Final SR'!$I:$I,'Final SR'!$I$12)</f>
        <v>0</v>
      </c>
      <c r="AF6" s="135">
        <f>SUMIFS('Final SR'!AK:AK,'Final SR'!$E:$E,TOTALss!$B6,'Final SR'!$I:$I,'Final SR'!$I$12)</f>
        <v>0</v>
      </c>
      <c r="AG6" s="135">
        <f>SUMIFS('Final SR'!AL:AL,'Final SR'!$E:$E,TOTALss!$B6,'Final SR'!$I:$I,'Final SR'!$I$12)</f>
        <v>0</v>
      </c>
      <c r="AH6" s="135">
        <f>SUMIFS('Final SR'!AM:AM,'Final SR'!$E:$E,TOTALss!$B6,'Final SR'!$I:$I,'Final SR'!$I$12)</f>
        <v>0</v>
      </c>
      <c r="AI6" s="69"/>
      <c r="AJ6" s="147">
        <f>SUM(M6:AH6)</f>
        <v>0</v>
      </c>
      <c r="AK6" s="35">
        <v>1950</v>
      </c>
      <c r="AL6" s="36">
        <v>1950</v>
      </c>
      <c r="AM6" s="37">
        <v>2400</v>
      </c>
    </row>
    <row r="7" spans="1:40" x14ac:dyDescent="0.2">
      <c r="A7" s="38"/>
      <c r="B7" s="34"/>
      <c r="C7" s="141" t="s">
        <v>19</v>
      </c>
      <c r="D7" s="39"/>
      <c r="E7" s="135">
        <f>SUMIFS('Final SR'!J:J,'Final SR'!$E:$E,TOTALss!$B6,'Final SR'!$I:$I,'Final SR'!$I$13)</f>
        <v>0</v>
      </c>
      <c r="F7" s="135">
        <f t="shared" ref="F7:AH7" si="2">+F6+E7</f>
        <v>0</v>
      </c>
      <c r="G7" s="135">
        <f t="shared" si="2"/>
        <v>0</v>
      </c>
      <c r="H7" s="135">
        <f t="shared" si="2"/>
        <v>0</v>
      </c>
      <c r="I7" s="135">
        <f t="shared" si="2"/>
        <v>0</v>
      </c>
      <c r="J7" s="135">
        <f t="shared" si="2"/>
        <v>0</v>
      </c>
      <c r="K7" s="135">
        <f t="shared" si="2"/>
        <v>0</v>
      </c>
      <c r="L7" s="135">
        <f t="shared" si="2"/>
        <v>0</v>
      </c>
      <c r="M7" s="135">
        <f t="shared" si="2"/>
        <v>0</v>
      </c>
      <c r="N7" s="135">
        <f t="shared" si="2"/>
        <v>0</v>
      </c>
      <c r="O7" s="135">
        <f t="shared" si="2"/>
        <v>0</v>
      </c>
      <c r="P7" s="135">
        <f t="shared" si="2"/>
        <v>0</v>
      </c>
      <c r="Q7" s="135">
        <f t="shared" si="2"/>
        <v>0</v>
      </c>
      <c r="R7" s="135">
        <f t="shared" si="2"/>
        <v>0</v>
      </c>
      <c r="S7" s="135">
        <f t="shared" si="2"/>
        <v>0</v>
      </c>
      <c r="T7" s="135">
        <f t="shared" si="2"/>
        <v>0</v>
      </c>
      <c r="U7" s="135">
        <f t="shared" si="2"/>
        <v>0</v>
      </c>
      <c r="V7" s="135">
        <f t="shared" si="2"/>
        <v>0</v>
      </c>
      <c r="W7" s="135">
        <f t="shared" si="2"/>
        <v>0</v>
      </c>
      <c r="X7" s="135">
        <f t="shared" si="2"/>
        <v>0</v>
      </c>
      <c r="Y7" s="135">
        <f t="shared" si="2"/>
        <v>0</v>
      </c>
      <c r="Z7" s="135">
        <f t="shared" si="2"/>
        <v>0</v>
      </c>
      <c r="AA7" s="135">
        <f t="shared" si="2"/>
        <v>0</v>
      </c>
      <c r="AB7" s="135">
        <f t="shared" si="2"/>
        <v>0</v>
      </c>
      <c r="AC7" s="135">
        <f t="shared" si="2"/>
        <v>0</v>
      </c>
      <c r="AD7" s="135">
        <f t="shared" si="2"/>
        <v>0</v>
      </c>
      <c r="AE7" s="135">
        <f t="shared" si="2"/>
        <v>0</v>
      </c>
      <c r="AF7" s="135">
        <f t="shared" si="2"/>
        <v>0</v>
      </c>
      <c r="AG7" s="135">
        <f t="shared" si="2"/>
        <v>0</v>
      </c>
      <c r="AH7" s="135">
        <f t="shared" si="2"/>
        <v>0</v>
      </c>
      <c r="AI7" s="69"/>
    </row>
    <row r="8" spans="1:40" ht="13.5" thickBot="1" x14ac:dyDescent="0.25">
      <c r="A8" s="40"/>
      <c r="B8" s="41" t="s">
        <v>20</v>
      </c>
      <c r="C8" s="42" t="s">
        <v>21</v>
      </c>
      <c r="D8" s="43"/>
      <c r="E8" s="44">
        <v>2594</v>
      </c>
      <c r="F8" s="44">
        <v>1008</v>
      </c>
      <c r="G8" s="44">
        <v>960</v>
      </c>
      <c r="H8" s="44">
        <v>1160</v>
      </c>
      <c r="I8" s="44">
        <v>440</v>
      </c>
      <c r="J8" s="44">
        <v>836</v>
      </c>
      <c r="K8" s="44">
        <v>764</v>
      </c>
      <c r="L8" s="44">
        <v>752</v>
      </c>
      <c r="M8" s="44">
        <v>0</v>
      </c>
      <c r="N8" s="44">
        <v>460</v>
      </c>
      <c r="O8" s="44">
        <v>312</v>
      </c>
      <c r="P8" s="44">
        <v>616</v>
      </c>
      <c r="Q8" s="44">
        <v>692</v>
      </c>
      <c r="R8" s="44">
        <v>840</v>
      </c>
      <c r="S8" s="44">
        <v>852</v>
      </c>
      <c r="T8" s="44">
        <v>432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69"/>
      <c r="AJ8" s="147">
        <f>SUM(M8:AH8)</f>
        <v>4204</v>
      </c>
      <c r="AK8" s="68" t="b">
        <f>AJ6=AJ8</f>
        <v>0</v>
      </c>
      <c r="AL8" s="45">
        <v>7557</v>
      </c>
      <c r="AM8" s="46">
        <v>9204</v>
      </c>
      <c r="AN8" s="47"/>
    </row>
    <row r="9" spans="1:40" ht="13.5" thickBot="1" x14ac:dyDescent="0.25">
      <c r="A9" s="48"/>
      <c r="B9" s="41" t="s">
        <v>20</v>
      </c>
      <c r="C9" s="42" t="s">
        <v>22</v>
      </c>
      <c r="D9" s="43"/>
      <c r="E9" s="44">
        <v>30762</v>
      </c>
      <c r="F9" s="44">
        <v>31770</v>
      </c>
      <c r="G9" s="44">
        <v>32730</v>
      </c>
      <c r="H9" s="44">
        <v>33890</v>
      </c>
      <c r="I9" s="44">
        <v>34330</v>
      </c>
      <c r="J9" s="44">
        <v>35166</v>
      </c>
      <c r="K9" s="44">
        <v>35930</v>
      </c>
      <c r="L9" s="44">
        <v>36682</v>
      </c>
      <c r="M9" s="44">
        <v>36682</v>
      </c>
      <c r="N9" s="44">
        <v>37142</v>
      </c>
      <c r="O9" s="44">
        <v>37454</v>
      </c>
      <c r="P9" s="44">
        <v>38070</v>
      </c>
      <c r="Q9" s="44">
        <v>38762</v>
      </c>
      <c r="R9" s="44">
        <v>39602</v>
      </c>
      <c r="S9" s="44">
        <v>40454</v>
      </c>
      <c r="T9" s="44">
        <v>40886</v>
      </c>
      <c r="U9" s="44">
        <v>40886</v>
      </c>
      <c r="V9" s="44">
        <v>40886</v>
      </c>
      <c r="W9" s="44">
        <v>40886</v>
      </c>
      <c r="X9" s="44">
        <v>40886</v>
      </c>
      <c r="Y9" s="44">
        <v>40886</v>
      </c>
      <c r="Z9" s="44">
        <v>40886</v>
      </c>
      <c r="AA9" s="44">
        <v>40886</v>
      </c>
      <c r="AB9" s="44">
        <v>40886</v>
      </c>
      <c r="AC9" s="44">
        <v>40886</v>
      </c>
      <c r="AD9" s="44">
        <v>40886</v>
      </c>
      <c r="AE9" s="44">
        <v>40886</v>
      </c>
      <c r="AF9" s="44">
        <v>40886</v>
      </c>
      <c r="AG9" s="44">
        <v>40886</v>
      </c>
      <c r="AH9" s="44">
        <v>40886</v>
      </c>
      <c r="AI9" s="69"/>
      <c r="AK9" s="68"/>
      <c r="AL9" s="45"/>
      <c r="AM9" s="46"/>
      <c r="AN9" s="47"/>
    </row>
    <row r="10" spans="1:40" x14ac:dyDescent="0.2">
      <c r="A10" s="48"/>
      <c r="B10" s="48"/>
      <c r="C10" s="49"/>
      <c r="D10" s="50"/>
      <c r="E10" s="49"/>
      <c r="F10" s="49"/>
      <c r="G10" s="49"/>
      <c r="H10" s="49"/>
      <c r="I10" s="49"/>
      <c r="J10" s="51" t="s">
        <v>23</v>
      </c>
      <c r="K10" s="52"/>
      <c r="L10" s="51">
        <f>+L6-L8</f>
        <v>-752</v>
      </c>
      <c r="M10" s="51">
        <f t="shared" ref="M10:AH10" si="3">+M6-M8</f>
        <v>0</v>
      </c>
      <c r="N10" s="51">
        <f t="shared" si="3"/>
        <v>-460</v>
      </c>
      <c r="O10" s="51">
        <f>+O6-O8</f>
        <v>-312</v>
      </c>
      <c r="P10" s="51">
        <f t="shared" si="3"/>
        <v>-616</v>
      </c>
      <c r="Q10" s="51">
        <f t="shared" si="3"/>
        <v>-692</v>
      </c>
      <c r="R10" s="51">
        <f t="shared" si="3"/>
        <v>-840</v>
      </c>
      <c r="S10" s="51">
        <f t="shared" si="3"/>
        <v>-852</v>
      </c>
      <c r="T10" s="51">
        <f t="shared" si="3"/>
        <v>-432</v>
      </c>
      <c r="U10" s="51">
        <f t="shared" si="3"/>
        <v>0</v>
      </c>
      <c r="V10" s="51">
        <f t="shared" si="3"/>
        <v>0</v>
      </c>
      <c r="W10" s="51">
        <f t="shared" si="3"/>
        <v>0</v>
      </c>
      <c r="X10" s="51">
        <f t="shared" si="3"/>
        <v>0</v>
      </c>
      <c r="Y10" s="51">
        <f t="shared" si="3"/>
        <v>0</v>
      </c>
      <c r="Z10" s="51">
        <f t="shared" si="3"/>
        <v>0</v>
      </c>
      <c r="AA10" s="51">
        <f t="shared" si="3"/>
        <v>0</v>
      </c>
      <c r="AB10" s="51">
        <f t="shared" si="3"/>
        <v>0</v>
      </c>
      <c r="AC10" s="51">
        <f t="shared" si="3"/>
        <v>0</v>
      </c>
      <c r="AD10" s="51">
        <f t="shared" si="3"/>
        <v>0</v>
      </c>
      <c r="AE10" s="51">
        <f t="shared" si="3"/>
        <v>0</v>
      </c>
      <c r="AF10" s="51">
        <f t="shared" si="3"/>
        <v>0</v>
      </c>
      <c r="AG10" s="51">
        <f t="shared" si="3"/>
        <v>0</v>
      </c>
      <c r="AH10" s="51">
        <f t="shared" si="3"/>
        <v>0</v>
      </c>
      <c r="AI10" s="70"/>
      <c r="AK10" s="45"/>
      <c r="AL10" s="45"/>
      <c r="AM10" s="46"/>
      <c r="AN10" s="47"/>
    </row>
    <row r="11" spans="1:40" x14ac:dyDescent="0.2">
      <c r="A11" s="48"/>
      <c r="B11" s="48"/>
      <c r="C11" s="49"/>
      <c r="D11" s="50"/>
      <c r="E11" s="49"/>
      <c r="F11" s="49"/>
      <c r="G11" s="49"/>
      <c r="H11" s="49"/>
      <c r="I11" s="49"/>
      <c r="J11" s="51" t="s">
        <v>24</v>
      </c>
      <c r="K11" s="52"/>
      <c r="L11" s="51">
        <f>+L10</f>
        <v>-752</v>
      </c>
      <c r="M11" s="51">
        <f>+M10+L11</f>
        <v>-752</v>
      </c>
      <c r="N11" s="51">
        <f>+N10+M11</f>
        <v>-1212</v>
      </c>
      <c r="O11" s="51">
        <f t="shared" ref="O11:AH11" si="4">+O10+N11</f>
        <v>-1524</v>
      </c>
      <c r="P11" s="51">
        <f t="shared" si="4"/>
        <v>-2140</v>
      </c>
      <c r="Q11" s="51">
        <f t="shared" si="4"/>
        <v>-2832</v>
      </c>
      <c r="R11" s="51">
        <f t="shared" si="4"/>
        <v>-3672</v>
      </c>
      <c r="S11" s="51">
        <f t="shared" si="4"/>
        <v>-4524</v>
      </c>
      <c r="T11" s="51">
        <f t="shared" si="4"/>
        <v>-4956</v>
      </c>
      <c r="U11" s="51">
        <f t="shared" si="4"/>
        <v>-4956</v>
      </c>
      <c r="V11" s="51">
        <f t="shared" si="4"/>
        <v>-4956</v>
      </c>
      <c r="W11" s="51">
        <f t="shared" si="4"/>
        <v>-4956</v>
      </c>
      <c r="X11" s="51">
        <f t="shared" si="4"/>
        <v>-4956</v>
      </c>
      <c r="Y11" s="51">
        <f t="shared" si="4"/>
        <v>-4956</v>
      </c>
      <c r="Z11" s="51">
        <f t="shared" si="4"/>
        <v>-4956</v>
      </c>
      <c r="AA11" s="51">
        <f t="shared" si="4"/>
        <v>-4956</v>
      </c>
      <c r="AB11" s="51">
        <f t="shared" si="4"/>
        <v>-4956</v>
      </c>
      <c r="AC11" s="51">
        <f t="shared" si="4"/>
        <v>-4956</v>
      </c>
      <c r="AD11" s="51">
        <f t="shared" si="4"/>
        <v>-4956</v>
      </c>
      <c r="AE11" s="51">
        <f t="shared" si="4"/>
        <v>-4956</v>
      </c>
      <c r="AF11" s="51">
        <f t="shared" si="4"/>
        <v>-4956</v>
      </c>
      <c r="AG11" s="51">
        <f t="shared" si="4"/>
        <v>-4956</v>
      </c>
      <c r="AH11" s="51">
        <f t="shared" si="4"/>
        <v>-4956</v>
      </c>
      <c r="AI11" s="70"/>
      <c r="AK11" s="85"/>
      <c r="AL11" s="85"/>
      <c r="AM11" s="46"/>
      <c r="AN11" s="47"/>
    </row>
    <row r="12" spans="1:40" x14ac:dyDescent="0.2">
      <c r="A12" s="48"/>
      <c r="B12" s="48"/>
      <c r="C12" s="49"/>
      <c r="D12" s="50"/>
      <c r="E12" s="49"/>
      <c r="F12" s="49"/>
      <c r="G12" s="49"/>
      <c r="H12" s="49"/>
      <c r="I12" s="49"/>
      <c r="J12" s="51" t="s">
        <v>25</v>
      </c>
      <c r="K12" s="51">
        <v>665</v>
      </c>
      <c r="L12" s="53">
        <f>+L11/$K$12</f>
        <v>-1.130827067669173</v>
      </c>
      <c r="M12" s="53">
        <f t="shared" ref="M12:AH12" si="5">+M11/$K$12</f>
        <v>-1.130827067669173</v>
      </c>
      <c r="N12" s="53">
        <f t="shared" si="5"/>
        <v>-1.8225563909774436</v>
      </c>
      <c r="O12" s="53">
        <f t="shared" si="5"/>
        <v>-2.2917293233082705</v>
      </c>
      <c r="P12" s="53">
        <f>+P11/$K$12</f>
        <v>-3.2180451127819549</v>
      </c>
      <c r="Q12" s="53">
        <f t="shared" si="5"/>
        <v>-4.2586466165413537</v>
      </c>
      <c r="R12" s="53">
        <f t="shared" si="5"/>
        <v>-5.5218045112781953</v>
      </c>
      <c r="S12" s="53">
        <f t="shared" si="5"/>
        <v>-6.8030075187969921</v>
      </c>
      <c r="T12" s="53">
        <f t="shared" si="5"/>
        <v>-7.4526315789473685</v>
      </c>
      <c r="U12" s="53">
        <f t="shared" si="5"/>
        <v>-7.4526315789473685</v>
      </c>
      <c r="V12" s="53">
        <f t="shared" si="5"/>
        <v>-7.4526315789473685</v>
      </c>
      <c r="W12" s="53">
        <f t="shared" si="5"/>
        <v>-7.4526315789473685</v>
      </c>
      <c r="X12" s="53">
        <f t="shared" si="5"/>
        <v>-7.4526315789473685</v>
      </c>
      <c r="Y12" s="53">
        <f t="shared" si="5"/>
        <v>-7.4526315789473685</v>
      </c>
      <c r="Z12" s="53">
        <f t="shared" si="5"/>
        <v>-7.4526315789473685</v>
      </c>
      <c r="AA12" s="53">
        <f t="shared" si="5"/>
        <v>-7.4526315789473685</v>
      </c>
      <c r="AB12" s="53">
        <f t="shared" si="5"/>
        <v>-7.4526315789473685</v>
      </c>
      <c r="AC12" s="53">
        <f t="shared" si="5"/>
        <v>-7.4526315789473685</v>
      </c>
      <c r="AD12" s="53">
        <f t="shared" si="5"/>
        <v>-7.4526315789473685</v>
      </c>
      <c r="AE12" s="53">
        <f t="shared" si="5"/>
        <v>-7.4526315789473685</v>
      </c>
      <c r="AF12" s="53">
        <f t="shared" si="5"/>
        <v>-7.4526315789473685</v>
      </c>
      <c r="AG12" s="53">
        <f t="shared" si="5"/>
        <v>-7.4526315789473685</v>
      </c>
      <c r="AH12" s="53">
        <f t="shared" si="5"/>
        <v>-7.4526315789473685</v>
      </c>
      <c r="AI12" s="71"/>
      <c r="AK12" s="45"/>
      <c r="AL12" s="45"/>
      <c r="AM12" s="46"/>
      <c r="AN12" s="47"/>
    </row>
    <row r="13" spans="1:40" x14ac:dyDescent="0.2">
      <c r="A13" s="48"/>
      <c r="B13" s="48"/>
      <c r="C13" s="49"/>
      <c r="D13" s="50"/>
      <c r="E13" s="49"/>
      <c r="F13" s="49"/>
      <c r="G13" s="49"/>
      <c r="H13" s="49"/>
      <c r="I13" s="49"/>
      <c r="J13" s="51" t="s">
        <v>26</v>
      </c>
      <c r="K13" s="51"/>
      <c r="L13" s="82">
        <f>L11*76</f>
        <v>-57152</v>
      </c>
      <c r="M13" s="82">
        <f t="shared" ref="M13:AH13" si="6">M11*76</f>
        <v>-57152</v>
      </c>
      <c r="N13" s="82">
        <f t="shared" si="6"/>
        <v>-92112</v>
      </c>
      <c r="O13" s="82">
        <f t="shared" si="6"/>
        <v>-115824</v>
      </c>
      <c r="P13" s="82">
        <f t="shared" si="6"/>
        <v>-162640</v>
      </c>
      <c r="Q13" s="82">
        <f t="shared" si="6"/>
        <v>-215232</v>
      </c>
      <c r="R13" s="82">
        <f t="shared" si="6"/>
        <v>-279072</v>
      </c>
      <c r="S13" s="82">
        <f t="shared" si="6"/>
        <v>-343824</v>
      </c>
      <c r="T13" s="82">
        <f t="shared" si="6"/>
        <v>-376656</v>
      </c>
      <c r="U13" s="82">
        <f t="shared" si="6"/>
        <v>-376656</v>
      </c>
      <c r="V13" s="82">
        <f t="shared" si="6"/>
        <v>-376656</v>
      </c>
      <c r="W13" s="82">
        <f t="shared" si="6"/>
        <v>-376656</v>
      </c>
      <c r="X13" s="82">
        <f t="shared" si="6"/>
        <v>-376656</v>
      </c>
      <c r="Y13" s="82">
        <f t="shared" si="6"/>
        <v>-376656</v>
      </c>
      <c r="Z13" s="82">
        <f t="shared" si="6"/>
        <v>-376656</v>
      </c>
      <c r="AA13" s="82">
        <f t="shared" si="6"/>
        <v>-376656</v>
      </c>
      <c r="AB13" s="82">
        <f t="shared" si="6"/>
        <v>-376656</v>
      </c>
      <c r="AC13" s="82">
        <f t="shared" si="6"/>
        <v>-376656</v>
      </c>
      <c r="AD13" s="82">
        <f t="shared" si="6"/>
        <v>-376656</v>
      </c>
      <c r="AE13" s="82">
        <f t="shared" si="6"/>
        <v>-376656</v>
      </c>
      <c r="AF13" s="82">
        <f t="shared" si="6"/>
        <v>-376656</v>
      </c>
      <c r="AG13" s="82">
        <f t="shared" si="6"/>
        <v>-376656</v>
      </c>
      <c r="AH13" s="82">
        <f t="shared" si="6"/>
        <v>-376656</v>
      </c>
      <c r="AI13" s="71"/>
      <c r="AK13" s="45"/>
      <c r="AL13" s="45"/>
      <c r="AM13" s="46"/>
      <c r="AN13" s="47"/>
    </row>
    <row r="14" spans="1:40" x14ac:dyDescent="0.2">
      <c r="B14" s="54"/>
      <c r="C14" s="72"/>
      <c r="D14" s="73" t="s">
        <v>27</v>
      </c>
      <c r="E14" s="74"/>
      <c r="F14" s="75"/>
      <c r="G14" s="75"/>
      <c r="H14" s="75"/>
      <c r="I14" s="75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J14" s="84"/>
    </row>
    <row r="15" spans="1:40" x14ac:dyDescent="0.2">
      <c r="A15" s="48"/>
      <c r="B15" s="76"/>
      <c r="C15" s="72"/>
      <c r="D15" s="73" t="s">
        <v>28</v>
      </c>
      <c r="E15" s="72"/>
      <c r="F15" s="72"/>
      <c r="G15" s="72"/>
      <c r="H15" s="72"/>
      <c r="I15" s="72"/>
      <c r="J15" s="79"/>
      <c r="K15" s="79">
        <v>1950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K15" s="45"/>
      <c r="AL15" s="45"/>
      <c r="AM15" s="46"/>
      <c r="AN15" s="47"/>
    </row>
    <row r="16" spans="1:40" x14ac:dyDescent="0.2">
      <c r="A16" s="48"/>
      <c r="B16" s="76"/>
      <c r="C16" s="72"/>
      <c r="D16" s="73" t="s">
        <v>27</v>
      </c>
      <c r="E16" s="72"/>
      <c r="F16" s="72"/>
      <c r="G16" s="72"/>
      <c r="H16" s="72"/>
      <c r="I16" s="72"/>
      <c r="J16" s="79">
        <f>IFERROR(HLOOKUP(J$3,[3]EMI!$D$5:$AA$19,13,FALSE),0)</f>
        <v>0</v>
      </c>
      <c r="K16" s="79">
        <f>IFERROR(HLOOKUP(K$3,[3]EMI!$D$5:$AA$19,13,FALSE),0)</f>
        <v>0</v>
      </c>
      <c r="L16" s="79">
        <f>IFERROR(HLOOKUP(L$3,[3]EMI!$D$5:$AA$19,13,FALSE),0)</f>
        <v>0</v>
      </c>
      <c r="M16" s="79">
        <f>IFERROR(HLOOKUP(M$3,[3]EMI!$D$5:$AA$19,13,FALSE),0)</f>
        <v>0</v>
      </c>
      <c r="N16" s="79">
        <f>IFERROR(HLOOKUP(N$3,[3]EMI!$D$5:$AA$19,13,FALSE),0)</f>
        <v>0</v>
      </c>
      <c r="O16" s="79">
        <f>IFERROR(HLOOKUP(O$3,[3]EMI!$D$5:$AA$19,13,FALSE),0)</f>
        <v>0</v>
      </c>
      <c r="P16" s="79">
        <f>IFERROR(HLOOKUP(P$3,[3]EMI!$D$5:$AA$19,13,FALSE),0)</f>
        <v>0</v>
      </c>
      <c r="Q16" s="79">
        <f>IFERROR(HLOOKUP(Q$3,[3]EMI!$D$5:$AA$19,13,FALSE),0)</f>
        <v>0</v>
      </c>
      <c r="R16" s="79">
        <f>IFERROR(HLOOKUP(R$3,[3]EMI!$D$5:$AA$19,13,FALSE),0)</f>
        <v>0</v>
      </c>
      <c r="S16" s="79">
        <f>IFERROR(HLOOKUP(S$3,[3]EMI!$D$5:$AA$19,13,FALSE),0)</f>
        <v>0</v>
      </c>
      <c r="T16" s="79">
        <f>IFERROR(HLOOKUP(T$3,[3]EMI!$D$5:$AA$19,13,FALSE),0)</f>
        <v>0</v>
      </c>
      <c r="U16" s="79">
        <f>IFERROR(HLOOKUP(U$3,[3]EMI!$D$5:$AA$19,13,FALSE),0)</f>
        <v>0</v>
      </c>
      <c r="V16" s="79">
        <f>IFERROR(HLOOKUP(V$3,[3]EMI!$D$5:$AA$19,13,FALSE),0)</f>
        <v>0</v>
      </c>
      <c r="W16" s="79">
        <f>IFERROR(HLOOKUP(W$3,[3]EMI!$D$5:$AA$19,13,FALSE),0)</f>
        <v>0</v>
      </c>
      <c r="X16" s="79">
        <f>IFERROR(HLOOKUP(X$3,[3]EMI!$D$5:$AA$19,13,FALSE),0)</f>
        <v>0</v>
      </c>
      <c r="Y16" s="79">
        <f>IFERROR(HLOOKUP(Y$3,[3]EMI!$D$5:$AA$19,13,FALSE),0)</f>
        <v>0</v>
      </c>
      <c r="Z16" s="79">
        <f>IFERROR(HLOOKUP(Z$3,[3]EMI!$D$5:$AA$19,13,FALSE),0)</f>
        <v>0</v>
      </c>
      <c r="AA16" s="79">
        <f>IFERROR(HLOOKUP(AA$3,[3]EMI!$D$5:$AA$19,13,FALSE),0)</f>
        <v>0</v>
      </c>
      <c r="AB16" s="79">
        <f>IFERROR(HLOOKUP(AB$3,[3]EMI!$D$5:$AA$19,13,FALSE),0)</f>
        <v>0</v>
      </c>
      <c r="AC16" s="79">
        <f>IFERROR(HLOOKUP(AC$3,[3]EMI!$D$5:$AA$19,13,FALSE),0)</f>
        <v>0</v>
      </c>
      <c r="AD16" s="79">
        <f>IFERROR(HLOOKUP(AD$3,[3]EMI!$D$5:$AA$19,13,FALSE),0)</f>
        <v>0</v>
      </c>
      <c r="AE16" s="79">
        <f>IFERROR(HLOOKUP(AE$3,[3]EMI!$D$5:$AA$19,13,FALSE),0)</f>
        <v>0</v>
      </c>
      <c r="AF16" s="79">
        <f>IFERROR(HLOOKUP(AF$3,[3]EMI!$D$5:$AA$19,13,FALSE),0)</f>
        <v>0</v>
      </c>
      <c r="AG16" s="79">
        <f>IFERROR(HLOOKUP(AG$3,[3]EMI!$D$5:$AA$19,13,FALSE),0)</f>
        <v>0</v>
      </c>
      <c r="AH16" s="79">
        <f>IFERROR(HLOOKUP(AH$3,[3]EMI!$D$5:$AA$19,13,FALSE),0)</f>
        <v>0</v>
      </c>
      <c r="AK16" s="45"/>
      <c r="AL16" s="45"/>
      <c r="AM16" s="46"/>
      <c r="AN16" s="47"/>
    </row>
    <row r="17" spans="1:40" x14ac:dyDescent="0.2">
      <c r="A17" s="48"/>
      <c r="B17" s="76"/>
      <c r="C17" s="72"/>
      <c r="D17" s="73" t="s">
        <v>28</v>
      </c>
      <c r="E17" s="72"/>
      <c r="F17" s="72"/>
      <c r="G17" s="72"/>
      <c r="H17" s="72"/>
      <c r="I17" s="72"/>
      <c r="J17" s="79">
        <v>1950</v>
      </c>
      <c r="K17" s="79">
        <v>1950</v>
      </c>
      <c r="L17" s="79">
        <v>1950</v>
      </c>
      <c r="M17" s="79">
        <v>1950</v>
      </c>
      <c r="N17" s="79">
        <v>1950</v>
      </c>
      <c r="O17" s="79">
        <v>1950</v>
      </c>
      <c r="P17" s="79">
        <v>1950</v>
      </c>
      <c r="Q17" s="79">
        <v>1950</v>
      </c>
      <c r="R17" s="79">
        <v>1950</v>
      </c>
      <c r="S17" s="79">
        <v>1950</v>
      </c>
      <c r="T17" s="79">
        <v>1950</v>
      </c>
      <c r="U17" s="79">
        <v>1950</v>
      </c>
      <c r="V17" s="79">
        <v>1950</v>
      </c>
      <c r="W17" s="79">
        <v>1950</v>
      </c>
      <c r="X17" s="79">
        <v>1950</v>
      </c>
      <c r="Y17" s="79">
        <v>1950</v>
      </c>
      <c r="Z17" s="79">
        <v>1950</v>
      </c>
      <c r="AA17" s="79">
        <v>1950</v>
      </c>
      <c r="AB17" s="79">
        <v>1950</v>
      </c>
      <c r="AC17" s="79">
        <v>1950</v>
      </c>
      <c r="AD17" s="79">
        <v>1950</v>
      </c>
      <c r="AE17" s="79">
        <v>1950</v>
      </c>
      <c r="AF17" s="79">
        <v>1950</v>
      </c>
      <c r="AG17" s="79">
        <v>1950</v>
      </c>
      <c r="AH17" s="79">
        <v>1950</v>
      </c>
      <c r="AK17" s="45"/>
      <c r="AL17" s="45"/>
      <c r="AM17" s="46"/>
      <c r="AN17" s="47"/>
    </row>
    <row r="18" spans="1:40" x14ac:dyDescent="0.2">
      <c r="A18" s="48"/>
      <c r="B18" s="76"/>
      <c r="C18" s="72"/>
      <c r="D18" s="73"/>
      <c r="E18" s="72"/>
      <c r="F18" s="72"/>
      <c r="G18" s="72"/>
      <c r="H18" s="72"/>
      <c r="I18" s="72"/>
      <c r="J18" s="80">
        <f t="shared" ref="J18:AH18" si="7">J15+J17</f>
        <v>1950</v>
      </c>
      <c r="K18" s="80">
        <f t="shared" si="7"/>
        <v>3900</v>
      </c>
      <c r="L18" s="80">
        <f t="shared" si="7"/>
        <v>1950</v>
      </c>
      <c r="M18" s="80">
        <f t="shared" si="7"/>
        <v>1950</v>
      </c>
      <c r="N18" s="80">
        <f t="shared" si="7"/>
        <v>1950</v>
      </c>
      <c r="O18" s="80">
        <f t="shared" si="7"/>
        <v>1950</v>
      </c>
      <c r="P18" s="80">
        <f t="shared" si="7"/>
        <v>1950</v>
      </c>
      <c r="Q18" s="80">
        <f t="shared" si="7"/>
        <v>1950</v>
      </c>
      <c r="R18" s="80">
        <f t="shared" si="7"/>
        <v>1950</v>
      </c>
      <c r="S18" s="80">
        <f t="shared" si="7"/>
        <v>1950</v>
      </c>
      <c r="T18" s="80">
        <f t="shared" si="7"/>
        <v>1950</v>
      </c>
      <c r="U18" s="80">
        <f t="shared" si="7"/>
        <v>1950</v>
      </c>
      <c r="V18" s="80">
        <f t="shared" si="7"/>
        <v>1950</v>
      </c>
      <c r="W18" s="80">
        <f t="shared" si="7"/>
        <v>1950</v>
      </c>
      <c r="X18" s="80">
        <f t="shared" si="7"/>
        <v>1950</v>
      </c>
      <c r="Y18" s="80">
        <f t="shared" si="7"/>
        <v>1950</v>
      </c>
      <c r="Z18" s="80">
        <f t="shared" si="7"/>
        <v>1950</v>
      </c>
      <c r="AA18" s="80">
        <f t="shared" si="7"/>
        <v>1950</v>
      </c>
      <c r="AB18" s="80">
        <f t="shared" si="7"/>
        <v>1950</v>
      </c>
      <c r="AC18" s="80">
        <f t="shared" si="7"/>
        <v>1950</v>
      </c>
      <c r="AD18" s="80">
        <f t="shared" si="7"/>
        <v>1950</v>
      </c>
      <c r="AE18" s="80">
        <f t="shared" si="7"/>
        <v>1950</v>
      </c>
      <c r="AF18" s="80">
        <f t="shared" si="7"/>
        <v>1950</v>
      </c>
      <c r="AG18" s="80">
        <f t="shared" si="7"/>
        <v>1950</v>
      </c>
      <c r="AH18" s="80">
        <f t="shared" si="7"/>
        <v>1950</v>
      </c>
      <c r="AK18" s="45"/>
      <c r="AL18" s="45"/>
      <c r="AM18" s="46"/>
      <c r="AN18" s="47"/>
    </row>
    <row r="19" spans="1:40" ht="15" x14ac:dyDescent="0.2">
      <c r="B19" s="76"/>
      <c r="C19" s="72"/>
      <c r="D19" s="73" t="s">
        <v>29</v>
      </c>
      <c r="E19" s="72"/>
      <c r="F19" s="72"/>
      <c r="G19" s="72"/>
      <c r="H19" s="72"/>
      <c r="I19" s="72"/>
      <c r="J19" s="79"/>
      <c r="K19" s="79"/>
      <c r="L19" s="79">
        <f t="shared" ref="L19:AH19" si="8">L6-L18</f>
        <v>-1950</v>
      </c>
      <c r="M19" s="79">
        <f t="shared" si="8"/>
        <v>-1950</v>
      </c>
      <c r="N19" s="79">
        <f t="shared" si="8"/>
        <v>-1950</v>
      </c>
      <c r="O19" s="79">
        <f t="shared" si="8"/>
        <v>-1950</v>
      </c>
      <c r="P19" s="79">
        <f t="shared" si="8"/>
        <v>-1950</v>
      </c>
      <c r="Q19" s="79">
        <f t="shared" si="8"/>
        <v>-1950</v>
      </c>
      <c r="R19" s="79">
        <f t="shared" si="8"/>
        <v>-1950</v>
      </c>
      <c r="S19" s="79">
        <f t="shared" si="8"/>
        <v>-1950</v>
      </c>
      <c r="T19" s="79">
        <f t="shared" si="8"/>
        <v>-1950</v>
      </c>
      <c r="U19" s="79">
        <f t="shared" si="8"/>
        <v>-1950</v>
      </c>
      <c r="V19" s="79">
        <f t="shared" si="8"/>
        <v>-1950</v>
      </c>
      <c r="W19" s="79">
        <f t="shared" si="8"/>
        <v>-1950</v>
      </c>
      <c r="X19" s="79">
        <f t="shared" si="8"/>
        <v>-1950</v>
      </c>
      <c r="Y19" s="79">
        <f t="shared" si="8"/>
        <v>-1950</v>
      </c>
      <c r="Z19" s="79">
        <f t="shared" si="8"/>
        <v>-1950</v>
      </c>
      <c r="AA19" s="79">
        <f t="shared" si="8"/>
        <v>-1950</v>
      </c>
      <c r="AB19" s="79">
        <f t="shared" si="8"/>
        <v>-1950</v>
      </c>
      <c r="AC19" s="79">
        <f t="shared" si="8"/>
        <v>-1950</v>
      </c>
      <c r="AD19" s="79">
        <f t="shared" si="8"/>
        <v>-1950</v>
      </c>
      <c r="AE19" s="79">
        <f t="shared" si="8"/>
        <v>-1950</v>
      </c>
      <c r="AF19" s="79">
        <f t="shared" si="8"/>
        <v>-1950</v>
      </c>
      <c r="AG19" s="79">
        <f t="shared" si="8"/>
        <v>-1950</v>
      </c>
      <c r="AH19" s="79">
        <f t="shared" si="8"/>
        <v>-1950</v>
      </c>
      <c r="AI19" s="57"/>
      <c r="AJ19" s="47"/>
      <c r="AK19" s="47"/>
      <c r="AL19" s="47"/>
    </row>
    <row r="20" spans="1:40" ht="15" x14ac:dyDescent="0.2">
      <c r="B20" s="86"/>
      <c r="C20" s="69"/>
      <c r="D20" s="87"/>
      <c r="E20" s="69"/>
      <c r="F20" s="69"/>
      <c r="G20" s="69"/>
      <c r="H20" s="69"/>
      <c r="I20" s="69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57"/>
      <c r="AJ20" s="47"/>
      <c r="AK20" s="47"/>
      <c r="AL20" s="47"/>
    </row>
    <row r="21" spans="1:40" ht="15" x14ac:dyDescent="0.2">
      <c r="B21" s="86"/>
      <c r="C21" s="69"/>
      <c r="D21" s="87"/>
      <c r="E21" s="69"/>
      <c r="F21" s="69"/>
      <c r="G21" s="69"/>
      <c r="H21" s="69"/>
      <c r="I21" s="69"/>
      <c r="J21" s="69" t="s">
        <v>30</v>
      </c>
      <c r="K21" s="69"/>
      <c r="L21" s="98">
        <f>L24-L27</f>
        <v>-752</v>
      </c>
      <c r="M21" s="98">
        <f t="shared" ref="M21:AH21" si="9">M24-M27</f>
        <v>0</v>
      </c>
      <c r="N21" s="98">
        <f t="shared" ref="N21:P22" si="10">N24-N27</f>
        <v>-440</v>
      </c>
      <c r="O21" s="98">
        <f t="shared" si="10"/>
        <v>-620</v>
      </c>
      <c r="P21" s="98">
        <f t="shared" si="10"/>
        <v>-748</v>
      </c>
      <c r="Q21" s="98">
        <f t="shared" si="9"/>
        <v>-852</v>
      </c>
      <c r="R21" s="98">
        <f t="shared" si="9"/>
        <v>-848</v>
      </c>
      <c r="S21" s="98">
        <f t="shared" si="9"/>
        <v>-852</v>
      </c>
      <c r="T21" s="98">
        <f t="shared" si="9"/>
        <v>-428</v>
      </c>
      <c r="U21" s="98">
        <f t="shared" si="9"/>
        <v>0</v>
      </c>
      <c r="V21" s="98">
        <f t="shared" si="9"/>
        <v>0</v>
      </c>
      <c r="W21" s="98">
        <f t="shared" si="9"/>
        <v>0</v>
      </c>
      <c r="X21" s="98">
        <f t="shared" si="9"/>
        <v>0</v>
      </c>
      <c r="Y21" s="98">
        <f t="shared" si="9"/>
        <v>0</v>
      </c>
      <c r="Z21" s="98">
        <f t="shared" si="9"/>
        <v>0</v>
      </c>
      <c r="AA21" s="98">
        <f t="shared" si="9"/>
        <v>0</v>
      </c>
      <c r="AB21" s="98">
        <f t="shared" si="9"/>
        <v>0</v>
      </c>
      <c r="AC21" s="98">
        <f t="shared" si="9"/>
        <v>0</v>
      </c>
      <c r="AD21" s="98">
        <f t="shared" si="9"/>
        <v>0</v>
      </c>
      <c r="AE21" s="98">
        <f t="shared" si="9"/>
        <v>0</v>
      </c>
      <c r="AF21" s="98">
        <f t="shared" si="9"/>
        <v>0</v>
      </c>
      <c r="AG21" s="98">
        <f t="shared" si="9"/>
        <v>0</v>
      </c>
      <c r="AH21" s="98">
        <f t="shared" si="9"/>
        <v>0</v>
      </c>
      <c r="AI21" s="57"/>
      <c r="AJ21" s="47"/>
      <c r="AK21" s="47"/>
      <c r="AL21" s="47"/>
    </row>
    <row r="22" spans="1:40" ht="15.75" x14ac:dyDescent="0.25">
      <c r="B22" s="89"/>
      <c r="C22" s="89"/>
      <c r="D22" s="89"/>
      <c r="E22" s="89"/>
      <c r="F22" s="89"/>
      <c r="G22" s="89"/>
      <c r="H22" s="89"/>
      <c r="I22" s="89"/>
      <c r="J22" s="97" t="s">
        <v>31</v>
      </c>
      <c r="K22" s="89"/>
      <c r="L22" s="98">
        <f>L25-L28</f>
        <v>-36682</v>
      </c>
      <c r="M22" s="98">
        <f t="shared" ref="M22:AH22" si="11">M25-M28</f>
        <v>-36682</v>
      </c>
      <c r="N22" s="98">
        <f t="shared" si="10"/>
        <v>-37122</v>
      </c>
      <c r="O22" s="98">
        <f t="shared" si="10"/>
        <v>-37742</v>
      </c>
      <c r="P22" s="98">
        <f t="shared" si="10"/>
        <v>-38490</v>
      </c>
      <c r="Q22" s="98">
        <f t="shared" si="11"/>
        <v>-39342</v>
      </c>
      <c r="R22" s="98">
        <f t="shared" si="11"/>
        <v>-40190</v>
      </c>
      <c r="S22" s="98">
        <f t="shared" si="11"/>
        <v>-41042</v>
      </c>
      <c r="T22" s="98">
        <f t="shared" si="11"/>
        <v>-41470</v>
      </c>
      <c r="U22" s="98">
        <f t="shared" si="11"/>
        <v>-41470</v>
      </c>
      <c r="V22" s="98">
        <f t="shared" si="11"/>
        <v>-41470</v>
      </c>
      <c r="W22" s="98">
        <f t="shared" si="11"/>
        <v>-41470</v>
      </c>
      <c r="X22" s="98">
        <f t="shared" si="11"/>
        <v>-41470</v>
      </c>
      <c r="Y22" s="98">
        <f t="shared" si="11"/>
        <v>-41470</v>
      </c>
      <c r="Z22" s="98">
        <f t="shared" si="11"/>
        <v>-41470</v>
      </c>
      <c r="AA22" s="98">
        <f t="shared" si="11"/>
        <v>-41470</v>
      </c>
      <c r="AB22" s="98">
        <f t="shared" si="11"/>
        <v>-41470</v>
      </c>
      <c r="AC22" s="98">
        <f t="shared" si="11"/>
        <v>-41470</v>
      </c>
      <c r="AD22" s="98">
        <f t="shared" si="11"/>
        <v>-41470</v>
      </c>
      <c r="AE22" s="98">
        <f t="shared" si="11"/>
        <v>-41470</v>
      </c>
      <c r="AF22" s="98">
        <f t="shared" si="11"/>
        <v>-41470</v>
      </c>
      <c r="AG22" s="98">
        <f t="shared" si="11"/>
        <v>-41470</v>
      </c>
      <c r="AH22" s="98">
        <f t="shared" si="11"/>
        <v>0</v>
      </c>
      <c r="AI22" s="57"/>
      <c r="AJ22" s="47"/>
      <c r="AK22" s="47"/>
      <c r="AL22" s="47"/>
    </row>
    <row r="23" spans="1:40" ht="15.75" x14ac:dyDescent="0.25">
      <c r="B23" s="89" t="s">
        <v>32</v>
      </c>
      <c r="C23" s="89"/>
      <c r="D23" s="92">
        <v>45376</v>
      </c>
      <c r="E23" s="93" t="s">
        <v>0</v>
      </c>
      <c r="F23" s="93" t="s">
        <v>0</v>
      </c>
      <c r="G23" s="93" t="s">
        <v>0</v>
      </c>
      <c r="H23" s="93" t="s">
        <v>0</v>
      </c>
      <c r="I23" s="93" t="s">
        <v>0</v>
      </c>
      <c r="J23" s="94" t="s">
        <v>0</v>
      </c>
      <c r="K23" s="94" t="s">
        <v>1</v>
      </c>
      <c r="L23" s="94" t="s">
        <v>2</v>
      </c>
      <c r="M23" s="94" t="s">
        <v>4</v>
      </c>
      <c r="N23" s="94" t="s">
        <v>0</v>
      </c>
      <c r="O23" s="94" t="s">
        <v>0</v>
      </c>
      <c r="P23" s="94" t="s">
        <v>0</v>
      </c>
      <c r="Q23" s="94" t="s">
        <v>0</v>
      </c>
      <c r="R23" s="94" t="s">
        <v>0</v>
      </c>
      <c r="S23" s="94" t="s">
        <v>0</v>
      </c>
      <c r="T23" s="94" t="s">
        <v>3</v>
      </c>
      <c r="U23" s="94" t="s">
        <v>4</v>
      </c>
      <c r="V23" s="94" t="s">
        <v>0</v>
      </c>
      <c r="W23" s="94" t="s">
        <v>0</v>
      </c>
      <c r="X23" s="94" t="s">
        <v>0</v>
      </c>
      <c r="Y23" s="94" t="s">
        <v>0</v>
      </c>
      <c r="Z23" s="94" t="s">
        <v>0</v>
      </c>
      <c r="AA23" s="94" t="s">
        <v>0</v>
      </c>
      <c r="AB23" s="94" t="s">
        <v>0</v>
      </c>
      <c r="AC23" s="94" t="s">
        <v>0</v>
      </c>
      <c r="AD23" s="94" t="s">
        <v>0</v>
      </c>
      <c r="AE23" s="94" t="s">
        <v>0</v>
      </c>
      <c r="AF23" s="94" t="s">
        <v>0</v>
      </c>
      <c r="AG23" s="94" t="s">
        <v>0</v>
      </c>
      <c r="AH23" s="94" t="s">
        <v>4</v>
      </c>
      <c r="AI23" s="57"/>
      <c r="AJ23" s="47"/>
      <c r="AK23" s="47"/>
      <c r="AL23" s="47"/>
    </row>
    <row r="24" spans="1:40" ht="15.75" x14ac:dyDescent="0.25">
      <c r="B24" s="89" t="s">
        <v>6</v>
      </c>
      <c r="C24" s="89" t="s">
        <v>84</v>
      </c>
      <c r="D24" s="95" t="s">
        <v>33</v>
      </c>
      <c r="E24" s="146">
        <f>E6</f>
        <v>0</v>
      </c>
      <c r="F24" s="146">
        <f t="shared" ref="F24:AH25" si="12">F6</f>
        <v>0</v>
      </c>
      <c r="G24" s="146">
        <f t="shared" si="12"/>
        <v>0</v>
      </c>
      <c r="H24" s="146">
        <f t="shared" si="12"/>
        <v>0</v>
      </c>
      <c r="I24" s="146">
        <f t="shared" si="12"/>
        <v>0</v>
      </c>
      <c r="J24" s="146">
        <f t="shared" si="12"/>
        <v>0</v>
      </c>
      <c r="K24" s="146">
        <f t="shared" si="12"/>
        <v>0</v>
      </c>
      <c r="L24" s="146">
        <f t="shared" si="12"/>
        <v>0</v>
      </c>
      <c r="M24" s="146">
        <f t="shared" si="12"/>
        <v>0</v>
      </c>
      <c r="N24" s="146">
        <f t="shared" si="12"/>
        <v>0</v>
      </c>
      <c r="O24" s="146">
        <f t="shared" si="12"/>
        <v>0</v>
      </c>
      <c r="P24" s="146">
        <f t="shared" si="12"/>
        <v>0</v>
      </c>
      <c r="Q24" s="146">
        <f t="shared" si="12"/>
        <v>0</v>
      </c>
      <c r="R24" s="146">
        <f t="shared" si="12"/>
        <v>0</v>
      </c>
      <c r="S24" s="146">
        <f t="shared" si="12"/>
        <v>0</v>
      </c>
      <c r="T24" s="146">
        <f t="shared" si="12"/>
        <v>0</v>
      </c>
      <c r="U24" s="146">
        <f t="shared" si="12"/>
        <v>0</v>
      </c>
      <c r="V24" s="146">
        <f t="shared" si="12"/>
        <v>0</v>
      </c>
      <c r="W24" s="146">
        <f t="shared" si="12"/>
        <v>0</v>
      </c>
      <c r="X24" s="146">
        <f t="shared" si="12"/>
        <v>0</v>
      </c>
      <c r="Y24" s="146">
        <f t="shared" si="12"/>
        <v>0</v>
      </c>
      <c r="Z24" s="146">
        <f t="shared" si="12"/>
        <v>0</v>
      </c>
      <c r="AA24" s="146">
        <f t="shared" si="12"/>
        <v>0</v>
      </c>
      <c r="AB24" s="146">
        <f t="shared" si="12"/>
        <v>0</v>
      </c>
      <c r="AC24" s="146">
        <f t="shared" si="12"/>
        <v>0</v>
      </c>
      <c r="AD24" s="146">
        <f t="shared" si="12"/>
        <v>0</v>
      </c>
      <c r="AE24" s="146">
        <f t="shared" si="12"/>
        <v>0</v>
      </c>
      <c r="AF24" s="146">
        <f t="shared" si="12"/>
        <v>0</v>
      </c>
      <c r="AG24" s="146">
        <f t="shared" si="12"/>
        <v>0</v>
      </c>
      <c r="AH24" s="146">
        <f t="shared" si="12"/>
        <v>0</v>
      </c>
      <c r="AI24" s="57"/>
      <c r="AJ24" s="47"/>
      <c r="AK24" s="47"/>
      <c r="AL24" s="47"/>
    </row>
    <row r="25" spans="1:40" ht="15.75" x14ac:dyDescent="0.25">
      <c r="B25" s="89"/>
      <c r="C25" s="89"/>
      <c r="D25" s="95" t="s">
        <v>34</v>
      </c>
      <c r="E25" s="146">
        <f>E7</f>
        <v>0</v>
      </c>
      <c r="F25" s="146">
        <f t="shared" si="12"/>
        <v>0</v>
      </c>
      <c r="G25" s="146">
        <f t="shared" si="12"/>
        <v>0</v>
      </c>
      <c r="H25" s="146">
        <f t="shared" si="12"/>
        <v>0</v>
      </c>
      <c r="I25" s="146">
        <f t="shared" si="12"/>
        <v>0</v>
      </c>
      <c r="J25" s="146">
        <f t="shared" si="12"/>
        <v>0</v>
      </c>
      <c r="K25" s="146">
        <f t="shared" si="12"/>
        <v>0</v>
      </c>
      <c r="L25" s="146">
        <f t="shared" si="12"/>
        <v>0</v>
      </c>
      <c r="M25" s="146">
        <f t="shared" si="12"/>
        <v>0</v>
      </c>
      <c r="N25" s="146">
        <f t="shared" si="12"/>
        <v>0</v>
      </c>
      <c r="O25" s="146">
        <f t="shared" si="12"/>
        <v>0</v>
      </c>
      <c r="P25" s="146">
        <f t="shared" si="12"/>
        <v>0</v>
      </c>
      <c r="Q25" s="146">
        <f t="shared" si="12"/>
        <v>0</v>
      </c>
      <c r="R25" s="146">
        <f t="shared" si="12"/>
        <v>0</v>
      </c>
      <c r="S25" s="146">
        <f t="shared" si="12"/>
        <v>0</v>
      </c>
      <c r="T25" s="146">
        <f t="shared" si="12"/>
        <v>0</v>
      </c>
      <c r="U25" s="146">
        <f t="shared" si="12"/>
        <v>0</v>
      </c>
      <c r="V25" s="146">
        <f t="shared" si="12"/>
        <v>0</v>
      </c>
      <c r="W25" s="146">
        <f t="shared" si="12"/>
        <v>0</v>
      </c>
      <c r="X25" s="146">
        <f t="shared" si="12"/>
        <v>0</v>
      </c>
      <c r="Y25" s="146">
        <f t="shared" si="12"/>
        <v>0</v>
      </c>
      <c r="Z25" s="146">
        <f t="shared" si="12"/>
        <v>0</v>
      </c>
      <c r="AA25" s="146">
        <f t="shared" si="12"/>
        <v>0</v>
      </c>
      <c r="AB25" s="146">
        <f t="shared" si="12"/>
        <v>0</v>
      </c>
      <c r="AC25" s="146">
        <f t="shared" si="12"/>
        <v>0</v>
      </c>
      <c r="AD25" s="146">
        <f t="shared" si="12"/>
        <v>0</v>
      </c>
      <c r="AE25" s="146">
        <f t="shared" si="12"/>
        <v>0</v>
      </c>
      <c r="AF25" s="146">
        <f t="shared" si="12"/>
        <v>0</v>
      </c>
      <c r="AG25" s="146">
        <f t="shared" si="12"/>
        <v>0</v>
      </c>
      <c r="AH25" s="146">
        <f t="shared" si="12"/>
        <v>0</v>
      </c>
      <c r="AI25" s="57"/>
      <c r="AJ25" s="47"/>
      <c r="AK25" s="47"/>
      <c r="AL25" s="47"/>
    </row>
    <row r="26" spans="1:40" ht="15.75" x14ac:dyDescent="0.25">
      <c r="B26" s="89"/>
      <c r="C26" s="89"/>
      <c r="D26" s="92">
        <v>45369</v>
      </c>
      <c r="E26" s="94" t="s">
        <v>0</v>
      </c>
      <c r="F26" s="94" t="s">
        <v>0</v>
      </c>
      <c r="G26" s="94" t="s">
        <v>0</v>
      </c>
      <c r="H26" s="94" t="s">
        <v>0</v>
      </c>
      <c r="I26" s="94" t="s">
        <v>0</v>
      </c>
      <c r="J26" s="94" t="s">
        <v>1</v>
      </c>
      <c r="K26" s="94" t="s">
        <v>2</v>
      </c>
      <c r="L26" s="94" t="s">
        <v>4</v>
      </c>
      <c r="M26" s="94" t="s">
        <v>0</v>
      </c>
      <c r="N26" s="94" t="s">
        <v>0</v>
      </c>
      <c r="O26" s="94" t="s">
        <v>0</v>
      </c>
      <c r="P26" s="94" t="s">
        <v>0</v>
      </c>
      <c r="Q26" s="94" t="s">
        <v>0</v>
      </c>
      <c r="R26" s="94" t="s">
        <v>0</v>
      </c>
      <c r="S26" s="94" t="s">
        <v>3</v>
      </c>
      <c r="T26" s="94" t="s">
        <v>4</v>
      </c>
      <c r="U26" s="94" t="s">
        <v>0</v>
      </c>
      <c r="V26" s="94" t="s">
        <v>0</v>
      </c>
      <c r="W26" s="94" t="s">
        <v>0</v>
      </c>
      <c r="X26" s="94" t="s">
        <v>0</v>
      </c>
      <c r="Y26" s="94" t="s">
        <v>0</v>
      </c>
      <c r="Z26" s="94" t="s">
        <v>0</v>
      </c>
      <c r="AA26" s="94" t="s">
        <v>0</v>
      </c>
      <c r="AB26" s="94" t="s">
        <v>0</v>
      </c>
      <c r="AC26" s="94" t="s">
        <v>0</v>
      </c>
      <c r="AD26" s="94" t="s">
        <v>0</v>
      </c>
      <c r="AE26" s="94" t="s">
        <v>0</v>
      </c>
      <c r="AF26" s="94" t="s">
        <v>0</v>
      </c>
      <c r="AG26" s="94" t="s">
        <v>4</v>
      </c>
      <c r="AH26" s="94"/>
      <c r="AI26" s="57"/>
      <c r="AJ26" s="47"/>
      <c r="AK26" s="47"/>
      <c r="AL26" s="47"/>
    </row>
    <row r="27" spans="1:40" ht="15.75" x14ac:dyDescent="0.25">
      <c r="B27" s="89"/>
      <c r="C27" s="89"/>
      <c r="D27" s="95" t="s">
        <v>33</v>
      </c>
      <c r="E27" s="146">
        <v>1016</v>
      </c>
      <c r="F27" s="146">
        <v>1008</v>
      </c>
      <c r="G27" s="146">
        <v>960</v>
      </c>
      <c r="H27" s="146">
        <v>1160</v>
      </c>
      <c r="I27" s="146">
        <v>440</v>
      </c>
      <c r="J27" s="146">
        <v>836</v>
      </c>
      <c r="K27" s="146">
        <v>764</v>
      </c>
      <c r="L27" s="146">
        <v>752</v>
      </c>
      <c r="M27" s="146">
        <v>0</v>
      </c>
      <c r="N27" s="146">
        <v>440</v>
      </c>
      <c r="O27" s="146">
        <v>620</v>
      </c>
      <c r="P27" s="146">
        <v>748</v>
      </c>
      <c r="Q27" s="146">
        <v>852</v>
      </c>
      <c r="R27" s="146">
        <v>848</v>
      </c>
      <c r="S27" s="146">
        <v>852</v>
      </c>
      <c r="T27" s="146">
        <v>428</v>
      </c>
      <c r="U27" s="146">
        <v>0</v>
      </c>
      <c r="V27" s="146">
        <v>0</v>
      </c>
      <c r="W27" s="146">
        <v>0</v>
      </c>
      <c r="X27" s="146">
        <v>0</v>
      </c>
      <c r="Y27" s="146">
        <v>0</v>
      </c>
      <c r="Z27" s="146">
        <v>0</v>
      </c>
      <c r="AA27" s="146">
        <v>0</v>
      </c>
      <c r="AB27" s="146">
        <v>0</v>
      </c>
      <c r="AC27" s="146">
        <v>0</v>
      </c>
      <c r="AD27" s="146">
        <v>0</v>
      </c>
      <c r="AE27" s="146">
        <v>0</v>
      </c>
      <c r="AF27" s="146">
        <v>0</v>
      </c>
      <c r="AG27" s="146">
        <v>0</v>
      </c>
      <c r="AH27" s="146"/>
      <c r="AI27" s="57"/>
      <c r="AJ27" s="47"/>
      <c r="AK27" s="47"/>
      <c r="AL27" s="47"/>
    </row>
    <row r="28" spans="1:40" ht="15.75" x14ac:dyDescent="0.25">
      <c r="B28" s="89"/>
      <c r="C28" s="89"/>
      <c r="D28" s="95" t="s">
        <v>34</v>
      </c>
      <c r="E28" s="146">
        <v>30762</v>
      </c>
      <c r="F28" s="146">
        <v>31770</v>
      </c>
      <c r="G28" s="146">
        <v>32730</v>
      </c>
      <c r="H28" s="146">
        <v>33890</v>
      </c>
      <c r="I28" s="146">
        <v>34330</v>
      </c>
      <c r="J28" s="146">
        <v>35166</v>
      </c>
      <c r="K28" s="146">
        <v>35930</v>
      </c>
      <c r="L28" s="146">
        <v>36682</v>
      </c>
      <c r="M28" s="146">
        <v>36682</v>
      </c>
      <c r="N28" s="146">
        <v>37122</v>
      </c>
      <c r="O28" s="146">
        <v>37742</v>
      </c>
      <c r="P28" s="146">
        <v>38490</v>
      </c>
      <c r="Q28" s="146">
        <v>39342</v>
      </c>
      <c r="R28" s="146">
        <v>40190</v>
      </c>
      <c r="S28" s="146">
        <v>41042</v>
      </c>
      <c r="T28" s="146">
        <v>41470</v>
      </c>
      <c r="U28" s="146">
        <v>41470</v>
      </c>
      <c r="V28" s="146">
        <v>41470</v>
      </c>
      <c r="W28" s="146">
        <v>41470</v>
      </c>
      <c r="X28" s="146">
        <v>41470</v>
      </c>
      <c r="Y28" s="146">
        <v>41470</v>
      </c>
      <c r="Z28" s="146">
        <v>41470</v>
      </c>
      <c r="AA28" s="146">
        <v>41470</v>
      </c>
      <c r="AB28" s="146">
        <v>41470</v>
      </c>
      <c r="AC28" s="146">
        <v>41470</v>
      </c>
      <c r="AD28" s="146">
        <v>41470</v>
      </c>
      <c r="AE28" s="146">
        <v>41470</v>
      </c>
      <c r="AF28" s="146">
        <v>41470</v>
      </c>
      <c r="AG28" s="146">
        <v>41470</v>
      </c>
      <c r="AH28" s="146"/>
      <c r="AI28" s="57"/>
      <c r="AJ28" s="47"/>
      <c r="AK28" s="47"/>
      <c r="AL28" s="47"/>
    </row>
    <row r="29" spans="1:40" ht="15.75" x14ac:dyDescent="0.25">
      <c r="B29" s="89"/>
      <c r="C29" s="89"/>
      <c r="D29" s="92">
        <v>45362</v>
      </c>
      <c r="E29" s="94" t="s">
        <v>0</v>
      </c>
      <c r="F29" s="94" t="s">
        <v>0</v>
      </c>
      <c r="G29" s="94" t="s">
        <v>0</v>
      </c>
      <c r="H29" s="94" t="s">
        <v>0</v>
      </c>
      <c r="I29" s="94" t="s">
        <v>1</v>
      </c>
      <c r="J29" s="94" t="s">
        <v>2</v>
      </c>
      <c r="K29" s="94" t="s">
        <v>4</v>
      </c>
      <c r="L29" s="94" t="s">
        <v>0</v>
      </c>
      <c r="M29" s="94" t="s">
        <v>0</v>
      </c>
      <c r="N29" s="94" t="s">
        <v>0</v>
      </c>
      <c r="O29" s="94" t="s">
        <v>0</v>
      </c>
      <c r="P29" s="94" t="s">
        <v>0</v>
      </c>
      <c r="Q29" s="94" t="s">
        <v>0</v>
      </c>
      <c r="R29" s="94" t="s">
        <v>3</v>
      </c>
      <c r="S29" s="94" t="s">
        <v>4</v>
      </c>
      <c r="T29" s="94" t="s">
        <v>0</v>
      </c>
      <c r="U29" s="94" t="s">
        <v>0</v>
      </c>
      <c r="V29" s="94" t="s">
        <v>0</v>
      </c>
      <c r="W29" s="94" t="s">
        <v>0</v>
      </c>
      <c r="X29" s="94" t="s">
        <v>0</v>
      </c>
      <c r="Y29" s="94" t="s">
        <v>0</v>
      </c>
      <c r="Z29" s="94" t="s">
        <v>0</v>
      </c>
      <c r="AA29" s="94" t="s">
        <v>0</v>
      </c>
      <c r="AB29" s="94" t="s">
        <v>0</v>
      </c>
      <c r="AC29" s="94" t="s">
        <v>0</v>
      </c>
      <c r="AD29" s="94" t="s">
        <v>0</v>
      </c>
      <c r="AE29" s="94" t="s">
        <v>0</v>
      </c>
      <c r="AF29" s="94" t="s">
        <v>4</v>
      </c>
      <c r="AG29" s="94"/>
      <c r="AH29" s="94"/>
      <c r="AI29" s="57"/>
      <c r="AJ29" s="47"/>
      <c r="AK29" s="47"/>
      <c r="AL29" s="47"/>
    </row>
    <row r="30" spans="1:40" ht="15.75" x14ac:dyDescent="0.25">
      <c r="B30" s="89"/>
      <c r="C30" s="89"/>
      <c r="D30" s="95" t="s">
        <v>33</v>
      </c>
      <c r="E30" s="146">
        <v>1016</v>
      </c>
      <c r="F30" s="146">
        <v>1008</v>
      </c>
      <c r="G30" s="146">
        <v>960</v>
      </c>
      <c r="H30" s="146">
        <v>1160</v>
      </c>
      <c r="I30" s="146">
        <v>440</v>
      </c>
      <c r="J30" s="146">
        <v>836</v>
      </c>
      <c r="K30" s="146">
        <v>764</v>
      </c>
      <c r="L30" s="146">
        <v>752</v>
      </c>
      <c r="M30" s="146">
        <v>0</v>
      </c>
      <c r="N30" s="146">
        <v>504</v>
      </c>
      <c r="O30" s="146">
        <v>628</v>
      </c>
      <c r="P30" s="146">
        <v>0</v>
      </c>
      <c r="Q30" s="146">
        <v>0</v>
      </c>
      <c r="R30" s="146">
        <v>0</v>
      </c>
      <c r="S30" s="146">
        <v>0</v>
      </c>
      <c r="T30" s="146">
        <v>0</v>
      </c>
      <c r="U30" s="146">
        <v>0</v>
      </c>
      <c r="V30" s="146">
        <v>0</v>
      </c>
      <c r="W30" s="146">
        <v>0</v>
      </c>
      <c r="X30" s="146">
        <v>0</v>
      </c>
      <c r="Y30" s="146">
        <v>0</v>
      </c>
      <c r="Z30" s="146">
        <v>0</v>
      </c>
      <c r="AA30" s="146">
        <v>0</v>
      </c>
      <c r="AB30" s="146">
        <v>0</v>
      </c>
      <c r="AC30" s="146">
        <v>0</v>
      </c>
      <c r="AD30" s="146">
        <v>0</v>
      </c>
      <c r="AE30" s="146">
        <v>0</v>
      </c>
      <c r="AF30" s="146">
        <v>0</v>
      </c>
      <c r="AG30" s="146"/>
      <c r="AH30" s="146"/>
      <c r="AI30" s="57"/>
      <c r="AJ30" s="47"/>
      <c r="AK30" s="47"/>
      <c r="AL30" s="47"/>
    </row>
    <row r="31" spans="1:40" ht="15.75" x14ac:dyDescent="0.25">
      <c r="B31" s="89"/>
      <c r="C31" s="89"/>
      <c r="D31" s="95" t="s">
        <v>34</v>
      </c>
      <c r="E31" s="146">
        <v>30762</v>
      </c>
      <c r="F31" s="146">
        <v>31770</v>
      </c>
      <c r="G31" s="146">
        <v>32730</v>
      </c>
      <c r="H31" s="146">
        <v>33890</v>
      </c>
      <c r="I31" s="146">
        <v>34330</v>
      </c>
      <c r="J31" s="146">
        <v>35166</v>
      </c>
      <c r="K31" s="146">
        <v>35930</v>
      </c>
      <c r="L31" s="146">
        <v>36682</v>
      </c>
      <c r="M31" s="146">
        <v>36682</v>
      </c>
      <c r="N31" s="146">
        <v>37186</v>
      </c>
      <c r="O31" s="146">
        <v>37814</v>
      </c>
      <c r="P31" s="146">
        <v>37814</v>
      </c>
      <c r="Q31" s="146">
        <v>37814</v>
      </c>
      <c r="R31" s="146">
        <v>37814</v>
      </c>
      <c r="S31" s="146">
        <v>37814</v>
      </c>
      <c r="T31" s="146">
        <v>37814</v>
      </c>
      <c r="U31" s="146">
        <v>37814</v>
      </c>
      <c r="V31" s="146">
        <v>37814</v>
      </c>
      <c r="W31" s="146">
        <v>37814</v>
      </c>
      <c r="X31" s="146">
        <v>37814</v>
      </c>
      <c r="Y31" s="146">
        <v>37814</v>
      </c>
      <c r="Z31" s="146">
        <v>37814</v>
      </c>
      <c r="AA31" s="146">
        <v>37814</v>
      </c>
      <c r="AB31" s="146">
        <v>37814</v>
      </c>
      <c r="AC31" s="146">
        <v>37814</v>
      </c>
      <c r="AD31" s="146">
        <v>37814</v>
      </c>
      <c r="AE31" s="146">
        <v>37814</v>
      </c>
      <c r="AF31" s="146">
        <v>37814</v>
      </c>
      <c r="AG31" s="146"/>
      <c r="AH31" s="146"/>
      <c r="AI31" s="57"/>
      <c r="AJ31" s="47"/>
      <c r="AK31" s="47"/>
      <c r="AL31" s="47"/>
    </row>
    <row r="32" spans="1:40" ht="15.75" x14ac:dyDescent="0.25">
      <c r="B32" s="89"/>
      <c r="C32" s="89"/>
      <c r="D32" s="92">
        <v>45355</v>
      </c>
      <c r="E32" s="94" t="s">
        <v>0</v>
      </c>
      <c r="F32" s="94" t="s">
        <v>0</v>
      </c>
      <c r="G32" s="94" t="s">
        <v>0</v>
      </c>
      <c r="H32" s="94" t="s">
        <v>1</v>
      </c>
      <c r="I32" s="94" t="s">
        <v>2</v>
      </c>
      <c r="J32" s="94" t="s">
        <v>4</v>
      </c>
      <c r="K32" s="94" t="s">
        <v>0</v>
      </c>
      <c r="L32" s="94" t="s">
        <v>0</v>
      </c>
      <c r="M32" s="94" t="s">
        <v>0</v>
      </c>
      <c r="N32" s="94" t="s">
        <v>0</v>
      </c>
      <c r="O32" s="94" t="s">
        <v>0</v>
      </c>
      <c r="P32" s="94" t="s">
        <v>0</v>
      </c>
      <c r="Q32" s="94" t="s">
        <v>3</v>
      </c>
      <c r="R32" s="94" t="s">
        <v>4</v>
      </c>
      <c r="S32" s="94" t="s">
        <v>0</v>
      </c>
      <c r="T32" s="94" t="s">
        <v>0</v>
      </c>
      <c r="U32" s="94" t="s">
        <v>0</v>
      </c>
      <c r="V32" s="94" t="s">
        <v>0</v>
      </c>
      <c r="W32" s="94" t="s">
        <v>0</v>
      </c>
      <c r="X32" s="94" t="s">
        <v>0</v>
      </c>
      <c r="Y32" s="94" t="s">
        <v>0</v>
      </c>
      <c r="Z32" s="94" t="s">
        <v>0</v>
      </c>
      <c r="AA32" s="94" t="s">
        <v>0</v>
      </c>
      <c r="AB32" s="94" t="s">
        <v>0</v>
      </c>
      <c r="AC32" s="94" t="s">
        <v>0</v>
      </c>
      <c r="AD32" s="94" t="s">
        <v>0</v>
      </c>
      <c r="AE32" s="94" t="s">
        <v>4</v>
      </c>
      <c r="AF32" s="94"/>
      <c r="AG32" s="94"/>
      <c r="AH32" s="94"/>
      <c r="AI32" s="57"/>
      <c r="AJ32" s="47"/>
      <c r="AK32" s="47"/>
      <c r="AL32" s="47"/>
    </row>
    <row r="33" spans="2:38" ht="15.75" x14ac:dyDescent="0.25">
      <c r="B33" s="89"/>
      <c r="C33" s="89"/>
      <c r="D33" s="95" t="s">
        <v>33</v>
      </c>
      <c r="E33" s="146">
        <v>1016</v>
      </c>
      <c r="F33" s="146">
        <v>1008</v>
      </c>
      <c r="G33" s="146">
        <v>960</v>
      </c>
      <c r="H33" s="146">
        <v>1160</v>
      </c>
      <c r="I33" s="146">
        <v>440</v>
      </c>
      <c r="J33" s="146">
        <v>836</v>
      </c>
      <c r="K33" s="146">
        <v>764</v>
      </c>
      <c r="L33" s="146">
        <v>632</v>
      </c>
      <c r="M33" s="146">
        <v>0</v>
      </c>
      <c r="N33" s="146">
        <v>624</v>
      </c>
      <c r="O33" s="146">
        <v>628</v>
      </c>
      <c r="P33" s="146">
        <v>0</v>
      </c>
      <c r="Q33" s="146">
        <v>0</v>
      </c>
      <c r="R33" s="146">
        <v>0</v>
      </c>
      <c r="S33" s="146">
        <v>0</v>
      </c>
      <c r="T33" s="146">
        <v>0</v>
      </c>
      <c r="U33" s="146">
        <v>0</v>
      </c>
      <c r="V33" s="146">
        <v>0</v>
      </c>
      <c r="W33" s="146">
        <v>0</v>
      </c>
      <c r="X33" s="146">
        <v>0</v>
      </c>
      <c r="Y33" s="146">
        <v>0</v>
      </c>
      <c r="Z33" s="146">
        <v>0</v>
      </c>
      <c r="AA33" s="146">
        <v>0</v>
      </c>
      <c r="AB33" s="146">
        <v>0</v>
      </c>
      <c r="AC33" s="146">
        <v>0</v>
      </c>
      <c r="AD33" s="146">
        <v>0</v>
      </c>
      <c r="AE33" s="146">
        <v>0</v>
      </c>
      <c r="AF33" s="146"/>
      <c r="AG33" s="146"/>
      <c r="AH33" s="146"/>
      <c r="AI33" s="57"/>
      <c r="AJ33" s="47"/>
      <c r="AK33" s="47"/>
      <c r="AL33" s="47"/>
    </row>
    <row r="34" spans="2:38" ht="15.75" x14ac:dyDescent="0.25">
      <c r="B34" s="89"/>
      <c r="C34" s="89"/>
      <c r="D34" s="95" t="s">
        <v>34</v>
      </c>
      <c r="E34" s="146">
        <v>30762</v>
      </c>
      <c r="F34" s="146">
        <v>31770</v>
      </c>
      <c r="G34" s="146">
        <v>32730</v>
      </c>
      <c r="H34" s="146">
        <v>33890</v>
      </c>
      <c r="I34" s="146">
        <v>34330</v>
      </c>
      <c r="J34" s="146">
        <v>35166</v>
      </c>
      <c r="K34" s="146">
        <v>35930</v>
      </c>
      <c r="L34" s="146">
        <v>36562</v>
      </c>
      <c r="M34" s="146">
        <v>36562</v>
      </c>
      <c r="N34" s="146">
        <v>37186</v>
      </c>
      <c r="O34" s="146">
        <v>37814</v>
      </c>
      <c r="P34" s="146">
        <v>37814</v>
      </c>
      <c r="Q34" s="146">
        <v>37814</v>
      </c>
      <c r="R34" s="146">
        <v>37814</v>
      </c>
      <c r="S34" s="146">
        <v>37814</v>
      </c>
      <c r="T34" s="146">
        <v>37814</v>
      </c>
      <c r="U34" s="146">
        <v>37814</v>
      </c>
      <c r="V34" s="146">
        <v>37814</v>
      </c>
      <c r="W34" s="146">
        <v>37814</v>
      </c>
      <c r="X34" s="146">
        <v>37814</v>
      </c>
      <c r="Y34" s="146">
        <v>37814</v>
      </c>
      <c r="Z34" s="146">
        <v>37814</v>
      </c>
      <c r="AA34" s="146">
        <v>37814</v>
      </c>
      <c r="AB34" s="146">
        <v>37814</v>
      </c>
      <c r="AC34" s="146">
        <v>37814</v>
      </c>
      <c r="AD34" s="146">
        <v>37814</v>
      </c>
      <c r="AE34" s="146">
        <v>37814</v>
      </c>
      <c r="AF34" s="146"/>
      <c r="AG34" s="146"/>
      <c r="AH34" s="146"/>
      <c r="AI34" s="57"/>
      <c r="AJ34" s="47"/>
      <c r="AK34" s="47"/>
      <c r="AL34" s="47"/>
    </row>
    <row r="35" spans="2:38" ht="15.75" x14ac:dyDescent="0.25">
      <c r="B35" s="89"/>
      <c r="C35" s="89"/>
      <c r="D35" s="92">
        <v>45348</v>
      </c>
      <c r="E35" s="94" t="s">
        <v>0</v>
      </c>
      <c r="F35" s="94" t="s">
        <v>0</v>
      </c>
      <c r="G35" s="94" t="s">
        <v>1</v>
      </c>
      <c r="H35" s="94" t="s">
        <v>2</v>
      </c>
      <c r="I35" s="94" t="s">
        <v>4</v>
      </c>
      <c r="J35" s="94" t="s">
        <v>0</v>
      </c>
      <c r="K35" s="94" t="s">
        <v>0</v>
      </c>
      <c r="L35" s="94" t="s">
        <v>0</v>
      </c>
      <c r="M35" s="94" t="s">
        <v>0</v>
      </c>
      <c r="N35" s="94" t="s">
        <v>0</v>
      </c>
      <c r="O35" s="94" t="s">
        <v>0</v>
      </c>
      <c r="P35" s="94" t="s">
        <v>3</v>
      </c>
      <c r="Q35" s="94" t="s">
        <v>4</v>
      </c>
      <c r="R35" s="94" t="s">
        <v>0</v>
      </c>
      <c r="S35" s="94" t="s">
        <v>0</v>
      </c>
      <c r="T35" s="94" t="s">
        <v>0</v>
      </c>
      <c r="U35" s="94" t="s">
        <v>0</v>
      </c>
      <c r="V35" s="94" t="s">
        <v>0</v>
      </c>
      <c r="W35" s="94" t="s">
        <v>0</v>
      </c>
      <c r="X35" s="94" t="s">
        <v>0</v>
      </c>
      <c r="Y35" s="94" t="s">
        <v>0</v>
      </c>
      <c r="Z35" s="94" t="s">
        <v>0</v>
      </c>
      <c r="AA35" s="94" t="s">
        <v>0</v>
      </c>
      <c r="AB35" s="94" t="s">
        <v>0</v>
      </c>
      <c r="AC35" s="94" t="s">
        <v>0</v>
      </c>
      <c r="AD35" s="94" t="s">
        <v>4</v>
      </c>
      <c r="AE35" s="94"/>
      <c r="AF35" s="94"/>
      <c r="AG35" s="94"/>
      <c r="AH35" s="94"/>
      <c r="AI35" s="57"/>
      <c r="AJ35" s="47"/>
      <c r="AK35" s="47"/>
      <c r="AL35" s="47"/>
    </row>
    <row r="36" spans="2:38" ht="15.75" x14ac:dyDescent="0.25">
      <c r="B36" s="89"/>
      <c r="C36" s="89"/>
      <c r="D36" s="95" t="s">
        <v>33</v>
      </c>
      <c r="E36" s="146">
        <v>1016</v>
      </c>
      <c r="F36" s="146">
        <v>1008</v>
      </c>
      <c r="G36" s="146">
        <v>960</v>
      </c>
      <c r="H36" s="146">
        <v>1160</v>
      </c>
      <c r="I36" s="146">
        <v>440</v>
      </c>
      <c r="J36" s="146">
        <v>768</v>
      </c>
      <c r="K36" s="146">
        <v>760</v>
      </c>
      <c r="L36" s="146">
        <v>632</v>
      </c>
      <c r="M36" s="146">
        <v>0</v>
      </c>
      <c r="N36" s="146">
        <v>632</v>
      </c>
      <c r="O36" s="146">
        <v>628</v>
      </c>
      <c r="P36" s="146">
        <v>0</v>
      </c>
      <c r="Q36" s="146">
        <v>0</v>
      </c>
      <c r="R36" s="146">
        <v>0</v>
      </c>
      <c r="S36" s="146">
        <v>0</v>
      </c>
      <c r="T36" s="146">
        <v>0</v>
      </c>
      <c r="U36" s="146">
        <v>0</v>
      </c>
      <c r="V36" s="146">
        <v>0</v>
      </c>
      <c r="W36" s="146">
        <v>0</v>
      </c>
      <c r="X36" s="146">
        <v>0</v>
      </c>
      <c r="Y36" s="146">
        <v>0</v>
      </c>
      <c r="Z36" s="146">
        <v>0</v>
      </c>
      <c r="AA36" s="146">
        <v>0</v>
      </c>
      <c r="AB36" s="146">
        <v>0</v>
      </c>
      <c r="AC36" s="146">
        <v>0</v>
      </c>
      <c r="AD36" s="146">
        <v>0</v>
      </c>
      <c r="AE36" s="146"/>
      <c r="AF36" s="146"/>
      <c r="AG36" s="146"/>
      <c r="AH36" s="146"/>
      <c r="AI36" s="57"/>
      <c r="AJ36" s="47"/>
      <c r="AK36" s="47"/>
      <c r="AL36" s="47"/>
    </row>
    <row r="37" spans="2:38" ht="15.75" x14ac:dyDescent="0.25">
      <c r="B37" s="89"/>
      <c r="C37" s="89"/>
      <c r="D37" s="95" t="s">
        <v>34</v>
      </c>
      <c r="E37" s="146">
        <v>30762</v>
      </c>
      <c r="F37" s="146">
        <v>31770</v>
      </c>
      <c r="G37" s="146">
        <v>32730</v>
      </c>
      <c r="H37" s="146">
        <v>33890</v>
      </c>
      <c r="I37" s="146">
        <v>34330</v>
      </c>
      <c r="J37" s="146">
        <v>35098</v>
      </c>
      <c r="K37" s="146">
        <v>35858</v>
      </c>
      <c r="L37" s="146">
        <v>36490</v>
      </c>
      <c r="M37" s="146">
        <v>36490</v>
      </c>
      <c r="N37" s="146">
        <v>37122</v>
      </c>
      <c r="O37" s="146">
        <v>37750</v>
      </c>
      <c r="P37" s="146">
        <v>37750</v>
      </c>
      <c r="Q37" s="146">
        <v>37750</v>
      </c>
      <c r="R37" s="146">
        <v>37750</v>
      </c>
      <c r="S37" s="146">
        <v>37750</v>
      </c>
      <c r="T37" s="146">
        <v>37750</v>
      </c>
      <c r="U37" s="146">
        <v>37750</v>
      </c>
      <c r="V37" s="146">
        <v>37750</v>
      </c>
      <c r="W37" s="146">
        <v>37750</v>
      </c>
      <c r="X37" s="146">
        <v>37750</v>
      </c>
      <c r="Y37" s="146">
        <v>37750</v>
      </c>
      <c r="Z37" s="146">
        <v>37750</v>
      </c>
      <c r="AA37" s="146">
        <v>37750</v>
      </c>
      <c r="AB37" s="146">
        <v>37750</v>
      </c>
      <c r="AC37" s="146">
        <v>37750</v>
      </c>
      <c r="AD37" s="146">
        <v>37750</v>
      </c>
      <c r="AE37" s="146"/>
      <c r="AF37" s="146"/>
      <c r="AG37" s="146"/>
      <c r="AH37" s="146"/>
      <c r="AI37" s="57"/>
      <c r="AJ37" s="47"/>
      <c r="AK37" s="47"/>
      <c r="AL37" s="47"/>
    </row>
    <row r="38" spans="2:38" ht="15.75" x14ac:dyDescent="0.25">
      <c r="B38" s="89"/>
      <c r="C38" s="89"/>
      <c r="D38" s="92">
        <v>45341</v>
      </c>
      <c r="E38" s="94" t="s">
        <v>0</v>
      </c>
      <c r="F38" s="94" t="s">
        <v>1</v>
      </c>
      <c r="G38" s="94" t="s">
        <v>2</v>
      </c>
      <c r="H38" s="94" t="s">
        <v>4</v>
      </c>
      <c r="I38" s="94" t="s">
        <v>0</v>
      </c>
      <c r="J38" s="94" t="s">
        <v>0</v>
      </c>
      <c r="K38" s="94" t="s">
        <v>0</v>
      </c>
      <c r="L38" s="94" t="s">
        <v>0</v>
      </c>
      <c r="M38" s="94" t="s">
        <v>0</v>
      </c>
      <c r="N38" s="94" t="s">
        <v>0</v>
      </c>
      <c r="O38" s="94" t="s">
        <v>3</v>
      </c>
      <c r="P38" s="94" t="s">
        <v>4</v>
      </c>
      <c r="Q38" s="94" t="s">
        <v>0</v>
      </c>
      <c r="R38" s="94" t="s">
        <v>0</v>
      </c>
      <c r="S38" s="94" t="s">
        <v>0</v>
      </c>
      <c r="T38" s="94" t="s">
        <v>0</v>
      </c>
      <c r="U38" s="94" t="s">
        <v>0</v>
      </c>
      <c r="V38" s="94" t="s">
        <v>0</v>
      </c>
      <c r="W38" s="94" t="s">
        <v>0</v>
      </c>
      <c r="X38" s="94" t="s">
        <v>0</v>
      </c>
      <c r="Y38" s="94" t="s">
        <v>0</v>
      </c>
      <c r="Z38" s="94" t="s">
        <v>0</v>
      </c>
      <c r="AA38" s="94" t="s">
        <v>0</v>
      </c>
      <c r="AB38" s="94" t="s">
        <v>0</v>
      </c>
      <c r="AC38" s="94" t="s">
        <v>4</v>
      </c>
      <c r="AD38" s="94"/>
      <c r="AE38" s="94"/>
      <c r="AF38" s="94"/>
      <c r="AG38" s="94"/>
      <c r="AH38" s="94"/>
      <c r="AI38" s="57"/>
      <c r="AJ38" s="47"/>
      <c r="AK38" s="47"/>
      <c r="AL38" s="47"/>
    </row>
    <row r="39" spans="2:38" ht="15.75" x14ac:dyDescent="0.25">
      <c r="B39" s="89"/>
      <c r="C39" s="89"/>
      <c r="D39" s="95" t="s">
        <v>33</v>
      </c>
      <c r="E39" s="146">
        <v>1016</v>
      </c>
      <c r="F39" s="146">
        <v>1008</v>
      </c>
      <c r="G39" s="146">
        <v>960</v>
      </c>
      <c r="H39" s="146">
        <v>1160</v>
      </c>
      <c r="I39" s="146">
        <v>768</v>
      </c>
      <c r="J39" s="146">
        <v>764</v>
      </c>
      <c r="K39" s="146">
        <v>768</v>
      </c>
      <c r="L39" s="146">
        <v>656</v>
      </c>
      <c r="M39" s="146">
        <v>0</v>
      </c>
      <c r="N39" s="146">
        <v>608</v>
      </c>
      <c r="O39" s="146">
        <v>632</v>
      </c>
      <c r="P39" s="146">
        <v>0</v>
      </c>
      <c r="Q39" s="146">
        <v>0</v>
      </c>
      <c r="R39" s="146">
        <v>0</v>
      </c>
      <c r="S39" s="146">
        <v>0</v>
      </c>
      <c r="T39" s="146">
        <v>0</v>
      </c>
      <c r="U39" s="146">
        <v>0</v>
      </c>
      <c r="V39" s="146">
        <v>0</v>
      </c>
      <c r="W39" s="146">
        <v>0</v>
      </c>
      <c r="X39" s="146">
        <v>0</v>
      </c>
      <c r="Y39" s="146">
        <v>0</v>
      </c>
      <c r="Z39" s="146">
        <v>0</v>
      </c>
      <c r="AA39" s="146">
        <v>0</v>
      </c>
      <c r="AB39" s="146">
        <v>0</v>
      </c>
      <c r="AC39" s="146">
        <v>0</v>
      </c>
      <c r="AD39" s="146"/>
      <c r="AE39" s="146"/>
      <c r="AF39" s="146"/>
      <c r="AG39" s="146"/>
      <c r="AH39" s="146"/>
      <c r="AI39" s="57"/>
      <c r="AJ39" s="47"/>
      <c r="AK39" s="47"/>
      <c r="AL39" s="47"/>
    </row>
    <row r="40" spans="2:38" ht="15.75" x14ac:dyDescent="0.25">
      <c r="B40" s="89"/>
      <c r="C40" s="89"/>
      <c r="D40" s="95" t="s">
        <v>34</v>
      </c>
      <c r="E40" s="146">
        <v>30762</v>
      </c>
      <c r="F40" s="146">
        <v>31770</v>
      </c>
      <c r="G40" s="146">
        <v>32730</v>
      </c>
      <c r="H40" s="146">
        <v>33890</v>
      </c>
      <c r="I40" s="146">
        <v>34658</v>
      </c>
      <c r="J40" s="146">
        <v>35422</v>
      </c>
      <c r="K40" s="146">
        <v>36190</v>
      </c>
      <c r="L40" s="146">
        <v>36846</v>
      </c>
      <c r="M40" s="146">
        <v>36846</v>
      </c>
      <c r="N40" s="146">
        <v>37454</v>
      </c>
      <c r="O40" s="146">
        <v>38086</v>
      </c>
      <c r="P40" s="146">
        <v>38086</v>
      </c>
      <c r="Q40" s="146">
        <v>38086</v>
      </c>
      <c r="R40" s="146">
        <v>38086</v>
      </c>
      <c r="S40" s="146">
        <v>38086</v>
      </c>
      <c r="T40" s="146">
        <v>38086</v>
      </c>
      <c r="U40" s="146">
        <v>38086</v>
      </c>
      <c r="V40" s="146">
        <v>38086</v>
      </c>
      <c r="W40" s="146">
        <v>38086</v>
      </c>
      <c r="X40" s="146">
        <v>38086</v>
      </c>
      <c r="Y40" s="146">
        <v>38086</v>
      </c>
      <c r="Z40" s="146">
        <v>38086</v>
      </c>
      <c r="AA40" s="146">
        <v>38086</v>
      </c>
      <c r="AB40" s="146">
        <v>38086</v>
      </c>
      <c r="AC40" s="146">
        <v>38086</v>
      </c>
      <c r="AD40" s="146"/>
      <c r="AE40" s="146"/>
      <c r="AF40" s="146"/>
      <c r="AG40" s="146"/>
      <c r="AH40" s="146"/>
      <c r="AI40" s="57"/>
      <c r="AJ40" s="47"/>
      <c r="AK40" s="47"/>
      <c r="AL40" s="47"/>
    </row>
    <row r="41" spans="2:38" ht="15.75" x14ac:dyDescent="0.25">
      <c r="B41" s="89"/>
      <c r="C41" s="89"/>
      <c r="D41" s="92">
        <v>45334</v>
      </c>
      <c r="E41" s="94" t="s">
        <v>1</v>
      </c>
      <c r="F41" s="94" t="s">
        <v>2</v>
      </c>
      <c r="G41" s="94" t="s">
        <v>4</v>
      </c>
      <c r="H41" s="94" t="s">
        <v>0</v>
      </c>
      <c r="I41" s="94" t="s">
        <v>0</v>
      </c>
      <c r="J41" s="94" t="s">
        <v>0</v>
      </c>
      <c r="K41" s="94" t="s">
        <v>0</v>
      </c>
      <c r="L41" s="94" t="s">
        <v>0</v>
      </c>
      <c r="M41" s="94" t="s">
        <v>0</v>
      </c>
      <c r="N41" s="94" t="s">
        <v>3</v>
      </c>
      <c r="O41" s="94" t="s">
        <v>4</v>
      </c>
      <c r="P41" s="94" t="s">
        <v>0</v>
      </c>
      <c r="Q41" s="94" t="s">
        <v>0</v>
      </c>
      <c r="R41" s="94" t="s">
        <v>0</v>
      </c>
      <c r="S41" s="94" t="s">
        <v>0</v>
      </c>
      <c r="T41" s="94" t="s">
        <v>0</v>
      </c>
      <c r="U41" s="94" t="s">
        <v>0</v>
      </c>
      <c r="V41" s="94" t="s">
        <v>0</v>
      </c>
      <c r="W41" s="94" t="s">
        <v>0</v>
      </c>
      <c r="X41" s="94" t="s">
        <v>0</v>
      </c>
      <c r="Y41" s="94" t="s">
        <v>0</v>
      </c>
      <c r="Z41" s="94" t="s">
        <v>0</v>
      </c>
      <c r="AA41" s="94" t="s">
        <v>0</v>
      </c>
      <c r="AB41" s="94" t="s">
        <v>4</v>
      </c>
      <c r="AC41" s="94"/>
      <c r="AD41" s="94"/>
      <c r="AE41" s="94"/>
      <c r="AF41" s="94"/>
      <c r="AG41" s="94"/>
      <c r="AH41" s="94"/>
      <c r="AI41" s="57"/>
      <c r="AJ41" s="47"/>
      <c r="AK41" s="47"/>
      <c r="AL41" s="47"/>
    </row>
    <row r="42" spans="2:38" ht="15.75" x14ac:dyDescent="0.25">
      <c r="B42" s="89"/>
      <c r="C42" s="89"/>
      <c r="D42" s="95" t="s">
        <v>33</v>
      </c>
      <c r="E42" s="146">
        <v>1016</v>
      </c>
      <c r="F42" s="146">
        <v>1008</v>
      </c>
      <c r="G42" s="146">
        <v>960</v>
      </c>
      <c r="H42" s="146">
        <v>1008</v>
      </c>
      <c r="I42" s="146">
        <v>1008</v>
      </c>
      <c r="J42" s="146">
        <v>936</v>
      </c>
      <c r="K42" s="146">
        <v>940</v>
      </c>
      <c r="L42" s="146">
        <v>676</v>
      </c>
      <c r="M42" s="146">
        <v>0</v>
      </c>
      <c r="N42" s="146">
        <v>596</v>
      </c>
      <c r="O42" s="146">
        <v>716</v>
      </c>
      <c r="P42" s="146">
        <v>756</v>
      </c>
      <c r="Q42" s="146">
        <v>852</v>
      </c>
      <c r="R42" s="146">
        <v>848</v>
      </c>
      <c r="S42" s="146">
        <v>852</v>
      </c>
      <c r="T42" s="146">
        <v>848</v>
      </c>
      <c r="U42" s="146">
        <v>808</v>
      </c>
      <c r="V42" s="146">
        <v>1004</v>
      </c>
      <c r="W42" s="146">
        <v>1000</v>
      </c>
      <c r="X42" s="146">
        <v>1008</v>
      </c>
      <c r="Y42" s="146">
        <v>1008</v>
      </c>
      <c r="Z42" s="146">
        <v>844</v>
      </c>
      <c r="AA42" s="146">
        <v>844</v>
      </c>
      <c r="AB42" s="146">
        <v>844</v>
      </c>
      <c r="AC42" s="146"/>
      <c r="AD42" s="146"/>
      <c r="AE42" s="146"/>
      <c r="AF42" s="146"/>
      <c r="AG42" s="146"/>
      <c r="AH42" s="146"/>
      <c r="AI42" s="57"/>
      <c r="AJ42" s="47"/>
      <c r="AK42" s="47"/>
      <c r="AL42" s="47"/>
    </row>
    <row r="43" spans="2:38" ht="15.75" x14ac:dyDescent="0.25">
      <c r="B43" s="89"/>
      <c r="C43" s="89"/>
      <c r="D43" s="95" t="s">
        <v>34</v>
      </c>
      <c r="E43" s="146">
        <v>30762</v>
      </c>
      <c r="F43" s="146">
        <v>31770</v>
      </c>
      <c r="G43" s="146">
        <v>32730</v>
      </c>
      <c r="H43" s="146">
        <v>33738</v>
      </c>
      <c r="I43" s="146">
        <v>34746</v>
      </c>
      <c r="J43" s="146">
        <v>35682</v>
      </c>
      <c r="K43" s="146">
        <v>36622</v>
      </c>
      <c r="L43" s="146">
        <v>37298</v>
      </c>
      <c r="M43" s="146">
        <v>37298</v>
      </c>
      <c r="N43" s="146">
        <v>37894</v>
      </c>
      <c r="O43" s="146">
        <v>38610</v>
      </c>
      <c r="P43" s="146">
        <v>39366</v>
      </c>
      <c r="Q43" s="146">
        <v>40218</v>
      </c>
      <c r="R43" s="146">
        <v>41066</v>
      </c>
      <c r="S43" s="146">
        <v>41918</v>
      </c>
      <c r="T43" s="146">
        <v>42766</v>
      </c>
      <c r="U43" s="146">
        <v>43574</v>
      </c>
      <c r="V43" s="146">
        <v>44578</v>
      </c>
      <c r="W43" s="146">
        <v>45578</v>
      </c>
      <c r="X43" s="146">
        <v>46586</v>
      </c>
      <c r="Y43" s="146">
        <v>47594</v>
      </c>
      <c r="Z43" s="146">
        <v>48438</v>
      </c>
      <c r="AA43" s="146">
        <v>49282</v>
      </c>
      <c r="AB43" s="146">
        <v>50126</v>
      </c>
      <c r="AC43" s="146"/>
      <c r="AD43" s="146"/>
      <c r="AE43" s="146"/>
      <c r="AF43" s="146"/>
      <c r="AG43" s="146"/>
      <c r="AH43" s="146"/>
      <c r="AI43" s="57"/>
      <c r="AJ43" s="47"/>
      <c r="AK43" s="47"/>
      <c r="AL43" s="47"/>
    </row>
    <row r="44" spans="2:38" ht="15.75" x14ac:dyDescent="0.25">
      <c r="B44" s="89"/>
      <c r="C44" s="89"/>
      <c r="D44" s="92">
        <v>45327</v>
      </c>
      <c r="E44" s="94" t="s">
        <v>2</v>
      </c>
      <c r="F44" s="94" t="s">
        <v>4</v>
      </c>
      <c r="G44" s="94" t="s">
        <v>0</v>
      </c>
      <c r="H44" s="94" t="s">
        <v>0</v>
      </c>
      <c r="I44" s="94" t="s">
        <v>0</v>
      </c>
      <c r="J44" s="94" t="s">
        <v>0</v>
      </c>
      <c r="K44" s="94" t="s">
        <v>0</v>
      </c>
      <c r="L44" s="94" t="s">
        <v>0</v>
      </c>
      <c r="M44" s="94" t="s">
        <v>3</v>
      </c>
      <c r="N44" s="94" t="s">
        <v>4</v>
      </c>
      <c r="O44" s="94" t="s">
        <v>0</v>
      </c>
      <c r="P44" s="94" t="s">
        <v>0</v>
      </c>
      <c r="Q44" s="94" t="s">
        <v>0</v>
      </c>
      <c r="R44" s="94" t="s">
        <v>0</v>
      </c>
      <c r="S44" s="94" t="s">
        <v>0</v>
      </c>
      <c r="T44" s="94" t="s">
        <v>0</v>
      </c>
      <c r="U44" s="94" t="s">
        <v>0</v>
      </c>
      <c r="V44" s="94" t="s">
        <v>0</v>
      </c>
      <c r="W44" s="94" t="s">
        <v>0</v>
      </c>
      <c r="X44" s="94" t="s">
        <v>0</v>
      </c>
      <c r="Y44" s="94" t="s">
        <v>0</v>
      </c>
      <c r="Z44" s="94" t="s">
        <v>0</v>
      </c>
      <c r="AA44" s="94" t="s">
        <v>4</v>
      </c>
      <c r="AB44" s="94"/>
      <c r="AC44" s="94"/>
      <c r="AD44" s="94"/>
      <c r="AE44" s="94"/>
      <c r="AF44" s="94"/>
      <c r="AG44" s="94"/>
      <c r="AH44" s="94"/>
      <c r="AI44" s="57"/>
      <c r="AJ44" s="47"/>
      <c r="AK44" s="47"/>
      <c r="AL44" s="47"/>
    </row>
    <row r="45" spans="2:38" ht="15.75" x14ac:dyDescent="0.25">
      <c r="B45" s="89"/>
      <c r="C45" s="89"/>
      <c r="D45" s="95" t="s">
        <v>33</v>
      </c>
      <c r="E45" s="146">
        <v>1016</v>
      </c>
      <c r="F45" s="146">
        <v>1008</v>
      </c>
      <c r="G45" s="146">
        <v>1008</v>
      </c>
      <c r="H45" s="146">
        <v>1116</v>
      </c>
      <c r="I45" s="146">
        <v>984</v>
      </c>
      <c r="J45" s="146">
        <v>984</v>
      </c>
      <c r="K45" s="146">
        <v>772</v>
      </c>
      <c r="L45" s="146">
        <v>632</v>
      </c>
      <c r="M45" s="146">
        <v>0</v>
      </c>
      <c r="N45" s="146">
        <v>636</v>
      </c>
      <c r="O45" s="146">
        <v>684</v>
      </c>
      <c r="P45" s="146">
        <v>760</v>
      </c>
      <c r="Q45" s="146">
        <v>848</v>
      </c>
      <c r="R45" s="146">
        <v>852</v>
      </c>
      <c r="S45" s="146">
        <v>848</v>
      </c>
      <c r="T45" s="146">
        <v>852</v>
      </c>
      <c r="U45" s="146">
        <v>800</v>
      </c>
      <c r="V45" s="146">
        <v>1008</v>
      </c>
      <c r="W45" s="146">
        <v>1008</v>
      </c>
      <c r="X45" s="146">
        <v>1000</v>
      </c>
      <c r="Y45" s="146">
        <v>1004</v>
      </c>
      <c r="Z45" s="146">
        <v>1004</v>
      </c>
      <c r="AA45" s="146">
        <v>1004</v>
      </c>
      <c r="AB45" s="146"/>
      <c r="AC45" s="146"/>
      <c r="AD45" s="146"/>
      <c r="AE45" s="146"/>
      <c r="AF45" s="146"/>
      <c r="AG45" s="146"/>
      <c r="AH45" s="146"/>
      <c r="AI45" s="57"/>
      <c r="AJ45" s="47"/>
      <c r="AK45" s="47"/>
      <c r="AL45" s="47"/>
    </row>
    <row r="46" spans="2:38" ht="15.75" x14ac:dyDescent="0.25">
      <c r="B46" s="89"/>
      <c r="C46" s="89"/>
      <c r="D46" s="95" t="s">
        <v>34</v>
      </c>
      <c r="E46" s="146">
        <v>30762</v>
      </c>
      <c r="F46" s="146">
        <v>31770</v>
      </c>
      <c r="G46" s="146">
        <v>32778</v>
      </c>
      <c r="H46" s="146">
        <v>33894</v>
      </c>
      <c r="I46" s="146">
        <v>34878</v>
      </c>
      <c r="J46" s="146">
        <v>35862</v>
      </c>
      <c r="K46" s="146">
        <v>36634</v>
      </c>
      <c r="L46" s="146">
        <v>37266</v>
      </c>
      <c r="M46" s="146">
        <v>37266</v>
      </c>
      <c r="N46" s="146">
        <v>37902</v>
      </c>
      <c r="O46" s="146">
        <v>38586</v>
      </c>
      <c r="P46" s="146">
        <v>39346</v>
      </c>
      <c r="Q46" s="146">
        <v>40194</v>
      </c>
      <c r="R46" s="146">
        <v>41046</v>
      </c>
      <c r="S46" s="146">
        <v>41894</v>
      </c>
      <c r="T46" s="146">
        <v>42746</v>
      </c>
      <c r="U46" s="146">
        <v>43546</v>
      </c>
      <c r="V46" s="146">
        <v>44554</v>
      </c>
      <c r="W46" s="146">
        <v>45562</v>
      </c>
      <c r="X46" s="146">
        <v>46562</v>
      </c>
      <c r="Y46" s="146">
        <v>47566</v>
      </c>
      <c r="Z46" s="146">
        <v>48570</v>
      </c>
      <c r="AA46" s="146">
        <v>49574</v>
      </c>
      <c r="AB46" s="146"/>
      <c r="AC46" s="146"/>
      <c r="AD46" s="146"/>
      <c r="AE46" s="146"/>
      <c r="AF46" s="146"/>
      <c r="AG46" s="146"/>
      <c r="AH46" s="146"/>
      <c r="AI46" s="57"/>
      <c r="AJ46" s="47"/>
      <c r="AK46" s="47"/>
      <c r="AL46" s="47"/>
    </row>
    <row r="47" spans="2:38" ht="15.75" x14ac:dyDescent="0.25">
      <c r="B47" s="89"/>
      <c r="C47" s="89"/>
      <c r="D47" s="92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57"/>
      <c r="AJ47" s="47"/>
      <c r="AK47" s="47"/>
      <c r="AL47" s="47"/>
    </row>
    <row r="48" spans="2:38" ht="15.75" x14ac:dyDescent="0.25">
      <c r="B48" s="89"/>
      <c r="C48" s="89"/>
      <c r="D48" s="95" t="s">
        <v>33</v>
      </c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57"/>
      <c r="AJ48" s="47"/>
      <c r="AK48" s="47"/>
      <c r="AL48" s="47"/>
    </row>
    <row r="49" spans="1:40" ht="15.75" x14ac:dyDescent="0.25">
      <c r="B49" s="89"/>
      <c r="C49" s="89"/>
      <c r="D49" s="95" t="s">
        <v>34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57"/>
      <c r="AJ49" s="47"/>
      <c r="AK49" s="47"/>
      <c r="AL49" s="47"/>
    </row>
    <row r="50" spans="1:40" ht="15.75" x14ac:dyDescent="0.25">
      <c r="B50" s="89"/>
      <c r="C50" s="89"/>
      <c r="D50" s="92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57"/>
      <c r="AJ50" s="47"/>
      <c r="AK50" s="47"/>
      <c r="AL50" s="47"/>
    </row>
    <row r="51" spans="1:40" ht="15.75" x14ac:dyDescent="0.25">
      <c r="B51" s="89"/>
      <c r="C51" s="89"/>
      <c r="D51" s="95" t="s">
        <v>33</v>
      </c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57"/>
      <c r="AJ51" s="47"/>
      <c r="AK51" s="47"/>
      <c r="AL51" s="47"/>
    </row>
    <row r="52" spans="1:40" ht="15" x14ac:dyDescent="0.25">
      <c r="B52" s="96"/>
      <c r="C52" s="96"/>
      <c r="D52" s="95" t="s">
        <v>34</v>
      </c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55"/>
    </row>
    <row r="53" spans="1:40" ht="14.25" x14ac:dyDescent="0.2">
      <c r="B53" s="90"/>
      <c r="C53" s="90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55"/>
    </row>
    <row r="54" spans="1:40" ht="13.5" thickBot="1" x14ac:dyDescent="0.25"/>
    <row r="55" spans="1:40" ht="13.5" thickBot="1" x14ac:dyDescent="0.25">
      <c r="A55" s="138"/>
      <c r="B55" s="139"/>
      <c r="C55" s="139"/>
      <c r="D55" s="139"/>
      <c r="E55" s="139" t="s">
        <v>0</v>
      </c>
      <c r="F55" s="139" t="s">
        <v>0</v>
      </c>
      <c r="G55" s="139" t="s">
        <v>0</v>
      </c>
      <c r="H55" s="139" t="s">
        <v>0</v>
      </c>
      <c r="I55" s="139" t="s">
        <v>0</v>
      </c>
      <c r="J55" s="139" t="s">
        <v>0</v>
      </c>
      <c r="K55" s="140" t="s">
        <v>1</v>
      </c>
      <c r="L55" s="140" t="s">
        <v>2</v>
      </c>
      <c r="M55" s="140" t="s">
        <v>4</v>
      </c>
      <c r="N55" s="140" t="s">
        <v>0</v>
      </c>
      <c r="O55" s="140" t="s">
        <v>0</v>
      </c>
      <c r="P55" s="140" t="s">
        <v>0</v>
      </c>
      <c r="Q55" s="140" t="s">
        <v>0</v>
      </c>
      <c r="R55" s="140" t="s">
        <v>0</v>
      </c>
      <c r="S55" s="140" t="s">
        <v>0</v>
      </c>
      <c r="T55" s="140" t="s">
        <v>3</v>
      </c>
      <c r="U55" s="140" t="s">
        <v>4</v>
      </c>
      <c r="V55" s="140" t="s">
        <v>0</v>
      </c>
      <c r="W55" s="140" t="s">
        <v>0</v>
      </c>
      <c r="X55" s="140" t="s">
        <v>0</v>
      </c>
      <c r="Y55" s="139" t="s">
        <v>0</v>
      </c>
      <c r="Z55" s="139" t="s">
        <v>0</v>
      </c>
      <c r="AA55" s="139" t="s">
        <v>0</v>
      </c>
      <c r="AB55" s="139" t="s">
        <v>0</v>
      </c>
      <c r="AC55" s="139" t="s">
        <v>0</v>
      </c>
      <c r="AD55" s="139" t="s">
        <v>0</v>
      </c>
      <c r="AE55" s="139" t="s">
        <v>0</v>
      </c>
      <c r="AF55" s="139" t="s">
        <v>0</v>
      </c>
      <c r="AG55" s="139" t="s">
        <v>0</v>
      </c>
      <c r="AH55" s="139" t="s">
        <v>4</v>
      </c>
      <c r="AK55" s="31" t="s">
        <v>16</v>
      </c>
      <c r="AL55" s="31" t="s">
        <v>17</v>
      </c>
      <c r="AM55" s="32" t="s">
        <v>18</v>
      </c>
    </row>
    <row r="56" spans="1:40" ht="13.5" thickBot="1" x14ac:dyDescent="0.25">
      <c r="A56" s="33"/>
      <c r="B56" s="34" t="s">
        <v>103</v>
      </c>
      <c r="C56" s="141" t="s">
        <v>7</v>
      </c>
      <c r="D56" s="142"/>
      <c r="E56" s="135">
        <f>SUMIFS('Final SR'!J:J,'Final SR'!$E:$E,TOTALss!$B56,'Final SR'!$I:$I,'Final SR'!$I$12)</f>
        <v>0</v>
      </c>
      <c r="F56" s="135">
        <f>SUMIFS('Final SR'!K:K,'Final SR'!$E:$E,TOTALss!$B56,'Final SR'!$I:$I,'Final SR'!$I$12)</f>
        <v>0</v>
      </c>
      <c r="G56" s="135">
        <f>SUMIFS('Final SR'!L:L,'Final SR'!$E:$E,TOTALss!$B56,'Final SR'!$I:$I,'Final SR'!$I$12)</f>
        <v>0</v>
      </c>
      <c r="H56" s="135">
        <f>SUMIFS('Final SR'!M:M,'Final SR'!$E:$E,TOTALss!$B56,'Final SR'!$I:$I,'Final SR'!$I$12)</f>
        <v>0</v>
      </c>
      <c r="I56" s="135">
        <f>SUMIFS('Final SR'!N:N,'Final SR'!$E:$E,TOTALss!$B56,'Final SR'!$I:$I,'Final SR'!$I$12)</f>
        <v>0</v>
      </c>
      <c r="J56" s="135">
        <f>SUMIFS('Final SR'!O:O,'Final SR'!$E:$E,TOTALss!$B56,'Final SR'!$I:$I,'Final SR'!$I$12)</f>
        <v>0</v>
      </c>
      <c r="K56" s="135">
        <f>SUMIFS('Final SR'!P:P,'Final SR'!$E:$E,TOTALss!$B56,'Final SR'!$I:$I,'Final SR'!$I$12)</f>
        <v>0</v>
      </c>
      <c r="L56" s="135">
        <f>SUMIFS('Final SR'!Q:Q,'Final SR'!$E:$E,TOTALss!$B56,'Final SR'!$I:$I,'Final SR'!$I$12)</f>
        <v>0</v>
      </c>
      <c r="M56" s="135">
        <f>SUMIFS('Final SR'!R:R,'Final SR'!$E:$E,TOTALss!$B56,'Final SR'!$I:$I,'Final SR'!$I$12)</f>
        <v>0</v>
      </c>
      <c r="N56" s="135">
        <f>SUMIFS('Final SR'!S:S,'Final SR'!$E:$E,TOTALss!$B56,'Final SR'!$I:$I,'Final SR'!$I$12)</f>
        <v>0</v>
      </c>
      <c r="O56" s="135">
        <f>SUMIFS('Final SR'!T:T,'Final SR'!$E:$E,TOTALss!$B56,'Final SR'!$I:$I,'Final SR'!$I$12)</f>
        <v>0</v>
      </c>
      <c r="P56" s="135">
        <f>SUMIFS('Final SR'!U:U,'Final SR'!$E:$E,TOTALss!$B56,'Final SR'!$I:$I,'Final SR'!$I$12)</f>
        <v>0</v>
      </c>
      <c r="Q56" s="135">
        <f>SUMIFS('Final SR'!V:V,'Final SR'!$E:$E,TOTALss!$B56,'Final SR'!$I:$I,'Final SR'!$I$12)</f>
        <v>0</v>
      </c>
      <c r="R56" s="135">
        <f>SUMIFS('Final SR'!W:W,'Final SR'!$E:$E,TOTALss!$B56,'Final SR'!$I:$I,'Final SR'!$I$12)</f>
        <v>0</v>
      </c>
      <c r="S56" s="135">
        <f>SUMIFS('Final SR'!X:X,'Final SR'!$E:$E,TOTALss!$B56,'Final SR'!$I:$I,'Final SR'!$I$12)</f>
        <v>0</v>
      </c>
      <c r="T56" s="135">
        <f>SUMIFS('Final SR'!Y:Y,'Final SR'!$E:$E,TOTALss!$B56,'Final SR'!$I:$I,'Final SR'!$I$12)</f>
        <v>0</v>
      </c>
      <c r="U56" s="135">
        <f>SUMIFS('Final SR'!Z:Z,'Final SR'!$E:$E,TOTALss!$B56,'Final SR'!$I:$I,'Final SR'!$I$12)</f>
        <v>0</v>
      </c>
      <c r="V56" s="135">
        <f>SUMIFS('Final SR'!AA:AA,'Final SR'!$E:$E,TOTALss!$B56,'Final SR'!$I:$I,'Final SR'!$I$12)</f>
        <v>0</v>
      </c>
      <c r="W56" s="135">
        <f>SUMIFS('Final SR'!AB:AB,'Final SR'!$E:$E,TOTALss!$B56,'Final SR'!$I:$I,'Final SR'!$I$12)</f>
        <v>0</v>
      </c>
      <c r="X56" s="135">
        <f>SUMIFS('Final SR'!AC:AC,'Final SR'!$E:$E,TOTALss!$B56,'Final SR'!$I:$I,'Final SR'!$I$12)</f>
        <v>0</v>
      </c>
      <c r="Y56" s="135">
        <f>SUMIFS('Final SR'!AD:AD,'Final SR'!$E:$E,TOTALss!$B56,'Final SR'!$I:$I,'Final SR'!$I$12)</f>
        <v>0</v>
      </c>
      <c r="Z56" s="135">
        <f>SUMIFS('Final SR'!AE:AE,'Final SR'!$E:$E,TOTALss!$B56,'Final SR'!$I:$I,'Final SR'!$I$12)</f>
        <v>0</v>
      </c>
      <c r="AA56" s="135">
        <f>SUMIFS('Final SR'!AF:AF,'Final SR'!$E:$E,TOTALss!$B56,'Final SR'!$I:$I,'Final SR'!$I$12)</f>
        <v>0</v>
      </c>
      <c r="AB56" s="135">
        <f>SUMIFS('Final SR'!AG:AG,'Final SR'!$E:$E,TOTALss!$B56,'Final SR'!$I:$I,'Final SR'!$I$12)</f>
        <v>0</v>
      </c>
      <c r="AC56" s="135">
        <f>SUMIFS('Final SR'!AH:AH,'Final SR'!$E:$E,TOTALss!$B56,'Final SR'!$I:$I,'Final SR'!$I$12)</f>
        <v>0</v>
      </c>
      <c r="AD56" s="135">
        <f>SUMIFS('Final SR'!AI:AI,'Final SR'!$E:$E,TOTALss!$B56,'Final SR'!$I:$I,'Final SR'!$I$12)</f>
        <v>0</v>
      </c>
      <c r="AE56" s="135">
        <f>SUMIFS('Final SR'!AJ:AJ,'Final SR'!$E:$E,TOTALss!$B56,'Final SR'!$I:$I,'Final SR'!$I$12)</f>
        <v>0</v>
      </c>
      <c r="AF56" s="135">
        <f>SUMIFS('Final SR'!AK:AK,'Final SR'!$E:$E,TOTALss!$B56,'Final SR'!$I:$I,'Final SR'!$I$12)</f>
        <v>0</v>
      </c>
      <c r="AG56" s="135">
        <f>SUMIFS('Final SR'!AL:AL,'Final SR'!$E:$E,TOTALss!$B56,'Final SR'!$I:$I,'Final SR'!$I$12)</f>
        <v>0</v>
      </c>
      <c r="AH56" s="135">
        <f>SUMIFS('Final SR'!AM:AM,'Final SR'!$E:$E,TOTALss!$B56,'Final SR'!$I:$I,'Final SR'!$I$12)</f>
        <v>0</v>
      </c>
      <c r="AI56" s="69"/>
      <c r="AJ56" s="147">
        <f>SUM(M56:AH56)</f>
        <v>0</v>
      </c>
      <c r="AK56" s="35">
        <v>1300</v>
      </c>
      <c r="AL56" s="36">
        <v>1300</v>
      </c>
      <c r="AM56" s="37">
        <v>1600</v>
      </c>
    </row>
    <row r="57" spans="1:40" x14ac:dyDescent="0.2">
      <c r="A57" s="38"/>
      <c r="B57" s="34"/>
      <c r="C57" s="141" t="s">
        <v>19</v>
      </c>
      <c r="D57" s="39"/>
      <c r="E57" s="135">
        <f>SUMIFS('Final SR'!J:J,'Final SR'!$E:$E,TOTALss!$B56,'Final SR'!$I:$I,'Final SR'!$I$13)</f>
        <v>0</v>
      </c>
      <c r="F57" s="135">
        <f t="shared" ref="F57" si="13">+F56+E57</f>
        <v>0</v>
      </c>
      <c r="G57" s="135">
        <f t="shared" ref="G57" si="14">+G56+F57</f>
        <v>0</v>
      </c>
      <c r="H57" s="135">
        <f t="shared" ref="H57" si="15">+H56+G57</f>
        <v>0</v>
      </c>
      <c r="I57" s="135">
        <f t="shared" ref="I57" si="16">+I56+H57</f>
        <v>0</v>
      </c>
      <c r="J57" s="135">
        <f t="shared" ref="J57" si="17">+J56+I57</f>
        <v>0</v>
      </c>
      <c r="K57" s="135">
        <f t="shared" ref="K57" si="18">+K56+J57</f>
        <v>0</v>
      </c>
      <c r="L57" s="135">
        <f t="shared" ref="L57" si="19">+L56+K57</f>
        <v>0</v>
      </c>
      <c r="M57" s="135">
        <f t="shared" ref="M57" si="20">+M56+L57</f>
        <v>0</v>
      </c>
      <c r="N57" s="135">
        <f t="shared" ref="N57" si="21">+N56+M57</f>
        <v>0</v>
      </c>
      <c r="O57" s="135">
        <f t="shared" ref="O57" si="22">+O56+N57</f>
        <v>0</v>
      </c>
      <c r="P57" s="135">
        <f t="shared" ref="P57" si="23">+P56+O57</f>
        <v>0</v>
      </c>
      <c r="Q57" s="135">
        <f t="shared" ref="Q57" si="24">+Q56+P57</f>
        <v>0</v>
      </c>
      <c r="R57" s="135">
        <f t="shared" ref="R57" si="25">+R56+Q57</f>
        <v>0</v>
      </c>
      <c r="S57" s="135">
        <f t="shared" ref="S57" si="26">+S56+R57</f>
        <v>0</v>
      </c>
      <c r="T57" s="135">
        <f t="shared" ref="T57" si="27">+T56+S57</f>
        <v>0</v>
      </c>
      <c r="U57" s="135">
        <f t="shared" ref="U57" si="28">+U56+T57</f>
        <v>0</v>
      </c>
      <c r="V57" s="135">
        <f t="shared" ref="V57" si="29">+V56+U57</f>
        <v>0</v>
      </c>
      <c r="W57" s="135">
        <f t="shared" ref="W57" si="30">+W56+V57</f>
        <v>0</v>
      </c>
      <c r="X57" s="135">
        <f t="shared" ref="X57" si="31">+X56+W57</f>
        <v>0</v>
      </c>
      <c r="Y57" s="135">
        <f t="shared" ref="Y57" si="32">+Y56+X57</f>
        <v>0</v>
      </c>
      <c r="Z57" s="135">
        <f t="shared" ref="Z57" si="33">+Z56+Y57</f>
        <v>0</v>
      </c>
      <c r="AA57" s="135">
        <f t="shared" ref="AA57" si="34">+AA56+Z57</f>
        <v>0</v>
      </c>
      <c r="AB57" s="135">
        <f t="shared" ref="AB57" si="35">+AB56+AA57</f>
        <v>0</v>
      </c>
      <c r="AC57" s="135">
        <f t="shared" ref="AC57" si="36">+AC56+AB57</f>
        <v>0</v>
      </c>
      <c r="AD57" s="135">
        <f t="shared" ref="AD57" si="37">+AD56+AC57</f>
        <v>0</v>
      </c>
      <c r="AE57" s="135">
        <f t="shared" ref="AE57" si="38">+AE56+AD57</f>
        <v>0</v>
      </c>
      <c r="AF57" s="135">
        <f t="shared" ref="AF57" si="39">+AF56+AE57</f>
        <v>0</v>
      </c>
      <c r="AG57" s="135">
        <f t="shared" ref="AG57" si="40">+AG56+AF57</f>
        <v>0</v>
      </c>
      <c r="AH57" s="135">
        <f t="shared" ref="AH57" si="41">+AH56+AG57</f>
        <v>0</v>
      </c>
      <c r="AI57" s="69"/>
    </row>
    <row r="58" spans="1:40" ht="13.5" thickBot="1" x14ac:dyDescent="0.25">
      <c r="A58" s="40"/>
      <c r="B58" s="41" t="s">
        <v>20</v>
      </c>
      <c r="C58" s="42" t="s">
        <v>21</v>
      </c>
      <c r="D58" s="43"/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69"/>
      <c r="AJ58" s="147">
        <f>SUM(M58:AH58)</f>
        <v>0</v>
      </c>
      <c r="AK58" s="68" t="b">
        <f>AJ56=AJ58</f>
        <v>1</v>
      </c>
      <c r="AL58" s="45">
        <v>7557</v>
      </c>
      <c r="AM58" s="46">
        <v>9204</v>
      </c>
      <c r="AN58" s="47"/>
    </row>
    <row r="59" spans="1:40" ht="13.5" thickBot="1" x14ac:dyDescent="0.25">
      <c r="A59" s="48"/>
      <c r="B59" s="41" t="s">
        <v>20</v>
      </c>
      <c r="C59" s="42" t="s">
        <v>22</v>
      </c>
      <c r="D59" s="43"/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69"/>
      <c r="AK59" s="68"/>
      <c r="AL59" s="45"/>
      <c r="AM59" s="46"/>
      <c r="AN59" s="47"/>
    </row>
    <row r="60" spans="1:40" x14ac:dyDescent="0.2">
      <c r="A60" s="48"/>
      <c r="B60" s="48"/>
      <c r="C60" s="49"/>
      <c r="D60" s="50"/>
      <c r="E60" s="49"/>
      <c r="F60" s="49"/>
      <c r="G60" s="49"/>
      <c r="H60" s="49"/>
      <c r="I60" s="49"/>
      <c r="J60" s="51" t="s">
        <v>23</v>
      </c>
      <c r="K60" s="52"/>
      <c r="L60" s="51">
        <f>+L56-L58</f>
        <v>0</v>
      </c>
      <c r="M60" s="51">
        <f t="shared" ref="M60:N60" si="42">+M56-M58</f>
        <v>0</v>
      </c>
      <c r="N60" s="51">
        <f t="shared" si="42"/>
        <v>0</v>
      </c>
      <c r="O60" s="51">
        <f>+O56-O58</f>
        <v>0</v>
      </c>
      <c r="P60" s="51">
        <f t="shared" ref="P60:AH60" si="43">+P56-P58</f>
        <v>0</v>
      </c>
      <c r="Q60" s="51">
        <f t="shared" si="43"/>
        <v>0</v>
      </c>
      <c r="R60" s="51">
        <f t="shared" si="43"/>
        <v>0</v>
      </c>
      <c r="S60" s="51">
        <f t="shared" si="43"/>
        <v>0</v>
      </c>
      <c r="T60" s="51">
        <f t="shared" si="43"/>
        <v>0</v>
      </c>
      <c r="U60" s="51">
        <f t="shared" si="43"/>
        <v>0</v>
      </c>
      <c r="V60" s="51">
        <f t="shared" si="43"/>
        <v>0</v>
      </c>
      <c r="W60" s="51">
        <f t="shared" si="43"/>
        <v>0</v>
      </c>
      <c r="X60" s="51">
        <f t="shared" si="43"/>
        <v>0</v>
      </c>
      <c r="Y60" s="51">
        <f t="shared" si="43"/>
        <v>0</v>
      </c>
      <c r="Z60" s="51">
        <f t="shared" si="43"/>
        <v>0</v>
      </c>
      <c r="AA60" s="51">
        <f t="shared" si="43"/>
        <v>0</v>
      </c>
      <c r="AB60" s="51">
        <f t="shared" si="43"/>
        <v>0</v>
      </c>
      <c r="AC60" s="51">
        <f t="shared" si="43"/>
        <v>0</v>
      </c>
      <c r="AD60" s="51">
        <f t="shared" si="43"/>
        <v>0</v>
      </c>
      <c r="AE60" s="51">
        <f t="shared" si="43"/>
        <v>0</v>
      </c>
      <c r="AF60" s="51">
        <f t="shared" si="43"/>
        <v>0</v>
      </c>
      <c r="AG60" s="51">
        <f t="shared" si="43"/>
        <v>0</v>
      </c>
      <c r="AH60" s="51">
        <f t="shared" si="43"/>
        <v>0</v>
      </c>
      <c r="AI60" s="70"/>
      <c r="AK60" s="45"/>
      <c r="AL60" s="45"/>
      <c r="AM60" s="46"/>
      <c r="AN60" s="47"/>
    </row>
    <row r="61" spans="1:40" x14ac:dyDescent="0.2">
      <c r="A61" s="48"/>
      <c r="B61" s="48"/>
      <c r="C61" s="49"/>
      <c r="D61" s="50"/>
      <c r="E61" s="49"/>
      <c r="F61" s="49"/>
      <c r="G61" s="49"/>
      <c r="H61" s="49"/>
      <c r="I61" s="49"/>
      <c r="J61" s="51" t="s">
        <v>24</v>
      </c>
      <c r="K61" s="52"/>
      <c r="L61" s="51">
        <f>+L60</f>
        <v>0</v>
      </c>
      <c r="M61" s="51">
        <f>+M60+L61</f>
        <v>0</v>
      </c>
      <c r="N61" s="51">
        <f>+N60+M61</f>
        <v>0</v>
      </c>
      <c r="O61" s="51">
        <f t="shared" ref="O61" si="44">+O60+N61</f>
        <v>0</v>
      </c>
      <c r="P61" s="51">
        <f t="shared" ref="P61" si="45">+P60+O61</f>
        <v>0</v>
      </c>
      <c r="Q61" s="51">
        <f t="shared" ref="Q61" si="46">+Q60+P61</f>
        <v>0</v>
      </c>
      <c r="R61" s="51">
        <f t="shared" ref="R61" si="47">+R60+Q61</f>
        <v>0</v>
      </c>
      <c r="S61" s="51">
        <f t="shared" ref="S61" si="48">+S60+R61</f>
        <v>0</v>
      </c>
      <c r="T61" s="51">
        <f t="shared" ref="T61" si="49">+T60+S61</f>
        <v>0</v>
      </c>
      <c r="U61" s="51">
        <f t="shared" ref="U61" si="50">+U60+T61</f>
        <v>0</v>
      </c>
      <c r="V61" s="51">
        <f t="shared" ref="V61" si="51">+V60+U61</f>
        <v>0</v>
      </c>
      <c r="W61" s="51">
        <f t="shared" ref="W61" si="52">+W60+V61</f>
        <v>0</v>
      </c>
      <c r="X61" s="51">
        <f t="shared" ref="X61" si="53">+X60+W61</f>
        <v>0</v>
      </c>
      <c r="Y61" s="51">
        <f t="shared" ref="Y61" si="54">+Y60+X61</f>
        <v>0</v>
      </c>
      <c r="Z61" s="51">
        <f t="shared" ref="Z61" si="55">+Z60+Y61</f>
        <v>0</v>
      </c>
      <c r="AA61" s="51">
        <f t="shared" ref="AA61" si="56">+AA60+Z61</f>
        <v>0</v>
      </c>
      <c r="AB61" s="51">
        <f t="shared" ref="AB61" si="57">+AB60+AA61</f>
        <v>0</v>
      </c>
      <c r="AC61" s="51">
        <f t="shared" ref="AC61" si="58">+AC60+AB61</f>
        <v>0</v>
      </c>
      <c r="AD61" s="51">
        <f t="shared" ref="AD61" si="59">+AD60+AC61</f>
        <v>0</v>
      </c>
      <c r="AE61" s="51">
        <f t="shared" ref="AE61" si="60">+AE60+AD61</f>
        <v>0</v>
      </c>
      <c r="AF61" s="51">
        <f t="shared" ref="AF61" si="61">+AF60+AE61</f>
        <v>0</v>
      </c>
      <c r="AG61" s="51">
        <f t="shared" ref="AG61" si="62">+AG60+AF61</f>
        <v>0</v>
      </c>
      <c r="AH61" s="51">
        <f t="shared" ref="AH61" si="63">+AH60+AG61</f>
        <v>0</v>
      </c>
      <c r="AI61" s="70"/>
      <c r="AK61" s="85"/>
      <c r="AL61" s="85"/>
      <c r="AM61" s="46"/>
      <c r="AN61" s="47"/>
    </row>
    <row r="62" spans="1:40" x14ac:dyDescent="0.2">
      <c r="A62" s="48"/>
      <c r="B62" s="48"/>
      <c r="C62" s="49"/>
      <c r="D62" s="50"/>
      <c r="E62" s="49"/>
      <c r="F62" s="49"/>
      <c r="G62" s="49"/>
      <c r="H62" s="49"/>
      <c r="I62" s="49"/>
      <c r="J62" s="51" t="s">
        <v>25</v>
      </c>
      <c r="K62" s="51">
        <v>665</v>
      </c>
      <c r="L62" s="53">
        <f>+L61/$K$12</f>
        <v>0</v>
      </c>
      <c r="M62" s="53">
        <f t="shared" ref="M62:O62" si="64">+M61/$K$12</f>
        <v>0</v>
      </c>
      <c r="N62" s="53">
        <f t="shared" si="64"/>
        <v>0</v>
      </c>
      <c r="O62" s="53">
        <f t="shared" si="64"/>
        <v>0</v>
      </c>
      <c r="P62" s="53">
        <f>+P61/$K$12</f>
        <v>0</v>
      </c>
      <c r="Q62" s="53">
        <f t="shared" ref="Q62:AH62" si="65">+Q61/$K$12</f>
        <v>0</v>
      </c>
      <c r="R62" s="53">
        <f t="shared" si="65"/>
        <v>0</v>
      </c>
      <c r="S62" s="53">
        <f t="shared" si="65"/>
        <v>0</v>
      </c>
      <c r="T62" s="53">
        <f t="shared" si="65"/>
        <v>0</v>
      </c>
      <c r="U62" s="53">
        <f t="shared" si="65"/>
        <v>0</v>
      </c>
      <c r="V62" s="53">
        <f t="shared" si="65"/>
        <v>0</v>
      </c>
      <c r="W62" s="53">
        <f t="shared" si="65"/>
        <v>0</v>
      </c>
      <c r="X62" s="53">
        <f t="shared" si="65"/>
        <v>0</v>
      </c>
      <c r="Y62" s="53">
        <f t="shared" si="65"/>
        <v>0</v>
      </c>
      <c r="Z62" s="53">
        <f t="shared" si="65"/>
        <v>0</v>
      </c>
      <c r="AA62" s="53">
        <f t="shared" si="65"/>
        <v>0</v>
      </c>
      <c r="AB62" s="53">
        <f t="shared" si="65"/>
        <v>0</v>
      </c>
      <c r="AC62" s="53">
        <f t="shared" si="65"/>
        <v>0</v>
      </c>
      <c r="AD62" s="53">
        <f t="shared" si="65"/>
        <v>0</v>
      </c>
      <c r="AE62" s="53">
        <f t="shared" si="65"/>
        <v>0</v>
      </c>
      <c r="AF62" s="53">
        <f t="shared" si="65"/>
        <v>0</v>
      </c>
      <c r="AG62" s="53">
        <f t="shared" si="65"/>
        <v>0</v>
      </c>
      <c r="AH62" s="53">
        <f t="shared" si="65"/>
        <v>0</v>
      </c>
      <c r="AI62" s="71"/>
      <c r="AK62" s="45"/>
      <c r="AL62" s="45"/>
      <c r="AM62" s="46"/>
      <c r="AN62" s="47"/>
    </row>
    <row r="63" spans="1:40" x14ac:dyDescent="0.2">
      <c r="A63" s="48"/>
      <c r="B63" s="48"/>
      <c r="C63" s="49"/>
      <c r="D63" s="50"/>
      <c r="E63" s="49"/>
      <c r="F63" s="49"/>
      <c r="G63" s="49"/>
      <c r="H63" s="49"/>
      <c r="I63" s="49"/>
      <c r="J63" s="51" t="s">
        <v>26</v>
      </c>
      <c r="K63" s="51"/>
      <c r="L63" s="82">
        <f>L61*76</f>
        <v>0</v>
      </c>
      <c r="M63" s="82">
        <f t="shared" ref="M63:AH63" si="66">M61*76</f>
        <v>0</v>
      </c>
      <c r="N63" s="82">
        <f t="shared" si="66"/>
        <v>0</v>
      </c>
      <c r="O63" s="82">
        <f t="shared" si="66"/>
        <v>0</v>
      </c>
      <c r="P63" s="82">
        <f t="shared" si="66"/>
        <v>0</v>
      </c>
      <c r="Q63" s="82">
        <f t="shared" si="66"/>
        <v>0</v>
      </c>
      <c r="R63" s="82">
        <f t="shared" si="66"/>
        <v>0</v>
      </c>
      <c r="S63" s="82">
        <f t="shared" si="66"/>
        <v>0</v>
      </c>
      <c r="T63" s="82">
        <f t="shared" si="66"/>
        <v>0</v>
      </c>
      <c r="U63" s="82">
        <f t="shared" si="66"/>
        <v>0</v>
      </c>
      <c r="V63" s="82">
        <f t="shared" si="66"/>
        <v>0</v>
      </c>
      <c r="W63" s="82">
        <f t="shared" si="66"/>
        <v>0</v>
      </c>
      <c r="X63" s="82">
        <f t="shared" si="66"/>
        <v>0</v>
      </c>
      <c r="Y63" s="82">
        <f t="shared" si="66"/>
        <v>0</v>
      </c>
      <c r="Z63" s="82">
        <f t="shared" si="66"/>
        <v>0</v>
      </c>
      <c r="AA63" s="82">
        <f t="shared" si="66"/>
        <v>0</v>
      </c>
      <c r="AB63" s="82">
        <f t="shared" si="66"/>
        <v>0</v>
      </c>
      <c r="AC63" s="82">
        <f t="shared" si="66"/>
        <v>0</v>
      </c>
      <c r="AD63" s="82">
        <f t="shared" si="66"/>
        <v>0</v>
      </c>
      <c r="AE63" s="82">
        <f t="shared" si="66"/>
        <v>0</v>
      </c>
      <c r="AF63" s="82">
        <f t="shared" si="66"/>
        <v>0</v>
      </c>
      <c r="AG63" s="82">
        <f t="shared" si="66"/>
        <v>0</v>
      </c>
      <c r="AH63" s="82">
        <f t="shared" si="66"/>
        <v>0</v>
      </c>
      <c r="AI63" s="71"/>
      <c r="AK63" s="45"/>
      <c r="AL63" s="45"/>
      <c r="AM63" s="46"/>
      <c r="AN63" s="47"/>
    </row>
    <row r="64" spans="1:40" x14ac:dyDescent="0.2">
      <c r="B64" s="54"/>
      <c r="C64" s="72"/>
      <c r="D64" s="73" t="s">
        <v>27</v>
      </c>
      <c r="E64" s="74"/>
      <c r="F64" s="75"/>
      <c r="G64" s="75"/>
      <c r="H64" s="75"/>
      <c r="I64" s="75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J64" s="84"/>
    </row>
    <row r="65" spans="1:40" x14ac:dyDescent="0.2">
      <c r="A65" s="48"/>
      <c r="B65" s="76"/>
      <c r="C65" s="72"/>
      <c r="D65" s="73" t="s">
        <v>28</v>
      </c>
      <c r="E65" s="72"/>
      <c r="F65" s="72"/>
      <c r="G65" s="72"/>
      <c r="H65" s="72"/>
      <c r="I65" s="72"/>
      <c r="J65" s="79">
        <v>650</v>
      </c>
      <c r="K65" s="79">
        <v>650</v>
      </c>
      <c r="L65" s="79">
        <v>650</v>
      </c>
      <c r="M65" s="79">
        <v>650</v>
      </c>
      <c r="N65" s="79">
        <v>650</v>
      </c>
      <c r="O65" s="79">
        <v>650</v>
      </c>
      <c r="P65" s="79">
        <v>650</v>
      </c>
      <c r="Q65" s="79">
        <v>650</v>
      </c>
      <c r="R65" s="79">
        <v>650</v>
      </c>
      <c r="S65" s="79">
        <v>650</v>
      </c>
      <c r="T65" s="79">
        <v>650</v>
      </c>
      <c r="U65" s="79">
        <v>650</v>
      </c>
      <c r="V65" s="79">
        <v>650</v>
      </c>
      <c r="W65" s="79">
        <v>650</v>
      </c>
      <c r="X65" s="79">
        <v>650</v>
      </c>
      <c r="Y65" s="79">
        <v>650</v>
      </c>
      <c r="Z65" s="79">
        <v>650</v>
      </c>
      <c r="AA65" s="79">
        <v>650</v>
      </c>
      <c r="AB65" s="79">
        <v>650</v>
      </c>
      <c r="AC65" s="79">
        <v>650</v>
      </c>
      <c r="AD65" s="79">
        <v>650</v>
      </c>
      <c r="AE65" s="79">
        <v>650</v>
      </c>
      <c r="AF65" s="79">
        <v>650</v>
      </c>
      <c r="AG65" s="79">
        <v>650</v>
      </c>
      <c r="AH65" s="79">
        <v>650</v>
      </c>
      <c r="AK65" s="45"/>
      <c r="AL65" s="45"/>
      <c r="AM65" s="46"/>
      <c r="AN65" s="47"/>
    </row>
    <row r="66" spans="1:40" x14ac:dyDescent="0.2">
      <c r="A66" s="48"/>
      <c r="B66" s="76"/>
      <c r="C66" s="72"/>
      <c r="D66" s="73" t="s">
        <v>27</v>
      </c>
      <c r="E66" s="72"/>
      <c r="F66" s="72"/>
      <c r="G66" s="72"/>
      <c r="H66" s="72"/>
      <c r="I66" s="72"/>
      <c r="J66" s="79">
        <f>IFERROR(HLOOKUP(J$3,[3]EMI!$D$5:$AA$19,13,FALSE),0)</f>
        <v>0</v>
      </c>
      <c r="K66" s="79">
        <f>IFERROR(HLOOKUP(K$3,[3]EMI!$D$5:$AA$19,13,FALSE),0)</f>
        <v>0</v>
      </c>
      <c r="L66" s="79">
        <f>IFERROR(HLOOKUP(L$3,[3]EMI!$D$5:$AA$19,13,FALSE),0)</f>
        <v>0</v>
      </c>
      <c r="M66" s="79">
        <f>IFERROR(HLOOKUP(M$3,[3]EMI!$D$5:$AA$19,13,FALSE),0)</f>
        <v>0</v>
      </c>
      <c r="N66" s="79">
        <f>IFERROR(HLOOKUP(N$3,[3]EMI!$D$5:$AA$19,13,FALSE),0)</f>
        <v>0</v>
      </c>
      <c r="O66" s="79">
        <f>IFERROR(HLOOKUP(O$3,[3]EMI!$D$5:$AA$19,13,FALSE),0)</f>
        <v>0</v>
      </c>
      <c r="P66" s="79">
        <f>IFERROR(HLOOKUP(P$3,[3]EMI!$D$5:$AA$19,13,FALSE),0)</f>
        <v>0</v>
      </c>
      <c r="Q66" s="79">
        <f>IFERROR(HLOOKUP(Q$3,[3]EMI!$D$5:$AA$19,13,FALSE),0)</f>
        <v>0</v>
      </c>
      <c r="R66" s="79">
        <f>IFERROR(HLOOKUP(R$3,[3]EMI!$D$5:$AA$19,13,FALSE),0)</f>
        <v>0</v>
      </c>
      <c r="S66" s="79">
        <f>IFERROR(HLOOKUP(S$3,[3]EMI!$D$5:$AA$19,13,FALSE),0)</f>
        <v>0</v>
      </c>
      <c r="T66" s="79">
        <f>IFERROR(HLOOKUP(T$3,[3]EMI!$D$5:$AA$19,13,FALSE),0)</f>
        <v>0</v>
      </c>
      <c r="U66" s="79">
        <f>IFERROR(HLOOKUP(U$3,[3]EMI!$D$5:$AA$19,13,FALSE),0)</f>
        <v>0</v>
      </c>
      <c r="V66" s="79">
        <f>IFERROR(HLOOKUP(V$3,[3]EMI!$D$5:$AA$19,13,FALSE),0)</f>
        <v>0</v>
      </c>
      <c r="W66" s="79">
        <f>IFERROR(HLOOKUP(W$3,[3]EMI!$D$5:$AA$19,13,FALSE),0)</f>
        <v>0</v>
      </c>
      <c r="X66" s="79">
        <f>IFERROR(HLOOKUP(X$3,[3]EMI!$D$5:$AA$19,13,FALSE),0)</f>
        <v>0</v>
      </c>
      <c r="Y66" s="79">
        <f>IFERROR(HLOOKUP(Y$3,[3]EMI!$D$5:$AA$19,13,FALSE),0)</f>
        <v>0</v>
      </c>
      <c r="Z66" s="79">
        <f>IFERROR(HLOOKUP(Z$3,[3]EMI!$D$5:$AA$19,13,FALSE),0)</f>
        <v>0</v>
      </c>
      <c r="AA66" s="79">
        <f>IFERROR(HLOOKUP(AA$3,[3]EMI!$D$5:$AA$19,13,FALSE),0)</f>
        <v>0</v>
      </c>
      <c r="AB66" s="79">
        <f>IFERROR(HLOOKUP(AB$3,[3]EMI!$D$5:$AA$19,13,FALSE),0)</f>
        <v>0</v>
      </c>
      <c r="AC66" s="79">
        <f>IFERROR(HLOOKUP(AC$3,[3]EMI!$D$5:$AA$19,13,FALSE),0)</f>
        <v>0</v>
      </c>
      <c r="AD66" s="79">
        <f>IFERROR(HLOOKUP(AD$3,[3]EMI!$D$5:$AA$19,13,FALSE),0)</f>
        <v>0</v>
      </c>
      <c r="AE66" s="79">
        <f>IFERROR(HLOOKUP(AE$3,[3]EMI!$D$5:$AA$19,13,FALSE),0)</f>
        <v>0</v>
      </c>
      <c r="AF66" s="79">
        <f>IFERROR(HLOOKUP(AF$3,[3]EMI!$D$5:$AA$19,13,FALSE),0)</f>
        <v>0</v>
      </c>
      <c r="AG66" s="79">
        <f>IFERROR(HLOOKUP(AG$3,[3]EMI!$D$5:$AA$19,13,FALSE),0)</f>
        <v>0</v>
      </c>
      <c r="AH66" s="79">
        <f>IFERROR(HLOOKUP(AH$3,[3]EMI!$D$5:$AA$19,13,FALSE),0)</f>
        <v>0</v>
      </c>
      <c r="AK66" s="45"/>
      <c r="AL66" s="45"/>
      <c r="AM66" s="46"/>
      <c r="AN66" s="47"/>
    </row>
    <row r="67" spans="1:40" x14ac:dyDescent="0.2">
      <c r="A67" s="48"/>
      <c r="B67" s="76"/>
      <c r="C67" s="72"/>
      <c r="D67" s="73" t="s">
        <v>28</v>
      </c>
      <c r="E67" s="72"/>
      <c r="F67" s="72"/>
      <c r="G67" s="72"/>
      <c r="H67" s="72"/>
      <c r="I67" s="72"/>
      <c r="J67" s="79">
        <f>IFERROR(HLOOKUP(J$3,[3]EMI!$D$5:$AA$19,14,FALSE),0)</f>
        <v>0</v>
      </c>
      <c r="K67" s="79">
        <f>IFERROR(HLOOKUP(K$3,[3]EMI!$D$5:$AA$19,14,FALSE),0)</f>
        <v>0</v>
      </c>
      <c r="L67" s="79">
        <f>IFERROR(HLOOKUP(L$3,[3]EMI!$D$5:$AA$19,14,FALSE),0)</f>
        <v>0</v>
      </c>
      <c r="M67" s="79">
        <f>IFERROR(HLOOKUP(M$3,[3]EMI!$D$5:$AA$19,14,FALSE),0)</f>
        <v>0</v>
      </c>
      <c r="N67" s="79">
        <f>IFERROR(HLOOKUP(N$3,[3]EMI!$D$5:$AA$19,14,FALSE),0)</f>
        <v>0</v>
      </c>
      <c r="O67" s="79">
        <f>IFERROR(HLOOKUP(O$3,[3]EMI!$D$5:$AA$19,14,FALSE),0)</f>
        <v>0</v>
      </c>
      <c r="P67" s="79">
        <f>IFERROR(HLOOKUP(P$3,[3]EMI!$D$5:$AA$19,14,FALSE),0)</f>
        <v>0</v>
      </c>
      <c r="Q67" s="79">
        <f>IFERROR(HLOOKUP(Q$3,[3]EMI!$D$5:$AA$19,14,FALSE),0)</f>
        <v>0</v>
      </c>
      <c r="R67" s="79">
        <f>IFERROR(HLOOKUP(R$3,[3]EMI!$D$5:$AA$19,14,FALSE),0)</f>
        <v>0</v>
      </c>
      <c r="S67" s="79">
        <f>IFERROR(HLOOKUP(S$3,[3]EMI!$D$5:$AA$19,14,FALSE),0)</f>
        <v>0</v>
      </c>
      <c r="T67" s="79">
        <f>IFERROR(HLOOKUP(T$3,[3]EMI!$D$5:$AA$19,14,FALSE),0)</f>
        <v>0</v>
      </c>
      <c r="U67" s="79">
        <f>IFERROR(HLOOKUP(U$3,[3]EMI!$D$5:$AA$19,14,FALSE),0)</f>
        <v>0</v>
      </c>
      <c r="V67" s="79">
        <f>IFERROR(HLOOKUP(V$3,[3]EMI!$D$5:$AA$19,14,FALSE),0)</f>
        <v>0</v>
      </c>
      <c r="W67" s="79">
        <f>IFERROR(HLOOKUP(W$3,[3]EMI!$D$5:$AA$19,14,FALSE),0)</f>
        <v>0</v>
      </c>
      <c r="X67" s="79">
        <f>IFERROR(HLOOKUP(X$3,[3]EMI!$D$5:$AA$19,14,FALSE),0)</f>
        <v>0</v>
      </c>
      <c r="Y67" s="79">
        <f>IFERROR(HLOOKUP(Y$3,[3]EMI!$D$5:$AA$19,14,FALSE),0)</f>
        <v>0</v>
      </c>
      <c r="Z67" s="79">
        <f>IFERROR(HLOOKUP(Z$3,[3]EMI!$D$5:$AA$19,14,FALSE),0)</f>
        <v>0</v>
      </c>
      <c r="AA67" s="79">
        <f>IFERROR(HLOOKUP(AA$3,[3]EMI!$D$5:$AA$19,14,FALSE),0)</f>
        <v>0</v>
      </c>
      <c r="AB67" s="79">
        <f>IFERROR(HLOOKUP(AB$3,[3]EMI!$D$5:$AA$19,14,FALSE),0)</f>
        <v>0</v>
      </c>
      <c r="AC67" s="79">
        <f>IFERROR(HLOOKUP(AC$3,[3]EMI!$D$5:$AA$19,14,FALSE),0)</f>
        <v>0</v>
      </c>
      <c r="AD67" s="79">
        <f>IFERROR(HLOOKUP(AD$3,[3]EMI!$D$5:$AA$19,14,FALSE),0)</f>
        <v>0</v>
      </c>
      <c r="AE67" s="79">
        <f>IFERROR(HLOOKUP(AE$3,[3]EMI!$D$5:$AA$19,14,FALSE),0)</f>
        <v>0</v>
      </c>
      <c r="AF67" s="79">
        <f>IFERROR(HLOOKUP(AF$3,[3]EMI!$D$5:$AA$19,14,FALSE),0)</f>
        <v>0</v>
      </c>
      <c r="AG67" s="79">
        <f>IFERROR(HLOOKUP(AG$3,[3]EMI!$D$5:$AA$19,14,FALSE),0)</f>
        <v>0</v>
      </c>
      <c r="AH67" s="79">
        <f>IFERROR(HLOOKUP(AH$3,[3]EMI!$D$5:$AA$19,14,FALSE),0)</f>
        <v>0</v>
      </c>
      <c r="AK67" s="45"/>
      <c r="AL67" s="45"/>
      <c r="AM67" s="46"/>
      <c r="AN67" s="47"/>
    </row>
    <row r="68" spans="1:40" x14ac:dyDescent="0.2">
      <c r="A68" s="48"/>
      <c r="B68" s="76"/>
      <c r="C68" s="72"/>
      <c r="D68" s="73"/>
      <c r="E68" s="72"/>
      <c r="F68" s="72"/>
      <c r="G68" s="72"/>
      <c r="H68" s="72"/>
      <c r="I68" s="72"/>
      <c r="J68" s="80">
        <f t="shared" ref="J68:AH68" si="67">J65+J67</f>
        <v>650</v>
      </c>
      <c r="K68" s="80">
        <f t="shared" si="67"/>
        <v>650</v>
      </c>
      <c r="L68" s="80">
        <f t="shared" si="67"/>
        <v>650</v>
      </c>
      <c r="M68" s="80">
        <f t="shared" si="67"/>
        <v>650</v>
      </c>
      <c r="N68" s="80">
        <f t="shared" si="67"/>
        <v>650</v>
      </c>
      <c r="O68" s="80">
        <f t="shared" si="67"/>
        <v>650</v>
      </c>
      <c r="P68" s="80">
        <f t="shared" si="67"/>
        <v>650</v>
      </c>
      <c r="Q68" s="80">
        <f t="shared" si="67"/>
        <v>650</v>
      </c>
      <c r="R68" s="80">
        <f t="shared" si="67"/>
        <v>650</v>
      </c>
      <c r="S68" s="80">
        <f t="shared" si="67"/>
        <v>650</v>
      </c>
      <c r="T68" s="80">
        <f t="shared" si="67"/>
        <v>650</v>
      </c>
      <c r="U68" s="80">
        <f t="shared" si="67"/>
        <v>650</v>
      </c>
      <c r="V68" s="80">
        <f t="shared" si="67"/>
        <v>650</v>
      </c>
      <c r="W68" s="80">
        <f t="shared" si="67"/>
        <v>650</v>
      </c>
      <c r="X68" s="80">
        <f t="shared" si="67"/>
        <v>650</v>
      </c>
      <c r="Y68" s="80">
        <f t="shared" si="67"/>
        <v>650</v>
      </c>
      <c r="Z68" s="80">
        <f t="shared" si="67"/>
        <v>650</v>
      </c>
      <c r="AA68" s="80">
        <f t="shared" si="67"/>
        <v>650</v>
      </c>
      <c r="AB68" s="80">
        <f t="shared" si="67"/>
        <v>650</v>
      </c>
      <c r="AC68" s="80">
        <f t="shared" si="67"/>
        <v>650</v>
      </c>
      <c r="AD68" s="80">
        <f t="shared" si="67"/>
        <v>650</v>
      </c>
      <c r="AE68" s="80">
        <f t="shared" si="67"/>
        <v>650</v>
      </c>
      <c r="AF68" s="80">
        <f t="shared" si="67"/>
        <v>650</v>
      </c>
      <c r="AG68" s="80">
        <f t="shared" si="67"/>
        <v>650</v>
      </c>
      <c r="AH68" s="80">
        <f t="shared" si="67"/>
        <v>650</v>
      </c>
      <c r="AK68" s="45"/>
      <c r="AL68" s="45"/>
      <c r="AM68" s="46"/>
      <c r="AN68" s="47"/>
    </row>
    <row r="69" spans="1:40" ht="15" x14ac:dyDescent="0.2">
      <c r="B69" s="76"/>
      <c r="C69" s="72"/>
      <c r="D69" s="73" t="s">
        <v>29</v>
      </c>
      <c r="E69" s="72"/>
      <c r="F69" s="72"/>
      <c r="G69" s="72"/>
      <c r="H69" s="72"/>
      <c r="I69" s="72"/>
      <c r="J69" s="79"/>
      <c r="K69" s="79"/>
      <c r="L69" s="79">
        <f t="shared" ref="L69:AH69" si="68">L56-L68</f>
        <v>-650</v>
      </c>
      <c r="M69" s="79">
        <f t="shared" si="68"/>
        <v>-650</v>
      </c>
      <c r="N69" s="79">
        <f t="shared" si="68"/>
        <v>-650</v>
      </c>
      <c r="O69" s="79">
        <f t="shared" si="68"/>
        <v>-650</v>
      </c>
      <c r="P69" s="79">
        <f t="shared" si="68"/>
        <v>-650</v>
      </c>
      <c r="Q69" s="79">
        <f t="shared" si="68"/>
        <v>-650</v>
      </c>
      <c r="R69" s="79">
        <f t="shared" si="68"/>
        <v>-650</v>
      </c>
      <c r="S69" s="79">
        <f t="shared" si="68"/>
        <v>-650</v>
      </c>
      <c r="T69" s="79">
        <f t="shared" si="68"/>
        <v>-650</v>
      </c>
      <c r="U69" s="79">
        <f t="shared" si="68"/>
        <v>-650</v>
      </c>
      <c r="V69" s="79">
        <f t="shared" si="68"/>
        <v>-650</v>
      </c>
      <c r="W69" s="79">
        <f t="shared" si="68"/>
        <v>-650</v>
      </c>
      <c r="X69" s="79">
        <f t="shared" si="68"/>
        <v>-650</v>
      </c>
      <c r="Y69" s="79">
        <f t="shared" si="68"/>
        <v>-650</v>
      </c>
      <c r="Z69" s="79">
        <f t="shared" si="68"/>
        <v>-650</v>
      </c>
      <c r="AA69" s="79">
        <f t="shared" si="68"/>
        <v>-650</v>
      </c>
      <c r="AB69" s="79">
        <f t="shared" si="68"/>
        <v>-650</v>
      </c>
      <c r="AC69" s="79">
        <f t="shared" si="68"/>
        <v>-650</v>
      </c>
      <c r="AD69" s="79">
        <f t="shared" si="68"/>
        <v>-650</v>
      </c>
      <c r="AE69" s="79">
        <f t="shared" si="68"/>
        <v>-650</v>
      </c>
      <c r="AF69" s="79">
        <f t="shared" si="68"/>
        <v>-650</v>
      </c>
      <c r="AG69" s="79">
        <f t="shared" si="68"/>
        <v>-650</v>
      </c>
      <c r="AH69" s="79">
        <f t="shared" si="68"/>
        <v>-650</v>
      </c>
      <c r="AI69" s="57"/>
      <c r="AJ69" s="47"/>
      <c r="AK69" s="47"/>
      <c r="AL69" s="47"/>
    </row>
    <row r="70" spans="1:40" ht="15" x14ac:dyDescent="0.2">
      <c r="B70" s="86"/>
      <c r="C70" s="69"/>
      <c r="D70" s="87"/>
      <c r="E70" s="69"/>
      <c r="F70" s="69"/>
      <c r="G70" s="69"/>
      <c r="H70" s="69"/>
      <c r="I70" s="69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57"/>
      <c r="AJ70" s="47"/>
      <c r="AK70" s="47"/>
      <c r="AL70" s="47"/>
    </row>
    <row r="71" spans="1:40" ht="15" x14ac:dyDescent="0.2">
      <c r="B71" s="86"/>
      <c r="C71" s="69"/>
      <c r="D71" s="87"/>
      <c r="E71" s="69"/>
      <c r="F71" s="69"/>
      <c r="G71" s="69"/>
      <c r="H71" s="69"/>
      <c r="I71" s="69"/>
      <c r="J71" s="69" t="s">
        <v>30</v>
      </c>
      <c r="K71" s="69"/>
      <c r="L71" s="98">
        <f>L74-L77</f>
        <v>0</v>
      </c>
      <c r="M71" s="98">
        <f t="shared" ref="M71:AH71" si="69">M74-M77</f>
        <v>0</v>
      </c>
      <c r="N71" s="98">
        <f t="shared" si="69"/>
        <v>0</v>
      </c>
      <c r="O71" s="98">
        <f t="shared" si="69"/>
        <v>0</v>
      </c>
      <c r="P71" s="98">
        <f t="shared" si="69"/>
        <v>0</v>
      </c>
      <c r="Q71" s="98">
        <f t="shared" si="69"/>
        <v>0</v>
      </c>
      <c r="R71" s="98">
        <f t="shared" si="69"/>
        <v>0</v>
      </c>
      <c r="S71" s="98">
        <f t="shared" si="69"/>
        <v>0</v>
      </c>
      <c r="T71" s="98">
        <f t="shared" si="69"/>
        <v>0</v>
      </c>
      <c r="U71" s="98">
        <f t="shared" si="69"/>
        <v>0</v>
      </c>
      <c r="V71" s="98">
        <f t="shared" si="69"/>
        <v>0</v>
      </c>
      <c r="W71" s="98">
        <f t="shared" si="69"/>
        <v>0</v>
      </c>
      <c r="X71" s="98">
        <f t="shared" si="69"/>
        <v>0</v>
      </c>
      <c r="Y71" s="98">
        <f t="shared" si="69"/>
        <v>0</v>
      </c>
      <c r="Z71" s="98">
        <f t="shared" si="69"/>
        <v>0</v>
      </c>
      <c r="AA71" s="98">
        <f t="shared" si="69"/>
        <v>0</v>
      </c>
      <c r="AB71" s="98">
        <f t="shared" si="69"/>
        <v>0</v>
      </c>
      <c r="AC71" s="98">
        <f t="shared" si="69"/>
        <v>0</v>
      </c>
      <c r="AD71" s="98">
        <f t="shared" si="69"/>
        <v>0</v>
      </c>
      <c r="AE71" s="98">
        <f t="shared" si="69"/>
        <v>0</v>
      </c>
      <c r="AF71" s="98">
        <f t="shared" si="69"/>
        <v>0</v>
      </c>
      <c r="AG71" s="98">
        <f t="shared" si="69"/>
        <v>0</v>
      </c>
      <c r="AH71" s="98">
        <f t="shared" si="69"/>
        <v>0</v>
      </c>
      <c r="AI71" s="57"/>
      <c r="AJ71" s="47"/>
      <c r="AK71" s="47"/>
      <c r="AL71" s="47"/>
    </row>
    <row r="72" spans="1:40" ht="15.75" x14ac:dyDescent="0.25">
      <c r="B72" s="89"/>
      <c r="C72" s="89"/>
      <c r="D72" s="89"/>
      <c r="E72" s="89"/>
      <c r="F72" s="89"/>
      <c r="G72" s="89"/>
      <c r="H72" s="89"/>
      <c r="I72" s="89"/>
      <c r="J72" s="97" t="s">
        <v>31</v>
      </c>
      <c r="K72" s="89"/>
      <c r="L72" s="98">
        <f>L75-L78</f>
        <v>-7228</v>
      </c>
      <c r="M72" s="98">
        <f t="shared" ref="M72:AH72" si="70">M75-M78</f>
        <v>-7228</v>
      </c>
      <c r="N72" s="98">
        <f t="shared" si="70"/>
        <v>-7228</v>
      </c>
      <c r="O72" s="98">
        <f t="shared" si="70"/>
        <v>-7228</v>
      </c>
      <c r="P72" s="98">
        <f t="shared" si="70"/>
        <v>-7228</v>
      </c>
      <c r="Q72" s="98">
        <f t="shared" si="70"/>
        <v>-7228</v>
      </c>
      <c r="R72" s="98">
        <f t="shared" si="70"/>
        <v>-7228</v>
      </c>
      <c r="S72" s="98">
        <f t="shared" si="70"/>
        <v>-7228</v>
      </c>
      <c r="T72" s="98">
        <f t="shared" si="70"/>
        <v>-7228</v>
      </c>
      <c r="U72" s="98">
        <f t="shared" si="70"/>
        <v>-7228</v>
      </c>
      <c r="V72" s="98">
        <f t="shared" si="70"/>
        <v>-7228</v>
      </c>
      <c r="W72" s="98">
        <f t="shared" si="70"/>
        <v>-7228</v>
      </c>
      <c r="X72" s="98">
        <f t="shared" si="70"/>
        <v>-7228</v>
      </c>
      <c r="Y72" s="98">
        <f t="shared" si="70"/>
        <v>-7228</v>
      </c>
      <c r="Z72" s="98">
        <f t="shared" si="70"/>
        <v>-7228</v>
      </c>
      <c r="AA72" s="98">
        <f t="shared" si="70"/>
        <v>-7228</v>
      </c>
      <c r="AB72" s="98">
        <f t="shared" si="70"/>
        <v>-7228</v>
      </c>
      <c r="AC72" s="98">
        <f t="shared" si="70"/>
        <v>-7228</v>
      </c>
      <c r="AD72" s="98">
        <f t="shared" si="70"/>
        <v>-7228</v>
      </c>
      <c r="AE72" s="98">
        <f t="shared" si="70"/>
        <v>-7228</v>
      </c>
      <c r="AF72" s="98">
        <f t="shared" si="70"/>
        <v>-7228</v>
      </c>
      <c r="AG72" s="98">
        <f t="shared" si="70"/>
        <v>-7228</v>
      </c>
      <c r="AH72" s="98">
        <f t="shared" si="70"/>
        <v>0</v>
      </c>
      <c r="AI72" s="57"/>
      <c r="AJ72" s="47"/>
      <c r="AK72" s="47"/>
      <c r="AL72" s="47"/>
    </row>
    <row r="73" spans="1:40" ht="15.75" x14ac:dyDescent="0.25">
      <c r="B73" s="89" t="s">
        <v>32</v>
      </c>
      <c r="C73" s="89"/>
      <c r="D73" s="92">
        <v>45376</v>
      </c>
      <c r="E73" s="93" t="s">
        <v>0</v>
      </c>
      <c r="F73" s="93" t="s">
        <v>0</v>
      </c>
      <c r="G73" s="93" t="s">
        <v>0</v>
      </c>
      <c r="H73" s="93" t="s">
        <v>0</v>
      </c>
      <c r="I73" s="93" t="s">
        <v>0</v>
      </c>
      <c r="J73" s="94" t="s">
        <v>0</v>
      </c>
      <c r="K73" s="94" t="s">
        <v>1</v>
      </c>
      <c r="L73" s="94" t="s">
        <v>2</v>
      </c>
      <c r="M73" s="94" t="s">
        <v>4</v>
      </c>
      <c r="N73" s="94" t="s">
        <v>0</v>
      </c>
      <c r="O73" s="94" t="s">
        <v>0</v>
      </c>
      <c r="P73" s="94" t="s">
        <v>0</v>
      </c>
      <c r="Q73" s="94" t="s">
        <v>0</v>
      </c>
      <c r="R73" s="94" t="s">
        <v>0</v>
      </c>
      <c r="S73" s="94" t="s">
        <v>0</v>
      </c>
      <c r="T73" s="94" t="s">
        <v>3</v>
      </c>
      <c r="U73" s="94" t="s">
        <v>4</v>
      </c>
      <c r="V73" s="94" t="s">
        <v>0</v>
      </c>
      <c r="W73" s="94" t="s">
        <v>0</v>
      </c>
      <c r="X73" s="94" t="s">
        <v>0</v>
      </c>
      <c r="Y73" s="94" t="s">
        <v>0</v>
      </c>
      <c r="Z73" s="94" t="s">
        <v>0</v>
      </c>
      <c r="AA73" s="94" t="s">
        <v>0</v>
      </c>
      <c r="AB73" s="94" t="s">
        <v>0</v>
      </c>
      <c r="AC73" s="94" t="s">
        <v>0</v>
      </c>
      <c r="AD73" s="94" t="s">
        <v>0</v>
      </c>
      <c r="AE73" s="94" t="s">
        <v>0</v>
      </c>
      <c r="AF73" s="94" t="s">
        <v>0</v>
      </c>
      <c r="AG73" s="94" t="s">
        <v>0</v>
      </c>
      <c r="AH73" s="94" t="s">
        <v>4</v>
      </c>
      <c r="AI73" s="57"/>
      <c r="AJ73" s="47"/>
      <c r="AK73" s="47"/>
      <c r="AL73" s="47"/>
    </row>
    <row r="74" spans="1:40" ht="15.75" x14ac:dyDescent="0.25">
      <c r="B74" s="89" t="s">
        <v>6</v>
      </c>
      <c r="C74" s="89" t="s">
        <v>103</v>
      </c>
      <c r="D74" s="95" t="s">
        <v>33</v>
      </c>
      <c r="E74" s="146">
        <f>E56</f>
        <v>0</v>
      </c>
      <c r="F74" s="146">
        <f t="shared" ref="F74:AH74" si="71">F56</f>
        <v>0</v>
      </c>
      <c r="G74" s="146">
        <f t="shared" si="71"/>
        <v>0</v>
      </c>
      <c r="H74" s="146">
        <f t="shared" si="71"/>
        <v>0</v>
      </c>
      <c r="I74" s="146">
        <f t="shared" si="71"/>
        <v>0</v>
      </c>
      <c r="J74" s="146">
        <f t="shared" si="71"/>
        <v>0</v>
      </c>
      <c r="K74" s="146">
        <f t="shared" si="71"/>
        <v>0</v>
      </c>
      <c r="L74" s="146">
        <f t="shared" si="71"/>
        <v>0</v>
      </c>
      <c r="M74" s="146">
        <f t="shared" si="71"/>
        <v>0</v>
      </c>
      <c r="N74" s="146">
        <f t="shared" si="71"/>
        <v>0</v>
      </c>
      <c r="O74" s="146">
        <f t="shared" si="71"/>
        <v>0</v>
      </c>
      <c r="P74" s="146">
        <f t="shared" si="71"/>
        <v>0</v>
      </c>
      <c r="Q74" s="146">
        <f t="shared" si="71"/>
        <v>0</v>
      </c>
      <c r="R74" s="146">
        <f t="shared" si="71"/>
        <v>0</v>
      </c>
      <c r="S74" s="146">
        <f t="shared" si="71"/>
        <v>0</v>
      </c>
      <c r="T74" s="146">
        <f t="shared" si="71"/>
        <v>0</v>
      </c>
      <c r="U74" s="146">
        <f t="shared" si="71"/>
        <v>0</v>
      </c>
      <c r="V74" s="146">
        <f t="shared" si="71"/>
        <v>0</v>
      </c>
      <c r="W74" s="146">
        <f t="shared" si="71"/>
        <v>0</v>
      </c>
      <c r="X74" s="146">
        <f t="shared" si="71"/>
        <v>0</v>
      </c>
      <c r="Y74" s="146">
        <f t="shared" si="71"/>
        <v>0</v>
      </c>
      <c r="Z74" s="146">
        <f t="shared" si="71"/>
        <v>0</v>
      </c>
      <c r="AA74" s="146">
        <f t="shared" si="71"/>
        <v>0</v>
      </c>
      <c r="AB74" s="146">
        <f t="shared" si="71"/>
        <v>0</v>
      </c>
      <c r="AC74" s="146">
        <f t="shared" si="71"/>
        <v>0</v>
      </c>
      <c r="AD74" s="146">
        <f t="shared" si="71"/>
        <v>0</v>
      </c>
      <c r="AE74" s="146">
        <f t="shared" si="71"/>
        <v>0</v>
      </c>
      <c r="AF74" s="146">
        <f t="shared" si="71"/>
        <v>0</v>
      </c>
      <c r="AG74" s="146">
        <f t="shared" si="71"/>
        <v>0</v>
      </c>
      <c r="AH74" s="146">
        <f t="shared" si="71"/>
        <v>0</v>
      </c>
      <c r="AI74" s="57"/>
      <c r="AJ74" s="47"/>
      <c r="AK74" s="47"/>
      <c r="AL74" s="47"/>
    </row>
    <row r="75" spans="1:40" ht="15.75" x14ac:dyDescent="0.25">
      <c r="B75" s="89"/>
      <c r="C75" s="89"/>
      <c r="D75" s="95" t="s">
        <v>34</v>
      </c>
      <c r="E75" s="146">
        <f>E57</f>
        <v>0</v>
      </c>
      <c r="F75" s="146">
        <f t="shared" ref="F75:AH75" si="72">F57</f>
        <v>0</v>
      </c>
      <c r="G75" s="146">
        <f t="shared" si="72"/>
        <v>0</v>
      </c>
      <c r="H75" s="146">
        <f t="shared" si="72"/>
        <v>0</v>
      </c>
      <c r="I75" s="146">
        <f t="shared" si="72"/>
        <v>0</v>
      </c>
      <c r="J75" s="146">
        <f t="shared" si="72"/>
        <v>0</v>
      </c>
      <c r="K75" s="146">
        <f t="shared" si="72"/>
        <v>0</v>
      </c>
      <c r="L75" s="146">
        <f t="shared" si="72"/>
        <v>0</v>
      </c>
      <c r="M75" s="146">
        <f t="shared" si="72"/>
        <v>0</v>
      </c>
      <c r="N75" s="146">
        <f t="shared" si="72"/>
        <v>0</v>
      </c>
      <c r="O75" s="146">
        <f t="shared" si="72"/>
        <v>0</v>
      </c>
      <c r="P75" s="146">
        <f t="shared" si="72"/>
        <v>0</v>
      </c>
      <c r="Q75" s="146">
        <f t="shared" si="72"/>
        <v>0</v>
      </c>
      <c r="R75" s="146">
        <f t="shared" si="72"/>
        <v>0</v>
      </c>
      <c r="S75" s="146">
        <f t="shared" si="72"/>
        <v>0</v>
      </c>
      <c r="T75" s="146">
        <f t="shared" si="72"/>
        <v>0</v>
      </c>
      <c r="U75" s="146">
        <f t="shared" si="72"/>
        <v>0</v>
      </c>
      <c r="V75" s="146">
        <f t="shared" si="72"/>
        <v>0</v>
      </c>
      <c r="W75" s="146">
        <f t="shared" si="72"/>
        <v>0</v>
      </c>
      <c r="X75" s="146">
        <f t="shared" si="72"/>
        <v>0</v>
      </c>
      <c r="Y75" s="146">
        <f t="shared" si="72"/>
        <v>0</v>
      </c>
      <c r="Z75" s="146">
        <f t="shared" si="72"/>
        <v>0</v>
      </c>
      <c r="AA75" s="146">
        <f t="shared" si="72"/>
        <v>0</v>
      </c>
      <c r="AB75" s="146">
        <f t="shared" si="72"/>
        <v>0</v>
      </c>
      <c r="AC75" s="146">
        <f t="shared" si="72"/>
        <v>0</v>
      </c>
      <c r="AD75" s="146">
        <f t="shared" si="72"/>
        <v>0</v>
      </c>
      <c r="AE75" s="146">
        <f t="shared" si="72"/>
        <v>0</v>
      </c>
      <c r="AF75" s="146">
        <f t="shared" si="72"/>
        <v>0</v>
      </c>
      <c r="AG75" s="146">
        <f t="shared" si="72"/>
        <v>0</v>
      </c>
      <c r="AH75" s="146">
        <f t="shared" si="72"/>
        <v>0</v>
      </c>
      <c r="AI75" s="57"/>
      <c r="AJ75" s="47"/>
      <c r="AK75" s="47"/>
      <c r="AL75" s="47"/>
    </row>
    <row r="76" spans="1:40" ht="15.75" x14ac:dyDescent="0.25">
      <c r="B76" s="89"/>
      <c r="C76" s="89"/>
      <c r="D76" s="92">
        <v>45369</v>
      </c>
      <c r="E76" s="94" t="s">
        <v>0</v>
      </c>
      <c r="F76" s="94" t="s">
        <v>0</v>
      </c>
      <c r="G76" s="94" t="s">
        <v>0</v>
      </c>
      <c r="H76" s="94" t="s">
        <v>0</v>
      </c>
      <c r="I76" s="94" t="s">
        <v>0</v>
      </c>
      <c r="J76" s="94" t="s">
        <v>1</v>
      </c>
      <c r="K76" s="94" t="s">
        <v>2</v>
      </c>
      <c r="L76" s="94" t="s">
        <v>4</v>
      </c>
      <c r="M76" s="94" t="s">
        <v>0</v>
      </c>
      <c r="N76" s="94" t="s">
        <v>0</v>
      </c>
      <c r="O76" s="94" t="s">
        <v>0</v>
      </c>
      <c r="P76" s="94" t="s">
        <v>0</v>
      </c>
      <c r="Q76" s="94" t="s">
        <v>0</v>
      </c>
      <c r="R76" s="94" t="s">
        <v>0</v>
      </c>
      <c r="S76" s="94" t="s">
        <v>3</v>
      </c>
      <c r="T76" s="94" t="s">
        <v>4</v>
      </c>
      <c r="U76" s="94" t="s">
        <v>0</v>
      </c>
      <c r="V76" s="94" t="s">
        <v>0</v>
      </c>
      <c r="W76" s="94" t="s">
        <v>0</v>
      </c>
      <c r="X76" s="94" t="s">
        <v>0</v>
      </c>
      <c r="Y76" s="94" t="s">
        <v>0</v>
      </c>
      <c r="Z76" s="94" t="s">
        <v>0</v>
      </c>
      <c r="AA76" s="94" t="s">
        <v>0</v>
      </c>
      <c r="AB76" s="94" t="s">
        <v>0</v>
      </c>
      <c r="AC76" s="94" t="s">
        <v>0</v>
      </c>
      <c r="AD76" s="94" t="s">
        <v>0</v>
      </c>
      <c r="AE76" s="94" t="s">
        <v>0</v>
      </c>
      <c r="AF76" s="94" t="s">
        <v>0</v>
      </c>
      <c r="AG76" s="94" t="s">
        <v>4</v>
      </c>
      <c r="AH76" s="94"/>
      <c r="AI76" s="57"/>
      <c r="AJ76" s="47"/>
      <c r="AK76" s="47"/>
      <c r="AL76" s="47"/>
    </row>
    <row r="77" spans="1:40" ht="15.75" x14ac:dyDescent="0.25">
      <c r="B77" s="89"/>
      <c r="C77" s="89"/>
      <c r="D77" s="95" t="s">
        <v>33</v>
      </c>
      <c r="E77" s="146">
        <v>196</v>
      </c>
      <c r="F77" s="146">
        <v>196</v>
      </c>
      <c r="G77" s="146">
        <v>204</v>
      </c>
      <c r="H77" s="146">
        <v>4</v>
      </c>
      <c r="I77" s="146">
        <v>8</v>
      </c>
      <c r="J77" s="146">
        <v>4</v>
      </c>
      <c r="K77" s="146">
        <v>0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6">
        <v>0</v>
      </c>
      <c r="Y77" s="146">
        <v>0</v>
      </c>
      <c r="Z77" s="146">
        <v>0</v>
      </c>
      <c r="AA77" s="146">
        <v>0</v>
      </c>
      <c r="AB77" s="146">
        <v>0</v>
      </c>
      <c r="AC77" s="146">
        <v>0</v>
      </c>
      <c r="AD77" s="146">
        <v>0</v>
      </c>
      <c r="AE77" s="146">
        <v>0</v>
      </c>
      <c r="AF77" s="146">
        <v>0</v>
      </c>
      <c r="AG77" s="146">
        <v>0</v>
      </c>
      <c r="AH77" s="146"/>
      <c r="AI77" s="57"/>
      <c r="AJ77" s="47"/>
      <c r="AK77" s="47"/>
      <c r="AL77" s="47"/>
    </row>
    <row r="78" spans="1:40" ht="15.75" x14ac:dyDescent="0.25">
      <c r="B78" s="89"/>
      <c r="C78" s="89"/>
      <c r="D78" s="95" t="s">
        <v>34</v>
      </c>
      <c r="E78" s="146">
        <v>6812</v>
      </c>
      <c r="F78" s="146">
        <v>7008</v>
      </c>
      <c r="G78" s="146">
        <v>7212</v>
      </c>
      <c r="H78" s="146">
        <v>7216</v>
      </c>
      <c r="I78" s="146">
        <v>7224</v>
      </c>
      <c r="J78" s="146">
        <v>7228</v>
      </c>
      <c r="K78" s="146">
        <v>7228</v>
      </c>
      <c r="L78" s="146">
        <v>7228</v>
      </c>
      <c r="M78" s="146">
        <v>7228</v>
      </c>
      <c r="N78" s="146">
        <v>7228</v>
      </c>
      <c r="O78" s="146">
        <v>7228</v>
      </c>
      <c r="P78" s="146">
        <v>7228</v>
      </c>
      <c r="Q78" s="146">
        <v>7228</v>
      </c>
      <c r="R78" s="146">
        <v>7228</v>
      </c>
      <c r="S78" s="146">
        <v>7228</v>
      </c>
      <c r="T78" s="146">
        <v>7228</v>
      </c>
      <c r="U78" s="146">
        <v>7228</v>
      </c>
      <c r="V78" s="146">
        <v>7228</v>
      </c>
      <c r="W78" s="146">
        <v>7228</v>
      </c>
      <c r="X78" s="146">
        <v>7228</v>
      </c>
      <c r="Y78" s="146">
        <v>7228</v>
      </c>
      <c r="Z78" s="146">
        <v>7228</v>
      </c>
      <c r="AA78" s="146">
        <v>7228</v>
      </c>
      <c r="AB78" s="146">
        <v>7228</v>
      </c>
      <c r="AC78" s="146">
        <v>7228</v>
      </c>
      <c r="AD78" s="146">
        <v>7228</v>
      </c>
      <c r="AE78" s="146">
        <v>7228</v>
      </c>
      <c r="AF78" s="146">
        <v>7228</v>
      </c>
      <c r="AG78" s="146">
        <v>7228</v>
      </c>
      <c r="AH78" s="146"/>
      <c r="AI78" s="57"/>
      <c r="AJ78" s="47"/>
      <c r="AK78" s="47"/>
      <c r="AL78" s="47"/>
    </row>
    <row r="79" spans="1:40" ht="15.75" x14ac:dyDescent="0.25">
      <c r="B79" s="89"/>
      <c r="C79" s="89"/>
      <c r="D79" s="92">
        <v>45362</v>
      </c>
      <c r="E79" s="94" t="s">
        <v>0</v>
      </c>
      <c r="F79" s="94" t="s">
        <v>0</v>
      </c>
      <c r="G79" s="94" t="s">
        <v>0</v>
      </c>
      <c r="H79" s="94" t="s">
        <v>0</v>
      </c>
      <c r="I79" s="94" t="s">
        <v>1</v>
      </c>
      <c r="J79" s="94" t="s">
        <v>2</v>
      </c>
      <c r="K79" s="94" t="s">
        <v>4</v>
      </c>
      <c r="L79" s="94" t="s">
        <v>0</v>
      </c>
      <c r="M79" s="94" t="s">
        <v>0</v>
      </c>
      <c r="N79" s="94" t="s">
        <v>0</v>
      </c>
      <c r="O79" s="94" t="s">
        <v>0</v>
      </c>
      <c r="P79" s="94" t="s">
        <v>0</v>
      </c>
      <c r="Q79" s="94" t="s">
        <v>0</v>
      </c>
      <c r="R79" s="94" t="s">
        <v>3</v>
      </c>
      <c r="S79" s="94" t="s">
        <v>4</v>
      </c>
      <c r="T79" s="94" t="s">
        <v>0</v>
      </c>
      <c r="U79" s="94" t="s">
        <v>0</v>
      </c>
      <c r="V79" s="94" t="s">
        <v>0</v>
      </c>
      <c r="W79" s="94" t="s">
        <v>0</v>
      </c>
      <c r="X79" s="94" t="s">
        <v>0</v>
      </c>
      <c r="Y79" s="94" t="s">
        <v>0</v>
      </c>
      <c r="Z79" s="94" t="s">
        <v>0</v>
      </c>
      <c r="AA79" s="94" t="s">
        <v>0</v>
      </c>
      <c r="AB79" s="94" t="s">
        <v>0</v>
      </c>
      <c r="AC79" s="94" t="s">
        <v>0</v>
      </c>
      <c r="AD79" s="94" t="s">
        <v>0</v>
      </c>
      <c r="AE79" s="94" t="s">
        <v>0</v>
      </c>
      <c r="AF79" s="94" t="s">
        <v>4</v>
      </c>
      <c r="AG79" s="94"/>
      <c r="AH79" s="94"/>
      <c r="AI79" s="57"/>
      <c r="AJ79" s="47"/>
      <c r="AK79" s="47"/>
      <c r="AL79" s="47"/>
    </row>
    <row r="80" spans="1:40" ht="15.75" x14ac:dyDescent="0.25">
      <c r="B80" s="89"/>
      <c r="C80" s="89"/>
      <c r="D80" s="95" t="s">
        <v>33</v>
      </c>
      <c r="E80" s="146">
        <v>196</v>
      </c>
      <c r="F80" s="146">
        <v>196</v>
      </c>
      <c r="G80" s="146">
        <v>204</v>
      </c>
      <c r="H80" s="146">
        <v>4</v>
      </c>
      <c r="I80" s="146">
        <v>8</v>
      </c>
      <c r="J80" s="146">
        <v>4</v>
      </c>
      <c r="K80" s="146">
        <v>0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</v>
      </c>
      <c r="S80" s="146">
        <v>0</v>
      </c>
      <c r="T80" s="146">
        <v>0</v>
      </c>
      <c r="U80" s="146">
        <v>0</v>
      </c>
      <c r="V80" s="146">
        <v>0</v>
      </c>
      <c r="W80" s="146">
        <v>0</v>
      </c>
      <c r="X80" s="146">
        <v>0</v>
      </c>
      <c r="Y80" s="146">
        <v>0</v>
      </c>
      <c r="Z80" s="146">
        <v>0</v>
      </c>
      <c r="AA80" s="146">
        <v>0</v>
      </c>
      <c r="AB80" s="146">
        <v>0</v>
      </c>
      <c r="AC80" s="146">
        <v>0</v>
      </c>
      <c r="AD80" s="146">
        <v>0</v>
      </c>
      <c r="AE80" s="146">
        <v>0</v>
      </c>
      <c r="AF80" s="146">
        <v>0</v>
      </c>
      <c r="AG80" s="146"/>
      <c r="AH80" s="146"/>
      <c r="AI80" s="57"/>
      <c r="AJ80" s="47"/>
      <c r="AK80" s="47"/>
      <c r="AL80" s="47"/>
    </row>
    <row r="81" spans="2:38" ht="15.75" x14ac:dyDescent="0.25">
      <c r="B81" s="89"/>
      <c r="C81" s="89"/>
      <c r="D81" s="95" t="s">
        <v>34</v>
      </c>
      <c r="E81" s="146">
        <v>6812</v>
      </c>
      <c r="F81" s="146">
        <v>7008</v>
      </c>
      <c r="G81" s="146">
        <v>7212</v>
      </c>
      <c r="H81" s="146">
        <v>7216</v>
      </c>
      <c r="I81" s="146">
        <v>7224</v>
      </c>
      <c r="J81" s="146">
        <v>7228</v>
      </c>
      <c r="K81" s="146">
        <v>7228</v>
      </c>
      <c r="L81" s="146">
        <v>7228</v>
      </c>
      <c r="M81" s="146">
        <v>7228</v>
      </c>
      <c r="N81" s="146">
        <v>7228</v>
      </c>
      <c r="O81" s="146">
        <v>7228</v>
      </c>
      <c r="P81" s="146">
        <v>7228</v>
      </c>
      <c r="Q81" s="146">
        <v>7228</v>
      </c>
      <c r="R81" s="146">
        <v>7228</v>
      </c>
      <c r="S81" s="146">
        <v>7228</v>
      </c>
      <c r="T81" s="146">
        <v>7228</v>
      </c>
      <c r="U81" s="146">
        <v>7228</v>
      </c>
      <c r="V81" s="146">
        <v>7228</v>
      </c>
      <c r="W81" s="146">
        <v>7228</v>
      </c>
      <c r="X81" s="146">
        <v>7228</v>
      </c>
      <c r="Y81" s="146">
        <v>7228</v>
      </c>
      <c r="Z81" s="146">
        <v>7228</v>
      </c>
      <c r="AA81" s="146">
        <v>7228</v>
      </c>
      <c r="AB81" s="146">
        <v>7228</v>
      </c>
      <c r="AC81" s="146">
        <v>7228</v>
      </c>
      <c r="AD81" s="146">
        <v>7228</v>
      </c>
      <c r="AE81" s="146">
        <v>7228</v>
      </c>
      <c r="AF81" s="146">
        <v>7228</v>
      </c>
      <c r="AG81" s="146"/>
      <c r="AH81" s="146"/>
      <c r="AI81" s="57"/>
      <c r="AJ81" s="47"/>
      <c r="AK81" s="47"/>
      <c r="AL81" s="47"/>
    </row>
    <row r="82" spans="2:38" ht="15.75" x14ac:dyDescent="0.25">
      <c r="B82" s="89"/>
      <c r="C82" s="89"/>
      <c r="D82" s="92">
        <v>45355</v>
      </c>
      <c r="E82" s="94" t="s">
        <v>0</v>
      </c>
      <c r="F82" s="94" t="s">
        <v>0</v>
      </c>
      <c r="G82" s="94" t="s">
        <v>0</v>
      </c>
      <c r="H82" s="94" t="s">
        <v>1</v>
      </c>
      <c r="I82" s="94" t="s">
        <v>2</v>
      </c>
      <c r="J82" s="94" t="s">
        <v>4</v>
      </c>
      <c r="K82" s="94" t="s">
        <v>0</v>
      </c>
      <c r="L82" s="94" t="s">
        <v>0</v>
      </c>
      <c r="M82" s="94" t="s">
        <v>0</v>
      </c>
      <c r="N82" s="94" t="s">
        <v>0</v>
      </c>
      <c r="O82" s="94" t="s">
        <v>0</v>
      </c>
      <c r="P82" s="94" t="s">
        <v>0</v>
      </c>
      <c r="Q82" s="94" t="s">
        <v>3</v>
      </c>
      <c r="R82" s="94" t="s">
        <v>4</v>
      </c>
      <c r="S82" s="94" t="s">
        <v>0</v>
      </c>
      <c r="T82" s="94" t="s">
        <v>0</v>
      </c>
      <c r="U82" s="94" t="s">
        <v>0</v>
      </c>
      <c r="V82" s="94" t="s">
        <v>0</v>
      </c>
      <c r="W82" s="94" t="s">
        <v>0</v>
      </c>
      <c r="X82" s="94" t="s">
        <v>0</v>
      </c>
      <c r="Y82" s="94" t="s">
        <v>0</v>
      </c>
      <c r="Z82" s="94" t="s">
        <v>0</v>
      </c>
      <c r="AA82" s="94" t="s">
        <v>0</v>
      </c>
      <c r="AB82" s="94" t="s">
        <v>0</v>
      </c>
      <c r="AC82" s="94" t="s">
        <v>0</v>
      </c>
      <c r="AD82" s="94" t="s">
        <v>0</v>
      </c>
      <c r="AE82" s="94" t="s">
        <v>4</v>
      </c>
      <c r="AF82" s="94"/>
      <c r="AG82" s="94"/>
      <c r="AH82" s="94"/>
      <c r="AI82" s="57"/>
      <c r="AJ82" s="47"/>
      <c r="AK82" s="47"/>
      <c r="AL82" s="47"/>
    </row>
    <row r="83" spans="2:38" ht="15.75" x14ac:dyDescent="0.25">
      <c r="B83" s="89"/>
      <c r="C83" s="89"/>
      <c r="D83" s="95" t="s">
        <v>33</v>
      </c>
      <c r="E83" s="146">
        <v>196</v>
      </c>
      <c r="F83" s="146">
        <v>196</v>
      </c>
      <c r="G83" s="146">
        <v>204</v>
      </c>
      <c r="H83" s="146">
        <v>4</v>
      </c>
      <c r="I83" s="146">
        <v>8</v>
      </c>
      <c r="J83" s="146">
        <v>4</v>
      </c>
      <c r="K83" s="146">
        <v>0</v>
      </c>
      <c r="L83" s="146">
        <v>0</v>
      </c>
      <c r="M83" s="146">
        <v>0</v>
      </c>
      <c r="N83" s="146">
        <v>0</v>
      </c>
      <c r="O83" s="146">
        <v>0</v>
      </c>
      <c r="P83" s="146">
        <v>0</v>
      </c>
      <c r="Q83" s="146">
        <v>0</v>
      </c>
      <c r="R83" s="146">
        <v>0</v>
      </c>
      <c r="S83" s="146">
        <v>0</v>
      </c>
      <c r="T83" s="146">
        <v>0</v>
      </c>
      <c r="U83" s="146">
        <v>0</v>
      </c>
      <c r="V83" s="146">
        <v>0</v>
      </c>
      <c r="W83" s="146">
        <v>0</v>
      </c>
      <c r="X83" s="146">
        <v>0</v>
      </c>
      <c r="Y83" s="146">
        <v>0</v>
      </c>
      <c r="Z83" s="146">
        <v>0</v>
      </c>
      <c r="AA83" s="146">
        <v>0</v>
      </c>
      <c r="AB83" s="146">
        <v>0</v>
      </c>
      <c r="AC83" s="146">
        <v>0</v>
      </c>
      <c r="AD83" s="146">
        <v>0</v>
      </c>
      <c r="AE83" s="146">
        <v>0</v>
      </c>
      <c r="AF83" s="146"/>
      <c r="AG83" s="146"/>
      <c r="AH83" s="146"/>
      <c r="AI83" s="57"/>
      <c r="AJ83" s="47"/>
      <c r="AK83" s="47"/>
      <c r="AL83" s="47"/>
    </row>
    <row r="84" spans="2:38" ht="15.75" x14ac:dyDescent="0.25">
      <c r="B84" s="89"/>
      <c r="C84" s="89"/>
      <c r="D84" s="95" t="s">
        <v>34</v>
      </c>
      <c r="E84" s="146">
        <v>6812</v>
      </c>
      <c r="F84" s="146">
        <v>7008</v>
      </c>
      <c r="G84" s="146">
        <v>7212</v>
      </c>
      <c r="H84" s="146">
        <v>7216</v>
      </c>
      <c r="I84" s="146">
        <v>7224</v>
      </c>
      <c r="J84" s="146">
        <v>7228</v>
      </c>
      <c r="K84" s="146">
        <v>7228</v>
      </c>
      <c r="L84" s="146">
        <v>7228</v>
      </c>
      <c r="M84" s="146">
        <v>7228</v>
      </c>
      <c r="N84" s="146">
        <v>7228</v>
      </c>
      <c r="O84" s="146">
        <v>7228</v>
      </c>
      <c r="P84" s="146">
        <v>7228</v>
      </c>
      <c r="Q84" s="146">
        <v>7228</v>
      </c>
      <c r="R84" s="146">
        <v>7228</v>
      </c>
      <c r="S84" s="146">
        <v>7228</v>
      </c>
      <c r="T84" s="146">
        <v>7228</v>
      </c>
      <c r="U84" s="146">
        <v>7228</v>
      </c>
      <c r="V84" s="146">
        <v>7228</v>
      </c>
      <c r="W84" s="146">
        <v>7228</v>
      </c>
      <c r="X84" s="146">
        <v>7228</v>
      </c>
      <c r="Y84" s="146">
        <v>7228</v>
      </c>
      <c r="Z84" s="146">
        <v>7228</v>
      </c>
      <c r="AA84" s="146">
        <v>7228</v>
      </c>
      <c r="AB84" s="146">
        <v>7228</v>
      </c>
      <c r="AC84" s="146">
        <v>7228</v>
      </c>
      <c r="AD84" s="146">
        <v>7228</v>
      </c>
      <c r="AE84" s="146">
        <v>7228</v>
      </c>
      <c r="AF84" s="146"/>
      <c r="AG84" s="146"/>
      <c r="AH84" s="146"/>
      <c r="AI84" s="57"/>
      <c r="AJ84" s="47"/>
      <c r="AK84" s="47"/>
      <c r="AL84" s="47"/>
    </row>
    <row r="85" spans="2:38" ht="15.75" x14ac:dyDescent="0.25">
      <c r="B85" s="89"/>
      <c r="C85" s="89"/>
      <c r="D85" s="92">
        <v>45348</v>
      </c>
      <c r="E85" s="94" t="s">
        <v>0</v>
      </c>
      <c r="F85" s="94" t="s">
        <v>0</v>
      </c>
      <c r="G85" s="94" t="s">
        <v>1</v>
      </c>
      <c r="H85" s="94" t="s">
        <v>2</v>
      </c>
      <c r="I85" s="94" t="s">
        <v>4</v>
      </c>
      <c r="J85" s="94" t="s">
        <v>0</v>
      </c>
      <c r="K85" s="94" t="s">
        <v>0</v>
      </c>
      <c r="L85" s="94" t="s">
        <v>0</v>
      </c>
      <c r="M85" s="94" t="s">
        <v>0</v>
      </c>
      <c r="N85" s="94" t="s">
        <v>0</v>
      </c>
      <c r="O85" s="94" t="s">
        <v>0</v>
      </c>
      <c r="P85" s="94" t="s">
        <v>3</v>
      </c>
      <c r="Q85" s="94" t="s">
        <v>4</v>
      </c>
      <c r="R85" s="94" t="s">
        <v>0</v>
      </c>
      <c r="S85" s="94" t="s">
        <v>0</v>
      </c>
      <c r="T85" s="94" t="s">
        <v>0</v>
      </c>
      <c r="U85" s="94" t="s">
        <v>0</v>
      </c>
      <c r="V85" s="94" t="s">
        <v>0</v>
      </c>
      <c r="W85" s="94" t="s">
        <v>0</v>
      </c>
      <c r="X85" s="94" t="s">
        <v>0</v>
      </c>
      <c r="Y85" s="94" t="s">
        <v>0</v>
      </c>
      <c r="Z85" s="94" t="s">
        <v>0</v>
      </c>
      <c r="AA85" s="94" t="s">
        <v>0</v>
      </c>
      <c r="AB85" s="94" t="s">
        <v>0</v>
      </c>
      <c r="AC85" s="94" t="s">
        <v>0</v>
      </c>
      <c r="AD85" s="94" t="s">
        <v>4</v>
      </c>
      <c r="AE85" s="94"/>
      <c r="AF85" s="94"/>
      <c r="AG85" s="94"/>
      <c r="AH85" s="94"/>
      <c r="AI85" s="57"/>
      <c r="AJ85" s="47"/>
      <c r="AK85" s="47"/>
      <c r="AL85" s="47"/>
    </row>
    <row r="86" spans="2:38" ht="15.75" x14ac:dyDescent="0.25">
      <c r="B86" s="89"/>
      <c r="C86" s="89"/>
      <c r="D86" s="95" t="s">
        <v>33</v>
      </c>
      <c r="E86" s="146">
        <v>196</v>
      </c>
      <c r="F86" s="146">
        <v>196</v>
      </c>
      <c r="G86" s="146">
        <v>204</v>
      </c>
      <c r="H86" s="146">
        <v>4</v>
      </c>
      <c r="I86" s="146">
        <v>8</v>
      </c>
      <c r="J86" s="146">
        <v>4</v>
      </c>
      <c r="K86" s="146">
        <v>0</v>
      </c>
      <c r="L86" s="146">
        <v>0</v>
      </c>
      <c r="M86" s="146">
        <v>0</v>
      </c>
      <c r="N86" s="146">
        <v>0</v>
      </c>
      <c r="O86" s="146">
        <v>0</v>
      </c>
      <c r="P86" s="146">
        <v>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6">
        <v>0</v>
      </c>
      <c r="Y86" s="146">
        <v>0</v>
      </c>
      <c r="Z86" s="146">
        <v>0</v>
      </c>
      <c r="AA86" s="146">
        <v>0</v>
      </c>
      <c r="AB86" s="146">
        <v>0</v>
      </c>
      <c r="AC86" s="146">
        <v>0</v>
      </c>
      <c r="AD86" s="146">
        <v>0</v>
      </c>
      <c r="AE86" s="146"/>
      <c r="AF86" s="146"/>
      <c r="AG86" s="146"/>
      <c r="AH86" s="146"/>
      <c r="AI86" s="57"/>
      <c r="AJ86" s="47"/>
      <c r="AK86" s="47"/>
      <c r="AL86" s="47"/>
    </row>
    <row r="87" spans="2:38" ht="15.75" x14ac:dyDescent="0.25">
      <c r="B87" s="89"/>
      <c r="C87" s="89"/>
      <c r="D87" s="95" t="s">
        <v>34</v>
      </c>
      <c r="E87" s="146">
        <v>6812</v>
      </c>
      <c r="F87" s="146">
        <v>7008</v>
      </c>
      <c r="G87" s="146">
        <v>7212</v>
      </c>
      <c r="H87" s="146">
        <v>7216</v>
      </c>
      <c r="I87" s="146">
        <v>7224</v>
      </c>
      <c r="J87" s="146">
        <v>7228</v>
      </c>
      <c r="K87" s="146">
        <v>7228</v>
      </c>
      <c r="L87" s="146">
        <v>7228</v>
      </c>
      <c r="M87" s="146">
        <v>7228</v>
      </c>
      <c r="N87" s="146">
        <v>7228</v>
      </c>
      <c r="O87" s="146">
        <v>7228</v>
      </c>
      <c r="P87" s="146">
        <v>7228</v>
      </c>
      <c r="Q87" s="146">
        <v>7228</v>
      </c>
      <c r="R87" s="146">
        <v>7228</v>
      </c>
      <c r="S87" s="146">
        <v>7228</v>
      </c>
      <c r="T87" s="146">
        <v>7228</v>
      </c>
      <c r="U87" s="146">
        <v>7228</v>
      </c>
      <c r="V87" s="146">
        <v>7228</v>
      </c>
      <c r="W87" s="146">
        <v>7228</v>
      </c>
      <c r="X87" s="146">
        <v>7228</v>
      </c>
      <c r="Y87" s="146">
        <v>7228</v>
      </c>
      <c r="Z87" s="146">
        <v>7228</v>
      </c>
      <c r="AA87" s="146">
        <v>7228</v>
      </c>
      <c r="AB87" s="146">
        <v>7228</v>
      </c>
      <c r="AC87" s="146">
        <v>7228</v>
      </c>
      <c r="AD87" s="146">
        <v>7228</v>
      </c>
      <c r="AE87" s="146"/>
      <c r="AF87" s="146"/>
      <c r="AG87" s="146"/>
      <c r="AH87" s="146"/>
      <c r="AI87" s="57"/>
      <c r="AJ87" s="47"/>
      <c r="AK87" s="47"/>
      <c r="AL87" s="47"/>
    </row>
    <row r="88" spans="2:38" ht="15.75" x14ac:dyDescent="0.25">
      <c r="B88" s="89"/>
      <c r="C88" s="89"/>
      <c r="D88" s="92">
        <v>45341</v>
      </c>
      <c r="E88" s="94" t="s">
        <v>0</v>
      </c>
      <c r="F88" s="94" t="s">
        <v>1</v>
      </c>
      <c r="G88" s="94" t="s">
        <v>2</v>
      </c>
      <c r="H88" s="94" t="s">
        <v>4</v>
      </c>
      <c r="I88" s="94" t="s">
        <v>0</v>
      </c>
      <c r="J88" s="94" t="s">
        <v>0</v>
      </c>
      <c r="K88" s="94" t="s">
        <v>0</v>
      </c>
      <c r="L88" s="94" t="s">
        <v>0</v>
      </c>
      <c r="M88" s="94" t="s">
        <v>0</v>
      </c>
      <c r="N88" s="94" t="s">
        <v>0</v>
      </c>
      <c r="O88" s="94" t="s">
        <v>3</v>
      </c>
      <c r="P88" s="94" t="s">
        <v>4</v>
      </c>
      <c r="Q88" s="94" t="s">
        <v>0</v>
      </c>
      <c r="R88" s="94" t="s">
        <v>0</v>
      </c>
      <c r="S88" s="94" t="s">
        <v>0</v>
      </c>
      <c r="T88" s="94" t="s">
        <v>0</v>
      </c>
      <c r="U88" s="94" t="s">
        <v>0</v>
      </c>
      <c r="V88" s="94" t="s">
        <v>0</v>
      </c>
      <c r="W88" s="94" t="s">
        <v>0</v>
      </c>
      <c r="X88" s="94" t="s">
        <v>0</v>
      </c>
      <c r="Y88" s="94" t="s">
        <v>0</v>
      </c>
      <c r="Z88" s="94" t="s">
        <v>0</v>
      </c>
      <c r="AA88" s="94" t="s">
        <v>0</v>
      </c>
      <c r="AB88" s="94" t="s">
        <v>0</v>
      </c>
      <c r="AC88" s="94" t="s">
        <v>4</v>
      </c>
      <c r="AD88" s="94"/>
      <c r="AE88" s="94"/>
      <c r="AF88" s="94"/>
      <c r="AG88" s="94"/>
      <c r="AH88" s="94"/>
      <c r="AI88" s="57"/>
      <c r="AJ88" s="47"/>
      <c r="AK88" s="47"/>
      <c r="AL88" s="47"/>
    </row>
    <row r="89" spans="2:38" ht="15.75" x14ac:dyDescent="0.25">
      <c r="B89" s="89"/>
      <c r="C89" s="89"/>
      <c r="D89" s="95" t="s">
        <v>33</v>
      </c>
      <c r="E89" s="146">
        <v>196</v>
      </c>
      <c r="F89" s="146">
        <v>196</v>
      </c>
      <c r="G89" s="146">
        <v>204</v>
      </c>
      <c r="H89" s="146">
        <v>4</v>
      </c>
      <c r="I89" s="146">
        <v>4</v>
      </c>
      <c r="J89" s="146">
        <v>4</v>
      </c>
      <c r="K89" s="146">
        <v>4</v>
      </c>
      <c r="L89" s="146">
        <v>0</v>
      </c>
      <c r="M89" s="146">
        <v>0</v>
      </c>
      <c r="N89" s="146">
        <v>0</v>
      </c>
      <c r="O89" s="146">
        <v>0</v>
      </c>
      <c r="P89" s="146">
        <v>0</v>
      </c>
      <c r="Q89" s="146">
        <v>0</v>
      </c>
      <c r="R89" s="146">
        <v>0</v>
      </c>
      <c r="S89" s="146">
        <v>0</v>
      </c>
      <c r="T89" s="146">
        <v>0</v>
      </c>
      <c r="U89" s="146">
        <v>0</v>
      </c>
      <c r="V89" s="146">
        <v>0</v>
      </c>
      <c r="W89" s="146">
        <v>0</v>
      </c>
      <c r="X89" s="146">
        <v>0</v>
      </c>
      <c r="Y89" s="146">
        <v>0</v>
      </c>
      <c r="Z89" s="146">
        <v>0</v>
      </c>
      <c r="AA89" s="146">
        <v>0</v>
      </c>
      <c r="AB89" s="146">
        <v>0</v>
      </c>
      <c r="AC89" s="146">
        <v>0</v>
      </c>
      <c r="AD89" s="146"/>
      <c r="AE89" s="146"/>
      <c r="AF89" s="146"/>
      <c r="AG89" s="146"/>
      <c r="AH89" s="146"/>
      <c r="AI89" s="57"/>
      <c r="AJ89" s="47"/>
      <c r="AK89" s="47"/>
      <c r="AL89" s="47"/>
    </row>
    <row r="90" spans="2:38" ht="15.75" x14ac:dyDescent="0.25">
      <c r="B90" s="89"/>
      <c r="C90" s="89"/>
      <c r="D90" s="95" t="s">
        <v>34</v>
      </c>
      <c r="E90" s="146">
        <v>6812</v>
      </c>
      <c r="F90" s="146">
        <v>7008</v>
      </c>
      <c r="G90" s="146">
        <v>7212</v>
      </c>
      <c r="H90" s="146">
        <v>7216</v>
      </c>
      <c r="I90" s="146">
        <v>7220</v>
      </c>
      <c r="J90" s="146">
        <v>7224</v>
      </c>
      <c r="K90" s="146">
        <v>7228</v>
      </c>
      <c r="L90" s="146">
        <v>7228</v>
      </c>
      <c r="M90" s="146">
        <v>7228</v>
      </c>
      <c r="N90" s="146">
        <v>7228</v>
      </c>
      <c r="O90" s="146">
        <v>7228</v>
      </c>
      <c r="P90" s="146">
        <v>7228</v>
      </c>
      <c r="Q90" s="146">
        <v>7228</v>
      </c>
      <c r="R90" s="146">
        <v>7228</v>
      </c>
      <c r="S90" s="146">
        <v>7228</v>
      </c>
      <c r="T90" s="146">
        <v>7228</v>
      </c>
      <c r="U90" s="146">
        <v>7228</v>
      </c>
      <c r="V90" s="146">
        <v>7228</v>
      </c>
      <c r="W90" s="146">
        <v>7228</v>
      </c>
      <c r="X90" s="146">
        <v>7228</v>
      </c>
      <c r="Y90" s="146">
        <v>7228</v>
      </c>
      <c r="Z90" s="146">
        <v>7228</v>
      </c>
      <c r="AA90" s="146">
        <v>7228</v>
      </c>
      <c r="AB90" s="146">
        <v>7228</v>
      </c>
      <c r="AC90" s="146">
        <v>7228</v>
      </c>
      <c r="AD90" s="146"/>
      <c r="AE90" s="146"/>
      <c r="AF90" s="146"/>
      <c r="AG90" s="146"/>
      <c r="AH90" s="146"/>
      <c r="AI90" s="57"/>
      <c r="AJ90" s="47"/>
      <c r="AK90" s="47"/>
      <c r="AL90" s="47"/>
    </row>
    <row r="91" spans="2:38" ht="15.75" x14ac:dyDescent="0.25">
      <c r="B91" s="89"/>
      <c r="C91" s="89"/>
      <c r="D91" s="92">
        <v>45334</v>
      </c>
      <c r="E91" s="94" t="s">
        <v>1</v>
      </c>
      <c r="F91" s="94" t="s">
        <v>2</v>
      </c>
      <c r="G91" s="94" t="s">
        <v>4</v>
      </c>
      <c r="H91" s="94" t="s">
        <v>0</v>
      </c>
      <c r="I91" s="94" t="s">
        <v>0</v>
      </c>
      <c r="J91" s="94" t="s">
        <v>0</v>
      </c>
      <c r="K91" s="94" t="s">
        <v>0</v>
      </c>
      <c r="L91" s="94" t="s">
        <v>0</v>
      </c>
      <c r="M91" s="94" t="s">
        <v>0</v>
      </c>
      <c r="N91" s="94" t="s">
        <v>3</v>
      </c>
      <c r="O91" s="94" t="s">
        <v>4</v>
      </c>
      <c r="P91" s="94" t="s">
        <v>0</v>
      </c>
      <c r="Q91" s="94" t="s">
        <v>0</v>
      </c>
      <c r="R91" s="94" t="s">
        <v>0</v>
      </c>
      <c r="S91" s="94" t="s">
        <v>0</v>
      </c>
      <c r="T91" s="94" t="s">
        <v>0</v>
      </c>
      <c r="U91" s="94" t="s">
        <v>0</v>
      </c>
      <c r="V91" s="94" t="s">
        <v>0</v>
      </c>
      <c r="W91" s="94" t="s">
        <v>0</v>
      </c>
      <c r="X91" s="94" t="s">
        <v>0</v>
      </c>
      <c r="Y91" s="94" t="s">
        <v>0</v>
      </c>
      <c r="Z91" s="94" t="s">
        <v>0</v>
      </c>
      <c r="AA91" s="94" t="s">
        <v>0</v>
      </c>
      <c r="AB91" s="94" t="s">
        <v>4</v>
      </c>
      <c r="AC91" s="94"/>
      <c r="AD91" s="94"/>
      <c r="AE91" s="94"/>
      <c r="AF91" s="94"/>
      <c r="AG91" s="94"/>
      <c r="AH91" s="94"/>
      <c r="AI91" s="57"/>
      <c r="AJ91" s="47"/>
      <c r="AK91" s="47"/>
      <c r="AL91" s="47"/>
    </row>
    <row r="92" spans="2:38" ht="15.75" x14ac:dyDescent="0.25">
      <c r="B92" s="89"/>
      <c r="C92" s="89"/>
      <c r="D92" s="95" t="s">
        <v>33</v>
      </c>
      <c r="E92" s="146">
        <v>196</v>
      </c>
      <c r="F92" s="146">
        <v>196</v>
      </c>
      <c r="G92" s="146">
        <v>204</v>
      </c>
      <c r="H92" s="146">
        <v>4</v>
      </c>
      <c r="I92" s="146">
        <v>4</v>
      </c>
      <c r="J92" s="146">
        <v>4</v>
      </c>
      <c r="K92" s="146">
        <v>4</v>
      </c>
      <c r="L92" s="146">
        <v>0</v>
      </c>
      <c r="M92" s="146">
        <v>0</v>
      </c>
      <c r="N92" s="146">
        <v>0</v>
      </c>
      <c r="O92" s="146">
        <v>0</v>
      </c>
      <c r="P92" s="146">
        <v>0</v>
      </c>
      <c r="Q92" s="146">
        <v>0</v>
      </c>
      <c r="R92" s="146">
        <v>0</v>
      </c>
      <c r="S92" s="146">
        <v>0</v>
      </c>
      <c r="T92" s="146">
        <v>0</v>
      </c>
      <c r="U92" s="146">
        <v>0</v>
      </c>
      <c r="V92" s="146">
        <v>0</v>
      </c>
      <c r="W92" s="146">
        <v>0</v>
      </c>
      <c r="X92" s="146">
        <v>0</v>
      </c>
      <c r="Y92" s="146">
        <v>0</v>
      </c>
      <c r="Z92" s="146">
        <v>0</v>
      </c>
      <c r="AA92" s="146">
        <v>0</v>
      </c>
      <c r="AB92" s="146">
        <v>0</v>
      </c>
      <c r="AC92" s="146"/>
      <c r="AD92" s="146"/>
      <c r="AE92" s="146"/>
      <c r="AF92" s="146"/>
      <c r="AG92" s="146"/>
      <c r="AH92" s="146"/>
      <c r="AI92" s="57"/>
      <c r="AJ92" s="47"/>
      <c r="AK92" s="47"/>
      <c r="AL92" s="47"/>
    </row>
    <row r="93" spans="2:38" ht="15.75" x14ac:dyDescent="0.25">
      <c r="B93" s="89"/>
      <c r="C93" s="89"/>
      <c r="D93" s="95" t="s">
        <v>34</v>
      </c>
      <c r="E93" s="146">
        <v>6812</v>
      </c>
      <c r="F93" s="146">
        <v>7008</v>
      </c>
      <c r="G93" s="146">
        <v>7212</v>
      </c>
      <c r="H93" s="146">
        <v>7216</v>
      </c>
      <c r="I93" s="146">
        <v>7220</v>
      </c>
      <c r="J93" s="146">
        <v>7224</v>
      </c>
      <c r="K93" s="146">
        <v>7228</v>
      </c>
      <c r="L93" s="146">
        <v>7228</v>
      </c>
      <c r="M93" s="146">
        <v>7228</v>
      </c>
      <c r="N93" s="146">
        <v>7228</v>
      </c>
      <c r="O93" s="146">
        <v>7228</v>
      </c>
      <c r="P93" s="146">
        <v>7228</v>
      </c>
      <c r="Q93" s="146">
        <v>7228</v>
      </c>
      <c r="R93" s="146">
        <v>7228</v>
      </c>
      <c r="S93" s="146">
        <v>7228</v>
      </c>
      <c r="T93" s="146">
        <v>7228</v>
      </c>
      <c r="U93" s="146">
        <v>7228</v>
      </c>
      <c r="V93" s="146">
        <v>7228</v>
      </c>
      <c r="W93" s="146">
        <v>7228</v>
      </c>
      <c r="X93" s="146">
        <v>7228</v>
      </c>
      <c r="Y93" s="146">
        <v>7228</v>
      </c>
      <c r="Z93" s="146">
        <v>7228</v>
      </c>
      <c r="AA93" s="146">
        <v>7228</v>
      </c>
      <c r="AB93" s="146">
        <v>7228</v>
      </c>
      <c r="AC93" s="146"/>
      <c r="AD93" s="146"/>
      <c r="AE93" s="146"/>
      <c r="AF93" s="146"/>
      <c r="AG93" s="146"/>
      <c r="AH93" s="146"/>
      <c r="AI93" s="57"/>
      <c r="AJ93" s="47"/>
      <c r="AK93" s="47"/>
      <c r="AL93" s="47"/>
    </row>
    <row r="94" spans="2:38" ht="15.75" x14ac:dyDescent="0.25">
      <c r="B94" s="89"/>
      <c r="C94" s="89"/>
      <c r="D94" s="92">
        <v>45327</v>
      </c>
      <c r="E94" s="94" t="s">
        <v>2</v>
      </c>
      <c r="F94" s="94" t="s">
        <v>4</v>
      </c>
      <c r="G94" s="94" t="s">
        <v>0</v>
      </c>
      <c r="H94" s="94" t="s">
        <v>0</v>
      </c>
      <c r="I94" s="94" t="s">
        <v>0</v>
      </c>
      <c r="J94" s="94" t="s">
        <v>0</v>
      </c>
      <c r="K94" s="94" t="s">
        <v>0</v>
      </c>
      <c r="L94" s="94" t="s">
        <v>0</v>
      </c>
      <c r="M94" s="94" t="s">
        <v>3</v>
      </c>
      <c r="N94" s="94" t="s">
        <v>4</v>
      </c>
      <c r="O94" s="94" t="s">
        <v>0</v>
      </c>
      <c r="P94" s="94" t="s">
        <v>0</v>
      </c>
      <c r="Q94" s="94" t="s">
        <v>0</v>
      </c>
      <c r="R94" s="94" t="s">
        <v>0</v>
      </c>
      <c r="S94" s="94" t="s">
        <v>0</v>
      </c>
      <c r="T94" s="94" t="s">
        <v>0</v>
      </c>
      <c r="U94" s="94" t="s">
        <v>0</v>
      </c>
      <c r="V94" s="94" t="s">
        <v>0</v>
      </c>
      <c r="W94" s="94" t="s">
        <v>0</v>
      </c>
      <c r="X94" s="94" t="s">
        <v>0</v>
      </c>
      <c r="Y94" s="94" t="s">
        <v>0</v>
      </c>
      <c r="Z94" s="94" t="s">
        <v>0</v>
      </c>
      <c r="AA94" s="94" t="s">
        <v>4</v>
      </c>
      <c r="AB94" s="94"/>
      <c r="AC94" s="94"/>
      <c r="AD94" s="94"/>
      <c r="AE94" s="94"/>
      <c r="AF94" s="94"/>
      <c r="AG94" s="94"/>
      <c r="AH94" s="94"/>
      <c r="AI94" s="57"/>
      <c r="AJ94" s="47"/>
      <c r="AK94" s="47"/>
      <c r="AL94" s="47"/>
    </row>
    <row r="95" spans="2:38" ht="15.75" x14ac:dyDescent="0.25">
      <c r="B95" s="89"/>
      <c r="C95" s="89"/>
      <c r="D95" s="95" t="s">
        <v>33</v>
      </c>
      <c r="E95" s="146">
        <v>196</v>
      </c>
      <c r="F95" s="146">
        <v>196</v>
      </c>
      <c r="G95" s="146">
        <v>204</v>
      </c>
      <c r="H95" s="146">
        <v>8</v>
      </c>
      <c r="I95" s="146">
        <v>4</v>
      </c>
      <c r="J95" s="146">
        <v>0</v>
      </c>
      <c r="K95" s="146">
        <v>4</v>
      </c>
      <c r="L95" s="146">
        <v>0</v>
      </c>
      <c r="M95" s="146">
        <v>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0</v>
      </c>
      <c r="Z95" s="146">
        <v>0</v>
      </c>
      <c r="AA95" s="146">
        <v>0</v>
      </c>
      <c r="AB95" s="146"/>
      <c r="AC95" s="146"/>
      <c r="AD95" s="146"/>
      <c r="AE95" s="146"/>
      <c r="AF95" s="146"/>
      <c r="AG95" s="146"/>
      <c r="AH95" s="146"/>
      <c r="AI95" s="57"/>
      <c r="AJ95" s="47"/>
      <c r="AK95" s="47"/>
      <c r="AL95" s="47"/>
    </row>
    <row r="96" spans="2:38" ht="15.75" x14ac:dyDescent="0.25">
      <c r="B96" s="89"/>
      <c r="C96" s="89"/>
      <c r="D96" s="95" t="s">
        <v>34</v>
      </c>
      <c r="E96" s="146">
        <v>6812</v>
      </c>
      <c r="F96" s="146">
        <v>7008</v>
      </c>
      <c r="G96" s="146">
        <v>7212</v>
      </c>
      <c r="H96" s="146">
        <v>7220</v>
      </c>
      <c r="I96" s="146">
        <v>7224</v>
      </c>
      <c r="J96" s="146">
        <v>7224</v>
      </c>
      <c r="K96" s="146">
        <v>7228</v>
      </c>
      <c r="L96" s="146">
        <v>7228</v>
      </c>
      <c r="M96" s="146">
        <v>7228</v>
      </c>
      <c r="N96" s="146">
        <v>7228</v>
      </c>
      <c r="O96" s="146">
        <v>7228</v>
      </c>
      <c r="P96" s="146">
        <v>7228</v>
      </c>
      <c r="Q96" s="146">
        <v>7228</v>
      </c>
      <c r="R96" s="146">
        <v>7228</v>
      </c>
      <c r="S96" s="146">
        <v>7228</v>
      </c>
      <c r="T96" s="146">
        <v>7228</v>
      </c>
      <c r="U96" s="146">
        <v>7228</v>
      </c>
      <c r="V96" s="146">
        <v>7228</v>
      </c>
      <c r="W96" s="146">
        <v>7228</v>
      </c>
      <c r="X96" s="146">
        <v>7228</v>
      </c>
      <c r="Y96" s="146">
        <v>7228</v>
      </c>
      <c r="Z96" s="146">
        <v>7228</v>
      </c>
      <c r="AA96" s="146">
        <v>7228</v>
      </c>
      <c r="AB96" s="146"/>
      <c r="AC96" s="146"/>
      <c r="AD96" s="146"/>
      <c r="AE96" s="146"/>
      <c r="AF96" s="146"/>
      <c r="AG96" s="146"/>
      <c r="AH96" s="146"/>
      <c r="AI96" s="57"/>
      <c r="AJ96" s="47"/>
      <c r="AK96" s="47"/>
      <c r="AL96" s="47"/>
    </row>
    <row r="97" spans="1:40" ht="15.75" x14ac:dyDescent="0.25">
      <c r="B97" s="89"/>
      <c r="C97" s="89"/>
      <c r="D97" s="92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57"/>
      <c r="AJ97" s="47"/>
      <c r="AK97" s="47"/>
      <c r="AL97" s="47"/>
    </row>
    <row r="98" spans="1:40" ht="15.75" x14ac:dyDescent="0.25">
      <c r="B98" s="89"/>
      <c r="C98" s="89"/>
      <c r="D98" s="95" t="s">
        <v>33</v>
      </c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57"/>
      <c r="AJ98" s="47"/>
      <c r="AK98" s="47"/>
      <c r="AL98" s="47"/>
    </row>
    <row r="99" spans="1:40" ht="15.75" x14ac:dyDescent="0.25">
      <c r="B99" s="89"/>
      <c r="C99" s="89"/>
      <c r="D99" s="95" t="s">
        <v>34</v>
      </c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57"/>
      <c r="AJ99" s="47"/>
      <c r="AK99" s="47"/>
      <c r="AL99" s="47"/>
    </row>
    <row r="100" spans="1:40" ht="15.75" x14ac:dyDescent="0.25">
      <c r="B100" s="89"/>
      <c r="C100" s="89"/>
      <c r="D100" s="92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57"/>
      <c r="AJ100" s="47"/>
      <c r="AK100" s="47"/>
      <c r="AL100" s="47"/>
    </row>
    <row r="101" spans="1:40" ht="15.75" x14ac:dyDescent="0.25">
      <c r="B101" s="89"/>
      <c r="C101" s="89"/>
      <c r="D101" s="95" t="s">
        <v>33</v>
      </c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57"/>
      <c r="AJ101" s="47"/>
      <c r="AK101" s="47"/>
      <c r="AL101" s="47"/>
    </row>
    <row r="102" spans="1:40" ht="15" x14ac:dyDescent="0.25">
      <c r="B102" s="96"/>
      <c r="C102" s="96"/>
      <c r="D102" s="95" t="s">
        <v>34</v>
      </c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55"/>
    </row>
    <row r="104" spans="1:40" ht="13.5" thickBot="1" x14ac:dyDescent="0.25"/>
    <row r="105" spans="1:40" ht="13.5" thickBot="1" x14ac:dyDescent="0.25">
      <c r="A105" s="138"/>
      <c r="B105" s="139"/>
      <c r="C105" s="139"/>
      <c r="D105" s="139"/>
      <c r="E105" s="139" t="s">
        <v>0</v>
      </c>
      <c r="F105" s="139" t="s">
        <v>0</v>
      </c>
      <c r="G105" s="139" t="s">
        <v>0</v>
      </c>
      <c r="H105" s="139" t="s">
        <v>0</v>
      </c>
      <c r="I105" s="139" t="s">
        <v>0</v>
      </c>
      <c r="J105" s="139" t="s">
        <v>0</v>
      </c>
      <c r="K105" s="140" t="s">
        <v>1</v>
      </c>
      <c r="L105" s="140" t="s">
        <v>2</v>
      </c>
      <c r="M105" s="140" t="s">
        <v>4</v>
      </c>
      <c r="N105" s="140" t="s">
        <v>0</v>
      </c>
      <c r="O105" s="140" t="s">
        <v>0</v>
      </c>
      <c r="P105" s="140" t="s">
        <v>0</v>
      </c>
      <c r="Q105" s="140" t="s">
        <v>0</v>
      </c>
      <c r="R105" s="140" t="s">
        <v>0</v>
      </c>
      <c r="S105" s="140" t="s">
        <v>0</v>
      </c>
      <c r="T105" s="140" t="s">
        <v>3</v>
      </c>
      <c r="U105" s="140" t="s">
        <v>4</v>
      </c>
      <c r="V105" s="140" t="s">
        <v>0</v>
      </c>
      <c r="W105" s="140" t="s">
        <v>0</v>
      </c>
      <c r="X105" s="140" t="s">
        <v>0</v>
      </c>
      <c r="Y105" s="139" t="s">
        <v>0</v>
      </c>
      <c r="Z105" s="139" t="s">
        <v>0</v>
      </c>
      <c r="AA105" s="139" t="s">
        <v>0</v>
      </c>
      <c r="AB105" s="139" t="s">
        <v>0</v>
      </c>
      <c r="AC105" s="139" t="s">
        <v>0</v>
      </c>
      <c r="AD105" s="139" t="s">
        <v>0</v>
      </c>
      <c r="AE105" s="139" t="s">
        <v>0</v>
      </c>
      <c r="AF105" s="139" t="s">
        <v>0</v>
      </c>
      <c r="AG105" s="139" t="s">
        <v>0</v>
      </c>
      <c r="AH105" s="139" t="s">
        <v>4</v>
      </c>
      <c r="AK105" s="31" t="s">
        <v>16</v>
      </c>
      <c r="AL105" s="31" t="s">
        <v>17</v>
      </c>
      <c r="AM105" s="32" t="s">
        <v>18</v>
      </c>
    </row>
    <row r="106" spans="1:40" ht="13.5" thickBot="1" x14ac:dyDescent="0.25">
      <c r="A106" s="33"/>
      <c r="B106" s="34" t="s">
        <v>136</v>
      </c>
      <c r="C106" s="141" t="s">
        <v>7</v>
      </c>
      <c r="D106" s="142"/>
      <c r="E106" s="135">
        <f>SUMIFS('Final SR'!J:J,'Final SR'!$E:$E,TOTALss!$B106,'Final SR'!$I:$I,'Final SR'!$I$12)</f>
        <v>0</v>
      </c>
      <c r="F106" s="135">
        <f>SUMIFS('Final SR'!K:K,'Final SR'!$E:$E,TOTALss!$B106,'Final SR'!$I:$I,'Final SR'!$I$12)</f>
        <v>0</v>
      </c>
      <c r="G106" s="135">
        <f>SUMIFS('Final SR'!L:L,'Final SR'!$E:$E,TOTALss!$B106,'Final SR'!$I:$I,'Final SR'!$I$12)</f>
        <v>0</v>
      </c>
      <c r="H106" s="135">
        <f>SUMIFS('Final SR'!M:M,'Final SR'!$E:$E,TOTALss!$B106,'Final SR'!$I:$I,'Final SR'!$I$12)</f>
        <v>0</v>
      </c>
      <c r="I106" s="135">
        <f>SUMIFS('Final SR'!N:N,'Final SR'!$E:$E,TOTALss!$B106,'Final SR'!$I:$I,'Final SR'!$I$12)</f>
        <v>0</v>
      </c>
      <c r="J106" s="135">
        <f>SUMIFS('Final SR'!O:O,'Final SR'!$E:$E,TOTALss!$B106,'Final SR'!$I:$I,'Final SR'!$I$12)</f>
        <v>0</v>
      </c>
      <c r="K106" s="135">
        <f>SUMIFS('Final SR'!P:P,'Final SR'!$E:$E,TOTALss!$B106,'Final SR'!$I:$I,'Final SR'!$I$12)</f>
        <v>0</v>
      </c>
      <c r="L106" s="135">
        <f>SUMIFS('Final SR'!Q:Q,'Final SR'!$E:$E,TOTALss!$B106,'Final SR'!$I:$I,'Final SR'!$I$12)</f>
        <v>0</v>
      </c>
      <c r="M106" s="135">
        <f>SUMIFS('Final SR'!R:R,'Final SR'!$E:$E,TOTALss!$B106,'Final SR'!$I:$I,'Final SR'!$I$12)</f>
        <v>0</v>
      </c>
      <c r="N106" s="135">
        <f>SUMIFS('Final SR'!S:S,'Final SR'!$E:$E,TOTALss!$B106,'Final SR'!$I:$I,'Final SR'!$I$12)</f>
        <v>0</v>
      </c>
      <c r="O106" s="135">
        <f>SUMIFS('Final SR'!T:T,'Final SR'!$E:$E,TOTALss!$B106,'Final SR'!$I:$I,'Final SR'!$I$12)</f>
        <v>0</v>
      </c>
      <c r="P106" s="135">
        <f>SUMIFS('Final SR'!U:U,'Final SR'!$E:$E,TOTALss!$B106,'Final SR'!$I:$I,'Final SR'!$I$12)</f>
        <v>0</v>
      </c>
      <c r="Q106" s="135">
        <f>SUMIFS('Final SR'!V:V,'Final SR'!$E:$E,TOTALss!$B106,'Final SR'!$I:$I,'Final SR'!$I$12)</f>
        <v>0</v>
      </c>
      <c r="R106" s="135">
        <f>SUMIFS('Final SR'!W:W,'Final SR'!$E:$E,TOTALss!$B106,'Final SR'!$I:$I,'Final SR'!$I$12)</f>
        <v>0</v>
      </c>
      <c r="S106" s="135">
        <f>SUMIFS('Final SR'!X:X,'Final SR'!$E:$E,TOTALss!$B106,'Final SR'!$I:$I,'Final SR'!$I$12)</f>
        <v>0</v>
      </c>
      <c r="T106" s="135">
        <f>SUMIFS('Final SR'!Y:Y,'Final SR'!$E:$E,TOTALss!$B106,'Final SR'!$I:$I,'Final SR'!$I$12)</f>
        <v>0</v>
      </c>
      <c r="U106" s="135">
        <f>SUMIFS('Final SR'!Z:Z,'Final SR'!$E:$E,TOTALss!$B106,'Final SR'!$I:$I,'Final SR'!$I$12)</f>
        <v>0</v>
      </c>
      <c r="V106" s="135">
        <f>SUMIFS('Final SR'!AA:AA,'Final SR'!$E:$E,TOTALss!$B106,'Final SR'!$I:$I,'Final SR'!$I$12)</f>
        <v>0</v>
      </c>
      <c r="W106" s="135">
        <f>SUMIFS('Final SR'!AB:AB,'Final SR'!$E:$E,TOTALss!$B106,'Final SR'!$I:$I,'Final SR'!$I$12)</f>
        <v>0</v>
      </c>
      <c r="X106" s="135">
        <f>SUMIFS('Final SR'!AC:AC,'Final SR'!$E:$E,TOTALss!$B106,'Final SR'!$I:$I,'Final SR'!$I$12)</f>
        <v>0</v>
      </c>
      <c r="Y106" s="135">
        <f>SUMIFS('Final SR'!AD:AD,'Final SR'!$E:$E,TOTALss!$B106,'Final SR'!$I:$I,'Final SR'!$I$12)</f>
        <v>0</v>
      </c>
      <c r="Z106" s="135">
        <f>SUMIFS('Final SR'!AE:AE,'Final SR'!$E:$E,TOTALss!$B106,'Final SR'!$I:$I,'Final SR'!$I$12)</f>
        <v>0</v>
      </c>
      <c r="AA106" s="135">
        <f>SUMIFS('Final SR'!AF:AF,'Final SR'!$E:$E,TOTALss!$B106,'Final SR'!$I:$I,'Final SR'!$I$12)</f>
        <v>0</v>
      </c>
      <c r="AB106" s="135">
        <f>SUMIFS('Final SR'!AG:AG,'Final SR'!$E:$E,TOTALss!$B106,'Final SR'!$I:$I,'Final SR'!$I$12)</f>
        <v>0</v>
      </c>
      <c r="AC106" s="135">
        <f>SUMIFS('Final SR'!AH:AH,'Final SR'!$E:$E,TOTALss!$B106,'Final SR'!$I:$I,'Final SR'!$I$12)</f>
        <v>0</v>
      </c>
      <c r="AD106" s="135">
        <f>SUMIFS('Final SR'!AI:AI,'Final SR'!$E:$E,TOTALss!$B106,'Final SR'!$I:$I,'Final SR'!$I$12)</f>
        <v>0</v>
      </c>
      <c r="AE106" s="135">
        <f>SUMIFS('Final SR'!AJ:AJ,'Final SR'!$E:$E,TOTALss!$B106,'Final SR'!$I:$I,'Final SR'!$I$12)</f>
        <v>0</v>
      </c>
      <c r="AF106" s="135">
        <f>SUMIFS('Final SR'!AK:AK,'Final SR'!$E:$E,TOTALss!$B106,'Final SR'!$I:$I,'Final SR'!$I$12)</f>
        <v>0</v>
      </c>
      <c r="AG106" s="135">
        <f>SUMIFS('Final SR'!AL:AL,'Final SR'!$E:$E,TOTALss!$B106,'Final SR'!$I:$I,'Final SR'!$I$12)</f>
        <v>0</v>
      </c>
      <c r="AH106" s="135">
        <f>SUMIFS('Final SR'!AM:AM,'Final SR'!$E:$E,TOTALss!$B106,'Final SR'!$I:$I,'Final SR'!$I$12)</f>
        <v>0</v>
      </c>
      <c r="AI106" s="69"/>
      <c r="AJ106" s="147">
        <f>SUM(M106:AH106)</f>
        <v>0</v>
      </c>
      <c r="AK106" s="35">
        <v>1950</v>
      </c>
      <c r="AL106" s="36">
        <v>1950</v>
      </c>
      <c r="AM106" s="37">
        <v>2400</v>
      </c>
    </row>
    <row r="107" spans="1:40" x14ac:dyDescent="0.2">
      <c r="A107" s="38"/>
      <c r="B107" s="34"/>
      <c r="C107" s="141" t="s">
        <v>19</v>
      </c>
      <c r="D107" s="39"/>
      <c r="E107" s="135">
        <f>SUMIFS('Final SR'!J:J,'Final SR'!$E:$E,TOTALss!$B106,'Final SR'!$I:$I,'Final SR'!$I$13)</f>
        <v>0</v>
      </c>
      <c r="F107" s="135">
        <f t="shared" ref="F107" si="73">+F106+E107</f>
        <v>0</v>
      </c>
      <c r="G107" s="135">
        <f t="shared" ref="G107" si="74">+G106+F107</f>
        <v>0</v>
      </c>
      <c r="H107" s="135">
        <f t="shared" ref="H107" si="75">+H106+G107</f>
        <v>0</v>
      </c>
      <c r="I107" s="135">
        <f t="shared" ref="I107" si="76">+I106+H107</f>
        <v>0</v>
      </c>
      <c r="J107" s="135">
        <f t="shared" ref="J107" si="77">+J106+I107</f>
        <v>0</v>
      </c>
      <c r="K107" s="135">
        <f t="shared" ref="K107" si="78">+K106+J107</f>
        <v>0</v>
      </c>
      <c r="L107" s="135">
        <f t="shared" ref="L107" si="79">+L106+K107</f>
        <v>0</v>
      </c>
      <c r="M107" s="135">
        <f t="shared" ref="M107" si="80">+M106+L107</f>
        <v>0</v>
      </c>
      <c r="N107" s="135">
        <f t="shared" ref="N107" si="81">+N106+M107</f>
        <v>0</v>
      </c>
      <c r="O107" s="135">
        <f t="shared" ref="O107" si="82">+O106+N107</f>
        <v>0</v>
      </c>
      <c r="P107" s="135">
        <f t="shared" ref="P107" si="83">+P106+O107</f>
        <v>0</v>
      </c>
      <c r="Q107" s="135">
        <f t="shared" ref="Q107" si="84">+Q106+P107</f>
        <v>0</v>
      </c>
      <c r="R107" s="135">
        <f t="shared" ref="R107" si="85">+R106+Q107</f>
        <v>0</v>
      </c>
      <c r="S107" s="135">
        <f t="shared" ref="S107" si="86">+S106+R107</f>
        <v>0</v>
      </c>
      <c r="T107" s="135">
        <f t="shared" ref="T107" si="87">+T106+S107</f>
        <v>0</v>
      </c>
      <c r="U107" s="135">
        <f t="shared" ref="U107" si="88">+U106+T107</f>
        <v>0</v>
      </c>
      <c r="V107" s="135">
        <f t="shared" ref="V107" si="89">+V106+U107</f>
        <v>0</v>
      </c>
      <c r="W107" s="135">
        <f t="shared" ref="W107" si="90">+W106+V107</f>
        <v>0</v>
      </c>
      <c r="X107" s="135">
        <f t="shared" ref="X107" si="91">+X106+W107</f>
        <v>0</v>
      </c>
      <c r="Y107" s="135">
        <f t="shared" ref="Y107" si="92">+Y106+X107</f>
        <v>0</v>
      </c>
      <c r="Z107" s="135">
        <f t="shared" ref="Z107" si="93">+Z106+Y107</f>
        <v>0</v>
      </c>
      <c r="AA107" s="135">
        <f t="shared" ref="AA107" si="94">+AA106+Z107</f>
        <v>0</v>
      </c>
      <c r="AB107" s="135">
        <f t="shared" ref="AB107" si="95">+AB106+AA107</f>
        <v>0</v>
      </c>
      <c r="AC107" s="135">
        <f t="shared" ref="AC107" si="96">+AC106+AB107</f>
        <v>0</v>
      </c>
      <c r="AD107" s="135">
        <f t="shared" ref="AD107" si="97">+AD106+AC107</f>
        <v>0</v>
      </c>
      <c r="AE107" s="135">
        <f t="shared" ref="AE107" si="98">+AE106+AD107</f>
        <v>0</v>
      </c>
      <c r="AF107" s="135">
        <f t="shared" ref="AF107" si="99">+AF106+AE107</f>
        <v>0</v>
      </c>
      <c r="AG107" s="135">
        <f t="shared" ref="AG107" si="100">+AG106+AF107</f>
        <v>0</v>
      </c>
      <c r="AH107" s="135">
        <f t="shared" ref="AH107" si="101">+AH106+AG107</f>
        <v>0</v>
      </c>
      <c r="AI107" s="69"/>
    </row>
    <row r="108" spans="1:40" ht="13.5" thickBot="1" x14ac:dyDescent="0.25">
      <c r="A108" s="40"/>
      <c r="B108" s="41" t="s">
        <v>20</v>
      </c>
      <c r="C108" s="42" t="s">
        <v>21</v>
      </c>
      <c r="D108" s="43"/>
      <c r="E108" s="44">
        <v>5054</v>
      </c>
      <c r="F108" s="44">
        <v>2332</v>
      </c>
      <c r="G108" s="44">
        <v>2268</v>
      </c>
      <c r="H108" s="44">
        <v>2416</v>
      </c>
      <c r="I108" s="44">
        <v>2436</v>
      </c>
      <c r="J108" s="44">
        <v>1764</v>
      </c>
      <c r="K108" s="44">
        <v>2148</v>
      </c>
      <c r="L108" s="44">
        <v>2016</v>
      </c>
      <c r="M108" s="44">
        <v>0</v>
      </c>
      <c r="N108" s="44">
        <v>360</v>
      </c>
      <c r="O108" s="44">
        <v>924</v>
      </c>
      <c r="P108" s="44">
        <v>1212</v>
      </c>
      <c r="Q108" s="44">
        <v>1540</v>
      </c>
      <c r="R108" s="44">
        <v>1928</v>
      </c>
      <c r="S108" s="44">
        <v>2004</v>
      </c>
      <c r="T108" s="44">
        <v>1996</v>
      </c>
      <c r="U108" s="44">
        <v>1908</v>
      </c>
      <c r="V108" s="44">
        <v>2220</v>
      </c>
      <c r="W108" s="44">
        <v>2176</v>
      </c>
      <c r="X108" s="44">
        <v>2328</v>
      </c>
      <c r="Y108" s="44">
        <v>2324</v>
      </c>
      <c r="Z108" s="44">
        <v>1992</v>
      </c>
      <c r="AA108" s="44">
        <v>1992</v>
      </c>
      <c r="AB108" s="44">
        <v>1832</v>
      </c>
      <c r="AC108" s="44">
        <v>1836</v>
      </c>
      <c r="AD108" s="44">
        <v>1656</v>
      </c>
      <c r="AE108" s="44">
        <v>1656</v>
      </c>
      <c r="AF108" s="44">
        <v>1568</v>
      </c>
      <c r="AG108" s="44">
        <v>1572</v>
      </c>
      <c r="AH108" s="44">
        <v>1568</v>
      </c>
      <c r="AI108" s="69"/>
      <c r="AJ108" s="147">
        <f>SUM(M108:AH108)</f>
        <v>36592</v>
      </c>
      <c r="AK108" s="68" t="b">
        <f>AJ106=AJ108</f>
        <v>0</v>
      </c>
      <c r="AL108" s="45">
        <v>7557</v>
      </c>
      <c r="AM108" s="46">
        <v>9204</v>
      </c>
      <c r="AN108" s="47"/>
    </row>
    <row r="109" spans="1:40" ht="13.5" thickBot="1" x14ac:dyDescent="0.25">
      <c r="A109" s="48"/>
      <c r="B109" s="41" t="s">
        <v>20</v>
      </c>
      <c r="C109" s="42" t="s">
        <v>22</v>
      </c>
      <c r="D109" s="43"/>
      <c r="E109" s="44">
        <v>75998</v>
      </c>
      <c r="F109" s="44">
        <v>78330</v>
      </c>
      <c r="G109" s="44">
        <v>80598</v>
      </c>
      <c r="H109" s="44">
        <v>83014</v>
      </c>
      <c r="I109" s="44">
        <v>85450</v>
      </c>
      <c r="J109" s="44">
        <v>87214</v>
      </c>
      <c r="K109" s="44">
        <v>89362</v>
      </c>
      <c r="L109" s="44">
        <v>91378</v>
      </c>
      <c r="M109" s="44">
        <v>91378</v>
      </c>
      <c r="N109" s="44">
        <v>91738</v>
      </c>
      <c r="O109" s="44">
        <v>92662</v>
      </c>
      <c r="P109" s="44">
        <v>93874</v>
      </c>
      <c r="Q109" s="44">
        <v>95414</v>
      </c>
      <c r="R109" s="44">
        <v>97342</v>
      </c>
      <c r="S109" s="44">
        <v>99346</v>
      </c>
      <c r="T109" s="44">
        <v>101342</v>
      </c>
      <c r="U109" s="44">
        <v>103250</v>
      </c>
      <c r="V109" s="44">
        <v>105470</v>
      </c>
      <c r="W109" s="44">
        <v>107646</v>
      </c>
      <c r="X109" s="44">
        <v>109974</v>
      </c>
      <c r="Y109" s="44">
        <v>112298</v>
      </c>
      <c r="Z109" s="44">
        <v>114290</v>
      </c>
      <c r="AA109" s="44">
        <v>116282</v>
      </c>
      <c r="AB109" s="44">
        <v>118114</v>
      </c>
      <c r="AC109" s="44">
        <v>119950</v>
      </c>
      <c r="AD109" s="44">
        <v>121606</v>
      </c>
      <c r="AE109" s="44">
        <v>123262</v>
      </c>
      <c r="AF109" s="44">
        <v>124830</v>
      </c>
      <c r="AG109" s="44">
        <v>126402</v>
      </c>
      <c r="AH109" s="44">
        <v>127970</v>
      </c>
      <c r="AI109" s="69"/>
      <c r="AK109" s="68"/>
      <c r="AL109" s="45"/>
      <c r="AM109" s="46"/>
      <c r="AN109" s="47"/>
    </row>
    <row r="110" spans="1:40" x14ac:dyDescent="0.2">
      <c r="A110" s="48"/>
      <c r="B110" s="48"/>
      <c r="C110" s="49"/>
      <c r="D110" s="50"/>
      <c r="E110" s="49"/>
      <c r="F110" s="49"/>
      <c r="G110" s="49"/>
      <c r="H110" s="49"/>
      <c r="I110" s="49"/>
      <c r="J110" s="51" t="s">
        <v>23</v>
      </c>
      <c r="K110" s="52"/>
      <c r="L110" s="51">
        <f>+L106-L108</f>
        <v>-2016</v>
      </c>
      <c r="M110" s="51">
        <f t="shared" ref="M110:N110" si="102">+M106-M108</f>
        <v>0</v>
      </c>
      <c r="N110" s="51">
        <f t="shared" si="102"/>
        <v>-360</v>
      </c>
      <c r="O110" s="51">
        <f>+O106-O108</f>
        <v>-924</v>
      </c>
      <c r="P110" s="51">
        <f t="shared" ref="P110:AH110" si="103">+P106-P108</f>
        <v>-1212</v>
      </c>
      <c r="Q110" s="51">
        <f t="shared" si="103"/>
        <v>-1540</v>
      </c>
      <c r="R110" s="51">
        <f t="shared" si="103"/>
        <v>-1928</v>
      </c>
      <c r="S110" s="51">
        <f t="shared" si="103"/>
        <v>-2004</v>
      </c>
      <c r="T110" s="51">
        <f t="shared" si="103"/>
        <v>-1996</v>
      </c>
      <c r="U110" s="51">
        <f t="shared" si="103"/>
        <v>-1908</v>
      </c>
      <c r="V110" s="51">
        <f t="shared" si="103"/>
        <v>-2220</v>
      </c>
      <c r="W110" s="51">
        <f t="shared" si="103"/>
        <v>-2176</v>
      </c>
      <c r="X110" s="51">
        <f t="shared" si="103"/>
        <v>-2328</v>
      </c>
      <c r="Y110" s="51">
        <f t="shared" si="103"/>
        <v>-2324</v>
      </c>
      <c r="Z110" s="51">
        <f t="shared" si="103"/>
        <v>-1992</v>
      </c>
      <c r="AA110" s="51">
        <f t="shared" si="103"/>
        <v>-1992</v>
      </c>
      <c r="AB110" s="51">
        <f t="shared" si="103"/>
        <v>-1832</v>
      </c>
      <c r="AC110" s="51">
        <f t="shared" si="103"/>
        <v>-1836</v>
      </c>
      <c r="AD110" s="51">
        <f t="shared" si="103"/>
        <v>-1656</v>
      </c>
      <c r="AE110" s="51">
        <f t="shared" si="103"/>
        <v>-1656</v>
      </c>
      <c r="AF110" s="51">
        <f t="shared" si="103"/>
        <v>-1568</v>
      </c>
      <c r="AG110" s="51">
        <f t="shared" si="103"/>
        <v>-1572</v>
      </c>
      <c r="AH110" s="51">
        <f t="shared" si="103"/>
        <v>-1568</v>
      </c>
      <c r="AI110" s="70"/>
      <c r="AK110" s="45"/>
      <c r="AL110" s="45"/>
      <c r="AM110" s="46"/>
      <c r="AN110" s="47"/>
    </row>
    <row r="111" spans="1:40" x14ac:dyDescent="0.2">
      <c r="A111" s="48"/>
      <c r="B111" s="48"/>
      <c r="C111" s="49"/>
      <c r="D111" s="50"/>
      <c r="E111" s="49"/>
      <c r="F111" s="49"/>
      <c r="G111" s="49"/>
      <c r="H111" s="49"/>
      <c r="I111" s="49"/>
      <c r="J111" s="51" t="s">
        <v>24</v>
      </c>
      <c r="K111" s="52"/>
      <c r="L111" s="51">
        <f>+L110</f>
        <v>-2016</v>
      </c>
      <c r="M111" s="51">
        <f>+M110+L111</f>
        <v>-2016</v>
      </c>
      <c r="N111" s="51">
        <f>+N110+M111</f>
        <v>-2376</v>
      </c>
      <c r="O111" s="51">
        <f t="shared" ref="O111" si="104">+O110+N111</f>
        <v>-3300</v>
      </c>
      <c r="P111" s="51">
        <f t="shared" ref="P111" si="105">+P110+O111</f>
        <v>-4512</v>
      </c>
      <c r="Q111" s="51">
        <f t="shared" ref="Q111" si="106">+Q110+P111</f>
        <v>-6052</v>
      </c>
      <c r="R111" s="51">
        <f t="shared" ref="R111" si="107">+R110+Q111</f>
        <v>-7980</v>
      </c>
      <c r="S111" s="51">
        <f t="shared" ref="S111" si="108">+S110+R111</f>
        <v>-9984</v>
      </c>
      <c r="T111" s="51">
        <f t="shared" ref="T111" si="109">+T110+S111</f>
        <v>-11980</v>
      </c>
      <c r="U111" s="51">
        <f t="shared" ref="U111" si="110">+U110+T111</f>
        <v>-13888</v>
      </c>
      <c r="V111" s="51">
        <f t="shared" ref="V111" si="111">+V110+U111</f>
        <v>-16108</v>
      </c>
      <c r="W111" s="51">
        <f t="shared" ref="W111" si="112">+W110+V111</f>
        <v>-18284</v>
      </c>
      <c r="X111" s="51">
        <f t="shared" ref="X111" si="113">+X110+W111</f>
        <v>-20612</v>
      </c>
      <c r="Y111" s="51">
        <f t="shared" ref="Y111" si="114">+Y110+X111</f>
        <v>-22936</v>
      </c>
      <c r="Z111" s="51">
        <f t="shared" ref="Z111" si="115">+Z110+Y111</f>
        <v>-24928</v>
      </c>
      <c r="AA111" s="51">
        <f t="shared" ref="AA111" si="116">+AA110+Z111</f>
        <v>-26920</v>
      </c>
      <c r="AB111" s="51">
        <f t="shared" ref="AB111" si="117">+AB110+AA111</f>
        <v>-28752</v>
      </c>
      <c r="AC111" s="51">
        <f t="shared" ref="AC111" si="118">+AC110+AB111</f>
        <v>-30588</v>
      </c>
      <c r="AD111" s="51">
        <f t="shared" ref="AD111" si="119">+AD110+AC111</f>
        <v>-32244</v>
      </c>
      <c r="AE111" s="51">
        <f t="shared" ref="AE111" si="120">+AE110+AD111</f>
        <v>-33900</v>
      </c>
      <c r="AF111" s="51">
        <f t="shared" ref="AF111" si="121">+AF110+AE111</f>
        <v>-35468</v>
      </c>
      <c r="AG111" s="51">
        <f t="shared" ref="AG111" si="122">+AG110+AF111</f>
        <v>-37040</v>
      </c>
      <c r="AH111" s="51">
        <f t="shared" ref="AH111" si="123">+AH110+AG111</f>
        <v>-38608</v>
      </c>
      <c r="AI111" s="70"/>
      <c r="AK111" s="85"/>
      <c r="AL111" s="85"/>
      <c r="AM111" s="46"/>
      <c r="AN111" s="47"/>
    </row>
    <row r="112" spans="1:40" x14ac:dyDescent="0.2">
      <c r="A112" s="48"/>
      <c r="B112" s="48"/>
      <c r="C112" s="49"/>
      <c r="D112" s="50"/>
      <c r="E112" s="49"/>
      <c r="F112" s="49"/>
      <c r="G112" s="49"/>
      <c r="H112" s="49"/>
      <c r="I112" s="49"/>
      <c r="J112" s="51" t="s">
        <v>25</v>
      </c>
      <c r="K112" s="51">
        <v>665</v>
      </c>
      <c r="L112" s="53">
        <f>+L111/$K$12</f>
        <v>-3.0315789473684212</v>
      </c>
      <c r="M112" s="53">
        <f t="shared" ref="M112:O112" si="124">+M111/$K$12</f>
        <v>-3.0315789473684212</v>
      </c>
      <c r="N112" s="53">
        <f t="shared" si="124"/>
        <v>-3.5729323308270677</v>
      </c>
      <c r="O112" s="53">
        <f t="shared" si="124"/>
        <v>-4.9624060150375939</v>
      </c>
      <c r="P112" s="53">
        <f>+P111/$K$12</f>
        <v>-6.7849624060150378</v>
      </c>
      <c r="Q112" s="53">
        <f t="shared" ref="Q112:AH112" si="125">+Q111/$K$12</f>
        <v>-9.1007518796992475</v>
      </c>
      <c r="R112" s="53">
        <f t="shared" si="125"/>
        <v>-12</v>
      </c>
      <c r="S112" s="53">
        <f t="shared" si="125"/>
        <v>-15.013533834586466</v>
      </c>
      <c r="T112" s="53">
        <f t="shared" si="125"/>
        <v>-18.015037593984964</v>
      </c>
      <c r="U112" s="53">
        <f t="shared" si="125"/>
        <v>-20.88421052631579</v>
      </c>
      <c r="V112" s="53">
        <f t="shared" si="125"/>
        <v>-24.222556390977445</v>
      </c>
      <c r="W112" s="53">
        <f t="shared" si="125"/>
        <v>-27.494736842105262</v>
      </c>
      <c r="X112" s="53">
        <f t="shared" si="125"/>
        <v>-30.995488721804513</v>
      </c>
      <c r="Y112" s="53">
        <f t="shared" si="125"/>
        <v>-34.490225563909775</v>
      </c>
      <c r="Z112" s="53">
        <f t="shared" si="125"/>
        <v>-37.485714285714288</v>
      </c>
      <c r="AA112" s="53">
        <f t="shared" si="125"/>
        <v>-40.481203007518801</v>
      </c>
      <c r="AB112" s="53">
        <f t="shared" si="125"/>
        <v>-43.236090225563913</v>
      </c>
      <c r="AC112" s="53">
        <f t="shared" si="125"/>
        <v>-45.996992481203009</v>
      </c>
      <c r="AD112" s="53">
        <f t="shared" si="125"/>
        <v>-48.487218045112783</v>
      </c>
      <c r="AE112" s="53">
        <f t="shared" si="125"/>
        <v>-50.977443609022558</v>
      </c>
      <c r="AF112" s="53">
        <f t="shared" si="125"/>
        <v>-53.335338345864663</v>
      </c>
      <c r="AG112" s="53">
        <f t="shared" si="125"/>
        <v>-55.699248120300751</v>
      </c>
      <c r="AH112" s="53">
        <f t="shared" si="125"/>
        <v>-58.057142857142857</v>
      </c>
      <c r="AI112" s="71"/>
      <c r="AK112" s="45"/>
      <c r="AL112" s="45"/>
      <c r="AM112" s="46"/>
      <c r="AN112" s="47"/>
    </row>
    <row r="113" spans="1:40" x14ac:dyDescent="0.2">
      <c r="A113" s="48"/>
      <c r="B113" s="48"/>
      <c r="C113" s="49"/>
      <c r="D113" s="50"/>
      <c r="E113" s="49"/>
      <c r="F113" s="49"/>
      <c r="G113" s="49"/>
      <c r="H113" s="49"/>
      <c r="I113" s="49"/>
      <c r="J113" s="51" t="s">
        <v>26</v>
      </c>
      <c r="K113" s="51"/>
      <c r="L113" s="82">
        <f>L111*76</f>
        <v>-153216</v>
      </c>
      <c r="M113" s="82">
        <f t="shared" ref="M113:AH113" si="126">M111*76</f>
        <v>-153216</v>
      </c>
      <c r="N113" s="82">
        <f t="shared" si="126"/>
        <v>-180576</v>
      </c>
      <c r="O113" s="82">
        <f t="shared" si="126"/>
        <v>-250800</v>
      </c>
      <c r="P113" s="82">
        <f t="shared" si="126"/>
        <v>-342912</v>
      </c>
      <c r="Q113" s="82">
        <f t="shared" si="126"/>
        <v>-459952</v>
      </c>
      <c r="R113" s="82">
        <f t="shared" si="126"/>
        <v>-606480</v>
      </c>
      <c r="S113" s="82">
        <f t="shared" si="126"/>
        <v>-758784</v>
      </c>
      <c r="T113" s="82">
        <f t="shared" si="126"/>
        <v>-910480</v>
      </c>
      <c r="U113" s="82">
        <f t="shared" si="126"/>
        <v>-1055488</v>
      </c>
      <c r="V113" s="82">
        <f t="shared" si="126"/>
        <v>-1224208</v>
      </c>
      <c r="W113" s="82">
        <f t="shared" si="126"/>
        <v>-1389584</v>
      </c>
      <c r="X113" s="82">
        <f t="shared" si="126"/>
        <v>-1566512</v>
      </c>
      <c r="Y113" s="82">
        <f t="shared" si="126"/>
        <v>-1743136</v>
      </c>
      <c r="Z113" s="82">
        <f t="shared" si="126"/>
        <v>-1894528</v>
      </c>
      <c r="AA113" s="82">
        <f t="shared" si="126"/>
        <v>-2045920</v>
      </c>
      <c r="AB113" s="82">
        <f t="shared" si="126"/>
        <v>-2185152</v>
      </c>
      <c r="AC113" s="82">
        <f t="shared" si="126"/>
        <v>-2324688</v>
      </c>
      <c r="AD113" s="82">
        <f t="shared" si="126"/>
        <v>-2450544</v>
      </c>
      <c r="AE113" s="82">
        <f t="shared" si="126"/>
        <v>-2576400</v>
      </c>
      <c r="AF113" s="82">
        <f t="shared" si="126"/>
        <v>-2695568</v>
      </c>
      <c r="AG113" s="82">
        <f t="shared" si="126"/>
        <v>-2815040</v>
      </c>
      <c r="AH113" s="82">
        <f t="shared" si="126"/>
        <v>-2934208</v>
      </c>
      <c r="AI113" s="71"/>
      <c r="AK113" s="45"/>
      <c r="AL113" s="45"/>
      <c r="AM113" s="46"/>
      <c r="AN113" s="47"/>
    </row>
    <row r="114" spans="1:40" x14ac:dyDescent="0.2">
      <c r="B114" s="54"/>
      <c r="C114" s="72"/>
      <c r="D114" s="73" t="s">
        <v>27</v>
      </c>
      <c r="E114" s="74"/>
      <c r="F114" s="75"/>
      <c r="G114" s="75"/>
      <c r="H114" s="75"/>
      <c r="I114" s="75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J114" s="84"/>
    </row>
    <row r="115" spans="1:40" x14ac:dyDescent="0.2">
      <c r="A115" s="48"/>
      <c r="B115" s="76"/>
      <c r="C115" s="72"/>
      <c r="D115" s="73" t="s">
        <v>28</v>
      </c>
      <c r="E115" s="72"/>
      <c r="F115" s="72"/>
      <c r="G115" s="72"/>
      <c r="H115" s="72"/>
      <c r="I115" s="72"/>
      <c r="J115" s="79">
        <v>1950</v>
      </c>
      <c r="K115" s="79">
        <v>1950</v>
      </c>
      <c r="L115" s="79">
        <v>1950</v>
      </c>
      <c r="M115" s="79">
        <v>1950</v>
      </c>
      <c r="N115" s="79">
        <v>1950</v>
      </c>
      <c r="O115" s="79">
        <v>1950</v>
      </c>
      <c r="P115" s="79">
        <v>1950</v>
      </c>
      <c r="Q115" s="79">
        <v>1950</v>
      </c>
      <c r="R115" s="79">
        <v>1950</v>
      </c>
      <c r="S115" s="79">
        <v>1950</v>
      </c>
      <c r="T115" s="79">
        <v>1950</v>
      </c>
      <c r="U115" s="79">
        <v>1950</v>
      </c>
      <c r="V115" s="79">
        <v>1950</v>
      </c>
      <c r="W115" s="79">
        <v>1950</v>
      </c>
      <c r="X115" s="79">
        <v>1950</v>
      </c>
      <c r="Y115" s="79">
        <v>1950</v>
      </c>
      <c r="Z115" s="79">
        <v>1950</v>
      </c>
      <c r="AA115" s="79">
        <v>1950</v>
      </c>
      <c r="AB115" s="79">
        <v>1950</v>
      </c>
      <c r="AC115" s="79">
        <v>1950</v>
      </c>
      <c r="AD115" s="79">
        <v>1950</v>
      </c>
      <c r="AE115" s="79">
        <v>1950</v>
      </c>
      <c r="AF115" s="79">
        <v>1950</v>
      </c>
      <c r="AG115" s="79">
        <v>1950</v>
      </c>
      <c r="AH115" s="79">
        <v>1950</v>
      </c>
      <c r="AK115" s="45"/>
      <c r="AL115" s="45"/>
      <c r="AM115" s="46"/>
      <c r="AN115" s="47"/>
    </row>
    <row r="116" spans="1:40" x14ac:dyDescent="0.2">
      <c r="A116" s="48"/>
      <c r="B116" s="76"/>
      <c r="C116" s="72"/>
      <c r="D116" s="73" t="s">
        <v>27</v>
      </c>
      <c r="E116" s="72"/>
      <c r="F116" s="72"/>
      <c r="G116" s="72"/>
      <c r="H116" s="72"/>
      <c r="I116" s="72"/>
      <c r="J116" s="79">
        <f>IFERROR(HLOOKUP(J$3,[3]EMI!$D$5:$AA$19,13,FALSE),0)</f>
        <v>0</v>
      </c>
      <c r="K116" s="79">
        <f>IFERROR(HLOOKUP(K$3,[3]EMI!$D$5:$AA$19,13,FALSE),0)</f>
        <v>0</v>
      </c>
      <c r="L116" s="79">
        <f>IFERROR(HLOOKUP(L$3,[3]EMI!$D$5:$AA$19,13,FALSE),0)</f>
        <v>0</v>
      </c>
      <c r="M116" s="79">
        <f>IFERROR(HLOOKUP(M$3,[3]EMI!$D$5:$AA$19,13,FALSE),0)</f>
        <v>0</v>
      </c>
      <c r="N116" s="79">
        <f>IFERROR(HLOOKUP(N$3,[3]EMI!$D$5:$AA$19,13,FALSE),0)</f>
        <v>0</v>
      </c>
      <c r="O116" s="79">
        <f>IFERROR(HLOOKUP(O$3,[3]EMI!$D$5:$AA$19,13,FALSE),0)</f>
        <v>0</v>
      </c>
      <c r="P116" s="79">
        <f>IFERROR(HLOOKUP(P$3,[3]EMI!$D$5:$AA$19,13,FALSE),0)</f>
        <v>0</v>
      </c>
      <c r="Q116" s="79">
        <f>IFERROR(HLOOKUP(Q$3,[3]EMI!$D$5:$AA$19,13,FALSE),0)</f>
        <v>0</v>
      </c>
      <c r="R116" s="79">
        <f>IFERROR(HLOOKUP(R$3,[3]EMI!$D$5:$AA$19,13,FALSE),0)</f>
        <v>0</v>
      </c>
      <c r="S116" s="79">
        <f>IFERROR(HLOOKUP(S$3,[3]EMI!$D$5:$AA$19,13,FALSE),0)</f>
        <v>0</v>
      </c>
      <c r="T116" s="79">
        <f>IFERROR(HLOOKUP(T$3,[3]EMI!$D$5:$AA$19,13,FALSE),0)</f>
        <v>0</v>
      </c>
      <c r="U116" s="79">
        <f>IFERROR(HLOOKUP(U$3,[3]EMI!$D$5:$AA$19,13,FALSE),0)</f>
        <v>0</v>
      </c>
      <c r="V116" s="79">
        <f>IFERROR(HLOOKUP(V$3,[3]EMI!$D$5:$AA$19,13,FALSE),0)</f>
        <v>0</v>
      </c>
      <c r="W116" s="79">
        <f>IFERROR(HLOOKUP(W$3,[3]EMI!$D$5:$AA$19,13,FALSE),0)</f>
        <v>0</v>
      </c>
      <c r="X116" s="79">
        <f>IFERROR(HLOOKUP(X$3,[3]EMI!$D$5:$AA$19,13,FALSE),0)</f>
        <v>0</v>
      </c>
      <c r="Y116" s="79">
        <f>IFERROR(HLOOKUP(Y$3,[3]EMI!$D$5:$AA$19,13,FALSE),0)</f>
        <v>0</v>
      </c>
      <c r="Z116" s="79">
        <f>IFERROR(HLOOKUP(Z$3,[3]EMI!$D$5:$AA$19,13,FALSE),0)</f>
        <v>0</v>
      </c>
      <c r="AA116" s="79">
        <f>IFERROR(HLOOKUP(AA$3,[3]EMI!$D$5:$AA$19,13,FALSE),0)</f>
        <v>0</v>
      </c>
      <c r="AB116" s="79">
        <f>IFERROR(HLOOKUP(AB$3,[3]EMI!$D$5:$AA$19,13,FALSE),0)</f>
        <v>0</v>
      </c>
      <c r="AC116" s="79">
        <f>IFERROR(HLOOKUP(AC$3,[3]EMI!$D$5:$AA$19,13,FALSE),0)</f>
        <v>0</v>
      </c>
      <c r="AD116" s="79">
        <f>IFERROR(HLOOKUP(AD$3,[3]EMI!$D$5:$AA$19,13,FALSE),0)</f>
        <v>0</v>
      </c>
      <c r="AE116" s="79">
        <f>IFERROR(HLOOKUP(AE$3,[3]EMI!$D$5:$AA$19,13,FALSE),0)</f>
        <v>0</v>
      </c>
      <c r="AF116" s="79">
        <f>IFERROR(HLOOKUP(AF$3,[3]EMI!$D$5:$AA$19,13,FALSE),0)</f>
        <v>0</v>
      </c>
      <c r="AG116" s="79">
        <f>IFERROR(HLOOKUP(AG$3,[3]EMI!$D$5:$AA$19,13,FALSE),0)</f>
        <v>0</v>
      </c>
      <c r="AH116" s="79">
        <f>IFERROR(HLOOKUP(AH$3,[3]EMI!$D$5:$AA$19,13,FALSE),0)</f>
        <v>0</v>
      </c>
      <c r="AK116" s="45"/>
      <c r="AL116" s="45"/>
      <c r="AM116" s="46"/>
      <c r="AN116" s="47"/>
    </row>
    <row r="117" spans="1:40" x14ac:dyDescent="0.2">
      <c r="A117" s="48"/>
      <c r="B117" s="76"/>
      <c r="C117" s="72"/>
      <c r="D117" s="73" t="s">
        <v>28</v>
      </c>
      <c r="E117" s="72"/>
      <c r="F117" s="72"/>
      <c r="G117" s="72"/>
      <c r="H117" s="72"/>
      <c r="I117" s="72"/>
      <c r="J117" s="79">
        <f>IFERROR(HLOOKUP(J$3,[3]EMI!$D$5:$AA$19,14,FALSE),0)</f>
        <v>0</v>
      </c>
      <c r="K117" s="79">
        <f>IFERROR(HLOOKUP(K$3,[3]EMI!$D$5:$AA$19,14,FALSE),0)</f>
        <v>0</v>
      </c>
      <c r="L117" s="79">
        <f>IFERROR(HLOOKUP(L$3,[3]EMI!$D$5:$AA$19,14,FALSE),0)</f>
        <v>0</v>
      </c>
      <c r="M117" s="79">
        <f>IFERROR(HLOOKUP(M$3,[3]EMI!$D$5:$AA$19,14,FALSE),0)</f>
        <v>0</v>
      </c>
      <c r="N117" s="79">
        <f>IFERROR(HLOOKUP(N$3,[3]EMI!$D$5:$AA$19,14,FALSE),0)</f>
        <v>0</v>
      </c>
      <c r="O117" s="79">
        <f>IFERROR(HLOOKUP(O$3,[3]EMI!$D$5:$AA$19,14,FALSE),0)</f>
        <v>0</v>
      </c>
      <c r="P117" s="79">
        <f>IFERROR(HLOOKUP(P$3,[3]EMI!$D$5:$AA$19,14,FALSE),0)</f>
        <v>0</v>
      </c>
      <c r="Q117" s="79">
        <f>IFERROR(HLOOKUP(Q$3,[3]EMI!$D$5:$AA$19,14,FALSE),0)</f>
        <v>0</v>
      </c>
      <c r="R117" s="79">
        <f>IFERROR(HLOOKUP(R$3,[3]EMI!$D$5:$AA$19,14,FALSE),0)</f>
        <v>0</v>
      </c>
      <c r="S117" s="79">
        <f>IFERROR(HLOOKUP(S$3,[3]EMI!$D$5:$AA$19,14,FALSE),0)</f>
        <v>0</v>
      </c>
      <c r="T117" s="79">
        <f>IFERROR(HLOOKUP(T$3,[3]EMI!$D$5:$AA$19,14,FALSE),0)</f>
        <v>0</v>
      </c>
      <c r="U117" s="79">
        <f>IFERROR(HLOOKUP(U$3,[3]EMI!$D$5:$AA$19,14,FALSE),0)</f>
        <v>0</v>
      </c>
      <c r="V117" s="79">
        <f>IFERROR(HLOOKUP(V$3,[3]EMI!$D$5:$AA$19,14,FALSE),0)</f>
        <v>0</v>
      </c>
      <c r="W117" s="79">
        <f>IFERROR(HLOOKUP(W$3,[3]EMI!$D$5:$AA$19,14,FALSE),0)</f>
        <v>0</v>
      </c>
      <c r="X117" s="79">
        <f>IFERROR(HLOOKUP(X$3,[3]EMI!$D$5:$AA$19,14,FALSE),0)</f>
        <v>0</v>
      </c>
      <c r="Y117" s="79">
        <f>IFERROR(HLOOKUP(Y$3,[3]EMI!$D$5:$AA$19,14,FALSE),0)</f>
        <v>0</v>
      </c>
      <c r="Z117" s="79">
        <f>IFERROR(HLOOKUP(Z$3,[3]EMI!$D$5:$AA$19,14,FALSE),0)</f>
        <v>0</v>
      </c>
      <c r="AA117" s="79">
        <f>IFERROR(HLOOKUP(AA$3,[3]EMI!$D$5:$AA$19,14,FALSE),0)</f>
        <v>0</v>
      </c>
      <c r="AB117" s="79">
        <f>IFERROR(HLOOKUP(AB$3,[3]EMI!$D$5:$AA$19,14,FALSE),0)</f>
        <v>0</v>
      </c>
      <c r="AC117" s="79">
        <f>IFERROR(HLOOKUP(AC$3,[3]EMI!$D$5:$AA$19,14,FALSE),0)</f>
        <v>0</v>
      </c>
      <c r="AD117" s="79">
        <f>IFERROR(HLOOKUP(AD$3,[3]EMI!$D$5:$AA$19,14,FALSE),0)</f>
        <v>0</v>
      </c>
      <c r="AE117" s="79">
        <f>IFERROR(HLOOKUP(AE$3,[3]EMI!$D$5:$AA$19,14,FALSE),0)</f>
        <v>0</v>
      </c>
      <c r="AF117" s="79">
        <f>IFERROR(HLOOKUP(AF$3,[3]EMI!$D$5:$AA$19,14,FALSE),0)</f>
        <v>0</v>
      </c>
      <c r="AG117" s="79">
        <f>IFERROR(HLOOKUP(AG$3,[3]EMI!$D$5:$AA$19,14,FALSE),0)</f>
        <v>0</v>
      </c>
      <c r="AH117" s="79">
        <f>IFERROR(HLOOKUP(AH$3,[3]EMI!$D$5:$AA$19,14,FALSE),0)</f>
        <v>0</v>
      </c>
      <c r="AK117" s="45"/>
      <c r="AL117" s="45"/>
      <c r="AM117" s="46"/>
      <c r="AN117" s="47"/>
    </row>
    <row r="118" spans="1:40" x14ac:dyDescent="0.2">
      <c r="A118" s="48"/>
      <c r="B118" s="76"/>
      <c r="C118" s="72"/>
      <c r="D118" s="73"/>
      <c r="E118" s="72"/>
      <c r="F118" s="72"/>
      <c r="G118" s="72"/>
      <c r="H118" s="72"/>
      <c r="I118" s="72"/>
      <c r="J118" s="80">
        <f t="shared" ref="J118:AH118" si="127">J115+J117</f>
        <v>1950</v>
      </c>
      <c r="K118" s="80">
        <f t="shared" si="127"/>
        <v>1950</v>
      </c>
      <c r="L118" s="80">
        <f t="shared" si="127"/>
        <v>1950</v>
      </c>
      <c r="M118" s="80">
        <f t="shared" si="127"/>
        <v>1950</v>
      </c>
      <c r="N118" s="80">
        <f t="shared" si="127"/>
        <v>1950</v>
      </c>
      <c r="O118" s="80">
        <f t="shared" si="127"/>
        <v>1950</v>
      </c>
      <c r="P118" s="80">
        <f t="shared" si="127"/>
        <v>1950</v>
      </c>
      <c r="Q118" s="80">
        <f t="shared" si="127"/>
        <v>1950</v>
      </c>
      <c r="R118" s="80">
        <f t="shared" si="127"/>
        <v>1950</v>
      </c>
      <c r="S118" s="80">
        <f t="shared" si="127"/>
        <v>1950</v>
      </c>
      <c r="T118" s="80">
        <f t="shared" si="127"/>
        <v>1950</v>
      </c>
      <c r="U118" s="80">
        <f t="shared" si="127"/>
        <v>1950</v>
      </c>
      <c r="V118" s="80">
        <f t="shared" si="127"/>
        <v>1950</v>
      </c>
      <c r="W118" s="80">
        <f t="shared" si="127"/>
        <v>1950</v>
      </c>
      <c r="X118" s="80">
        <f t="shared" si="127"/>
        <v>1950</v>
      </c>
      <c r="Y118" s="80">
        <f t="shared" si="127"/>
        <v>1950</v>
      </c>
      <c r="Z118" s="80">
        <f t="shared" si="127"/>
        <v>1950</v>
      </c>
      <c r="AA118" s="80">
        <f t="shared" si="127"/>
        <v>1950</v>
      </c>
      <c r="AB118" s="80">
        <f t="shared" si="127"/>
        <v>1950</v>
      </c>
      <c r="AC118" s="80">
        <f t="shared" si="127"/>
        <v>1950</v>
      </c>
      <c r="AD118" s="80">
        <f t="shared" si="127"/>
        <v>1950</v>
      </c>
      <c r="AE118" s="80">
        <f t="shared" si="127"/>
        <v>1950</v>
      </c>
      <c r="AF118" s="80">
        <f t="shared" si="127"/>
        <v>1950</v>
      </c>
      <c r="AG118" s="80">
        <f t="shared" si="127"/>
        <v>1950</v>
      </c>
      <c r="AH118" s="80">
        <f t="shared" si="127"/>
        <v>1950</v>
      </c>
      <c r="AK118" s="45"/>
      <c r="AL118" s="45"/>
      <c r="AM118" s="46"/>
      <c r="AN118" s="47"/>
    </row>
    <row r="119" spans="1:40" ht="15" x14ac:dyDescent="0.2">
      <c r="B119" s="76"/>
      <c r="C119" s="72"/>
      <c r="D119" s="73" t="s">
        <v>29</v>
      </c>
      <c r="E119" s="72"/>
      <c r="F119" s="72"/>
      <c r="G119" s="72"/>
      <c r="H119" s="72"/>
      <c r="I119" s="72"/>
      <c r="J119" s="79"/>
      <c r="K119" s="79"/>
      <c r="L119" s="79">
        <f t="shared" ref="L119:AH119" si="128">L106-L118</f>
        <v>-1950</v>
      </c>
      <c r="M119" s="79">
        <f t="shared" si="128"/>
        <v>-1950</v>
      </c>
      <c r="N119" s="79">
        <f t="shared" si="128"/>
        <v>-1950</v>
      </c>
      <c r="O119" s="79">
        <f t="shared" si="128"/>
        <v>-1950</v>
      </c>
      <c r="P119" s="79">
        <f t="shared" si="128"/>
        <v>-1950</v>
      </c>
      <c r="Q119" s="79">
        <f t="shared" si="128"/>
        <v>-1950</v>
      </c>
      <c r="R119" s="79">
        <f t="shared" si="128"/>
        <v>-1950</v>
      </c>
      <c r="S119" s="79">
        <f t="shared" si="128"/>
        <v>-1950</v>
      </c>
      <c r="T119" s="79">
        <f t="shared" si="128"/>
        <v>-1950</v>
      </c>
      <c r="U119" s="79">
        <f t="shared" si="128"/>
        <v>-1950</v>
      </c>
      <c r="V119" s="79">
        <f t="shared" si="128"/>
        <v>-1950</v>
      </c>
      <c r="W119" s="79">
        <f t="shared" si="128"/>
        <v>-1950</v>
      </c>
      <c r="X119" s="79">
        <f t="shared" si="128"/>
        <v>-1950</v>
      </c>
      <c r="Y119" s="79">
        <f t="shared" si="128"/>
        <v>-1950</v>
      </c>
      <c r="Z119" s="79">
        <f t="shared" si="128"/>
        <v>-1950</v>
      </c>
      <c r="AA119" s="79">
        <f t="shared" si="128"/>
        <v>-1950</v>
      </c>
      <c r="AB119" s="79">
        <f t="shared" si="128"/>
        <v>-1950</v>
      </c>
      <c r="AC119" s="79">
        <f t="shared" si="128"/>
        <v>-1950</v>
      </c>
      <c r="AD119" s="79">
        <f t="shared" si="128"/>
        <v>-1950</v>
      </c>
      <c r="AE119" s="79">
        <f t="shared" si="128"/>
        <v>-1950</v>
      </c>
      <c r="AF119" s="79">
        <f t="shared" si="128"/>
        <v>-1950</v>
      </c>
      <c r="AG119" s="79">
        <f t="shared" si="128"/>
        <v>-1950</v>
      </c>
      <c r="AH119" s="79">
        <f t="shared" si="128"/>
        <v>-1950</v>
      </c>
      <c r="AI119" s="57"/>
      <c r="AJ119" s="47"/>
      <c r="AK119" s="47"/>
      <c r="AL119" s="47"/>
    </row>
    <row r="120" spans="1:40" ht="15" x14ac:dyDescent="0.2">
      <c r="B120" s="86"/>
      <c r="C120" s="69"/>
      <c r="D120" s="87"/>
      <c r="E120" s="69"/>
      <c r="F120" s="69"/>
      <c r="G120" s="69"/>
      <c r="H120" s="69"/>
      <c r="I120" s="69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57"/>
      <c r="AJ120" s="47"/>
      <c r="AK120" s="47"/>
      <c r="AL120" s="47"/>
    </row>
    <row r="121" spans="1:40" ht="15" x14ac:dyDescent="0.2">
      <c r="B121" s="86"/>
      <c r="C121" s="69"/>
      <c r="D121" s="87"/>
      <c r="E121" s="69"/>
      <c r="F121" s="69"/>
      <c r="G121" s="69"/>
      <c r="H121" s="69"/>
      <c r="I121" s="69"/>
      <c r="J121" s="69" t="s">
        <v>30</v>
      </c>
      <c r="K121" s="69"/>
      <c r="L121" s="98">
        <f>L124-L127</f>
        <v>-2016</v>
      </c>
      <c r="M121" s="98">
        <f t="shared" ref="M121:AH121" si="129">M124-M127</f>
        <v>0</v>
      </c>
      <c r="N121" s="98">
        <f t="shared" si="129"/>
        <v>-1480</v>
      </c>
      <c r="O121" s="98">
        <f t="shared" si="129"/>
        <v>-1912</v>
      </c>
      <c r="P121" s="98">
        <f t="shared" si="129"/>
        <v>-1784</v>
      </c>
      <c r="Q121" s="98">
        <f t="shared" si="129"/>
        <v>-2000</v>
      </c>
      <c r="R121" s="98">
        <f t="shared" si="129"/>
        <v>-2000</v>
      </c>
      <c r="S121" s="98">
        <f t="shared" si="129"/>
        <v>-2000</v>
      </c>
      <c r="T121" s="98">
        <f t="shared" si="129"/>
        <v>-2000</v>
      </c>
      <c r="U121" s="98">
        <f t="shared" si="129"/>
        <v>-1860</v>
      </c>
      <c r="V121" s="98">
        <f t="shared" si="129"/>
        <v>-2320</v>
      </c>
      <c r="W121" s="98">
        <f t="shared" si="129"/>
        <v>-2328</v>
      </c>
      <c r="X121" s="98">
        <f t="shared" si="129"/>
        <v>-2324</v>
      </c>
      <c r="Y121" s="98">
        <f t="shared" si="129"/>
        <v>-2328</v>
      </c>
      <c r="Z121" s="98">
        <f t="shared" si="129"/>
        <v>-1832</v>
      </c>
      <c r="AA121" s="98">
        <f t="shared" si="129"/>
        <v>-1840</v>
      </c>
      <c r="AB121" s="98">
        <f t="shared" si="129"/>
        <v>-1836</v>
      </c>
      <c r="AC121" s="98">
        <f t="shared" si="129"/>
        <v>-1832</v>
      </c>
      <c r="AD121" s="98">
        <f t="shared" si="129"/>
        <v>-1572</v>
      </c>
      <c r="AE121" s="98">
        <f t="shared" si="129"/>
        <v>-1568</v>
      </c>
      <c r="AF121" s="98">
        <f t="shared" si="129"/>
        <v>-1572</v>
      </c>
      <c r="AG121" s="98">
        <f t="shared" si="129"/>
        <v>-1568</v>
      </c>
      <c r="AH121" s="98">
        <f t="shared" si="129"/>
        <v>0</v>
      </c>
      <c r="AI121" s="57"/>
      <c r="AJ121" s="47"/>
      <c r="AK121" s="47"/>
      <c r="AL121" s="47"/>
    </row>
    <row r="122" spans="1:40" ht="15.75" x14ac:dyDescent="0.25">
      <c r="B122" s="89"/>
      <c r="C122" s="89"/>
      <c r="D122" s="89"/>
      <c r="E122" s="89"/>
      <c r="F122" s="89"/>
      <c r="G122" s="89"/>
      <c r="H122" s="89"/>
      <c r="I122" s="89"/>
      <c r="J122" s="97" t="s">
        <v>31</v>
      </c>
      <c r="K122" s="89"/>
      <c r="L122" s="98">
        <f>L125-L128</f>
        <v>-91378</v>
      </c>
      <c r="M122" s="98">
        <f t="shared" ref="M122:AH122" si="130">M125-M128</f>
        <v>-91378</v>
      </c>
      <c r="N122" s="98">
        <f t="shared" si="130"/>
        <v>-92858</v>
      </c>
      <c r="O122" s="98">
        <f t="shared" si="130"/>
        <v>-94770</v>
      </c>
      <c r="P122" s="98">
        <f t="shared" si="130"/>
        <v>-96554</v>
      </c>
      <c r="Q122" s="98">
        <f t="shared" si="130"/>
        <v>-98554</v>
      </c>
      <c r="R122" s="98">
        <f t="shared" si="130"/>
        <v>-100554</v>
      </c>
      <c r="S122" s="98">
        <f t="shared" si="130"/>
        <v>-102554</v>
      </c>
      <c r="T122" s="98">
        <f t="shared" si="130"/>
        <v>-104554</v>
      </c>
      <c r="U122" s="98">
        <f t="shared" si="130"/>
        <v>-106414</v>
      </c>
      <c r="V122" s="98">
        <f t="shared" si="130"/>
        <v>-108734</v>
      </c>
      <c r="W122" s="98">
        <f t="shared" si="130"/>
        <v>-111062</v>
      </c>
      <c r="X122" s="98">
        <f t="shared" si="130"/>
        <v>-113386</v>
      </c>
      <c r="Y122" s="98">
        <f t="shared" si="130"/>
        <v>-115714</v>
      </c>
      <c r="Z122" s="98">
        <f t="shared" si="130"/>
        <v>-117546</v>
      </c>
      <c r="AA122" s="98">
        <f t="shared" si="130"/>
        <v>-119386</v>
      </c>
      <c r="AB122" s="98">
        <f t="shared" si="130"/>
        <v>-121222</v>
      </c>
      <c r="AC122" s="98">
        <f t="shared" si="130"/>
        <v>-123054</v>
      </c>
      <c r="AD122" s="98">
        <f t="shared" si="130"/>
        <v>-124626</v>
      </c>
      <c r="AE122" s="98">
        <f t="shared" si="130"/>
        <v>-126194</v>
      </c>
      <c r="AF122" s="98">
        <f t="shared" si="130"/>
        <v>-127766</v>
      </c>
      <c r="AG122" s="98">
        <f t="shared" si="130"/>
        <v>-129334</v>
      </c>
      <c r="AH122" s="98">
        <f t="shared" si="130"/>
        <v>0</v>
      </c>
      <c r="AI122" s="57"/>
      <c r="AJ122" s="47"/>
      <c r="AK122" s="47"/>
      <c r="AL122" s="47"/>
    </row>
    <row r="123" spans="1:40" ht="15.75" x14ac:dyDescent="0.25">
      <c r="B123" s="89" t="s">
        <v>32</v>
      </c>
      <c r="C123" s="89"/>
      <c r="D123" s="92">
        <v>45376</v>
      </c>
      <c r="E123" s="93" t="s">
        <v>0</v>
      </c>
      <c r="F123" s="93" t="s">
        <v>0</v>
      </c>
      <c r="G123" s="93" t="s">
        <v>0</v>
      </c>
      <c r="H123" s="93" t="s">
        <v>0</v>
      </c>
      <c r="I123" s="93" t="s">
        <v>0</v>
      </c>
      <c r="J123" s="94" t="s">
        <v>0</v>
      </c>
      <c r="K123" s="94" t="s">
        <v>1</v>
      </c>
      <c r="L123" s="94" t="s">
        <v>2</v>
      </c>
      <c r="M123" s="94" t="s">
        <v>4</v>
      </c>
      <c r="N123" s="94" t="s">
        <v>0</v>
      </c>
      <c r="O123" s="94" t="s">
        <v>0</v>
      </c>
      <c r="P123" s="94" t="s">
        <v>0</v>
      </c>
      <c r="Q123" s="94" t="s">
        <v>0</v>
      </c>
      <c r="R123" s="94" t="s">
        <v>0</v>
      </c>
      <c r="S123" s="94" t="s">
        <v>0</v>
      </c>
      <c r="T123" s="94" t="s">
        <v>3</v>
      </c>
      <c r="U123" s="94" t="s">
        <v>4</v>
      </c>
      <c r="V123" s="94" t="s">
        <v>0</v>
      </c>
      <c r="W123" s="94" t="s">
        <v>0</v>
      </c>
      <c r="X123" s="94" t="s">
        <v>0</v>
      </c>
      <c r="Y123" s="94" t="s">
        <v>0</v>
      </c>
      <c r="Z123" s="94" t="s">
        <v>0</v>
      </c>
      <c r="AA123" s="94" t="s">
        <v>0</v>
      </c>
      <c r="AB123" s="94" t="s">
        <v>0</v>
      </c>
      <c r="AC123" s="94" t="s">
        <v>0</v>
      </c>
      <c r="AD123" s="94" t="s">
        <v>0</v>
      </c>
      <c r="AE123" s="94" t="s">
        <v>0</v>
      </c>
      <c r="AF123" s="94" t="s">
        <v>0</v>
      </c>
      <c r="AG123" s="94" t="s">
        <v>0</v>
      </c>
      <c r="AH123" s="94" t="s">
        <v>4</v>
      </c>
      <c r="AI123" s="57"/>
      <c r="AJ123" s="47"/>
      <c r="AK123" s="47"/>
      <c r="AL123" s="47"/>
    </row>
    <row r="124" spans="1:40" ht="15.75" x14ac:dyDescent="0.25">
      <c r="B124" s="89" t="s">
        <v>6</v>
      </c>
      <c r="C124" s="89" t="s">
        <v>136</v>
      </c>
      <c r="D124" s="95" t="s">
        <v>33</v>
      </c>
      <c r="E124" s="146">
        <f>E106</f>
        <v>0</v>
      </c>
      <c r="F124" s="146">
        <f t="shared" ref="F124:AH124" si="131">F106</f>
        <v>0</v>
      </c>
      <c r="G124" s="146">
        <f t="shared" si="131"/>
        <v>0</v>
      </c>
      <c r="H124" s="146">
        <f t="shared" si="131"/>
        <v>0</v>
      </c>
      <c r="I124" s="146">
        <f t="shared" si="131"/>
        <v>0</v>
      </c>
      <c r="J124" s="146">
        <f t="shared" si="131"/>
        <v>0</v>
      </c>
      <c r="K124" s="146">
        <f t="shared" si="131"/>
        <v>0</v>
      </c>
      <c r="L124" s="146">
        <f t="shared" si="131"/>
        <v>0</v>
      </c>
      <c r="M124" s="146">
        <f t="shared" si="131"/>
        <v>0</v>
      </c>
      <c r="N124" s="146">
        <f t="shared" si="131"/>
        <v>0</v>
      </c>
      <c r="O124" s="146">
        <f t="shared" si="131"/>
        <v>0</v>
      </c>
      <c r="P124" s="146">
        <f t="shared" si="131"/>
        <v>0</v>
      </c>
      <c r="Q124" s="146">
        <f t="shared" si="131"/>
        <v>0</v>
      </c>
      <c r="R124" s="146">
        <f t="shared" si="131"/>
        <v>0</v>
      </c>
      <c r="S124" s="146">
        <f t="shared" si="131"/>
        <v>0</v>
      </c>
      <c r="T124" s="146">
        <f t="shared" si="131"/>
        <v>0</v>
      </c>
      <c r="U124" s="146">
        <f t="shared" si="131"/>
        <v>0</v>
      </c>
      <c r="V124" s="146">
        <f t="shared" si="131"/>
        <v>0</v>
      </c>
      <c r="W124" s="146">
        <f t="shared" si="131"/>
        <v>0</v>
      </c>
      <c r="X124" s="146">
        <f t="shared" si="131"/>
        <v>0</v>
      </c>
      <c r="Y124" s="146">
        <f t="shared" si="131"/>
        <v>0</v>
      </c>
      <c r="Z124" s="146">
        <f t="shared" si="131"/>
        <v>0</v>
      </c>
      <c r="AA124" s="146">
        <f t="shared" si="131"/>
        <v>0</v>
      </c>
      <c r="AB124" s="146">
        <f t="shared" si="131"/>
        <v>0</v>
      </c>
      <c r="AC124" s="146">
        <f t="shared" si="131"/>
        <v>0</v>
      </c>
      <c r="AD124" s="146">
        <f t="shared" si="131"/>
        <v>0</v>
      </c>
      <c r="AE124" s="146">
        <f t="shared" si="131"/>
        <v>0</v>
      </c>
      <c r="AF124" s="146">
        <f t="shared" si="131"/>
        <v>0</v>
      </c>
      <c r="AG124" s="146">
        <f t="shared" si="131"/>
        <v>0</v>
      </c>
      <c r="AH124" s="146">
        <f t="shared" si="131"/>
        <v>0</v>
      </c>
      <c r="AI124" s="57"/>
      <c r="AJ124" s="47"/>
      <c r="AK124" s="47"/>
      <c r="AL124" s="47"/>
    </row>
    <row r="125" spans="1:40" ht="15.75" x14ac:dyDescent="0.25">
      <c r="B125" s="89"/>
      <c r="C125" s="89"/>
      <c r="D125" s="95" t="s">
        <v>34</v>
      </c>
      <c r="E125" s="146">
        <f>E107</f>
        <v>0</v>
      </c>
      <c r="F125" s="146">
        <f t="shared" ref="F125:AH125" si="132">F107</f>
        <v>0</v>
      </c>
      <c r="G125" s="146">
        <f t="shared" si="132"/>
        <v>0</v>
      </c>
      <c r="H125" s="146">
        <f t="shared" si="132"/>
        <v>0</v>
      </c>
      <c r="I125" s="146">
        <f t="shared" si="132"/>
        <v>0</v>
      </c>
      <c r="J125" s="146">
        <f t="shared" si="132"/>
        <v>0</v>
      </c>
      <c r="K125" s="146">
        <f t="shared" si="132"/>
        <v>0</v>
      </c>
      <c r="L125" s="146">
        <f t="shared" si="132"/>
        <v>0</v>
      </c>
      <c r="M125" s="146">
        <f t="shared" si="132"/>
        <v>0</v>
      </c>
      <c r="N125" s="146">
        <f t="shared" si="132"/>
        <v>0</v>
      </c>
      <c r="O125" s="146">
        <f t="shared" si="132"/>
        <v>0</v>
      </c>
      <c r="P125" s="146">
        <f t="shared" si="132"/>
        <v>0</v>
      </c>
      <c r="Q125" s="146">
        <f t="shared" si="132"/>
        <v>0</v>
      </c>
      <c r="R125" s="146">
        <f t="shared" si="132"/>
        <v>0</v>
      </c>
      <c r="S125" s="146">
        <f t="shared" si="132"/>
        <v>0</v>
      </c>
      <c r="T125" s="146">
        <f t="shared" si="132"/>
        <v>0</v>
      </c>
      <c r="U125" s="146">
        <f t="shared" si="132"/>
        <v>0</v>
      </c>
      <c r="V125" s="146">
        <f t="shared" si="132"/>
        <v>0</v>
      </c>
      <c r="W125" s="146">
        <f t="shared" si="132"/>
        <v>0</v>
      </c>
      <c r="X125" s="146">
        <f t="shared" si="132"/>
        <v>0</v>
      </c>
      <c r="Y125" s="146">
        <f t="shared" si="132"/>
        <v>0</v>
      </c>
      <c r="Z125" s="146">
        <f t="shared" si="132"/>
        <v>0</v>
      </c>
      <c r="AA125" s="146">
        <f t="shared" si="132"/>
        <v>0</v>
      </c>
      <c r="AB125" s="146">
        <f t="shared" si="132"/>
        <v>0</v>
      </c>
      <c r="AC125" s="146">
        <f t="shared" si="132"/>
        <v>0</v>
      </c>
      <c r="AD125" s="146">
        <f t="shared" si="132"/>
        <v>0</v>
      </c>
      <c r="AE125" s="146">
        <f t="shared" si="132"/>
        <v>0</v>
      </c>
      <c r="AF125" s="146">
        <f t="shared" si="132"/>
        <v>0</v>
      </c>
      <c r="AG125" s="146">
        <f t="shared" si="132"/>
        <v>0</v>
      </c>
      <c r="AH125" s="146">
        <f t="shared" si="132"/>
        <v>0</v>
      </c>
      <c r="AI125" s="57"/>
      <c r="AJ125" s="47"/>
      <c r="AK125" s="47"/>
      <c r="AL125" s="47"/>
    </row>
    <row r="126" spans="1:40" ht="15.75" x14ac:dyDescent="0.25">
      <c r="B126" s="89"/>
      <c r="C126" s="89"/>
      <c r="D126" s="92">
        <v>45369</v>
      </c>
      <c r="E126" s="94" t="s">
        <v>0</v>
      </c>
      <c r="F126" s="94" t="s">
        <v>0</v>
      </c>
      <c r="G126" s="94" t="s">
        <v>0</v>
      </c>
      <c r="H126" s="94" t="s">
        <v>0</v>
      </c>
      <c r="I126" s="94" t="s">
        <v>0</v>
      </c>
      <c r="J126" s="94" t="s">
        <v>1</v>
      </c>
      <c r="K126" s="94" t="s">
        <v>2</v>
      </c>
      <c r="L126" s="94" t="s">
        <v>4</v>
      </c>
      <c r="M126" s="94" t="s">
        <v>0</v>
      </c>
      <c r="N126" s="94" t="s">
        <v>0</v>
      </c>
      <c r="O126" s="94" t="s">
        <v>0</v>
      </c>
      <c r="P126" s="94" t="s">
        <v>0</v>
      </c>
      <c r="Q126" s="94" t="s">
        <v>0</v>
      </c>
      <c r="R126" s="94" t="s">
        <v>0</v>
      </c>
      <c r="S126" s="94" t="s">
        <v>3</v>
      </c>
      <c r="T126" s="94" t="s">
        <v>4</v>
      </c>
      <c r="U126" s="94" t="s">
        <v>0</v>
      </c>
      <c r="V126" s="94" t="s">
        <v>0</v>
      </c>
      <c r="W126" s="94" t="s">
        <v>0</v>
      </c>
      <c r="X126" s="94" t="s">
        <v>0</v>
      </c>
      <c r="Y126" s="94" t="s">
        <v>0</v>
      </c>
      <c r="Z126" s="94" t="s">
        <v>0</v>
      </c>
      <c r="AA126" s="94" t="s">
        <v>0</v>
      </c>
      <c r="AB126" s="94" t="s">
        <v>0</v>
      </c>
      <c r="AC126" s="94" t="s">
        <v>0</v>
      </c>
      <c r="AD126" s="94" t="s">
        <v>0</v>
      </c>
      <c r="AE126" s="94" t="s">
        <v>0</v>
      </c>
      <c r="AF126" s="94" t="s">
        <v>0</v>
      </c>
      <c r="AG126" s="94" t="s">
        <v>4</v>
      </c>
      <c r="AH126" s="94"/>
      <c r="AI126" s="57"/>
      <c r="AJ126" s="47"/>
      <c r="AK126" s="47"/>
      <c r="AL126" s="47"/>
    </row>
    <row r="127" spans="1:40" ht="15.75" x14ac:dyDescent="0.25">
      <c r="B127" s="89"/>
      <c r="C127" s="89"/>
      <c r="D127" s="95" t="s">
        <v>33</v>
      </c>
      <c r="E127" s="146">
        <v>2520</v>
      </c>
      <c r="F127" s="146">
        <v>2332</v>
      </c>
      <c r="G127" s="146">
        <v>2268</v>
      </c>
      <c r="H127" s="146">
        <v>2416</v>
      </c>
      <c r="I127" s="146">
        <v>2436</v>
      </c>
      <c r="J127" s="146">
        <v>1764</v>
      </c>
      <c r="K127" s="146">
        <v>2148</v>
      </c>
      <c r="L127" s="146">
        <v>2016</v>
      </c>
      <c r="M127" s="146">
        <v>0</v>
      </c>
      <c r="N127" s="146">
        <v>1480</v>
      </c>
      <c r="O127" s="146">
        <v>1912</v>
      </c>
      <c r="P127" s="146">
        <v>1784</v>
      </c>
      <c r="Q127" s="146">
        <v>2000</v>
      </c>
      <c r="R127" s="146">
        <v>2000</v>
      </c>
      <c r="S127" s="146">
        <v>2000</v>
      </c>
      <c r="T127" s="146">
        <v>2000</v>
      </c>
      <c r="U127" s="146">
        <v>1860</v>
      </c>
      <c r="V127" s="146">
        <v>2320</v>
      </c>
      <c r="W127" s="146">
        <v>2328</v>
      </c>
      <c r="X127" s="146">
        <v>2324</v>
      </c>
      <c r="Y127" s="146">
        <v>2328</v>
      </c>
      <c r="Z127" s="146">
        <v>1832</v>
      </c>
      <c r="AA127" s="146">
        <v>1840</v>
      </c>
      <c r="AB127" s="146">
        <v>1836</v>
      </c>
      <c r="AC127" s="146">
        <v>1832</v>
      </c>
      <c r="AD127" s="146">
        <v>1572</v>
      </c>
      <c r="AE127" s="146">
        <v>1568</v>
      </c>
      <c r="AF127" s="146">
        <v>1572</v>
      </c>
      <c r="AG127" s="146">
        <v>1568</v>
      </c>
      <c r="AH127" s="146"/>
      <c r="AI127" s="57"/>
      <c r="AJ127" s="47"/>
      <c r="AK127" s="47"/>
      <c r="AL127" s="47"/>
    </row>
    <row r="128" spans="1:40" ht="15.75" x14ac:dyDescent="0.25">
      <c r="B128" s="89"/>
      <c r="C128" s="89"/>
      <c r="D128" s="95" t="s">
        <v>34</v>
      </c>
      <c r="E128" s="146">
        <v>75998</v>
      </c>
      <c r="F128" s="146">
        <v>78330</v>
      </c>
      <c r="G128" s="146">
        <v>80598</v>
      </c>
      <c r="H128" s="146">
        <v>83014</v>
      </c>
      <c r="I128" s="146">
        <v>85450</v>
      </c>
      <c r="J128" s="146">
        <v>87214</v>
      </c>
      <c r="K128" s="146">
        <v>89362</v>
      </c>
      <c r="L128" s="146">
        <v>91378</v>
      </c>
      <c r="M128" s="146">
        <v>91378</v>
      </c>
      <c r="N128" s="146">
        <v>92858</v>
      </c>
      <c r="O128" s="146">
        <v>94770</v>
      </c>
      <c r="P128" s="146">
        <v>96554</v>
      </c>
      <c r="Q128" s="146">
        <v>98554</v>
      </c>
      <c r="R128" s="146">
        <v>100554</v>
      </c>
      <c r="S128" s="146">
        <v>102554</v>
      </c>
      <c r="T128" s="146">
        <v>104554</v>
      </c>
      <c r="U128" s="146">
        <v>106414</v>
      </c>
      <c r="V128" s="146">
        <v>108734</v>
      </c>
      <c r="W128" s="146">
        <v>111062</v>
      </c>
      <c r="X128" s="146">
        <v>113386</v>
      </c>
      <c r="Y128" s="146">
        <v>115714</v>
      </c>
      <c r="Z128" s="146">
        <v>117546</v>
      </c>
      <c r="AA128" s="146">
        <v>119386</v>
      </c>
      <c r="AB128" s="146">
        <v>121222</v>
      </c>
      <c r="AC128" s="146">
        <v>123054</v>
      </c>
      <c r="AD128" s="146">
        <v>124626</v>
      </c>
      <c r="AE128" s="146">
        <v>126194</v>
      </c>
      <c r="AF128" s="146">
        <v>127766</v>
      </c>
      <c r="AG128" s="146">
        <v>129334</v>
      </c>
      <c r="AH128" s="146"/>
      <c r="AI128" s="57"/>
      <c r="AJ128" s="47"/>
      <c r="AK128" s="47"/>
      <c r="AL128" s="47"/>
    </row>
    <row r="129" spans="2:38" ht="15.75" x14ac:dyDescent="0.25">
      <c r="B129" s="89"/>
      <c r="C129" s="89"/>
      <c r="D129" s="92">
        <v>45362</v>
      </c>
      <c r="E129" s="94" t="s">
        <v>0</v>
      </c>
      <c r="F129" s="94" t="s">
        <v>0</v>
      </c>
      <c r="G129" s="94" t="s">
        <v>0</v>
      </c>
      <c r="H129" s="94" t="s">
        <v>0</v>
      </c>
      <c r="I129" s="94" t="s">
        <v>1</v>
      </c>
      <c r="J129" s="94" t="s">
        <v>2</v>
      </c>
      <c r="K129" s="94" t="s">
        <v>4</v>
      </c>
      <c r="L129" s="94" t="s">
        <v>0</v>
      </c>
      <c r="M129" s="94" t="s">
        <v>0</v>
      </c>
      <c r="N129" s="94" t="s">
        <v>0</v>
      </c>
      <c r="O129" s="94" t="s">
        <v>0</v>
      </c>
      <c r="P129" s="94" t="s">
        <v>0</v>
      </c>
      <c r="Q129" s="94" t="s">
        <v>0</v>
      </c>
      <c r="R129" s="94" t="s">
        <v>3</v>
      </c>
      <c r="S129" s="94" t="s">
        <v>4</v>
      </c>
      <c r="T129" s="94" t="s">
        <v>0</v>
      </c>
      <c r="U129" s="94" t="s">
        <v>0</v>
      </c>
      <c r="V129" s="94" t="s">
        <v>0</v>
      </c>
      <c r="W129" s="94" t="s">
        <v>0</v>
      </c>
      <c r="X129" s="94" t="s">
        <v>0</v>
      </c>
      <c r="Y129" s="94" t="s">
        <v>0</v>
      </c>
      <c r="Z129" s="94" t="s">
        <v>0</v>
      </c>
      <c r="AA129" s="94" t="s">
        <v>0</v>
      </c>
      <c r="AB129" s="94" t="s">
        <v>0</v>
      </c>
      <c r="AC129" s="94" t="s">
        <v>0</v>
      </c>
      <c r="AD129" s="94" t="s">
        <v>0</v>
      </c>
      <c r="AE129" s="94" t="s">
        <v>0</v>
      </c>
      <c r="AF129" s="94" t="s">
        <v>4</v>
      </c>
      <c r="AG129" s="94"/>
      <c r="AH129" s="94"/>
      <c r="AI129" s="57"/>
      <c r="AJ129" s="47"/>
      <c r="AK129" s="47"/>
      <c r="AL129" s="47"/>
    </row>
    <row r="130" spans="2:38" ht="15.75" x14ac:dyDescent="0.25">
      <c r="B130" s="89"/>
      <c r="C130" s="89"/>
      <c r="D130" s="95" t="s">
        <v>33</v>
      </c>
      <c r="E130" s="146">
        <v>2520</v>
      </c>
      <c r="F130" s="146">
        <v>2332</v>
      </c>
      <c r="G130" s="146">
        <v>2268</v>
      </c>
      <c r="H130" s="146">
        <v>2416</v>
      </c>
      <c r="I130" s="146">
        <v>2436</v>
      </c>
      <c r="J130" s="146">
        <v>1764</v>
      </c>
      <c r="K130" s="146">
        <v>2148</v>
      </c>
      <c r="L130" s="146">
        <v>2016</v>
      </c>
      <c r="M130" s="146">
        <v>0</v>
      </c>
      <c r="N130" s="146">
        <v>1212</v>
      </c>
      <c r="O130" s="146">
        <v>2128</v>
      </c>
      <c r="P130" s="146">
        <v>1784</v>
      </c>
      <c r="Q130" s="146">
        <v>2000</v>
      </c>
      <c r="R130" s="146">
        <v>2000</v>
      </c>
      <c r="S130" s="146">
        <v>2000</v>
      </c>
      <c r="T130" s="146">
        <v>2000</v>
      </c>
      <c r="U130" s="146">
        <v>1860</v>
      </c>
      <c r="V130" s="146">
        <v>2328</v>
      </c>
      <c r="W130" s="146">
        <v>2324</v>
      </c>
      <c r="X130" s="146">
        <v>2324</v>
      </c>
      <c r="Y130" s="146">
        <v>2324</v>
      </c>
      <c r="Z130" s="146">
        <v>1836</v>
      </c>
      <c r="AA130" s="146">
        <v>1836</v>
      </c>
      <c r="AB130" s="146">
        <v>1832</v>
      </c>
      <c r="AC130" s="146">
        <v>1840</v>
      </c>
      <c r="AD130" s="146">
        <v>1568</v>
      </c>
      <c r="AE130" s="146">
        <v>1832</v>
      </c>
      <c r="AF130" s="146">
        <v>1676</v>
      </c>
      <c r="AG130" s="146"/>
      <c r="AH130" s="146"/>
      <c r="AI130" s="57"/>
      <c r="AJ130" s="47"/>
      <c r="AK130" s="47"/>
      <c r="AL130" s="47"/>
    </row>
    <row r="131" spans="2:38" ht="15.75" x14ac:dyDescent="0.25">
      <c r="B131" s="89"/>
      <c r="C131" s="89"/>
      <c r="D131" s="95" t="s">
        <v>34</v>
      </c>
      <c r="E131" s="146">
        <v>75998</v>
      </c>
      <c r="F131" s="146">
        <v>78330</v>
      </c>
      <c r="G131" s="146">
        <v>80598</v>
      </c>
      <c r="H131" s="146">
        <v>83014</v>
      </c>
      <c r="I131" s="146">
        <v>85450</v>
      </c>
      <c r="J131" s="146">
        <v>87214</v>
      </c>
      <c r="K131" s="146">
        <v>89362</v>
      </c>
      <c r="L131" s="146">
        <v>91378</v>
      </c>
      <c r="M131" s="146">
        <v>91378</v>
      </c>
      <c r="N131" s="146">
        <v>92590</v>
      </c>
      <c r="O131" s="146">
        <v>94718</v>
      </c>
      <c r="P131" s="146">
        <v>96502</v>
      </c>
      <c r="Q131" s="146">
        <v>98502</v>
      </c>
      <c r="R131" s="146">
        <v>100502</v>
      </c>
      <c r="S131" s="146">
        <v>102502</v>
      </c>
      <c r="T131" s="146">
        <v>104502</v>
      </c>
      <c r="U131" s="146">
        <v>106362</v>
      </c>
      <c r="V131" s="146">
        <v>108690</v>
      </c>
      <c r="W131" s="146">
        <v>111014</v>
      </c>
      <c r="X131" s="146">
        <v>113338</v>
      </c>
      <c r="Y131" s="146">
        <v>115662</v>
      </c>
      <c r="Z131" s="146">
        <v>117498</v>
      </c>
      <c r="AA131" s="146">
        <v>119334</v>
      </c>
      <c r="AB131" s="146">
        <v>121166</v>
      </c>
      <c r="AC131" s="146">
        <v>123006</v>
      </c>
      <c r="AD131" s="146">
        <v>124574</v>
      </c>
      <c r="AE131" s="146">
        <v>126406</v>
      </c>
      <c r="AF131" s="146">
        <v>128082</v>
      </c>
      <c r="AG131" s="146"/>
      <c r="AH131" s="146"/>
      <c r="AI131" s="57"/>
      <c r="AJ131" s="47"/>
      <c r="AK131" s="47"/>
      <c r="AL131" s="47"/>
    </row>
    <row r="132" spans="2:38" ht="15.75" x14ac:dyDescent="0.25">
      <c r="B132" s="89"/>
      <c r="C132" s="89"/>
      <c r="D132" s="92">
        <v>45355</v>
      </c>
      <c r="E132" s="94" t="s">
        <v>0</v>
      </c>
      <c r="F132" s="94" t="s">
        <v>0</v>
      </c>
      <c r="G132" s="94" t="s">
        <v>0</v>
      </c>
      <c r="H132" s="94" t="s">
        <v>1</v>
      </c>
      <c r="I132" s="94" t="s">
        <v>2</v>
      </c>
      <c r="J132" s="94" t="s">
        <v>4</v>
      </c>
      <c r="K132" s="94" t="s">
        <v>0</v>
      </c>
      <c r="L132" s="94" t="s">
        <v>0</v>
      </c>
      <c r="M132" s="94" t="s">
        <v>0</v>
      </c>
      <c r="N132" s="94" t="s">
        <v>0</v>
      </c>
      <c r="O132" s="94" t="s">
        <v>0</v>
      </c>
      <c r="P132" s="94" t="s">
        <v>0</v>
      </c>
      <c r="Q132" s="94" t="s">
        <v>3</v>
      </c>
      <c r="R132" s="94" t="s">
        <v>4</v>
      </c>
      <c r="S132" s="94" t="s">
        <v>0</v>
      </c>
      <c r="T132" s="94" t="s">
        <v>0</v>
      </c>
      <c r="U132" s="94" t="s">
        <v>0</v>
      </c>
      <c r="V132" s="94" t="s">
        <v>0</v>
      </c>
      <c r="W132" s="94" t="s">
        <v>0</v>
      </c>
      <c r="X132" s="94" t="s">
        <v>0</v>
      </c>
      <c r="Y132" s="94" t="s">
        <v>0</v>
      </c>
      <c r="Z132" s="94" t="s">
        <v>0</v>
      </c>
      <c r="AA132" s="94" t="s">
        <v>0</v>
      </c>
      <c r="AB132" s="94" t="s">
        <v>0</v>
      </c>
      <c r="AC132" s="94" t="s">
        <v>0</v>
      </c>
      <c r="AD132" s="94" t="s">
        <v>0</v>
      </c>
      <c r="AE132" s="94" t="s">
        <v>4</v>
      </c>
      <c r="AF132" s="94"/>
      <c r="AG132" s="94"/>
      <c r="AH132" s="94"/>
      <c r="AI132" s="57"/>
      <c r="AJ132" s="47"/>
      <c r="AK132" s="47"/>
      <c r="AL132" s="47"/>
    </row>
    <row r="133" spans="2:38" ht="15.75" x14ac:dyDescent="0.25">
      <c r="B133" s="89"/>
      <c r="C133" s="89"/>
      <c r="D133" s="95" t="s">
        <v>33</v>
      </c>
      <c r="E133" s="146">
        <v>2520</v>
      </c>
      <c r="F133" s="146">
        <v>2332</v>
      </c>
      <c r="G133" s="146">
        <v>2268</v>
      </c>
      <c r="H133" s="146">
        <v>2416</v>
      </c>
      <c r="I133" s="146">
        <v>2436</v>
      </c>
      <c r="J133" s="146">
        <v>1764</v>
      </c>
      <c r="K133" s="146">
        <v>2220</v>
      </c>
      <c r="L133" s="146">
        <v>2388</v>
      </c>
      <c r="M133" s="146">
        <v>0</v>
      </c>
      <c r="N133" s="146">
        <v>1184</v>
      </c>
      <c r="O133" s="146">
        <v>1788</v>
      </c>
      <c r="P133" s="146">
        <v>1784</v>
      </c>
      <c r="Q133" s="146">
        <v>1996</v>
      </c>
      <c r="R133" s="146">
        <v>2004</v>
      </c>
      <c r="S133" s="146">
        <v>1996</v>
      </c>
      <c r="T133" s="146">
        <v>2004</v>
      </c>
      <c r="U133" s="146">
        <v>1864</v>
      </c>
      <c r="V133" s="146">
        <v>2320</v>
      </c>
      <c r="W133" s="146">
        <v>2328</v>
      </c>
      <c r="X133" s="146">
        <v>2324</v>
      </c>
      <c r="Y133" s="146">
        <v>2328</v>
      </c>
      <c r="Z133" s="146">
        <v>1832</v>
      </c>
      <c r="AA133" s="146">
        <v>1836</v>
      </c>
      <c r="AB133" s="146">
        <v>1836</v>
      </c>
      <c r="AC133" s="146">
        <v>1836</v>
      </c>
      <c r="AD133" s="146">
        <v>1836</v>
      </c>
      <c r="AE133" s="146">
        <v>1836</v>
      </c>
      <c r="AF133" s="146"/>
      <c r="AG133" s="146"/>
      <c r="AH133" s="146"/>
      <c r="AI133" s="57"/>
      <c r="AJ133" s="47"/>
      <c r="AK133" s="47"/>
      <c r="AL133" s="47"/>
    </row>
    <row r="134" spans="2:38" ht="15.75" x14ac:dyDescent="0.25">
      <c r="B134" s="89"/>
      <c r="C134" s="89"/>
      <c r="D134" s="95" t="s">
        <v>34</v>
      </c>
      <c r="E134" s="146">
        <v>75998</v>
      </c>
      <c r="F134" s="146">
        <v>78330</v>
      </c>
      <c r="G134" s="146">
        <v>80598</v>
      </c>
      <c r="H134" s="146">
        <v>83014</v>
      </c>
      <c r="I134" s="146">
        <v>85450</v>
      </c>
      <c r="J134" s="146">
        <v>87214</v>
      </c>
      <c r="K134" s="146">
        <v>89434</v>
      </c>
      <c r="L134" s="146">
        <v>91822</v>
      </c>
      <c r="M134" s="146">
        <v>91822</v>
      </c>
      <c r="N134" s="146">
        <v>93006</v>
      </c>
      <c r="O134" s="146">
        <v>94794</v>
      </c>
      <c r="P134" s="146">
        <v>96578</v>
      </c>
      <c r="Q134" s="146">
        <v>98574</v>
      </c>
      <c r="R134" s="146">
        <v>100578</v>
      </c>
      <c r="S134" s="146">
        <v>102574</v>
      </c>
      <c r="T134" s="146">
        <v>104578</v>
      </c>
      <c r="U134" s="146">
        <v>106442</v>
      </c>
      <c r="V134" s="146">
        <v>108762</v>
      </c>
      <c r="W134" s="146">
        <v>111090</v>
      </c>
      <c r="X134" s="146">
        <v>113414</v>
      </c>
      <c r="Y134" s="146">
        <v>115742</v>
      </c>
      <c r="Z134" s="146">
        <v>117574</v>
      </c>
      <c r="AA134" s="146">
        <v>119410</v>
      </c>
      <c r="AB134" s="146">
        <v>121246</v>
      </c>
      <c r="AC134" s="146">
        <v>123082</v>
      </c>
      <c r="AD134" s="146">
        <v>124918</v>
      </c>
      <c r="AE134" s="146">
        <v>126754</v>
      </c>
      <c r="AF134" s="146"/>
      <c r="AG134" s="146"/>
      <c r="AH134" s="146"/>
      <c r="AI134" s="57"/>
      <c r="AJ134" s="47"/>
      <c r="AK134" s="47"/>
      <c r="AL134" s="47"/>
    </row>
    <row r="135" spans="2:38" ht="15.75" x14ac:dyDescent="0.25">
      <c r="B135" s="89"/>
      <c r="C135" s="89"/>
      <c r="D135" s="92">
        <v>45348</v>
      </c>
      <c r="E135" s="94" t="s">
        <v>0</v>
      </c>
      <c r="F135" s="94" t="s">
        <v>0</v>
      </c>
      <c r="G135" s="94" t="s">
        <v>1</v>
      </c>
      <c r="H135" s="94" t="s">
        <v>2</v>
      </c>
      <c r="I135" s="94" t="s">
        <v>4</v>
      </c>
      <c r="J135" s="94" t="s">
        <v>0</v>
      </c>
      <c r="K135" s="94" t="s">
        <v>0</v>
      </c>
      <c r="L135" s="94" t="s">
        <v>0</v>
      </c>
      <c r="M135" s="94" t="s">
        <v>0</v>
      </c>
      <c r="N135" s="94" t="s">
        <v>0</v>
      </c>
      <c r="O135" s="94" t="s">
        <v>0</v>
      </c>
      <c r="P135" s="94" t="s">
        <v>3</v>
      </c>
      <c r="Q135" s="94" t="s">
        <v>4</v>
      </c>
      <c r="R135" s="94" t="s">
        <v>0</v>
      </c>
      <c r="S135" s="94" t="s">
        <v>0</v>
      </c>
      <c r="T135" s="94" t="s">
        <v>0</v>
      </c>
      <c r="U135" s="94" t="s">
        <v>0</v>
      </c>
      <c r="V135" s="94" t="s">
        <v>0</v>
      </c>
      <c r="W135" s="94" t="s">
        <v>0</v>
      </c>
      <c r="X135" s="94" t="s">
        <v>0</v>
      </c>
      <c r="Y135" s="94" t="s">
        <v>0</v>
      </c>
      <c r="Z135" s="94" t="s">
        <v>0</v>
      </c>
      <c r="AA135" s="94" t="s">
        <v>0</v>
      </c>
      <c r="AB135" s="94" t="s">
        <v>0</v>
      </c>
      <c r="AC135" s="94" t="s">
        <v>0</v>
      </c>
      <c r="AD135" s="94" t="s">
        <v>4</v>
      </c>
      <c r="AE135" s="94"/>
      <c r="AF135" s="94"/>
      <c r="AG135" s="94"/>
      <c r="AH135" s="94"/>
      <c r="AI135" s="57"/>
      <c r="AJ135" s="47"/>
      <c r="AK135" s="47"/>
      <c r="AL135" s="47"/>
    </row>
    <row r="136" spans="2:38" ht="15.75" x14ac:dyDescent="0.25">
      <c r="B136" s="89"/>
      <c r="C136" s="89"/>
      <c r="D136" s="95" t="s">
        <v>33</v>
      </c>
      <c r="E136" s="146">
        <v>2520</v>
      </c>
      <c r="F136" s="146">
        <v>2332</v>
      </c>
      <c r="G136" s="146">
        <v>2268</v>
      </c>
      <c r="H136" s="146">
        <v>2416</v>
      </c>
      <c r="I136" s="146">
        <v>2436</v>
      </c>
      <c r="J136" s="146">
        <v>2228</v>
      </c>
      <c r="K136" s="146">
        <v>2228</v>
      </c>
      <c r="L136" s="146">
        <v>2380</v>
      </c>
      <c r="M136" s="146">
        <v>0</v>
      </c>
      <c r="N136" s="146">
        <v>1184</v>
      </c>
      <c r="O136" s="146">
        <v>1792</v>
      </c>
      <c r="P136" s="146">
        <v>1784</v>
      </c>
      <c r="Q136" s="146">
        <v>1992</v>
      </c>
      <c r="R136" s="146">
        <v>2008</v>
      </c>
      <c r="S136" s="146">
        <v>1992</v>
      </c>
      <c r="T136" s="146">
        <v>2008</v>
      </c>
      <c r="U136" s="146">
        <v>1860</v>
      </c>
      <c r="V136" s="146">
        <v>2328</v>
      </c>
      <c r="W136" s="146">
        <v>2324</v>
      </c>
      <c r="X136" s="146">
        <v>2324</v>
      </c>
      <c r="Y136" s="146">
        <v>2324</v>
      </c>
      <c r="Z136" s="146">
        <v>1832</v>
      </c>
      <c r="AA136" s="146">
        <v>1836</v>
      </c>
      <c r="AB136" s="146">
        <v>1828</v>
      </c>
      <c r="AC136" s="146">
        <v>1836</v>
      </c>
      <c r="AD136" s="146">
        <v>1828</v>
      </c>
      <c r="AE136" s="146"/>
      <c r="AF136" s="146"/>
      <c r="AG136" s="146"/>
      <c r="AH136" s="146"/>
      <c r="AI136" s="57"/>
      <c r="AJ136" s="47"/>
      <c r="AK136" s="47"/>
      <c r="AL136" s="47"/>
    </row>
    <row r="137" spans="2:38" ht="15.75" x14ac:dyDescent="0.25">
      <c r="B137" s="89"/>
      <c r="C137" s="89"/>
      <c r="D137" s="95" t="s">
        <v>34</v>
      </c>
      <c r="E137" s="146">
        <v>75998</v>
      </c>
      <c r="F137" s="146">
        <v>78330</v>
      </c>
      <c r="G137" s="146">
        <v>80598</v>
      </c>
      <c r="H137" s="146">
        <v>83014</v>
      </c>
      <c r="I137" s="146">
        <v>85450</v>
      </c>
      <c r="J137" s="146">
        <v>87678</v>
      </c>
      <c r="K137" s="146">
        <v>89906</v>
      </c>
      <c r="L137" s="146">
        <v>92286</v>
      </c>
      <c r="M137" s="146">
        <v>92286</v>
      </c>
      <c r="N137" s="146">
        <v>93470</v>
      </c>
      <c r="O137" s="146">
        <v>95262</v>
      </c>
      <c r="P137" s="146">
        <v>97046</v>
      </c>
      <c r="Q137" s="146">
        <v>99038</v>
      </c>
      <c r="R137" s="146">
        <v>101046</v>
      </c>
      <c r="S137" s="146">
        <v>103038</v>
      </c>
      <c r="T137" s="146">
        <v>105046</v>
      </c>
      <c r="U137" s="146">
        <v>106906</v>
      </c>
      <c r="V137" s="146">
        <v>109234</v>
      </c>
      <c r="W137" s="146">
        <v>111558</v>
      </c>
      <c r="X137" s="146">
        <v>113882</v>
      </c>
      <c r="Y137" s="146">
        <v>116206</v>
      </c>
      <c r="Z137" s="146">
        <v>118038</v>
      </c>
      <c r="AA137" s="146">
        <v>119874</v>
      </c>
      <c r="AB137" s="146">
        <v>121702</v>
      </c>
      <c r="AC137" s="146">
        <v>123538</v>
      </c>
      <c r="AD137" s="146">
        <v>125366</v>
      </c>
      <c r="AE137" s="146"/>
      <c r="AF137" s="146"/>
      <c r="AG137" s="146"/>
      <c r="AH137" s="146"/>
      <c r="AI137" s="57"/>
      <c r="AJ137" s="47"/>
      <c r="AK137" s="47"/>
      <c r="AL137" s="47"/>
    </row>
    <row r="138" spans="2:38" ht="15.75" x14ac:dyDescent="0.25">
      <c r="B138" s="89"/>
      <c r="C138" s="89"/>
      <c r="D138" s="92">
        <v>45341</v>
      </c>
      <c r="E138" s="94" t="s">
        <v>0</v>
      </c>
      <c r="F138" s="94" t="s">
        <v>1</v>
      </c>
      <c r="G138" s="94" t="s">
        <v>2</v>
      </c>
      <c r="H138" s="94" t="s">
        <v>4</v>
      </c>
      <c r="I138" s="94" t="s">
        <v>0</v>
      </c>
      <c r="J138" s="94" t="s">
        <v>0</v>
      </c>
      <c r="K138" s="94" t="s">
        <v>0</v>
      </c>
      <c r="L138" s="94" t="s">
        <v>0</v>
      </c>
      <c r="M138" s="94" t="s">
        <v>0</v>
      </c>
      <c r="N138" s="94" t="s">
        <v>0</v>
      </c>
      <c r="O138" s="94" t="s">
        <v>3</v>
      </c>
      <c r="P138" s="94" t="s">
        <v>4</v>
      </c>
      <c r="Q138" s="94" t="s">
        <v>0</v>
      </c>
      <c r="R138" s="94" t="s">
        <v>0</v>
      </c>
      <c r="S138" s="94" t="s">
        <v>0</v>
      </c>
      <c r="T138" s="94" t="s">
        <v>0</v>
      </c>
      <c r="U138" s="94" t="s">
        <v>0</v>
      </c>
      <c r="V138" s="94" t="s">
        <v>0</v>
      </c>
      <c r="W138" s="94" t="s">
        <v>0</v>
      </c>
      <c r="X138" s="94" t="s">
        <v>0</v>
      </c>
      <c r="Y138" s="94" t="s">
        <v>0</v>
      </c>
      <c r="Z138" s="94" t="s">
        <v>0</v>
      </c>
      <c r="AA138" s="94" t="s">
        <v>0</v>
      </c>
      <c r="AB138" s="94" t="s">
        <v>0</v>
      </c>
      <c r="AC138" s="94" t="s">
        <v>4</v>
      </c>
      <c r="AD138" s="94"/>
      <c r="AE138" s="94"/>
      <c r="AF138" s="94"/>
      <c r="AG138" s="94"/>
      <c r="AH138" s="94"/>
      <c r="AI138" s="57"/>
      <c r="AJ138" s="47"/>
      <c r="AK138" s="47"/>
      <c r="AL138" s="47"/>
    </row>
    <row r="139" spans="2:38" ht="15.75" x14ac:dyDescent="0.25">
      <c r="B139" s="89"/>
      <c r="C139" s="89"/>
      <c r="D139" s="95" t="s">
        <v>33</v>
      </c>
      <c r="E139" s="146">
        <v>2520</v>
      </c>
      <c r="F139" s="146">
        <v>2332</v>
      </c>
      <c r="G139" s="146">
        <v>2268</v>
      </c>
      <c r="H139" s="146">
        <v>2416</v>
      </c>
      <c r="I139" s="146">
        <v>3048</v>
      </c>
      <c r="J139" s="146">
        <v>2228</v>
      </c>
      <c r="K139" s="146">
        <v>2224</v>
      </c>
      <c r="L139" s="146">
        <v>1784</v>
      </c>
      <c r="M139" s="146">
        <v>0</v>
      </c>
      <c r="N139" s="146">
        <v>1788</v>
      </c>
      <c r="O139" s="146">
        <v>1788</v>
      </c>
      <c r="P139" s="146">
        <v>1784</v>
      </c>
      <c r="Q139" s="146">
        <v>2000</v>
      </c>
      <c r="R139" s="146">
        <v>2000</v>
      </c>
      <c r="S139" s="146">
        <v>2000</v>
      </c>
      <c r="T139" s="146">
        <v>2000</v>
      </c>
      <c r="U139" s="146">
        <v>1856</v>
      </c>
      <c r="V139" s="146">
        <v>2328</v>
      </c>
      <c r="W139" s="146">
        <v>2324</v>
      </c>
      <c r="X139" s="146">
        <v>2324</v>
      </c>
      <c r="Y139" s="146">
        <v>2324</v>
      </c>
      <c r="Z139" s="146">
        <v>1836</v>
      </c>
      <c r="AA139" s="146">
        <v>1836</v>
      </c>
      <c r="AB139" s="146">
        <v>1844</v>
      </c>
      <c r="AC139" s="146">
        <v>1844</v>
      </c>
      <c r="AD139" s="146"/>
      <c r="AE139" s="146"/>
      <c r="AF139" s="146"/>
      <c r="AG139" s="146"/>
      <c r="AH139" s="146"/>
      <c r="AI139" s="57"/>
      <c r="AJ139" s="47"/>
      <c r="AK139" s="47"/>
      <c r="AL139" s="47"/>
    </row>
    <row r="140" spans="2:38" ht="15.75" x14ac:dyDescent="0.25">
      <c r="B140" s="89"/>
      <c r="C140" s="89"/>
      <c r="D140" s="95" t="s">
        <v>34</v>
      </c>
      <c r="E140" s="146">
        <v>75998</v>
      </c>
      <c r="F140" s="146">
        <v>78330</v>
      </c>
      <c r="G140" s="146">
        <v>80598</v>
      </c>
      <c r="H140" s="146">
        <v>83014</v>
      </c>
      <c r="I140" s="146">
        <v>86062</v>
      </c>
      <c r="J140" s="146">
        <v>88290</v>
      </c>
      <c r="K140" s="146">
        <v>90514</v>
      </c>
      <c r="L140" s="146">
        <v>92298</v>
      </c>
      <c r="M140" s="146">
        <v>92298</v>
      </c>
      <c r="N140" s="146">
        <v>94086</v>
      </c>
      <c r="O140" s="146">
        <v>95874</v>
      </c>
      <c r="P140" s="146">
        <v>97658</v>
      </c>
      <c r="Q140" s="146">
        <v>99658</v>
      </c>
      <c r="R140" s="146">
        <v>101658</v>
      </c>
      <c r="S140" s="146">
        <v>103658</v>
      </c>
      <c r="T140" s="146">
        <v>105658</v>
      </c>
      <c r="U140" s="146">
        <v>107514</v>
      </c>
      <c r="V140" s="146">
        <v>109842</v>
      </c>
      <c r="W140" s="146">
        <v>112166</v>
      </c>
      <c r="X140" s="146">
        <v>114490</v>
      </c>
      <c r="Y140" s="146">
        <v>116814</v>
      </c>
      <c r="Z140" s="146">
        <v>118650</v>
      </c>
      <c r="AA140" s="146">
        <v>120486</v>
      </c>
      <c r="AB140" s="146">
        <v>122330</v>
      </c>
      <c r="AC140" s="146">
        <v>124174</v>
      </c>
      <c r="AD140" s="146"/>
      <c r="AE140" s="146"/>
      <c r="AF140" s="146"/>
      <c r="AG140" s="146"/>
      <c r="AH140" s="146"/>
      <c r="AI140" s="57"/>
      <c r="AJ140" s="47"/>
      <c r="AK140" s="47"/>
      <c r="AL140" s="47"/>
    </row>
    <row r="141" spans="2:38" ht="15.75" x14ac:dyDescent="0.25">
      <c r="B141" s="89"/>
      <c r="C141" s="89"/>
      <c r="D141" s="92">
        <v>45334</v>
      </c>
      <c r="E141" s="94" t="s">
        <v>1</v>
      </c>
      <c r="F141" s="94" t="s">
        <v>2</v>
      </c>
      <c r="G141" s="94" t="s">
        <v>4</v>
      </c>
      <c r="H141" s="94" t="s">
        <v>0</v>
      </c>
      <c r="I141" s="94" t="s">
        <v>0</v>
      </c>
      <c r="J141" s="94" t="s">
        <v>0</v>
      </c>
      <c r="K141" s="94" t="s">
        <v>0</v>
      </c>
      <c r="L141" s="94" t="s">
        <v>0</v>
      </c>
      <c r="M141" s="94" t="s">
        <v>0</v>
      </c>
      <c r="N141" s="94" t="s">
        <v>3</v>
      </c>
      <c r="O141" s="94" t="s">
        <v>4</v>
      </c>
      <c r="P141" s="94" t="s">
        <v>0</v>
      </c>
      <c r="Q141" s="94" t="s">
        <v>0</v>
      </c>
      <c r="R141" s="94" t="s">
        <v>0</v>
      </c>
      <c r="S141" s="94" t="s">
        <v>0</v>
      </c>
      <c r="T141" s="94" t="s">
        <v>0</v>
      </c>
      <c r="U141" s="94" t="s">
        <v>0</v>
      </c>
      <c r="V141" s="94" t="s">
        <v>0</v>
      </c>
      <c r="W141" s="94" t="s">
        <v>0</v>
      </c>
      <c r="X141" s="94" t="s">
        <v>0</v>
      </c>
      <c r="Y141" s="94" t="s">
        <v>0</v>
      </c>
      <c r="Z141" s="94" t="s">
        <v>0</v>
      </c>
      <c r="AA141" s="94" t="s">
        <v>0</v>
      </c>
      <c r="AB141" s="94" t="s">
        <v>4</v>
      </c>
      <c r="AC141" s="94"/>
      <c r="AD141" s="94"/>
      <c r="AE141" s="94"/>
      <c r="AF141" s="94"/>
      <c r="AG141" s="94"/>
      <c r="AH141" s="94"/>
      <c r="AI141" s="57"/>
      <c r="AJ141" s="47"/>
      <c r="AK141" s="47"/>
      <c r="AL141" s="47"/>
    </row>
    <row r="142" spans="2:38" ht="15.75" x14ac:dyDescent="0.25">
      <c r="B142" s="89"/>
      <c r="C142" s="89"/>
      <c r="D142" s="95" t="s">
        <v>33</v>
      </c>
      <c r="E142" s="146">
        <v>2520</v>
      </c>
      <c r="F142" s="146">
        <v>2332</v>
      </c>
      <c r="G142" s="146">
        <v>2268</v>
      </c>
      <c r="H142" s="146">
        <v>2812</v>
      </c>
      <c r="I142" s="146">
        <v>2804</v>
      </c>
      <c r="J142" s="146">
        <v>2652</v>
      </c>
      <c r="K142" s="146">
        <v>2716</v>
      </c>
      <c r="L142" s="146">
        <v>2224</v>
      </c>
      <c r="M142" s="146">
        <v>0</v>
      </c>
      <c r="N142" s="146">
        <v>1804</v>
      </c>
      <c r="O142" s="146">
        <v>1792</v>
      </c>
      <c r="P142" s="146">
        <v>1804</v>
      </c>
      <c r="Q142" s="146">
        <v>1992</v>
      </c>
      <c r="R142" s="146">
        <v>2020</v>
      </c>
      <c r="S142" s="146">
        <v>2008</v>
      </c>
      <c r="T142" s="146">
        <v>2020</v>
      </c>
      <c r="U142" s="146">
        <v>1856</v>
      </c>
      <c r="V142" s="146">
        <v>2336</v>
      </c>
      <c r="W142" s="146">
        <v>2344</v>
      </c>
      <c r="X142" s="146">
        <v>2336</v>
      </c>
      <c r="Y142" s="146">
        <v>2348</v>
      </c>
      <c r="Z142" s="146">
        <v>2336</v>
      </c>
      <c r="AA142" s="146">
        <v>2344</v>
      </c>
      <c r="AB142" s="146">
        <v>2344</v>
      </c>
      <c r="AC142" s="146"/>
      <c r="AD142" s="146"/>
      <c r="AE142" s="146"/>
      <c r="AF142" s="146"/>
      <c r="AG142" s="146"/>
      <c r="AH142" s="146"/>
      <c r="AI142" s="57"/>
      <c r="AJ142" s="47"/>
      <c r="AK142" s="47"/>
      <c r="AL142" s="47"/>
    </row>
    <row r="143" spans="2:38" ht="15.75" x14ac:dyDescent="0.25">
      <c r="B143" s="89"/>
      <c r="C143" s="89"/>
      <c r="D143" s="95" t="s">
        <v>34</v>
      </c>
      <c r="E143" s="146">
        <v>75998</v>
      </c>
      <c r="F143" s="146">
        <v>78330</v>
      </c>
      <c r="G143" s="146">
        <v>80598</v>
      </c>
      <c r="H143" s="146">
        <v>83410</v>
      </c>
      <c r="I143" s="146">
        <v>86214</v>
      </c>
      <c r="J143" s="146">
        <v>88866</v>
      </c>
      <c r="K143" s="146">
        <v>91582</v>
      </c>
      <c r="L143" s="146">
        <v>93806</v>
      </c>
      <c r="M143" s="146">
        <v>93806</v>
      </c>
      <c r="N143" s="146">
        <v>95610</v>
      </c>
      <c r="O143" s="146">
        <v>97402</v>
      </c>
      <c r="P143" s="146">
        <v>99206</v>
      </c>
      <c r="Q143" s="146">
        <v>101198</v>
      </c>
      <c r="R143" s="146">
        <v>103218</v>
      </c>
      <c r="S143" s="146">
        <v>105226</v>
      </c>
      <c r="T143" s="146">
        <v>107246</v>
      </c>
      <c r="U143" s="146">
        <v>109102</v>
      </c>
      <c r="V143" s="146">
        <v>111438</v>
      </c>
      <c r="W143" s="146">
        <v>113782</v>
      </c>
      <c r="X143" s="146">
        <v>116118</v>
      </c>
      <c r="Y143" s="146">
        <v>118466</v>
      </c>
      <c r="Z143" s="146">
        <v>120802</v>
      </c>
      <c r="AA143" s="146">
        <v>123146</v>
      </c>
      <c r="AB143" s="146">
        <v>125490</v>
      </c>
      <c r="AC143" s="146"/>
      <c r="AD143" s="146"/>
      <c r="AE143" s="146"/>
      <c r="AF143" s="146"/>
      <c r="AG143" s="146"/>
      <c r="AH143" s="146"/>
      <c r="AI143" s="57"/>
      <c r="AJ143" s="47"/>
      <c r="AK143" s="47"/>
      <c r="AL143" s="47"/>
    </row>
    <row r="144" spans="2:38" ht="15.75" x14ac:dyDescent="0.25">
      <c r="B144" s="89"/>
      <c r="C144" s="89"/>
      <c r="D144" s="92">
        <v>45327</v>
      </c>
      <c r="E144" s="94" t="s">
        <v>2</v>
      </c>
      <c r="F144" s="94" t="s">
        <v>4</v>
      </c>
      <c r="G144" s="94" t="s">
        <v>0</v>
      </c>
      <c r="H144" s="94" t="s">
        <v>0</v>
      </c>
      <c r="I144" s="94" t="s">
        <v>0</v>
      </c>
      <c r="J144" s="94" t="s">
        <v>0</v>
      </c>
      <c r="K144" s="94" t="s">
        <v>0</v>
      </c>
      <c r="L144" s="94" t="s">
        <v>0</v>
      </c>
      <c r="M144" s="94" t="s">
        <v>3</v>
      </c>
      <c r="N144" s="94" t="s">
        <v>4</v>
      </c>
      <c r="O144" s="94" t="s">
        <v>0</v>
      </c>
      <c r="P144" s="94" t="s">
        <v>0</v>
      </c>
      <c r="Q144" s="94" t="s">
        <v>0</v>
      </c>
      <c r="R144" s="94" t="s">
        <v>0</v>
      </c>
      <c r="S144" s="94" t="s">
        <v>0</v>
      </c>
      <c r="T144" s="94" t="s">
        <v>0</v>
      </c>
      <c r="U144" s="94" t="s">
        <v>0</v>
      </c>
      <c r="V144" s="94" t="s">
        <v>0</v>
      </c>
      <c r="W144" s="94" t="s">
        <v>0</v>
      </c>
      <c r="X144" s="94" t="s">
        <v>0</v>
      </c>
      <c r="Y144" s="94" t="s">
        <v>0</v>
      </c>
      <c r="Z144" s="94" t="s">
        <v>0</v>
      </c>
      <c r="AA144" s="94" t="s">
        <v>4</v>
      </c>
      <c r="AB144" s="94"/>
      <c r="AC144" s="94"/>
      <c r="AD144" s="94"/>
      <c r="AE144" s="94"/>
      <c r="AF144" s="94"/>
      <c r="AG144" s="94"/>
      <c r="AH144" s="94"/>
      <c r="AI144" s="57"/>
      <c r="AJ144" s="47"/>
      <c r="AK144" s="47"/>
      <c r="AL144" s="47"/>
    </row>
    <row r="145" spans="1:40" ht="15.75" x14ac:dyDescent="0.25">
      <c r="B145" s="89"/>
      <c r="C145" s="89"/>
      <c r="D145" s="95" t="s">
        <v>33</v>
      </c>
      <c r="E145" s="146">
        <v>2520</v>
      </c>
      <c r="F145" s="146">
        <v>2332</v>
      </c>
      <c r="G145" s="146">
        <v>2208</v>
      </c>
      <c r="H145" s="146">
        <v>2696</v>
      </c>
      <c r="I145" s="146">
        <v>2832</v>
      </c>
      <c r="J145" s="146">
        <v>2836</v>
      </c>
      <c r="K145" s="146">
        <v>3020</v>
      </c>
      <c r="L145" s="146">
        <v>1972</v>
      </c>
      <c r="M145" s="146">
        <v>0</v>
      </c>
      <c r="N145" s="146">
        <v>1660</v>
      </c>
      <c r="O145" s="146">
        <v>1800</v>
      </c>
      <c r="P145" s="146">
        <v>1796</v>
      </c>
      <c r="Q145" s="146">
        <v>2000</v>
      </c>
      <c r="R145" s="146">
        <v>2012</v>
      </c>
      <c r="S145" s="146">
        <v>2016</v>
      </c>
      <c r="T145" s="146">
        <v>2012</v>
      </c>
      <c r="U145" s="146">
        <v>1852</v>
      </c>
      <c r="V145" s="146">
        <v>2340</v>
      </c>
      <c r="W145" s="146">
        <v>2344</v>
      </c>
      <c r="X145" s="146">
        <v>2340</v>
      </c>
      <c r="Y145" s="146">
        <v>2340</v>
      </c>
      <c r="Z145" s="146">
        <v>2344</v>
      </c>
      <c r="AA145" s="146">
        <v>2340</v>
      </c>
      <c r="AB145" s="146"/>
      <c r="AC145" s="146"/>
      <c r="AD145" s="146"/>
      <c r="AE145" s="146"/>
      <c r="AF145" s="146"/>
      <c r="AG145" s="146"/>
      <c r="AH145" s="146"/>
      <c r="AI145" s="57"/>
      <c r="AJ145" s="47"/>
      <c r="AK145" s="47"/>
      <c r="AL145" s="47"/>
    </row>
    <row r="146" spans="1:40" ht="15.75" x14ac:dyDescent="0.25">
      <c r="B146" s="89"/>
      <c r="C146" s="89"/>
      <c r="D146" s="95" t="s">
        <v>34</v>
      </c>
      <c r="E146" s="146">
        <v>75998</v>
      </c>
      <c r="F146" s="146">
        <v>78330</v>
      </c>
      <c r="G146" s="146">
        <v>80538</v>
      </c>
      <c r="H146" s="146">
        <v>83234</v>
      </c>
      <c r="I146" s="146">
        <v>86066</v>
      </c>
      <c r="J146" s="146">
        <v>88902</v>
      </c>
      <c r="K146" s="146">
        <v>91922</v>
      </c>
      <c r="L146" s="146">
        <v>93894</v>
      </c>
      <c r="M146" s="146">
        <v>93894</v>
      </c>
      <c r="N146" s="146">
        <v>95554</v>
      </c>
      <c r="O146" s="146">
        <v>97354</v>
      </c>
      <c r="P146" s="146">
        <v>99150</v>
      </c>
      <c r="Q146" s="146">
        <v>101150</v>
      </c>
      <c r="R146" s="146">
        <v>103162</v>
      </c>
      <c r="S146" s="146">
        <v>105178</v>
      </c>
      <c r="T146" s="146">
        <v>107190</v>
      </c>
      <c r="U146" s="146">
        <v>109042</v>
      </c>
      <c r="V146" s="146">
        <v>111382</v>
      </c>
      <c r="W146" s="146">
        <v>113726</v>
      </c>
      <c r="X146" s="146">
        <v>116066</v>
      </c>
      <c r="Y146" s="146">
        <v>118406</v>
      </c>
      <c r="Z146" s="146">
        <v>120750</v>
      </c>
      <c r="AA146" s="146">
        <v>123090</v>
      </c>
      <c r="AB146" s="146"/>
      <c r="AC146" s="146"/>
      <c r="AD146" s="146"/>
      <c r="AE146" s="146"/>
      <c r="AF146" s="146"/>
      <c r="AG146" s="146"/>
      <c r="AH146" s="146"/>
      <c r="AI146" s="57"/>
      <c r="AJ146" s="47"/>
      <c r="AK146" s="47"/>
      <c r="AL146" s="47"/>
    </row>
    <row r="147" spans="1:40" ht="15.75" x14ac:dyDescent="0.25">
      <c r="B147" s="89"/>
      <c r="C147" s="89"/>
      <c r="D147" s="92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57"/>
      <c r="AJ147" s="47"/>
      <c r="AK147" s="47"/>
      <c r="AL147" s="47"/>
    </row>
    <row r="148" spans="1:40" ht="15.75" x14ac:dyDescent="0.25">
      <c r="B148" s="89"/>
      <c r="C148" s="89"/>
      <c r="D148" s="95" t="s">
        <v>33</v>
      </c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57"/>
      <c r="AJ148" s="47"/>
      <c r="AK148" s="47"/>
      <c r="AL148" s="47"/>
    </row>
    <row r="149" spans="1:40" ht="15.75" x14ac:dyDescent="0.25">
      <c r="B149" s="89"/>
      <c r="C149" s="89"/>
      <c r="D149" s="95" t="s">
        <v>34</v>
      </c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57"/>
      <c r="AJ149" s="47"/>
      <c r="AK149" s="47"/>
      <c r="AL149" s="47"/>
    </row>
    <row r="150" spans="1:40" ht="15.75" x14ac:dyDescent="0.25">
      <c r="B150" s="89"/>
      <c r="C150" s="89"/>
      <c r="D150" s="92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57"/>
      <c r="AJ150" s="47"/>
      <c r="AK150" s="47"/>
      <c r="AL150" s="47"/>
    </row>
    <row r="151" spans="1:40" ht="15.75" x14ac:dyDescent="0.25">
      <c r="B151" s="89"/>
      <c r="C151" s="89"/>
      <c r="D151" s="95" t="s">
        <v>33</v>
      </c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57"/>
      <c r="AJ151" s="47"/>
      <c r="AK151" s="47"/>
      <c r="AL151" s="47"/>
    </row>
    <row r="152" spans="1:40" ht="15" x14ac:dyDescent="0.25">
      <c r="B152" s="96"/>
      <c r="C152" s="96"/>
      <c r="D152" s="95" t="s">
        <v>34</v>
      </c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55"/>
    </row>
    <row r="154" spans="1:40" ht="13.5" thickBot="1" x14ac:dyDescent="0.25"/>
    <row r="155" spans="1:40" ht="13.5" thickBot="1" x14ac:dyDescent="0.25">
      <c r="A155" s="138"/>
      <c r="B155" s="139"/>
      <c r="C155" s="139"/>
      <c r="D155" s="139"/>
      <c r="E155" s="139" t="s">
        <v>0</v>
      </c>
      <c r="F155" s="139" t="s">
        <v>0</v>
      </c>
      <c r="G155" s="139" t="s">
        <v>0</v>
      </c>
      <c r="H155" s="139" t="s">
        <v>0</v>
      </c>
      <c r="I155" s="139" t="s">
        <v>0</v>
      </c>
      <c r="J155" s="139" t="s">
        <v>0</v>
      </c>
      <c r="K155" s="140" t="s">
        <v>1</v>
      </c>
      <c r="L155" s="140" t="s">
        <v>2</v>
      </c>
      <c r="M155" s="140" t="s">
        <v>4</v>
      </c>
      <c r="N155" s="140" t="s">
        <v>0</v>
      </c>
      <c r="O155" s="140" t="s">
        <v>0</v>
      </c>
      <c r="P155" s="140" t="s">
        <v>0</v>
      </c>
      <c r="Q155" s="140" t="s">
        <v>0</v>
      </c>
      <c r="R155" s="140" t="s">
        <v>0</v>
      </c>
      <c r="S155" s="140" t="s">
        <v>0</v>
      </c>
      <c r="T155" s="140" t="s">
        <v>3</v>
      </c>
      <c r="U155" s="140" t="s">
        <v>4</v>
      </c>
      <c r="V155" s="140" t="s">
        <v>0</v>
      </c>
      <c r="W155" s="140" t="s">
        <v>0</v>
      </c>
      <c r="X155" s="140" t="s">
        <v>0</v>
      </c>
      <c r="Y155" s="139" t="s">
        <v>0</v>
      </c>
      <c r="Z155" s="139" t="s">
        <v>0</v>
      </c>
      <c r="AA155" s="139" t="s">
        <v>0</v>
      </c>
      <c r="AB155" s="139" t="s">
        <v>0</v>
      </c>
      <c r="AC155" s="139" t="s">
        <v>0</v>
      </c>
      <c r="AD155" s="139" t="s">
        <v>0</v>
      </c>
      <c r="AE155" s="139" t="s">
        <v>0</v>
      </c>
      <c r="AF155" s="139" t="s">
        <v>0</v>
      </c>
      <c r="AG155" s="139" t="s">
        <v>0</v>
      </c>
      <c r="AH155" s="139" t="s">
        <v>4</v>
      </c>
      <c r="AK155" s="31" t="s">
        <v>16</v>
      </c>
      <c r="AL155" s="31" t="s">
        <v>17</v>
      </c>
      <c r="AM155" s="32" t="s">
        <v>18</v>
      </c>
    </row>
    <row r="156" spans="1:40" ht="13.5" thickBot="1" x14ac:dyDescent="0.25">
      <c r="A156" s="33"/>
      <c r="B156" s="34" t="s">
        <v>106</v>
      </c>
      <c r="C156" s="141" t="s">
        <v>7</v>
      </c>
      <c r="D156" s="142"/>
      <c r="E156" s="135">
        <f>SUMIFS('Final SR'!J:J,'Final SR'!$E:$E,TOTALss!$B156,'Final SR'!$I:$I,'Final SR'!$I$12)</f>
        <v>0</v>
      </c>
      <c r="F156" s="135">
        <f>SUMIFS('Final SR'!K:K,'Final SR'!$E:$E,TOTALss!$B156,'Final SR'!$I:$I,'Final SR'!$I$12)</f>
        <v>0</v>
      </c>
      <c r="G156" s="135">
        <f>SUMIFS('Final SR'!L:L,'Final SR'!$E:$E,TOTALss!$B156,'Final SR'!$I:$I,'Final SR'!$I$12)</f>
        <v>0</v>
      </c>
      <c r="H156" s="135">
        <f>SUMIFS('Final SR'!M:M,'Final SR'!$E:$E,TOTALss!$B156,'Final SR'!$I:$I,'Final SR'!$I$12)</f>
        <v>0</v>
      </c>
      <c r="I156" s="135">
        <f>SUMIFS('Final SR'!N:N,'Final SR'!$E:$E,TOTALss!$B156,'Final SR'!$I:$I,'Final SR'!$I$12)</f>
        <v>0</v>
      </c>
      <c r="J156" s="135">
        <f>SUMIFS('Final SR'!O:O,'Final SR'!$E:$E,TOTALss!$B156,'Final SR'!$I:$I,'Final SR'!$I$12)</f>
        <v>0</v>
      </c>
      <c r="K156" s="135">
        <f>SUMIFS('Final SR'!P:P,'Final SR'!$E:$E,TOTALss!$B156,'Final SR'!$I:$I,'Final SR'!$I$12)</f>
        <v>0</v>
      </c>
      <c r="L156" s="135">
        <f>SUMIFS('Final SR'!Q:Q,'Final SR'!$E:$E,TOTALss!$B156,'Final SR'!$I:$I,'Final SR'!$I$12)</f>
        <v>0</v>
      </c>
      <c r="M156" s="135">
        <f>SUMIFS('Final SR'!R:R,'Final SR'!$E:$E,TOTALss!$B156,'Final SR'!$I:$I,'Final SR'!$I$12)</f>
        <v>0</v>
      </c>
      <c r="N156" s="135">
        <f>SUMIFS('Final SR'!S:S,'Final SR'!$E:$E,TOTALss!$B156,'Final SR'!$I:$I,'Final SR'!$I$12)</f>
        <v>0</v>
      </c>
      <c r="O156" s="135">
        <f>SUMIFS('Final SR'!T:T,'Final SR'!$E:$E,TOTALss!$B156,'Final SR'!$I:$I,'Final SR'!$I$12)</f>
        <v>0</v>
      </c>
      <c r="P156" s="135">
        <f>SUMIFS('Final SR'!U:U,'Final SR'!$E:$E,TOTALss!$B156,'Final SR'!$I:$I,'Final SR'!$I$12)</f>
        <v>0</v>
      </c>
      <c r="Q156" s="135">
        <f>SUMIFS('Final SR'!V:V,'Final SR'!$E:$E,TOTALss!$B156,'Final SR'!$I:$I,'Final SR'!$I$12)</f>
        <v>0</v>
      </c>
      <c r="R156" s="135">
        <f>SUMIFS('Final SR'!W:W,'Final SR'!$E:$E,TOTALss!$B156,'Final SR'!$I:$I,'Final SR'!$I$12)</f>
        <v>0</v>
      </c>
      <c r="S156" s="135">
        <f>SUMIFS('Final SR'!X:X,'Final SR'!$E:$E,TOTALss!$B156,'Final SR'!$I:$I,'Final SR'!$I$12)</f>
        <v>0</v>
      </c>
      <c r="T156" s="135">
        <f>SUMIFS('Final SR'!Y:Y,'Final SR'!$E:$E,TOTALss!$B156,'Final SR'!$I:$I,'Final SR'!$I$12)</f>
        <v>0</v>
      </c>
      <c r="U156" s="135">
        <f>SUMIFS('Final SR'!Z:Z,'Final SR'!$E:$E,TOTALss!$B156,'Final SR'!$I:$I,'Final SR'!$I$12)</f>
        <v>0</v>
      </c>
      <c r="V156" s="135">
        <f>SUMIFS('Final SR'!AA:AA,'Final SR'!$E:$E,TOTALss!$B156,'Final SR'!$I:$I,'Final SR'!$I$12)</f>
        <v>0</v>
      </c>
      <c r="W156" s="135">
        <f>SUMIFS('Final SR'!AB:AB,'Final SR'!$E:$E,TOTALss!$B156,'Final SR'!$I:$I,'Final SR'!$I$12)</f>
        <v>0</v>
      </c>
      <c r="X156" s="135">
        <f>SUMIFS('Final SR'!AC:AC,'Final SR'!$E:$E,TOTALss!$B156,'Final SR'!$I:$I,'Final SR'!$I$12)</f>
        <v>0</v>
      </c>
      <c r="Y156" s="135">
        <f>SUMIFS('Final SR'!AD:AD,'Final SR'!$E:$E,TOTALss!$B156,'Final SR'!$I:$I,'Final SR'!$I$12)</f>
        <v>0</v>
      </c>
      <c r="Z156" s="135">
        <f>SUMIFS('Final SR'!AE:AE,'Final SR'!$E:$E,TOTALss!$B156,'Final SR'!$I:$I,'Final SR'!$I$12)</f>
        <v>0</v>
      </c>
      <c r="AA156" s="135">
        <f>SUMIFS('Final SR'!AF:AF,'Final SR'!$E:$E,TOTALss!$B156,'Final SR'!$I:$I,'Final SR'!$I$12)</f>
        <v>0</v>
      </c>
      <c r="AB156" s="135">
        <f>SUMIFS('Final SR'!AG:AG,'Final SR'!$E:$E,TOTALss!$B156,'Final SR'!$I:$I,'Final SR'!$I$12)</f>
        <v>0</v>
      </c>
      <c r="AC156" s="135">
        <f>SUMIFS('Final SR'!AH:AH,'Final SR'!$E:$E,TOTALss!$B156,'Final SR'!$I:$I,'Final SR'!$I$12)</f>
        <v>0</v>
      </c>
      <c r="AD156" s="135">
        <f>SUMIFS('Final SR'!AI:AI,'Final SR'!$E:$E,TOTALss!$B156,'Final SR'!$I:$I,'Final SR'!$I$12)</f>
        <v>0</v>
      </c>
      <c r="AE156" s="135">
        <f>SUMIFS('Final SR'!AJ:AJ,'Final SR'!$E:$E,TOTALss!$B156,'Final SR'!$I:$I,'Final SR'!$I$12)</f>
        <v>0</v>
      </c>
      <c r="AF156" s="135">
        <f>SUMIFS('Final SR'!AK:AK,'Final SR'!$E:$E,TOTALss!$B156,'Final SR'!$I:$I,'Final SR'!$I$12)</f>
        <v>0</v>
      </c>
      <c r="AG156" s="135">
        <f>SUMIFS('Final SR'!AL:AL,'Final SR'!$E:$E,TOTALss!$B156,'Final SR'!$I:$I,'Final SR'!$I$12)</f>
        <v>0</v>
      </c>
      <c r="AH156" s="135">
        <f>SUMIFS('Final SR'!AM:AM,'Final SR'!$E:$E,TOTALss!$B156,'Final SR'!$I:$I,'Final SR'!$I$12)</f>
        <v>0</v>
      </c>
      <c r="AI156" s="69"/>
      <c r="AJ156" s="147">
        <f>SUM(M156:AH156)</f>
        <v>0</v>
      </c>
      <c r="AK156" s="35">
        <v>1300</v>
      </c>
      <c r="AL156" s="36">
        <v>1300</v>
      </c>
      <c r="AM156" s="37">
        <v>1600</v>
      </c>
    </row>
    <row r="157" spans="1:40" x14ac:dyDescent="0.2">
      <c r="A157" s="38"/>
      <c r="B157" s="34"/>
      <c r="C157" s="141" t="s">
        <v>19</v>
      </c>
      <c r="D157" s="39"/>
      <c r="E157" s="135">
        <f>SUMIFS('Final SR'!J:J,'Final SR'!$E:$E,TOTALss!$B156,'Final SR'!$I:$I,'Final SR'!$I$13)</f>
        <v>0</v>
      </c>
      <c r="F157" s="135">
        <f t="shared" ref="F157" si="133">+F156+E157</f>
        <v>0</v>
      </c>
      <c r="G157" s="135">
        <f t="shared" ref="G157" si="134">+G156+F157</f>
        <v>0</v>
      </c>
      <c r="H157" s="135">
        <f t="shared" ref="H157" si="135">+H156+G157</f>
        <v>0</v>
      </c>
      <c r="I157" s="135">
        <f t="shared" ref="I157" si="136">+I156+H157</f>
        <v>0</v>
      </c>
      <c r="J157" s="135">
        <f t="shared" ref="J157" si="137">+J156+I157</f>
        <v>0</v>
      </c>
      <c r="K157" s="135">
        <f t="shared" ref="K157" si="138">+K156+J157</f>
        <v>0</v>
      </c>
      <c r="L157" s="135">
        <f t="shared" ref="L157" si="139">+L156+K157</f>
        <v>0</v>
      </c>
      <c r="M157" s="135">
        <f t="shared" ref="M157" si="140">+M156+L157</f>
        <v>0</v>
      </c>
      <c r="N157" s="135">
        <f t="shared" ref="N157" si="141">+N156+M157</f>
        <v>0</v>
      </c>
      <c r="O157" s="135">
        <f t="shared" ref="O157" si="142">+O156+N157</f>
        <v>0</v>
      </c>
      <c r="P157" s="135">
        <f t="shared" ref="P157" si="143">+P156+O157</f>
        <v>0</v>
      </c>
      <c r="Q157" s="135">
        <f t="shared" ref="Q157" si="144">+Q156+P157</f>
        <v>0</v>
      </c>
      <c r="R157" s="135">
        <f t="shared" ref="R157" si="145">+R156+Q157</f>
        <v>0</v>
      </c>
      <c r="S157" s="135">
        <f t="shared" ref="S157" si="146">+S156+R157</f>
        <v>0</v>
      </c>
      <c r="T157" s="135">
        <f t="shared" ref="T157" si="147">+T156+S157</f>
        <v>0</v>
      </c>
      <c r="U157" s="135">
        <f t="shared" ref="U157" si="148">+U156+T157</f>
        <v>0</v>
      </c>
      <c r="V157" s="135">
        <f t="shared" ref="V157" si="149">+V156+U157</f>
        <v>0</v>
      </c>
      <c r="W157" s="135">
        <f t="shared" ref="W157" si="150">+W156+V157</f>
        <v>0</v>
      </c>
      <c r="X157" s="135">
        <f t="shared" ref="X157" si="151">+X156+W157</f>
        <v>0</v>
      </c>
      <c r="Y157" s="135">
        <f t="shared" ref="Y157" si="152">+Y156+X157</f>
        <v>0</v>
      </c>
      <c r="Z157" s="135">
        <f t="shared" ref="Z157" si="153">+Z156+Y157</f>
        <v>0</v>
      </c>
      <c r="AA157" s="135">
        <f t="shared" ref="AA157" si="154">+AA156+Z157</f>
        <v>0</v>
      </c>
      <c r="AB157" s="135">
        <f t="shared" ref="AB157" si="155">+AB156+AA157</f>
        <v>0</v>
      </c>
      <c r="AC157" s="135">
        <f t="shared" ref="AC157" si="156">+AC156+AB157</f>
        <v>0</v>
      </c>
      <c r="AD157" s="135">
        <f t="shared" ref="AD157" si="157">+AD156+AC157</f>
        <v>0</v>
      </c>
      <c r="AE157" s="135">
        <f t="shared" ref="AE157" si="158">+AE156+AD157</f>
        <v>0</v>
      </c>
      <c r="AF157" s="135">
        <f t="shared" ref="AF157" si="159">+AF156+AE157</f>
        <v>0</v>
      </c>
      <c r="AG157" s="135">
        <f t="shared" ref="AG157" si="160">+AG156+AF157</f>
        <v>0</v>
      </c>
      <c r="AH157" s="135">
        <f t="shared" ref="AH157" si="161">+AH156+AG157</f>
        <v>0</v>
      </c>
      <c r="AI157" s="69"/>
    </row>
    <row r="158" spans="1:40" ht="13.5" thickBot="1" x14ac:dyDescent="0.25">
      <c r="A158" s="40"/>
      <c r="B158" s="41" t="s">
        <v>20</v>
      </c>
      <c r="C158" s="42" t="s">
        <v>21</v>
      </c>
      <c r="D158" s="43"/>
      <c r="E158" s="44">
        <v>800</v>
      </c>
      <c r="F158" s="44">
        <v>462</v>
      </c>
      <c r="G158" s="44">
        <v>566</v>
      </c>
      <c r="H158" s="44">
        <v>228</v>
      </c>
      <c r="I158" s="44">
        <v>88</v>
      </c>
      <c r="J158" s="44">
        <v>116</v>
      </c>
      <c r="K158" s="44">
        <v>252</v>
      </c>
      <c r="L158" s="44">
        <v>456</v>
      </c>
      <c r="M158" s="44">
        <v>0</v>
      </c>
      <c r="N158" s="44">
        <v>140</v>
      </c>
      <c r="O158" s="44">
        <v>120</v>
      </c>
      <c r="P158" s="44">
        <v>300</v>
      </c>
      <c r="Q158" s="44">
        <v>312</v>
      </c>
      <c r="R158" s="44">
        <v>376</v>
      </c>
      <c r="S158" s="44">
        <v>372</v>
      </c>
      <c r="T158" s="44">
        <v>372</v>
      </c>
      <c r="U158" s="44">
        <v>356</v>
      </c>
      <c r="V158" s="44">
        <v>400</v>
      </c>
      <c r="W158" s="44">
        <v>400</v>
      </c>
      <c r="X158" s="44">
        <v>400</v>
      </c>
      <c r="Y158" s="44">
        <v>400</v>
      </c>
      <c r="Z158" s="44">
        <v>372</v>
      </c>
      <c r="AA158" s="44">
        <v>372</v>
      </c>
      <c r="AB158" s="44">
        <v>368</v>
      </c>
      <c r="AC158" s="44">
        <v>372</v>
      </c>
      <c r="AD158" s="44">
        <v>348</v>
      </c>
      <c r="AE158" s="44">
        <v>352</v>
      </c>
      <c r="AF158" s="44">
        <v>368</v>
      </c>
      <c r="AG158" s="44">
        <v>368</v>
      </c>
      <c r="AH158" s="44">
        <v>368</v>
      </c>
      <c r="AI158" s="69"/>
      <c r="AJ158" s="147">
        <f>SUM(M158:AH158)</f>
        <v>7236</v>
      </c>
      <c r="AK158" s="68" t="b">
        <f>AJ156=AJ158</f>
        <v>0</v>
      </c>
      <c r="AL158" s="45">
        <v>7557</v>
      </c>
      <c r="AM158" s="46">
        <v>9204</v>
      </c>
      <c r="AN158" s="47"/>
    </row>
    <row r="159" spans="1:40" ht="13.5" thickBot="1" x14ac:dyDescent="0.25">
      <c r="A159" s="48"/>
      <c r="B159" s="41" t="s">
        <v>20</v>
      </c>
      <c r="C159" s="42" t="s">
        <v>22</v>
      </c>
      <c r="D159" s="43"/>
      <c r="E159" s="44">
        <v>21344</v>
      </c>
      <c r="F159" s="44">
        <v>21806</v>
      </c>
      <c r="G159" s="44">
        <v>22372</v>
      </c>
      <c r="H159" s="44">
        <v>22600</v>
      </c>
      <c r="I159" s="44">
        <v>22688</v>
      </c>
      <c r="J159" s="44">
        <v>22804</v>
      </c>
      <c r="K159" s="44">
        <v>23056</v>
      </c>
      <c r="L159" s="44">
        <v>23512</v>
      </c>
      <c r="M159" s="44">
        <v>23512</v>
      </c>
      <c r="N159" s="44">
        <v>23652</v>
      </c>
      <c r="O159" s="44">
        <v>23772</v>
      </c>
      <c r="P159" s="44">
        <v>24072</v>
      </c>
      <c r="Q159" s="44">
        <v>24384</v>
      </c>
      <c r="R159" s="44">
        <v>24760</v>
      </c>
      <c r="S159" s="44">
        <v>25132</v>
      </c>
      <c r="T159" s="44">
        <v>25504</v>
      </c>
      <c r="U159" s="44">
        <v>25860</v>
      </c>
      <c r="V159" s="44">
        <v>26260</v>
      </c>
      <c r="W159" s="44">
        <v>26660</v>
      </c>
      <c r="X159" s="44">
        <v>27060</v>
      </c>
      <c r="Y159" s="44">
        <v>27460</v>
      </c>
      <c r="Z159" s="44">
        <v>27832</v>
      </c>
      <c r="AA159" s="44">
        <v>28204</v>
      </c>
      <c r="AB159" s="44">
        <v>28572</v>
      </c>
      <c r="AC159" s="44">
        <v>28944</v>
      </c>
      <c r="AD159" s="44">
        <v>29292</v>
      </c>
      <c r="AE159" s="44">
        <v>29644</v>
      </c>
      <c r="AF159" s="44">
        <v>30012</v>
      </c>
      <c r="AG159" s="44">
        <v>30380</v>
      </c>
      <c r="AH159" s="44">
        <v>30748</v>
      </c>
      <c r="AI159" s="69"/>
      <c r="AK159" s="68"/>
      <c r="AL159" s="45"/>
      <c r="AM159" s="46"/>
      <c r="AN159" s="47"/>
    </row>
    <row r="160" spans="1:40" x14ac:dyDescent="0.2">
      <c r="A160" s="48"/>
      <c r="B160" s="48"/>
      <c r="C160" s="49"/>
      <c r="D160" s="50"/>
      <c r="E160" s="49"/>
      <c r="F160" s="49"/>
      <c r="G160" s="49"/>
      <c r="H160" s="49"/>
      <c r="I160" s="49"/>
      <c r="J160" s="51" t="s">
        <v>23</v>
      </c>
      <c r="K160" s="52"/>
      <c r="L160" s="51">
        <f>+L156-L158</f>
        <v>-456</v>
      </c>
      <c r="M160" s="51">
        <f t="shared" ref="M160:N160" si="162">+M156-M158</f>
        <v>0</v>
      </c>
      <c r="N160" s="51">
        <f t="shared" si="162"/>
        <v>-140</v>
      </c>
      <c r="O160" s="51">
        <f>+O156-O158</f>
        <v>-120</v>
      </c>
      <c r="P160" s="51">
        <f t="shared" ref="P160:AH160" si="163">+P156-P158</f>
        <v>-300</v>
      </c>
      <c r="Q160" s="51">
        <f t="shared" si="163"/>
        <v>-312</v>
      </c>
      <c r="R160" s="51">
        <f t="shared" si="163"/>
        <v>-376</v>
      </c>
      <c r="S160" s="51">
        <f t="shared" si="163"/>
        <v>-372</v>
      </c>
      <c r="T160" s="51">
        <f t="shared" si="163"/>
        <v>-372</v>
      </c>
      <c r="U160" s="51">
        <f t="shared" si="163"/>
        <v>-356</v>
      </c>
      <c r="V160" s="51">
        <f t="shared" si="163"/>
        <v>-400</v>
      </c>
      <c r="W160" s="51">
        <f t="shared" si="163"/>
        <v>-400</v>
      </c>
      <c r="X160" s="51">
        <f t="shared" si="163"/>
        <v>-400</v>
      </c>
      <c r="Y160" s="51">
        <f t="shared" si="163"/>
        <v>-400</v>
      </c>
      <c r="Z160" s="51">
        <f t="shared" si="163"/>
        <v>-372</v>
      </c>
      <c r="AA160" s="51">
        <f t="shared" si="163"/>
        <v>-372</v>
      </c>
      <c r="AB160" s="51">
        <f t="shared" si="163"/>
        <v>-368</v>
      </c>
      <c r="AC160" s="51">
        <f t="shared" si="163"/>
        <v>-372</v>
      </c>
      <c r="AD160" s="51">
        <f t="shared" si="163"/>
        <v>-348</v>
      </c>
      <c r="AE160" s="51">
        <f t="shared" si="163"/>
        <v>-352</v>
      </c>
      <c r="AF160" s="51">
        <f t="shared" si="163"/>
        <v>-368</v>
      </c>
      <c r="AG160" s="51">
        <f t="shared" si="163"/>
        <v>-368</v>
      </c>
      <c r="AH160" s="51">
        <f t="shared" si="163"/>
        <v>-368</v>
      </c>
      <c r="AI160" s="70"/>
      <c r="AK160" s="45"/>
      <c r="AL160" s="45"/>
      <c r="AM160" s="46"/>
      <c r="AN160" s="47"/>
    </row>
    <row r="161" spans="1:40" x14ac:dyDescent="0.2">
      <c r="A161" s="48"/>
      <c r="B161" s="48"/>
      <c r="C161" s="49"/>
      <c r="D161" s="50"/>
      <c r="E161" s="49"/>
      <c r="F161" s="49"/>
      <c r="G161" s="49"/>
      <c r="H161" s="49"/>
      <c r="I161" s="49"/>
      <c r="J161" s="51" t="s">
        <v>24</v>
      </c>
      <c r="K161" s="52"/>
      <c r="L161" s="51">
        <f>+L160</f>
        <v>-456</v>
      </c>
      <c r="M161" s="51">
        <f>+M160+L161</f>
        <v>-456</v>
      </c>
      <c r="N161" s="51">
        <f>+N160+M161</f>
        <v>-596</v>
      </c>
      <c r="O161" s="51">
        <f t="shared" ref="O161" si="164">+O160+N161</f>
        <v>-716</v>
      </c>
      <c r="P161" s="51">
        <f t="shared" ref="P161" si="165">+P160+O161</f>
        <v>-1016</v>
      </c>
      <c r="Q161" s="51">
        <f t="shared" ref="Q161" si="166">+Q160+P161</f>
        <v>-1328</v>
      </c>
      <c r="R161" s="51">
        <f t="shared" ref="R161" si="167">+R160+Q161</f>
        <v>-1704</v>
      </c>
      <c r="S161" s="51">
        <f t="shared" ref="S161" si="168">+S160+R161</f>
        <v>-2076</v>
      </c>
      <c r="T161" s="51">
        <f t="shared" ref="T161" si="169">+T160+S161</f>
        <v>-2448</v>
      </c>
      <c r="U161" s="51">
        <f t="shared" ref="U161" si="170">+U160+T161</f>
        <v>-2804</v>
      </c>
      <c r="V161" s="51">
        <f t="shared" ref="V161" si="171">+V160+U161</f>
        <v>-3204</v>
      </c>
      <c r="W161" s="51">
        <f t="shared" ref="W161" si="172">+W160+V161</f>
        <v>-3604</v>
      </c>
      <c r="X161" s="51">
        <f t="shared" ref="X161" si="173">+X160+W161</f>
        <v>-4004</v>
      </c>
      <c r="Y161" s="51">
        <f t="shared" ref="Y161" si="174">+Y160+X161</f>
        <v>-4404</v>
      </c>
      <c r="Z161" s="51">
        <f t="shared" ref="Z161" si="175">+Z160+Y161</f>
        <v>-4776</v>
      </c>
      <c r="AA161" s="51">
        <f t="shared" ref="AA161" si="176">+AA160+Z161</f>
        <v>-5148</v>
      </c>
      <c r="AB161" s="51">
        <f t="shared" ref="AB161" si="177">+AB160+AA161</f>
        <v>-5516</v>
      </c>
      <c r="AC161" s="51">
        <f t="shared" ref="AC161" si="178">+AC160+AB161</f>
        <v>-5888</v>
      </c>
      <c r="AD161" s="51">
        <f t="shared" ref="AD161" si="179">+AD160+AC161</f>
        <v>-6236</v>
      </c>
      <c r="AE161" s="51">
        <f t="shared" ref="AE161" si="180">+AE160+AD161</f>
        <v>-6588</v>
      </c>
      <c r="AF161" s="51">
        <f t="shared" ref="AF161" si="181">+AF160+AE161</f>
        <v>-6956</v>
      </c>
      <c r="AG161" s="51">
        <f t="shared" ref="AG161" si="182">+AG160+AF161</f>
        <v>-7324</v>
      </c>
      <c r="AH161" s="51">
        <f t="shared" ref="AH161" si="183">+AH160+AG161</f>
        <v>-7692</v>
      </c>
      <c r="AI161" s="70"/>
      <c r="AK161" s="85"/>
      <c r="AL161" s="85"/>
      <c r="AM161" s="46"/>
      <c r="AN161" s="47"/>
    </row>
    <row r="162" spans="1:40" x14ac:dyDescent="0.2">
      <c r="A162" s="48"/>
      <c r="B162" s="48"/>
      <c r="C162" s="49"/>
      <c r="D162" s="50"/>
      <c r="E162" s="49"/>
      <c r="F162" s="49"/>
      <c r="G162" s="49"/>
      <c r="H162" s="49"/>
      <c r="I162" s="49"/>
      <c r="J162" s="51" t="s">
        <v>25</v>
      </c>
      <c r="K162" s="51">
        <v>665</v>
      </c>
      <c r="L162" s="53">
        <f>+L161/$K$12</f>
        <v>-0.68571428571428572</v>
      </c>
      <c r="M162" s="53">
        <f t="shared" ref="M162:O162" si="184">+M161/$K$12</f>
        <v>-0.68571428571428572</v>
      </c>
      <c r="N162" s="53">
        <f t="shared" si="184"/>
        <v>-0.89624060150375939</v>
      </c>
      <c r="O162" s="53">
        <f t="shared" si="184"/>
        <v>-1.0766917293233083</v>
      </c>
      <c r="P162" s="53">
        <f>+P161/$K$12</f>
        <v>-1.5278195488721804</v>
      </c>
      <c r="Q162" s="53">
        <f t="shared" ref="Q162:AH162" si="185">+Q161/$K$12</f>
        <v>-1.9969924812030075</v>
      </c>
      <c r="R162" s="53">
        <f t="shared" si="185"/>
        <v>-2.562406015037594</v>
      </c>
      <c r="S162" s="53">
        <f t="shared" si="185"/>
        <v>-3.1218045112781954</v>
      </c>
      <c r="T162" s="53">
        <f t="shared" si="185"/>
        <v>-3.6812030075187971</v>
      </c>
      <c r="U162" s="53">
        <f t="shared" si="185"/>
        <v>-4.2165413533834588</v>
      </c>
      <c r="V162" s="53">
        <f t="shared" si="185"/>
        <v>-4.818045112781955</v>
      </c>
      <c r="W162" s="53">
        <f t="shared" si="185"/>
        <v>-5.4195488721804512</v>
      </c>
      <c r="X162" s="53">
        <f t="shared" si="185"/>
        <v>-6.0210526315789474</v>
      </c>
      <c r="Y162" s="53">
        <f t="shared" si="185"/>
        <v>-6.6225563909774436</v>
      </c>
      <c r="Z162" s="53">
        <f t="shared" si="185"/>
        <v>-7.181954887218045</v>
      </c>
      <c r="AA162" s="53">
        <f t="shared" si="185"/>
        <v>-7.7413533834586463</v>
      </c>
      <c r="AB162" s="53">
        <f t="shared" si="185"/>
        <v>-8.2947368421052623</v>
      </c>
      <c r="AC162" s="53">
        <f t="shared" si="185"/>
        <v>-8.8541353383458645</v>
      </c>
      <c r="AD162" s="53">
        <f t="shared" si="185"/>
        <v>-9.3774436090225564</v>
      </c>
      <c r="AE162" s="53">
        <f t="shared" si="185"/>
        <v>-9.9067669172932327</v>
      </c>
      <c r="AF162" s="53">
        <f t="shared" si="185"/>
        <v>-10.46015037593985</v>
      </c>
      <c r="AG162" s="53">
        <f t="shared" si="185"/>
        <v>-11.013533834586466</v>
      </c>
      <c r="AH162" s="53">
        <f t="shared" si="185"/>
        <v>-11.566917293233082</v>
      </c>
      <c r="AI162" s="71"/>
      <c r="AK162" s="45"/>
      <c r="AL162" s="45"/>
      <c r="AM162" s="46"/>
      <c r="AN162" s="47"/>
    </row>
    <row r="163" spans="1:40" x14ac:dyDescent="0.2">
      <c r="A163" s="48"/>
      <c r="B163" s="48"/>
      <c r="C163" s="49"/>
      <c r="D163" s="50"/>
      <c r="E163" s="49"/>
      <c r="F163" s="49"/>
      <c r="G163" s="49"/>
      <c r="H163" s="49"/>
      <c r="I163" s="49"/>
      <c r="J163" s="51" t="s">
        <v>26</v>
      </c>
      <c r="K163" s="51"/>
      <c r="L163" s="82">
        <f>L161*76</f>
        <v>-34656</v>
      </c>
      <c r="M163" s="82">
        <f t="shared" ref="M163:AH163" si="186">M161*76</f>
        <v>-34656</v>
      </c>
      <c r="N163" s="82">
        <f t="shared" si="186"/>
        <v>-45296</v>
      </c>
      <c r="O163" s="82">
        <f t="shared" si="186"/>
        <v>-54416</v>
      </c>
      <c r="P163" s="82">
        <f t="shared" si="186"/>
        <v>-77216</v>
      </c>
      <c r="Q163" s="82">
        <f t="shared" si="186"/>
        <v>-100928</v>
      </c>
      <c r="R163" s="82">
        <f t="shared" si="186"/>
        <v>-129504</v>
      </c>
      <c r="S163" s="82">
        <f t="shared" si="186"/>
        <v>-157776</v>
      </c>
      <c r="T163" s="82">
        <f t="shared" si="186"/>
        <v>-186048</v>
      </c>
      <c r="U163" s="82">
        <f t="shared" si="186"/>
        <v>-213104</v>
      </c>
      <c r="V163" s="82">
        <f t="shared" si="186"/>
        <v>-243504</v>
      </c>
      <c r="W163" s="82">
        <f t="shared" si="186"/>
        <v>-273904</v>
      </c>
      <c r="X163" s="82">
        <f t="shared" si="186"/>
        <v>-304304</v>
      </c>
      <c r="Y163" s="82">
        <f t="shared" si="186"/>
        <v>-334704</v>
      </c>
      <c r="Z163" s="82">
        <f t="shared" si="186"/>
        <v>-362976</v>
      </c>
      <c r="AA163" s="82">
        <f t="shared" si="186"/>
        <v>-391248</v>
      </c>
      <c r="AB163" s="82">
        <f t="shared" si="186"/>
        <v>-419216</v>
      </c>
      <c r="AC163" s="82">
        <f t="shared" si="186"/>
        <v>-447488</v>
      </c>
      <c r="AD163" s="82">
        <f t="shared" si="186"/>
        <v>-473936</v>
      </c>
      <c r="AE163" s="82">
        <f t="shared" si="186"/>
        <v>-500688</v>
      </c>
      <c r="AF163" s="82">
        <f t="shared" si="186"/>
        <v>-528656</v>
      </c>
      <c r="AG163" s="82">
        <f t="shared" si="186"/>
        <v>-556624</v>
      </c>
      <c r="AH163" s="82">
        <f t="shared" si="186"/>
        <v>-584592</v>
      </c>
      <c r="AI163" s="71"/>
      <c r="AK163" s="45"/>
      <c r="AL163" s="45"/>
      <c r="AM163" s="46"/>
      <c r="AN163" s="47"/>
    </row>
    <row r="164" spans="1:40" x14ac:dyDescent="0.2">
      <c r="B164" s="54"/>
      <c r="C164" s="72"/>
      <c r="D164" s="73" t="s">
        <v>27</v>
      </c>
      <c r="E164" s="74"/>
      <c r="F164" s="75"/>
      <c r="G164" s="75"/>
      <c r="H164" s="75"/>
      <c r="I164" s="75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J164" s="84"/>
    </row>
    <row r="165" spans="1:40" x14ac:dyDescent="0.2">
      <c r="A165" s="48"/>
      <c r="B165" s="76"/>
      <c r="C165" s="72"/>
      <c r="D165" s="73" t="s">
        <v>28</v>
      </c>
      <c r="E165" s="72"/>
      <c r="F165" s="72"/>
      <c r="G165" s="72"/>
      <c r="H165" s="72"/>
      <c r="I165" s="72"/>
      <c r="J165" s="79">
        <v>650</v>
      </c>
      <c r="K165" s="79">
        <v>650</v>
      </c>
      <c r="L165" s="79">
        <v>650</v>
      </c>
      <c r="M165" s="79">
        <v>650</v>
      </c>
      <c r="N165" s="79">
        <v>650</v>
      </c>
      <c r="O165" s="79">
        <v>650</v>
      </c>
      <c r="P165" s="79">
        <v>650</v>
      </c>
      <c r="Q165" s="79">
        <v>650</v>
      </c>
      <c r="R165" s="79">
        <v>650</v>
      </c>
      <c r="S165" s="79">
        <v>650</v>
      </c>
      <c r="T165" s="79">
        <v>650</v>
      </c>
      <c r="U165" s="79">
        <v>650</v>
      </c>
      <c r="V165" s="79">
        <v>650</v>
      </c>
      <c r="W165" s="79">
        <v>650</v>
      </c>
      <c r="X165" s="79">
        <v>650</v>
      </c>
      <c r="Y165" s="79">
        <v>650</v>
      </c>
      <c r="Z165" s="79">
        <v>650</v>
      </c>
      <c r="AA165" s="79">
        <v>650</v>
      </c>
      <c r="AB165" s="79">
        <v>650</v>
      </c>
      <c r="AC165" s="79">
        <v>650</v>
      </c>
      <c r="AD165" s="79">
        <v>650</v>
      </c>
      <c r="AE165" s="79">
        <v>650</v>
      </c>
      <c r="AF165" s="79">
        <v>650</v>
      </c>
      <c r="AG165" s="79">
        <v>650</v>
      </c>
      <c r="AH165" s="79">
        <v>650</v>
      </c>
      <c r="AK165" s="45"/>
      <c r="AL165" s="45"/>
      <c r="AM165" s="46"/>
      <c r="AN165" s="47"/>
    </row>
    <row r="166" spans="1:40" x14ac:dyDescent="0.2">
      <c r="A166" s="48"/>
      <c r="B166" s="76"/>
      <c r="C166" s="72"/>
      <c r="D166" s="73" t="s">
        <v>27</v>
      </c>
      <c r="E166" s="72"/>
      <c r="F166" s="72"/>
      <c r="G166" s="72"/>
      <c r="H166" s="72"/>
      <c r="I166" s="72"/>
      <c r="J166" s="79">
        <f>IFERROR(HLOOKUP(J$3,[3]EMI!$D$5:$AA$19,13,FALSE),0)</f>
        <v>0</v>
      </c>
      <c r="K166" s="79">
        <f>IFERROR(HLOOKUP(K$3,[3]EMI!$D$5:$AA$19,13,FALSE),0)</f>
        <v>0</v>
      </c>
      <c r="L166" s="79">
        <f>IFERROR(HLOOKUP(L$3,[3]EMI!$D$5:$AA$19,13,FALSE),0)</f>
        <v>0</v>
      </c>
      <c r="M166" s="79">
        <f>IFERROR(HLOOKUP(M$3,[3]EMI!$D$5:$AA$19,13,FALSE),0)</f>
        <v>0</v>
      </c>
      <c r="N166" s="79">
        <f>IFERROR(HLOOKUP(N$3,[3]EMI!$D$5:$AA$19,13,FALSE),0)</f>
        <v>0</v>
      </c>
      <c r="O166" s="79">
        <f>IFERROR(HLOOKUP(O$3,[3]EMI!$D$5:$AA$19,13,FALSE),0)</f>
        <v>0</v>
      </c>
      <c r="P166" s="79">
        <f>IFERROR(HLOOKUP(P$3,[3]EMI!$D$5:$AA$19,13,FALSE),0)</f>
        <v>0</v>
      </c>
      <c r="Q166" s="79">
        <f>IFERROR(HLOOKUP(Q$3,[3]EMI!$D$5:$AA$19,13,FALSE),0)</f>
        <v>0</v>
      </c>
      <c r="R166" s="79">
        <f>IFERROR(HLOOKUP(R$3,[3]EMI!$D$5:$AA$19,13,FALSE),0)</f>
        <v>0</v>
      </c>
      <c r="S166" s="79">
        <f>IFERROR(HLOOKUP(S$3,[3]EMI!$D$5:$AA$19,13,FALSE),0)</f>
        <v>0</v>
      </c>
      <c r="T166" s="79">
        <f>IFERROR(HLOOKUP(T$3,[3]EMI!$D$5:$AA$19,13,FALSE),0)</f>
        <v>0</v>
      </c>
      <c r="U166" s="79">
        <f>IFERROR(HLOOKUP(U$3,[3]EMI!$D$5:$AA$19,13,FALSE),0)</f>
        <v>0</v>
      </c>
      <c r="V166" s="79">
        <f>IFERROR(HLOOKUP(V$3,[3]EMI!$D$5:$AA$19,13,FALSE),0)</f>
        <v>0</v>
      </c>
      <c r="W166" s="79">
        <f>IFERROR(HLOOKUP(W$3,[3]EMI!$D$5:$AA$19,13,FALSE),0)</f>
        <v>0</v>
      </c>
      <c r="X166" s="79">
        <f>IFERROR(HLOOKUP(X$3,[3]EMI!$D$5:$AA$19,13,FALSE),0)</f>
        <v>0</v>
      </c>
      <c r="Y166" s="79">
        <f>IFERROR(HLOOKUP(Y$3,[3]EMI!$D$5:$AA$19,13,FALSE),0)</f>
        <v>0</v>
      </c>
      <c r="Z166" s="79">
        <f>IFERROR(HLOOKUP(Z$3,[3]EMI!$D$5:$AA$19,13,FALSE),0)</f>
        <v>0</v>
      </c>
      <c r="AA166" s="79">
        <f>IFERROR(HLOOKUP(AA$3,[3]EMI!$D$5:$AA$19,13,FALSE),0)</f>
        <v>0</v>
      </c>
      <c r="AB166" s="79">
        <f>IFERROR(HLOOKUP(AB$3,[3]EMI!$D$5:$AA$19,13,FALSE),0)</f>
        <v>0</v>
      </c>
      <c r="AC166" s="79">
        <f>IFERROR(HLOOKUP(AC$3,[3]EMI!$D$5:$AA$19,13,FALSE),0)</f>
        <v>0</v>
      </c>
      <c r="AD166" s="79">
        <f>IFERROR(HLOOKUP(AD$3,[3]EMI!$D$5:$AA$19,13,FALSE),0)</f>
        <v>0</v>
      </c>
      <c r="AE166" s="79">
        <f>IFERROR(HLOOKUP(AE$3,[3]EMI!$D$5:$AA$19,13,FALSE),0)</f>
        <v>0</v>
      </c>
      <c r="AF166" s="79">
        <f>IFERROR(HLOOKUP(AF$3,[3]EMI!$D$5:$AA$19,13,FALSE),0)</f>
        <v>0</v>
      </c>
      <c r="AG166" s="79">
        <f>IFERROR(HLOOKUP(AG$3,[3]EMI!$D$5:$AA$19,13,FALSE),0)</f>
        <v>0</v>
      </c>
      <c r="AH166" s="79">
        <f>IFERROR(HLOOKUP(AH$3,[3]EMI!$D$5:$AA$19,13,FALSE),0)</f>
        <v>0</v>
      </c>
      <c r="AK166" s="45"/>
      <c r="AL166" s="45"/>
      <c r="AM166" s="46"/>
      <c r="AN166" s="47"/>
    </row>
    <row r="167" spans="1:40" x14ac:dyDescent="0.2">
      <c r="A167" s="48"/>
      <c r="B167" s="76"/>
      <c r="C167" s="72"/>
      <c r="D167" s="73" t="s">
        <v>28</v>
      </c>
      <c r="E167" s="72"/>
      <c r="F167" s="72"/>
      <c r="G167" s="72"/>
      <c r="H167" s="72"/>
      <c r="I167" s="72"/>
      <c r="J167" s="79">
        <f>IFERROR(HLOOKUP(J$3,[3]EMI!$D$5:$AA$19,14,FALSE),0)</f>
        <v>0</v>
      </c>
      <c r="K167" s="79">
        <f>IFERROR(HLOOKUP(K$3,[3]EMI!$D$5:$AA$19,14,FALSE),0)</f>
        <v>0</v>
      </c>
      <c r="L167" s="79">
        <f>IFERROR(HLOOKUP(L$3,[3]EMI!$D$5:$AA$19,14,FALSE),0)</f>
        <v>0</v>
      </c>
      <c r="M167" s="79">
        <f>IFERROR(HLOOKUP(M$3,[3]EMI!$D$5:$AA$19,14,FALSE),0)</f>
        <v>0</v>
      </c>
      <c r="N167" s="79">
        <f>IFERROR(HLOOKUP(N$3,[3]EMI!$D$5:$AA$19,14,FALSE),0)</f>
        <v>0</v>
      </c>
      <c r="O167" s="79">
        <f>IFERROR(HLOOKUP(O$3,[3]EMI!$D$5:$AA$19,14,FALSE),0)</f>
        <v>0</v>
      </c>
      <c r="P167" s="79">
        <f>IFERROR(HLOOKUP(P$3,[3]EMI!$D$5:$AA$19,14,FALSE),0)</f>
        <v>0</v>
      </c>
      <c r="Q167" s="79">
        <f>IFERROR(HLOOKUP(Q$3,[3]EMI!$D$5:$AA$19,14,FALSE),0)</f>
        <v>0</v>
      </c>
      <c r="R167" s="79">
        <f>IFERROR(HLOOKUP(R$3,[3]EMI!$D$5:$AA$19,14,FALSE),0)</f>
        <v>0</v>
      </c>
      <c r="S167" s="79">
        <f>IFERROR(HLOOKUP(S$3,[3]EMI!$D$5:$AA$19,14,FALSE),0)</f>
        <v>0</v>
      </c>
      <c r="T167" s="79">
        <f>IFERROR(HLOOKUP(T$3,[3]EMI!$D$5:$AA$19,14,FALSE),0)</f>
        <v>0</v>
      </c>
      <c r="U167" s="79">
        <f>IFERROR(HLOOKUP(U$3,[3]EMI!$D$5:$AA$19,14,FALSE),0)</f>
        <v>0</v>
      </c>
      <c r="V167" s="79">
        <f>IFERROR(HLOOKUP(V$3,[3]EMI!$D$5:$AA$19,14,FALSE),0)</f>
        <v>0</v>
      </c>
      <c r="W167" s="79">
        <f>IFERROR(HLOOKUP(W$3,[3]EMI!$D$5:$AA$19,14,FALSE),0)</f>
        <v>0</v>
      </c>
      <c r="X167" s="79">
        <f>IFERROR(HLOOKUP(X$3,[3]EMI!$D$5:$AA$19,14,FALSE),0)</f>
        <v>0</v>
      </c>
      <c r="Y167" s="79">
        <f>IFERROR(HLOOKUP(Y$3,[3]EMI!$D$5:$AA$19,14,FALSE),0)</f>
        <v>0</v>
      </c>
      <c r="Z167" s="79">
        <f>IFERROR(HLOOKUP(Z$3,[3]EMI!$D$5:$AA$19,14,FALSE),0)</f>
        <v>0</v>
      </c>
      <c r="AA167" s="79">
        <f>IFERROR(HLOOKUP(AA$3,[3]EMI!$D$5:$AA$19,14,FALSE),0)</f>
        <v>0</v>
      </c>
      <c r="AB167" s="79">
        <f>IFERROR(HLOOKUP(AB$3,[3]EMI!$D$5:$AA$19,14,FALSE),0)</f>
        <v>0</v>
      </c>
      <c r="AC167" s="79">
        <f>IFERROR(HLOOKUP(AC$3,[3]EMI!$D$5:$AA$19,14,FALSE),0)</f>
        <v>0</v>
      </c>
      <c r="AD167" s="79">
        <f>IFERROR(HLOOKUP(AD$3,[3]EMI!$D$5:$AA$19,14,FALSE),0)</f>
        <v>0</v>
      </c>
      <c r="AE167" s="79">
        <f>IFERROR(HLOOKUP(AE$3,[3]EMI!$D$5:$AA$19,14,FALSE),0)</f>
        <v>0</v>
      </c>
      <c r="AF167" s="79">
        <f>IFERROR(HLOOKUP(AF$3,[3]EMI!$D$5:$AA$19,14,FALSE),0)</f>
        <v>0</v>
      </c>
      <c r="AG167" s="79">
        <f>IFERROR(HLOOKUP(AG$3,[3]EMI!$D$5:$AA$19,14,FALSE),0)</f>
        <v>0</v>
      </c>
      <c r="AH167" s="79">
        <f>IFERROR(HLOOKUP(AH$3,[3]EMI!$D$5:$AA$19,14,FALSE),0)</f>
        <v>0</v>
      </c>
      <c r="AK167" s="45"/>
      <c r="AL167" s="45"/>
      <c r="AM167" s="46"/>
      <c r="AN167" s="47"/>
    </row>
    <row r="168" spans="1:40" x14ac:dyDescent="0.2">
      <c r="A168" s="48"/>
      <c r="B168" s="76"/>
      <c r="C168" s="72"/>
      <c r="D168" s="73"/>
      <c r="E168" s="72"/>
      <c r="F168" s="72"/>
      <c r="G168" s="72"/>
      <c r="H168" s="72"/>
      <c r="I168" s="72"/>
      <c r="J168" s="80">
        <f t="shared" ref="J168:AH168" si="187">J165+J167</f>
        <v>650</v>
      </c>
      <c r="K168" s="80">
        <f t="shared" si="187"/>
        <v>650</v>
      </c>
      <c r="L168" s="80">
        <f>L165+L167</f>
        <v>650</v>
      </c>
      <c r="M168" s="80">
        <f t="shared" si="187"/>
        <v>650</v>
      </c>
      <c r="N168" s="80">
        <f t="shared" si="187"/>
        <v>650</v>
      </c>
      <c r="O168" s="80">
        <f t="shared" si="187"/>
        <v>650</v>
      </c>
      <c r="P168" s="80">
        <f t="shared" si="187"/>
        <v>650</v>
      </c>
      <c r="Q168" s="80">
        <f t="shared" si="187"/>
        <v>650</v>
      </c>
      <c r="R168" s="80">
        <f t="shared" si="187"/>
        <v>650</v>
      </c>
      <c r="S168" s="80">
        <f t="shared" si="187"/>
        <v>650</v>
      </c>
      <c r="T168" s="80">
        <f t="shared" si="187"/>
        <v>650</v>
      </c>
      <c r="U168" s="80">
        <f t="shared" si="187"/>
        <v>650</v>
      </c>
      <c r="V168" s="80">
        <f t="shared" si="187"/>
        <v>650</v>
      </c>
      <c r="W168" s="80">
        <f t="shared" si="187"/>
        <v>650</v>
      </c>
      <c r="X168" s="80">
        <f t="shared" si="187"/>
        <v>650</v>
      </c>
      <c r="Y168" s="80">
        <f t="shared" si="187"/>
        <v>650</v>
      </c>
      <c r="Z168" s="80">
        <f t="shared" si="187"/>
        <v>650</v>
      </c>
      <c r="AA168" s="80">
        <f t="shared" si="187"/>
        <v>650</v>
      </c>
      <c r="AB168" s="80">
        <f t="shared" si="187"/>
        <v>650</v>
      </c>
      <c r="AC168" s="80">
        <f t="shared" si="187"/>
        <v>650</v>
      </c>
      <c r="AD168" s="80">
        <f t="shared" si="187"/>
        <v>650</v>
      </c>
      <c r="AE168" s="80">
        <f t="shared" si="187"/>
        <v>650</v>
      </c>
      <c r="AF168" s="80">
        <f>AF165+AF167</f>
        <v>650</v>
      </c>
      <c r="AG168" s="80">
        <f t="shared" si="187"/>
        <v>650</v>
      </c>
      <c r="AH168" s="80">
        <f t="shared" si="187"/>
        <v>650</v>
      </c>
      <c r="AK168" s="45"/>
      <c r="AL168" s="45"/>
      <c r="AM168" s="46"/>
      <c r="AN168" s="47"/>
    </row>
    <row r="169" spans="1:40" ht="15" x14ac:dyDescent="0.2">
      <c r="B169" s="76"/>
      <c r="C169" s="72"/>
      <c r="D169" s="73" t="s">
        <v>29</v>
      </c>
      <c r="E169" s="72"/>
      <c r="F169" s="72"/>
      <c r="G169" s="72"/>
      <c r="H169" s="72"/>
      <c r="I169" s="72"/>
      <c r="J169" s="79"/>
      <c r="K169" s="79"/>
      <c r="L169" s="79">
        <f>L156-L168</f>
        <v>-650</v>
      </c>
      <c r="M169" s="79">
        <f t="shared" ref="M169:AH169" si="188">M156-M168</f>
        <v>-650</v>
      </c>
      <c r="N169" s="79">
        <f t="shared" si="188"/>
        <v>-650</v>
      </c>
      <c r="O169" s="79">
        <f t="shared" si="188"/>
        <v>-650</v>
      </c>
      <c r="P169" s="79">
        <f t="shared" si="188"/>
        <v>-650</v>
      </c>
      <c r="Q169" s="79">
        <f t="shared" si="188"/>
        <v>-650</v>
      </c>
      <c r="R169" s="79">
        <f t="shared" si="188"/>
        <v>-650</v>
      </c>
      <c r="S169" s="79">
        <f t="shared" si="188"/>
        <v>-650</v>
      </c>
      <c r="T169" s="79">
        <f t="shared" si="188"/>
        <v>-650</v>
      </c>
      <c r="U169" s="79">
        <f t="shared" si="188"/>
        <v>-650</v>
      </c>
      <c r="V169" s="79">
        <f t="shared" si="188"/>
        <v>-650</v>
      </c>
      <c r="W169" s="79">
        <f t="shared" si="188"/>
        <v>-650</v>
      </c>
      <c r="X169" s="79">
        <f t="shared" si="188"/>
        <v>-650</v>
      </c>
      <c r="Y169" s="79">
        <f t="shared" si="188"/>
        <v>-650</v>
      </c>
      <c r="Z169" s="79">
        <f t="shared" si="188"/>
        <v>-650</v>
      </c>
      <c r="AA169" s="79">
        <f t="shared" si="188"/>
        <v>-650</v>
      </c>
      <c r="AB169" s="79">
        <f t="shared" si="188"/>
        <v>-650</v>
      </c>
      <c r="AC169" s="79">
        <f t="shared" si="188"/>
        <v>-650</v>
      </c>
      <c r="AD169" s="79">
        <f t="shared" si="188"/>
        <v>-650</v>
      </c>
      <c r="AE169" s="79">
        <f t="shared" si="188"/>
        <v>-650</v>
      </c>
      <c r="AF169" s="79">
        <f>AF156-AF168</f>
        <v>-650</v>
      </c>
      <c r="AG169" s="79">
        <f t="shared" si="188"/>
        <v>-650</v>
      </c>
      <c r="AH169" s="79">
        <f t="shared" si="188"/>
        <v>-650</v>
      </c>
      <c r="AI169" s="57"/>
      <c r="AJ169" s="47"/>
      <c r="AK169" s="47"/>
      <c r="AL169" s="47"/>
    </row>
    <row r="170" spans="1:40" ht="15" x14ac:dyDescent="0.2">
      <c r="B170" s="86"/>
      <c r="C170" s="69"/>
      <c r="D170" s="87"/>
      <c r="E170" s="69"/>
      <c r="F170" s="69"/>
      <c r="G170" s="69"/>
      <c r="H170" s="69"/>
      <c r="I170" s="69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57"/>
      <c r="AJ170" s="47"/>
      <c r="AK170" s="47"/>
      <c r="AL170" s="47"/>
    </row>
    <row r="171" spans="1:40" ht="15" x14ac:dyDescent="0.2">
      <c r="B171" s="86"/>
      <c r="C171" s="69"/>
      <c r="D171" s="87"/>
      <c r="E171" s="69"/>
      <c r="F171" s="69"/>
      <c r="G171" s="69"/>
      <c r="H171" s="69"/>
      <c r="I171" s="69"/>
      <c r="J171" s="69" t="s">
        <v>30</v>
      </c>
      <c r="K171" s="69"/>
      <c r="L171" s="98">
        <f>L174-L177</f>
        <v>-456</v>
      </c>
      <c r="M171" s="98">
        <f t="shared" ref="M171:AH171" si="189">M174-M177</f>
        <v>0</v>
      </c>
      <c r="N171" s="98">
        <f t="shared" si="189"/>
        <v>-124</v>
      </c>
      <c r="O171" s="98">
        <f t="shared" si="189"/>
        <v>-536</v>
      </c>
      <c r="P171" s="98">
        <f t="shared" si="189"/>
        <v>-352</v>
      </c>
      <c r="Q171" s="98">
        <f t="shared" si="189"/>
        <v>-372</v>
      </c>
      <c r="R171" s="98">
        <f>R174-R177</f>
        <v>-372</v>
      </c>
      <c r="S171" s="98">
        <f t="shared" si="189"/>
        <v>-372</v>
      </c>
      <c r="T171" s="98">
        <f t="shared" si="189"/>
        <v>-376</v>
      </c>
      <c r="U171" s="98">
        <f t="shared" si="189"/>
        <v>-352</v>
      </c>
      <c r="V171" s="98">
        <f t="shared" si="189"/>
        <v>-400</v>
      </c>
      <c r="W171" s="98">
        <f t="shared" si="189"/>
        <v>-404</v>
      </c>
      <c r="X171" s="98">
        <f t="shared" si="189"/>
        <v>-396</v>
      </c>
      <c r="Y171" s="98">
        <f t="shared" si="189"/>
        <v>-400</v>
      </c>
      <c r="Z171" s="98">
        <f t="shared" si="189"/>
        <v>-372</v>
      </c>
      <c r="AA171" s="98">
        <f t="shared" si="189"/>
        <v>-372</v>
      </c>
      <c r="AB171" s="98">
        <f t="shared" si="189"/>
        <v>-372</v>
      </c>
      <c r="AC171" s="98">
        <f t="shared" si="189"/>
        <v>-368</v>
      </c>
      <c r="AD171" s="98">
        <f t="shared" si="189"/>
        <v>-352</v>
      </c>
      <c r="AE171" s="98">
        <f t="shared" si="189"/>
        <v>-348</v>
      </c>
      <c r="AF171" s="98">
        <f t="shared" si="189"/>
        <v>-348</v>
      </c>
      <c r="AG171" s="98">
        <f t="shared" si="189"/>
        <v>-348</v>
      </c>
      <c r="AH171" s="98">
        <f t="shared" si="189"/>
        <v>0</v>
      </c>
      <c r="AI171" s="57"/>
      <c r="AJ171" s="47"/>
      <c r="AK171" s="47"/>
      <c r="AL171" s="47"/>
    </row>
    <row r="172" spans="1:40" ht="15.75" x14ac:dyDescent="0.25">
      <c r="B172" s="89"/>
      <c r="C172" s="89"/>
      <c r="D172" s="89"/>
      <c r="E172" s="89"/>
      <c r="F172" s="89"/>
      <c r="G172" s="89"/>
      <c r="H172" s="89"/>
      <c r="I172" s="89"/>
      <c r="J172" s="97" t="s">
        <v>31</v>
      </c>
      <c r="K172" s="89"/>
      <c r="L172" s="98">
        <f>L175-L178</f>
        <v>-33708</v>
      </c>
      <c r="M172" s="98">
        <f t="shared" ref="M172:AH172" si="190">M175-M178</f>
        <v>-33708</v>
      </c>
      <c r="N172" s="98">
        <f t="shared" si="190"/>
        <v>-33832</v>
      </c>
      <c r="O172" s="98">
        <f t="shared" si="190"/>
        <v>-34368</v>
      </c>
      <c r="P172" s="98">
        <f t="shared" si="190"/>
        <v>-34720</v>
      </c>
      <c r="Q172" s="98">
        <f t="shared" si="190"/>
        <v>-35092</v>
      </c>
      <c r="R172" s="98">
        <f t="shared" si="190"/>
        <v>-35464</v>
      </c>
      <c r="S172" s="98">
        <f t="shared" si="190"/>
        <v>-35836</v>
      </c>
      <c r="T172" s="98">
        <f t="shared" si="190"/>
        <v>-36212</v>
      </c>
      <c r="U172" s="98">
        <f t="shared" si="190"/>
        <v>-36564</v>
      </c>
      <c r="V172" s="98">
        <f t="shared" si="190"/>
        <v>-36964</v>
      </c>
      <c r="W172" s="98">
        <f t="shared" si="190"/>
        <v>-37368</v>
      </c>
      <c r="X172" s="98">
        <f t="shared" si="190"/>
        <v>-37764</v>
      </c>
      <c r="Y172" s="98">
        <f t="shared" si="190"/>
        <v>-38164</v>
      </c>
      <c r="Z172" s="98">
        <f t="shared" si="190"/>
        <v>-38536</v>
      </c>
      <c r="AA172" s="98">
        <f t="shared" si="190"/>
        <v>-38908</v>
      </c>
      <c r="AB172" s="98">
        <f t="shared" si="190"/>
        <v>-39280</v>
      </c>
      <c r="AC172" s="98">
        <f t="shared" si="190"/>
        <v>-39648</v>
      </c>
      <c r="AD172" s="98">
        <f t="shared" si="190"/>
        <v>-40000</v>
      </c>
      <c r="AE172" s="98">
        <f t="shared" si="190"/>
        <v>-40348</v>
      </c>
      <c r="AF172" s="98">
        <f t="shared" si="190"/>
        <v>-40696</v>
      </c>
      <c r="AG172" s="98">
        <f t="shared" si="190"/>
        <v>-41044</v>
      </c>
      <c r="AH172" s="98">
        <f t="shared" si="190"/>
        <v>0</v>
      </c>
      <c r="AI172" s="57"/>
      <c r="AJ172" s="47"/>
      <c r="AK172" s="47"/>
      <c r="AL172" s="47"/>
    </row>
    <row r="173" spans="1:40" ht="15.75" x14ac:dyDescent="0.25">
      <c r="B173" s="89" t="s">
        <v>32</v>
      </c>
      <c r="C173" s="89"/>
      <c r="D173" s="92">
        <v>45376</v>
      </c>
      <c r="E173" s="93" t="s">
        <v>0</v>
      </c>
      <c r="F173" s="93" t="s">
        <v>0</v>
      </c>
      <c r="G173" s="93" t="s">
        <v>0</v>
      </c>
      <c r="H173" s="93" t="s">
        <v>0</v>
      </c>
      <c r="I173" s="93" t="s">
        <v>0</v>
      </c>
      <c r="J173" s="94" t="s">
        <v>0</v>
      </c>
      <c r="K173" s="94" t="s">
        <v>1</v>
      </c>
      <c r="L173" s="94" t="s">
        <v>2</v>
      </c>
      <c r="M173" s="94" t="s">
        <v>4</v>
      </c>
      <c r="N173" s="94" t="s">
        <v>0</v>
      </c>
      <c r="O173" s="94" t="s">
        <v>0</v>
      </c>
      <c r="P173" s="94" t="s">
        <v>0</v>
      </c>
      <c r="Q173" s="94" t="s">
        <v>0</v>
      </c>
      <c r="R173" s="94" t="s">
        <v>0</v>
      </c>
      <c r="S173" s="94" t="s">
        <v>0</v>
      </c>
      <c r="T173" s="94" t="s">
        <v>3</v>
      </c>
      <c r="U173" s="94" t="s">
        <v>4</v>
      </c>
      <c r="V173" s="94" t="s">
        <v>0</v>
      </c>
      <c r="W173" s="94" t="s">
        <v>0</v>
      </c>
      <c r="X173" s="94" t="s">
        <v>0</v>
      </c>
      <c r="Y173" s="94" t="s">
        <v>0</v>
      </c>
      <c r="Z173" s="94" t="s">
        <v>0</v>
      </c>
      <c r="AA173" s="94" t="s">
        <v>0</v>
      </c>
      <c r="AB173" s="94" t="s">
        <v>0</v>
      </c>
      <c r="AC173" s="94" t="s">
        <v>0</v>
      </c>
      <c r="AD173" s="94" t="s">
        <v>0</v>
      </c>
      <c r="AE173" s="94" t="s">
        <v>0</v>
      </c>
      <c r="AF173" s="94" t="s">
        <v>0</v>
      </c>
      <c r="AG173" s="94" t="s">
        <v>0</v>
      </c>
      <c r="AH173" s="94" t="s">
        <v>4</v>
      </c>
      <c r="AI173" s="57"/>
      <c r="AJ173" s="47"/>
      <c r="AK173" s="47"/>
      <c r="AL173" s="47"/>
    </row>
    <row r="174" spans="1:40" ht="15.75" x14ac:dyDescent="0.25">
      <c r="B174" s="89" t="s">
        <v>6</v>
      </c>
      <c r="C174" s="89" t="s">
        <v>106</v>
      </c>
      <c r="D174" s="95" t="s">
        <v>33</v>
      </c>
      <c r="E174" s="146">
        <f>E156</f>
        <v>0</v>
      </c>
      <c r="F174" s="146">
        <f t="shared" ref="F174:AH174" si="191">F156</f>
        <v>0</v>
      </c>
      <c r="G174" s="146">
        <f t="shared" si="191"/>
        <v>0</v>
      </c>
      <c r="H174" s="146">
        <f t="shared" si="191"/>
        <v>0</v>
      </c>
      <c r="I174" s="146">
        <f t="shared" si="191"/>
        <v>0</v>
      </c>
      <c r="J174" s="146">
        <f t="shared" si="191"/>
        <v>0</v>
      </c>
      <c r="K174" s="146">
        <f t="shared" si="191"/>
        <v>0</v>
      </c>
      <c r="L174" s="146">
        <f t="shared" si="191"/>
        <v>0</v>
      </c>
      <c r="M174" s="146">
        <f t="shared" si="191"/>
        <v>0</v>
      </c>
      <c r="N174" s="146">
        <f t="shared" si="191"/>
        <v>0</v>
      </c>
      <c r="O174" s="146">
        <f t="shared" si="191"/>
        <v>0</v>
      </c>
      <c r="P174" s="146">
        <f t="shared" si="191"/>
        <v>0</v>
      </c>
      <c r="Q174" s="146">
        <f t="shared" si="191"/>
        <v>0</v>
      </c>
      <c r="R174" s="146">
        <f t="shared" si="191"/>
        <v>0</v>
      </c>
      <c r="S174" s="146">
        <f t="shared" si="191"/>
        <v>0</v>
      </c>
      <c r="T174" s="146">
        <f t="shared" si="191"/>
        <v>0</v>
      </c>
      <c r="U174" s="146">
        <f t="shared" si="191"/>
        <v>0</v>
      </c>
      <c r="V174" s="146">
        <f t="shared" si="191"/>
        <v>0</v>
      </c>
      <c r="W174" s="146">
        <f t="shared" si="191"/>
        <v>0</v>
      </c>
      <c r="X174" s="146">
        <f t="shared" si="191"/>
        <v>0</v>
      </c>
      <c r="Y174" s="146">
        <f t="shared" si="191"/>
        <v>0</v>
      </c>
      <c r="Z174" s="146">
        <f t="shared" si="191"/>
        <v>0</v>
      </c>
      <c r="AA174" s="146">
        <f t="shared" si="191"/>
        <v>0</v>
      </c>
      <c r="AB174" s="146">
        <f t="shared" si="191"/>
        <v>0</v>
      </c>
      <c r="AC174" s="146">
        <f t="shared" si="191"/>
        <v>0</v>
      </c>
      <c r="AD174" s="146">
        <f t="shared" si="191"/>
        <v>0</v>
      </c>
      <c r="AE174" s="146">
        <f t="shared" si="191"/>
        <v>0</v>
      </c>
      <c r="AF174" s="146">
        <f t="shared" si="191"/>
        <v>0</v>
      </c>
      <c r="AG174" s="146">
        <f t="shared" si="191"/>
        <v>0</v>
      </c>
      <c r="AH174" s="146">
        <f t="shared" si="191"/>
        <v>0</v>
      </c>
      <c r="AI174" s="57"/>
      <c r="AJ174" s="47"/>
      <c r="AK174" s="47"/>
      <c r="AL174" s="47"/>
    </row>
    <row r="175" spans="1:40" ht="15.75" x14ac:dyDescent="0.25">
      <c r="B175" s="89"/>
      <c r="C175" s="89"/>
      <c r="D175" s="95" t="s">
        <v>34</v>
      </c>
      <c r="E175" s="146">
        <f>E157</f>
        <v>0</v>
      </c>
      <c r="F175" s="146">
        <f t="shared" ref="F175:AH175" si="192">F157</f>
        <v>0</v>
      </c>
      <c r="G175" s="146">
        <f t="shared" si="192"/>
        <v>0</v>
      </c>
      <c r="H175" s="146">
        <f t="shared" si="192"/>
        <v>0</v>
      </c>
      <c r="I175" s="146">
        <f t="shared" si="192"/>
        <v>0</v>
      </c>
      <c r="J175" s="146">
        <f t="shared" si="192"/>
        <v>0</v>
      </c>
      <c r="K175" s="146">
        <f t="shared" si="192"/>
        <v>0</v>
      </c>
      <c r="L175" s="146">
        <f t="shared" si="192"/>
        <v>0</v>
      </c>
      <c r="M175" s="146">
        <f t="shared" si="192"/>
        <v>0</v>
      </c>
      <c r="N175" s="146">
        <f t="shared" si="192"/>
        <v>0</v>
      </c>
      <c r="O175" s="146">
        <f t="shared" si="192"/>
        <v>0</v>
      </c>
      <c r="P175" s="146">
        <f t="shared" si="192"/>
        <v>0</v>
      </c>
      <c r="Q175" s="146">
        <f t="shared" si="192"/>
        <v>0</v>
      </c>
      <c r="R175" s="146">
        <f t="shared" si="192"/>
        <v>0</v>
      </c>
      <c r="S175" s="146">
        <f t="shared" si="192"/>
        <v>0</v>
      </c>
      <c r="T175" s="146">
        <f t="shared" si="192"/>
        <v>0</v>
      </c>
      <c r="U175" s="146">
        <f t="shared" si="192"/>
        <v>0</v>
      </c>
      <c r="V175" s="146">
        <f t="shared" si="192"/>
        <v>0</v>
      </c>
      <c r="W175" s="146">
        <f t="shared" si="192"/>
        <v>0</v>
      </c>
      <c r="X175" s="146">
        <f t="shared" si="192"/>
        <v>0</v>
      </c>
      <c r="Y175" s="146">
        <f t="shared" si="192"/>
        <v>0</v>
      </c>
      <c r="Z175" s="146">
        <f t="shared" si="192"/>
        <v>0</v>
      </c>
      <c r="AA175" s="146">
        <f t="shared" si="192"/>
        <v>0</v>
      </c>
      <c r="AB175" s="146">
        <f t="shared" si="192"/>
        <v>0</v>
      </c>
      <c r="AC175" s="146">
        <f t="shared" si="192"/>
        <v>0</v>
      </c>
      <c r="AD175" s="146">
        <f t="shared" si="192"/>
        <v>0</v>
      </c>
      <c r="AE175" s="146">
        <f t="shared" si="192"/>
        <v>0</v>
      </c>
      <c r="AF175" s="146">
        <f t="shared" si="192"/>
        <v>0</v>
      </c>
      <c r="AG175" s="146">
        <f t="shared" si="192"/>
        <v>0</v>
      </c>
      <c r="AH175" s="146">
        <f t="shared" si="192"/>
        <v>0</v>
      </c>
      <c r="AI175" s="57"/>
      <c r="AJ175" s="47"/>
      <c r="AK175" s="47"/>
      <c r="AL175" s="47"/>
    </row>
    <row r="176" spans="1:40" ht="15.75" x14ac:dyDescent="0.25">
      <c r="B176" s="89"/>
      <c r="C176" s="89"/>
      <c r="D176" s="92">
        <v>45369</v>
      </c>
      <c r="E176" s="94" t="s">
        <v>0</v>
      </c>
      <c r="F176" s="94" t="s">
        <v>0</v>
      </c>
      <c r="G176" s="94" t="s">
        <v>0</v>
      </c>
      <c r="H176" s="94" t="s">
        <v>0</v>
      </c>
      <c r="I176" s="94" t="s">
        <v>0</v>
      </c>
      <c r="J176" s="94" t="s">
        <v>1</v>
      </c>
      <c r="K176" s="94" t="s">
        <v>2</v>
      </c>
      <c r="L176" s="94" t="s">
        <v>4</v>
      </c>
      <c r="M176" s="94" t="s">
        <v>0</v>
      </c>
      <c r="N176" s="94" t="s">
        <v>0</v>
      </c>
      <c r="O176" s="94" t="s">
        <v>0</v>
      </c>
      <c r="P176" s="94" t="s">
        <v>0</v>
      </c>
      <c r="Q176" s="94" t="s">
        <v>0</v>
      </c>
      <c r="R176" s="94" t="s">
        <v>0</v>
      </c>
      <c r="S176" s="94" t="s">
        <v>3</v>
      </c>
      <c r="T176" s="94" t="s">
        <v>4</v>
      </c>
      <c r="U176" s="94" t="s">
        <v>0</v>
      </c>
      <c r="V176" s="94" t="s">
        <v>0</v>
      </c>
      <c r="W176" s="94" t="s">
        <v>0</v>
      </c>
      <c r="X176" s="94" t="s">
        <v>0</v>
      </c>
      <c r="Y176" s="94" t="s">
        <v>0</v>
      </c>
      <c r="Z176" s="94" t="s">
        <v>0</v>
      </c>
      <c r="AA176" s="94" t="s">
        <v>0</v>
      </c>
      <c r="AB176" s="94" t="s">
        <v>0</v>
      </c>
      <c r="AC176" s="94" t="s">
        <v>0</v>
      </c>
      <c r="AD176" s="94" t="s">
        <v>0</v>
      </c>
      <c r="AE176" s="94" t="s">
        <v>0</v>
      </c>
      <c r="AF176" s="94" t="s">
        <v>0</v>
      </c>
      <c r="AG176" s="94" t="s">
        <v>4</v>
      </c>
      <c r="AH176" s="94"/>
      <c r="AI176" s="57"/>
      <c r="AJ176" s="47"/>
      <c r="AK176" s="47"/>
      <c r="AL176" s="47"/>
    </row>
    <row r="177" spans="2:38" ht="15.75" x14ac:dyDescent="0.25">
      <c r="B177" s="89"/>
      <c r="C177" s="89"/>
      <c r="D177" s="95" t="s">
        <v>33</v>
      </c>
      <c r="E177" s="146">
        <v>268</v>
      </c>
      <c r="F177" s="146">
        <v>462</v>
      </c>
      <c r="G177" s="146">
        <v>566</v>
      </c>
      <c r="H177" s="146">
        <v>228</v>
      </c>
      <c r="I177" s="146">
        <v>212</v>
      </c>
      <c r="J177" s="146">
        <v>116</v>
      </c>
      <c r="K177" s="146">
        <v>252</v>
      </c>
      <c r="L177" s="146">
        <v>456</v>
      </c>
      <c r="M177" s="146">
        <v>0</v>
      </c>
      <c r="N177" s="146">
        <v>124</v>
      </c>
      <c r="O177" s="146">
        <v>536</v>
      </c>
      <c r="P177" s="146">
        <v>352</v>
      </c>
      <c r="Q177" s="146">
        <v>372</v>
      </c>
      <c r="R177" s="146">
        <v>372</v>
      </c>
      <c r="S177" s="146">
        <v>372</v>
      </c>
      <c r="T177" s="146">
        <v>376</v>
      </c>
      <c r="U177" s="146">
        <v>352</v>
      </c>
      <c r="V177" s="146">
        <v>400</v>
      </c>
      <c r="W177" s="146">
        <v>404</v>
      </c>
      <c r="X177" s="146">
        <v>396</v>
      </c>
      <c r="Y177" s="146">
        <v>400</v>
      </c>
      <c r="Z177" s="146">
        <v>372</v>
      </c>
      <c r="AA177" s="146">
        <v>372</v>
      </c>
      <c r="AB177" s="146">
        <v>372</v>
      </c>
      <c r="AC177" s="146">
        <v>368</v>
      </c>
      <c r="AD177" s="146">
        <v>352</v>
      </c>
      <c r="AE177" s="146">
        <v>348</v>
      </c>
      <c r="AF177" s="146">
        <v>348</v>
      </c>
      <c r="AG177" s="146">
        <v>348</v>
      </c>
      <c r="AH177" s="146"/>
      <c r="AI177" s="57"/>
      <c r="AJ177" s="47"/>
      <c r="AK177" s="47"/>
      <c r="AL177" s="47"/>
    </row>
    <row r="178" spans="2:38" ht="15.75" x14ac:dyDescent="0.25">
      <c r="B178" s="89"/>
      <c r="C178" s="89"/>
      <c r="D178" s="95" t="s">
        <v>34</v>
      </c>
      <c r="E178" s="146">
        <v>31416</v>
      </c>
      <c r="F178" s="146">
        <v>31878</v>
      </c>
      <c r="G178" s="146">
        <v>32444</v>
      </c>
      <c r="H178" s="146">
        <v>32672</v>
      </c>
      <c r="I178" s="146">
        <v>32884</v>
      </c>
      <c r="J178" s="146">
        <v>33000</v>
      </c>
      <c r="K178" s="146">
        <v>33252</v>
      </c>
      <c r="L178" s="146">
        <v>33708</v>
      </c>
      <c r="M178" s="146">
        <v>33708</v>
      </c>
      <c r="N178" s="146">
        <v>33832</v>
      </c>
      <c r="O178" s="146">
        <v>34368</v>
      </c>
      <c r="P178" s="146">
        <v>34720</v>
      </c>
      <c r="Q178" s="146">
        <v>35092</v>
      </c>
      <c r="R178" s="146">
        <v>35464</v>
      </c>
      <c r="S178" s="146">
        <v>35836</v>
      </c>
      <c r="T178" s="146">
        <v>36212</v>
      </c>
      <c r="U178" s="146">
        <v>36564</v>
      </c>
      <c r="V178" s="146">
        <v>36964</v>
      </c>
      <c r="W178" s="146">
        <v>37368</v>
      </c>
      <c r="X178" s="146">
        <v>37764</v>
      </c>
      <c r="Y178" s="146">
        <v>38164</v>
      </c>
      <c r="Z178" s="146">
        <v>38536</v>
      </c>
      <c r="AA178" s="146">
        <v>38908</v>
      </c>
      <c r="AB178" s="146">
        <v>39280</v>
      </c>
      <c r="AC178" s="146">
        <v>39648</v>
      </c>
      <c r="AD178" s="146">
        <v>40000</v>
      </c>
      <c r="AE178" s="146">
        <v>40348</v>
      </c>
      <c r="AF178" s="146">
        <v>40696</v>
      </c>
      <c r="AG178" s="146">
        <v>41044</v>
      </c>
      <c r="AH178" s="146"/>
      <c r="AI178" s="57"/>
      <c r="AJ178" s="47"/>
      <c r="AK178" s="47"/>
      <c r="AL178" s="47"/>
    </row>
    <row r="179" spans="2:38" ht="15.75" x14ac:dyDescent="0.25">
      <c r="B179" s="89"/>
      <c r="C179" s="89"/>
      <c r="D179" s="92">
        <v>45362</v>
      </c>
      <c r="E179" s="94" t="s">
        <v>0</v>
      </c>
      <c r="F179" s="94" t="s">
        <v>0</v>
      </c>
      <c r="G179" s="94" t="s">
        <v>0</v>
      </c>
      <c r="H179" s="94" t="s">
        <v>0</v>
      </c>
      <c r="I179" s="94" t="s">
        <v>1</v>
      </c>
      <c r="J179" s="94" t="s">
        <v>2</v>
      </c>
      <c r="K179" s="94" t="s">
        <v>4</v>
      </c>
      <c r="L179" s="94" t="s">
        <v>0</v>
      </c>
      <c r="M179" s="94" t="s">
        <v>0</v>
      </c>
      <c r="N179" s="94" t="s">
        <v>0</v>
      </c>
      <c r="O179" s="94" t="s">
        <v>0</v>
      </c>
      <c r="P179" s="94" t="s">
        <v>0</v>
      </c>
      <c r="Q179" s="94" t="s">
        <v>0</v>
      </c>
      <c r="R179" s="94" t="s">
        <v>3</v>
      </c>
      <c r="S179" s="94" t="s">
        <v>4</v>
      </c>
      <c r="T179" s="94" t="s">
        <v>0</v>
      </c>
      <c r="U179" s="94" t="s">
        <v>0</v>
      </c>
      <c r="V179" s="94" t="s">
        <v>0</v>
      </c>
      <c r="W179" s="94" t="s">
        <v>0</v>
      </c>
      <c r="X179" s="94" t="s">
        <v>0</v>
      </c>
      <c r="Y179" s="94" t="s">
        <v>0</v>
      </c>
      <c r="Z179" s="94" t="s">
        <v>0</v>
      </c>
      <c r="AA179" s="94" t="s">
        <v>0</v>
      </c>
      <c r="AB179" s="94" t="s">
        <v>0</v>
      </c>
      <c r="AC179" s="94" t="s">
        <v>0</v>
      </c>
      <c r="AD179" s="94" t="s">
        <v>0</v>
      </c>
      <c r="AE179" s="94" t="s">
        <v>0</v>
      </c>
      <c r="AF179" s="94" t="s">
        <v>4</v>
      </c>
      <c r="AG179" s="94"/>
      <c r="AH179" s="94"/>
      <c r="AI179" s="57"/>
      <c r="AJ179" s="47"/>
      <c r="AK179" s="47"/>
      <c r="AL179" s="47"/>
    </row>
    <row r="180" spans="2:38" ht="15.75" x14ac:dyDescent="0.25">
      <c r="B180" s="89"/>
      <c r="C180" s="89"/>
      <c r="D180" s="95" t="s">
        <v>33</v>
      </c>
      <c r="E180" s="146">
        <v>268</v>
      </c>
      <c r="F180" s="146">
        <v>462</v>
      </c>
      <c r="G180" s="146">
        <v>566</v>
      </c>
      <c r="H180" s="146">
        <v>228</v>
      </c>
      <c r="I180" s="146">
        <v>212</v>
      </c>
      <c r="J180" s="146">
        <v>116</v>
      </c>
      <c r="K180" s="146">
        <v>252</v>
      </c>
      <c r="L180" s="146">
        <v>456</v>
      </c>
      <c r="M180" s="146">
        <v>0</v>
      </c>
      <c r="N180" s="146">
        <v>232</v>
      </c>
      <c r="O180" s="146">
        <v>344</v>
      </c>
      <c r="P180" s="146">
        <v>340</v>
      </c>
      <c r="Q180" s="146">
        <v>364</v>
      </c>
      <c r="R180" s="146">
        <v>360</v>
      </c>
      <c r="S180" s="146">
        <v>364</v>
      </c>
      <c r="T180" s="146">
        <v>360</v>
      </c>
      <c r="U180" s="146">
        <v>348</v>
      </c>
      <c r="V180" s="146">
        <v>388</v>
      </c>
      <c r="W180" s="146">
        <v>388</v>
      </c>
      <c r="X180" s="146">
        <v>388</v>
      </c>
      <c r="Y180" s="146">
        <v>388</v>
      </c>
      <c r="Z180" s="146">
        <v>364</v>
      </c>
      <c r="AA180" s="146">
        <v>360</v>
      </c>
      <c r="AB180" s="146">
        <v>364</v>
      </c>
      <c r="AC180" s="146">
        <v>360</v>
      </c>
      <c r="AD180" s="146">
        <v>340</v>
      </c>
      <c r="AE180" s="146">
        <v>360</v>
      </c>
      <c r="AF180" s="146">
        <v>360</v>
      </c>
      <c r="AG180" s="146"/>
      <c r="AH180" s="146"/>
      <c r="AI180" s="57"/>
      <c r="AJ180" s="47"/>
      <c r="AK180" s="47"/>
      <c r="AL180" s="47"/>
    </row>
    <row r="181" spans="2:38" ht="15.75" x14ac:dyDescent="0.25">
      <c r="B181" s="89"/>
      <c r="C181" s="89"/>
      <c r="D181" s="95" t="s">
        <v>34</v>
      </c>
      <c r="E181" s="146">
        <v>31416</v>
      </c>
      <c r="F181" s="146">
        <v>31878</v>
      </c>
      <c r="G181" s="146">
        <v>32444</v>
      </c>
      <c r="H181" s="146">
        <v>32672</v>
      </c>
      <c r="I181" s="146">
        <v>32884</v>
      </c>
      <c r="J181" s="146">
        <v>33000</v>
      </c>
      <c r="K181" s="146">
        <v>33252</v>
      </c>
      <c r="L181" s="146">
        <v>33708</v>
      </c>
      <c r="M181" s="146">
        <v>33708</v>
      </c>
      <c r="N181" s="146">
        <v>33940</v>
      </c>
      <c r="O181" s="146">
        <v>34284</v>
      </c>
      <c r="P181" s="146">
        <v>34624</v>
      </c>
      <c r="Q181" s="146">
        <v>34988</v>
      </c>
      <c r="R181" s="146">
        <v>35348</v>
      </c>
      <c r="S181" s="146">
        <v>35712</v>
      </c>
      <c r="T181" s="146">
        <v>36072</v>
      </c>
      <c r="U181" s="146">
        <v>36420</v>
      </c>
      <c r="V181" s="146">
        <v>36808</v>
      </c>
      <c r="W181" s="146">
        <v>37196</v>
      </c>
      <c r="X181" s="146">
        <v>37584</v>
      </c>
      <c r="Y181" s="146">
        <v>37972</v>
      </c>
      <c r="Z181" s="146">
        <v>38336</v>
      </c>
      <c r="AA181" s="146">
        <v>38696</v>
      </c>
      <c r="AB181" s="146">
        <v>39060</v>
      </c>
      <c r="AC181" s="146">
        <v>39420</v>
      </c>
      <c r="AD181" s="146">
        <v>39760</v>
      </c>
      <c r="AE181" s="146">
        <v>40120</v>
      </c>
      <c r="AF181" s="146">
        <v>40480</v>
      </c>
      <c r="AG181" s="146"/>
      <c r="AH181" s="146"/>
      <c r="AI181" s="57"/>
      <c r="AJ181" s="47"/>
      <c r="AK181" s="47"/>
      <c r="AL181" s="47"/>
    </row>
    <row r="182" spans="2:38" ht="15.75" x14ac:dyDescent="0.25">
      <c r="B182" s="89"/>
      <c r="C182" s="89"/>
      <c r="D182" s="92">
        <v>45355</v>
      </c>
      <c r="E182" s="94" t="s">
        <v>0</v>
      </c>
      <c r="F182" s="94" t="s">
        <v>0</v>
      </c>
      <c r="G182" s="94" t="s">
        <v>0</v>
      </c>
      <c r="H182" s="94" t="s">
        <v>1</v>
      </c>
      <c r="I182" s="94" t="s">
        <v>2</v>
      </c>
      <c r="J182" s="94" t="s">
        <v>4</v>
      </c>
      <c r="K182" s="94" t="s">
        <v>0</v>
      </c>
      <c r="L182" s="94" t="s">
        <v>0</v>
      </c>
      <c r="M182" s="94" t="s">
        <v>0</v>
      </c>
      <c r="N182" s="94" t="s">
        <v>0</v>
      </c>
      <c r="O182" s="94" t="s">
        <v>0</v>
      </c>
      <c r="P182" s="94" t="s">
        <v>0</v>
      </c>
      <c r="Q182" s="94" t="s">
        <v>3</v>
      </c>
      <c r="R182" s="94" t="s">
        <v>4</v>
      </c>
      <c r="S182" s="94" t="s">
        <v>0</v>
      </c>
      <c r="T182" s="94" t="s">
        <v>0</v>
      </c>
      <c r="U182" s="94" t="s">
        <v>0</v>
      </c>
      <c r="V182" s="94" t="s">
        <v>0</v>
      </c>
      <c r="W182" s="94" t="s">
        <v>0</v>
      </c>
      <c r="X182" s="94" t="s">
        <v>0</v>
      </c>
      <c r="Y182" s="94" t="s">
        <v>0</v>
      </c>
      <c r="Z182" s="94" t="s">
        <v>0</v>
      </c>
      <c r="AA182" s="94" t="s">
        <v>0</v>
      </c>
      <c r="AB182" s="94" t="s">
        <v>0</v>
      </c>
      <c r="AC182" s="94" t="s">
        <v>0</v>
      </c>
      <c r="AD182" s="94" t="s">
        <v>0</v>
      </c>
      <c r="AE182" s="94" t="s">
        <v>4</v>
      </c>
      <c r="AF182" s="94"/>
      <c r="AG182" s="94"/>
      <c r="AH182" s="94"/>
      <c r="AI182" s="57"/>
      <c r="AJ182" s="47"/>
      <c r="AK182" s="47"/>
      <c r="AL182" s="47"/>
    </row>
    <row r="183" spans="2:38" ht="15.75" x14ac:dyDescent="0.25">
      <c r="B183" s="89"/>
      <c r="C183" s="89"/>
      <c r="D183" s="95" t="s">
        <v>33</v>
      </c>
      <c r="E183" s="146">
        <v>268</v>
      </c>
      <c r="F183" s="146">
        <v>462</v>
      </c>
      <c r="G183" s="146">
        <v>566</v>
      </c>
      <c r="H183" s="146">
        <v>228</v>
      </c>
      <c r="I183" s="146">
        <v>212</v>
      </c>
      <c r="J183" s="146">
        <v>116</v>
      </c>
      <c r="K183" s="146">
        <v>176</v>
      </c>
      <c r="L183" s="146">
        <v>408</v>
      </c>
      <c r="M183" s="146">
        <v>0</v>
      </c>
      <c r="N183" s="146">
        <v>260</v>
      </c>
      <c r="O183" s="146">
        <v>332</v>
      </c>
      <c r="P183" s="146">
        <v>336</v>
      </c>
      <c r="Q183" s="146">
        <v>352</v>
      </c>
      <c r="R183" s="146">
        <v>352</v>
      </c>
      <c r="S183" s="146">
        <v>352</v>
      </c>
      <c r="T183" s="146">
        <v>356</v>
      </c>
      <c r="U183" s="146">
        <v>336</v>
      </c>
      <c r="V183" s="146">
        <v>376</v>
      </c>
      <c r="W183" s="146">
        <v>376</v>
      </c>
      <c r="X183" s="146">
        <v>380</v>
      </c>
      <c r="Y183" s="146">
        <v>376</v>
      </c>
      <c r="Z183" s="146">
        <v>348</v>
      </c>
      <c r="AA183" s="146">
        <v>352</v>
      </c>
      <c r="AB183" s="146">
        <v>352</v>
      </c>
      <c r="AC183" s="146">
        <v>352</v>
      </c>
      <c r="AD183" s="146">
        <v>352</v>
      </c>
      <c r="AE183" s="146">
        <v>352</v>
      </c>
      <c r="AF183" s="146"/>
      <c r="AG183" s="146"/>
      <c r="AH183" s="146"/>
      <c r="AI183" s="57"/>
      <c r="AJ183" s="47"/>
      <c r="AK183" s="47"/>
      <c r="AL183" s="47"/>
    </row>
    <row r="184" spans="2:38" ht="15.75" x14ac:dyDescent="0.25">
      <c r="B184" s="89"/>
      <c r="C184" s="89"/>
      <c r="D184" s="95" t="s">
        <v>34</v>
      </c>
      <c r="E184" s="146">
        <v>31416</v>
      </c>
      <c r="F184" s="146">
        <v>31878</v>
      </c>
      <c r="G184" s="146">
        <v>32444</v>
      </c>
      <c r="H184" s="146">
        <v>32672</v>
      </c>
      <c r="I184" s="146">
        <v>32884</v>
      </c>
      <c r="J184" s="146">
        <v>33000</v>
      </c>
      <c r="K184" s="146">
        <v>33176</v>
      </c>
      <c r="L184" s="146">
        <v>33584</v>
      </c>
      <c r="M184" s="146">
        <v>33584</v>
      </c>
      <c r="N184" s="146">
        <v>33844</v>
      </c>
      <c r="O184" s="146">
        <v>34176</v>
      </c>
      <c r="P184" s="146">
        <v>34512</v>
      </c>
      <c r="Q184" s="146">
        <v>34864</v>
      </c>
      <c r="R184" s="146">
        <v>35216</v>
      </c>
      <c r="S184" s="146">
        <v>35568</v>
      </c>
      <c r="T184" s="146">
        <v>35924</v>
      </c>
      <c r="U184" s="146">
        <v>36260</v>
      </c>
      <c r="V184" s="146">
        <v>36636</v>
      </c>
      <c r="W184" s="146">
        <v>37012</v>
      </c>
      <c r="X184" s="146">
        <v>37392</v>
      </c>
      <c r="Y184" s="146">
        <v>37768</v>
      </c>
      <c r="Z184" s="146">
        <v>38116</v>
      </c>
      <c r="AA184" s="146">
        <v>38468</v>
      </c>
      <c r="AB184" s="146">
        <v>38820</v>
      </c>
      <c r="AC184" s="146">
        <v>39172</v>
      </c>
      <c r="AD184" s="146">
        <v>39524</v>
      </c>
      <c r="AE184" s="146">
        <v>39876</v>
      </c>
      <c r="AF184" s="146"/>
      <c r="AG184" s="146"/>
      <c r="AH184" s="146"/>
      <c r="AI184" s="57"/>
      <c r="AJ184" s="47"/>
      <c r="AK184" s="47"/>
      <c r="AL184" s="47"/>
    </row>
    <row r="185" spans="2:38" ht="15.75" x14ac:dyDescent="0.25">
      <c r="B185" s="89"/>
      <c r="C185" s="89"/>
      <c r="D185" s="92">
        <v>45348</v>
      </c>
      <c r="E185" s="94" t="s">
        <v>0</v>
      </c>
      <c r="F185" s="94" t="s">
        <v>0</v>
      </c>
      <c r="G185" s="94" t="s">
        <v>1</v>
      </c>
      <c r="H185" s="94" t="s">
        <v>2</v>
      </c>
      <c r="I185" s="94" t="s">
        <v>4</v>
      </c>
      <c r="J185" s="94" t="s">
        <v>0</v>
      </c>
      <c r="K185" s="94" t="s">
        <v>0</v>
      </c>
      <c r="L185" s="94" t="s">
        <v>0</v>
      </c>
      <c r="M185" s="94" t="s">
        <v>0</v>
      </c>
      <c r="N185" s="94" t="s">
        <v>0</v>
      </c>
      <c r="O185" s="94" t="s">
        <v>0</v>
      </c>
      <c r="P185" s="94" t="s">
        <v>3</v>
      </c>
      <c r="Q185" s="94" t="s">
        <v>4</v>
      </c>
      <c r="R185" s="94" t="s">
        <v>0</v>
      </c>
      <c r="S185" s="94" t="s">
        <v>0</v>
      </c>
      <c r="T185" s="94" t="s">
        <v>0</v>
      </c>
      <c r="U185" s="94" t="s">
        <v>0</v>
      </c>
      <c r="V185" s="94" t="s">
        <v>0</v>
      </c>
      <c r="W185" s="94" t="s">
        <v>0</v>
      </c>
      <c r="X185" s="94" t="s">
        <v>0</v>
      </c>
      <c r="Y185" s="94" t="s">
        <v>0</v>
      </c>
      <c r="Z185" s="94" t="s">
        <v>0</v>
      </c>
      <c r="AA185" s="94" t="s">
        <v>0</v>
      </c>
      <c r="AB185" s="94" t="s">
        <v>0</v>
      </c>
      <c r="AC185" s="94" t="s">
        <v>0</v>
      </c>
      <c r="AD185" s="94" t="s">
        <v>4</v>
      </c>
      <c r="AE185" s="94"/>
      <c r="AF185" s="94"/>
      <c r="AG185" s="94"/>
      <c r="AH185" s="94"/>
      <c r="AI185" s="57"/>
      <c r="AJ185" s="47"/>
      <c r="AK185" s="47"/>
      <c r="AL185" s="47"/>
    </row>
    <row r="186" spans="2:38" ht="15.75" x14ac:dyDescent="0.25">
      <c r="B186" s="89"/>
      <c r="C186" s="89"/>
      <c r="D186" s="95" t="s">
        <v>33</v>
      </c>
      <c r="E186" s="146">
        <v>268</v>
      </c>
      <c r="F186" s="146">
        <v>462</v>
      </c>
      <c r="G186" s="146">
        <v>566</v>
      </c>
      <c r="H186" s="146">
        <v>228</v>
      </c>
      <c r="I186" s="146">
        <v>212</v>
      </c>
      <c r="J186" s="146">
        <v>132</v>
      </c>
      <c r="K186" s="146">
        <v>144</v>
      </c>
      <c r="L186" s="146">
        <v>352</v>
      </c>
      <c r="M186" s="146">
        <v>0</v>
      </c>
      <c r="N186" s="146">
        <v>312</v>
      </c>
      <c r="O186" s="146">
        <v>332</v>
      </c>
      <c r="P186" s="146">
        <v>332</v>
      </c>
      <c r="Q186" s="146">
        <v>348</v>
      </c>
      <c r="R186" s="146">
        <v>348</v>
      </c>
      <c r="S186" s="146">
        <v>356</v>
      </c>
      <c r="T186" s="146">
        <v>348</v>
      </c>
      <c r="U186" s="146">
        <v>332</v>
      </c>
      <c r="V186" s="146">
        <v>376</v>
      </c>
      <c r="W186" s="146">
        <v>376</v>
      </c>
      <c r="X186" s="146">
        <v>372</v>
      </c>
      <c r="Y186" s="146">
        <v>372</v>
      </c>
      <c r="Z186" s="146">
        <v>348</v>
      </c>
      <c r="AA186" s="146">
        <v>352</v>
      </c>
      <c r="AB186" s="146">
        <v>348</v>
      </c>
      <c r="AC186" s="146">
        <v>352</v>
      </c>
      <c r="AD186" s="146">
        <v>348</v>
      </c>
      <c r="AE186" s="146"/>
      <c r="AF186" s="146"/>
      <c r="AG186" s="146"/>
      <c r="AH186" s="146"/>
      <c r="AI186" s="57"/>
      <c r="AJ186" s="47"/>
      <c r="AK186" s="47"/>
      <c r="AL186" s="47"/>
    </row>
    <row r="187" spans="2:38" ht="15.75" x14ac:dyDescent="0.25">
      <c r="B187" s="89"/>
      <c r="C187" s="89"/>
      <c r="D187" s="95" t="s">
        <v>34</v>
      </c>
      <c r="E187" s="146">
        <v>31416</v>
      </c>
      <c r="F187" s="146">
        <v>31878</v>
      </c>
      <c r="G187" s="146">
        <v>32444</v>
      </c>
      <c r="H187" s="146">
        <v>32672</v>
      </c>
      <c r="I187" s="146">
        <v>32884</v>
      </c>
      <c r="J187" s="146">
        <v>33016</v>
      </c>
      <c r="K187" s="146">
        <v>33160</v>
      </c>
      <c r="L187" s="146">
        <v>33512</v>
      </c>
      <c r="M187" s="146">
        <v>33512</v>
      </c>
      <c r="N187" s="146">
        <v>33824</v>
      </c>
      <c r="O187" s="146">
        <v>34156</v>
      </c>
      <c r="P187" s="146">
        <v>34488</v>
      </c>
      <c r="Q187" s="146">
        <v>34836</v>
      </c>
      <c r="R187" s="146">
        <v>35184</v>
      </c>
      <c r="S187" s="146">
        <v>35540</v>
      </c>
      <c r="T187" s="146">
        <v>35888</v>
      </c>
      <c r="U187" s="146">
        <v>36220</v>
      </c>
      <c r="V187" s="146">
        <v>36596</v>
      </c>
      <c r="W187" s="146">
        <v>36972</v>
      </c>
      <c r="X187" s="146">
        <v>37344</v>
      </c>
      <c r="Y187" s="146">
        <v>37716</v>
      </c>
      <c r="Z187" s="146">
        <v>38064</v>
      </c>
      <c r="AA187" s="146">
        <v>38416</v>
      </c>
      <c r="AB187" s="146">
        <v>38764</v>
      </c>
      <c r="AC187" s="146">
        <v>39116</v>
      </c>
      <c r="AD187" s="146">
        <v>39464</v>
      </c>
      <c r="AE187" s="146"/>
      <c r="AF187" s="146"/>
      <c r="AG187" s="146"/>
      <c r="AH187" s="146"/>
      <c r="AI187" s="57"/>
      <c r="AJ187" s="47"/>
      <c r="AK187" s="47"/>
      <c r="AL187" s="47"/>
    </row>
    <row r="188" spans="2:38" ht="15.75" x14ac:dyDescent="0.25">
      <c r="B188" s="89"/>
      <c r="C188" s="89"/>
      <c r="D188" s="92">
        <v>45341</v>
      </c>
      <c r="E188" s="94" t="s">
        <v>0</v>
      </c>
      <c r="F188" s="94" t="s">
        <v>1</v>
      </c>
      <c r="G188" s="94" t="s">
        <v>2</v>
      </c>
      <c r="H188" s="94" t="s">
        <v>4</v>
      </c>
      <c r="I188" s="94" t="s">
        <v>0</v>
      </c>
      <c r="J188" s="94" t="s">
        <v>0</v>
      </c>
      <c r="K188" s="94" t="s">
        <v>0</v>
      </c>
      <c r="L188" s="94" t="s">
        <v>0</v>
      </c>
      <c r="M188" s="94" t="s">
        <v>0</v>
      </c>
      <c r="N188" s="94" t="s">
        <v>0</v>
      </c>
      <c r="O188" s="94" t="s">
        <v>3</v>
      </c>
      <c r="P188" s="94" t="s">
        <v>4</v>
      </c>
      <c r="Q188" s="94" t="s">
        <v>0</v>
      </c>
      <c r="R188" s="94" t="s">
        <v>0</v>
      </c>
      <c r="S188" s="94" t="s">
        <v>0</v>
      </c>
      <c r="T188" s="94" t="s">
        <v>0</v>
      </c>
      <c r="U188" s="94" t="s">
        <v>0</v>
      </c>
      <c r="V188" s="94" t="s">
        <v>0</v>
      </c>
      <c r="W188" s="94" t="s">
        <v>0</v>
      </c>
      <c r="X188" s="94" t="s">
        <v>0</v>
      </c>
      <c r="Y188" s="94" t="s">
        <v>0</v>
      </c>
      <c r="Z188" s="94" t="s">
        <v>0</v>
      </c>
      <c r="AA188" s="94" t="s">
        <v>0</v>
      </c>
      <c r="AB188" s="94" t="s">
        <v>0</v>
      </c>
      <c r="AC188" s="94" t="s">
        <v>4</v>
      </c>
      <c r="AD188" s="94"/>
      <c r="AE188" s="94"/>
      <c r="AF188" s="94"/>
      <c r="AG188" s="94"/>
      <c r="AH188" s="94"/>
      <c r="AI188" s="57"/>
      <c r="AJ188" s="47"/>
      <c r="AK188" s="47"/>
      <c r="AL188" s="47"/>
    </row>
    <row r="189" spans="2:38" ht="15.75" x14ac:dyDescent="0.25">
      <c r="B189" s="89"/>
      <c r="C189" s="89"/>
      <c r="D189" s="95" t="s">
        <v>33</v>
      </c>
      <c r="E189" s="146">
        <v>268</v>
      </c>
      <c r="F189" s="146">
        <v>462</v>
      </c>
      <c r="G189" s="146">
        <v>566</v>
      </c>
      <c r="H189" s="146">
        <v>228</v>
      </c>
      <c r="I189" s="146">
        <v>132</v>
      </c>
      <c r="J189" s="146">
        <v>132</v>
      </c>
      <c r="K189" s="146">
        <v>140</v>
      </c>
      <c r="L189" s="146">
        <v>188</v>
      </c>
      <c r="M189" s="146">
        <v>0</v>
      </c>
      <c r="N189" s="146">
        <v>112</v>
      </c>
      <c r="O189" s="146">
        <v>152</v>
      </c>
      <c r="P189" s="146">
        <v>152</v>
      </c>
      <c r="Q189" s="146">
        <v>168</v>
      </c>
      <c r="R189" s="146">
        <v>172</v>
      </c>
      <c r="S189" s="146">
        <v>164</v>
      </c>
      <c r="T189" s="146">
        <v>172</v>
      </c>
      <c r="U189" s="146">
        <v>152</v>
      </c>
      <c r="V189" s="146">
        <v>192</v>
      </c>
      <c r="W189" s="146">
        <v>192</v>
      </c>
      <c r="X189" s="146">
        <v>196</v>
      </c>
      <c r="Y189" s="146">
        <v>192</v>
      </c>
      <c r="Z189" s="146">
        <v>172</v>
      </c>
      <c r="AA189" s="146">
        <v>164</v>
      </c>
      <c r="AB189" s="146">
        <v>184</v>
      </c>
      <c r="AC189" s="146">
        <v>168</v>
      </c>
      <c r="AD189" s="146"/>
      <c r="AE189" s="146"/>
      <c r="AF189" s="146"/>
      <c r="AG189" s="146"/>
      <c r="AH189" s="146"/>
      <c r="AI189" s="57"/>
      <c r="AJ189" s="47"/>
      <c r="AK189" s="47"/>
      <c r="AL189" s="47"/>
    </row>
    <row r="190" spans="2:38" ht="15.75" x14ac:dyDescent="0.25">
      <c r="B190" s="89"/>
      <c r="C190" s="89"/>
      <c r="D190" s="95" t="s">
        <v>34</v>
      </c>
      <c r="E190" s="146">
        <v>31416</v>
      </c>
      <c r="F190" s="146">
        <v>31878</v>
      </c>
      <c r="G190" s="146">
        <v>32444</v>
      </c>
      <c r="H190" s="146">
        <v>32672</v>
      </c>
      <c r="I190" s="146">
        <v>32804</v>
      </c>
      <c r="J190" s="146">
        <v>32936</v>
      </c>
      <c r="K190" s="146">
        <v>33076</v>
      </c>
      <c r="L190" s="146">
        <v>33264</v>
      </c>
      <c r="M190" s="146">
        <v>33264</v>
      </c>
      <c r="N190" s="146">
        <v>33376</v>
      </c>
      <c r="O190" s="146">
        <v>33528</v>
      </c>
      <c r="P190" s="146">
        <v>33680</v>
      </c>
      <c r="Q190" s="146">
        <v>33848</v>
      </c>
      <c r="R190" s="146">
        <v>34020</v>
      </c>
      <c r="S190" s="146">
        <v>34184</v>
      </c>
      <c r="T190" s="146">
        <v>34356</v>
      </c>
      <c r="U190" s="146">
        <v>34508</v>
      </c>
      <c r="V190" s="146">
        <v>34700</v>
      </c>
      <c r="W190" s="146">
        <v>34892</v>
      </c>
      <c r="X190" s="146">
        <v>35088</v>
      </c>
      <c r="Y190" s="146">
        <v>35280</v>
      </c>
      <c r="Z190" s="146">
        <v>35452</v>
      </c>
      <c r="AA190" s="146">
        <v>35616</v>
      </c>
      <c r="AB190" s="146">
        <v>35800</v>
      </c>
      <c r="AC190" s="146">
        <v>35968</v>
      </c>
      <c r="AD190" s="146"/>
      <c r="AE190" s="146"/>
      <c r="AF190" s="146"/>
      <c r="AG190" s="146"/>
      <c r="AH190" s="146"/>
      <c r="AI190" s="57"/>
      <c r="AJ190" s="47"/>
      <c r="AK190" s="47"/>
      <c r="AL190" s="47"/>
    </row>
    <row r="191" spans="2:38" ht="15.75" x14ac:dyDescent="0.25">
      <c r="B191" s="89"/>
      <c r="C191" s="89"/>
      <c r="D191" s="92">
        <v>45334</v>
      </c>
      <c r="E191" s="94" t="s">
        <v>1</v>
      </c>
      <c r="F191" s="94" t="s">
        <v>2</v>
      </c>
      <c r="G191" s="94" t="s">
        <v>4</v>
      </c>
      <c r="H191" s="94" t="s">
        <v>0</v>
      </c>
      <c r="I191" s="94" t="s">
        <v>0</v>
      </c>
      <c r="J191" s="94" t="s">
        <v>0</v>
      </c>
      <c r="K191" s="94" t="s">
        <v>0</v>
      </c>
      <c r="L191" s="94" t="s">
        <v>0</v>
      </c>
      <c r="M191" s="94" t="s">
        <v>0</v>
      </c>
      <c r="N191" s="94" t="s">
        <v>3</v>
      </c>
      <c r="O191" s="94" t="s">
        <v>4</v>
      </c>
      <c r="P191" s="94" t="s">
        <v>0</v>
      </c>
      <c r="Q191" s="94" t="s">
        <v>0</v>
      </c>
      <c r="R191" s="94" t="s">
        <v>0</v>
      </c>
      <c r="S191" s="94" t="s">
        <v>0</v>
      </c>
      <c r="T191" s="94" t="s">
        <v>0</v>
      </c>
      <c r="U191" s="94" t="s">
        <v>0</v>
      </c>
      <c r="V191" s="94" t="s">
        <v>0</v>
      </c>
      <c r="W191" s="94" t="s">
        <v>0</v>
      </c>
      <c r="X191" s="94" t="s">
        <v>0</v>
      </c>
      <c r="Y191" s="94" t="s">
        <v>0</v>
      </c>
      <c r="Z191" s="94" t="s">
        <v>0</v>
      </c>
      <c r="AA191" s="94" t="s">
        <v>0</v>
      </c>
      <c r="AB191" s="94" t="s">
        <v>4</v>
      </c>
      <c r="AC191" s="94"/>
      <c r="AD191" s="94"/>
      <c r="AE191" s="94"/>
      <c r="AF191" s="94"/>
      <c r="AG191" s="94"/>
      <c r="AH191" s="94"/>
      <c r="AI191" s="57"/>
      <c r="AJ191" s="47"/>
      <c r="AK191" s="47"/>
      <c r="AL191" s="47"/>
    </row>
    <row r="192" spans="2:38" ht="15.75" x14ac:dyDescent="0.25">
      <c r="B192" s="89"/>
      <c r="C192" s="89"/>
      <c r="D192" s="95" t="s">
        <v>33</v>
      </c>
      <c r="E192" s="146">
        <v>268</v>
      </c>
      <c r="F192" s="146">
        <v>462</v>
      </c>
      <c r="G192" s="146">
        <v>566</v>
      </c>
      <c r="H192" s="146">
        <v>176</v>
      </c>
      <c r="I192" s="146">
        <v>172</v>
      </c>
      <c r="J192" s="146">
        <v>172</v>
      </c>
      <c r="K192" s="146">
        <v>172</v>
      </c>
      <c r="L192" s="146">
        <v>296</v>
      </c>
      <c r="M192" s="146">
        <v>0</v>
      </c>
      <c r="N192" s="146">
        <v>0</v>
      </c>
      <c r="O192" s="146">
        <v>144</v>
      </c>
      <c r="P192" s="146">
        <v>148</v>
      </c>
      <c r="Q192" s="146">
        <v>164</v>
      </c>
      <c r="R192" s="146">
        <v>164</v>
      </c>
      <c r="S192" s="146">
        <v>164</v>
      </c>
      <c r="T192" s="146">
        <v>160</v>
      </c>
      <c r="U192" s="146">
        <v>152</v>
      </c>
      <c r="V192" s="146">
        <v>184</v>
      </c>
      <c r="W192" s="146">
        <v>188</v>
      </c>
      <c r="X192" s="146">
        <v>184</v>
      </c>
      <c r="Y192" s="146">
        <v>188</v>
      </c>
      <c r="Z192" s="146">
        <v>160</v>
      </c>
      <c r="AA192" s="146">
        <v>188</v>
      </c>
      <c r="AB192" s="146">
        <v>188</v>
      </c>
      <c r="AC192" s="146"/>
      <c r="AD192" s="146"/>
      <c r="AE192" s="146"/>
      <c r="AF192" s="146"/>
      <c r="AG192" s="146"/>
      <c r="AH192" s="146"/>
      <c r="AI192" s="57"/>
      <c r="AJ192" s="47"/>
      <c r="AK192" s="47"/>
      <c r="AL192" s="47"/>
    </row>
    <row r="193" spans="1:40" ht="15.75" x14ac:dyDescent="0.25">
      <c r="B193" s="89"/>
      <c r="C193" s="89"/>
      <c r="D193" s="95" t="s">
        <v>34</v>
      </c>
      <c r="E193" s="146">
        <v>31416</v>
      </c>
      <c r="F193" s="146">
        <v>31878</v>
      </c>
      <c r="G193" s="146">
        <v>32444</v>
      </c>
      <c r="H193" s="146">
        <v>32620</v>
      </c>
      <c r="I193" s="146">
        <v>32792</v>
      </c>
      <c r="J193" s="146">
        <v>32964</v>
      </c>
      <c r="K193" s="146">
        <v>33136</v>
      </c>
      <c r="L193" s="146">
        <v>33432</v>
      </c>
      <c r="M193" s="146">
        <v>33432</v>
      </c>
      <c r="N193" s="146">
        <v>33432</v>
      </c>
      <c r="O193" s="146">
        <v>33576</v>
      </c>
      <c r="P193" s="146">
        <v>33724</v>
      </c>
      <c r="Q193" s="146">
        <v>33888</v>
      </c>
      <c r="R193" s="146">
        <v>34052</v>
      </c>
      <c r="S193" s="146">
        <v>34216</v>
      </c>
      <c r="T193" s="146">
        <v>34376</v>
      </c>
      <c r="U193" s="146">
        <v>34528</v>
      </c>
      <c r="V193" s="146">
        <v>34712</v>
      </c>
      <c r="W193" s="146">
        <v>34900</v>
      </c>
      <c r="X193" s="146">
        <v>35084</v>
      </c>
      <c r="Y193" s="146">
        <v>35272</v>
      </c>
      <c r="Z193" s="146">
        <v>35432</v>
      </c>
      <c r="AA193" s="146">
        <v>35620</v>
      </c>
      <c r="AB193" s="146">
        <v>35808</v>
      </c>
      <c r="AC193" s="146"/>
      <c r="AD193" s="146"/>
      <c r="AE193" s="146"/>
      <c r="AF193" s="146"/>
      <c r="AG193" s="146"/>
      <c r="AH193" s="146"/>
      <c r="AI193" s="57"/>
      <c r="AJ193" s="47"/>
      <c r="AK193" s="47"/>
      <c r="AL193" s="47"/>
    </row>
    <row r="194" spans="1:40" ht="15.75" x14ac:dyDescent="0.25">
      <c r="B194" s="89"/>
      <c r="C194" s="89"/>
      <c r="D194" s="92">
        <v>45327</v>
      </c>
      <c r="E194" s="94" t="s">
        <v>2</v>
      </c>
      <c r="F194" s="94" t="s">
        <v>4</v>
      </c>
      <c r="G194" s="94" t="s">
        <v>0</v>
      </c>
      <c r="H194" s="94" t="s">
        <v>0</v>
      </c>
      <c r="I194" s="94" t="s">
        <v>0</v>
      </c>
      <c r="J194" s="94" t="s">
        <v>0</v>
      </c>
      <c r="K194" s="94" t="s">
        <v>0</v>
      </c>
      <c r="L194" s="94" t="s">
        <v>0</v>
      </c>
      <c r="M194" s="94" t="s">
        <v>3</v>
      </c>
      <c r="N194" s="94" t="s">
        <v>4</v>
      </c>
      <c r="O194" s="94" t="s">
        <v>0</v>
      </c>
      <c r="P194" s="94" t="s">
        <v>0</v>
      </c>
      <c r="Q194" s="94" t="s">
        <v>0</v>
      </c>
      <c r="R194" s="94" t="s">
        <v>0</v>
      </c>
      <c r="S194" s="94" t="s">
        <v>0</v>
      </c>
      <c r="T194" s="94" t="s">
        <v>0</v>
      </c>
      <c r="U194" s="94" t="s">
        <v>0</v>
      </c>
      <c r="V194" s="94" t="s">
        <v>0</v>
      </c>
      <c r="W194" s="94" t="s">
        <v>0</v>
      </c>
      <c r="X194" s="94" t="s">
        <v>0</v>
      </c>
      <c r="Y194" s="94" t="s">
        <v>0</v>
      </c>
      <c r="Z194" s="94" t="s">
        <v>0</v>
      </c>
      <c r="AA194" s="94" t="s">
        <v>4</v>
      </c>
      <c r="AB194" s="94"/>
      <c r="AC194" s="94"/>
      <c r="AD194" s="94"/>
      <c r="AE194" s="94"/>
      <c r="AF194" s="94"/>
      <c r="AG194" s="94"/>
      <c r="AH194" s="94"/>
      <c r="AI194" s="57"/>
      <c r="AJ194" s="47"/>
      <c r="AK194" s="47"/>
      <c r="AL194" s="47"/>
    </row>
    <row r="195" spans="1:40" ht="15.75" x14ac:dyDescent="0.25">
      <c r="B195" s="89"/>
      <c r="C195" s="89"/>
      <c r="D195" s="95" t="s">
        <v>33</v>
      </c>
      <c r="E195" s="146">
        <v>268</v>
      </c>
      <c r="F195" s="146">
        <v>462</v>
      </c>
      <c r="G195" s="146">
        <v>578</v>
      </c>
      <c r="H195" s="146">
        <v>180</v>
      </c>
      <c r="I195" s="146">
        <v>180</v>
      </c>
      <c r="J195" s="146">
        <v>180</v>
      </c>
      <c r="K195" s="146">
        <v>176</v>
      </c>
      <c r="L195" s="146">
        <v>208</v>
      </c>
      <c r="M195" s="146">
        <v>0</v>
      </c>
      <c r="N195" s="146">
        <v>104</v>
      </c>
      <c r="O195" s="146">
        <v>148</v>
      </c>
      <c r="P195" s="146">
        <v>152</v>
      </c>
      <c r="Q195" s="146">
        <v>164</v>
      </c>
      <c r="R195" s="146">
        <v>172</v>
      </c>
      <c r="S195" s="146">
        <v>164</v>
      </c>
      <c r="T195" s="146">
        <v>172</v>
      </c>
      <c r="U195" s="146">
        <v>144</v>
      </c>
      <c r="V195" s="146">
        <v>196</v>
      </c>
      <c r="W195" s="146">
        <v>192</v>
      </c>
      <c r="X195" s="146">
        <v>196</v>
      </c>
      <c r="Y195" s="146">
        <v>188</v>
      </c>
      <c r="Z195" s="146">
        <v>196</v>
      </c>
      <c r="AA195" s="146">
        <v>192</v>
      </c>
      <c r="AB195" s="146"/>
      <c r="AC195" s="146"/>
      <c r="AD195" s="146"/>
      <c r="AE195" s="146"/>
      <c r="AF195" s="146"/>
      <c r="AG195" s="146"/>
      <c r="AH195" s="146"/>
      <c r="AI195" s="57"/>
      <c r="AJ195" s="47"/>
      <c r="AK195" s="47"/>
      <c r="AL195" s="47"/>
    </row>
    <row r="196" spans="1:40" ht="15.75" x14ac:dyDescent="0.25">
      <c r="B196" s="89"/>
      <c r="C196" s="89"/>
      <c r="D196" s="95" t="s">
        <v>34</v>
      </c>
      <c r="E196" s="146">
        <v>31416</v>
      </c>
      <c r="F196" s="146">
        <v>31878</v>
      </c>
      <c r="G196" s="146">
        <v>32456</v>
      </c>
      <c r="H196" s="146">
        <v>32636</v>
      </c>
      <c r="I196" s="146">
        <v>32816</v>
      </c>
      <c r="J196" s="146">
        <v>32996</v>
      </c>
      <c r="K196" s="146">
        <v>33172</v>
      </c>
      <c r="L196" s="146">
        <v>33380</v>
      </c>
      <c r="M196" s="146">
        <v>33380</v>
      </c>
      <c r="N196" s="146">
        <v>33484</v>
      </c>
      <c r="O196" s="146">
        <v>33632</v>
      </c>
      <c r="P196" s="146">
        <v>33784</v>
      </c>
      <c r="Q196" s="146">
        <v>33948</v>
      </c>
      <c r="R196" s="146">
        <v>34120</v>
      </c>
      <c r="S196" s="146">
        <v>34284</v>
      </c>
      <c r="T196" s="146">
        <v>34456</v>
      </c>
      <c r="U196" s="146">
        <v>34600</v>
      </c>
      <c r="V196" s="146">
        <v>34796</v>
      </c>
      <c r="W196" s="146">
        <v>34988</v>
      </c>
      <c r="X196" s="146">
        <v>35184</v>
      </c>
      <c r="Y196" s="146">
        <v>35372</v>
      </c>
      <c r="Z196" s="146">
        <v>35568</v>
      </c>
      <c r="AA196" s="146">
        <v>35760</v>
      </c>
      <c r="AB196" s="146"/>
      <c r="AC196" s="146"/>
      <c r="AD196" s="146"/>
      <c r="AE196" s="146"/>
      <c r="AF196" s="146"/>
      <c r="AG196" s="146"/>
      <c r="AH196" s="146"/>
      <c r="AI196" s="57"/>
      <c r="AJ196" s="47"/>
      <c r="AK196" s="47"/>
      <c r="AL196" s="47"/>
    </row>
    <row r="197" spans="1:40" ht="15.75" x14ac:dyDescent="0.25">
      <c r="B197" s="89"/>
      <c r="C197" s="89"/>
      <c r="D197" s="92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57"/>
      <c r="AJ197" s="47"/>
      <c r="AK197" s="47"/>
      <c r="AL197" s="47"/>
    </row>
    <row r="198" spans="1:40" ht="15.75" x14ac:dyDescent="0.25">
      <c r="B198" s="89"/>
      <c r="C198" s="89"/>
      <c r="D198" s="95" t="s">
        <v>33</v>
      </c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57"/>
      <c r="AJ198" s="47"/>
      <c r="AK198" s="47"/>
      <c r="AL198" s="47"/>
    </row>
    <row r="199" spans="1:40" ht="15.75" x14ac:dyDescent="0.25">
      <c r="B199" s="89"/>
      <c r="C199" s="89"/>
      <c r="D199" s="95" t="s">
        <v>34</v>
      </c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57"/>
      <c r="AJ199" s="47"/>
      <c r="AK199" s="47"/>
      <c r="AL199" s="47"/>
    </row>
    <row r="200" spans="1:40" ht="15.75" x14ac:dyDescent="0.25">
      <c r="B200" s="89"/>
      <c r="C200" s="89"/>
      <c r="D200" s="92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57"/>
      <c r="AJ200" s="47"/>
      <c r="AK200" s="47"/>
      <c r="AL200" s="47"/>
    </row>
    <row r="201" spans="1:40" ht="15.75" x14ac:dyDescent="0.25">
      <c r="B201" s="89"/>
      <c r="C201" s="89"/>
      <c r="D201" s="95" t="s">
        <v>33</v>
      </c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57"/>
      <c r="AJ201" s="47"/>
      <c r="AK201" s="47"/>
      <c r="AL201" s="47"/>
    </row>
    <row r="202" spans="1:40" ht="15" x14ac:dyDescent="0.25">
      <c r="B202" s="96"/>
      <c r="C202" s="96"/>
      <c r="D202" s="95" t="s">
        <v>34</v>
      </c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55"/>
    </row>
    <row r="204" spans="1:40" ht="13.5" thickBot="1" x14ac:dyDescent="0.25"/>
    <row r="205" spans="1:40" ht="13.5" thickBot="1" x14ac:dyDescent="0.25">
      <c r="A205" s="138"/>
      <c r="B205" s="139"/>
      <c r="C205" s="139"/>
      <c r="D205" s="139"/>
      <c r="E205" s="139" t="s">
        <v>0</v>
      </c>
      <c r="F205" s="139" t="s">
        <v>0</v>
      </c>
      <c r="G205" s="139" t="s">
        <v>0</v>
      </c>
      <c r="H205" s="139" t="s">
        <v>0</v>
      </c>
      <c r="I205" s="139" t="s">
        <v>0</v>
      </c>
      <c r="J205" s="139" t="s">
        <v>0</v>
      </c>
      <c r="K205" s="140" t="s">
        <v>1</v>
      </c>
      <c r="L205" s="140" t="s">
        <v>2</v>
      </c>
      <c r="M205" s="140" t="s">
        <v>4</v>
      </c>
      <c r="N205" s="140" t="s">
        <v>0</v>
      </c>
      <c r="O205" s="140" t="s">
        <v>0</v>
      </c>
      <c r="P205" s="140" t="s">
        <v>0</v>
      </c>
      <c r="Q205" s="140" t="s">
        <v>0</v>
      </c>
      <c r="R205" s="140" t="s">
        <v>0</v>
      </c>
      <c r="S205" s="140" t="s">
        <v>0</v>
      </c>
      <c r="T205" s="140" t="s">
        <v>3</v>
      </c>
      <c r="U205" s="140" t="s">
        <v>4</v>
      </c>
      <c r="V205" s="140" t="s">
        <v>0</v>
      </c>
      <c r="W205" s="140" t="s">
        <v>0</v>
      </c>
      <c r="X205" s="140" t="s">
        <v>0</v>
      </c>
      <c r="Y205" s="139" t="s">
        <v>0</v>
      </c>
      <c r="Z205" s="139" t="s">
        <v>0</v>
      </c>
      <c r="AA205" s="139" t="s">
        <v>0</v>
      </c>
      <c r="AB205" s="139" t="s">
        <v>0</v>
      </c>
      <c r="AC205" s="139" t="s">
        <v>0</v>
      </c>
      <c r="AD205" s="139" t="s">
        <v>0</v>
      </c>
      <c r="AE205" s="139" t="s">
        <v>0</v>
      </c>
      <c r="AF205" s="139" t="s">
        <v>0</v>
      </c>
      <c r="AG205" s="139" t="s">
        <v>0</v>
      </c>
      <c r="AH205" s="139" t="s">
        <v>4</v>
      </c>
      <c r="AK205" s="31" t="s">
        <v>16</v>
      </c>
      <c r="AL205" s="31" t="s">
        <v>17</v>
      </c>
      <c r="AM205" s="32" t="s">
        <v>18</v>
      </c>
    </row>
    <row r="206" spans="1:40" ht="13.5" thickBot="1" x14ac:dyDescent="0.25">
      <c r="A206" s="33"/>
      <c r="B206" s="34" t="s">
        <v>223</v>
      </c>
      <c r="C206" s="141" t="s">
        <v>7</v>
      </c>
      <c r="D206" s="142"/>
      <c r="E206" s="135">
        <f>SUMIFS('Final SR'!J:J,'Final SR'!$E:$E,TOTALss!$B206,'Final SR'!$I:$I,'Final SR'!$I$12)</f>
        <v>0</v>
      </c>
      <c r="F206" s="135">
        <f>SUMIFS('Final SR'!K:K,'Final SR'!$E:$E,TOTALss!$B206,'Final SR'!$I:$I,'Final SR'!$I$12)</f>
        <v>0</v>
      </c>
      <c r="G206" s="135">
        <f>SUMIFS('Final SR'!L:L,'Final SR'!$E:$E,TOTALss!$B206,'Final SR'!$I:$I,'Final SR'!$I$12)</f>
        <v>0</v>
      </c>
      <c r="H206" s="135">
        <f>SUMIFS('Final SR'!M:M,'Final SR'!$E:$E,TOTALss!$B206,'Final SR'!$I:$I,'Final SR'!$I$12)</f>
        <v>0</v>
      </c>
      <c r="I206" s="135">
        <f>SUMIFS('Final SR'!N:N,'Final SR'!$E:$E,TOTALss!$B206,'Final SR'!$I:$I,'Final SR'!$I$12)</f>
        <v>0</v>
      </c>
      <c r="J206" s="135">
        <f>SUMIFS('Final SR'!O:O,'Final SR'!$E:$E,TOTALss!$B206,'Final SR'!$I:$I,'Final SR'!$I$12)</f>
        <v>0</v>
      </c>
      <c r="K206" s="135">
        <f>SUMIFS('Final SR'!P:P,'Final SR'!$E:$E,TOTALss!$B206,'Final SR'!$I:$I,'Final SR'!$I$12)</f>
        <v>0</v>
      </c>
      <c r="L206" s="135">
        <f>SUMIFS('Final SR'!Q:Q,'Final SR'!$E:$E,TOTALss!$B206,'Final SR'!$I:$I,'Final SR'!$I$12)</f>
        <v>0</v>
      </c>
      <c r="M206" s="135">
        <f>SUMIFS('Final SR'!R:R,'Final SR'!$E:$E,TOTALss!$B206,'Final SR'!$I:$I,'Final SR'!$I$12)</f>
        <v>0</v>
      </c>
      <c r="N206" s="135">
        <f>SUMIFS('Final SR'!S:S,'Final SR'!$E:$E,TOTALss!$B206,'Final SR'!$I:$I,'Final SR'!$I$12)</f>
        <v>0</v>
      </c>
      <c r="O206" s="135">
        <f>SUMIFS('Final SR'!T:T,'Final SR'!$E:$E,TOTALss!$B206,'Final SR'!$I:$I,'Final SR'!$I$12)</f>
        <v>0</v>
      </c>
      <c r="P206" s="135">
        <f>SUMIFS('Final SR'!U:U,'Final SR'!$E:$E,TOTALss!$B206,'Final SR'!$I:$I,'Final SR'!$I$12)</f>
        <v>0</v>
      </c>
      <c r="Q206" s="135">
        <f>SUMIFS('Final SR'!V:V,'Final SR'!$E:$E,TOTALss!$B206,'Final SR'!$I:$I,'Final SR'!$I$12)</f>
        <v>0</v>
      </c>
      <c r="R206" s="135">
        <f>SUMIFS('Final SR'!W:W,'Final SR'!$E:$E,TOTALss!$B206,'Final SR'!$I:$I,'Final SR'!$I$12)</f>
        <v>0</v>
      </c>
      <c r="S206" s="135">
        <f>SUMIFS('Final SR'!X:X,'Final SR'!$E:$E,TOTALss!$B206,'Final SR'!$I:$I,'Final SR'!$I$12)</f>
        <v>0</v>
      </c>
      <c r="T206" s="135">
        <f>SUMIFS('Final SR'!Y:Y,'Final SR'!$E:$E,TOTALss!$B206,'Final SR'!$I:$I,'Final SR'!$I$12)</f>
        <v>0</v>
      </c>
      <c r="U206" s="135">
        <f>SUMIFS('Final SR'!Z:Z,'Final SR'!$E:$E,TOTALss!$B206,'Final SR'!$I:$I,'Final SR'!$I$12)</f>
        <v>0</v>
      </c>
      <c r="V206" s="135">
        <f>SUMIFS('Final SR'!AA:AA,'Final SR'!$E:$E,TOTALss!$B206,'Final SR'!$I:$I,'Final SR'!$I$12)</f>
        <v>0</v>
      </c>
      <c r="W206" s="135">
        <f>SUMIFS('Final SR'!AB:AB,'Final SR'!$E:$E,TOTALss!$B206,'Final SR'!$I:$I,'Final SR'!$I$12)</f>
        <v>0</v>
      </c>
      <c r="X206" s="135">
        <f>SUMIFS('Final SR'!AC:AC,'Final SR'!$E:$E,TOTALss!$B206,'Final SR'!$I:$I,'Final SR'!$I$12)</f>
        <v>0</v>
      </c>
      <c r="Y206" s="135">
        <f>SUMIFS('Final SR'!AD:AD,'Final SR'!$E:$E,TOTALss!$B206,'Final SR'!$I:$I,'Final SR'!$I$12)</f>
        <v>0</v>
      </c>
      <c r="Z206" s="135">
        <f>SUMIFS('Final SR'!AE:AE,'Final SR'!$E:$E,TOTALss!$B206,'Final SR'!$I:$I,'Final SR'!$I$12)</f>
        <v>0</v>
      </c>
      <c r="AA206" s="135">
        <f>SUMIFS('Final SR'!AF:AF,'Final SR'!$E:$E,TOTALss!$B206,'Final SR'!$I:$I,'Final SR'!$I$12)</f>
        <v>0</v>
      </c>
      <c r="AB206" s="135">
        <f>SUMIFS('Final SR'!AG:AG,'Final SR'!$E:$E,TOTALss!$B206,'Final SR'!$I:$I,'Final SR'!$I$12)</f>
        <v>0</v>
      </c>
      <c r="AC206" s="135">
        <f>SUMIFS('Final SR'!AH:AH,'Final SR'!$E:$E,TOTALss!$B206,'Final SR'!$I:$I,'Final SR'!$I$12)</f>
        <v>0</v>
      </c>
      <c r="AD206" s="135">
        <f>SUMIFS('Final SR'!AI:AI,'Final SR'!$E:$E,TOTALss!$B206,'Final SR'!$I:$I,'Final SR'!$I$12)</f>
        <v>0</v>
      </c>
      <c r="AE206" s="135">
        <f>SUMIFS('Final SR'!AJ:AJ,'Final SR'!$E:$E,TOTALss!$B206,'Final SR'!$I:$I,'Final SR'!$I$12)</f>
        <v>0</v>
      </c>
      <c r="AF206" s="135">
        <f>SUMIFS('Final SR'!AK:AK,'Final SR'!$E:$E,TOTALss!$B206,'Final SR'!$I:$I,'Final SR'!$I$12)</f>
        <v>0</v>
      </c>
      <c r="AG206" s="135">
        <f>SUMIFS('Final SR'!AL:AL,'Final SR'!$E:$E,TOTALss!$B206,'Final SR'!$I:$I,'Final SR'!$I$12)</f>
        <v>0</v>
      </c>
      <c r="AH206" s="135">
        <f>SUMIFS('Final SR'!AM:AM,'Final SR'!$E:$E,TOTALss!$B206,'Final SR'!$I:$I,'Final SR'!$I$12)</f>
        <v>0</v>
      </c>
      <c r="AI206" s="69"/>
      <c r="AJ206" s="147">
        <f>SUM(M206:AH206)</f>
        <v>0</v>
      </c>
      <c r="AK206" s="35">
        <v>1300</v>
      </c>
      <c r="AL206" s="36">
        <v>1300</v>
      </c>
      <c r="AM206" s="37">
        <v>1600</v>
      </c>
    </row>
    <row r="207" spans="1:40" x14ac:dyDescent="0.2">
      <c r="A207" s="38"/>
      <c r="B207" s="34"/>
      <c r="C207" s="141" t="s">
        <v>19</v>
      </c>
      <c r="D207" s="39"/>
      <c r="E207" s="135">
        <f>SUMIFS('Final SR'!J:J,'Final SR'!$E:$E,TOTALss!$B206,'Final SR'!$I:$I,'Final SR'!$I$13)</f>
        <v>0</v>
      </c>
      <c r="F207" s="135">
        <f t="shared" ref="F207" si="193">+F206+E207</f>
        <v>0</v>
      </c>
      <c r="G207" s="135">
        <f t="shared" ref="G207" si="194">+G206+F207</f>
        <v>0</v>
      </c>
      <c r="H207" s="135">
        <f t="shared" ref="H207" si="195">+H206+G207</f>
        <v>0</v>
      </c>
      <c r="I207" s="135">
        <f t="shared" ref="I207" si="196">+I206+H207</f>
        <v>0</v>
      </c>
      <c r="J207" s="135">
        <f t="shared" ref="J207" si="197">+J206+I207</f>
        <v>0</v>
      </c>
      <c r="K207" s="135">
        <f t="shared" ref="K207" si="198">+K206+J207</f>
        <v>0</v>
      </c>
      <c r="L207" s="135">
        <f t="shared" ref="L207" si="199">+L206+K207</f>
        <v>0</v>
      </c>
      <c r="M207" s="135">
        <f t="shared" ref="M207" si="200">+M206+L207</f>
        <v>0</v>
      </c>
      <c r="N207" s="135">
        <f t="shared" ref="N207" si="201">+N206+M207</f>
        <v>0</v>
      </c>
      <c r="O207" s="135">
        <f t="shared" ref="O207" si="202">+O206+N207</f>
        <v>0</v>
      </c>
      <c r="P207" s="135">
        <f t="shared" ref="P207" si="203">+P206+O207</f>
        <v>0</v>
      </c>
      <c r="Q207" s="135">
        <f t="shared" ref="Q207" si="204">+Q206+P207</f>
        <v>0</v>
      </c>
      <c r="R207" s="135">
        <f t="shared" ref="R207" si="205">+R206+Q207</f>
        <v>0</v>
      </c>
      <c r="S207" s="135">
        <f t="shared" ref="S207" si="206">+S206+R207</f>
        <v>0</v>
      </c>
      <c r="T207" s="135">
        <f t="shared" ref="T207" si="207">+T206+S207</f>
        <v>0</v>
      </c>
      <c r="U207" s="135">
        <f t="shared" ref="U207" si="208">+U206+T207</f>
        <v>0</v>
      </c>
      <c r="V207" s="135">
        <f t="shared" ref="V207" si="209">+V206+U207</f>
        <v>0</v>
      </c>
      <c r="W207" s="135">
        <f t="shared" ref="W207" si="210">+W206+V207</f>
        <v>0</v>
      </c>
      <c r="X207" s="135">
        <f t="shared" ref="X207" si="211">+X206+W207</f>
        <v>0</v>
      </c>
      <c r="Y207" s="135">
        <f t="shared" ref="Y207" si="212">+Y206+X207</f>
        <v>0</v>
      </c>
      <c r="Z207" s="135">
        <f t="shared" ref="Z207" si="213">+Z206+Y207</f>
        <v>0</v>
      </c>
      <c r="AA207" s="135">
        <f t="shared" ref="AA207" si="214">+AA206+Z207</f>
        <v>0</v>
      </c>
      <c r="AB207" s="135">
        <f t="shared" ref="AB207" si="215">+AB206+AA207</f>
        <v>0</v>
      </c>
      <c r="AC207" s="135">
        <f t="shared" ref="AC207" si="216">+AC206+AB207</f>
        <v>0</v>
      </c>
      <c r="AD207" s="135">
        <f t="shared" ref="AD207" si="217">+AD206+AC207</f>
        <v>0</v>
      </c>
      <c r="AE207" s="135">
        <f t="shared" ref="AE207" si="218">+AE206+AD207</f>
        <v>0</v>
      </c>
      <c r="AF207" s="135">
        <f t="shared" ref="AF207" si="219">+AF206+AE207</f>
        <v>0</v>
      </c>
      <c r="AG207" s="135">
        <f t="shared" ref="AG207" si="220">+AG206+AF207</f>
        <v>0</v>
      </c>
      <c r="AH207" s="135">
        <f t="shared" ref="AH207" si="221">+AH206+AG207</f>
        <v>0</v>
      </c>
      <c r="AI207" s="69"/>
    </row>
    <row r="208" spans="1:40" ht="13.5" thickBot="1" x14ac:dyDescent="0.25">
      <c r="A208" s="40"/>
      <c r="B208" s="41" t="s">
        <v>20</v>
      </c>
      <c r="C208" s="42" t="s">
        <v>21</v>
      </c>
      <c r="D208" s="43"/>
      <c r="E208" s="44">
        <v>0</v>
      </c>
      <c r="F208" s="44">
        <v>0</v>
      </c>
      <c r="G208" s="44">
        <v>0</v>
      </c>
      <c r="H208" s="44">
        <v>0</v>
      </c>
      <c r="I208" s="44">
        <v>0</v>
      </c>
      <c r="J208" s="44">
        <v>0</v>
      </c>
      <c r="K208" s="44">
        <v>0</v>
      </c>
      <c r="L208" s="44">
        <v>0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0</v>
      </c>
      <c r="S208" s="44">
        <v>564</v>
      </c>
      <c r="T208" s="44">
        <v>0</v>
      </c>
      <c r="U208" s="44">
        <v>0</v>
      </c>
      <c r="V208" s="44">
        <v>0</v>
      </c>
      <c r="W208" s="44">
        <v>1012</v>
      </c>
      <c r="X208" s="44">
        <v>996</v>
      </c>
      <c r="Y208" s="44">
        <v>920</v>
      </c>
      <c r="Z208" s="44">
        <v>920</v>
      </c>
      <c r="AA208" s="44">
        <v>920</v>
      </c>
      <c r="AB208" s="44">
        <v>916</v>
      </c>
      <c r="AC208" s="44">
        <v>768</v>
      </c>
      <c r="AD208" s="44">
        <v>748</v>
      </c>
      <c r="AE208" s="44">
        <v>772</v>
      </c>
      <c r="AF208" s="44">
        <v>752</v>
      </c>
      <c r="AG208" s="44">
        <v>768</v>
      </c>
      <c r="AH208" s="44">
        <v>748</v>
      </c>
      <c r="AI208" s="69"/>
      <c r="AJ208" s="147">
        <f>SUM(M208:AH208)</f>
        <v>10804</v>
      </c>
      <c r="AK208" s="68" t="b">
        <f>AJ206=AJ208</f>
        <v>0</v>
      </c>
      <c r="AL208" s="45">
        <v>7557</v>
      </c>
      <c r="AM208" s="46">
        <v>9204</v>
      </c>
      <c r="AN208" s="47"/>
    </row>
    <row r="209" spans="1:40" ht="13.5" thickBot="1" x14ac:dyDescent="0.25">
      <c r="A209" s="48"/>
      <c r="B209" s="41" t="s">
        <v>20</v>
      </c>
      <c r="C209" s="42" t="s">
        <v>22</v>
      </c>
      <c r="D209" s="43"/>
      <c r="E209" s="44">
        <v>0</v>
      </c>
      <c r="F209" s="44">
        <v>0</v>
      </c>
      <c r="G209" s="44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564</v>
      </c>
      <c r="T209" s="44">
        <v>564</v>
      </c>
      <c r="U209" s="44">
        <v>564</v>
      </c>
      <c r="V209" s="44">
        <v>564</v>
      </c>
      <c r="W209" s="44">
        <v>1576</v>
      </c>
      <c r="X209" s="44">
        <v>2572</v>
      </c>
      <c r="Y209" s="44">
        <v>3492</v>
      </c>
      <c r="Z209" s="44">
        <v>4412</v>
      </c>
      <c r="AA209" s="44">
        <v>5332</v>
      </c>
      <c r="AB209" s="44">
        <v>6248</v>
      </c>
      <c r="AC209" s="44">
        <v>7016</v>
      </c>
      <c r="AD209" s="44">
        <v>7764</v>
      </c>
      <c r="AE209" s="44">
        <v>8536</v>
      </c>
      <c r="AF209" s="44">
        <v>9288</v>
      </c>
      <c r="AG209" s="44">
        <v>10056</v>
      </c>
      <c r="AH209" s="44">
        <v>10804</v>
      </c>
      <c r="AI209" s="69"/>
      <c r="AK209" s="68"/>
      <c r="AL209" s="45"/>
      <c r="AM209" s="46"/>
      <c r="AN209" s="47"/>
    </row>
    <row r="210" spans="1:40" x14ac:dyDescent="0.2">
      <c r="A210" s="48"/>
      <c r="B210" s="48"/>
      <c r="C210" s="49"/>
      <c r="D210" s="50"/>
      <c r="E210" s="49"/>
      <c r="F210" s="49"/>
      <c r="G210" s="49"/>
      <c r="H210" s="49"/>
      <c r="I210" s="49"/>
      <c r="J210" s="51" t="s">
        <v>23</v>
      </c>
      <c r="K210" s="52"/>
      <c r="L210" s="51">
        <f>+L206-L208</f>
        <v>0</v>
      </c>
      <c r="M210" s="51">
        <f t="shared" ref="M210:N210" si="222">+M206-M208</f>
        <v>0</v>
      </c>
      <c r="N210" s="51">
        <f t="shared" si="222"/>
        <v>0</v>
      </c>
      <c r="O210" s="51">
        <f>+O206-O208</f>
        <v>0</v>
      </c>
      <c r="P210" s="51">
        <f t="shared" ref="P210:AH210" si="223">+P206-P208</f>
        <v>0</v>
      </c>
      <c r="Q210" s="51">
        <f t="shared" si="223"/>
        <v>0</v>
      </c>
      <c r="R210" s="51">
        <f t="shared" si="223"/>
        <v>0</v>
      </c>
      <c r="S210" s="51">
        <f t="shared" si="223"/>
        <v>-564</v>
      </c>
      <c r="T210" s="51">
        <f t="shared" si="223"/>
        <v>0</v>
      </c>
      <c r="U210" s="51">
        <f t="shared" si="223"/>
        <v>0</v>
      </c>
      <c r="V210" s="51">
        <f t="shared" si="223"/>
        <v>0</v>
      </c>
      <c r="W210" s="51">
        <f t="shared" si="223"/>
        <v>-1012</v>
      </c>
      <c r="X210" s="51">
        <f t="shared" si="223"/>
        <v>-996</v>
      </c>
      <c r="Y210" s="51">
        <f t="shared" si="223"/>
        <v>-920</v>
      </c>
      <c r="Z210" s="51">
        <f t="shared" si="223"/>
        <v>-920</v>
      </c>
      <c r="AA210" s="51">
        <f t="shared" si="223"/>
        <v>-920</v>
      </c>
      <c r="AB210" s="51">
        <f t="shared" si="223"/>
        <v>-916</v>
      </c>
      <c r="AC210" s="51">
        <f t="shared" si="223"/>
        <v>-768</v>
      </c>
      <c r="AD210" s="51">
        <f t="shared" si="223"/>
        <v>-748</v>
      </c>
      <c r="AE210" s="51">
        <f t="shared" si="223"/>
        <v>-772</v>
      </c>
      <c r="AF210" s="51">
        <f t="shared" si="223"/>
        <v>-752</v>
      </c>
      <c r="AG210" s="51">
        <f t="shared" si="223"/>
        <v>-768</v>
      </c>
      <c r="AH210" s="51">
        <f t="shared" si="223"/>
        <v>-748</v>
      </c>
      <c r="AI210" s="70"/>
      <c r="AK210" s="45"/>
      <c r="AL210" s="45"/>
      <c r="AM210" s="46"/>
      <c r="AN210" s="47"/>
    </row>
    <row r="211" spans="1:40" x14ac:dyDescent="0.2">
      <c r="A211" s="48"/>
      <c r="B211" s="48"/>
      <c r="C211" s="49"/>
      <c r="D211" s="50"/>
      <c r="E211" s="49"/>
      <c r="F211" s="49"/>
      <c r="G211" s="49"/>
      <c r="H211" s="49"/>
      <c r="I211" s="49"/>
      <c r="J211" s="51" t="s">
        <v>24</v>
      </c>
      <c r="K211" s="52"/>
      <c r="L211" s="51">
        <f>+L210</f>
        <v>0</v>
      </c>
      <c r="M211" s="51">
        <f>+M210+L211</f>
        <v>0</v>
      </c>
      <c r="N211" s="51">
        <f>+N210+M211</f>
        <v>0</v>
      </c>
      <c r="O211" s="51">
        <f t="shared" ref="O211" si="224">+O210+N211</f>
        <v>0</v>
      </c>
      <c r="P211" s="51">
        <f t="shared" ref="P211" si="225">+P210+O211</f>
        <v>0</v>
      </c>
      <c r="Q211" s="51">
        <f t="shared" ref="Q211" si="226">+Q210+P211</f>
        <v>0</v>
      </c>
      <c r="R211" s="51">
        <f t="shared" ref="R211" si="227">+R210+Q211</f>
        <v>0</v>
      </c>
      <c r="S211" s="51">
        <f t="shared" ref="S211" si="228">+S210+R211</f>
        <v>-564</v>
      </c>
      <c r="T211" s="51">
        <f t="shared" ref="T211" si="229">+T210+S211</f>
        <v>-564</v>
      </c>
      <c r="U211" s="51">
        <f t="shared" ref="U211" si="230">+U210+T211</f>
        <v>-564</v>
      </c>
      <c r="V211" s="51">
        <f t="shared" ref="V211" si="231">+V210+U211</f>
        <v>-564</v>
      </c>
      <c r="W211" s="51">
        <f t="shared" ref="W211" si="232">+W210+V211</f>
        <v>-1576</v>
      </c>
      <c r="X211" s="51">
        <f t="shared" ref="X211" si="233">+X210+W211</f>
        <v>-2572</v>
      </c>
      <c r="Y211" s="51">
        <f t="shared" ref="Y211" si="234">+Y210+X211</f>
        <v>-3492</v>
      </c>
      <c r="Z211" s="51">
        <f t="shared" ref="Z211" si="235">+Z210+Y211</f>
        <v>-4412</v>
      </c>
      <c r="AA211" s="51">
        <f t="shared" ref="AA211" si="236">+AA210+Z211</f>
        <v>-5332</v>
      </c>
      <c r="AB211" s="51">
        <f t="shared" ref="AB211" si="237">+AB210+AA211</f>
        <v>-6248</v>
      </c>
      <c r="AC211" s="51">
        <f t="shared" ref="AC211" si="238">+AC210+AB211</f>
        <v>-7016</v>
      </c>
      <c r="AD211" s="51">
        <f t="shared" ref="AD211" si="239">+AD210+AC211</f>
        <v>-7764</v>
      </c>
      <c r="AE211" s="51">
        <f t="shared" ref="AE211" si="240">+AE210+AD211</f>
        <v>-8536</v>
      </c>
      <c r="AF211" s="51">
        <f t="shared" ref="AF211" si="241">+AF210+AE211</f>
        <v>-9288</v>
      </c>
      <c r="AG211" s="51">
        <f t="shared" ref="AG211" si="242">+AG210+AF211</f>
        <v>-10056</v>
      </c>
      <c r="AH211" s="51">
        <f t="shared" ref="AH211" si="243">+AH210+AG211</f>
        <v>-10804</v>
      </c>
      <c r="AI211" s="70"/>
      <c r="AK211" s="85"/>
      <c r="AL211" s="85"/>
      <c r="AM211" s="46"/>
      <c r="AN211" s="47"/>
    </row>
    <row r="212" spans="1:40" x14ac:dyDescent="0.2">
      <c r="A212" s="48"/>
      <c r="B212" s="48"/>
      <c r="C212" s="49"/>
      <c r="D212" s="50"/>
      <c r="E212" s="49"/>
      <c r="F212" s="49"/>
      <c r="G212" s="49"/>
      <c r="H212" s="49"/>
      <c r="I212" s="49"/>
      <c r="J212" s="51" t="s">
        <v>25</v>
      </c>
      <c r="K212" s="51">
        <v>665</v>
      </c>
      <c r="L212" s="53">
        <f>+L211/$K$12</f>
        <v>0</v>
      </c>
      <c r="M212" s="53">
        <f t="shared" ref="M212:O212" si="244">+M211/$K$12</f>
        <v>0</v>
      </c>
      <c r="N212" s="53">
        <f t="shared" si="244"/>
        <v>0</v>
      </c>
      <c r="O212" s="53">
        <f t="shared" si="244"/>
        <v>0</v>
      </c>
      <c r="P212" s="53">
        <f>+P211/$K$12</f>
        <v>0</v>
      </c>
      <c r="Q212" s="53">
        <f t="shared" ref="Q212:AH212" si="245">+Q211/$K$12</f>
        <v>0</v>
      </c>
      <c r="R212" s="53">
        <f t="shared" si="245"/>
        <v>0</v>
      </c>
      <c r="S212" s="53">
        <f t="shared" si="245"/>
        <v>-0.84812030075187972</v>
      </c>
      <c r="T212" s="53">
        <f t="shared" si="245"/>
        <v>-0.84812030075187972</v>
      </c>
      <c r="U212" s="53">
        <f t="shared" si="245"/>
        <v>-0.84812030075187972</v>
      </c>
      <c r="V212" s="53">
        <f t="shared" si="245"/>
        <v>-0.84812030075187972</v>
      </c>
      <c r="W212" s="53">
        <f t="shared" si="245"/>
        <v>-2.3699248120300753</v>
      </c>
      <c r="X212" s="53">
        <f t="shared" si="245"/>
        <v>-3.8676691729323309</v>
      </c>
      <c r="Y212" s="53">
        <f t="shared" si="245"/>
        <v>-5.2511278195488718</v>
      </c>
      <c r="Z212" s="53">
        <f t="shared" si="245"/>
        <v>-6.6345864661654135</v>
      </c>
      <c r="AA212" s="53">
        <f t="shared" si="245"/>
        <v>-8.0180451127819552</v>
      </c>
      <c r="AB212" s="53">
        <f t="shared" si="245"/>
        <v>-9.3954887218045116</v>
      </c>
      <c r="AC212" s="53">
        <f t="shared" si="245"/>
        <v>-10.550375939849625</v>
      </c>
      <c r="AD212" s="53">
        <f t="shared" si="245"/>
        <v>-11.675187969924812</v>
      </c>
      <c r="AE212" s="53">
        <f t="shared" si="245"/>
        <v>-12.836090225563909</v>
      </c>
      <c r="AF212" s="53">
        <f t="shared" si="245"/>
        <v>-13.966917293233083</v>
      </c>
      <c r="AG212" s="53">
        <f t="shared" si="245"/>
        <v>-15.121804511278196</v>
      </c>
      <c r="AH212" s="53">
        <f t="shared" si="245"/>
        <v>-16.246616541353383</v>
      </c>
      <c r="AI212" s="71"/>
      <c r="AK212" s="45"/>
      <c r="AL212" s="45"/>
      <c r="AM212" s="46"/>
      <c r="AN212" s="47"/>
    </row>
    <row r="213" spans="1:40" x14ac:dyDescent="0.2">
      <c r="A213" s="48"/>
      <c r="B213" s="48"/>
      <c r="C213" s="49"/>
      <c r="D213" s="50"/>
      <c r="E213" s="49"/>
      <c r="F213" s="49"/>
      <c r="G213" s="49"/>
      <c r="H213" s="49"/>
      <c r="I213" s="49"/>
      <c r="J213" s="51" t="s">
        <v>26</v>
      </c>
      <c r="K213" s="51"/>
      <c r="L213" s="82">
        <f>L211*76</f>
        <v>0</v>
      </c>
      <c r="M213" s="82">
        <f t="shared" ref="M213:AH213" si="246">M211*76</f>
        <v>0</v>
      </c>
      <c r="N213" s="82">
        <f t="shared" si="246"/>
        <v>0</v>
      </c>
      <c r="O213" s="82">
        <f t="shared" si="246"/>
        <v>0</v>
      </c>
      <c r="P213" s="82">
        <f t="shared" si="246"/>
        <v>0</v>
      </c>
      <c r="Q213" s="82">
        <f t="shared" si="246"/>
        <v>0</v>
      </c>
      <c r="R213" s="82">
        <f t="shared" si="246"/>
        <v>0</v>
      </c>
      <c r="S213" s="82">
        <f t="shared" si="246"/>
        <v>-42864</v>
      </c>
      <c r="T213" s="82">
        <f t="shared" si="246"/>
        <v>-42864</v>
      </c>
      <c r="U213" s="82">
        <f t="shared" si="246"/>
        <v>-42864</v>
      </c>
      <c r="V213" s="82">
        <f t="shared" si="246"/>
        <v>-42864</v>
      </c>
      <c r="W213" s="82">
        <f t="shared" si="246"/>
        <v>-119776</v>
      </c>
      <c r="X213" s="82">
        <f t="shared" si="246"/>
        <v>-195472</v>
      </c>
      <c r="Y213" s="82">
        <f t="shared" si="246"/>
        <v>-265392</v>
      </c>
      <c r="Z213" s="82">
        <f t="shared" si="246"/>
        <v>-335312</v>
      </c>
      <c r="AA213" s="82">
        <f t="shared" si="246"/>
        <v>-405232</v>
      </c>
      <c r="AB213" s="82">
        <f t="shared" si="246"/>
        <v>-474848</v>
      </c>
      <c r="AC213" s="82">
        <f t="shared" si="246"/>
        <v>-533216</v>
      </c>
      <c r="AD213" s="82">
        <f t="shared" si="246"/>
        <v>-590064</v>
      </c>
      <c r="AE213" s="82">
        <f t="shared" si="246"/>
        <v>-648736</v>
      </c>
      <c r="AF213" s="82">
        <f t="shared" si="246"/>
        <v>-705888</v>
      </c>
      <c r="AG213" s="82">
        <f t="shared" si="246"/>
        <v>-764256</v>
      </c>
      <c r="AH213" s="82">
        <f t="shared" si="246"/>
        <v>-821104</v>
      </c>
      <c r="AI213" s="71"/>
      <c r="AK213" s="45"/>
      <c r="AL213" s="45"/>
      <c r="AM213" s="46"/>
      <c r="AN213" s="47"/>
    </row>
    <row r="214" spans="1:40" x14ac:dyDescent="0.2">
      <c r="B214" s="54"/>
      <c r="C214" s="72"/>
      <c r="D214" s="73" t="s">
        <v>27</v>
      </c>
      <c r="E214" s="74"/>
      <c r="F214" s="75"/>
      <c r="G214" s="75"/>
      <c r="H214" s="75"/>
      <c r="I214" s="75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J214" s="84"/>
    </row>
    <row r="215" spans="1:40" x14ac:dyDescent="0.2">
      <c r="A215" s="48"/>
      <c r="B215" s="76"/>
      <c r="C215" s="72"/>
      <c r="D215" s="73" t="s">
        <v>28</v>
      </c>
      <c r="E215" s="72"/>
      <c r="F215" s="72"/>
      <c r="G215" s="72"/>
      <c r="H215" s="72"/>
      <c r="I215" s="72"/>
      <c r="J215" s="79">
        <v>650</v>
      </c>
      <c r="K215" s="79">
        <v>650</v>
      </c>
      <c r="L215" s="79">
        <v>650</v>
      </c>
      <c r="M215" s="79">
        <v>650</v>
      </c>
      <c r="N215" s="79">
        <v>650</v>
      </c>
      <c r="O215" s="79">
        <v>650</v>
      </c>
      <c r="P215" s="79">
        <v>650</v>
      </c>
      <c r="Q215" s="79">
        <v>650</v>
      </c>
      <c r="R215" s="79">
        <v>650</v>
      </c>
      <c r="S215" s="79">
        <v>650</v>
      </c>
      <c r="T215" s="79">
        <v>650</v>
      </c>
      <c r="U215" s="79">
        <v>650</v>
      </c>
      <c r="V215" s="79">
        <v>650</v>
      </c>
      <c r="W215" s="79">
        <v>650</v>
      </c>
      <c r="X215" s="79">
        <v>650</v>
      </c>
      <c r="Y215" s="79">
        <v>650</v>
      </c>
      <c r="Z215" s="79">
        <v>650</v>
      </c>
      <c r="AA215" s="79">
        <v>650</v>
      </c>
      <c r="AB215" s="79">
        <v>650</v>
      </c>
      <c r="AC215" s="79">
        <v>650</v>
      </c>
      <c r="AD215" s="79">
        <v>650</v>
      </c>
      <c r="AE215" s="79">
        <v>650</v>
      </c>
      <c r="AF215" s="79">
        <v>650</v>
      </c>
      <c r="AG215" s="79">
        <v>650</v>
      </c>
      <c r="AH215" s="79">
        <v>650</v>
      </c>
      <c r="AK215" s="45"/>
      <c r="AL215" s="45"/>
      <c r="AM215" s="46"/>
      <c r="AN215" s="47"/>
    </row>
    <row r="216" spans="1:40" x14ac:dyDescent="0.2">
      <c r="A216" s="48"/>
      <c r="B216" s="76"/>
      <c r="C216" s="72"/>
      <c r="D216" s="73" t="s">
        <v>27</v>
      </c>
      <c r="E216" s="72"/>
      <c r="F216" s="72"/>
      <c r="G216" s="72"/>
      <c r="H216" s="72"/>
      <c r="I216" s="72"/>
      <c r="J216" s="79">
        <f>IFERROR(HLOOKUP(J$3,[3]EMI!$D$5:$AA$19,13,FALSE),0)</f>
        <v>0</v>
      </c>
      <c r="K216" s="79">
        <f>IFERROR(HLOOKUP(K$3,[3]EMI!$D$5:$AA$19,13,FALSE),0)</f>
        <v>0</v>
      </c>
      <c r="L216" s="79">
        <f>IFERROR(HLOOKUP(L$3,[3]EMI!$D$5:$AA$19,13,FALSE),0)</f>
        <v>0</v>
      </c>
      <c r="M216" s="79">
        <f>IFERROR(HLOOKUP(M$3,[3]EMI!$D$5:$AA$19,13,FALSE),0)</f>
        <v>0</v>
      </c>
      <c r="N216" s="79">
        <f>IFERROR(HLOOKUP(N$3,[3]EMI!$D$5:$AA$19,13,FALSE),0)</f>
        <v>0</v>
      </c>
      <c r="O216" s="79">
        <f>IFERROR(HLOOKUP(O$3,[3]EMI!$D$5:$AA$19,13,FALSE),0)</f>
        <v>0</v>
      </c>
      <c r="P216" s="79">
        <f>IFERROR(HLOOKUP(P$3,[3]EMI!$D$5:$AA$19,13,FALSE),0)</f>
        <v>0</v>
      </c>
      <c r="Q216" s="79">
        <f>IFERROR(HLOOKUP(Q$3,[3]EMI!$D$5:$AA$19,13,FALSE),0)</f>
        <v>0</v>
      </c>
      <c r="R216" s="79">
        <f>IFERROR(HLOOKUP(R$3,[3]EMI!$D$5:$AA$19,13,FALSE),0)</f>
        <v>0</v>
      </c>
      <c r="S216" s="79">
        <f>IFERROR(HLOOKUP(S$3,[3]EMI!$D$5:$AA$19,13,FALSE),0)</f>
        <v>0</v>
      </c>
      <c r="T216" s="79">
        <f>IFERROR(HLOOKUP(T$3,[3]EMI!$D$5:$AA$19,13,FALSE),0)</f>
        <v>0</v>
      </c>
      <c r="U216" s="79">
        <f>IFERROR(HLOOKUP(U$3,[3]EMI!$D$5:$AA$19,13,FALSE),0)</f>
        <v>0</v>
      </c>
      <c r="V216" s="79">
        <f>IFERROR(HLOOKUP(V$3,[3]EMI!$D$5:$AA$19,13,FALSE),0)</f>
        <v>0</v>
      </c>
      <c r="W216" s="79">
        <f>IFERROR(HLOOKUP(W$3,[3]EMI!$D$5:$AA$19,13,FALSE),0)</f>
        <v>0</v>
      </c>
      <c r="X216" s="79">
        <f>IFERROR(HLOOKUP(X$3,[3]EMI!$D$5:$AA$19,13,FALSE),0)</f>
        <v>0</v>
      </c>
      <c r="Y216" s="79">
        <f>IFERROR(HLOOKUP(Y$3,[3]EMI!$D$5:$AA$19,13,FALSE),0)</f>
        <v>0</v>
      </c>
      <c r="Z216" s="79">
        <f>IFERROR(HLOOKUP(Z$3,[3]EMI!$D$5:$AA$19,13,FALSE),0)</f>
        <v>0</v>
      </c>
      <c r="AA216" s="79">
        <f>IFERROR(HLOOKUP(AA$3,[3]EMI!$D$5:$AA$19,13,FALSE),0)</f>
        <v>0</v>
      </c>
      <c r="AB216" s="79">
        <f>IFERROR(HLOOKUP(AB$3,[3]EMI!$D$5:$AA$19,13,FALSE),0)</f>
        <v>0</v>
      </c>
      <c r="AC216" s="79">
        <f>IFERROR(HLOOKUP(AC$3,[3]EMI!$D$5:$AA$19,13,FALSE),0)</f>
        <v>0</v>
      </c>
      <c r="AD216" s="79">
        <f>IFERROR(HLOOKUP(AD$3,[3]EMI!$D$5:$AA$19,13,FALSE),0)</f>
        <v>0</v>
      </c>
      <c r="AE216" s="79">
        <f>IFERROR(HLOOKUP(AE$3,[3]EMI!$D$5:$AA$19,13,FALSE),0)</f>
        <v>0</v>
      </c>
      <c r="AF216" s="79">
        <f>IFERROR(HLOOKUP(AF$3,[3]EMI!$D$5:$AA$19,13,FALSE),0)</f>
        <v>0</v>
      </c>
      <c r="AG216" s="79">
        <f>IFERROR(HLOOKUP(AG$3,[3]EMI!$D$5:$AA$19,13,FALSE),0)</f>
        <v>0</v>
      </c>
      <c r="AH216" s="79">
        <f>IFERROR(HLOOKUP(AH$3,[3]EMI!$D$5:$AA$19,13,FALSE),0)</f>
        <v>0</v>
      </c>
      <c r="AK216" s="45"/>
      <c r="AL216" s="45"/>
      <c r="AM216" s="46"/>
      <c r="AN216" s="47"/>
    </row>
    <row r="217" spans="1:40" x14ac:dyDescent="0.2">
      <c r="A217" s="48"/>
      <c r="B217" s="76"/>
      <c r="C217" s="72"/>
      <c r="D217" s="73" t="s">
        <v>28</v>
      </c>
      <c r="E217" s="72"/>
      <c r="F217" s="72"/>
      <c r="G217" s="72"/>
      <c r="H217" s="72"/>
      <c r="I217" s="72"/>
      <c r="J217" s="79">
        <f>IFERROR(HLOOKUP(J$3,[3]EMI!$D$5:$AA$19,14,FALSE),0)</f>
        <v>0</v>
      </c>
      <c r="K217" s="79">
        <f>IFERROR(HLOOKUP(K$3,[3]EMI!$D$5:$AA$19,14,FALSE),0)</f>
        <v>0</v>
      </c>
      <c r="L217" s="79">
        <f>IFERROR(HLOOKUP(L$3,[3]EMI!$D$5:$AA$19,14,FALSE),0)</f>
        <v>0</v>
      </c>
      <c r="M217" s="79">
        <f>IFERROR(HLOOKUP(M$3,[3]EMI!$D$5:$AA$19,14,FALSE),0)</f>
        <v>0</v>
      </c>
      <c r="N217" s="79">
        <f>IFERROR(HLOOKUP(N$3,[3]EMI!$D$5:$AA$19,14,FALSE),0)</f>
        <v>0</v>
      </c>
      <c r="O217" s="79">
        <f>IFERROR(HLOOKUP(O$3,[3]EMI!$D$5:$AA$19,14,FALSE),0)</f>
        <v>0</v>
      </c>
      <c r="P217" s="79">
        <f>IFERROR(HLOOKUP(P$3,[3]EMI!$D$5:$AA$19,14,FALSE),0)</f>
        <v>0</v>
      </c>
      <c r="Q217" s="79">
        <f>IFERROR(HLOOKUP(Q$3,[3]EMI!$D$5:$AA$19,14,FALSE),0)</f>
        <v>0</v>
      </c>
      <c r="R217" s="79">
        <f>IFERROR(HLOOKUP(R$3,[3]EMI!$D$5:$AA$19,14,FALSE),0)</f>
        <v>0</v>
      </c>
      <c r="S217" s="79">
        <f>IFERROR(HLOOKUP(S$3,[3]EMI!$D$5:$AA$19,14,FALSE),0)</f>
        <v>0</v>
      </c>
      <c r="T217" s="79">
        <f>IFERROR(HLOOKUP(T$3,[3]EMI!$D$5:$AA$19,14,FALSE),0)</f>
        <v>0</v>
      </c>
      <c r="U217" s="79">
        <f>IFERROR(HLOOKUP(U$3,[3]EMI!$D$5:$AA$19,14,FALSE),0)</f>
        <v>0</v>
      </c>
      <c r="V217" s="79">
        <f>IFERROR(HLOOKUP(V$3,[3]EMI!$D$5:$AA$19,14,FALSE),0)</f>
        <v>0</v>
      </c>
      <c r="W217" s="79">
        <f>IFERROR(HLOOKUP(W$3,[3]EMI!$D$5:$AA$19,14,FALSE),0)</f>
        <v>0</v>
      </c>
      <c r="X217" s="79">
        <f>IFERROR(HLOOKUP(X$3,[3]EMI!$D$5:$AA$19,14,FALSE),0)</f>
        <v>0</v>
      </c>
      <c r="Y217" s="79">
        <f>IFERROR(HLOOKUP(Y$3,[3]EMI!$D$5:$AA$19,14,FALSE),0)</f>
        <v>0</v>
      </c>
      <c r="Z217" s="79">
        <f>IFERROR(HLOOKUP(Z$3,[3]EMI!$D$5:$AA$19,14,FALSE),0)</f>
        <v>0</v>
      </c>
      <c r="AA217" s="79">
        <f>IFERROR(HLOOKUP(AA$3,[3]EMI!$D$5:$AA$19,14,FALSE),0)</f>
        <v>0</v>
      </c>
      <c r="AB217" s="79">
        <f>IFERROR(HLOOKUP(AB$3,[3]EMI!$D$5:$AA$19,14,FALSE),0)</f>
        <v>0</v>
      </c>
      <c r="AC217" s="79">
        <f>IFERROR(HLOOKUP(AC$3,[3]EMI!$D$5:$AA$19,14,FALSE),0)</f>
        <v>0</v>
      </c>
      <c r="AD217" s="79">
        <f>IFERROR(HLOOKUP(AD$3,[3]EMI!$D$5:$AA$19,14,FALSE),0)</f>
        <v>0</v>
      </c>
      <c r="AE217" s="79">
        <f>IFERROR(HLOOKUP(AE$3,[3]EMI!$D$5:$AA$19,14,FALSE),0)</f>
        <v>0</v>
      </c>
      <c r="AF217" s="79">
        <f>IFERROR(HLOOKUP(AF$3,[3]EMI!$D$5:$AA$19,14,FALSE),0)</f>
        <v>0</v>
      </c>
      <c r="AG217" s="79">
        <f>IFERROR(HLOOKUP(AG$3,[3]EMI!$D$5:$AA$19,14,FALSE),0)</f>
        <v>0</v>
      </c>
      <c r="AH217" s="79">
        <f>IFERROR(HLOOKUP(AH$3,[3]EMI!$D$5:$AA$19,14,FALSE),0)</f>
        <v>0</v>
      </c>
      <c r="AK217" s="45"/>
      <c r="AL217" s="45"/>
      <c r="AM217" s="46"/>
      <c r="AN217" s="47"/>
    </row>
    <row r="218" spans="1:40" x14ac:dyDescent="0.2">
      <c r="A218" s="48"/>
      <c r="B218" s="76"/>
      <c r="C218" s="72"/>
      <c r="D218" s="73"/>
      <c r="E218" s="72"/>
      <c r="F218" s="72"/>
      <c r="G218" s="72"/>
      <c r="H218" s="72"/>
      <c r="I218" s="72"/>
      <c r="J218" s="80">
        <f t="shared" ref="J218:K218" si="247">J215+J217</f>
        <v>650</v>
      </c>
      <c r="K218" s="80">
        <f t="shared" si="247"/>
        <v>650</v>
      </c>
      <c r="L218" s="80">
        <f>L215+L217</f>
        <v>650</v>
      </c>
      <c r="M218" s="80">
        <f t="shared" ref="M218:AE218" si="248">M215+M217</f>
        <v>650</v>
      </c>
      <c r="N218" s="80">
        <f t="shared" si="248"/>
        <v>650</v>
      </c>
      <c r="O218" s="80">
        <f t="shared" si="248"/>
        <v>650</v>
      </c>
      <c r="P218" s="80">
        <f t="shared" si="248"/>
        <v>650</v>
      </c>
      <c r="Q218" s="80">
        <f t="shared" si="248"/>
        <v>650</v>
      </c>
      <c r="R218" s="80">
        <f t="shared" si="248"/>
        <v>650</v>
      </c>
      <c r="S218" s="80">
        <f t="shared" si="248"/>
        <v>650</v>
      </c>
      <c r="T218" s="80">
        <f t="shared" si="248"/>
        <v>650</v>
      </c>
      <c r="U218" s="80">
        <f t="shared" si="248"/>
        <v>650</v>
      </c>
      <c r="V218" s="80">
        <f t="shared" si="248"/>
        <v>650</v>
      </c>
      <c r="W218" s="80">
        <f t="shared" si="248"/>
        <v>650</v>
      </c>
      <c r="X218" s="80">
        <f t="shared" si="248"/>
        <v>650</v>
      </c>
      <c r="Y218" s="80">
        <f t="shared" si="248"/>
        <v>650</v>
      </c>
      <c r="Z218" s="80">
        <f t="shared" si="248"/>
        <v>650</v>
      </c>
      <c r="AA218" s="80">
        <f t="shared" si="248"/>
        <v>650</v>
      </c>
      <c r="AB218" s="80">
        <f t="shared" si="248"/>
        <v>650</v>
      </c>
      <c r="AC218" s="80">
        <f t="shared" si="248"/>
        <v>650</v>
      </c>
      <c r="AD218" s="80">
        <f t="shared" si="248"/>
        <v>650</v>
      </c>
      <c r="AE218" s="80">
        <f t="shared" si="248"/>
        <v>650</v>
      </c>
      <c r="AF218" s="80">
        <f>AF215+AF217</f>
        <v>650</v>
      </c>
      <c r="AG218" s="80">
        <f t="shared" ref="AG218:AH218" si="249">AG215+AG217</f>
        <v>650</v>
      </c>
      <c r="AH218" s="80">
        <f t="shared" si="249"/>
        <v>650</v>
      </c>
      <c r="AK218" s="45"/>
      <c r="AL218" s="45"/>
      <c r="AM218" s="46"/>
      <c r="AN218" s="47"/>
    </row>
    <row r="219" spans="1:40" ht="15" x14ac:dyDescent="0.2">
      <c r="B219" s="76"/>
      <c r="C219" s="72"/>
      <c r="D219" s="73" t="s">
        <v>29</v>
      </c>
      <c r="E219" s="72"/>
      <c r="F219" s="72"/>
      <c r="G219" s="72"/>
      <c r="H219" s="72"/>
      <c r="I219" s="72"/>
      <c r="J219" s="79"/>
      <c r="K219" s="79"/>
      <c r="L219" s="79">
        <f>L206-L218</f>
        <v>-650</v>
      </c>
      <c r="M219" s="79">
        <f t="shared" ref="M219:AE219" si="250">M206-M218</f>
        <v>-650</v>
      </c>
      <c r="N219" s="79">
        <f t="shared" si="250"/>
        <v>-650</v>
      </c>
      <c r="O219" s="79">
        <f t="shared" si="250"/>
        <v>-650</v>
      </c>
      <c r="P219" s="79">
        <f t="shared" si="250"/>
        <v>-650</v>
      </c>
      <c r="Q219" s="79">
        <f t="shared" si="250"/>
        <v>-650</v>
      </c>
      <c r="R219" s="79">
        <f t="shared" si="250"/>
        <v>-650</v>
      </c>
      <c r="S219" s="79">
        <f t="shared" si="250"/>
        <v>-650</v>
      </c>
      <c r="T219" s="79">
        <f t="shared" si="250"/>
        <v>-650</v>
      </c>
      <c r="U219" s="79">
        <f t="shared" si="250"/>
        <v>-650</v>
      </c>
      <c r="V219" s="79">
        <f t="shared" si="250"/>
        <v>-650</v>
      </c>
      <c r="W219" s="79">
        <f t="shared" si="250"/>
        <v>-650</v>
      </c>
      <c r="X219" s="79">
        <f t="shared" si="250"/>
        <v>-650</v>
      </c>
      <c r="Y219" s="79">
        <f t="shared" si="250"/>
        <v>-650</v>
      </c>
      <c r="Z219" s="79">
        <f t="shared" si="250"/>
        <v>-650</v>
      </c>
      <c r="AA219" s="79">
        <f t="shared" si="250"/>
        <v>-650</v>
      </c>
      <c r="AB219" s="79">
        <f t="shared" si="250"/>
        <v>-650</v>
      </c>
      <c r="AC219" s="79">
        <f t="shared" si="250"/>
        <v>-650</v>
      </c>
      <c r="AD219" s="79">
        <f t="shared" si="250"/>
        <v>-650</v>
      </c>
      <c r="AE219" s="79">
        <f t="shared" si="250"/>
        <v>-650</v>
      </c>
      <c r="AF219" s="79">
        <f>AF206-AF218</f>
        <v>-650</v>
      </c>
      <c r="AG219" s="79">
        <f t="shared" ref="AG219:AH219" si="251">AG206-AG218</f>
        <v>-650</v>
      </c>
      <c r="AH219" s="79">
        <f t="shared" si="251"/>
        <v>-650</v>
      </c>
      <c r="AI219" s="57"/>
      <c r="AJ219" s="47"/>
      <c r="AK219" s="47"/>
      <c r="AL219" s="47"/>
    </row>
    <row r="220" spans="1:40" ht="15" x14ac:dyDescent="0.2">
      <c r="B220" s="86"/>
      <c r="C220" s="69"/>
      <c r="D220" s="87"/>
      <c r="E220" s="69"/>
      <c r="F220" s="69"/>
      <c r="G220" s="69"/>
      <c r="H220" s="69"/>
      <c r="I220" s="69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57"/>
      <c r="AJ220" s="47"/>
      <c r="AK220" s="47"/>
      <c r="AL220" s="47"/>
    </row>
    <row r="221" spans="1:40" ht="15" x14ac:dyDescent="0.2">
      <c r="B221" s="86"/>
      <c r="C221" s="69"/>
      <c r="D221" s="87"/>
      <c r="E221" s="69"/>
      <c r="F221" s="69"/>
      <c r="G221" s="69"/>
      <c r="H221" s="69"/>
      <c r="I221" s="69"/>
      <c r="J221" s="69" t="s">
        <v>30</v>
      </c>
      <c r="K221" s="69"/>
      <c r="L221" s="98">
        <f>L224-L227</f>
        <v>0</v>
      </c>
      <c r="M221" s="98">
        <f t="shared" ref="M221:Q221" si="252">M224-M227</f>
        <v>0</v>
      </c>
      <c r="N221" s="98">
        <f t="shared" si="252"/>
        <v>0</v>
      </c>
      <c r="O221" s="98">
        <f t="shared" si="252"/>
        <v>0</v>
      </c>
      <c r="P221" s="98">
        <f t="shared" si="252"/>
        <v>0</v>
      </c>
      <c r="Q221" s="98">
        <f t="shared" si="252"/>
        <v>0</v>
      </c>
      <c r="R221" s="98">
        <f>R224-R227</f>
        <v>0</v>
      </c>
      <c r="S221" s="98">
        <f t="shared" ref="S221:AH221" si="253">S224-S227</f>
        <v>0</v>
      </c>
      <c r="T221" s="98">
        <f t="shared" si="253"/>
        <v>0</v>
      </c>
      <c r="U221" s="98">
        <f t="shared" si="253"/>
        <v>0</v>
      </c>
      <c r="V221" s="98">
        <f t="shared" si="253"/>
        <v>0</v>
      </c>
      <c r="W221" s="98">
        <f t="shared" si="253"/>
        <v>0</v>
      </c>
      <c r="X221" s="98">
        <f t="shared" si="253"/>
        <v>0</v>
      </c>
      <c r="Y221" s="98">
        <f t="shared" si="253"/>
        <v>0</v>
      </c>
      <c r="Z221" s="98">
        <f t="shared" si="253"/>
        <v>0</v>
      </c>
      <c r="AA221" s="98">
        <f t="shared" si="253"/>
        <v>0</v>
      </c>
      <c r="AB221" s="98">
        <f t="shared" si="253"/>
        <v>0</v>
      </c>
      <c r="AC221" s="98">
        <f t="shared" si="253"/>
        <v>0</v>
      </c>
      <c r="AD221" s="98">
        <f t="shared" si="253"/>
        <v>0</v>
      </c>
      <c r="AE221" s="98">
        <f t="shared" si="253"/>
        <v>0</v>
      </c>
      <c r="AF221" s="98">
        <f t="shared" si="253"/>
        <v>0</v>
      </c>
      <c r="AG221" s="98">
        <f t="shared" si="253"/>
        <v>0</v>
      </c>
      <c r="AH221" s="98">
        <f t="shared" si="253"/>
        <v>0</v>
      </c>
      <c r="AI221" s="57"/>
      <c r="AJ221" s="47"/>
      <c r="AK221" s="47"/>
      <c r="AL221" s="47"/>
    </row>
    <row r="222" spans="1:40" ht="15.75" x14ac:dyDescent="0.25">
      <c r="B222" s="89"/>
      <c r="C222" s="89"/>
      <c r="D222" s="89"/>
      <c r="E222" s="89"/>
      <c r="F222" s="89"/>
      <c r="G222" s="89"/>
      <c r="H222" s="89"/>
      <c r="I222" s="89"/>
      <c r="J222" s="97" t="s">
        <v>31</v>
      </c>
      <c r="K222" s="89"/>
      <c r="L222" s="98">
        <f>L225-L228</f>
        <v>0</v>
      </c>
      <c r="M222" s="98">
        <f t="shared" ref="M222:AH222" si="254">M225-M228</f>
        <v>0</v>
      </c>
      <c r="N222" s="98">
        <f t="shared" si="254"/>
        <v>0</v>
      </c>
      <c r="O222" s="98">
        <f t="shared" si="254"/>
        <v>0</v>
      </c>
      <c r="P222" s="98">
        <f t="shared" si="254"/>
        <v>0</v>
      </c>
      <c r="Q222" s="98">
        <f t="shared" si="254"/>
        <v>0</v>
      </c>
      <c r="R222" s="98">
        <f t="shared" si="254"/>
        <v>0</v>
      </c>
      <c r="S222" s="98">
        <f t="shared" si="254"/>
        <v>0</v>
      </c>
      <c r="T222" s="98">
        <f t="shared" si="254"/>
        <v>0</v>
      </c>
      <c r="U222" s="98">
        <f t="shared" si="254"/>
        <v>0</v>
      </c>
      <c r="V222" s="98">
        <f t="shared" si="254"/>
        <v>0</v>
      </c>
      <c r="W222" s="98">
        <f t="shared" si="254"/>
        <v>0</v>
      </c>
      <c r="X222" s="98">
        <f t="shared" si="254"/>
        <v>0</v>
      </c>
      <c r="Y222" s="98">
        <f t="shared" si="254"/>
        <v>0</v>
      </c>
      <c r="Z222" s="98">
        <f t="shared" si="254"/>
        <v>0</v>
      </c>
      <c r="AA222" s="98">
        <f t="shared" si="254"/>
        <v>0</v>
      </c>
      <c r="AB222" s="98">
        <f t="shared" si="254"/>
        <v>0</v>
      </c>
      <c r="AC222" s="98">
        <f t="shared" si="254"/>
        <v>0</v>
      </c>
      <c r="AD222" s="98">
        <f t="shared" si="254"/>
        <v>0</v>
      </c>
      <c r="AE222" s="98">
        <f t="shared" si="254"/>
        <v>0</v>
      </c>
      <c r="AF222" s="98">
        <f t="shared" si="254"/>
        <v>0</v>
      </c>
      <c r="AG222" s="98">
        <f t="shared" si="254"/>
        <v>0</v>
      </c>
      <c r="AH222" s="98">
        <f t="shared" si="254"/>
        <v>0</v>
      </c>
      <c r="AI222" s="57"/>
      <c r="AJ222" s="47"/>
      <c r="AK222" s="47"/>
      <c r="AL222" s="47"/>
    </row>
    <row r="223" spans="1:40" ht="15.75" x14ac:dyDescent="0.25">
      <c r="B223" s="89" t="s">
        <v>32</v>
      </c>
      <c r="C223" s="89"/>
      <c r="D223" s="92">
        <v>45376</v>
      </c>
      <c r="E223" s="93" t="s">
        <v>0</v>
      </c>
      <c r="F223" s="93" t="s">
        <v>0</v>
      </c>
      <c r="G223" s="93" t="s">
        <v>0</v>
      </c>
      <c r="H223" s="93" t="s">
        <v>0</v>
      </c>
      <c r="I223" s="93" t="s">
        <v>0</v>
      </c>
      <c r="J223" s="94" t="s">
        <v>0</v>
      </c>
      <c r="K223" s="94" t="s">
        <v>1</v>
      </c>
      <c r="L223" s="94" t="s">
        <v>2</v>
      </c>
      <c r="M223" s="94" t="s">
        <v>4</v>
      </c>
      <c r="N223" s="94" t="s">
        <v>0</v>
      </c>
      <c r="O223" s="94" t="s">
        <v>0</v>
      </c>
      <c r="P223" s="94" t="s">
        <v>0</v>
      </c>
      <c r="Q223" s="94" t="s">
        <v>0</v>
      </c>
      <c r="R223" s="94" t="s">
        <v>0</v>
      </c>
      <c r="S223" s="94" t="s">
        <v>0</v>
      </c>
      <c r="T223" s="94" t="s">
        <v>3</v>
      </c>
      <c r="U223" s="94" t="s">
        <v>4</v>
      </c>
      <c r="V223" s="94" t="s">
        <v>0</v>
      </c>
      <c r="W223" s="94" t="s">
        <v>0</v>
      </c>
      <c r="X223" s="94" t="s">
        <v>0</v>
      </c>
      <c r="Y223" s="94" t="s">
        <v>0</v>
      </c>
      <c r="Z223" s="94" t="s">
        <v>0</v>
      </c>
      <c r="AA223" s="94" t="s">
        <v>0</v>
      </c>
      <c r="AB223" s="94" t="s">
        <v>0</v>
      </c>
      <c r="AC223" s="94" t="s">
        <v>0</v>
      </c>
      <c r="AD223" s="94" t="s">
        <v>0</v>
      </c>
      <c r="AE223" s="94" t="s">
        <v>0</v>
      </c>
      <c r="AF223" s="94" t="s">
        <v>0</v>
      </c>
      <c r="AG223" s="94" t="s">
        <v>0</v>
      </c>
      <c r="AH223" s="94" t="s">
        <v>4</v>
      </c>
      <c r="AI223" s="57"/>
      <c r="AJ223" s="47"/>
      <c r="AK223" s="47"/>
      <c r="AL223" s="47"/>
    </row>
    <row r="224" spans="1:40" ht="15.75" x14ac:dyDescent="0.25">
      <c r="B224" s="89" t="s">
        <v>6</v>
      </c>
      <c r="C224" s="89" t="s">
        <v>223</v>
      </c>
      <c r="D224" s="95" t="s">
        <v>33</v>
      </c>
      <c r="E224" s="146">
        <f>E206</f>
        <v>0</v>
      </c>
      <c r="F224" s="146">
        <f t="shared" ref="F224:AH224" si="255">F206</f>
        <v>0</v>
      </c>
      <c r="G224" s="146">
        <f t="shared" si="255"/>
        <v>0</v>
      </c>
      <c r="H224" s="146">
        <f t="shared" si="255"/>
        <v>0</v>
      </c>
      <c r="I224" s="146">
        <f t="shared" si="255"/>
        <v>0</v>
      </c>
      <c r="J224" s="146">
        <f t="shared" si="255"/>
        <v>0</v>
      </c>
      <c r="K224" s="146">
        <f t="shared" si="255"/>
        <v>0</v>
      </c>
      <c r="L224" s="146">
        <f t="shared" si="255"/>
        <v>0</v>
      </c>
      <c r="M224" s="146">
        <f t="shared" si="255"/>
        <v>0</v>
      </c>
      <c r="N224" s="146">
        <f t="shared" si="255"/>
        <v>0</v>
      </c>
      <c r="O224" s="146">
        <f t="shared" si="255"/>
        <v>0</v>
      </c>
      <c r="P224" s="146">
        <f t="shared" si="255"/>
        <v>0</v>
      </c>
      <c r="Q224" s="146">
        <f t="shared" si="255"/>
        <v>0</v>
      </c>
      <c r="R224" s="146">
        <f t="shared" si="255"/>
        <v>0</v>
      </c>
      <c r="S224" s="146">
        <f t="shared" si="255"/>
        <v>0</v>
      </c>
      <c r="T224" s="146">
        <f t="shared" si="255"/>
        <v>0</v>
      </c>
      <c r="U224" s="146">
        <f t="shared" si="255"/>
        <v>0</v>
      </c>
      <c r="V224" s="146">
        <f t="shared" si="255"/>
        <v>0</v>
      </c>
      <c r="W224" s="146">
        <f t="shared" si="255"/>
        <v>0</v>
      </c>
      <c r="X224" s="146">
        <f t="shared" si="255"/>
        <v>0</v>
      </c>
      <c r="Y224" s="146">
        <f t="shared" si="255"/>
        <v>0</v>
      </c>
      <c r="Z224" s="146">
        <f t="shared" si="255"/>
        <v>0</v>
      </c>
      <c r="AA224" s="146">
        <f t="shared" si="255"/>
        <v>0</v>
      </c>
      <c r="AB224" s="146">
        <f t="shared" si="255"/>
        <v>0</v>
      </c>
      <c r="AC224" s="146">
        <f t="shared" si="255"/>
        <v>0</v>
      </c>
      <c r="AD224" s="146">
        <f t="shared" si="255"/>
        <v>0</v>
      </c>
      <c r="AE224" s="146">
        <f t="shared" si="255"/>
        <v>0</v>
      </c>
      <c r="AF224" s="146">
        <f t="shared" si="255"/>
        <v>0</v>
      </c>
      <c r="AG224" s="146">
        <f t="shared" si="255"/>
        <v>0</v>
      </c>
      <c r="AH224" s="146">
        <f t="shared" si="255"/>
        <v>0</v>
      </c>
      <c r="AI224" s="57"/>
      <c r="AJ224" s="47"/>
      <c r="AK224" s="47"/>
      <c r="AL224" s="47"/>
    </row>
    <row r="225" spans="2:38" ht="15.75" x14ac:dyDescent="0.25">
      <c r="B225" s="89"/>
      <c r="C225" s="89"/>
      <c r="D225" s="95" t="s">
        <v>34</v>
      </c>
      <c r="E225" s="146">
        <f>E207</f>
        <v>0</v>
      </c>
      <c r="F225" s="146">
        <f t="shared" ref="F225:AH225" si="256">F207</f>
        <v>0</v>
      </c>
      <c r="G225" s="146">
        <f t="shared" si="256"/>
        <v>0</v>
      </c>
      <c r="H225" s="146">
        <f t="shared" si="256"/>
        <v>0</v>
      </c>
      <c r="I225" s="146">
        <f t="shared" si="256"/>
        <v>0</v>
      </c>
      <c r="J225" s="146">
        <f t="shared" si="256"/>
        <v>0</v>
      </c>
      <c r="K225" s="146">
        <f t="shared" si="256"/>
        <v>0</v>
      </c>
      <c r="L225" s="146">
        <f t="shared" si="256"/>
        <v>0</v>
      </c>
      <c r="M225" s="146">
        <f t="shared" si="256"/>
        <v>0</v>
      </c>
      <c r="N225" s="146">
        <f t="shared" si="256"/>
        <v>0</v>
      </c>
      <c r="O225" s="146">
        <f t="shared" si="256"/>
        <v>0</v>
      </c>
      <c r="P225" s="146">
        <f t="shared" si="256"/>
        <v>0</v>
      </c>
      <c r="Q225" s="146">
        <f t="shared" si="256"/>
        <v>0</v>
      </c>
      <c r="R225" s="146">
        <f t="shared" si="256"/>
        <v>0</v>
      </c>
      <c r="S225" s="146">
        <f t="shared" si="256"/>
        <v>0</v>
      </c>
      <c r="T225" s="146">
        <f t="shared" si="256"/>
        <v>0</v>
      </c>
      <c r="U225" s="146">
        <f t="shared" si="256"/>
        <v>0</v>
      </c>
      <c r="V225" s="146">
        <f t="shared" si="256"/>
        <v>0</v>
      </c>
      <c r="W225" s="146">
        <f t="shared" si="256"/>
        <v>0</v>
      </c>
      <c r="X225" s="146">
        <f t="shared" si="256"/>
        <v>0</v>
      </c>
      <c r="Y225" s="146">
        <f t="shared" si="256"/>
        <v>0</v>
      </c>
      <c r="Z225" s="146">
        <f t="shared" si="256"/>
        <v>0</v>
      </c>
      <c r="AA225" s="146">
        <f t="shared" si="256"/>
        <v>0</v>
      </c>
      <c r="AB225" s="146">
        <f t="shared" si="256"/>
        <v>0</v>
      </c>
      <c r="AC225" s="146">
        <f t="shared" si="256"/>
        <v>0</v>
      </c>
      <c r="AD225" s="146">
        <f t="shared" si="256"/>
        <v>0</v>
      </c>
      <c r="AE225" s="146">
        <f t="shared" si="256"/>
        <v>0</v>
      </c>
      <c r="AF225" s="146">
        <f t="shared" si="256"/>
        <v>0</v>
      </c>
      <c r="AG225" s="146">
        <f t="shared" si="256"/>
        <v>0</v>
      </c>
      <c r="AH225" s="146">
        <f t="shared" si="256"/>
        <v>0</v>
      </c>
      <c r="AI225" s="57"/>
      <c r="AJ225" s="47"/>
      <c r="AK225" s="47"/>
      <c r="AL225" s="47"/>
    </row>
    <row r="226" spans="2:38" ht="15.75" x14ac:dyDescent="0.25">
      <c r="B226" s="89"/>
      <c r="C226" s="89"/>
      <c r="D226" s="92">
        <v>45369</v>
      </c>
      <c r="E226" s="94" t="s">
        <v>0</v>
      </c>
      <c r="F226" s="94" t="s">
        <v>0</v>
      </c>
      <c r="G226" s="94" t="s">
        <v>0</v>
      </c>
      <c r="H226" s="94" t="s">
        <v>0</v>
      </c>
      <c r="I226" s="94" t="s">
        <v>0</v>
      </c>
      <c r="J226" s="94" t="s">
        <v>1</v>
      </c>
      <c r="K226" s="94" t="s">
        <v>2</v>
      </c>
      <c r="L226" s="94" t="s">
        <v>4</v>
      </c>
      <c r="M226" s="94" t="s">
        <v>0</v>
      </c>
      <c r="N226" s="94" t="s">
        <v>0</v>
      </c>
      <c r="O226" s="94" t="s">
        <v>0</v>
      </c>
      <c r="P226" s="94" t="s">
        <v>0</v>
      </c>
      <c r="Q226" s="94" t="s">
        <v>0</v>
      </c>
      <c r="R226" s="94" t="s">
        <v>0</v>
      </c>
      <c r="S226" s="94" t="s">
        <v>3</v>
      </c>
      <c r="T226" s="94" t="s">
        <v>4</v>
      </c>
      <c r="U226" s="94" t="s">
        <v>0</v>
      </c>
      <c r="V226" s="94" t="s">
        <v>0</v>
      </c>
      <c r="W226" s="94" t="s">
        <v>0</v>
      </c>
      <c r="X226" s="94" t="s">
        <v>0</v>
      </c>
      <c r="Y226" s="94" t="s">
        <v>0</v>
      </c>
      <c r="Z226" s="94" t="s">
        <v>0</v>
      </c>
      <c r="AA226" s="94" t="s">
        <v>0</v>
      </c>
      <c r="AB226" s="94" t="s">
        <v>0</v>
      </c>
      <c r="AC226" s="94" t="s">
        <v>0</v>
      </c>
      <c r="AD226" s="94" t="s">
        <v>0</v>
      </c>
      <c r="AE226" s="94" t="s">
        <v>0</v>
      </c>
      <c r="AF226" s="94" t="s">
        <v>0</v>
      </c>
      <c r="AG226" s="94" t="s">
        <v>4</v>
      </c>
      <c r="AH226" s="94"/>
      <c r="AI226" s="57"/>
      <c r="AJ226" s="47"/>
      <c r="AK226" s="47"/>
      <c r="AL226" s="47"/>
    </row>
    <row r="227" spans="2:38" ht="15.75" x14ac:dyDescent="0.25">
      <c r="B227" s="89"/>
      <c r="C227" s="89"/>
      <c r="D227" s="95" t="s">
        <v>33</v>
      </c>
      <c r="E227" s="146">
        <v>0</v>
      </c>
      <c r="F227" s="146">
        <v>0</v>
      </c>
      <c r="G227" s="146">
        <v>0</v>
      </c>
      <c r="H227" s="146">
        <v>0</v>
      </c>
      <c r="I227" s="146">
        <v>0</v>
      </c>
      <c r="J227" s="146">
        <v>0</v>
      </c>
      <c r="K227" s="146">
        <v>0</v>
      </c>
      <c r="L227" s="146">
        <v>0</v>
      </c>
      <c r="M227" s="146">
        <v>0</v>
      </c>
      <c r="N227" s="146">
        <v>0</v>
      </c>
      <c r="O227" s="146">
        <v>0</v>
      </c>
      <c r="P227" s="146">
        <v>0</v>
      </c>
      <c r="Q227" s="146">
        <v>0</v>
      </c>
      <c r="R227" s="146">
        <v>0</v>
      </c>
      <c r="S227" s="146">
        <v>0</v>
      </c>
      <c r="T227" s="146">
        <v>0</v>
      </c>
      <c r="U227" s="146">
        <v>0</v>
      </c>
      <c r="V227" s="146">
        <v>0</v>
      </c>
      <c r="W227" s="146">
        <v>0</v>
      </c>
      <c r="X227" s="146">
        <v>0</v>
      </c>
      <c r="Y227" s="146">
        <v>0</v>
      </c>
      <c r="Z227" s="146">
        <v>0</v>
      </c>
      <c r="AA227" s="146">
        <v>0</v>
      </c>
      <c r="AB227" s="146">
        <v>0</v>
      </c>
      <c r="AC227" s="146">
        <v>0</v>
      </c>
      <c r="AD227" s="146">
        <v>0</v>
      </c>
      <c r="AE227" s="146">
        <v>0</v>
      </c>
      <c r="AF227" s="146">
        <v>0</v>
      </c>
      <c r="AG227" s="146">
        <v>0</v>
      </c>
      <c r="AH227" s="146">
        <v>0</v>
      </c>
      <c r="AI227" s="57"/>
      <c r="AJ227" s="47"/>
      <c r="AK227" s="47"/>
      <c r="AL227" s="47"/>
    </row>
    <row r="228" spans="2:38" ht="15.75" x14ac:dyDescent="0.25">
      <c r="B228" s="89"/>
      <c r="C228" s="89"/>
      <c r="D228" s="95" t="s">
        <v>34</v>
      </c>
      <c r="E228" s="146">
        <v>0</v>
      </c>
      <c r="F228" s="146">
        <v>0</v>
      </c>
      <c r="G228" s="146">
        <v>0</v>
      </c>
      <c r="H228" s="146">
        <v>0</v>
      </c>
      <c r="I228" s="146">
        <v>0</v>
      </c>
      <c r="J228" s="146">
        <v>0</v>
      </c>
      <c r="K228" s="146">
        <v>0</v>
      </c>
      <c r="L228" s="146">
        <v>0</v>
      </c>
      <c r="M228" s="146">
        <v>0</v>
      </c>
      <c r="N228" s="146">
        <v>0</v>
      </c>
      <c r="O228" s="146">
        <v>0</v>
      </c>
      <c r="P228" s="146">
        <v>0</v>
      </c>
      <c r="Q228" s="146">
        <v>0</v>
      </c>
      <c r="R228" s="146">
        <v>0</v>
      </c>
      <c r="S228" s="146">
        <v>0</v>
      </c>
      <c r="T228" s="146">
        <v>0</v>
      </c>
      <c r="U228" s="146">
        <v>0</v>
      </c>
      <c r="V228" s="146">
        <v>0</v>
      </c>
      <c r="W228" s="146">
        <v>0</v>
      </c>
      <c r="X228" s="146">
        <v>0</v>
      </c>
      <c r="Y228" s="146">
        <v>0</v>
      </c>
      <c r="Z228" s="146">
        <v>0</v>
      </c>
      <c r="AA228" s="146">
        <v>0</v>
      </c>
      <c r="AB228" s="146">
        <v>0</v>
      </c>
      <c r="AC228" s="146">
        <v>0</v>
      </c>
      <c r="AD228" s="146">
        <v>0</v>
      </c>
      <c r="AE228" s="146">
        <v>0</v>
      </c>
      <c r="AF228" s="146">
        <v>0</v>
      </c>
      <c r="AG228" s="146">
        <v>0</v>
      </c>
      <c r="AH228" s="146">
        <v>0</v>
      </c>
      <c r="AI228" s="57"/>
      <c r="AJ228" s="47"/>
      <c r="AK228" s="47"/>
      <c r="AL228" s="47"/>
    </row>
    <row r="229" spans="2:38" ht="15.75" x14ac:dyDescent="0.25">
      <c r="B229" s="89"/>
      <c r="C229" s="89"/>
      <c r="D229" s="92">
        <v>45362</v>
      </c>
      <c r="E229" s="94" t="s">
        <v>0</v>
      </c>
      <c r="F229" s="94" t="s">
        <v>0</v>
      </c>
      <c r="G229" s="94" t="s">
        <v>0</v>
      </c>
      <c r="H229" s="94" t="s">
        <v>0</v>
      </c>
      <c r="I229" s="94" t="s">
        <v>1</v>
      </c>
      <c r="J229" s="94" t="s">
        <v>2</v>
      </c>
      <c r="K229" s="94" t="s">
        <v>4</v>
      </c>
      <c r="L229" s="94" t="s">
        <v>0</v>
      </c>
      <c r="M229" s="94" t="s">
        <v>0</v>
      </c>
      <c r="N229" s="94" t="s">
        <v>0</v>
      </c>
      <c r="O229" s="94" t="s">
        <v>0</v>
      </c>
      <c r="P229" s="94" t="s">
        <v>0</v>
      </c>
      <c r="Q229" s="94" t="s">
        <v>0</v>
      </c>
      <c r="R229" s="94" t="s">
        <v>3</v>
      </c>
      <c r="S229" s="94" t="s">
        <v>4</v>
      </c>
      <c r="T229" s="94" t="s">
        <v>0</v>
      </c>
      <c r="U229" s="94" t="s">
        <v>0</v>
      </c>
      <c r="V229" s="94" t="s">
        <v>0</v>
      </c>
      <c r="W229" s="94" t="s">
        <v>0</v>
      </c>
      <c r="X229" s="94" t="s">
        <v>0</v>
      </c>
      <c r="Y229" s="94" t="s">
        <v>0</v>
      </c>
      <c r="Z229" s="94" t="s">
        <v>0</v>
      </c>
      <c r="AA229" s="94" t="s">
        <v>0</v>
      </c>
      <c r="AB229" s="94" t="s">
        <v>0</v>
      </c>
      <c r="AC229" s="94" t="s">
        <v>0</v>
      </c>
      <c r="AD229" s="94" t="s">
        <v>0</v>
      </c>
      <c r="AE229" s="94" t="s">
        <v>0</v>
      </c>
      <c r="AF229" s="94" t="s">
        <v>4</v>
      </c>
      <c r="AG229" s="94"/>
      <c r="AH229" s="94"/>
      <c r="AI229" s="57"/>
      <c r="AJ229" s="47"/>
      <c r="AK229" s="47"/>
      <c r="AL229" s="47"/>
    </row>
    <row r="230" spans="2:38" ht="15.75" x14ac:dyDescent="0.25">
      <c r="B230" s="89"/>
      <c r="C230" s="89"/>
      <c r="D230" s="95" t="s">
        <v>33</v>
      </c>
      <c r="E230" s="146">
        <v>0</v>
      </c>
      <c r="F230" s="146">
        <v>0</v>
      </c>
      <c r="G230" s="146">
        <v>0</v>
      </c>
      <c r="H230" s="146">
        <v>0</v>
      </c>
      <c r="I230" s="146">
        <v>0</v>
      </c>
      <c r="J230" s="146">
        <v>0</v>
      </c>
      <c r="K230" s="146">
        <v>0</v>
      </c>
      <c r="L230" s="146">
        <v>0</v>
      </c>
      <c r="M230" s="146">
        <v>0</v>
      </c>
      <c r="N230" s="146">
        <v>0</v>
      </c>
      <c r="O230" s="146">
        <v>0</v>
      </c>
      <c r="P230" s="146">
        <v>0</v>
      </c>
      <c r="Q230" s="146">
        <v>0</v>
      </c>
      <c r="R230" s="146">
        <v>0</v>
      </c>
      <c r="S230" s="146">
        <v>0</v>
      </c>
      <c r="T230" s="146">
        <v>0</v>
      </c>
      <c r="U230" s="146">
        <v>0</v>
      </c>
      <c r="V230" s="146">
        <v>0</v>
      </c>
      <c r="W230" s="146">
        <v>0</v>
      </c>
      <c r="X230" s="146">
        <v>0</v>
      </c>
      <c r="Y230" s="146">
        <v>0</v>
      </c>
      <c r="Z230" s="146">
        <v>0</v>
      </c>
      <c r="AA230" s="146">
        <v>0</v>
      </c>
      <c r="AB230" s="146">
        <v>0</v>
      </c>
      <c r="AC230" s="146">
        <v>0</v>
      </c>
      <c r="AD230" s="146">
        <v>0</v>
      </c>
      <c r="AE230" s="146">
        <v>0</v>
      </c>
      <c r="AF230" s="146">
        <v>0</v>
      </c>
      <c r="AG230" s="146">
        <v>0</v>
      </c>
      <c r="AH230" s="146">
        <v>0</v>
      </c>
      <c r="AI230" s="57"/>
      <c r="AJ230" s="47"/>
      <c r="AK230" s="47"/>
      <c r="AL230" s="47"/>
    </row>
    <row r="231" spans="2:38" ht="15.75" x14ac:dyDescent="0.25">
      <c r="B231" s="89"/>
      <c r="C231" s="89"/>
      <c r="D231" s="95" t="s">
        <v>34</v>
      </c>
      <c r="E231" s="146">
        <v>0</v>
      </c>
      <c r="F231" s="146">
        <v>0</v>
      </c>
      <c r="G231" s="146">
        <v>0</v>
      </c>
      <c r="H231" s="146">
        <v>0</v>
      </c>
      <c r="I231" s="146">
        <v>0</v>
      </c>
      <c r="J231" s="146">
        <v>0</v>
      </c>
      <c r="K231" s="146">
        <v>0</v>
      </c>
      <c r="L231" s="146">
        <v>0</v>
      </c>
      <c r="M231" s="146">
        <v>0</v>
      </c>
      <c r="N231" s="146">
        <v>0</v>
      </c>
      <c r="O231" s="146">
        <v>0</v>
      </c>
      <c r="P231" s="146">
        <v>0</v>
      </c>
      <c r="Q231" s="146">
        <v>0</v>
      </c>
      <c r="R231" s="146">
        <v>0</v>
      </c>
      <c r="S231" s="146">
        <v>0</v>
      </c>
      <c r="T231" s="146">
        <v>0</v>
      </c>
      <c r="U231" s="146">
        <v>0</v>
      </c>
      <c r="V231" s="146">
        <v>0</v>
      </c>
      <c r="W231" s="146">
        <v>0</v>
      </c>
      <c r="X231" s="146">
        <v>0</v>
      </c>
      <c r="Y231" s="146">
        <v>0</v>
      </c>
      <c r="Z231" s="146">
        <v>0</v>
      </c>
      <c r="AA231" s="146">
        <v>0</v>
      </c>
      <c r="AB231" s="146">
        <v>0</v>
      </c>
      <c r="AC231" s="146">
        <v>0</v>
      </c>
      <c r="AD231" s="146">
        <v>0</v>
      </c>
      <c r="AE231" s="146">
        <v>0</v>
      </c>
      <c r="AF231" s="146">
        <v>0</v>
      </c>
      <c r="AG231" s="146">
        <v>0</v>
      </c>
      <c r="AH231" s="146">
        <v>0</v>
      </c>
      <c r="AI231" s="57"/>
      <c r="AJ231" s="47"/>
      <c r="AK231" s="47"/>
      <c r="AL231" s="47"/>
    </row>
    <row r="232" spans="2:38" ht="15.75" x14ac:dyDescent="0.25">
      <c r="B232" s="89"/>
      <c r="C232" s="89"/>
      <c r="D232" s="92">
        <v>45355</v>
      </c>
      <c r="E232" s="94" t="s">
        <v>0</v>
      </c>
      <c r="F232" s="94" t="s">
        <v>0</v>
      </c>
      <c r="G232" s="94" t="s">
        <v>0</v>
      </c>
      <c r="H232" s="94" t="s">
        <v>1</v>
      </c>
      <c r="I232" s="94" t="s">
        <v>2</v>
      </c>
      <c r="J232" s="94" t="s">
        <v>4</v>
      </c>
      <c r="K232" s="94" t="s">
        <v>0</v>
      </c>
      <c r="L232" s="94" t="s">
        <v>0</v>
      </c>
      <c r="M232" s="94" t="s">
        <v>0</v>
      </c>
      <c r="N232" s="94" t="s">
        <v>0</v>
      </c>
      <c r="O232" s="94" t="s">
        <v>0</v>
      </c>
      <c r="P232" s="94" t="s">
        <v>0</v>
      </c>
      <c r="Q232" s="94" t="s">
        <v>3</v>
      </c>
      <c r="R232" s="94" t="s">
        <v>4</v>
      </c>
      <c r="S232" s="94" t="s">
        <v>0</v>
      </c>
      <c r="T232" s="94" t="s">
        <v>0</v>
      </c>
      <c r="U232" s="94" t="s">
        <v>0</v>
      </c>
      <c r="V232" s="94" t="s">
        <v>0</v>
      </c>
      <c r="W232" s="94" t="s">
        <v>0</v>
      </c>
      <c r="X232" s="94" t="s">
        <v>0</v>
      </c>
      <c r="Y232" s="94" t="s">
        <v>0</v>
      </c>
      <c r="Z232" s="94" t="s">
        <v>0</v>
      </c>
      <c r="AA232" s="94" t="s">
        <v>0</v>
      </c>
      <c r="AB232" s="94" t="s">
        <v>0</v>
      </c>
      <c r="AC232" s="94" t="s">
        <v>0</v>
      </c>
      <c r="AD232" s="94" t="s">
        <v>0</v>
      </c>
      <c r="AE232" s="94" t="s">
        <v>4</v>
      </c>
      <c r="AF232" s="94"/>
      <c r="AG232" s="94"/>
      <c r="AH232" s="94"/>
      <c r="AI232" s="57"/>
      <c r="AJ232" s="47"/>
      <c r="AK232" s="47"/>
      <c r="AL232" s="47"/>
    </row>
    <row r="233" spans="2:38" ht="15.75" x14ac:dyDescent="0.25">
      <c r="B233" s="89"/>
      <c r="C233" s="89"/>
      <c r="D233" s="95" t="s">
        <v>33</v>
      </c>
      <c r="E233" s="146">
        <v>0</v>
      </c>
      <c r="F233" s="146">
        <v>0</v>
      </c>
      <c r="G233" s="146">
        <v>0</v>
      </c>
      <c r="H233" s="146">
        <v>0</v>
      </c>
      <c r="I233" s="146">
        <v>0</v>
      </c>
      <c r="J233" s="146">
        <v>0</v>
      </c>
      <c r="K233" s="146">
        <v>0</v>
      </c>
      <c r="L233" s="146">
        <v>0</v>
      </c>
      <c r="M233" s="146">
        <v>0</v>
      </c>
      <c r="N233" s="146">
        <v>0</v>
      </c>
      <c r="O233" s="146">
        <v>0</v>
      </c>
      <c r="P233" s="146">
        <v>0</v>
      </c>
      <c r="Q233" s="146">
        <v>0</v>
      </c>
      <c r="R233" s="146">
        <v>0</v>
      </c>
      <c r="S233" s="146">
        <v>0</v>
      </c>
      <c r="T233" s="146">
        <v>0</v>
      </c>
      <c r="U233" s="146">
        <v>0</v>
      </c>
      <c r="V233" s="146">
        <v>0</v>
      </c>
      <c r="W233" s="146">
        <v>0</v>
      </c>
      <c r="X233" s="146">
        <v>0</v>
      </c>
      <c r="Y233" s="146">
        <v>0</v>
      </c>
      <c r="Z233" s="146">
        <v>0</v>
      </c>
      <c r="AA233" s="146">
        <v>0</v>
      </c>
      <c r="AB233" s="146">
        <v>0</v>
      </c>
      <c r="AC233" s="146">
        <v>0</v>
      </c>
      <c r="AD233" s="146">
        <v>0</v>
      </c>
      <c r="AE233" s="146">
        <v>0</v>
      </c>
      <c r="AF233" s="146">
        <v>0</v>
      </c>
      <c r="AG233" s="146">
        <v>0</v>
      </c>
      <c r="AH233" s="146">
        <v>0</v>
      </c>
      <c r="AI233" s="57"/>
      <c r="AJ233" s="47"/>
      <c r="AK233" s="47"/>
      <c r="AL233" s="47"/>
    </row>
    <row r="234" spans="2:38" ht="15.75" x14ac:dyDescent="0.25">
      <c r="B234" s="89"/>
      <c r="C234" s="89"/>
      <c r="D234" s="95" t="s">
        <v>34</v>
      </c>
      <c r="E234" s="146">
        <v>0</v>
      </c>
      <c r="F234" s="146">
        <v>0</v>
      </c>
      <c r="G234" s="146">
        <v>0</v>
      </c>
      <c r="H234" s="146">
        <v>0</v>
      </c>
      <c r="I234" s="146">
        <v>0</v>
      </c>
      <c r="J234" s="146">
        <v>0</v>
      </c>
      <c r="K234" s="146">
        <v>0</v>
      </c>
      <c r="L234" s="146">
        <v>0</v>
      </c>
      <c r="M234" s="146">
        <v>0</v>
      </c>
      <c r="N234" s="146">
        <v>0</v>
      </c>
      <c r="O234" s="146">
        <v>0</v>
      </c>
      <c r="P234" s="146">
        <v>0</v>
      </c>
      <c r="Q234" s="146">
        <v>0</v>
      </c>
      <c r="R234" s="146">
        <v>0</v>
      </c>
      <c r="S234" s="146">
        <v>0</v>
      </c>
      <c r="T234" s="146">
        <v>0</v>
      </c>
      <c r="U234" s="146">
        <v>0</v>
      </c>
      <c r="V234" s="146">
        <v>0</v>
      </c>
      <c r="W234" s="146">
        <v>0</v>
      </c>
      <c r="X234" s="146">
        <v>0</v>
      </c>
      <c r="Y234" s="146">
        <v>0</v>
      </c>
      <c r="Z234" s="146">
        <v>0</v>
      </c>
      <c r="AA234" s="146">
        <v>0</v>
      </c>
      <c r="AB234" s="146">
        <v>0</v>
      </c>
      <c r="AC234" s="146">
        <v>0</v>
      </c>
      <c r="AD234" s="146">
        <v>0</v>
      </c>
      <c r="AE234" s="146">
        <v>0</v>
      </c>
      <c r="AF234" s="146">
        <v>0</v>
      </c>
      <c r="AG234" s="146">
        <v>0</v>
      </c>
      <c r="AH234" s="146">
        <v>0</v>
      </c>
      <c r="AI234" s="57"/>
      <c r="AJ234" s="47"/>
      <c r="AK234" s="47"/>
      <c r="AL234" s="47"/>
    </row>
    <row r="235" spans="2:38" ht="15.75" x14ac:dyDescent="0.25">
      <c r="B235" s="89"/>
      <c r="C235" s="89"/>
      <c r="D235" s="92">
        <v>45348</v>
      </c>
      <c r="E235" s="94" t="s">
        <v>0</v>
      </c>
      <c r="F235" s="94" t="s">
        <v>0</v>
      </c>
      <c r="G235" s="94" t="s">
        <v>1</v>
      </c>
      <c r="H235" s="94" t="s">
        <v>2</v>
      </c>
      <c r="I235" s="94" t="s">
        <v>4</v>
      </c>
      <c r="J235" s="94" t="s">
        <v>0</v>
      </c>
      <c r="K235" s="94" t="s">
        <v>0</v>
      </c>
      <c r="L235" s="94" t="s">
        <v>0</v>
      </c>
      <c r="M235" s="94" t="s">
        <v>0</v>
      </c>
      <c r="N235" s="94" t="s">
        <v>0</v>
      </c>
      <c r="O235" s="94" t="s">
        <v>0</v>
      </c>
      <c r="P235" s="94" t="s">
        <v>3</v>
      </c>
      <c r="Q235" s="94" t="s">
        <v>4</v>
      </c>
      <c r="R235" s="94" t="s">
        <v>0</v>
      </c>
      <c r="S235" s="94" t="s">
        <v>0</v>
      </c>
      <c r="T235" s="94" t="s">
        <v>0</v>
      </c>
      <c r="U235" s="94" t="s">
        <v>0</v>
      </c>
      <c r="V235" s="94" t="s">
        <v>0</v>
      </c>
      <c r="W235" s="94" t="s">
        <v>0</v>
      </c>
      <c r="X235" s="94" t="s">
        <v>0</v>
      </c>
      <c r="Y235" s="94" t="s">
        <v>0</v>
      </c>
      <c r="Z235" s="94" t="s">
        <v>0</v>
      </c>
      <c r="AA235" s="94" t="s">
        <v>0</v>
      </c>
      <c r="AB235" s="94" t="s">
        <v>0</v>
      </c>
      <c r="AC235" s="94" t="s">
        <v>0</v>
      </c>
      <c r="AD235" s="94" t="s">
        <v>4</v>
      </c>
      <c r="AE235" s="94"/>
      <c r="AF235" s="94"/>
      <c r="AG235" s="94"/>
      <c r="AH235" s="94"/>
      <c r="AI235" s="57"/>
      <c r="AJ235" s="47"/>
      <c r="AK235" s="47"/>
      <c r="AL235" s="47"/>
    </row>
    <row r="236" spans="2:38" ht="15.75" x14ac:dyDescent="0.25">
      <c r="B236" s="89"/>
      <c r="C236" s="89"/>
      <c r="D236" s="95" t="s">
        <v>33</v>
      </c>
      <c r="E236" s="146">
        <v>0</v>
      </c>
      <c r="F236" s="146">
        <v>0</v>
      </c>
      <c r="G236" s="146">
        <v>0</v>
      </c>
      <c r="H236" s="146">
        <v>0</v>
      </c>
      <c r="I236" s="146">
        <v>0</v>
      </c>
      <c r="J236" s="146">
        <v>0</v>
      </c>
      <c r="K236" s="146">
        <v>0</v>
      </c>
      <c r="L236" s="146">
        <v>0</v>
      </c>
      <c r="M236" s="146">
        <v>0</v>
      </c>
      <c r="N236" s="146">
        <v>0</v>
      </c>
      <c r="O236" s="146">
        <v>0</v>
      </c>
      <c r="P236" s="146">
        <v>0</v>
      </c>
      <c r="Q236" s="146">
        <v>0</v>
      </c>
      <c r="R236" s="146">
        <v>0</v>
      </c>
      <c r="S236" s="146">
        <v>0</v>
      </c>
      <c r="T236" s="146">
        <v>0</v>
      </c>
      <c r="U236" s="146">
        <v>0</v>
      </c>
      <c r="V236" s="146">
        <v>0</v>
      </c>
      <c r="W236" s="146">
        <v>0</v>
      </c>
      <c r="X236" s="146">
        <v>0</v>
      </c>
      <c r="Y236" s="146">
        <v>0</v>
      </c>
      <c r="Z236" s="146">
        <v>0</v>
      </c>
      <c r="AA236" s="146">
        <v>0</v>
      </c>
      <c r="AB236" s="146">
        <v>0</v>
      </c>
      <c r="AC236" s="146">
        <v>0</v>
      </c>
      <c r="AD236" s="146">
        <v>0</v>
      </c>
      <c r="AE236" s="146">
        <v>0</v>
      </c>
      <c r="AF236" s="146">
        <v>0</v>
      </c>
      <c r="AG236" s="146">
        <v>0</v>
      </c>
      <c r="AH236" s="146">
        <v>0</v>
      </c>
      <c r="AI236" s="57"/>
      <c r="AJ236" s="47"/>
      <c r="AK236" s="47"/>
      <c r="AL236" s="47"/>
    </row>
    <row r="237" spans="2:38" ht="15.75" x14ac:dyDescent="0.25">
      <c r="B237" s="89"/>
      <c r="C237" s="89"/>
      <c r="D237" s="95" t="s">
        <v>34</v>
      </c>
      <c r="E237" s="146">
        <v>0</v>
      </c>
      <c r="F237" s="146">
        <v>0</v>
      </c>
      <c r="G237" s="146">
        <v>0</v>
      </c>
      <c r="H237" s="146">
        <v>0</v>
      </c>
      <c r="I237" s="146">
        <v>0</v>
      </c>
      <c r="J237" s="146">
        <v>0</v>
      </c>
      <c r="K237" s="146">
        <v>0</v>
      </c>
      <c r="L237" s="146">
        <v>0</v>
      </c>
      <c r="M237" s="146">
        <v>0</v>
      </c>
      <c r="N237" s="146">
        <v>0</v>
      </c>
      <c r="O237" s="146">
        <v>0</v>
      </c>
      <c r="P237" s="146">
        <v>0</v>
      </c>
      <c r="Q237" s="146">
        <v>0</v>
      </c>
      <c r="R237" s="146">
        <v>0</v>
      </c>
      <c r="S237" s="146">
        <v>0</v>
      </c>
      <c r="T237" s="146">
        <v>0</v>
      </c>
      <c r="U237" s="146">
        <v>0</v>
      </c>
      <c r="V237" s="146">
        <v>0</v>
      </c>
      <c r="W237" s="146">
        <v>0</v>
      </c>
      <c r="X237" s="146">
        <v>0</v>
      </c>
      <c r="Y237" s="146">
        <v>0</v>
      </c>
      <c r="Z237" s="146">
        <v>0</v>
      </c>
      <c r="AA237" s="146">
        <v>0</v>
      </c>
      <c r="AB237" s="146">
        <v>0</v>
      </c>
      <c r="AC237" s="146">
        <v>0</v>
      </c>
      <c r="AD237" s="146">
        <v>0</v>
      </c>
      <c r="AE237" s="146">
        <v>0</v>
      </c>
      <c r="AF237" s="146">
        <v>0</v>
      </c>
      <c r="AG237" s="146">
        <v>0</v>
      </c>
      <c r="AH237" s="146">
        <v>0</v>
      </c>
      <c r="AI237" s="57"/>
      <c r="AJ237" s="47"/>
      <c r="AK237" s="47"/>
      <c r="AL237" s="47"/>
    </row>
    <row r="238" spans="2:38" ht="15.75" x14ac:dyDescent="0.25">
      <c r="B238" s="89"/>
      <c r="C238" s="89"/>
      <c r="D238" s="92">
        <v>45341</v>
      </c>
      <c r="E238" s="94" t="s">
        <v>0</v>
      </c>
      <c r="F238" s="94" t="s">
        <v>1</v>
      </c>
      <c r="G238" s="94" t="s">
        <v>2</v>
      </c>
      <c r="H238" s="94" t="s">
        <v>4</v>
      </c>
      <c r="I238" s="94" t="s">
        <v>0</v>
      </c>
      <c r="J238" s="94" t="s">
        <v>0</v>
      </c>
      <c r="K238" s="94" t="s">
        <v>0</v>
      </c>
      <c r="L238" s="94" t="s">
        <v>0</v>
      </c>
      <c r="M238" s="94" t="s">
        <v>0</v>
      </c>
      <c r="N238" s="94" t="s">
        <v>0</v>
      </c>
      <c r="O238" s="94" t="s">
        <v>3</v>
      </c>
      <c r="P238" s="94" t="s">
        <v>4</v>
      </c>
      <c r="Q238" s="94" t="s">
        <v>0</v>
      </c>
      <c r="R238" s="94" t="s">
        <v>0</v>
      </c>
      <c r="S238" s="94" t="s">
        <v>0</v>
      </c>
      <c r="T238" s="94" t="s">
        <v>0</v>
      </c>
      <c r="U238" s="94" t="s">
        <v>0</v>
      </c>
      <c r="V238" s="94" t="s">
        <v>0</v>
      </c>
      <c r="W238" s="94" t="s">
        <v>0</v>
      </c>
      <c r="X238" s="94" t="s">
        <v>0</v>
      </c>
      <c r="Y238" s="94" t="s">
        <v>0</v>
      </c>
      <c r="Z238" s="94" t="s">
        <v>0</v>
      </c>
      <c r="AA238" s="94" t="s">
        <v>0</v>
      </c>
      <c r="AB238" s="94" t="s">
        <v>0</v>
      </c>
      <c r="AC238" s="94" t="s">
        <v>4</v>
      </c>
      <c r="AD238" s="94"/>
      <c r="AE238" s="94"/>
      <c r="AF238" s="94"/>
      <c r="AG238" s="94"/>
      <c r="AH238" s="94"/>
      <c r="AI238" s="57"/>
      <c r="AJ238" s="47"/>
      <c r="AK238" s="47"/>
      <c r="AL238" s="47"/>
    </row>
    <row r="239" spans="2:38" ht="15.75" x14ac:dyDescent="0.25">
      <c r="B239" s="89"/>
      <c r="C239" s="89"/>
      <c r="D239" s="95" t="s">
        <v>33</v>
      </c>
      <c r="E239" s="146">
        <v>0</v>
      </c>
      <c r="F239" s="146">
        <v>0</v>
      </c>
      <c r="G239" s="146">
        <v>0</v>
      </c>
      <c r="H239" s="146">
        <v>0</v>
      </c>
      <c r="I239" s="146">
        <v>0</v>
      </c>
      <c r="J239" s="146">
        <v>0</v>
      </c>
      <c r="K239" s="146">
        <v>0</v>
      </c>
      <c r="L239" s="146">
        <v>0</v>
      </c>
      <c r="M239" s="146">
        <v>0</v>
      </c>
      <c r="N239" s="146">
        <v>0</v>
      </c>
      <c r="O239" s="146">
        <v>0</v>
      </c>
      <c r="P239" s="146">
        <v>0</v>
      </c>
      <c r="Q239" s="146">
        <v>0</v>
      </c>
      <c r="R239" s="146">
        <v>0</v>
      </c>
      <c r="S239" s="146">
        <v>0</v>
      </c>
      <c r="T239" s="146">
        <v>0</v>
      </c>
      <c r="U239" s="146">
        <v>0</v>
      </c>
      <c r="V239" s="146">
        <v>0</v>
      </c>
      <c r="W239" s="146">
        <v>0</v>
      </c>
      <c r="X239" s="146">
        <v>0</v>
      </c>
      <c r="Y239" s="146">
        <v>0</v>
      </c>
      <c r="Z239" s="146">
        <v>0</v>
      </c>
      <c r="AA239" s="146">
        <v>0</v>
      </c>
      <c r="AB239" s="146">
        <v>0</v>
      </c>
      <c r="AC239" s="146">
        <v>0</v>
      </c>
      <c r="AD239" s="146">
        <v>0</v>
      </c>
      <c r="AE239" s="146">
        <v>0</v>
      </c>
      <c r="AF239" s="146">
        <v>0</v>
      </c>
      <c r="AG239" s="146">
        <v>0</v>
      </c>
      <c r="AH239" s="146">
        <v>0</v>
      </c>
      <c r="AI239" s="57"/>
      <c r="AJ239" s="47"/>
      <c r="AK239" s="47"/>
      <c r="AL239" s="47"/>
    </row>
    <row r="240" spans="2:38" ht="15.75" x14ac:dyDescent="0.25">
      <c r="B240" s="89"/>
      <c r="C240" s="89"/>
      <c r="D240" s="95" t="s">
        <v>34</v>
      </c>
      <c r="E240" s="146">
        <v>0</v>
      </c>
      <c r="F240" s="146">
        <v>0</v>
      </c>
      <c r="G240" s="146">
        <v>0</v>
      </c>
      <c r="H240" s="146">
        <v>0</v>
      </c>
      <c r="I240" s="146">
        <v>0</v>
      </c>
      <c r="J240" s="146">
        <v>0</v>
      </c>
      <c r="K240" s="146">
        <v>0</v>
      </c>
      <c r="L240" s="146">
        <v>0</v>
      </c>
      <c r="M240" s="146">
        <v>0</v>
      </c>
      <c r="N240" s="146">
        <v>0</v>
      </c>
      <c r="O240" s="146">
        <v>0</v>
      </c>
      <c r="P240" s="146">
        <v>0</v>
      </c>
      <c r="Q240" s="146">
        <v>0</v>
      </c>
      <c r="R240" s="146">
        <v>0</v>
      </c>
      <c r="S240" s="146">
        <v>0</v>
      </c>
      <c r="T240" s="146">
        <v>0</v>
      </c>
      <c r="U240" s="146">
        <v>0</v>
      </c>
      <c r="V240" s="146">
        <v>0</v>
      </c>
      <c r="W240" s="146">
        <v>0</v>
      </c>
      <c r="X240" s="146">
        <v>0</v>
      </c>
      <c r="Y240" s="146">
        <v>0</v>
      </c>
      <c r="Z240" s="146">
        <v>0</v>
      </c>
      <c r="AA240" s="146">
        <v>0</v>
      </c>
      <c r="AB240" s="146">
        <v>0</v>
      </c>
      <c r="AC240" s="146">
        <v>0</v>
      </c>
      <c r="AD240" s="146">
        <v>0</v>
      </c>
      <c r="AE240" s="146">
        <v>0</v>
      </c>
      <c r="AF240" s="146">
        <v>0</v>
      </c>
      <c r="AG240" s="146">
        <v>0</v>
      </c>
      <c r="AH240" s="146">
        <v>0</v>
      </c>
      <c r="AI240" s="57"/>
      <c r="AJ240" s="47"/>
      <c r="AK240" s="47"/>
      <c r="AL240" s="47"/>
    </row>
    <row r="241" spans="2:38" ht="15.75" x14ac:dyDescent="0.25">
      <c r="B241" s="89"/>
      <c r="C241" s="89"/>
      <c r="D241" s="92">
        <v>45334</v>
      </c>
      <c r="E241" s="94" t="s">
        <v>1</v>
      </c>
      <c r="F241" s="94" t="s">
        <v>2</v>
      </c>
      <c r="G241" s="94" t="s">
        <v>4</v>
      </c>
      <c r="H241" s="94" t="s">
        <v>0</v>
      </c>
      <c r="I241" s="94" t="s">
        <v>0</v>
      </c>
      <c r="J241" s="94" t="s">
        <v>0</v>
      </c>
      <c r="K241" s="94" t="s">
        <v>0</v>
      </c>
      <c r="L241" s="94" t="s">
        <v>0</v>
      </c>
      <c r="M241" s="94" t="s">
        <v>0</v>
      </c>
      <c r="N241" s="94" t="s">
        <v>3</v>
      </c>
      <c r="O241" s="94" t="s">
        <v>4</v>
      </c>
      <c r="P241" s="94" t="s">
        <v>0</v>
      </c>
      <c r="Q241" s="94" t="s">
        <v>0</v>
      </c>
      <c r="R241" s="94" t="s">
        <v>0</v>
      </c>
      <c r="S241" s="94" t="s">
        <v>0</v>
      </c>
      <c r="T241" s="94" t="s">
        <v>0</v>
      </c>
      <c r="U241" s="94" t="s">
        <v>0</v>
      </c>
      <c r="V241" s="94" t="s">
        <v>0</v>
      </c>
      <c r="W241" s="94" t="s">
        <v>0</v>
      </c>
      <c r="X241" s="94" t="s">
        <v>0</v>
      </c>
      <c r="Y241" s="94" t="s">
        <v>0</v>
      </c>
      <c r="Z241" s="94" t="s">
        <v>0</v>
      </c>
      <c r="AA241" s="94" t="s">
        <v>0</v>
      </c>
      <c r="AB241" s="94" t="s">
        <v>4</v>
      </c>
      <c r="AC241" s="94"/>
      <c r="AD241" s="94"/>
      <c r="AE241" s="94"/>
      <c r="AF241" s="94"/>
      <c r="AG241" s="94"/>
      <c r="AH241" s="94"/>
      <c r="AI241" s="57"/>
      <c r="AJ241" s="47"/>
      <c r="AK241" s="47"/>
      <c r="AL241" s="47"/>
    </row>
    <row r="242" spans="2:38" ht="15.75" x14ac:dyDescent="0.25">
      <c r="B242" s="89"/>
      <c r="C242" s="89"/>
      <c r="D242" s="95" t="s">
        <v>33</v>
      </c>
      <c r="E242" s="146">
        <v>0</v>
      </c>
      <c r="F242" s="146">
        <v>0</v>
      </c>
      <c r="G242" s="146">
        <v>0</v>
      </c>
      <c r="H242" s="146">
        <v>0</v>
      </c>
      <c r="I242" s="146">
        <v>0</v>
      </c>
      <c r="J242" s="146">
        <v>0</v>
      </c>
      <c r="K242" s="146">
        <v>0</v>
      </c>
      <c r="L242" s="146">
        <v>0</v>
      </c>
      <c r="M242" s="146">
        <v>0</v>
      </c>
      <c r="N242" s="146">
        <v>0</v>
      </c>
      <c r="O242" s="146">
        <v>0</v>
      </c>
      <c r="P242" s="146">
        <v>0</v>
      </c>
      <c r="Q242" s="146">
        <v>0</v>
      </c>
      <c r="R242" s="146">
        <v>0</v>
      </c>
      <c r="S242" s="146">
        <v>0</v>
      </c>
      <c r="T242" s="146">
        <v>0</v>
      </c>
      <c r="U242" s="146">
        <v>0</v>
      </c>
      <c r="V242" s="146">
        <v>0</v>
      </c>
      <c r="W242" s="146">
        <v>0</v>
      </c>
      <c r="X242" s="146">
        <v>0</v>
      </c>
      <c r="Y242" s="146">
        <v>0</v>
      </c>
      <c r="Z242" s="146">
        <v>0</v>
      </c>
      <c r="AA242" s="146">
        <v>0</v>
      </c>
      <c r="AB242" s="146">
        <v>0</v>
      </c>
      <c r="AC242" s="146">
        <v>0</v>
      </c>
      <c r="AD242" s="146">
        <v>0</v>
      </c>
      <c r="AE242" s="146">
        <v>0</v>
      </c>
      <c r="AF242" s="146">
        <v>0</v>
      </c>
      <c r="AG242" s="146">
        <v>0</v>
      </c>
      <c r="AH242" s="146">
        <v>0</v>
      </c>
      <c r="AI242" s="57"/>
      <c r="AJ242" s="47"/>
      <c r="AK242" s="47"/>
      <c r="AL242" s="47"/>
    </row>
    <row r="243" spans="2:38" ht="15.75" x14ac:dyDescent="0.25">
      <c r="B243" s="89"/>
      <c r="C243" s="89"/>
      <c r="D243" s="95" t="s">
        <v>34</v>
      </c>
      <c r="E243" s="146">
        <v>0</v>
      </c>
      <c r="F243" s="146">
        <v>0</v>
      </c>
      <c r="G243" s="146">
        <v>0</v>
      </c>
      <c r="H243" s="146">
        <v>0</v>
      </c>
      <c r="I243" s="146">
        <v>0</v>
      </c>
      <c r="J243" s="146">
        <v>0</v>
      </c>
      <c r="K243" s="146">
        <v>0</v>
      </c>
      <c r="L243" s="146">
        <v>0</v>
      </c>
      <c r="M243" s="146">
        <v>0</v>
      </c>
      <c r="N243" s="146">
        <v>0</v>
      </c>
      <c r="O243" s="146">
        <v>0</v>
      </c>
      <c r="P243" s="146">
        <v>0</v>
      </c>
      <c r="Q243" s="146">
        <v>0</v>
      </c>
      <c r="R243" s="146">
        <v>0</v>
      </c>
      <c r="S243" s="146">
        <v>0</v>
      </c>
      <c r="T243" s="146">
        <v>0</v>
      </c>
      <c r="U243" s="146">
        <v>0</v>
      </c>
      <c r="V243" s="146">
        <v>0</v>
      </c>
      <c r="W243" s="146">
        <v>0</v>
      </c>
      <c r="X243" s="146">
        <v>0</v>
      </c>
      <c r="Y243" s="146">
        <v>0</v>
      </c>
      <c r="Z243" s="146">
        <v>0</v>
      </c>
      <c r="AA243" s="146">
        <v>0</v>
      </c>
      <c r="AB243" s="146">
        <v>0</v>
      </c>
      <c r="AC243" s="146">
        <v>0</v>
      </c>
      <c r="AD243" s="146">
        <v>0</v>
      </c>
      <c r="AE243" s="146">
        <v>0</v>
      </c>
      <c r="AF243" s="146">
        <v>0</v>
      </c>
      <c r="AG243" s="146">
        <v>0</v>
      </c>
      <c r="AH243" s="146">
        <v>0</v>
      </c>
      <c r="AI243" s="57"/>
      <c r="AJ243" s="47"/>
      <c r="AK243" s="47"/>
      <c r="AL243" s="47"/>
    </row>
    <row r="244" spans="2:38" ht="15.75" x14ac:dyDescent="0.25">
      <c r="B244" s="89"/>
      <c r="C244" s="89"/>
      <c r="D244" s="92">
        <v>45327</v>
      </c>
      <c r="E244" s="94" t="s">
        <v>2</v>
      </c>
      <c r="F244" s="94" t="s">
        <v>4</v>
      </c>
      <c r="G244" s="94" t="s">
        <v>0</v>
      </c>
      <c r="H244" s="94" t="s">
        <v>0</v>
      </c>
      <c r="I244" s="94" t="s">
        <v>0</v>
      </c>
      <c r="J244" s="94" t="s">
        <v>0</v>
      </c>
      <c r="K244" s="94" t="s">
        <v>0</v>
      </c>
      <c r="L244" s="94" t="s">
        <v>0</v>
      </c>
      <c r="M244" s="94" t="s">
        <v>3</v>
      </c>
      <c r="N244" s="94" t="s">
        <v>4</v>
      </c>
      <c r="O244" s="94" t="s">
        <v>0</v>
      </c>
      <c r="P244" s="94" t="s">
        <v>0</v>
      </c>
      <c r="Q244" s="94" t="s">
        <v>0</v>
      </c>
      <c r="R244" s="94" t="s">
        <v>0</v>
      </c>
      <c r="S244" s="94" t="s">
        <v>0</v>
      </c>
      <c r="T244" s="94" t="s">
        <v>0</v>
      </c>
      <c r="U244" s="94" t="s">
        <v>0</v>
      </c>
      <c r="V244" s="94" t="s">
        <v>0</v>
      </c>
      <c r="W244" s="94" t="s">
        <v>0</v>
      </c>
      <c r="X244" s="94" t="s">
        <v>0</v>
      </c>
      <c r="Y244" s="94" t="s">
        <v>0</v>
      </c>
      <c r="Z244" s="94" t="s">
        <v>0</v>
      </c>
      <c r="AA244" s="94" t="s">
        <v>4</v>
      </c>
      <c r="AB244" s="94"/>
      <c r="AC244" s="94"/>
      <c r="AD244" s="94"/>
      <c r="AE244" s="94"/>
      <c r="AF244" s="94"/>
      <c r="AG244" s="94"/>
      <c r="AH244" s="94"/>
      <c r="AI244" s="57"/>
      <c r="AJ244" s="47"/>
      <c r="AK244" s="47"/>
      <c r="AL244" s="47"/>
    </row>
    <row r="245" spans="2:38" ht="15.75" x14ac:dyDescent="0.25">
      <c r="B245" s="89"/>
      <c r="C245" s="89"/>
      <c r="D245" s="95" t="s">
        <v>33</v>
      </c>
      <c r="E245" s="146">
        <v>0</v>
      </c>
      <c r="F245" s="146">
        <v>0</v>
      </c>
      <c r="G245" s="146">
        <v>0</v>
      </c>
      <c r="H245" s="146">
        <v>0</v>
      </c>
      <c r="I245" s="146">
        <v>0</v>
      </c>
      <c r="J245" s="146">
        <v>0</v>
      </c>
      <c r="K245" s="146">
        <v>0</v>
      </c>
      <c r="L245" s="146">
        <v>0</v>
      </c>
      <c r="M245" s="146">
        <v>0</v>
      </c>
      <c r="N245" s="146">
        <v>0</v>
      </c>
      <c r="O245" s="146">
        <v>0</v>
      </c>
      <c r="P245" s="146">
        <v>0</v>
      </c>
      <c r="Q245" s="146">
        <v>0</v>
      </c>
      <c r="R245" s="146">
        <v>0</v>
      </c>
      <c r="S245" s="146">
        <v>0</v>
      </c>
      <c r="T245" s="146">
        <v>0</v>
      </c>
      <c r="U245" s="146">
        <v>0</v>
      </c>
      <c r="V245" s="146">
        <v>0</v>
      </c>
      <c r="W245" s="146">
        <v>0</v>
      </c>
      <c r="X245" s="146">
        <v>0</v>
      </c>
      <c r="Y245" s="146">
        <v>0</v>
      </c>
      <c r="Z245" s="146">
        <v>0</v>
      </c>
      <c r="AA245" s="146">
        <v>0</v>
      </c>
      <c r="AB245" s="146">
        <v>0</v>
      </c>
      <c r="AC245" s="146">
        <v>0</v>
      </c>
      <c r="AD245" s="146">
        <v>0</v>
      </c>
      <c r="AE245" s="146">
        <v>0</v>
      </c>
      <c r="AF245" s="146">
        <v>0</v>
      </c>
      <c r="AG245" s="146">
        <v>0</v>
      </c>
      <c r="AH245" s="146">
        <v>0</v>
      </c>
      <c r="AI245" s="57"/>
      <c r="AJ245" s="47"/>
      <c r="AK245" s="47"/>
      <c r="AL245" s="47"/>
    </row>
    <row r="246" spans="2:38" ht="15.75" x14ac:dyDescent="0.25">
      <c r="B246" s="89"/>
      <c r="C246" s="89"/>
      <c r="D246" s="95" t="s">
        <v>34</v>
      </c>
      <c r="E246" s="146">
        <v>0</v>
      </c>
      <c r="F246" s="146">
        <v>0</v>
      </c>
      <c r="G246" s="146">
        <v>0</v>
      </c>
      <c r="H246" s="146">
        <v>0</v>
      </c>
      <c r="I246" s="146">
        <v>0</v>
      </c>
      <c r="J246" s="146">
        <v>0</v>
      </c>
      <c r="K246" s="146">
        <v>0</v>
      </c>
      <c r="L246" s="146">
        <v>0</v>
      </c>
      <c r="M246" s="146">
        <v>0</v>
      </c>
      <c r="N246" s="146">
        <v>0</v>
      </c>
      <c r="O246" s="146">
        <v>0</v>
      </c>
      <c r="P246" s="146">
        <v>0</v>
      </c>
      <c r="Q246" s="146">
        <v>0</v>
      </c>
      <c r="R246" s="146">
        <v>0</v>
      </c>
      <c r="S246" s="146">
        <v>0</v>
      </c>
      <c r="T246" s="146">
        <v>0</v>
      </c>
      <c r="U246" s="146">
        <v>0</v>
      </c>
      <c r="V246" s="146">
        <v>0</v>
      </c>
      <c r="W246" s="146">
        <v>0</v>
      </c>
      <c r="X246" s="146">
        <v>0</v>
      </c>
      <c r="Y246" s="146">
        <v>0</v>
      </c>
      <c r="Z246" s="146">
        <v>0</v>
      </c>
      <c r="AA246" s="146">
        <v>0</v>
      </c>
      <c r="AB246" s="146">
        <v>0</v>
      </c>
      <c r="AC246" s="146">
        <v>0</v>
      </c>
      <c r="AD246" s="146">
        <v>0</v>
      </c>
      <c r="AE246" s="146">
        <v>0</v>
      </c>
      <c r="AF246" s="146">
        <v>0</v>
      </c>
      <c r="AG246" s="146">
        <v>0</v>
      </c>
      <c r="AH246" s="146">
        <v>0</v>
      </c>
      <c r="AI246" s="57"/>
      <c r="AJ246" s="47"/>
      <c r="AK246" s="47"/>
      <c r="AL246" s="47"/>
    </row>
    <row r="247" spans="2:38" ht="15.75" x14ac:dyDescent="0.25">
      <c r="B247" s="89"/>
      <c r="C247" s="89"/>
      <c r="D247" s="92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57"/>
      <c r="AJ247" s="47"/>
      <c r="AK247" s="47"/>
      <c r="AL247" s="47"/>
    </row>
    <row r="248" spans="2:38" ht="15.75" x14ac:dyDescent="0.25">
      <c r="B248" s="89"/>
      <c r="C248" s="89"/>
      <c r="D248" s="95" t="s">
        <v>33</v>
      </c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57"/>
      <c r="AJ248" s="47"/>
      <c r="AK248" s="47"/>
      <c r="AL248" s="47"/>
    </row>
    <row r="249" spans="2:38" ht="15.75" x14ac:dyDescent="0.25">
      <c r="B249" s="89"/>
      <c r="C249" s="89"/>
      <c r="D249" s="95" t="s">
        <v>34</v>
      </c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57"/>
      <c r="AJ249" s="47"/>
      <c r="AK249" s="47"/>
      <c r="AL249" s="47"/>
    </row>
    <row r="250" spans="2:38" ht="15.75" x14ac:dyDescent="0.25">
      <c r="B250" s="89"/>
      <c r="C250" s="89"/>
      <c r="D250" s="92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57"/>
      <c r="AJ250" s="47"/>
      <c r="AK250" s="47"/>
      <c r="AL250" s="47"/>
    </row>
    <row r="251" spans="2:38" ht="15.75" x14ac:dyDescent="0.25">
      <c r="B251" s="89"/>
      <c r="C251" s="89"/>
      <c r="D251" s="95" t="s">
        <v>33</v>
      </c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57"/>
      <c r="AJ251" s="47"/>
      <c r="AK251" s="47"/>
      <c r="AL251" s="47"/>
    </row>
    <row r="252" spans="2:38" ht="15" x14ac:dyDescent="0.25">
      <c r="B252" s="96"/>
      <c r="C252" s="96"/>
      <c r="D252" s="95" t="s">
        <v>34</v>
      </c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55"/>
    </row>
  </sheetData>
  <mergeCells count="2">
    <mergeCell ref="B1:D1"/>
    <mergeCell ref="B2:D2"/>
  </mergeCells>
  <conditionalFormatting sqref="AI19:AI22">
    <cfRule type="cellIs" dxfId="138" priority="488" operator="lessThan">
      <formula>0</formula>
    </cfRule>
  </conditionalFormatting>
  <conditionalFormatting sqref="L12:AI12 AI13">
    <cfRule type="cellIs" dxfId="137" priority="484" operator="greaterThan">
      <formula>5</formula>
    </cfRule>
  </conditionalFormatting>
  <conditionalFormatting sqref="AK8:AK9">
    <cfRule type="containsText" dxfId="136" priority="446" operator="containsText" text="false">
      <formula>NOT(ISERROR(SEARCH("false",AK8)))</formula>
    </cfRule>
  </conditionalFormatting>
  <conditionalFormatting sqref="J19:AH19">
    <cfRule type="cellIs" dxfId="135" priority="422" operator="greaterThan">
      <formula>0</formula>
    </cfRule>
  </conditionalFormatting>
  <conditionalFormatting sqref="A21:XFD22">
    <cfRule type="cellIs" dxfId="134" priority="232" operator="lessThan">
      <formula>0</formula>
    </cfRule>
  </conditionalFormatting>
  <conditionalFormatting sqref="AI23:AI51">
    <cfRule type="cellIs" dxfId="133" priority="140" operator="lessThan">
      <formula>0</formula>
    </cfRule>
  </conditionalFormatting>
  <conditionalFormatting sqref="J51:AH52">
    <cfRule type="cellIs" dxfId="132" priority="126" operator="lessThan">
      <formula>0</formula>
    </cfRule>
  </conditionalFormatting>
  <conditionalFormatting sqref="J26:AH26">
    <cfRule type="cellIs" dxfId="131" priority="139" operator="lessThan">
      <formula>0</formula>
    </cfRule>
  </conditionalFormatting>
  <conditionalFormatting sqref="J29:AH29">
    <cfRule type="cellIs" dxfId="130" priority="138" operator="lessThan">
      <formula>0</formula>
    </cfRule>
  </conditionalFormatting>
  <conditionalFormatting sqref="J32:AH32">
    <cfRule type="cellIs" dxfId="129" priority="137" operator="lessThan">
      <formula>0</formula>
    </cfRule>
  </conditionalFormatting>
  <conditionalFormatting sqref="J35:AH35">
    <cfRule type="cellIs" dxfId="128" priority="136" operator="lessThan">
      <formula>0</formula>
    </cfRule>
  </conditionalFormatting>
  <conditionalFormatting sqref="J38:AH38">
    <cfRule type="cellIs" dxfId="127" priority="135" operator="lessThan">
      <formula>0</formula>
    </cfRule>
  </conditionalFormatting>
  <conditionalFormatting sqref="J47:AH47">
    <cfRule type="cellIs" dxfId="126" priority="134" operator="lessThan">
      <formula>0</formula>
    </cfRule>
  </conditionalFormatting>
  <conditionalFormatting sqref="J50:AH50">
    <cfRule type="cellIs" dxfId="125" priority="133" operator="lessThan">
      <formula>0</formula>
    </cfRule>
  </conditionalFormatting>
  <conditionalFormatting sqref="J27:AH28">
    <cfRule type="cellIs" dxfId="124" priority="132" operator="lessThan">
      <formula>0</formula>
    </cfRule>
  </conditionalFormatting>
  <conditionalFormatting sqref="J30:AH31">
    <cfRule type="cellIs" dxfId="123" priority="131" operator="lessThan">
      <formula>0</formula>
    </cfRule>
  </conditionalFormatting>
  <conditionalFormatting sqref="J33:AH34">
    <cfRule type="cellIs" dxfId="122" priority="130" operator="lessThan">
      <formula>0</formula>
    </cfRule>
  </conditionalFormatting>
  <conditionalFormatting sqref="J36:AH37">
    <cfRule type="cellIs" dxfId="121" priority="129" operator="lessThan">
      <formula>0</formula>
    </cfRule>
  </conditionalFormatting>
  <conditionalFormatting sqref="J39:AH40">
    <cfRule type="cellIs" dxfId="120" priority="128" operator="lessThan">
      <formula>0</formula>
    </cfRule>
  </conditionalFormatting>
  <conditionalFormatting sqref="J48:AH49">
    <cfRule type="cellIs" dxfId="119" priority="127" operator="lessThan">
      <formula>0</formula>
    </cfRule>
  </conditionalFormatting>
  <conditionalFormatting sqref="J41:AH41">
    <cfRule type="cellIs" dxfId="118" priority="125" operator="lessThan">
      <formula>0</formula>
    </cfRule>
  </conditionalFormatting>
  <conditionalFormatting sqref="J42:AH43">
    <cfRule type="cellIs" dxfId="117" priority="124" operator="lessThan">
      <formula>0</formula>
    </cfRule>
  </conditionalFormatting>
  <conditionalFormatting sqref="J44:AH44">
    <cfRule type="cellIs" dxfId="116" priority="123" operator="lessThan">
      <formula>0</formula>
    </cfRule>
  </conditionalFormatting>
  <conditionalFormatting sqref="J45:AH46">
    <cfRule type="cellIs" dxfId="115" priority="122" operator="lessThan">
      <formula>0</formula>
    </cfRule>
  </conditionalFormatting>
  <conditionalFormatting sqref="AI69:AI72">
    <cfRule type="cellIs" dxfId="114" priority="121" operator="lessThan">
      <formula>0</formula>
    </cfRule>
  </conditionalFormatting>
  <conditionalFormatting sqref="L62:AI62 AI63">
    <cfRule type="cellIs" dxfId="113" priority="120" operator="greaterThan">
      <formula>5</formula>
    </cfRule>
  </conditionalFormatting>
  <conditionalFormatting sqref="AK59">
    <cfRule type="containsText" dxfId="112" priority="119" operator="containsText" text="false">
      <formula>NOT(ISERROR(SEARCH("false",AK59)))</formula>
    </cfRule>
  </conditionalFormatting>
  <conditionalFormatting sqref="J69:AH69">
    <cfRule type="cellIs" dxfId="111" priority="118" operator="greaterThan">
      <formula>0</formula>
    </cfRule>
  </conditionalFormatting>
  <conditionalFormatting sqref="A71:XFD72">
    <cfRule type="cellIs" dxfId="110" priority="117" operator="lessThan">
      <formula>0</formula>
    </cfRule>
  </conditionalFormatting>
  <conditionalFormatting sqref="AI73:AI101">
    <cfRule type="cellIs" dxfId="109" priority="116" operator="lessThan">
      <formula>0</formula>
    </cfRule>
  </conditionalFormatting>
  <conditionalFormatting sqref="J101:AH102">
    <cfRule type="cellIs" dxfId="108" priority="102" operator="lessThan">
      <formula>0</formula>
    </cfRule>
  </conditionalFormatting>
  <conditionalFormatting sqref="J76:AH76">
    <cfRule type="cellIs" dxfId="107" priority="115" operator="lessThan">
      <formula>0</formula>
    </cfRule>
  </conditionalFormatting>
  <conditionalFormatting sqref="J79:AH79">
    <cfRule type="cellIs" dxfId="106" priority="114" operator="lessThan">
      <formula>0</formula>
    </cfRule>
  </conditionalFormatting>
  <conditionalFormatting sqref="J82:AH82">
    <cfRule type="cellIs" dxfId="105" priority="113" operator="lessThan">
      <formula>0</formula>
    </cfRule>
  </conditionalFormatting>
  <conditionalFormatting sqref="J85:AH85">
    <cfRule type="cellIs" dxfId="104" priority="112" operator="lessThan">
      <formula>0</formula>
    </cfRule>
  </conditionalFormatting>
  <conditionalFormatting sqref="J88:AH88">
    <cfRule type="cellIs" dxfId="103" priority="111" operator="lessThan">
      <formula>0</formula>
    </cfRule>
  </conditionalFormatting>
  <conditionalFormatting sqref="J97:AH97">
    <cfRule type="cellIs" dxfId="102" priority="110" operator="lessThan">
      <formula>0</formula>
    </cfRule>
  </conditionalFormatting>
  <conditionalFormatting sqref="J100:AH100">
    <cfRule type="cellIs" dxfId="101" priority="109" operator="lessThan">
      <formula>0</formula>
    </cfRule>
  </conditionalFormatting>
  <conditionalFormatting sqref="J77:AH78">
    <cfRule type="cellIs" dxfId="100" priority="108" operator="lessThan">
      <formula>0</formula>
    </cfRule>
  </conditionalFormatting>
  <conditionalFormatting sqref="J80:AH81">
    <cfRule type="cellIs" dxfId="99" priority="107" operator="lessThan">
      <formula>0</formula>
    </cfRule>
  </conditionalFormatting>
  <conditionalFormatting sqref="J83:AH84">
    <cfRule type="cellIs" dxfId="98" priority="106" operator="lessThan">
      <formula>0</formula>
    </cfRule>
  </conditionalFormatting>
  <conditionalFormatting sqref="J86:AH87">
    <cfRule type="cellIs" dxfId="97" priority="105" operator="lessThan">
      <formula>0</formula>
    </cfRule>
  </conditionalFormatting>
  <conditionalFormatting sqref="J89:AH90">
    <cfRule type="cellIs" dxfId="96" priority="104" operator="lessThan">
      <formula>0</formula>
    </cfRule>
  </conditionalFormatting>
  <conditionalFormatting sqref="J98:AH99">
    <cfRule type="cellIs" dxfId="95" priority="103" operator="lessThan">
      <formula>0</formula>
    </cfRule>
  </conditionalFormatting>
  <conditionalFormatting sqref="J91:AH91">
    <cfRule type="cellIs" dxfId="94" priority="101" operator="lessThan">
      <formula>0</formula>
    </cfRule>
  </conditionalFormatting>
  <conditionalFormatting sqref="J92:AH93">
    <cfRule type="cellIs" dxfId="93" priority="100" operator="lessThan">
      <formula>0</formula>
    </cfRule>
  </conditionalFormatting>
  <conditionalFormatting sqref="J94:AH94">
    <cfRule type="cellIs" dxfId="92" priority="99" operator="lessThan">
      <formula>0</formula>
    </cfRule>
  </conditionalFormatting>
  <conditionalFormatting sqref="J95:AH96">
    <cfRule type="cellIs" dxfId="91" priority="98" operator="lessThan">
      <formula>0</formula>
    </cfRule>
  </conditionalFormatting>
  <conditionalFormatting sqref="AI119:AI122">
    <cfRule type="cellIs" dxfId="90" priority="97" operator="lessThan">
      <formula>0</formula>
    </cfRule>
  </conditionalFormatting>
  <conditionalFormatting sqref="L112:AI112 AI113">
    <cfRule type="cellIs" dxfId="89" priority="96" operator="greaterThan">
      <formula>5</formula>
    </cfRule>
  </conditionalFormatting>
  <conditionalFormatting sqref="AK109">
    <cfRule type="containsText" dxfId="88" priority="95" operator="containsText" text="false">
      <formula>NOT(ISERROR(SEARCH("false",AK109)))</formula>
    </cfRule>
  </conditionalFormatting>
  <conditionalFormatting sqref="J119:AH119">
    <cfRule type="cellIs" dxfId="87" priority="94" operator="greaterThan">
      <formula>0</formula>
    </cfRule>
  </conditionalFormatting>
  <conditionalFormatting sqref="A121:XFD122">
    <cfRule type="cellIs" dxfId="86" priority="93" operator="lessThan">
      <formula>0</formula>
    </cfRule>
  </conditionalFormatting>
  <conditionalFormatting sqref="AI123:AI151">
    <cfRule type="cellIs" dxfId="85" priority="92" operator="lessThan">
      <formula>0</formula>
    </cfRule>
  </conditionalFormatting>
  <conditionalFormatting sqref="J151:AH152">
    <cfRule type="cellIs" dxfId="84" priority="78" operator="lessThan">
      <formula>0</formula>
    </cfRule>
  </conditionalFormatting>
  <conditionalFormatting sqref="J126:AH126">
    <cfRule type="cellIs" dxfId="83" priority="91" operator="lessThan">
      <formula>0</formula>
    </cfRule>
  </conditionalFormatting>
  <conditionalFormatting sqref="J129:AH129">
    <cfRule type="cellIs" dxfId="82" priority="90" operator="lessThan">
      <formula>0</formula>
    </cfRule>
  </conditionalFormatting>
  <conditionalFormatting sqref="J132:AH132">
    <cfRule type="cellIs" dxfId="81" priority="89" operator="lessThan">
      <formula>0</formula>
    </cfRule>
  </conditionalFormatting>
  <conditionalFormatting sqref="J135:AH135">
    <cfRule type="cellIs" dxfId="80" priority="88" operator="lessThan">
      <formula>0</formula>
    </cfRule>
  </conditionalFormatting>
  <conditionalFormatting sqref="J138:AH138">
    <cfRule type="cellIs" dxfId="79" priority="87" operator="lessThan">
      <formula>0</formula>
    </cfRule>
  </conditionalFormatting>
  <conditionalFormatting sqref="J147:AH147">
    <cfRule type="cellIs" dxfId="78" priority="86" operator="lessThan">
      <formula>0</formula>
    </cfRule>
  </conditionalFormatting>
  <conditionalFormatting sqref="J150:AH150">
    <cfRule type="cellIs" dxfId="77" priority="85" operator="lessThan">
      <formula>0</formula>
    </cfRule>
  </conditionalFormatting>
  <conditionalFormatting sqref="J127:AH128">
    <cfRule type="cellIs" dxfId="76" priority="84" operator="lessThan">
      <formula>0</formula>
    </cfRule>
  </conditionalFormatting>
  <conditionalFormatting sqref="J130:AH131">
    <cfRule type="cellIs" dxfId="75" priority="83" operator="lessThan">
      <formula>0</formula>
    </cfRule>
  </conditionalFormatting>
  <conditionalFormatting sqref="J133:AH134">
    <cfRule type="cellIs" dxfId="74" priority="82" operator="lessThan">
      <formula>0</formula>
    </cfRule>
  </conditionalFormatting>
  <conditionalFormatting sqref="J136:AH137">
    <cfRule type="cellIs" dxfId="73" priority="81" operator="lessThan">
      <formula>0</formula>
    </cfRule>
  </conditionalFormatting>
  <conditionalFormatting sqref="J139:AH140">
    <cfRule type="cellIs" dxfId="72" priority="80" operator="lessThan">
      <formula>0</formula>
    </cfRule>
  </conditionalFormatting>
  <conditionalFormatting sqref="J148:AH149">
    <cfRule type="cellIs" dxfId="71" priority="79" operator="lessThan">
      <formula>0</formula>
    </cfRule>
  </conditionalFormatting>
  <conditionalFormatting sqref="J141:AH141">
    <cfRule type="cellIs" dxfId="70" priority="77" operator="lessThan">
      <formula>0</formula>
    </cfRule>
  </conditionalFormatting>
  <conditionalFormatting sqref="J142:AH143">
    <cfRule type="cellIs" dxfId="69" priority="76" operator="lessThan">
      <formula>0</formula>
    </cfRule>
  </conditionalFormatting>
  <conditionalFormatting sqref="J144:AH144">
    <cfRule type="cellIs" dxfId="68" priority="75" operator="lessThan">
      <formula>0</formula>
    </cfRule>
  </conditionalFormatting>
  <conditionalFormatting sqref="J145:AH146">
    <cfRule type="cellIs" dxfId="67" priority="74" operator="lessThan">
      <formula>0</formula>
    </cfRule>
  </conditionalFormatting>
  <conditionalFormatting sqref="AI169:AI172">
    <cfRule type="cellIs" dxfId="66" priority="73" operator="lessThan">
      <formula>0</formula>
    </cfRule>
  </conditionalFormatting>
  <conditionalFormatting sqref="L162:AI162 AI163">
    <cfRule type="cellIs" dxfId="65" priority="72" operator="greaterThan">
      <formula>5</formula>
    </cfRule>
  </conditionalFormatting>
  <conditionalFormatting sqref="AK159">
    <cfRule type="containsText" dxfId="64" priority="71" operator="containsText" text="false">
      <formula>NOT(ISERROR(SEARCH("false",AK159)))</formula>
    </cfRule>
  </conditionalFormatting>
  <conditionalFormatting sqref="J169:AH169">
    <cfRule type="cellIs" dxfId="63" priority="70" operator="greaterThan">
      <formula>0</formula>
    </cfRule>
  </conditionalFormatting>
  <conditionalFormatting sqref="A171:XFD172">
    <cfRule type="cellIs" dxfId="62" priority="69" operator="lessThan">
      <formula>0</formula>
    </cfRule>
  </conditionalFormatting>
  <conditionalFormatting sqref="AI173:AI201">
    <cfRule type="cellIs" dxfId="61" priority="68" operator="lessThan">
      <formula>0</formula>
    </cfRule>
  </conditionalFormatting>
  <conditionalFormatting sqref="J201:AH202">
    <cfRule type="cellIs" dxfId="60" priority="54" operator="lessThan">
      <formula>0</formula>
    </cfRule>
  </conditionalFormatting>
  <conditionalFormatting sqref="J176:AH176">
    <cfRule type="cellIs" dxfId="59" priority="67" operator="lessThan">
      <formula>0</formula>
    </cfRule>
  </conditionalFormatting>
  <conditionalFormatting sqref="J179:AH179">
    <cfRule type="cellIs" dxfId="58" priority="66" operator="lessThan">
      <formula>0</formula>
    </cfRule>
  </conditionalFormatting>
  <conditionalFormatting sqref="J182:AH182">
    <cfRule type="cellIs" dxfId="57" priority="65" operator="lessThan">
      <formula>0</formula>
    </cfRule>
  </conditionalFormatting>
  <conditionalFormatting sqref="J185:AH185">
    <cfRule type="cellIs" dxfId="56" priority="64" operator="lessThan">
      <formula>0</formula>
    </cfRule>
  </conditionalFormatting>
  <conditionalFormatting sqref="J188:AH188">
    <cfRule type="cellIs" dxfId="55" priority="63" operator="lessThan">
      <formula>0</formula>
    </cfRule>
  </conditionalFormatting>
  <conditionalFormatting sqref="J197:AH197">
    <cfRule type="cellIs" dxfId="54" priority="62" operator="lessThan">
      <formula>0</formula>
    </cfRule>
  </conditionalFormatting>
  <conditionalFormatting sqref="J200:AH200">
    <cfRule type="cellIs" dxfId="53" priority="61" operator="lessThan">
      <formula>0</formula>
    </cfRule>
  </conditionalFormatting>
  <conditionalFormatting sqref="J177:AH178">
    <cfRule type="cellIs" dxfId="52" priority="60" operator="lessThan">
      <formula>0</formula>
    </cfRule>
  </conditionalFormatting>
  <conditionalFormatting sqref="J180:AH181">
    <cfRule type="cellIs" dxfId="51" priority="59" operator="lessThan">
      <formula>0</formula>
    </cfRule>
  </conditionalFormatting>
  <conditionalFormatting sqref="J183:AH184">
    <cfRule type="cellIs" dxfId="50" priority="58" operator="lessThan">
      <formula>0</formula>
    </cfRule>
  </conditionalFormatting>
  <conditionalFormatting sqref="J186:AH187">
    <cfRule type="cellIs" dxfId="49" priority="57" operator="lessThan">
      <formula>0</formula>
    </cfRule>
  </conditionalFormatting>
  <conditionalFormatting sqref="J189:AH190">
    <cfRule type="cellIs" dxfId="48" priority="56" operator="lessThan">
      <formula>0</formula>
    </cfRule>
  </conditionalFormatting>
  <conditionalFormatting sqref="J198:AH199">
    <cfRule type="cellIs" dxfId="47" priority="55" operator="lessThan">
      <formula>0</formula>
    </cfRule>
  </conditionalFormatting>
  <conditionalFormatting sqref="J191:AH191">
    <cfRule type="cellIs" dxfId="46" priority="53" operator="lessThan">
      <formula>0</formula>
    </cfRule>
  </conditionalFormatting>
  <conditionalFormatting sqref="J192:AH193">
    <cfRule type="cellIs" dxfId="45" priority="52" operator="lessThan">
      <formula>0</formula>
    </cfRule>
  </conditionalFormatting>
  <conditionalFormatting sqref="J194:AH194">
    <cfRule type="cellIs" dxfId="44" priority="51" operator="lessThan">
      <formula>0</formula>
    </cfRule>
  </conditionalFormatting>
  <conditionalFormatting sqref="J195:AH196">
    <cfRule type="cellIs" dxfId="43" priority="50" operator="lessThan">
      <formula>0</formula>
    </cfRule>
  </conditionalFormatting>
  <conditionalFormatting sqref="M6:AH6">
    <cfRule type="cellIs" dxfId="42" priority="47" operator="greaterThanOrEqual">
      <formula>$AM$6</formula>
    </cfRule>
    <cfRule type="cellIs" dxfId="41" priority="48" operator="lessThan">
      <formula>$AK$6</formula>
    </cfRule>
    <cfRule type="cellIs" dxfId="40" priority="49" operator="between">
      <formula>$AK$6</formula>
      <formula>$AL$6</formula>
    </cfRule>
  </conditionalFormatting>
  <conditionalFormatting sqref="AK58">
    <cfRule type="containsText" dxfId="39" priority="46" operator="containsText" text="false">
      <formula>NOT(ISERROR(SEARCH("false",AK58)))</formula>
    </cfRule>
  </conditionalFormatting>
  <conditionalFormatting sqref="L56:AH56">
    <cfRule type="cellIs" dxfId="38" priority="43" operator="greaterThanOrEqual">
      <formula>$AM$56</formula>
    </cfRule>
    <cfRule type="cellIs" dxfId="37" priority="44" operator="lessThan">
      <formula>$AK$56</formula>
    </cfRule>
    <cfRule type="cellIs" dxfId="36" priority="45" operator="between">
      <formula>$AK$56</formula>
      <formula>$AL$56</formula>
    </cfRule>
  </conditionalFormatting>
  <conditionalFormatting sqref="AK108">
    <cfRule type="containsText" dxfId="35" priority="42" operator="containsText" text="false">
      <formula>NOT(ISERROR(SEARCH("false",AK108)))</formula>
    </cfRule>
  </conditionalFormatting>
  <conditionalFormatting sqref="L106:AH106">
    <cfRule type="cellIs" dxfId="34" priority="39" operator="greaterThanOrEqual">
      <formula>$AM$106</formula>
    </cfRule>
    <cfRule type="cellIs" dxfId="33" priority="40" operator="lessThan">
      <formula>$AK$106</formula>
    </cfRule>
    <cfRule type="cellIs" dxfId="32" priority="41" operator="between">
      <formula>$AL$106</formula>
      <formula>$AM$106</formula>
    </cfRule>
  </conditionalFormatting>
  <conditionalFormatting sqref="AK158">
    <cfRule type="containsText" dxfId="31" priority="38" operator="containsText" text="false">
      <formula>NOT(ISERROR(SEARCH("false",AK158)))</formula>
    </cfRule>
  </conditionalFormatting>
  <conditionalFormatting sqref="L156:AH156">
    <cfRule type="cellIs" dxfId="30" priority="35" operator="greaterThanOrEqual">
      <formula>$AM$156</formula>
    </cfRule>
    <cfRule type="cellIs" dxfId="29" priority="36" operator="lessThan">
      <formula>$AK$156</formula>
    </cfRule>
    <cfRule type="cellIs" dxfId="28" priority="37" operator="between">
      <formula>$AK$156</formula>
      <formula>$AL$156</formula>
    </cfRule>
  </conditionalFormatting>
  <conditionalFormatting sqref="AI219:AI222">
    <cfRule type="cellIs" dxfId="27" priority="34" operator="lessThan">
      <formula>0</formula>
    </cfRule>
  </conditionalFormatting>
  <conditionalFormatting sqref="L212:AI212 AI213">
    <cfRule type="cellIs" dxfId="26" priority="33" operator="greaterThan">
      <formula>5</formula>
    </cfRule>
  </conditionalFormatting>
  <conditionalFormatting sqref="AK209">
    <cfRule type="containsText" dxfId="25" priority="32" operator="containsText" text="false">
      <formula>NOT(ISERROR(SEARCH("false",AK209)))</formula>
    </cfRule>
  </conditionalFormatting>
  <conditionalFormatting sqref="J219:AH219">
    <cfRule type="cellIs" dxfId="24" priority="31" operator="greaterThan">
      <formula>0</formula>
    </cfRule>
  </conditionalFormatting>
  <conditionalFormatting sqref="A221:XFD222">
    <cfRule type="cellIs" dxfId="23" priority="30" operator="lessThan">
      <formula>0</formula>
    </cfRule>
  </conditionalFormatting>
  <conditionalFormatting sqref="AI223:AI251">
    <cfRule type="cellIs" dxfId="22" priority="29" operator="lessThan">
      <formula>0</formula>
    </cfRule>
  </conditionalFormatting>
  <conditionalFormatting sqref="J251:AH252">
    <cfRule type="cellIs" dxfId="21" priority="15" operator="lessThan">
      <formula>0</formula>
    </cfRule>
  </conditionalFormatting>
  <conditionalFormatting sqref="J226:AH226">
    <cfRule type="cellIs" dxfId="20" priority="28" operator="lessThan">
      <formula>0</formula>
    </cfRule>
  </conditionalFormatting>
  <conditionalFormatting sqref="J229:AH229">
    <cfRule type="cellIs" dxfId="19" priority="27" operator="lessThan">
      <formula>0</formula>
    </cfRule>
  </conditionalFormatting>
  <conditionalFormatting sqref="J232:AH232">
    <cfRule type="cellIs" dxfId="18" priority="26" operator="lessThan">
      <formula>0</formula>
    </cfRule>
  </conditionalFormatting>
  <conditionalFormatting sqref="J235:AH235">
    <cfRule type="cellIs" dxfId="17" priority="25" operator="lessThan">
      <formula>0</formula>
    </cfRule>
  </conditionalFormatting>
  <conditionalFormatting sqref="J238:AH238">
    <cfRule type="cellIs" dxfId="16" priority="24" operator="lessThan">
      <formula>0</formula>
    </cfRule>
  </conditionalFormatting>
  <conditionalFormatting sqref="J247:AH247">
    <cfRule type="cellIs" dxfId="15" priority="23" operator="lessThan">
      <formula>0</formula>
    </cfRule>
  </conditionalFormatting>
  <conditionalFormatting sqref="J250:AH250">
    <cfRule type="cellIs" dxfId="14" priority="22" operator="lessThan">
      <formula>0</formula>
    </cfRule>
  </conditionalFormatting>
  <conditionalFormatting sqref="J227:AH228">
    <cfRule type="cellIs" dxfId="13" priority="21" operator="lessThan">
      <formula>0</formula>
    </cfRule>
  </conditionalFormatting>
  <conditionalFormatting sqref="J241:AH241">
    <cfRule type="cellIs" dxfId="12" priority="14" operator="lessThan">
      <formula>0</formula>
    </cfRule>
  </conditionalFormatting>
  <conditionalFormatting sqref="J248:AH249">
    <cfRule type="cellIs" dxfId="11" priority="16" operator="lessThan">
      <formula>0</formula>
    </cfRule>
  </conditionalFormatting>
  <conditionalFormatting sqref="J244:AH244">
    <cfRule type="cellIs" dxfId="10" priority="12" operator="lessThan">
      <formula>0</formula>
    </cfRule>
  </conditionalFormatting>
  <conditionalFormatting sqref="AK208">
    <cfRule type="containsText" dxfId="9" priority="10" operator="containsText" text="false">
      <formula>NOT(ISERROR(SEARCH("false",AK208)))</formula>
    </cfRule>
  </conditionalFormatting>
  <conditionalFormatting sqref="L206:AH206">
    <cfRule type="cellIs" dxfId="8" priority="7" operator="greaterThanOrEqual">
      <formula>$AM$156</formula>
    </cfRule>
    <cfRule type="cellIs" dxfId="7" priority="8" operator="lessThan">
      <formula>$AK$156</formula>
    </cfRule>
    <cfRule type="cellIs" dxfId="6" priority="9" operator="between">
      <formula>$AK$156</formula>
      <formula>$AL$156</formula>
    </cfRule>
  </conditionalFormatting>
  <conditionalFormatting sqref="J230:AH231">
    <cfRule type="cellIs" dxfId="5" priority="6" operator="lessThan">
      <formula>0</formula>
    </cfRule>
  </conditionalFormatting>
  <conditionalFormatting sqref="J233:AH234">
    <cfRule type="cellIs" dxfId="4" priority="5" operator="lessThan">
      <formula>0</formula>
    </cfRule>
  </conditionalFormatting>
  <conditionalFormatting sqref="J236:AH237">
    <cfRule type="cellIs" dxfId="3" priority="4" operator="lessThan">
      <formula>0</formula>
    </cfRule>
  </conditionalFormatting>
  <conditionalFormatting sqref="J239:AH240">
    <cfRule type="cellIs" dxfId="2" priority="3" operator="lessThan">
      <formula>0</formula>
    </cfRule>
  </conditionalFormatting>
  <conditionalFormatting sqref="J242:AH243">
    <cfRule type="cellIs" dxfId="1" priority="2" operator="lessThan">
      <formula>0</formula>
    </cfRule>
  </conditionalFormatting>
  <conditionalFormatting sqref="J245:AH24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2"/>
  <sheetViews>
    <sheetView zoomScale="90" zoomScaleNormal="90" workbookViewId="0">
      <pane xSplit="4" ySplit="1" topLeftCell="E98" activePane="bottomRight" state="frozen"/>
      <selection pane="topRight" activeCell="E1" sqref="E1"/>
      <selection pane="bottomLeft" activeCell="A2" sqref="A2"/>
      <selection pane="bottomRight" activeCell="D117" sqref="D117"/>
    </sheetView>
  </sheetViews>
  <sheetFormatPr defaultRowHeight="15" x14ac:dyDescent="0.25"/>
  <cols>
    <col min="1" max="1" width="19.140625" style="66" bestFit="1" customWidth="1"/>
    <col min="2" max="2" width="13.5703125" style="66" bestFit="1" customWidth="1"/>
    <col min="3" max="3" width="10.140625" style="66" bestFit="1" customWidth="1"/>
    <col min="4" max="4" width="27.5703125" style="66" bestFit="1" customWidth="1"/>
    <col min="5" max="5" width="10" style="66" customWidth="1"/>
    <col min="6" max="6" width="13.140625" style="66" customWidth="1"/>
    <col min="7" max="7" width="26.42578125" style="66" customWidth="1"/>
    <col min="8" max="8" width="16.42578125" style="66" customWidth="1"/>
    <col min="9" max="9" width="16" style="66" customWidth="1"/>
    <col min="10" max="11" width="17" style="66" customWidth="1"/>
    <col min="12" max="12" width="18.85546875" style="66" bestFit="1" customWidth="1"/>
    <col min="13" max="14" width="21" style="66" bestFit="1" customWidth="1"/>
    <col min="15" max="15" width="13.140625" bestFit="1" customWidth="1"/>
    <col min="16" max="16" width="12.140625" bestFit="1" customWidth="1"/>
    <col min="17" max="17" width="33" bestFit="1" customWidth="1"/>
    <col min="18" max="18" width="12.140625" bestFit="1" customWidth="1"/>
    <col min="19" max="19" width="13.140625" bestFit="1" customWidth="1"/>
    <col min="20" max="21" width="12.85546875" bestFit="1" customWidth="1"/>
  </cols>
  <sheetData>
    <row r="1" spans="1:14" ht="31.5" x14ac:dyDescent="0.25">
      <c r="A1" s="100" t="s">
        <v>35</v>
      </c>
      <c r="B1" s="100" t="s">
        <v>36</v>
      </c>
      <c r="C1" s="65" t="s">
        <v>37</v>
      </c>
      <c r="D1" s="100" t="s">
        <v>38</v>
      </c>
      <c r="E1" s="65" t="s">
        <v>39</v>
      </c>
      <c r="F1" s="65" t="s">
        <v>40</v>
      </c>
      <c r="G1" s="100" t="s">
        <v>41</v>
      </c>
      <c r="H1" s="65" t="s">
        <v>42</v>
      </c>
      <c r="I1" s="67" t="s">
        <v>43</v>
      </c>
      <c r="J1" s="67" t="s">
        <v>44</v>
      </c>
      <c r="K1" s="67" t="s">
        <v>48</v>
      </c>
      <c r="L1" s="65" t="s">
        <v>45</v>
      </c>
      <c r="M1" s="67" t="s">
        <v>47</v>
      </c>
      <c r="N1" s="67" t="s">
        <v>49</v>
      </c>
    </row>
    <row r="2" spans="1:14" x14ac:dyDescent="0.25">
      <c r="A2" s="66" t="s">
        <v>146</v>
      </c>
      <c r="B2" s="66" t="s">
        <v>82</v>
      </c>
      <c r="C2" s="66" t="s">
        <v>83</v>
      </c>
      <c r="D2" s="66" t="s">
        <v>84</v>
      </c>
      <c r="G2" s="66" t="s">
        <v>46</v>
      </c>
      <c r="L2" s="66">
        <v>5500921479</v>
      </c>
    </row>
    <row r="3" spans="1:14" x14ac:dyDescent="0.25">
      <c r="A3" s="66" t="s">
        <v>146</v>
      </c>
      <c r="B3" s="66" t="s">
        <v>85</v>
      </c>
      <c r="C3" s="66" t="s">
        <v>83</v>
      </c>
      <c r="D3" s="66" t="s">
        <v>84</v>
      </c>
      <c r="G3" s="66" t="s">
        <v>46</v>
      </c>
      <c r="L3" s="66">
        <v>5500956759</v>
      </c>
    </row>
    <row r="4" spans="1:14" x14ac:dyDescent="0.25">
      <c r="A4" s="66" t="s">
        <v>146</v>
      </c>
      <c r="B4" s="66" t="s">
        <v>177</v>
      </c>
      <c r="C4" s="66" t="s">
        <v>83</v>
      </c>
      <c r="D4" s="66" t="s">
        <v>84</v>
      </c>
      <c r="G4" s="66" t="s">
        <v>46</v>
      </c>
      <c r="L4" s="66">
        <v>5500977973</v>
      </c>
    </row>
    <row r="5" spans="1:14" x14ac:dyDescent="0.25">
      <c r="A5" s="66" t="s">
        <v>148</v>
      </c>
      <c r="B5" s="66" t="s">
        <v>86</v>
      </c>
      <c r="C5" s="66" t="s">
        <v>83</v>
      </c>
      <c r="D5" s="66" t="s">
        <v>84</v>
      </c>
      <c r="G5" s="66" t="s">
        <v>46</v>
      </c>
      <c r="J5" s="81"/>
      <c r="K5" s="81"/>
      <c r="L5" s="66">
        <v>5500921480</v>
      </c>
    </row>
    <row r="6" spans="1:14" x14ac:dyDescent="0.25">
      <c r="A6" s="66" t="s">
        <v>148</v>
      </c>
      <c r="B6" s="66" t="s">
        <v>87</v>
      </c>
      <c r="C6" s="66" t="s">
        <v>83</v>
      </c>
      <c r="D6" s="66" t="s">
        <v>84</v>
      </c>
      <c r="G6" s="66" t="s">
        <v>46</v>
      </c>
      <c r="J6" s="81"/>
      <c r="K6" s="81"/>
      <c r="L6" s="66">
        <v>5500956760</v>
      </c>
    </row>
    <row r="7" spans="1:14" x14ac:dyDescent="0.25">
      <c r="A7" s="66" t="s">
        <v>148</v>
      </c>
      <c r="B7" s="66" t="s">
        <v>178</v>
      </c>
      <c r="C7" s="66" t="s">
        <v>83</v>
      </c>
      <c r="D7" s="66" t="s">
        <v>84</v>
      </c>
      <c r="G7" s="66" t="s">
        <v>46</v>
      </c>
      <c r="J7" s="81"/>
      <c r="K7" s="81"/>
      <c r="L7" s="66">
        <v>5500977974</v>
      </c>
    </row>
    <row r="8" spans="1:14" x14ac:dyDescent="0.25">
      <c r="A8" s="66" t="s">
        <v>149</v>
      </c>
      <c r="B8" s="66" t="s">
        <v>88</v>
      </c>
      <c r="C8" s="66" t="s">
        <v>83</v>
      </c>
      <c r="D8" s="66" t="s">
        <v>84</v>
      </c>
      <c r="G8" s="66" t="s">
        <v>46</v>
      </c>
      <c r="J8" s="81"/>
      <c r="K8" s="81"/>
      <c r="L8" s="66">
        <v>5500921481</v>
      </c>
    </row>
    <row r="9" spans="1:14" x14ac:dyDescent="0.25">
      <c r="A9" s="66" t="s">
        <v>149</v>
      </c>
      <c r="B9" s="66" t="s">
        <v>89</v>
      </c>
      <c r="C9" s="66" t="s">
        <v>83</v>
      </c>
      <c r="D9" s="66" t="s">
        <v>84</v>
      </c>
      <c r="G9" s="66" t="s">
        <v>46</v>
      </c>
      <c r="J9" s="81"/>
      <c r="K9" s="81"/>
      <c r="L9" s="66">
        <v>5500956761</v>
      </c>
    </row>
    <row r="10" spans="1:14" x14ac:dyDescent="0.25">
      <c r="A10" s="66" t="s">
        <v>149</v>
      </c>
      <c r="B10" s="66" t="s">
        <v>179</v>
      </c>
      <c r="C10" s="66" t="s">
        <v>83</v>
      </c>
      <c r="D10" s="66" t="s">
        <v>84</v>
      </c>
      <c r="G10" s="66" t="s">
        <v>46</v>
      </c>
      <c r="J10" s="81"/>
      <c r="K10" s="81"/>
      <c r="L10" s="66">
        <v>5500977975</v>
      </c>
    </row>
    <row r="11" spans="1:14" x14ac:dyDescent="0.25">
      <c r="A11" s="66" t="s">
        <v>150</v>
      </c>
      <c r="B11" s="66" t="s">
        <v>90</v>
      </c>
      <c r="C11" s="66" t="s">
        <v>83</v>
      </c>
      <c r="D11" s="66" t="s">
        <v>84</v>
      </c>
      <c r="G11" s="66" t="s">
        <v>46</v>
      </c>
      <c r="J11" s="81"/>
      <c r="K11" s="81"/>
      <c r="L11" s="66">
        <v>5500921482</v>
      </c>
    </row>
    <row r="12" spans="1:14" x14ac:dyDescent="0.25">
      <c r="A12" s="66" t="s">
        <v>150</v>
      </c>
      <c r="B12" s="66" t="s">
        <v>91</v>
      </c>
      <c r="C12" s="66" t="s">
        <v>83</v>
      </c>
      <c r="D12" s="66" t="s">
        <v>84</v>
      </c>
      <c r="G12" s="66" t="s">
        <v>46</v>
      </c>
      <c r="J12" s="81"/>
      <c r="K12" s="81"/>
      <c r="L12" s="66">
        <v>5500956762</v>
      </c>
    </row>
    <row r="13" spans="1:14" x14ac:dyDescent="0.25">
      <c r="A13" s="66" t="s">
        <v>150</v>
      </c>
      <c r="B13" s="66" t="s">
        <v>180</v>
      </c>
      <c r="C13" s="66" t="s">
        <v>83</v>
      </c>
      <c r="D13" s="66" t="s">
        <v>84</v>
      </c>
      <c r="G13" s="66" t="s">
        <v>46</v>
      </c>
      <c r="J13" s="81"/>
      <c r="K13" s="81"/>
      <c r="L13" s="66">
        <v>5500977976</v>
      </c>
    </row>
    <row r="14" spans="1:14" x14ac:dyDescent="0.25">
      <c r="A14" s="66" t="s">
        <v>151</v>
      </c>
      <c r="B14" s="66" t="s">
        <v>92</v>
      </c>
      <c r="C14" s="66" t="s">
        <v>83</v>
      </c>
      <c r="D14" s="66" t="s">
        <v>84</v>
      </c>
      <c r="G14" s="66" t="s">
        <v>46</v>
      </c>
      <c r="J14" s="81"/>
      <c r="K14" s="81"/>
      <c r="L14" s="66">
        <v>5500921483</v>
      </c>
    </row>
    <row r="15" spans="1:14" x14ac:dyDescent="0.25">
      <c r="A15" s="66" t="s">
        <v>151</v>
      </c>
      <c r="B15" s="66" t="s">
        <v>93</v>
      </c>
      <c r="C15" s="66" t="s">
        <v>83</v>
      </c>
      <c r="D15" s="66" t="s">
        <v>84</v>
      </c>
      <c r="G15" s="66" t="s">
        <v>46</v>
      </c>
      <c r="J15" s="81"/>
      <c r="K15" s="81"/>
      <c r="L15" s="66">
        <v>5500956763</v>
      </c>
    </row>
    <row r="16" spans="1:14" x14ac:dyDescent="0.25">
      <c r="A16" s="66" t="s">
        <v>151</v>
      </c>
      <c r="B16" s="66" t="s">
        <v>181</v>
      </c>
      <c r="C16" s="66" t="s">
        <v>83</v>
      </c>
      <c r="D16" s="66" t="s">
        <v>84</v>
      </c>
      <c r="G16" s="66" t="s">
        <v>46</v>
      </c>
      <c r="J16" s="81"/>
      <c r="K16" s="81"/>
      <c r="L16" s="66">
        <v>5500977977</v>
      </c>
    </row>
    <row r="17" spans="1:16" x14ac:dyDescent="0.25">
      <c r="A17" s="66" t="s">
        <v>152</v>
      </c>
      <c r="B17" s="66" t="s">
        <v>94</v>
      </c>
      <c r="C17" s="66" t="s">
        <v>83</v>
      </c>
      <c r="D17" s="66" t="s">
        <v>84</v>
      </c>
      <c r="G17" s="66" t="s">
        <v>46</v>
      </c>
      <c r="J17" s="81"/>
      <c r="K17" s="81"/>
      <c r="L17" s="66">
        <v>5500921484</v>
      </c>
    </row>
    <row r="18" spans="1:16" x14ac:dyDescent="0.25">
      <c r="A18" s="66" t="s">
        <v>152</v>
      </c>
      <c r="B18" s="66" t="s">
        <v>95</v>
      </c>
      <c r="C18" s="66" t="s">
        <v>83</v>
      </c>
      <c r="D18" s="66" t="s">
        <v>84</v>
      </c>
      <c r="G18" s="66" t="s">
        <v>46</v>
      </c>
      <c r="J18" s="81"/>
      <c r="K18" s="81"/>
      <c r="L18" s="66">
        <v>5500956764</v>
      </c>
      <c r="P18" s="66"/>
    </row>
    <row r="19" spans="1:16" x14ac:dyDescent="0.25">
      <c r="A19" s="66" t="s">
        <v>152</v>
      </c>
      <c r="B19" s="66" t="s">
        <v>182</v>
      </c>
      <c r="C19" s="66" t="s">
        <v>83</v>
      </c>
      <c r="D19" s="66" t="s">
        <v>84</v>
      </c>
      <c r="G19" s="66" t="s">
        <v>46</v>
      </c>
      <c r="J19" s="81"/>
      <c r="K19" s="81"/>
      <c r="L19" s="66">
        <v>5500977978</v>
      </c>
    </row>
    <row r="20" spans="1:16" x14ac:dyDescent="0.25">
      <c r="A20" s="66" t="s">
        <v>153</v>
      </c>
      <c r="B20" s="66" t="s">
        <v>96</v>
      </c>
      <c r="C20" s="66" t="s">
        <v>83</v>
      </c>
      <c r="D20" s="66" t="s">
        <v>84</v>
      </c>
      <c r="G20" s="66" t="s">
        <v>46</v>
      </c>
      <c r="J20" s="81"/>
      <c r="K20" s="81"/>
      <c r="L20" s="66">
        <v>5500921485</v>
      </c>
    </row>
    <row r="21" spans="1:16" x14ac:dyDescent="0.25">
      <c r="A21" s="66" t="s">
        <v>153</v>
      </c>
      <c r="B21" s="66" t="s">
        <v>97</v>
      </c>
      <c r="C21" s="66" t="s">
        <v>83</v>
      </c>
      <c r="D21" s="66" t="s">
        <v>84</v>
      </c>
      <c r="G21" s="66" t="s">
        <v>46</v>
      </c>
      <c r="J21" s="81"/>
      <c r="K21" s="81"/>
      <c r="L21" s="66">
        <v>5500956765</v>
      </c>
    </row>
    <row r="22" spans="1:16" x14ac:dyDescent="0.25">
      <c r="A22" s="66" t="s">
        <v>153</v>
      </c>
      <c r="B22" s="66" t="s">
        <v>183</v>
      </c>
      <c r="C22" s="66" t="s">
        <v>83</v>
      </c>
      <c r="D22" s="66" t="s">
        <v>84</v>
      </c>
      <c r="G22" s="66" t="s">
        <v>46</v>
      </c>
      <c r="J22" s="81"/>
      <c r="K22" s="81"/>
      <c r="L22" s="66">
        <v>5500977979</v>
      </c>
    </row>
    <row r="23" spans="1:16" x14ac:dyDescent="0.25">
      <c r="A23" s="66" t="s">
        <v>154</v>
      </c>
      <c r="B23" s="66" t="s">
        <v>98</v>
      </c>
      <c r="C23" s="66" t="s">
        <v>83</v>
      </c>
      <c r="D23" s="66" t="s">
        <v>84</v>
      </c>
      <c r="G23" s="66" t="s">
        <v>46</v>
      </c>
      <c r="J23" s="81"/>
      <c r="K23" s="81"/>
      <c r="L23" s="66">
        <v>5500921486</v>
      </c>
    </row>
    <row r="24" spans="1:16" x14ac:dyDescent="0.25">
      <c r="A24" s="66" t="s">
        <v>154</v>
      </c>
      <c r="B24" s="66" t="s">
        <v>99</v>
      </c>
      <c r="C24" s="66" t="s">
        <v>83</v>
      </c>
      <c r="D24" s="66" t="s">
        <v>84</v>
      </c>
      <c r="G24" s="66" t="s">
        <v>46</v>
      </c>
      <c r="J24" s="81"/>
      <c r="K24" s="81"/>
      <c r="L24" s="66">
        <v>5500956766</v>
      </c>
    </row>
    <row r="25" spans="1:16" x14ac:dyDescent="0.25">
      <c r="A25" s="66" t="s">
        <v>154</v>
      </c>
      <c r="B25" s="66" t="s">
        <v>184</v>
      </c>
      <c r="C25" s="66" t="s">
        <v>83</v>
      </c>
      <c r="D25" s="66" t="s">
        <v>84</v>
      </c>
      <c r="G25" s="66" t="s">
        <v>46</v>
      </c>
      <c r="J25" s="81"/>
      <c r="K25" s="81"/>
      <c r="L25" s="66">
        <v>5500977980</v>
      </c>
    </row>
    <row r="26" spans="1:16" x14ac:dyDescent="0.25">
      <c r="A26" s="66" t="s">
        <v>155</v>
      </c>
      <c r="B26" s="66" t="s">
        <v>100</v>
      </c>
      <c r="C26" s="66" t="s">
        <v>83</v>
      </c>
      <c r="D26" s="66" t="s">
        <v>84</v>
      </c>
      <c r="G26" s="66" t="s">
        <v>46</v>
      </c>
      <c r="J26" s="81"/>
      <c r="K26" s="81"/>
      <c r="L26" s="66">
        <v>5500921487</v>
      </c>
    </row>
    <row r="27" spans="1:16" x14ac:dyDescent="0.25">
      <c r="A27" s="66" t="s">
        <v>155</v>
      </c>
      <c r="B27" s="66" t="s">
        <v>101</v>
      </c>
      <c r="C27" s="66" t="s">
        <v>83</v>
      </c>
      <c r="D27" s="66" t="s">
        <v>84</v>
      </c>
      <c r="G27" s="66" t="s">
        <v>46</v>
      </c>
      <c r="J27" s="81"/>
      <c r="K27" s="81"/>
      <c r="L27" s="66">
        <v>5500956767</v>
      </c>
    </row>
    <row r="28" spans="1:16" x14ac:dyDescent="0.25">
      <c r="A28" s="66" t="s">
        <v>155</v>
      </c>
      <c r="B28" s="66" t="s">
        <v>185</v>
      </c>
      <c r="C28" s="66" t="s">
        <v>83</v>
      </c>
      <c r="D28" s="66" t="s">
        <v>84</v>
      </c>
      <c r="G28" s="66" t="s">
        <v>46</v>
      </c>
      <c r="J28" s="81"/>
      <c r="K28" s="81"/>
      <c r="L28" s="66">
        <v>5500977981</v>
      </c>
    </row>
    <row r="29" spans="1:16" x14ac:dyDescent="0.25">
      <c r="A29" s="66" t="s">
        <v>156</v>
      </c>
      <c r="B29" s="66" t="s">
        <v>102</v>
      </c>
      <c r="C29" s="66" t="s">
        <v>83</v>
      </c>
      <c r="D29" s="66" t="s">
        <v>103</v>
      </c>
      <c r="G29" s="66" t="s">
        <v>46</v>
      </c>
      <c r="J29" s="81"/>
      <c r="K29" s="81"/>
      <c r="L29" s="66">
        <v>5500921488</v>
      </c>
    </row>
    <row r="30" spans="1:16" x14ac:dyDescent="0.25">
      <c r="A30" s="66" t="s">
        <v>156</v>
      </c>
      <c r="B30" s="66" t="s">
        <v>104</v>
      </c>
      <c r="C30" s="66" t="s">
        <v>83</v>
      </c>
      <c r="D30" s="66" t="s">
        <v>103</v>
      </c>
      <c r="G30" s="66" t="s">
        <v>46</v>
      </c>
      <c r="J30" s="81"/>
      <c r="K30" s="81"/>
      <c r="L30" s="66">
        <v>5500956777</v>
      </c>
    </row>
    <row r="31" spans="1:16" x14ac:dyDescent="0.25">
      <c r="A31" s="66" t="s">
        <v>156</v>
      </c>
      <c r="B31" s="66" t="s">
        <v>186</v>
      </c>
      <c r="C31" s="66" t="s">
        <v>83</v>
      </c>
      <c r="D31" s="66" t="s">
        <v>103</v>
      </c>
      <c r="G31" s="66" t="s">
        <v>46</v>
      </c>
      <c r="J31" s="81"/>
      <c r="K31" s="81"/>
      <c r="L31" s="66">
        <v>5500977992</v>
      </c>
    </row>
    <row r="32" spans="1:16" x14ac:dyDescent="0.25">
      <c r="A32" s="66" t="s">
        <v>157</v>
      </c>
      <c r="B32" s="66" t="s">
        <v>105</v>
      </c>
      <c r="C32" s="66" t="s">
        <v>83</v>
      </c>
      <c r="D32" s="66" t="s">
        <v>106</v>
      </c>
      <c r="G32" s="66" t="s">
        <v>46</v>
      </c>
      <c r="J32" s="81"/>
      <c r="K32" s="81"/>
      <c r="L32" s="66">
        <v>5500897112</v>
      </c>
    </row>
    <row r="33" spans="1:12" x14ac:dyDescent="0.25">
      <c r="A33" s="66" t="s">
        <v>157</v>
      </c>
      <c r="B33" s="66" t="s">
        <v>107</v>
      </c>
      <c r="C33" s="66" t="s">
        <v>83</v>
      </c>
      <c r="D33" s="66" t="s">
        <v>106</v>
      </c>
      <c r="G33" s="66" t="s">
        <v>46</v>
      </c>
      <c r="J33" s="81"/>
      <c r="K33" s="81"/>
      <c r="L33" s="66">
        <v>5500956143</v>
      </c>
    </row>
    <row r="34" spans="1:12" x14ac:dyDescent="0.25">
      <c r="A34" s="66" t="s">
        <v>157</v>
      </c>
      <c r="B34" s="66" t="s">
        <v>187</v>
      </c>
      <c r="C34" s="66" t="s">
        <v>83</v>
      </c>
      <c r="D34" s="66" t="s">
        <v>106</v>
      </c>
      <c r="G34" s="66" t="s">
        <v>46</v>
      </c>
      <c r="J34" s="81"/>
      <c r="K34" s="81"/>
      <c r="L34" s="66">
        <v>5500977914</v>
      </c>
    </row>
    <row r="35" spans="1:12" x14ac:dyDescent="0.25">
      <c r="A35" s="66" t="s">
        <v>159</v>
      </c>
      <c r="B35" s="66" t="s">
        <v>108</v>
      </c>
      <c r="C35" s="66" t="s">
        <v>83</v>
      </c>
      <c r="D35" s="66" t="s">
        <v>103</v>
      </c>
      <c r="G35" s="66" t="s">
        <v>46</v>
      </c>
      <c r="J35" s="81"/>
      <c r="K35" s="81"/>
      <c r="L35" s="66">
        <v>5500921489</v>
      </c>
    </row>
    <row r="36" spans="1:12" x14ac:dyDescent="0.25">
      <c r="A36" s="66" t="s">
        <v>159</v>
      </c>
      <c r="B36" s="66" t="s">
        <v>109</v>
      </c>
      <c r="C36" s="66" t="s">
        <v>83</v>
      </c>
      <c r="D36" s="66" t="s">
        <v>103</v>
      </c>
      <c r="G36" s="66" t="s">
        <v>46</v>
      </c>
      <c r="J36" s="81"/>
      <c r="K36" s="81"/>
      <c r="L36" s="66">
        <v>5500956808</v>
      </c>
    </row>
    <row r="37" spans="1:12" x14ac:dyDescent="0.25">
      <c r="A37" s="66" t="s">
        <v>159</v>
      </c>
      <c r="B37" s="66" t="s">
        <v>188</v>
      </c>
      <c r="C37" s="66" t="s">
        <v>83</v>
      </c>
      <c r="D37" s="66" t="s">
        <v>103</v>
      </c>
      <c r="G37" s="66" t="s">
        <v>46</v>
      </c>
      <c r="J37" s="81"/>
      <c r="K37" s="81"/>
      <c r="L37" s="66">
        <v>5500977989</v>
      </c>
    </row>
    <row r="38" spans="1:12" x14ac:dyDescent="0.25">
      <c r="A38" s="66" t="s">
        <v>160</v>
      </c>
      <c r="B38" s="66" t="s">
        <v>110</v>
      </c>
      <c r="C38" s="66" t="s">
        <v>83</v>
      </c>
      <c r="D38" s="66" t="s">
        <v>106</v>
      </c>
      <c r="G38" s="66" t="s">
        <v>46</v>
      </c>
      <c r="J38" s="81"/>
      <c r="K38" s="81"/>
      <c r="L38" s="66">
        <v>5500897113</v>
      </c>
    </row>
    <row r="39" spans="1:12" x14ac:dyDescent="0.25">
      <c r="A39" s="66" t="s">
        <v>160</v>
      </c>
      <c r="B39" s="66" t="s">
        <v>111</v>
      </c>
      <c r="C39" s="66" t="s">
        <v>83</v>
      </c>
      <c r="D39" s="66" t="s">
        <v>106</v>
      </c>
      <c r="G39" s="66" t="s">
        <v>46</v>
      </c>
      <c r="J39" s="81"/>
      <c r="K39" s="81"/>
      <c r="L39" s="66">
        <v>5500956144</v>
      </c>
    </row>
    <row r="40" spans="1:12" x14ac:dyDescent="0.25">
      <c r="A40" s="66" t="s">
        <v>160</v>
      </c>
      <c r="B40" s="66" t="s">
        <v>189</v>
      </c>
      <c r="C40" s="66" t="s">
        <v>83</v>
      </c>
      <c r="D40" s="66" t="s">
        <v>106</v>
      </c>
      <c r="G40" s="66" t="s">
        <v>46</v>
      </c>
      <c r="J40" s="81"/>
      <c r="K40" s="81"/>
      <c r="L40" s="66">
        <v>5500977912</v>
      </c>
    </row>
    <row r="41" spans="1:12" x14ac:dyDescent="0.25">
      <c r="A41" s="66" t="s">
        <v>161</v>
      </c>
      <c r="B41" s="66" t="s">
        <v>112</v>
      </c>
      <c r="C41" s="66" t="s">
        <v>83</v>
      </c>
      <c r="D41" s="66" t="s">
        <v>103</v>
      </c>
      <c r="G41" s="66" t="s">
        <v>46</v>
      </c>
      <c r="J41" s="81"/>
      <c r="K41" s="81"/>
      <c r="L41" s="66">
        <v>5500921490</v>
      </c>
    </row>
    <row r="42" spans="1:12" x14ac:dyDescent="0.25">
      <c r="A42" s="66" t="s">
        <v>161</v>
      </c>
      <c r="B42" s="66" t="s">
        <v>113</v>
      </c>
      <c r="C42" s="66" t="s">
        <v>83</v>
      </c>
      <c r="D42" s="66" t="s">
        <v>103</v>
      </c>
      <c r="G42" s="66" t="s">
        <v>46</v>
      </c>
      <c r="L42" s="66">
        <v>5500956775</v>
      </c>
    </row>
    <row r="43" spans="1:12" x14ac:dyDescent="0.25">
      <c r="A43" s="66" t="s">
        <v>161</v>
      </c>
      <c r="B43" s="66" t="s">
        <v>190</v>
      </c>
      <c r="C43" s="66" t="s">
        <v>83</v>
      </c>
      <c r="D43" s="66" t="s">
        <v>103</v>
      </c>
      <c r="G43" s="66" t="s">
        <v>46</v>
      </c>
      <c r="L43" s="66">
        <v>5500977984</v>
      </c>
    </row>
    <row r="44" spans="1:12" x14ac:dyDescent="0.25">
      <c r="A44" s="66" t="s">
        <v>162</v>
      </c>
      <c r="B44" s="66" t="s">
        <v>114</v>
      </c>
      <c r="C44" s="66" t="s">
        <v>83</v>
      </c>
      <c r="D44" s="66" t="s">
        <v>106</v>
      </c>
      <c r="G44" s="66" t="s">
        <v>46</v>
      </c>
      <c r="L44" s="66">
        <v>5500897114</v>
      </c>
    </row>
    <row r="45" spans="1:12" x14ac:dyDescent="0.25">
      <c r="A45" s="66" t="s">
        <v>162</v>
      </c>
      <c r="B45" s="66" t="s">
        <v>115</v>
      </c>
      <c r="C45" s="66" t="s">
        <v>83</v>
      </c>
      <c r="D45" s="66" t="s">
        <v>106</v>
      </c>
      <c r="G45" s="66" t="s">
        <v>46</v>
      </c>
      <c r="L45" s="66">
        <v>5500956145</v>
      </c>
    </row>
    <row r="46" spans="1:12" x14ac:dyDescent="0.25">
      <c r="A46" s="66" t="s">
        <v>162</v>
      </c>
      <c r="B46" s="66" t="s">
        <v>116</v>
      </c>
      <c r="C46" s="66" t="s">
        <v>83</v>
      </c>
      <c r="D46" s="66" t="s">
        <v>106</v>
      </c>
      <c r="G46" s="66" t="s">
        <v>46</v>
      </c>
      <c r="L46" s="66">
        <v>5500976902</v>
      </c>
    </row>
    <row r="47" spans="1:12" x14ac:dyDescent="0.25">
      <c r="A47" s="66" t="s">
        <v>163</v>
      </c>
      <c r="B47" s="66" t="s">
        <v>117</v>
      </c>
      <c r="C47" s="66" t="s">
        <v>83</v>
      </c>
      <c r="D47" s="66" t="s">
        <v>103</v>
      </c>
      <c r="G47" s="66" t="s">
        <v>46</v>
      </c>
      <c r="L47" s="66">
        <v>5500921491</v>
      </c>
    </row>
    <row r="48" spans="1:12" x14ac:dyDescent="0.25">
      <c r="A48" s="66" t="s">
        <v>163</v>
      </c>
      <c r="B48" s="66" t="s">
        <v>118</v>
      </c>
      <c r="C48" s="66" t="s">
        <v>83</v>
      </c>
      <c r="D48" s="66" t="s">
        <v>103</v>
      </c>
      <c r="G48" s="66" t="s">
        <v>46</v>
      </c>
      <c r="L48" s="66">
        <v>5500956769</v>
      </c>
    </row>
    <row r="49" spans="1:12" x14ac:dyDescent="0.25">
      <c r="A49" s="66" t="s">
        <v>163</v>
      </c>
      <c r="B49" s="66" t="s">
        <v>191</v>
      </c>
      <c r="C49" s="66" t="s">
        <v>83</v>
      </c>
      <c r="D49" s="66" t="s">
        <v>103</v>
      </c>
      <c r="G49" s="66" t="s">
        <v>46</v>
      </c>
      <c r="L49" s="66">
        <v>5500977987</v>
      </c>
    </row>
    <row r="50" spans="1:12" x14ac:dyDescent="0.25">
      <c r="A50" s="66" t="s">
        <v>164</v>
      </c>
      <c r="B50" s="66" t="s">
        <v>119</v>
      </c>
      <c r="C50" s="66" t="s">
        <v>83</v>
      </c>
      <c r="D50" s="66" t="s">
        <v>103</v>
      </c>
      <c r="G50" s="66" t="s">
        <v>46</v>
      </c>
      <c r="L50" s="66">
        <v>5500921492</v>
      </c>
    </row>
    <row r="51" spans="1:12" x14ac:dyDescent="0.25">
      <c r="A51" s="66" t="s">
        <v>164</v>
      </c>
      <c r="B51" s="66" t="s">
        <v>120</v>
      </c>
      <c r="C51" s="66" t="s">
        <v>83</v>
      </c>
      <c r="D51" s="66" t="s">
        <v>103</v>
      </c>
      <c r="G51" s="66" t="s">
        <v>46</v>
      </c>
      <c r="L51" s="66">
        <v>5500956772</v>
      </c>
    </row>
    <row r="52" spans="1:12" x14ac:dyDescent="0.25">
      <c r="A52" s="66" t="s">
        <v>164</v>
      </c>
      <c r="B52" s="66" t="s">
        <v>192</v>
      </c>
      <c r="C52" s="66" t="s">
        <v>83</v>
      </c>
      <c r="D52" s="66" t="s">
        <v>103</v>
      </c>
      <c r="G52" s="66" t="s">
        <v>46</v>
      </c>
      <c r="L52" s="66">
        <v>5500977991</v>
      </c>
    </row>
    <row r="53" spans="1:12" x14ac:dyDescent="0.25">
      <c r="A53" s="66" t="s">
        <v>165</v>
      </c>
      <c r="B53" s="66" t="s">
        <v>121</v>
      </c>
      <c r="C53" s="66" t="s">
        <v>83</v>
      </c>
      <c r="D53" s="66" t="s">
        <v>103</v>
      </c>
      <c r="G53" s="66" t="s">
        <v>46</v>
      </c>
      <c r="H53" s="99"/>
      <c r="L53" s="66">
        <v>5500921493</v>
      </c>
    </row>
    <row r="54" spans="1:12" x14ac:dyDescent="0.25">
      <c r="A54" s="66" t="s">
        <v>165</v>
      </c>
      <c r="B54" s="66" t="s">
        <v>122</v>
      </c>
      <c r="C54" s="66" t="s">
        <v>83</v>
      </c>
      <c r="D54" s="66" t="s">
        <v>103</v>
      </c>
      <c r="G54" s="66" t="s">
        <v>46</v>
      </c>
      <c r="H54" s="99"/>
      <c r="L54" s="66">
        <v>5500956776</v>
      </c>
    </row>
    <row r="55" spans="1:12" x14ac:dyDescent="0.25">
      <c r="A55" s="66" t="s">
        <v>165</v>
      </c>
      <c r="B55" s="66" t="s">
        <v>193</v>
      </c>
      <c r="C55" s="66" t="s">
        <v>83</v>
      </c>
      <c r="D55" s="66" t="s">
        <v>103</v>
      </c>
      <c r="G55" s="66" t="s">
        <v>46</v>
      </c>
      <c r="H55" s="99"/>
      <c r="L55" s="66">
        <v>5500977985</v>
      </c>
    </row>
    <row r="56" spans="1:12" x14ac:dyDescent="0.25">
      <c r="A56" s="66" t="s">
        <v>166</v>
      </c>
      <c r="B56" s="66" t="s">
        <v>123</v>
      </c>
      <c r="C56" s="66" t="s">
        <v>83</v>
      </c>
      <c r="D56" s="66" t="s">
        <v>103</v>
      </c>
      <c r="G56" s="66" t="s">
        <v>46</v>
      </c>
      <c r="H56" s="99"/>
      <c r="L56" s="66">
        <v>5500921494</v>
      </c>
    </row>
    <row r="57" spans="1:12" x14ac:dyDescent="0.25">
      <c r="A57" s="66" t="s">
        <v>166</v>
      </c>
      <c r="B57" s="66" t="s">
        <v>124</v>
      </c>
      <c r="C57" s="66" t="s">
        <v>83</v>
      </c>
      <c r="D57" s="66" t="s">
        <v>103</v>
      </c>
      <c r="G57" s="66" t="s">
        <v>46</v>
      </c>
      <c r="H57" s="99"/>
      <c r="L57" s="66">
        <v>5500956770</v>
      </c>
    </row>
    <row r="58" spans="1:12" x14ac:dyDescent="0.25">
      <c r="A58" s="66" t="s">
        <v>166</v>
      </c>
      <c r="B58" s="66" t="s">
        <v>194</v>
      </c>
      <c r="C58" s="66" t="s">
        <v>83</v>
      </c>
      <c r="D58" s="66" t="s">
        <v>103</v>
      </c>
      <c r="G58" s="66" t="s">
        <v>46</v>
      </c>
      <c r="H58" s="99"/>
      <c r="L58" s="66">
        <v>5500977988</v>
      </c>
    </row>
    <row r="59" spans="1:12" x14ac:dyDescent="0.25">
      <c r="A59" s="66" t="s">
        <v>167</v>
      </c>
      <c r="B59" s="66" t="s">
        <v>125</v>
      </c>
      <c r="C59" s="66" t="s">
        <v>83</v>
      </c>
      <c r="D59" s="66" t="s">
        <v>103</v>
      </c>
      <c r="G59" s="66" t="s">
        <v>46</v>
      </c>
      <c r="L59" s="66">
        <v>5500921495</v>
      </c>
    </row>
    <row r="60" spans="1:12" x14ac:dyDescent="0.25">
      <c r="A60" s="66" t="s">
        <v>167</v>
      </c>
      <c r="B60" s="66" t="s">
        <v>126</v>
      </c>
      <c r="C60" s="66" t="s">
        <v>83</v>
      </c>
      <c r="D60" s="66" t="s">
        <v>103</v>
      </c>
      <c r="G60" s="66" t="s">
        <v>46</v>
      </c>
      <c r="L60" s="66">
        <v>5500956774</v>
      </c>
    </row>
    <row r="61" spans="1:12" x14ac:dyDescent="0.25">
      <c r="A61" s="66" t="s">
        <v>167</v>
      </c>
      <c r="B61" s="66" t="s">
        <v>195</v>
      </c>
      <c r="C61" s="66" t="s">
        <v>83</v>
      </c>
      <c r="D61" s="66" t="s">
        <v>103</v>
      </c>
      <c r="G61" s="66" t="s">
        <v>46</v>
      </c>
      <c r="L61" s="66">
        <v>5500977983</v>
      </c>
    </row>
    <row r="62" spans="1:12" x14ac:dyDescent="0.25">
      <c r="A62" s="66" t="s">
        <v>168</v>
      </c>
      <c r="B62" s="66" t="s">
        <v>127</v>
      </c>
      <c r="C62" s="66" t="s">
        <v>83</v>
      </c>
      <c r="D62" s="66" t="s">
        <v>106</v>
      </c>
      <c r="G62" s="66" t="s">
        <v>46</v>
      </c>
      <c r="L62" s="66">
        <v>5500897115</v>
      </c>
    </row>
    <row r="63" spans="1:12" x14ac:dyDescent="0.25">
      <c r="A63" s="66" t="s">
        <v>168</v>
      </c>
      <c r="B63" s="66" t="s">
        <v>128</v>
      </c>
      <c r="C63" s="66" t="s">
        <v>83</v>
      </c>
      <c r="D63" s="66" t="s">
        <v>106</v>
      </c>
      <c r="G63" s="66" t="s">
        <v>46</v>
      </c>
      <c r="L63" s="66">
        <v>5500956146</v>
      </c>
    </row>
    <row r="64" spans="1:12" x14ac:dyDescent="0.25">
      <c r="A64" s="66" t="s">
        <v>168</v>
      </c>
      <c r="B64" s="66" t="s">
        <v>196</v>
      </c>
      <c r="C64" s="66" t="s">
        <v>83</v>
      </c>
      <c r="D64" s="66" t="s">
        <v>106</v>
      </c>
      <c r="G64" s="66" t="s">
        <v>46</v>
      </c>
      <c r="L64" s="66">
        <v>5500977909</v>
      </c>
    </row>
    <row r="65" spans="1:12" x14ac:dyDescent="0.25">
      <c r="A65" s="66" t="s">
        <v>169</v>
      </c>
      <c r="B65" s="66" t="s">
        <v>129</v>
      </c>
      <c r="C65" s="66" t="s">
        <v>83</v>
      </c>
      <c r="D65" s="66" t="s">
        <v>103</v>
      </c>
      <c r="G65" s="66" t="s">
        <v>46</v>
      </c>
      <c r="L65" s="66">
        <v>5500921496</v>
      </c>
    </row>
    <row r="66" spans="1:12" x14ac:dyDescent="0.25">
      <c r="A66" s="66" t="s">
        <v>169</v>
      </c>
      <c r="B66" s="66" t="s">
        <v>130</v>
      </c>
      <c r="C66" s="66" t="s">
        <v>83</v>
      </c>
      <c r="D66" s="66" t="s">
        <v>103</v>
      </c>
      <c r="G66" s="66" t="s">
        <v>46</v>
      </c>
      <c r="L66" s="66">
        <v>5500956773</v>
      </c>
    </row>
    <row r="67" spans="1:12" x14ac:dyDescent="0.25">
      <c r="A67" s="66" t="s">
        <v>169</v>
      </c>
      <c r="B67" s="66" t="s">
        <v>197</v>
      </c>
      <c r="C67" s="66" t="s">
        <v>83</v>
      </c>
      <c r="D67" s="66" t="s">
        <v>103</v>
      </c>
      <c r="G67" s="66" t="s">
        <v>46</v>
      </c>
      <c r="L67" s="66">
        <v>5500977982</v>
      </c>
    </row>
    <row r="68" spans="1:12" x14ac:dyDescent="0.25">
      <c r="A68" s="66" t="s">
        <v>170</v>
      </c>
      <c r="B68" s="66" t="s">
        <v>131</v>
      </c>
      <c r="C68" s="66" t="s">
        <v>83</v>
      </c>
      <c r="D68" s="66" t="s">
        <v>103</v>
      </c>
      <c r="G68" s="66" t="s">
        <v>46</v>
      </c>
      <c r="L68" s="66">
        <v>5500921497</v>
      </c>
    </row>
    <row r="69" spans="1:12" x14ac:dyDescent="0.25">
      <c r="A69" s="66" t="s">
        <v>170</v>
      </c>
      <c r="B69" s="66" t="s">
        <v>132</v>
      </c>
      <c r="C69" s="66" t="s">
        <v>83</v>
      </c>
      <c r="D69" s="66" t="s">
        <v>103</v>
      </c>
      <c r="G69" s="66" t="s">
        <v>46</v>
      </c>
      <c r="L69" s="66">
        <v>5500956771</v>
      </c>
    </row>
    <row r="70" spans="1:12" x14ac:dyDescent="0.25">
      <c r="A70" s="66" t="s">
        <v>170</v>
      </c>
      <c r="B70" s="66" t="s">
        <v>198</v>
      </c>
      <c r="C70" s="66" t="s">
        <v>83</v>
      </c>
      <c r="D70" s="66" t="s">
        <v>103</v>
      </c>
      <c r="G70" s="66" t="s">
        <v>46</v>
      </c>
      <c r="L70" s="66">
        <v>5500977990</v>
      </c>
    </row>
    <row r="71" spans="1:12" x14ac:dyDescent="0.25">
      <c r="A71" s="66" t="s">
        <v>171</v>
      </c>
      <c r="B71" s="66" t="s">
        <v>133</v>
      </c>
      <c r="C71" s="66" t="s">
        <v>83</v>
      </c>
      <c r="D71" s="66" t="s">
        <v>103</v>
      </c>
      <c r="G71" s="66" t="s">
        <v>46</v>
      </c>
      <c r="L71" s="66">
        <v>5500921498</v>
      </c>
    </row>
    <row r="72" spans="1:12" x14ac:dyDescent="0.25">
      <c r="A72" s="66" t="s">
        <v>171</v>
      </c>
      <c r="B72" s="66" t="s">
        <v>134</v>
      </c>
      <c r="C72" s="66" t="s">
        <v>83</v>
      </c>
      <c r="D72" s="66" t="s">
        <v>103</v>
      </c>
      <c r="G72" s="66" t="s">
        <v>46</v>
      </c>
      <c r="L72" s="66">
        <v>5500956768</v>
      </c>
    </row>
    <row r="73" spans="1:12" x14ac:dyDescent="0.25">
      <c r="A73" s="66" t="s">
        <v>171</v>
      </c>
      <c r="B73" s="66" t="s">
        <v>199</v>
      </c>
      <c r="C73" s="66" t="s">
        <v>83</v>
      </c>
      <c r="D73" s="66" t="s">
        <v>103</v>
      </c>
      <c r="G73" s="66" t="s">
        <v>46</v>
      </c>
      <c r="L73" s="66">
        <v>5500977986</v>
      </c>
    </row>
    <row r="74" spans="1:12" x14ac:dyDescent="0.25">
      <c r="A74" s="66" t="s">
        <v>172</v>
      </c>
      <c r="B74" s="66" t="s">
        <v>135</v>
      </c>
      <c r="C74" s="66" t="s">
        <v>83</v>
      </c>
      <c r="D74" s="66" t="s">
        <v>136</v>
      </c>
      <c r="G74" s="66" t="s">
        <v>46</v>
      </c>
      <c r="L74" s="66">
        <v>5500897108</v>
      </c>
    </row>
    <row r="75" spans="1:12" x14ac:dyDescent="0.25">
      <c r="A75" s="66" t="s">
        <v>172</v>
      </c>
      <c r="B75" s="66" t="s">
        <v>137</v>
      </c>
      <c r="C75" s="66" t="s">
        <v>83</v>
      </c>
      <c r="D75" s="66" t="s">
        <v>136</v>
      </c>
      <c r="G75" s="66" t="s">
        <v>46</v>
      </c>
      <c r="L75" s="66">
        <v>5500956139</v>
      </c>
    </row>
    <row r="76" spans="1:12" x14ac:dyDescent="0.25">
      <c r="A76" s="66" t="s">
        <v>172</v>
      </c>
      <c r="B76" s="66" t="s">
        <v>200</v>
      </c>
      <c r="C76" s="66" t="s">
        <v>83</v>
      </c>
      <c r="D76" s="66" t="s">
        <v>136</v>
      </c>
      <c r="G76" s="66" t="s">
        <v>46</v>
      </c>
      <c r="L76" s="66">
        <v>5500977913</v>
      </c>
    </row>
    <row r="77" spans="1:12" x14ac:dyDescent="0.25">
      <c r="A77" s="66" t="s">
        <v>173</v>
      </c>
      <c r="B77" s="66" t="s">
        <v>138</v>
      </c>
      <c r="C77" s="66" t="s">
        <v>83</v>
      </c>
      <c r="D77" s="66" t="s">
        <v>136</v>
      </c>
      <c r="G77" s="66" t="s">
        <v>46</v>
      </c>
      <c r="L77" s="66">
        <v>5500897109</v>
      </c>
    </row>
    <row r="78" spans="1:12" x14ac:dyDescent="0.25">
      <c r="A78" s="66" t="s">
        <v>173</v>
      </c>
      <c r="B78" s="66" t="s">
        <v>139</v>
      </c>
      <c r="C78" s="66" t="s">
        <v>83</v>
      </c>
      <c r="D78" s="66" t="s">
        <v>136</v>
      </c>
      <c r="G78" s="66" t="s">
        <v>46</v>
      </c>
      <c r="L78" s="66">
        <v>5500956140</v>
      </c>
    </row>
    <row r="79" spans="1:12" x14ac:dyDescent="0.25">
      <c r="A79" s="66" t="s">
        <v>173</v>
      </c>
      <c r="B79" s="66" t="s">
        <v>201</v>
      </c>
      <c r="C79" s="66" t="s">
        <v>83</v>
      </c>
      <c r="D79" s="66" t="s">
        <v>136</v>
      </c>
      <c r="G79" s="66" t="s">
        <v>46</v>
      </c>
      <c r="L79" s="66">
        <v>5500977910</v>
      </c>
    </row>
    <row r="80" spans="1:12" x14ac:dyDescent="0.25">
      <c r="A80" s="66" t="s">
        <v>174</v>
      </c>
      <c r="B80" s="66" t="s">
        <v>140</v>
      </c>
      <c r="C80" s="66" t="s">
        <v>83</v>
      </c>
      <c r="D80" s="66" t="s">
        <v>136</v>
      </c>
      <c r="G80" s="66" t="s">
        <v>46</v>
      </c>
      <c r="L80" s="66">
        <v>5500897110</v>
      </c>
    </row>
    <row r="81" spans="1:12" x14ac:dyDescent="0.25">
      <c r="A81" s="66" t="s">
        <v>174</v>
      </c>
      <c r="B81" s="66" t="s">
        <v>141</v>
      </c>
      <c r="C81" s="66" t="s">
        <v>83</v>
      </c>
      <c r="D81" s="66" t="s">
        <v>136</v>
      </c>
      <c r="G81" s="66" t="s">
        <v>46</v>
      </c>
      <c r="L81" s="66">
        <v>5500956141</v>
      </c>
    </row>
    <row r="82" spans="1:12" x14ac:dyDescent="0.25">
      <c r="A82" s="66" t="s">
        <v>174</v>
      </c>
      <c r="B82" s="66" t="s">
        <v>142</v>
      </c>
      <c r="C82" s="66" t="s">
        <v>83</v>
      </c>
      <c r="D82" s="66" t="s">
        <v>136</v>
      </c>
      <c r="G82" s="66" t="s">
        <v>46</v>
      </c>
      <c r="L82" s="66">
        <v>5500976903</v>
      </c>
    </row>
    <row r="83" spans="1:12" x14ac:dyDescent="0.25">
      <c r="A83" s="66" t="s">
        <v>176</v>
      </c>
      <c r="B83" s="66" t="s">
        <v>143</v>
      </c>
      <c r="C83" s="66" t="s">
        <v>83</v>
      </c>
      <c r="D83" s="66" t="s">
        <v>136</v>
      </c>
      <c r="G83" s="66" t="s">
        <v>46</v>
      </c>
      <c r="L83" s="66">
        <v>5500897111</v>
      </c>
    </row>
    <row r="84" spans="1:12" x14ac:dyDescent="0.25">
      <c r="A84" s="66" t="s">
        <v>176</v>
      </c>
      <c r="B84" s="66" t="s">
        <v>144</v>
      </c>
      <c r="C84" s="66" t="s">
        <v>83</v>
      </c>
      <c r="D84" s="66" t="s">
        <v>136</v>
      </c>
      <c r="G84" s="66" t="s">
        <v>46</v>
      </c>
      <c r="L84" s="66">
        <v>5500956142</v>
      </c>
    </row>
    <row r="85" spans="1:12" x14ac:dyDescent="0.25">
      <c r="A85" s="66" t="s">
        <v>176</v>
      </c>
      <c r="B85" s="66" t="s">
        <v>202</v>
      </c>
      <c r="C85" s="66" t="s">
        <v>83</v>
      </c>
      <c r="D85" s="66" t="s">
        <v>136</v>
      </c>
      <c r="G85" s="66" t="s">
        <v>46</v>
      </c>
      <c r="L85" s="66">
        <v>5500977911</v>
      </c>
    </row>
    <row r="86" spans="1:12" x14ac:dyDescent="0.25">
      <c r="A86" s="66" t="s">
        <v>221</v>
      </c>
      <c r="B86" s="66" t="s">
        <v>222</v>
      </c>
      <c r="C86" s="66" t="s">
        <v>83</v>
      </c>
      <c r="D86" s="66" t="s">
        <v>223</v>
      </c>
      <c r="G86" s="66" t="s">
        <v>224</v>
      </c>
      <c r="L86" s="66">
        <v>5500980416</v>
      </c>
    </row>
    <row r="87" spans="1:12" x14ac:dyDescent="0.25">
      <c r="A87" s="66" t="s">
        <v>225</v>
      </c>
      <c r="B87" s="66" t="s">
        <v>226</v>
      </c>
      <c r="C87" s="66" t="s">
        <v>83</v>
      </c>
      <c r="D87" s="66" t="s">
        <v>223</v>
      </c>
      <c r="G87" s="66" t="s">
        <v>224</v>
      </c>
      <c r="L87" s="66">
        <v>5500980417</v>
      </c>
    </row>
    <row r="88" spans="1:12" x14ac:dyDescent="0.25">
      <c r="A88" s="66" t="s">
        <v>227</v>
      </c>
      <c r="B88" s="66" t="s">
        <v>228</v>
      </c>
      <c r="C88" s="66" t="s">
        <v>83</v>
      </c>
      <c r="D88" s="66" t="s">
        <v>223</v>
      </c>
      <c r="G88" s="66" t="s">
        <v>224</v>
      </c>
      <c r="L88" s="66">
        <v>5500980418</v>
      </c>
    </row>
    <row r="89" spans="1:12" x14ac:dyDescent="0.25">
      <c r="A89" s="66" t="s">
        <v>229</v>
      </c>
      <c r="B89" s="66" t="s">
        <v>230</v>
      </c>
      <c r="C89" s="66" t="s">
        <v>83</v>
      </c>
      <c r="D89" s="66" t="s">
        <v>223</v>
      </c>
      <c r="G89" s="66" t="s">
        <v>224</v>
      </c>
      <c r="L89" s="66">
        <v>5500980419</v>
      </c>
    </row>
    <row r="90" spans="1:12" x14ac:dyDescent="0.25">
      <c r="A90" s="66" t="s">
        <v>231</v>
      </c>
      <c r="B90" s="66" t="s">
        <v>232</v>
      </c>
      <c r="C90" s="66" t="s">
        <v>83</v>
      </c>
      <c r="D90" s="66" t="s">
        <v>223</v>
      </c>
      <c r="G90" s="66" t="s">
        <v>224</v>
      </c>
      <c r="L90" s="66">
        <v>5500980420</v>
      </c>
    </row>
    <row r="91" spans="1:12" x14ac:dyDescent="0.25">
      <c r="A91" s="66" t="s">
        <v>233</v>
      </c>
      <c r="B91" s="66" t="s">
        <v>234</v>
      </c>
      <c r="C91" s="66" t="s">
        <v>83</v>
      </c>
      <c r="D91" s="66" t="s">
        <v>223</v>
      </c>
      <c r="G91" s="66" t="s">
        <v>224</v>
      </c>
      <c r="L91" s="66">
        <v>5500980421</v>
      </c>
    </row>
    <row r="92" spans="1:12" x14ac:dyDescent="0.25">
      <c r="A92" s="66" t="s">
        <v>235</v>
      </c>
      <c r="B92" s="66" t="s">
        <v>236</v>
      </c>
      <c r="C92" s="66" t="s">
        <v>83</v>
      </c>
      <c r="D92" s="66" t="s">
        <v>223</v>
      </c>
      <c r="G92" s="66" t="s">
        <v>224</v>
      </c>
      <c r="L92" s="66">
        <v>5500980422</v>
      </c>
    </row>
    <row r="93" spans="1:12" x14ac:dyDescent="0.25">
      <c r="A93" s="66" t="s">
        <v>237</v>
      </c>
      <c r="B93" s="66" t="s">
        <v>238</v>
      </c>
      <c r="C93" s="66" t="s">
        <v>83</v>
      </c>
      <c r="D93" s="66" t="s">
        <v>223</v>
      </c>
      <c r="G93" s="66" t="s">
        <v>224</v>
      </c>
      <c r="L93" s="66">
        <v>5500980423</v>
      </c>
    </row>
    <row r="94" spans="1:12" x14ac:dyDescent="0.25">
      <c r="A94" s="66" t="s">
        <v>239</v>
      </c>
      <c r="B94" s="66" t="s">
        <v>240</v>
      </c>
      <c r="C94" s="66" t="s">
        <v>83</v>
      </c>
      <c r="D94" s="66" t="s">
        <v>223</v>
      </c>
      <c r="G94" s="66" t="s">
        <v>224</v>
      </c>
      <c r="L94" s="66">
        <v>5500980424</v>
      </c>
    </row>
    <row r="95" spans="1:12" x14ac:dyDescent="0.25">
      <c r="A95" s="66" t="s">
        <v>241</v>
      </c>
      <c r="B95" s="66" t="s">
        <v>242</v>
      </c>
      <c r="C95" s="66" t="s">
        <v>83</v>
      </c>
      <c r="D95" s="66" t="s">
        <v>223</v>
      </c>
      <c r="G95" s="66" t="s">
        <v>224</v>
      </c>
      <c r="L95" s="66">
        <v>5500980425</v>
      </c>
    </row>
    <row r="96" spans="1:12" x14ac:dyDescent="0.25">
      <c r="A96" s="66" t="s">
        <v>243</v>
      </c>
      <c r="B96" s="66" t="s">
        <v>244</v>
      </c>
      <c r="C96" s="66" t="s">
        <v>83</v>
      </c>
      <c r="D96" s="66" t="s">
        <v>223</v>
      </c>
      <c r="G96" s="66" t="s">
        <v>224</v>
      </c>
      <c r="L96" s="66">
        <v>5500980426</v>
      </c>
    </row>
    <row r="97" spans="1:12" x14ac:dyDescent="0.25">
      <c r="A97" s="66" t="s">
        <v>245</v>
      </c>
      <c r="B97" s="66" t="s">
        <v>246</v>
      </c>
      <c r="C97" s="66" t="s">
        <v>83</v>
      </c>
      <c r="D97" s="66" t="s">
        <v>223</v>
      </c>
      <c r="G97" s="66" t="s">
        <v>224</v>
      </c>
      <c r="L97" s="66">
        <v>5500980427</v>
      </c>
    </row>
    <row r="98" spans="1:12" x14ac:dyDescent="0.25">
      <c r="A98" s="66" t="s">
        <v>247</v>
      </c>
      <c r="B98" s="66" t="s">
        <v>248</v>
      </c>
      <c r="C98" s="66" t="s">
        <v>83</v>
      </c>
      <c r="D98" s="66" t="s">
        <v>223</v>
      </c>
      <c r="G98" s="66" t="s">
        <v>224</v>
      </c>
      <c r="L98" s="66">
        <v>5500980428</v>
      </c>
    </row>
    <row r="99" spans="1:12" x14ac:dyDescent="0.25">
      <c r="A99" s="66" t="s">
        <v>249</v>
      </c>
      <c r="B99" s="66" t="s">
        <v>250</v>
      </c>
      <c r="C99" s="66" t="s">
        <v>83</v>
      </c>
      <c r="D99" s="66" t="s">
        <v>223</v>
      </c>
      <c r="G99" s="66" t="s">
        <v>224</v>
      </c>
      <c r="L99" s="66">
        <v>5500980432</v>
      </c>
    </row>
    <row r="100" spans="1:12" x14ac:dyDescent="0.25">
      <c r="A100" s="66" t="s">
        <v>251</v>
      </c>
      <c r="B100" s="66" t="s">
        <v>252</v>
      </c>
      <c r="C100" s="66" t="s">
        <v>83</v>
      </c>
      <c r="D100" s="66" t="s">
        <v>223</v>
      </c>
      <c r="G100" s="66" t="s">
        <v>224</v>
      </c>
      <c r="L100" s="66">
        <v>5500980429</v>
      </c>
    </row>
    <row r="101" spans="1:12" x14ac:dyDescent="0.25">
      <c r="A101" s="66" t="s">
        <v>253</v>
      </c>
      <c r="B101" s="66" t="s">
        <v>254</v>
      </c>
      <c r="C101" s="66" t="s">
        <v>83</v>
      </c>
      <c r="D101" s="66" t="s">
        <v>223</v>
      </c>
      <c r="G101" s="66" t="s">
        <v>224</v>
      </c>
      <c r="L101" s="66">
        <v>5500980430</v>
      </c>
    </row>
    <row r="102" spans="1:12" x14ac:dyDescent="0.25">
      <c r="A102" s="66" t="s">
        <v>255</v>
      </c>
      <c r="B102" s="66" t="s">
        <v>256</v>
      </c>
      <c r="C102" s="66" t="s">
        <v>83</v>
      </c>
      <c r="D102" s="66" t="s">
        <v>223</v>
      </c>
      <c r="G102" s="66" t="s">
        <v>224</v>
      </c>
      <c r="L102" s="66">
        <v>5500980433</v>
      </c>
    </row>
  </sheetData>
  <autoFilter ref="A1:M85"/>
  <pageMargins left="0.7" right="0.7" top="0.75" bottom="0.75" header="0.3" footer="0.3"/>
  <customProperties>
    <customPr name="EpmWorksheetKeyString_GUID" r:id="rId1"/>
  </customPropertie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N30" sqref="N30"/>
    </sheetView>
  </sheetViews>
  <sheetFormatPr defaultColWidth="9.140625" defaultRowHeight="12.75" x14ac:dyDescent="0.2"/>
  <cols>
    <col min="1" max="16384" width="9.140625" style="24"/>
  </cols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Final SR</vt:lpstr>
      <vt:lpstr>Sheet1</vt:lpstr>
      <vt:lpstr>JAI TOTALs</vt:lpstr>
      <vt:lpstr>TOTALss</vt:lpstr>
      <vt:lpstr>Timing Table</vt:lpstr>
      <vt:lpstr>GRAPH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Wood</dc:creator>
  <cp:keywords>CONFIDENTIAL</cp:keywords>
  <cp:lastModifiedBy>Meyta A. R.</cp:lastModifiedBy>
  <cp:revision/>
  <dcterms:created xsi:type="dcterms:W3CDTF">2019-02-14T16:52:30Z</dcterms:created>
  <dcterms:modified xsi:type="dcterms:W3CDTF">2026-03-09T05:27:17Z</dcterms:modified>
</cp:coreProperties>
</file>