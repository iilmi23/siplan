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GUM" sheetId="1" r:id="rId4"/>
    <sheet name="down rate" sheetId="2" state="hidden" r:id="rId5"/>
    <sheet name="(AS-400 Jembatan)" sheetId="3" r:id="rId6"/>
    <sheet name="(AS-400 Transfer)" sheetId="4" r:id="rId7"/>
    <sheet name="WEEK" sheetId="5" r:id="rId8"/>
    <sheet name="Sheet1" sheetId="6" r:id="rId9"/>
  </sheets>
  <definedNames>
    <definedName name="_xlnm.Print_Titles" localSheetId="0">'GUM'!$11:$13</definedName>
    <definedName name="_xlnm.Print_Area" localSheetId="0">'GUM'!$A$1:$AD$104</definedName>
    <definedName name="_xlnm.Print_Titles" localSheetId="1">'down rate'!$11:$13</definedName>
    <definedName name="_xlnm.Print_Area" localSheetId="1">'down rate'!$A$1:$AE$113</definedName>
  </definedNames>
  <calcPr calcId="999999" calcMode="auto" calcCompleted="1" fullCalcOnLoad="0" forceFullCalc="0"/>
</workbook>
</file>

<file path=xl/comments2.xml><?xml version="1.0" encoding="utf-8"?>
<comments xmlns="http://schemas.openxmlformats.org/spreadsheetml/2006/main">
  <authors>
    <author>evaningsih</author>
  </authors>
  <commentList>
    <comment ref="I12" authorId="0">
      <text>
        <r>
          <t xml:space="preserve">evaningsih:
GUM</t>
        </r>
      </text>
    </comment>
    <comment ref="F14" authorId="0">
      <text>
        <r>
          <t xml:space="preserve">evaningsih:
up date 18-Jun-09</t>
        </r>
      </text>
    </comment>
    <comment ref="I14" authorId="0">
      <text>
        <r>
          <t xml:space="preserve">evaningsih:
update 29-MAR'10</t>
        </r>
      </text>
    </comment>
    <comment ref="H75" authorId="0">
      <text>
        <r>
          <t xml:space="preserve">evaningsih:
OCS</t>
        </r>
      </text>
    </comment>
    <comment ref="I75" authorId="0">
      <text>
        <r>
          <t xml:space="preserve">evaningsih:
GUM</t>
        </r>
      </text>
    </comment>
  </commentList>
</comments>
</file>

<file path=xl/sharedStrings.xml><?xml version="1.0" encoding="utf-8"?>
<sst xmlns="http://schemas.openxmlformats.org/spreadsheetml/2006/main" uniqueCount="373">
  <si>
    <t>SIX MONTH PRODUCTION PLAN ( QTY )</t>
  </si>
  <si>
    <t>TOYOTA 491D.564D</t>
  </si>
  <si>
    <t>PREPARED</t>
  </si>
  <si>
    <t>S/R NO   : JAI SR 3-2-2026</t>
  </si>
  <si>
    <t>Periode : MAR PRODUCTION 2026</t>
  </si>
  <si>
    <t>FAX NO   : EMAIL</t>
  </si>
  <si>
    <t>NSO</t>
  </si>
  <si>
    <t>Print Date :</t>
  </si>
  <si>
    <t>TYPE</t>
  </si>
  <si>
    <t>HARNESS No.</t>
  </si>
  <si>
    <t>LEVEL</t>
  </si>
  <si>
    <t>ASSY CODE</t>
  </si>
  <si>
    <t>CCT</t>
  </si>
  <si>
    <t>Std Pack</t>
  </si>
  <si>
    <t>JAN - JUN</t>
  </si>
  <si>
    <t>FEB</t>
  </si>
  <si>
    <t>MAR</t>
  </si>
  <si>
    <t>APR</t>
  </si>
  <si>
    <t>MAY</t>
  </si>
  <si>
    <t>JUN</t>
  </si>
  <si>
    <t>JUL</t>
  </si>
  <si>
    <t>AUG</t>
  </si>
  <si>
    <t>BAL</t>
  </si>
  <si>
    <t>UMH</t>
  </si>
  <si>
    <t>DEL</t>
  </si>
  <si>
    <t>PROD</t>
  </si>
  <si>
    <t xml:space="preserve"> LHD HEV</t>
  </si>
  <si>
    <t>200D</t>
  </si>
  <si>
    <t>82115-0E470</t>
  </si>
  <si>
    <t>H 0001</t>
  </si>
  <si>
    <t>DS72</t>
  </si>
  <si>
    <t>82115-0E480 G</t>
  </si>
  <si>
    <t>G 0101</t>
  </si>
  <si>
    <t>DS04</t>
  </si>
  <si>
    <t>82115-0E490 H</t>
  </si>
  <si>
    <t>DS74</t>
  </si>
  <si>
    <t>82115-0EA10 H</t>
  </si>
  <si>
    <t>DS75</t>
  </si>
  <si>
    <t>491D</t>
  </si>
  <si>
    <t>82115-0E480</t>
  </si>
  <si>
    <t>J 0101</t>
  </si>
  <si>
    <t>DSY3</t>
  </si>
  <si>
    <t>82115-0E490 K</t>
  </si>
  <si>
    <t>K 0001</t>
  </si>
  <si>
    <t>DZ01</t>
  </si>
  <si>
    <t>82115-0EA10 K</t>
  </si>
  <si>
    <t>DZ02</t>
  </si>
  <si>
    <t>82115-0E600</t>
  </si>
  <si>
    <t>H 0201</t>
  </si>
  <si>
    <t>DS10</t>
  </si>
  <si>
    <t>82115-0E610</t>
  </si>
  <si>
    <t>DS11</t>
  </si>
  <si>
    <t>82115-0E620</t>
  </si>
  <si>
    <t>DS12</t>
  </si>
  <si>
    <t>82115-0EA40</t>
  </si>
  <si>
    <t>DS13</t>
  </si>
  <si>
    <t>82115-0EA50</t>
  </si>
  <si>
    <t>DS14</t>
  </si>
  <si>
    <t>82115-0EA60</t>
  </si>
  <si>
    <t>DS15</t>
  </si>
  <si>
    <t>82115-0EA70</t>
  </si>
  <si>
    <t>DS16</t>
  </si>
  <si>
    <t>82115-0EG40</t>
  </si>
  <si>
    <t>DS17</t>
  </si>
  <si>
    <t>82115-0E470 F</t>
  </si>
  <si>
    <t>G 0001</t>
  </si>
  <si>
    <t>DOI4</t>
  </si>
  <si>
    <t>82115-0E480 K</t>
  </si>
  <si>
    <t>K 0301</t>
  </si>
  <si>
    <t>DVB1</t>
  </si>
  <si>
    <t>821150E480</t>
  </si>
  <si>
    <t>82115-0E490 J</t>
  </si>
  <si>
    <t>J 1101</t>
  </si>
  <si>
    <t>DVB2</t>
  </si>
  <si>
    <t>82115-0EA10 J</t>
  </si>
  <si>
    <t>DVB3</t>
  </si>
  <si>
    <t>82115-0E570 G</t>
  </si>
  <si>
    <t>G 1001</t>
  </si>
  <si>
    <t>DOJ8</t>
  </si>
  <si>
    <t>82115-0E580 G</t>
  </si>
  <si>
    <t>DOJ9</t>
  </si>
  <si>
    <t>82115-0E590 G</t>
  </si>
  <si>
    <t>DOK1</t>
  </si>
  <si>
    <t>82115-0E600 G</t>
  </si>
  <si>
    <t>DOK2</t>
  </si>
  <si>
    <t>82115-0E610 G</t>
  </si>
  <si>
    <t>DOK3</t>
  </si>
  <si>
    <t>82115-0E620 G</t>
  </si>
  <si>
    <t>DOK4</t>
  </si>
  <si>
    <t>82115-0EA40 G</t>
  </si>
  <si>
    <t>DOK5</t>
  </si>
  <si>
    <t>82115-0EA50 G</t>
  </si>
  <si>
    <t>DOK6</t>
  </si>
  <si>
    <t>82115-0EA60 G</t>
  </si>
  <si>
    <t>DOK7</t>
  </si>
  <si>
    <t>82115-0EA70 G</t>
  </si>
  <si>
    <t>DOK8</t>
  </si>
  <si>
    <t>82115-0EG40 G</t>
  </si>
  <si>
    <t>DOK9</t>
  </si>
  <si>
    <t>LHD GAS</t>
  </si>
  <si>
    <t>82115-0E440 H</t>
  </si>
  <si>
    <t>DS68</t>
  </si>
  <si>
    <t>82115-0E450 H</t>
  </si>
  <si>
    <t>DS69</t>
  </si>
  <si>
    <t>82115-0E460 H</t>
  </si>
  <si>
    <t>DS70</t>
  </si>
  <si>
    <t>82115-0EA00 H</t>
  </si>
  <si>
    <t>DS71</t>
  </si>
  <si>
    <t>82115-0E500</t>
  </si>
  <si>
    <t>J 0001</t>
  </si>
  <si>
    <t>DRX2</t>
  </si>
  <si>
    <t>82115-0E510</t>
  </si>
  <si>
    <t>DR54</t>
  </si>
  <si>
    <t>82115-0E510 J</t>
  </si>
  <si>
    <t>DRX3</t>
  </si>
  <si>
    <t>82115-0E530</t>
  </si>
  <si>
    <t>DR56</t>
  </si>
  <si>
    <t>82115-0E530 J</t>
  </si>
  <si>
    <t>DRX5</t>
  </si>
  <si>
    <t>82115-0E440.</t>
  </si>
  <si>
    <t>DVC5</t>
  </si>
  <si>
    <t>82115-0E450.</t>
  </si>
  <si>
    <t>DVC6</t>
  </si>
  <si>
    <t>82115-0E460.</t>
  </si>
  <si>
    <t>DVC7</t>
  </si>
  <si>
    <t>82115-0EA00.</t>
  </si>
  <si>
    <t>DVC8</t>
  </si>
  <si>
    <t>82115-0E440 L</t>
  </si>
  <si>
    <t>L 0001</t>
  </si>
  <si>
    <t>DZ66</t>
  </si>
  <si>
    <t>82115-0E450 L</t>
  </si>
  <si>
    <t>DZ67</t>
  </si>
  <si>
    <t>82115-0E460 L</t>
  </si>
  <si>
    <t>DZ68</t>
  </si>
  <si>
    <t>82115-0EA00 L</t>
  </si>
  <si>
    <t>DZ69</t>
  </si>
  <si>
    <t>82115-0E440 M</t>
  </si>
  <si>
    <t>M 0001</t>
  </si>
  <si>
    <t>DYB9</t>
  </si>
  <si>
    <t>82115-0E450 M</t>
  </si>
  <si>
    <t>DYC1</t>
  </si>
  <si>
    <t>82115-0E460 M</t>
  </si>
  <si>
    <t>DYC2</t>
  </si>
  <si>
    <t>82115-0EA00 M</t>
  </si>
  <si>
    <t>DYC3</t>
  </si>
  <si>
    <t>564D</t>
  </si>
  <si>
    <t>82115-0E501</t>
  </si>
  <si>
    <t>A 0401</t>
  </si>
  <si>
    <t>DV25</t>
  </si>
  <si>
    <t>82115-0E511</t>
  </si>
  <si>
    <t>DV26</t>
  </si>
  <si>
    <t>82115-0E521</t>
  </si>
  <si>
    <t>DV27</t>
  </si>
  <si>
    <t>82115-0E531</t>
  </si>
  <si>
    <t>A 0501</t>
  </si>
  <si>
    <t>DV28</t>
  </si>
  <si>
    <t>82115-0E541</t>
  </si>
  <si>
    <t>DV29</t>
  </si>
  <si>
    <t>82115-0E551</t>
  </si>
  <si>
    <t>DV30</t>
  </si>
  <si>
    <t>82115-0E561</t>
  </si>
  <si>
    <t>DV31</t>
  </si>
  <si>
    <t>82115-0EA21</t>
  </si>
  <si>
    <t>DV32</t>
  </si>
  <si>
    <t>82115-0EA31</t>
  </si>
  <si>
    <t>DV33</t>
  </si>
  <si>
    <t>82115-0E310 B</t>
  </si>
  <si>
    <t>B 1001</t>
  </si>
  <si>
    <t>DV34</t>
  </si>
  <si>
    <t>82115-0E310</t>
  </si>
  <si>
    <t>82115-0EZ30</t>
  </si>
  <si>
    <t>DV35</t>
  </si>
  <si>
    <t>82115-0EZ40</t>
  </si>
  <si>
    <t>DV36</t>
  </si>
  <si>
    <t>82115-0EZ50</t>
  </si>
  <si>
    <t>DV37</t>
  </si>
  <si>
    <t>82115-0EZ60</t>
  </si>
  <si>
    <t>DV38</t>
  </si>
  <si>
    <t>82115-0EZ70</t>
  </si>
  <si>
    <t>DV39</t>
  </si>
  <si>
    <t>82115-0EZ80</t>
  </si>
  <si>
    <t>DV40</t>
  </si>
  <si>
    <t>82115-0EZ90</t>
  </si>
  <si>
    <t>DV41</t>
  </si>
  <si>
    <t>82115-0E501 B</t>
  </si>
  <si>
    <t>DW83</t>
  </si>
  <si>
    <t>82115-0E511 B</t>
  </si>
  <si>
    <t>DW84</t>
  </si>
  <si>
    <t>82115-0E521 B</t>
  </si>
  <si>
    <t>DW85</t>
  </si>
  <si>
    <t>82115-0E531 B</t>
  </si>
  <si>
    <t>DW86</t>
  </si>
  <si>
    <t>82115-0E541 B</t>
  </si>
  <si>
    <t>DW87</t>
  </si>
  <si>
    <t>82115-0E551 B</t>
  </si>
  <si>
    <t>DW88</t>
  </si>
  <si>
    <t>82115-0E561 B</t>
  </si>
  <si>
    <t>DW89</t>
  </si>
  <si>
    <t>82115-0EA21 B</t>
  </si>
  <si>
    <t>DW90</t>
  </si>
  <si>
    <t>82115-0EA31 B</t>
  </si>
  <si>
    <t>DW91</t>
  </si>
  <si>
    <t>82115-0EZ30 B</t>
  </si>
  <si>
    <t>DW93</t>
  </si>
  <si>
    <t>82115-0EZ40 B</t>
  </si>
  <si>
    <t>DW94</t>
  </si>
  <si>
    <t>82115-0EZ50 B</t>
  </si>
  <si>
    <t>DW95</t>
  </si>
  <si>
    <t>82115-0EZ60 B</t>
  </si>
  <si>
    <t>DW96</t>
  </si>
  <si>
    <t>82115-0EZ70 B</t>
  </si>
  <si>
    <t>DW97</t>
  </si>
  <si>
    <t>82115-0EZ80 B</t>
  </si>
  <si>
    <t>DW98</t>
  </si>
  <si>
    <t>82115-0EZ90 B</t>
  </si>
  <si>
    <t>DW99</t>
  </si>
  <si>
    <t>TOTAL ALL 200D</t>
  </si>
  <si>
    <t>TOTAL ALL 220D</t>
  </si>
  <si>
    <t>TOTAL ALL 564D</t>
  </si>
  <si>
    <t>TOTAL ALL WITHOUT A/B</t>
  </si>
  <si>
    <t>Month</t>
  </si>
  <si>
    <t>Working Daws Normal</t>
  </si>
  <si>
    <t>Overtime</t>
  </si>
  <si>
    <t>200D (909W)</t>
  </si>
  <si>
    <t>220D (910W)</t>
  </si>
  <si>
    <t xml:space="preserve">                        </t>
  </si>
  <si>
    <t>564D (910W)</t>
  </si>
  <si>
    <t>SIX MONTH PRODUCTION PLAN ( UMH )</t>
  </si>
  <si>
    <t>200D HEV</t>
  </si>
  <si>
    <t>220D HEV</t>
  </si>
  <si>
    <t>564D HEV</t>
  </si>
  <si>
    <t>200D GAS</t>
  </si>
  <si>
    <t>220D GAS</t>
  </si>
  <si>
    <t>564D GAS</t>
  </si>
  <si>
    <t xml:space="preserve">Note : </t>
  </si>
  <si>
    <t>Normal</t>
  </si>
  <si>
    <t>OT</t>
  </si>
  <si>
    <t>ACTUAL CAN/Daw</t>
  </si>
  <si>
    <t>FUGA ( DOM )</t>
  </si>
  <si>
    <t>FUGA ( USA )</t>
  </si>
  <si>
    <t>FUGA ( CHINA )</t>
  </si>
  <si>
    <t>CANACITY</t>
  </si>
  <si>
    <t>O.T ( 3,5 HOURS)</t>
  </si>
  <si>
    <t>DOM ( 1 C/V )</t>
  </si>
  <si>
    <t>USA ( 2 C/V )</t>
  </si>
  <si>
    <t>CHINA ( 1 CV )</t>
  </si>
  <si>
    <t>TOYOTA PRIUS (433W )</t>
  </si>
  <si>
    <t>S/R NO   : 14-DEC-'10(PRD_52023_32G7_201101_3)</t>
  </si>
  <si>
    <t>Periode : DEC PROD  2010 (ACTUAL)</t>
  </si>
  <si>
    <t>DATE       :14-DEC-10</t>
  </si>
  <si>
    <t>EMU</t>
  </si>
  <si>
    <t>AS 400</t>
  </si>
  <si>
    <t>TEMPRORARY  UMH</t>
  </si>
  <si>
    <t>Cutting Qty</t>
  </si>
  <si>
    <t>CCT.</t>
  </si>
  <si>
    <t xml:space="preserve">UMH </t>
  </si>
  <si>
    <t>Jan~Jun</t>
  </si>
  <si>
    <t>Jul~Dec</t>
  </si>
  <si>
    <t>RHD</t>
  </si>
  <si>
    <t xml:space="preserve">DOM </t>
  </si>
  <si>
    <t xml:space="preserve">82111-47330 H </t>
  </si>
  <si>
    <t>82111-47330</t>
  </si>
  <si>
    <t xml:space="preserve">82111-47340 H </t>
  </si>
  <si>
    <t>82111-47340</t>
  </si>
  <si>
    <t xml:space="preserve">82111-47350 A </t>
  </si>
  <si>
    <t>82111-47350</t>
  </si>
  <si>
    <t>EC</t>
  </si>
  <si>
    <t xml:space="preserve">82111-47450 H </t>
  </si>
  <si>
    <t>82111-47450</t>
  </si>
  <si>
    <t xml:space="preserve">82111-47460 H </t>
  </si>
  <si>
    <t>82111-47460</t>
  </si>
  <si>
    <t xml:space="preserve">82111-47480 B </t>
  </si>
  <si>
    <t>82111-47461</t>
  </si>
  <si>
    <t>82111-47462</t>
  </si>
  <si>
    <t>82111-47341</t>
  </si>
  <si>
    <t>82111-47342</t>
  </si>
  <si>
    <t>82111-47451</t>
  </si>
  <si>
    <t xml:space="preserve">82111-47360 J </t>
  </si>
  <si>
    <t>82111-47360</t>
  </si>
  <si>
    <t>82111-47452</t>
  </si>
  <si>
    <t>LHD</t>
  </si>
  <si>
    <t xml:space="preserve">USA </t>
  </si>
  <si>
    <t xml:space="preserve">82111-47370 J </t>
  </si>
  <si>
    <t>82111-47370</t>
  </si>
  <si>
    <t xml:space="preserve">82111-47380 H  </t>
  </si>
  <si>
    <t>82111-47380</t>
  </si>
  <si>
    <t>CANADA</t>
  </si>
  <si>
    <t xml:space="preserve">82111-47390 J </t>
  </si>
  <si>
    <t>82111-47390</t>
  </si>
  <si>
    <t xml:space="preserve">82111-47400 J </t>
  </si>
  <si>
    <t>82111-47400</t>
  </si>
  <si>
    <t xml:space="preserve">82111-47410 J </t>
  </si>
  <si>
    <t>82111-47410</t>
  </si>
  <si>
    <t xml:space="preserve">82111-47420 J </t>
  </si>
  <si>
    <t>82111-47420</t>
  </si>
  <si>
    <t>82111-47430 J</t>
  </si>
  <si>
    <t>82111-47430</t>
  </si>
  <si>
    <t xml:space="preserve">82111-47440 J </t>
  </si>
  <si>
    <t>82111-47440</t>
  </si>
  <si>
    <t>82111-47371</t>
  </si>
  <si>
    <t>82111-47372</t>
  </si>
  <si>
    <t>82111-47391</t>
  </si>
  <si>
    <t>82111-47392</t>
  </si>
  <si>
    <t>82111-47401</t>
  </si>
  <si>
    <t>82111-47402</t>
  </si>
  <si>
    <t>82111-47411</t>
  </si>
  <si>
    <t>82111-47412</t>
  </si>
  <si>
    <t>82111-47431</t>
  </si>
  <si>
    <t>82111-47432</t>
  </si>
  <si>
    <t>82111-47441</t>
  </si>
  <si>
    <t>82111-47442</t>
  </si>
  <si>
    <t>A/B 433W</t>
  </si>
  <si>
    <t xml:space="preserve">AB111-47330-1 D </t>
  </si>
  <si>
    <t>0001</t>
  </si>
  <si>
    <t>AB111-47330-1</t>
  </si>
  <si>
    <t xml:space="preserve">AB111-47330-2 D </t>
  </si>
  <si>
    <t>AB111-47330-2</t>
  </si>
  <si>
    <t xml:space="preserve">AB111-47360-1 G </t>
  </si>
  <si>
    <t>AB111-47360-1</t>
  </si>
  <si>
    <t>AB111-47360-2 G</t>
  </si>
  <si>
    <t>AB111-47360-2</t>
  </si>
  <si>
    <t>A/B 377A</t>
  </si>
  <si>
    <t>0022</t>
  </si>
  <si>
    <t>0011</t>
  </si>
  <si>
    <t>1022</t>
  </si>
  <si>
    <t>TOTAL WITHOUT A/B</t>
  </si>
  <si>
    <t>Working Days Normal</t>
  </si>
  <si>
    <t>DOM</t>
  </si>
  <si>
    <t>USA</t>
  </si>
  <si>
    <t>EC-LHD</t>
  </si>
  <si>
    <t>ACTUAL CAP/DAY</t>
  </si>
  <si>
    <t>CAPACITY</t>
  </si>
  <si>
    <t>Printed :</t>
  </si>
  <si>
    <t>T</t>
  </si>
  <si>
    <t>W</t>
  </si>
  <si>
    <t>Z</t>
  </si>
  <si>
    <t>AC</t>
  </si>
  <si>
    <t>SR</t>
  </si>
  <si>
    <t>SPP</t>
  </si>
  <si>
    <t>VALUE</t>
  </si>
  <si>
    <t>TOTAL</t>
  </si>
  <si>
    <t>TOTAL (AB)</t>
  </si>
  <si>
    <t>220D</t>
  </si>
  <si>
    <t xml:space="preserve"> </t>
  </si>
  <si>
    <t>Q</t>
  </si>
  <si>
    <t>Week</t>
  </si>
  <si>
    <t>pembulatan</t>
  </si>
  <si>
    <t>JAN</t>
  </si>
  <si>
    <t>05/JAN~ 30/JAN</t>
  </si>
  <si>
    <t>02/FEB ~ 27/FEB</t>
  </si>
  <si>
    <t>02/MAR ~ 31/MAR</t>
  </si>
  <si>
    <t>01/APR ~ 30/APR</t>
  </si>
  <si>
    <t>02/MAY ~ 30/MAY</t>
  </si>
  <si>
    <t>02/JUN ~ 30/JUN</t>
  </si>
  <si>
    <t>01/JUL ~ 31/JUL</t>
  </si>
  <si>
    <t>03/AUG ~ 31/AUG</t>
  </si>
  <si>
    <t>SEP</t>
  </si>
  <si>
    <t>01/SEP ~ 30/SEP</t>
  </si>
  <si>
    <t>OCT</t>
  </si>
  <si>
    <t>01/OCT ~ 30/OCT</t>
  </si>
  <si>
    <t>NOV</t>
  </si>
  <si>
    <t>02/NOV ~ 30/NOV</t>
  </si>
  <si>
    <t>DEC</t>
  </si>
  <si>
    <t>01/DEC ~ 31/DEC</t>
  </si>
  <si>
    <t>03/JAN~ 31/JAN</t>
  </si>
  <si>
    <t>01/FEB ~ 28/FEB</t>
  </si>
  <si>
    <t>03/MAR ~ 28/MAR</t>
  </si>
  <si>
    <t>07/APR ~ 30/APR</t>
  </si>
  <si>
    <t>02/MAY ~ 31/MAY</t>
  </si>
  <si>
    <t>01/AUG ~ 29/AUG</t>
  </si>
  <si>
    <t>03/SEP ~ 30/SEP</t>
  </si>
  <si>
    <t>01/OCT ~ 31/OCT</t>
  </si>
  <si>
    <t>03/NOV ~ 28/NOV</t>
  </si>
</sst>
</file>

<file path=xl/styles.xml><?xml version="1.0" encoding="utf-8"?>
<styleSheet xmlns="http://schemas.openxmlformats.org/spreadsheetml/2006/main" xml:space="preserve">
  <numFmts count="9">
    <numFmt numFmtId="164" formatCode="General_)"/>
    <numFmt numFmtId="165" formatCode="0.0"/>
    <numFmt numFmtId="166" formatCode="[$-409]dd\-mmm\-yy;@"/>
    <numFmt numFmtId="167" formatCode="####0000"/>
    <numFmt numFmtId="168" formatCode="0.0000"/>
    <numFmt numFmtId="169" formatCode="_(* #,##0_);_(* \(#,##0\);_(* &quot;-&quot;_);_(@_)"/>
    <numFmt numFmtId="170" formatCode="0.000"/>
    <numFmt numFmtId="171" formatCode="[$-409]d\-mmm;@"/>
    <numFmt numFmtId="172" formatCode="_(* #,##0.00_);_(* \(#,##0.00\);_(* &quot;-&quot;??_);_(@_)"/>
  </numFmts>
  <fonts count="15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1"/>
      <strike val="0"/>
      <u val="none"/>
      <sz val="12"/>
      <color rgb="FF000000"/>
      <name val="Arial"/>
    </font>
    <font>
      <b val="1"/>
      <i val="1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FF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0000"/>
      <name val="Arial"/>
    </font>
    <font>
      <b val="1"/>
      <i val="0"/>
      <strike val="0"/>
      <u val="none"/>
      <sz val="18"/>
      <color rgb="FF000000"/>
      <name val="Arial"/>
    </font>
    <font>
      <b val="1"/>
      <i val="0"/>
      <strike val="0"/>
      <u val="none"/>
      <sz val="20"/>
      <color rgb="FF000000"/>
      <name val="Arial"/>
    </font>
  </fonts>
  <fills count="18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9FF99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66"/>
        <bgColor rgb="FF000000"/>
      </patternFill>
    </fill>
    <fill>
      <patternFill patternType="solid">
        <fgColor rgb="FF99FFCC"/>
        <bgColor rgb="FF000000"/>
      </patternFill>
    </fill>
    <fill>
      <patternFill patternType="solid">
        <fgColor rgb="FFFFCC99"/>
        <bgColor rgb="FF000000"/>
      </patternFill>
    </fill>
  </fills>
  <borders count="17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/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/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/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</borders>
  <cellStyleXfs count="1">
    <xf numFmtId="0" fontId="0" fillId="0" borderId="0"/>
  </cellStyleXfs>
  <cellXfs count="1308">
    <xf xfId="0" fontId="0" numFmtId="0" fillId="2" borderId="0" applyFont="0" applyNumberFormat="0" applyFill="0" applyBorder="0" applyAlignment="0" applyProtection="true">
      <protection hidden="false"/>
    </xf>
    <xf xfId="0" fontId="0" numFmtId="0" fillId="2" borderId="0" applyFont="0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1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2" numFmtId="0" fillId="2" borderId="0" applyFont="1" applyNumberFormat="0" applyFill="0" applyBorder="0" applyAlignment="0" applyProtection="true">
      <protection hidden="false"/>
    </xf>
    <xf xfId="0" fontId="1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center" textRotation="0" wrapText="false" shrinkToFit="false"/>
      <protection locked="false" hidden="false"/>
    </xf>
    <xf xfId="0" fontId="1" numFmtId="0" fillId="2" borderId="0" applyFont="1" applyNumberFormat="0" applyFill="0" applyBorder="0" applyAlignment="1" applyProtection="true">
      <alignment vertical="center" textRotation="0" wrapText="false" shrinkToFit="false"/>
      <protection locked="false" hidden="false"/>
    </xf>
    <xf xfId="0" fontId="1" numFmtId="0" fillId="2" borderId="0" applyFont="1" applyNumberFormat="0" applyFill="0" applyBorder="0" applyAlignment="1" applyProtection="true">
      <alignment horizontal="right" vertical="bottom" textRotation="0" wrapText="false" shrinkToFit="false"/>
      <protection hidden="false"/>
    </xf>
    <xf xfId="0" fontId="1" numFmtId="15" fillId="2" borderId="0" applyFont="1" applyNumberFormat="1" applyFill="0" applyBorder="0" applyAlignment="1" applyProtection="true">
      <alignment horizontal="left" vertical="bottom" textRotation="0" wrapText="false" shrinkToFit="false"/>
      <protection hidden="false"/>
    </xf>
    <xf xfId="0" fontId="1" numFmtId="15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2" numFmtId="21" fillId="2" borderId="3" applyFont="1" applyNumberFormat="1" applyFill="0" applyBorder="1" applyAlignment="0" applyProtection="true">
      <protection hidden="false"/>
    </xf>
    <xf xfId="0" fontId="3" numFmtId="0" fillId="2" borderId="3" applyFont="1" applyNumberFormat="0" applyFill="0" applyBorder="1" applyAlignment="0" applyProtection="true">
      <protection hidden="false"/>
    </xf>
    <xf xfId="0" fontId="4" numFmtId="0" fillId="2" borderId="0" applyFont="1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2" borderId="0" applyFont="0" applyNumberFormat="0" applyFill="0" applyBorder="0" applyAlignment="0" applyProtection="true">
      <protection hidden="false"/>
    </xf>
    <xf xfId="0" fontId="1" numFmtId="164" fillId="3" borderId="4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3" borderId="5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3" borderId="6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4" numFmtId="1" fillId="2" borderId="7" applyFont="1" applyNumberFormat="1" applyFill="0" applyBorder="1" applyAlignment="0" applyProtection="true">
      <protection hidden="false"/>
    </xf>
    <xf xfId="0" fontId="4" numFmtId="1" fillId="2" borderId="8" applyFont="1" applyNumberFormat="1" applyFill="0" applyBorder="1" applyAlignment="0" applyProtection="true">
      <protection hidden="false"/>
    </xf>
    <xf xfId="0" fontId="4" numFmtId="1" fillId="2" borderId="9" applyFont="1" applyNumberFormat="1" applyFill="0" applyBorder="1" applyAlignment="0" applyProtection="true">
      <protection hidden="false"/>
    </xf>
    <xf xfId="0" fontId="4" numFmtId="3" fillId="2" borderId="7" applyFont="1" applyNumberFormat="1" applyFill="0" applyBorder="1" applyAlignment="0" applyProtection="true">
      <protection hidden="false"/>
    </xf>
    <xf xfId="0" fontId="4" numFmtId="3" fillId="2" borderId="10" applyFont="1" applyNumberFormat="1" applyFill="0" applyBorder="1" applyAlignment="0" applyProtection="true">
      <protection hidden="false"/>
    </xf>
    <xf xfId="0" fontId="3" numFmtId="164" fillId="2" borderId="0" applyFont="1" applyNumberFormat="1" applyFill="0" applyBorder="0" applyAlignment="0" applyProtection="true">
      <protection hidden="false"/>
    </xf>
    <xf xfId="0" fontId="1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164" fillId="2" borderId="0" applyFont="1" applyNumberFormat="1" applyFill="0" applyBorder="0" applyAlignment="0" applyProtection="true">
      <protection hidden="false"/>
    </xf>
    <xf xfId="0" fontId="5" numFmtId="164" fillId="2" borderId="0" applyFont="1" applyNumberFormat="1" applyFill="0" applyBorder="0" applyAlignment="1" applyProtection="true">
      <alignment horizontal="right" vertical="bottom" textRotation="0" wrapText="false" shrinkToFit="false"/>
      <protection hidden="false"/>
    </xf>
    <xf xfId="0" fontId="5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5" numFmtId="164" fillId="2" borderId="0" applyFont="1" applyNumberFormat="1" applyFill="0" applyBorder="0" applyAlignment="1" applyProtection="true">
      <alignment horizontal="left" vertical="bottom" textRotation="0" wrapText="false" shrinkToFit="false"/>
      <protection hidden="false"/>
    </xf>
    <xf xfId="0" fontId="1" numFmtId="1" fillId="2" borderId="0" applyFont="1" applyNumberFormat="1" applyFill="0" applyBorder="0" applyAlignment="0" applyProtection="true"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0" numFmtId="0" fillId="2" borderId="0" applyFont="0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2" fillId="2" borderId="11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2" fillId="2" borderId="12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6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165" fillId="2" borderId="0" applyFont="0" applyNumberFormat="1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2" borderId="8" applyFont="0" applyNumberFormat="0" applyFill="0" applyBorder="1" applyAlignment="0" applyProtection="true">
      <protection hidden="false"/>
    </xf>
    <xf xfId="0" fontId="0" numFmtId="0" fillId="2" borderId="8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9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6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7" numFmtId="2" fillId="2" borderId="13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0" numFmtId="2" fillId="2" borderId="11" applyFont="0" applyNumberFormat="1" applyFill="0" applyBorder="1" applyAlignment="1" applyProtection="true">
      <alignment horizontal="center" vertical="bottom" textRotation="0" wrapText="false" shrinkToFit="false"/>
      <protection hidden="false"/>
    </xf>
    <xf xfId="0" fontId="0" numFmtId="2" fillId="2" borderId="11" applyFont="0" applyNumberFormat="1" applyFill="0" applyBorder="1" applyAlignment="1" applyProtection="true">
      <alignment horizontal="center" vertical="bottom" textRotation="0" wrapText="false" shrinkToFit="false"/>
      <protection hidden="false"/>
    </xf>
    <xf xfId="0" fontId="0" numFmtId="2" fillId="2" borderId="12" applyFont="0" applyNumberFormat="1" applyFill="0" applyBorder="1" applyAlignment="1" applyProtection="true">
      <alignment horizontal="center" vertical="bottom" textRotation="0" wrapText="false" shrinkToFit="false"/>
      <protection hidden="false"/>
    </xf>
    <xf xfId="0" fontId="0" numFmtId="2" fillId="2" borderId="11" applyFont="0" applyNumberFormat="1" applyFill="0" applyBorder="1" applyAlignment="1" applyProtection="true">
      <alignment horizontal="center" vertical="bottom" textRotation="0" wrapText="false" shrinkToFit="false"/>
      <protection hidden="false"/>
    </xf>
    <xf xfId="0" fontId="0" numFmtId="2" fillId="2" borderId="12" applyFont="0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14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" numFmtId="164" fillId="2" borderId="15" applyFont="1" applyNumberFormat="1" applyFill="0" applyBorder="1" applyAlignment="1" applyProtection="true">
      <alignment horizontal="center" vertical="center" textRotation="0" wrapText="true" shrinkToFit="false"/>
      <protection hidden="true"/>
    </xf>
    <xf xfId="0" fontId="1" numFmtId="0" fillId="2" borderId="16" applyFont="1" applyNumberFormat="0" applyFill="0" applyBorder="1" applyAlignment="1" applyProtection="true">
      <alignment horizontal="right" vertical="center" textRotation="0" wrapText="false" shrinkToFit="false" indent="1"/>
      <protection hidden="true"/>
    </xf>
    <xf xfId="0" fontId="1" numFmtId="0" fillId="2" borderId="17" applyFont="1" applyNumberFormat="0" applyFill="0" applyBorder="1" applyAlignment="1" applyProtection="true">
      <alignment vertical="center" textRotation="0" wrapText="false" shrinkToFit="false"/>
      <protection hidden="true"/>
    </xf>
    <xf xfId="0" fontId="1" numFmtId="0" fillId="2" borderId="18" applyFont="1" applyNumberFormat="0" applyFill="0" applyBorder="1" applyAlignment="1" applyProtection="true">
      <alignment vertical="center" textRotation="0" wrapText="false" shrinkToFit="false"/>
      <protection hidden="true"/>
    </xf>
    <xf xfId="0" fontId="1" numFmtId="0" fillId="2" borderId="19" applyFont="1" applyNumberFormat="0" applyFill="0" applyBorder="1" applyAlignment="1" applyProtection="true">
      <alignment horizontal="right" vertical="center" textRotation="0" wrapText="false" shrinkToFit="false" indent="1"/>
      <protection hidden="true"/>
    </xf>
    <xf xfId="0" fontId="1" numFmtId="0" fillId="2" borderId="20" applyFont="1" applyNumberFormat="0" applyFill="0" applyBorder="1" applyAlignment="1" applyProtection="true">
      <alignment vertical="center" textRotation="0" wrapText="false" shrinkToFit="false"/>
      <protection hidden="true"/>
    </xf>
    <xf xfId="0" fontId="1" numFmtId="0" fillId="2" borderId="11" applyFont="1" applyNumberFormat="0" applyFill="0" applyBorder="1" applyAlignment="1" applyProtection="true">
      <alignment horizontal="right" vertical="center" textRotation="0" wrapText="false" shrinkToFit="false" indent="1"/>
      <protection hidden="true"/>
    </xf>
    <xf xfId="0" fontId="1" numFmtId="0" fillId="2" borderId="21" applyFont="1" applyNumberFormat="0" applyFill="0" applyBorder="1" applyAlignment="1" applyProtection="true">
      <alignment vertical="center" textRotation="0" wrapText="false" shrinkToFit="false"/>
      <protection hidden="true"/>
    </xf>
    <xf xfId="0" fontId="1" numFmtId="0" fillId="4" borderId="0" applyFont="1" applyNumberFormat="0" applyFill="1" applyBorder="0" applyAlignment="1" applyProtection="true">
      <alignment horizontal="center" vertical="center" textRotation="0" wrapText="true" shrinkToFit="false"/>
      <protection hidden="false"/>
    </xf>
    <xf xfId="0" fontId="1" numFmtId="0" fillId="2" borderId="2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5" numFmtId="0" fillId="2" borderId="0" applyFont="1" applyNumberFormat="0" applyFill="0" applyBorder="0" applyAlignment="0" applyProtection="true">
      <protection hidden="false"/>
    </xf>
    <xf xfId="0" fontId="8" numFmtId="0" fillId="2" borderId="0" applyFont="1" applyNumberFormat="0" applyFill="0" applyBorder="0" applyAlignment="0" applyProtection="true">
      <protection hidden="false"/>
    </xf>
    <xf xfId="0" fontId="8" numFmtId="0" fillId="2" borderId="0" applyFont="1" applyNumberFormat="0" applyFill="0" applyBorder="0" applyAlignment="0" applyProtection="true">
      <protection hidden="false"/>
    </xf>
    <xf xfId="0" fontId="8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8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0" applyProtection="true">
      <protection hidden="false"/>
    </xf>
    <xf xfId="0" fontId="9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9" numFmtId="0" fillId="2" borderId="0" applyFont="1" applyNumberFormat="0" applyFill="0" applyBorder="0" applyAlignment="0" applyProtection="true">
      <protection hidden="false"/>
    </xf>
    <xf xfId="0" fontId="1" numFmtId="166" fillId="2" borderId="0" applyFont="1" applyNumberFormat="1" applyFill="0" applyBorder="0" applyAlignment="1" applyProtection="true">
      <alignment horizontal="left" vertical="bottom" textRotation="0" wrapText="false" shrinkToFit="false"/>
      <protection hidden="false"/>
    </xf>
    <xf xfId="0" fontId="1" numFmtId="164" fillId="2" borderId="23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1" numFmtId="164" fillId="2" borderId="6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1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4" borderId="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8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vertical="center" textRotation="0" wrapText="false" shrinkToFit="false"/>
      <protection hidden="true"/>
    </xf>
    <xf xfId="0" fontId="5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5" numFmtId="0" fillId="2" borderId="0" applyFont="1" applyNumberFormat="0" applyFill="0" applyBorder="0" applyAlignment="0" applyProtection="true">
      <protection hidden="false"/>
    </xf>
    <xf xfId="0" fontId="4" numFmtId="0" fillId="2" borderId="0" applyFont="1" applyNumberFormat="0" applyFill="0" applyBorder="0" applyAlignment="1" applyProtection="true">
      <alignment vertical="center" textRotation="0" wrapText="false" shrinkToFit="false"/>
      <protection hidden="true"/>
    </xf>
    <xf xfId="0" fontId="0" numFmtId="164" fillId="2" borderId="4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4" fillId="2" borderId="5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4" fillId="2" borderId="6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4" fillId="2" borderId="24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4" fillId="2" borderId="25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10" numFmtId="1" fillId="2" borderId="7" applyFont="1" applyNumberFormat="1" applyFill="0" applyBorder="1" applyAlignment="0" applyProtection="true">
      <protection hidden="false"/>
    </xf>
    <xf xfId="0" fontId="10" numFmtId="1" fillId="2" borderId="8" applyFont="1" applyNumberFormat="1" applyFill="0" applyBorder="1" applyAlignment="0" applyProtection="true">
      <protection hidden="false"/>
    </xf>
    <xf xfId="0" fontId="10" numFmtId="1" fillId="2" borderId="9" applyFont="1" applyNumberFormat="1" applyFill="0" applyBorder="1" applyAlignment="0" applyProtection="true">
      <protection hidden="false"/>
    </xf>
    <xf xfId="0" fontId="10" numFmtId="3" fillId="2" borderId="7" applyFont="1" applyNumberFormat="1" applyFill="0" applyBorder="1" applyAlignment="0" applyProtection="true">
      <protection hidden="false"/>
    </xf>
    <xf xfId="0" fontId="0" numFmtId="0" fillId="2" borderId="0" applyFont="0" applyNumberFormat="0" applyFill="0" applyBorder="0" applyAlignment="1" applyProtection="true">
      <alignment horizontal="center" vertical="center" textRotation="0" wrapText="false" shrinkToFit="false"/>
      <protection hidden="false"/>
    </xf>
    <xf xfId="0" fontId="1" numFmtId="164" fillId="2" borderId="26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1" numFmtId="164" fillId="2" borderId="27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0" numFmtId="164" fillId="2" borderId="22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164" fillId="2" borderId="22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2" borderId="22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3" fillId="2" borderId="0" applyFont="1" applyNumberFormat="1" applyFill="0" applyBorder="0" applyAlignment="0" applyProtection="true">
      <protection hidden="false"/>
    </xf>
    <xf xfId="0" fontId="1" numFmtId="164" fillId="4" borderId="2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4" borderId="2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4" borderId="2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4" borderId="30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4" borderId="3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3" fillId="4" borderId="17" applyFont="1" applyNumberFormat="1" applyFill="1" applyBorder="1" applyAlignment="0" applyProtection="true">
      <protection hidden="false"/>
    </xf>
    <xf xfId="0" fontId="1" numFmtId="3" fillId="4" borderId="32" applyFont="1" applyNumberFormat="1" applyFill="1" applyBorder="1" applyAlignment="0" applyProtection="true">
      <protection hidden="false"/>
    </xf>
    <xf xfId="0" fontId="1" numFmtId="3" fillId="4" borderId="30" applyFont="1" applyNumberFormat="1" applyFill="1" applyBorder="1" applyAlignment="0" applyProtection="true">
      <protection hidden="false"/>
    </xf>
    <xf xfId="0" fontId="1" numFmtId="3" fillId="4" borderId="33" applyFont="1" applyNumberFormat="1" applyFill="1" applyBorder="1" applyAlignment="0" applyProtection="true">
      <protection hidden="false"/>
    </xf>
    <xf xfId="0" fontId="1" numFmtId="3" fillId="4" borderId="29" applyFont="1" applyNumberFormat="1" applyFill="1" applyBorder="1" applyAlignment="0" applyProtection="true">
      <protection hidden="false"/>
    </xf>
    <xf xfId="0" fontId="0" numFmtId="0" fillId="4" borderId="0" applyFont="0" applyNumberFormat="0" applyFill="1" applyBorder="0" applyAlignment="0" applyProtection="true">
      <protection hidden="false"/>
    </xf>
    <xf xfId="0" fontId="0" numFmtId="164" fillId="4" borderId="34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4" borderId="35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4" borderId="36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4" borderId="37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9" fillId="4" borderId="35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0" fillId="4" borderId="36" applyFont="0" applyNumberFormat="0" applyFill="1" applyBorder="1" applyAlignment="1" applyProtection="true">
      <alignment vertical="center" textRotation="0" wrapText="false" shrinkToFit="false"/>
      <protection hidden="true"/>
    </xf>
    <xf xfId="0" fontId="0" numFmtId="3" fillId="4" borderId="0" applyFont="0" applyNumberFormat="1" applyFill="1" applyBorder="0" applyAlignment="0" applyProtection="true">
      <protection hidden="false"/>
    </xf>
    <xf xfId="0" fontId="0" numFmtId="0" fillId="4" borderId="22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3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4" borderId="3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4" borderId="3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4" borderId="40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3" fillId="4" borderId="41" applyFont="1" applyNumberFormat="1" applyFill="1" applyBorder="1" applyAlignment="0" applyProtection="true">
      <protection hidden="false"/>
    </xf>
    <xf xfId="0" fontId="1" numFmtId="3" fillId="4" borderId="42" applyFont="1" applyNumberFormat="1" applyFill="1" applyBorder="1" applyAlignment="0" applyProtection="true">
      <protection hidden="false"/>
    </xf>
    <xf xfId="0" fontId="1" numFmtId="3" fillId="4" borderId="40" applyFont="1" applyNumberFormat="1" applyFill="1" applyBorder="1" applyAlignment="0" applyProtection="true">
      <protection hidden="false"/>
    </xf>
    <xf xfId="0" fontId="1" numFmtId="3" fillId="4" borderId="43" applyFont="1" applyNumberFormat="1" applyFill="1" applyBorder="1" applyAlignment="0" applyProtection="true">
      <protection hidden="false"/>
    </xf>
    <xf xfId="0" fontId="1" numFmtId="3" fillId="4" borderId="39" applyFont="1" applyNumberFormat="1" applyFill="1" applyBorder="1" applyAlignment="0" applyProtection="true">
      <protection hidden="false"/>
    </xf>
    <xf xfId="0" fontId="0" numFmtId="164" fillId="4" borderId="44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4" borderId="16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4" borderId="45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4" borderId="0" applyFont="0" applyNumberFormat="1" applyFill="1" applyBorder="0" applyAlignment="1" applyProtection="true">
      <alignment vertical="center" textRotation="0" wrapText="false" shrinkToFit="false"/>
      <protection hidden="true"/>
    </xf>
    <xf xfId="0" fontId="0" numFmtId="9" fillId="4" borderId="16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0" fillId="4" borderId="45" applyFont="0" applyNumberFormat="0" applyFill="1" applyBorder="1" applyAlignment="1" applyProtection="true">
      <alignment vertical="center" textRotation="0" wrapText="false" shrinkToFit="false"/>
      <protection hidden="true"/>
    </xf>
    <xf xfId="0" fontId="1" numFmtId="164" fillId="4" borderId="46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4" borderId="47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3" fillId="4" borderId="21" applyFont="1" applyNumberFormat="1" applyFill="1" applyBorder="1" applyAlignment="0" applyProtection="true">
      <protection hidden="false"/>
    </xf>
    <xf xfId="0" fontId="1" numFmtId="3" fillId="4" borderId="48" applyFont="1" applyNumberFormat="1" applyFill="1" applyBorder="1" applyAlignment="0" applyProtection="true">
      <protection hidden="false"/>
    </xf>
    <xf xfId="0" fontId="1" numFmtId="3" fillId="4" borderId="49" applyFont="1" applyNumberFormat="1" applyFill="1" applyBorder="1" applyAlignment="0" applyProtection="true">
      <protection hidden="false"/>
    </xf>
    <xf xfId="0" fontId="1" numFmtId="0" fillId="4" borderId="50" applyFont="1" applyNumberFormat="0" applyFill="1" applyBorder="1" applyAlignment="0" applyProtection="true">
      <protection hidden="false"/>
    </xf>
    <xf xfId="0" fontId="1" numFmtId="3" fillId="4" borderId="47" applyFont="1" applyNumberFormat="1" applyFill="1" applyBorder="1" applyAlignment="0" applyProtection="true">
      <protection hidden="false"/>
    </xf>
    <xf xfId="0" fontId="1" numFmtId="164" fillId="3" borderId="3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3" borderId="3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3" borderId="40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3" borderId="5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3" fillId="3" borderId="41" applyFont="1" applyNumberFormat="1" applyFill="1" applyBorder="1" applyAlignment="0" applyProtection="true">
      <protection hidden="false"/>
    </xf>
    <xf xfId="0" fontId="1" numFmtId="3" fillId="3" borderId="42" applyFont="1" applyNumberFormat="1" applyFill="1" applyBorder="1" applyAlignment="0" applyProtection="true">
      <protection hidden="false"/>
    </xf>
    <xf xfId="0" fontId="1" numFmtId="3" fillId="3" borderId="40" applyFont="1" applyNumberFormat="1" applyFill="1" applyBorder="1" applyAlignment="0" applyProtection="true">
      <protection hidden="false"/>
    </xf>
    <xf xfId="0" fontId="1" numFmtId="3" fillId="3" borderId="39" applyFont="1" applyNumberFormat="1" applyFill="1" applyBorder="1" applyAlignment="0" applyProtection="true">
      <protection hidden="false"/>
    </xf>
    <xf xfId="0" fontId="0" numFmtId="0" fillId="3" borderId="0" applyFont="0" applyNumberFormat="0" applyFill="1" applyBorder="0" applyAlignment="0" applyProtection="true">
      <protection hidden="false"/>
    </xf>
    <xf xfId="0" fontId="0" numFmtId="164" fillId="3" borderId="34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3" borderId="35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3" borderId="36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3" borderId="37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9" fillId="3" borderId="35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0" fillId="3" borderId="36" applyFont="0" applyNumberFormat="0" applyFill="1" applyBorder="1" applyAlignment="1" applyProtection="true">
      <alignment vertical="center" textRotation="0" wrapText="false" shrinkToFit="false"/>
      <protection hidden="true"/>
    </xf>
    <xf xfId="0" fontId="0" numFmtId="3" fillId="3" borderId="0" applyFont="0" applyNumberFormat="1" applyFill="1" applyBorder="0" applyAlignment="0" applyProtection="true">
      <protection hidden="false"/>
    </xf>
    <xf xfId="0" fontId="0" numFmtId="0" fillId="3" borderId="22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3" borderId="3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3" fillId="3" borderId="42" applyFont="1" applyNumberFormat="1" applyFill="1" applyBorder="1" applyAlignment="0" applyProtection="true">
      <protection hidden="false"/>
    </xf>
    <xf xfId="0" fontId="1" numFmtId="0" fillId="3" borderId="42" applyFont="1" applyNumberFormat="0" applyFill="1" applyBorder="1" applyAlignment="0" applyProtection="true">
      <protection hidden="false"/>
    </xf>
    <xf xfId="0" fontId="0" numFmtId="164" fillId="3" borderId="44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3" borderId="16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3" borderId="45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3" borderId="0" applyFont="0" applyNumberFormat="1" applyFill="1" applyBorder="0" applyAlignment="1" applyProtection="true">
      <alignment vertical="center" textRotation="0" wrapText="false" shrinkToFit="false"/>
      <protection hidden="true"/>
    </xf>
    <xf xfId="0" fontId="0" numFmtId="9" fillId="3" borderId="16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0" fillId="3" borderId="45" applyFont="0" applyNumberFormat="0" applyFill="1" applyBorder="1" applyAlignment="1" applyProtection="true">
      <alignment vertical="center" textRotation="0" wrapText="false" shrinkToFit="false"/>
      <protection hidden="true"/>
    </xf>
    <xf xfId="0" fontId="1" numFmtId="0" fillId="3" borderId="43" applyFont="1" applyNumberFormat="0" applyFill="1" applyBorder="1" applyAlignment="0" applyProtection="true">
      <protection hidden="false"/>
    </xf>
    <xf xfId="0" fontId="1" numFmtId="164" fillId="3" borderId="5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3" borderId="53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3" borderId="54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3" fillId="3" borderId="55" applyFont="1" applyNumberFormat="1" applyFill="1" applyBorder="1" applyAlignment="0" applyProtection="true">
      <protection hidden="false"/>
    </xf>
    <xf xfId="0" fontId="1" numFmtId="3" fillId="3" borderId="56" applyFont="1" applyNumberFormat="1" applyFill="1" applyBorder="1" applyAlignment="0" applyProtection="true">
      <protection hidden="false"/>
    </xf>
    <xf xfId="0" fontId="1" numFmtId="3" fillId="3" borderId="54" applyFont="1" applyNumberFormat="1" applyFill="1" applyBorder="1" applyAlignment="0" applyProtection="true">
      <protection hidden="false"/>
    </xf>
    <xf xfId="0" fontId="1" numFmtId="3" fillId="3" borderId="53" applyFont="1" applyNumberFormat="1" applyFill="1" applyBorder="1" applyAlignment="0" applyProtection="true">
      <protection hidden="false"/>
    </xf>
    <xf xfId="0" fontId="0" numFmtId="0" fillId="3" borderId="57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5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4" borderId="5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4" borderId="5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4" borderId="60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3" fillId="4" borderId="61" applyFont="1" applyNumberFormat="1" applyFill="1" applyBorder="1" applyAlignment="0" applyProtection="true">
      <protection hidden="false"/>
    </xf>
    <xf xfId="0" fontId="1" numFmtId="3" fillId="4" borderId="62" applyFont="1" applyNumberFormat="1" applyFill="1" applyBorder="1" applyAlignment="0" applyProtection="true">
      <protection hidden="false"/>
    </xf>
    <xf xfId="0" fontId="1" numFmtId="3" fillId="4" borderId="60" applyFont="1" applyNumberFormat="1" applyFill="1" applyBorder="1" applyAlignment="0" applyProtection="true">
      <protection hidden="false"/>
    </xf>
    <xf xfId="0" fontId="1" numFmtId="3" fillId="4" borderId="63" applyFont="1" applyNumberFormat="1" applyFill="1" applyBorder="1" applyAlignment="0" applyProtection="true">
      <protection hidden="false"/>
    </xf>
    <xf xfId="0" fontId="1" numFmtId="3" fillId="4" borderId="59" applyFont="1" applyNumberFormat="1" applyFill="1" applyBorder="1" applyAlignment="0" applyProtection="true">
      <protection hidden="false"/>
    </xf>
    <xf xfId="0" fontId="0" numFmtId="0" fillId="4" borderId="64" applyFont="0" applyNumberFormat="0" applyFill="1" applyBorder="1" applyAlignment="0" applyProtection="true">
      <protection hidden="false"/>
    </xf>
    <xf xfId="0" fontId="0" numFmtId="164" fillId="4" borderId="65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4" borderId="66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4" borderId="67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4" borderId="68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9" fillId="4" borderId="66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0" fillId="4" borderId="67" applyFont="0" applyNumberFormat="0" applyFill="1" applyBorder="1" applyAlignment="1" applyProtection="true">
      <alignment vertical="center" textRotation="0" wrapText="false" shrinkToFit="false"/>
      <protection hidden="true"/>
    </xf>
    <xf xfId="0" fontId="0" numFmtId="3" fillId="4" borderId="64" applyFont="0" applyNumberFormat="1" applyFill="1" applyBorder="1" applyAlignment="0" applyProtection="true">
      <protection hidden="false"/>
    </xf>
    <xf xfId="0" fontId="1" numFmtId="164" fillId="3" borderId="6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3" borderId="6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3" borderId="70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3" borderId="7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3" borderId="7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3" fillId="3" borderId="20" applyFont="1" applyNumberFormat="1" applyFill="1" applyBorder="1" applyAlignment="0" applyProtection="true">
      <protection hidden="false"/>
    </xf>
    <xf xfId="0" fontId="1" numFmtId="3" fillId="3" borderId="73" applyFont="1" applyNumberFormat="1" applyFill="1" applyBorder="1" applyAlignment="0" applyProtection="true">
      <protection hidden="false"/>
    </xf>
    <xf xfId="0" fontId="1" numFmtId="3" fillId="3" borderId="71" applyFont="1" applyNumberFormat="1" applyFill="1" applyBorder="1" applyAlignment="0" applyProtection="true">
      <protection hidden="false"/>
    </xf>
    <xf xfId="0" fontId="1" numFmtId="3" fillId="3" borderId="74" applyFont="1" applyNumberFormat="1" applyFill="1" applyBorder="1" applyAlignment="0" applyProtection="true">
      <protection hidden="false"/>
    </xf>
    <xf xfId="0" fontId="1" numFmtId="3" fillId="3" borderId="70" applyFont="1" applyNumberFormat="1" applyFill="1" applyBorder="1" applyAlignment="0" applyProtection="true">
      <protection hidden="false"/>
    </xf>
    <xf xfId="0" fontId="0" numFmtId="0" fillId="3" borderId="14" applyFont="0" applyNumberFormat="0" applyFill="1" applyBorder="1" applyAlignment="0" applyProtection="true">
      <protection hidden="false"/>
    </xf>
    <xf xfId="0" fontId="0" numFmtId="164" fillId="3" borderId="75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3" borderId="19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3" borderId="76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3" borderId="14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9" fillId="3" borderId="19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0" fillId="3" borderId="76" applyFont="0" applyNumberFormat="0" applyFill="1" applyBorder="1" applyAlignment="1" applyProtection="true">
      <alignment vertical="center" textRotation="0" wrapText="false" shrinkToFit="false"/>
      <protection hidden="true"/>
    </xf>
    <xf xfId="0" fontId="0" numFmtId="3" fillId="3" borderId="14" applyFont="0" applyNumberFormat="1" applyFill="1" applyBorder="1" applyAlignment="0" applyProtection="true">
      <protection hidden="false"/>
    </xf>
    <xf xfId="0" fontId="1" numFmtId="167" fillId="3" borderId="5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56" applyFont="1" applyNumberFormat="0" applyFill="1" applyBorder="1" applyAlignment="0" applyProtection="true">
      <protection hidden="false"/>
    </xf>
    <xf xfId="0" fontId="1" numFmtId="164" fillId="3" borderId="5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3" borderId="5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3" borderId="5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3" borderId="60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3" borderId="77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3" fillId="3" borderId="61" applyFont="1" applyNumberFormat="1" applyFill="1" applyBorder="1" applyAlignment="0" applyProtection="true">
      <protection hidden="false"/>
    </xf>
    <xf xfId="0" fontId="1" numFmtId="3" fillId="3" borderId="62" applyFont="1" applyNumberFormat="1" applyFill="1" applyBorder="1" applyAlignment="0" applyProtection="true">
      <protection hidden="false"/>
    </xf>
    <xf xfId="0" fontId="1" numFmtId="3" fillId="3" borderId="60" applyFont="1" applyNumberFormat="1" applyFill="1" applyBorder="1" applyAlignment="0" applyProtection="true">
      <protection hidden="false"/>
    </xf>
    <xf xfId="0" fontId="1" numFmtId="0" fillId="3" borderId="62" applyFont="1" applyNumberFormat="0" applyFill="1" applyBorder="1" applyAlignment="0" applyProtection="true">
      <protection hidden="false"/>
    </xf>
    <xf xfId="0" fontId="1" numFmtId="3" fillId="3" borderId="59" applyFont="1" applyNumberFormat="1" applyFill="1" applyBorder="1" applyAlignment="0" applyProtection="true">
      <protection hidden="false"/>
    </xf>
    <xf xfId="0" fontId="0" numFmtId="0" fillId="3" borderId="64" applyFont="0" applyNumberFormat="0" applyFill="1" applyBorder="1" applyAlignment="0" applyProtection="true">
      <protection hidden="false"/>
    </xf>
    <xf xfId="0" fontId="0" numFmtId="164" fillId="3" borderId="78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3" borderId="57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3" borderId="79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3" borderId="64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9" fillId="3" borderId="57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0" fillId="3" borderId="79" applyFont="0" applyNumberFormat="0" applyFill="1" applyBorder="1" applyAlignment="1" applyProtection="true">
      <alignment vertical="center" textRotation="0" wrapText="false" shrinkToFit="false"/>
      <protection hidden="true"/>
    </xf>
    <xf xfId="0" fontId="1" numFmtId="164" fillId="3" borderId="80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3" borderId="80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3" borderId="8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3" fillId="3" borderId="18" applyFont="1" applyNumberFormat="1" applyFill="1" applyBorder="1" applyAlignment="0" applyProtection="true">
      <protection hidden="false"/>
    </xf>
    <xf xfId="0" fontId="1" numFmtId="3" fillId="3" borderId="82" applyFont="1" applyNumberFormat="1" applyFill="1" applyBorder="1" applyAlignment="0" applyProtection="true">
      <protection hidden="false"/>
    </xf>
    <xf xfId="0" fontId="1" numFmtId="3" fillId="3" borderId="83" applyFont="1" applyNumberFormat="1" applyFill="1" applyBorder="1" applyAlignment="0" applyProtection="true">
      <protection hidden="false"/>
    </xf>
    <xf xfId="0" fontId="1" numFmtId="0" fillId="3" borderId="84" applyFont="1" applyNumberFormat="0" applyFill="1" applyBorder="1" applyAlignment="0" applyProtection="true">
      <protection hidden="false"/>
    </xf>
    <xf xfId="0" fontId="1" numFmtId="3" fillId="3" borderId="81" applyFont="1" applyNumberFormat="1" applyFill="1" applyBorder="1" applyAlignment="0" applyProtection="true">
      <protection hidden="false"/>
    </xf>
    <xf xfId="0" fontId="0" numFmtId="0" fillId="3" borderId="19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5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4" borderId="53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4" borderId="85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3" fillId="4" borderId="55" applyFont="1" applyNumberFormat="1" applyFill="1" applyBorder="1" applyAlignment="0" applyProtection="true">
      <protection hidden="false"/>
    </xf>
    <xf xfId="0" fontId="1" numFmtId="3" fillId="4" borderId="56" applyFont="1" applyNumberFormat="1" applyFill="1" applyBorder="1" applyAlignment="0" applyProtection="true">
      <protection hidden="false"/>
    </xf>
    <xf xfId="0" fontId="1" numFmtId="3" fillId="4" borderId="54" applyFont="1" applyNumberFormat="1" applyFill="1" applyBorder="1" applyAlignment="0" applyProtection="true">
      <protection hidden="false"/>
    </xf>
    <xf xfId="0" fontId="1" numFmtId="0" fillId="4" borderId="86" applyFont="1" applyNumberFormat="0" applyFill="1" applyBorder="1" applyAlignment="0" applyProtection="true">
      <protection hidden="false"/>
    </xf>
    <xf xfId="0" fontId="1" numFmtId="3" fillId="4" borderId="53" applyFont="1" applyNumberFormat="1" applyFill="1" applyBorder="1" applyAlignment="0" applyProtection="true">
      <protection hidden="false"/>
    </xf>
    <xf xfId="0" fontId="0" numFmtId="0" fillId="4" borderId="57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3" borderId="6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74" applyFont="1" applyNumberFormat="0" applyFill="1" applyBorder="1" applyAlignment="0" applyProtection="true">
      <protection hidden="false"/>
    </xf>
    <xf xfId="0" fontId="1" numFmtId="0" fillId="3" borderId="63" applyFont="1" applyNumberFormat="0" applyFill="1" applyBorder="1" applyAlignment="0" applyProtection="true">
      <protection hidden="false"/>
    </xf>
    <xf xfId="0" fontId="1" numFmtId="168" fillId="4" borderId="2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4" borderId="3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4" borderId="47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4" borderId="43" applyFont="1" applyNumberFormat="0" applyFill="1" applyBorder="1" applyAlignment="0" applyProtection="true">
      <protection hidden="false"/>
    </xf>
    <xf xfId="0" fontId="0" numFmtId="0" fillId="4" borderId="87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5" borderId="5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5" borderId="5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5" borderId="77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3" fillId="5" borderId="61" applyFont="1" applyNumberFormat="1" applyFill="1" applyBorder="1" applyAlignment="0" applyProtection="true">
      <protection hidden="false"/>
    </xf>
    <xf xfId="0" fontId="1" numFmtId="3" fillId="5" borderId="62" applyFont="1" applyNumberFormat="1" applyFill="1" applyBorder="1" applyAlignment="0" applyProtection="true">
      <protection hidden="false"/>
    </xf>
    <xf xfId="0" fontId="1" numFmtId="3" fillId="5" borderId="60" applyFont="1" applyNumberFormat="1" applyFill="1" applyBorder="1" applyAlignment="0" applyProtection="true">
      <protection hidden="false"/>
    </xf>
    <xf xfId="0" fontId="1" numFmtId="3" fillId="5" borderId="63" applyFont="1" applyNumberFormat="1" applyFill="1" applyBorder="1" applyAlignment="0" applyProtection="true">
      <protection hidden="false"/>
    </xf>
    <xf xfId="0" fontId="1" numFmtId="3" fillId="5" borderId="59" applyFont="1" applyNumberFormat="1" applyFill="1" applyBorder="1" applyAlignment="0" applyProtection="true">
      <protection hidden="false"/>
    </xf>
    <xf xfId="0" fontId="0" numFmtId="0" fillId="5" borderId="64" applyFont="0" applyNumberFormat="0" applyFill="1" applyBorder="1" applyAlignment="0" applyProtection="true">
      <protection hidden="false"/>
    </xf>
    <xf xfId="0" fontId="0" numFmtId="164" fillId="5" borderId="65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5" borderId="66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5" borderId="67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64" fillId="5" borderId="68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9" fillId="5" borderId="66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0" fillId="5" borderId="67" applyFont="0" applyNumberFormat="0" applyFill="1" applyBorder="1" applyAlignment="1" applyProtection="true">
      <alignment vertical="center" textRotation="0" wrapText="false" shrinkToFit="false"/>
      <protection hidden="true"/>
    </xf>
    <xf xfId="0" fontId="0" numFmtId="0" fillId="5" borderId="22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80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5" borderId="7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5" borderId="5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4" borderId="5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4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4" borderId="3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4" borderId="4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3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5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5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3" borderId="6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5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5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8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8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3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3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4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6" borderId="5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6" borderId="85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6" borderId="8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6" borderId="8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5" borderId="5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5" borderId="7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2" borderId="8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167" fillId="4" borderId="5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4" borderId="5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8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2" borderId="3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4" borderId="89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3" borderId="8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3" borderId="7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3" borderId="4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3" borderId="6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5" borderId="3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0" numFmtId="0" fillId="2" borderId="45" applyFont="0" applyNumberFormat="0" applyFill="0" applyBorder="1" applyAlignment="0" applyProtection="true">
      <protection hidden="false"/>
    </xf>
    <xf xfId="0" fontId="0" numFmtId="0" fillId="2" borderId="45" applyFont="0" applyNumberFormat="0" applyFill="0" applyBorder="1" applyAlignment="0" applyProtection="true">
      <protection hidden="false"/>
    </xf>
    <xf xfId="0" fontId="0" numFmtId="0" fillId="2" borderId="90" applyFont="0" applyNumberFormat="0" applyFill="0" applyBorder="1" applyAlignment="0" applyProtection="true">
      <protection hidden="false"/>
    </xf>
    <xf xfId="0" fontId="0" numFmtId="0" fillId="2" borderId="91" applyFont="0" applyNumberFormat="0" applyFill="0" applyBorder="1" applyAlignment="0" applyProtection="true">
      <protection hidden="false"/>
    </xf>
    <xf xfId="0" fontId="0" numFmtId="0" fillId="2" borderId="92" applyFont="0" applyNumberFormat="0" applyFill="0" applyBorder="1" applyAlignment="0" applyProtection="true">
      <protection hidden="false"/>
    </xf>
    <xf xfId="0" fontId="1" numFmtId="9" fillId="2" borderId="0" applyFont="1" applyNumberFormat="1" applyFill="0" applyBorder="0" applyAlignment="0" applyProtection="true">
      <protection hidden="false"/>
    </xf>
    <xf xfId="0" fontId="1" numFmtId="9" fillId="2" borderId="0" applyFont="1" applyNumberFormat="1" applyFill="0" applyBorder="0" applyAlignment="0" applyProtection="true">
      <protection hidden="false"/>
    </xf>
    <xf xfId="0" fontId="11" numFmtId="0" fillId="5" borderId="93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0" numFmtId="0" fillId="4" borderId="91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3" borderId="91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2" borderId="9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164" fillId="7" borderId="5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5" borderId="2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5" borderId="5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5" borderId="85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5" borderId="4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5" numFmtId="0" fillId="5" borderId="0" applyFont="1" applyNumberFormat="0" applyFill="1" applyBorder="0" applyAlignment="0" applyProtection="true">
      <protection hidden="false"/>
    </xf>
    <xf xfId="0" fontId="1" numFmtId="168" fillId="4" borderId="5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4" borderId="77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0" numFmtId="0" fillId="3" borderId="0" applyFont="0" applyNumberFormat="0" applyFill="1" applyBorder="0" applyAlignment="1" applyProtection="true">
      <alignment horizontal="center" vertical="center" textRotation="0" wrapText="false" shrinkToFit="false"/>
      <protection hidden="false"/>
    </xf>
    <xf xfId="0" fontId="1" numFmtId="3" fillId="4" borderId="18" applyFont="1" applyNumberFormat="1" applyFill="1" applyBorder="1" applyAlignment="0" applyProtection="true">
      <protection hidden="false"/>
    </xf>
    <xf xfId="0" fontId="1" numFmtId="3" fillId="4" borderId="82" applyFont="1" applyNumberFormat="1" applyFill="1" applyBorder="1" applyAlignment="0" applyProtection="true">
      <protection hidden="false"/>
    </xf>
    <xf xfId="0" fontId="1" numFmtId="3" fillId="4" borderId="83" applyFont="1" applyNumberFormat="1" applyFill="1" applyBorder="1" applyAlignment="0" applyProtection="true">
      <protection hidden="false"/>
    </xf>
    <xf xfId="0" fontId="1" numFmtId="3" fillId="4" borderId="81" applyFont="1" applyNumberFormat="1" applyFill="1" applyBorder="1" applyAlignment="0" applyProtection="true">
      <protection hidden="false"/>
    </xf>
    <xf xfId="0" fontId="0" numFmtId="0" fillId="3" borderId="94" applyFont="0" applyNumberFormat="0" applyFill="1" applyBorder="1" applyAlignment="1" applyProtection="true">
      <alignment vertical="center" textRotation="0" wrapText="false" shrinkToFit="false"/>
      <protection hidden="false"/>
    </xf>
    <xf xfId="0" fontId="0" numFmtId="0" fillId="3" borderId="95" applyFont="0" applyNumberFormat="0" applyFill="1" applyBorder="1" applyAlignment="1" applyProtection="true">
      <alignment vertical="center" textRotation="0" wrapText="false" shrinkToFit="false"/>
      <protection hidden="false"/>
    </xf>
    <xf xfId="0" fontId="1" numFmtId="164" fillId="7" borderId="8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7" borderId="8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7" borderId="80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7" borderId="8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7" borderId="8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7" borderId="8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4" borderId="0" applyFont="1" applyNumberFormat="0" applyFill="1" applyBorder="0" applyAlignment="0" applyProtection="true">
      <protection hidden="false"/>
    </xf>
    <xf xfId="0" fontId="11" numFmtId="0" fillId="5" borderId="96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3" fillId="3" borderId="56" applyFont="1" applyNumberFormat="1" applyFill="1" applyBorder="1" applyAlignment="0" applyProtection="true">
      <protection hidden="false"/>
    </xf>
    <xf xfId="0" fontId="1" numFmtId="164" fillId="5" borderId="20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4" borderId="73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4" borderId="73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8" borderId="73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3" fillId="4" borderId="73" applyFont="1" applyNumberFormat="1" applyFill="1" applyBorder="1" applyAlignment="0" applyProtection="true">
      <protection hidden="false"/>
    </xf>
    <xf xfId="0" fontId="1" numFmtId="0" fillId="4" borderId="73" applyFont="1" applyNumberFormat="0" applyFill="1" applyBorder="1" applyAlignment="0" applyProtection="true">
      <protection hidden="false"/>
    </xf>
    <xf xfId="0" fontId="1" numFmtId="3" fillId="4" borderId="72" applyFont="1" applyNumberFormat="1" applyFill="1" applyBorder="1" applyAlignment="0" applyProtection="true">
      <protection hidden="false"/>
    </xf>
    <xf xfId="0" fontId="1" numFmtId="164" fillId="5" borderId="4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4" borderId="4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4" borderId="4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8" borderId="4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4" borderId="42" applyFont="1" applyNumberFormat="0" applyFill="1" applyBorder="1" applyAlignment="0" applyProtection="true">
      <protection hidden="false"/>
    </xf>
    <xf xfId="0" fontId="1" numFmtId="3" fillId="4" borderId="51" applyFont="1" applyNumberFormat="1" applyFill="1" applyBorder="1" applyAlignment="0" applyProtection="true">
      <protection hidden="false"/>
    </xf>
    <xf xfId="0" fontId="1" numFmtId="168" fillId="5" borderId="4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7" borderId="4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7" borderId="4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7" borderId="4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5" borderId="4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4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7" borderId="4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3" fillId="3" borderId="51" applyFont="1" applyNumberFormat="1" applyFill="1" applyBorder="1" applyAlignment="0" applyProtection="true">
      <protection hidden="false"/>
    </xf>
    <xf xfId="0" fontId="1" numFmtId="164" fillId="5" borderId="6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7" borderId="6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7" borderId="6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7" borderId="6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5" borderId="6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4" borderId="62" applyFont="1" applyNumberFormat="0" applyFill="1" applyBorder="1" applyAlignment="0" applyProtection="true">
      <protection hidden="false"/>
    </xf>
    <xf xfId="0" fontId="1" numFmtId="3" fillId="4" borderId="77" applyFont="1" applyNumberFormat="1" applyFill="1" applyBorder="1" applyAlignment="0" applyProtection="true">
      <protection hidden="false"/>
    </xf>
    <xf xfId="0" fontId="1" numFmtId="3" fillId="3" borderId="94" applyFont="1" applyNumberFormat="1" applyFill="1" applyBorder="1" applyAlignment="0" applyProtection="true">
      <protection hidden="false"/>
    </xf>
    <xf xfId="0" fontId="1" numFmtId="3" fillId="3" borderId="16" applyFont="1" applyNumberFormat="1" applyFill="1" applyBorder="1" applyAlignment="0" applyProtection="true">
      <protection hidden="false"/>
    </xf>
    <xf xfId="0" fontId="1" numFmtId="3" fillId="3" borderId="97" applyFont="1" applyNumberFormat="1" applyFill="1" applyBorder="1" applyAlignment="0" applyProtection="true">
      <protection hidden="false"/>
    </xf>
    <xf xfId="0" fontId="1" numFmtId="3" fillId="3" borderId="91" applyFont="1" applyNumberFormat="1" applyFill="1" applyBorder="1" applyAlignment="0" applyProtection="true">
      <protection hidden="false"/>
    </xf>
    <xf xfId="0" fontId="1" numFmtId="164" fillId="3" borderId="2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3" borderId="3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3" borderId="5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3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3" borderId="2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3" fillId="3" borderId="17" applyFont="1" applyNumberFormat="1" applyFill="1" applyBorder="1" applyAlignment="0" applyProtection="true">
      <protection hidden="false"/>
    </xf>
    <xf xfId="0" fontId="1" numFmtId="3" fillId="3" borderId="32" applyFont="1" applyNumberFormat="1" applyFill="1" applyBorder="1" applyAlignment="0" applyProtection="true">
      <protection hidden="false"/>
    </xf>
    <xf xfId="0" fontId="1" numFmtId="3" fillId="3" borderId="30" applyFont="1" applyNumberFormat="1" applyFill="1" applyBorder="1" applyAlignment="0" applyProtection="true">
      <protection hidden="false"/>
    </xf>
    <xf xfId="0" fontId="1" numFmtId="3" fillId="3" borderId="33" applyFont="1" applyNumberFormat="1" applyFill="1" applyBorder="1" applyAlignment="0" applyProtection="true">
      <protection hidden="false"/>
    </xf>
    <xf xfId="0" fontId="1" numFmtId="3" fillId="3" borderId="29" applyFont="1" applyNumberFormat="1" applyFill="1" applyBorder="1" applyAlignment="0" applyProtection="true">
      <protection hidden="false"/>
    </xf>
    <xf xfId="0" fontId="1" numFmtId="168" fillId="3" borderId="3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3" borderId="3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3" borderId="47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3" borderId="8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4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3" borderId="4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3" borderId="47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3" fillId="3" borderId="21" applyFont="1" applyNumberFormat="1" applyFill="1" applyBorder="1" applyAlignment="0" applyProtection="true">
      <protection hidden="false"/>
    </xf>
    <xf xfId="0" fontId="1" numFmtId="3" fillId="3" borderId="48" applyFont="1" applyNumberFormat="1" applyFill="1" applyBorder="1" applyAlignment="0" applyProtection="true">
      <protection hidden="false"/>
    </xf>
    <xf xfId="0" fontId="1" numFmtId="3" fillId="3" borderId="49" applyFont="1" applyNumberFormat="1" applyFill="1" applyBorder="1" applyAlignment="0" applyProtection="true">
      <protection hidden="false"/>
    </xf>
    <xf xfId="0" fontId="1" numFmtId="0" fillId="3" borderId="50" applyFont="1" applyNumberFormat="0" applyFill="1" applyBorder="1" applyAlignment="0" applyProtection="true">
      <protection hidden="false"/>
    </xf>
    <xf xfId="0" fontId="1" numFmtId="3" fillId="3" borderId="47" applyFont="1" applyNumberFormat="1" applyFill="1" applyBorder="1" applyAlignment="0" applyProtection="true">
      <protection hidden="false"/>
    </xf>
    <xf xfId="0" fontId="11" numFmtId="0" fillId="7" borderId="93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7" borderId="3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7" borderId="3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7" borderId="4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7" borderId="5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7" borderId="4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7" borderId="8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7" borderId="5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7" borderId="77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1" numFmtId="0" fillId="7" borderId="98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7" borderId="9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7" borderId="9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7" borderId="9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7" borderId="9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16" applyFont="1" applyNumberFormat="0" applyFill="1" applyBorder="1" applyAlignment="0" applyProtection="true">
      <protection hidden="false"/>
    </xf>
    <xf xfId="0" fontId="11" numFmtId="0" fillId="5" borderId="73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3" borderId="7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7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5" borderId="7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5" borderId="73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3" borderId="73" applyFont="1" applyNumberFormat="0" applyFill="1" applyBorder="1" applyAlignment="0" applyProtection="true">
      <protection hidden="false"/>
    </xf>
    <xf xfId="0" fontId="1" numFmtId="3" fillId="3" borderId="72" applyFont="1" applyNumberFormat="1" applyFill="1" applyBorder="1" applyAlignment="0" applyProtection="true">
      <protection hidden="false"/>
    </xf>
    <xf xfId="0" fontId="11" numFmtId="0" fillId="7" borderId="4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7" borderId="4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7" borderId="4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7" borderId="4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1" numFmtId="0" fillId="5" borderId="4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4" borderId="4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4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1" numFmtId="0" fillId="7" borderId="6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7" borderId="6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7" borderId="6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7" borderId="6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7" borderId="6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3" fillId="3" borderId="77" applyFont="1" applyNumberFormat="1" applyFill="1" applyBorder="1" applyAlignment="0" applyProtection="true">
      <protection hidden="false"/>
    </xf>
    <xf xfId="0" fontId="11" numFmtId="0" fillId="5" borderId="98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4" borderId="7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6" borderId="7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6" borderId="73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1" numFmtId="0" fillId="3" borderId="4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6" borderId="4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6" borderId="4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6" borderId="4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1" numFmtId="0" fillId="5" borderId="62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4" borderId="6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6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6" borderId="62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3" borderId="65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3" borderId="6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3" borderId="67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3" borderId="3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3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6" borderId="4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2" borderId="67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1" numFmtId="164" fillId="4" borderId="3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4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" applyFont="1" applyNumberFormat="0" applyFill="0" applyBorder="1" applyAlignment="1" applyProtection="true">
      <alignment horizontal="left" vertical="center" textRotation="0" wrapText="false" shrinkToFit="false"/>
      <protection hidden="true"/>
    </xf>
    <xf xfId="0" fontId="1" numFmtId="0" fillId="2" borderId="89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" numFmtId="0" fillId="2" borderId="2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4" numFmtId="0" fillId="9" borderId="97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0" fillId="9" borderId="0" applyFont="1" applyNumberFormat="0" applyFill="1" applyBorder="0" applyAlignment="1" applyProtection="true">
      <alignment horizontal="center" vertical="center" textRotation="0" wrapText="false" shrinkToFit="false"/>
      <protection hidden="true"/>
    </xf>
    <xf xfId="0" fontId="1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true"/>
    </xf>
    <xf xfId="0" fontId="1" numFmtId="0" fillId="2" borderId="0" applyFont="1" applyNumberFormat="0" applyFill="0" applyBorder="0" applyAlignment="1" applyProtection="true">
      <alignment vertical="center" textRotation="0" wrapText="false" shrinkToFit="false"/>
      <protection hidden="true"/>
    </xf>
    <xf xfId="0" fontId="6" numFmtId="0" fillId="2" borderId="1" applyFont="1" applyNumberFormat="0" applyFill="0" applyBorder="1" applyAlignment="1" applyProtection="true">
      <alignment horizontal="left" vertical="center" textRotation="0" wrapText="false" shrinkToFit="false"/>
      <protection hidden="true"/>
    </xf>
    <xf xfId="0" fontId="1" numFmtId="1" fillId="2" borderId="0" applyFont="1" applyNumberFormat="1" applyFill="0" applyBorder="0" applyAlignment="1" applyProtection="true">
      <alignment vertical="center" textRotation="0" wrapText="false" shrinkToFit="false"/>
      <protection hidden="true"/>
    </xf>
    <xf xfId="0" fontId="1" numFmtId="1" fillId="2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1" numFmtId="15" fillId="2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1" numFmtId="0" fillId="9" borderId="0" applyFont="1" applyNumberFormat="0" applyFill="1" applyBorder="0" applyAlignment="1" applyProtection="true">
      <alignment horizontal="center" vertical="center" textRotation="0" wrapText="false" shrinkToFit="false"/>
      <protection hidden="true"/>
    </xf>
    <xf xfId="0" fontId="0" numFmtId="0" fillId="9" borderId="100" applyFont="0" applyNumberFormat="0" applyFill="1" applyBorder="1" applyAlignment="1" applyProtection="true">
      <alignment vertical="center" textRotation="0" wrapText="false" shrinkToFit="false"/>
      <protection hidden="true"/>
    </xf>
    <xf xfId="0" fontId="0" numFmtId="0" fillId="9" borderId="101" applyFont="0" applyNumberFormat="0" applyFill="1" applyBorder="1" applyAlignment="1" applyProtection="true">
      <alignment vertical="center" textRotation="0" wrapText="false" shrinkToFit="false"/>
      <protection hidden="true"/>
    </xf>
    <xf xfId="0" fontId="10" numFmtId="164" fillId="9" borderId="0" applyFont="1" applyNumberFormat="1" applyFill="1" applyBorder="0" applyAlignment="1" applyProtection="true">
      <alignment horizontal="center" vertical="center" textRotation="0" wrapText="false" shrinkToFit="false"/>
      <protection hidden="true"/>
    </xf>
    <xf xfId="0" fontId="1" numFmtId="169" fillId="2" borderId="0" applyFont="1" applyNumberFormat="1" applyFill="0" applyBorder="0" applyAlignment="1" applyProtection="true">
      <alignment vertical="center" textRotation="0" wrapText="false" shrinkToFit="false"/>
      <protection hidden="true"/>
    </xf>
    <xf xfId="0" fontId="0" numFmtId="169" fillId="2" borderId="0" applyFont="0" applyNumberFormat="1" applyFill="0" applyBorder="0" applyAlignment="1" applyProtection="true">
      <alignment vertical="center" textRotation="0" wrapText="false" shrinkToFit="false"/>
      <protection hidden="true"/>
    </xf>
    <xf xfId="0" fontId="1" numFmtId="169" fillId="2" borderId="42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42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69" fillId="2" borderId="56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56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69" fillId="2" borderId="40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69" fillId="2" borderId="54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69" fillId="2" borderId="85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69" fillId="2" borderId="102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38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43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52" applyFont="1" applyNumberFormat="1" applyFill="0" applyBorder="1" applyAlignment="1" applyProtection="true">
      <alignment vertical="center" textRotation="0" wrapText="false" shrinkToFit="false"/>
      <protection hidden="true"/>
    </xf>
    <xf xfId="0" fontId="0" numFmtId="0" fillId="3" borderId="0" applyFont="0" applyNumberFormat="0" applyFill="1" applyBorder="0" applyAlignment="1" applyProtection="true">
      <alignment vertical="center" textRotation="0" wrapText="false" shrinkToFit="false"/>
      <protection hidden="true"/>
    </xf>
    <xf xfId="0" fontId="0" numFmtId="0" fillId="3" borderId="0" applyFont="0" applyNumberFormat="0" applyFill="1" applyBorder="0" applyAlignment="0" applyProtection="true">
      <protection hidden="false"/>
    </xf>
    <xf xfId="0" fontId="1" numFmtId="169" fillId="2" borderId="103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51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4" fillId="2" borderId="67" applyFont="0" applyNumberFormat="1" applyFill="0" applyBorder="1" applyAlignment="1" applyProtection="true">
      <alignment horizontal="center" vertical="center" textRotation="0" wrapText="true" shrinkToFit="false"/>
      <protection hidden="false"/>
    </xf>
    <xf xfId="0" fontId="5" numFmtId="2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1" numFmtId="168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0" numFmtId="164" fillId="2" borderId="0" applyFont="0" applyNumberFormat="1" applyFill="0" applyBorder="0" applyAlignment="0" applyProtection="true">
      <protection hidden="false"/>
    </xf>
    <xf xfId="0" fontId="1" numFmtId="0" fillId="2" borderId="42" applyFont="1" applyNumberFormat="0" applyFill="0" applyBorder="1" applyAlignment="1" applyProtection="true">
      <alignment vertical="center" textRotation="0" wrapText="false" shrinkToFit="false"/>
      <protection hidden="true"/>
    </xf>
    <xf xfId="0" fontId="1" numFmtId="12" fillId="2" borderId="42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7" fillId="3" borderId="3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3" borderId="4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0" numFmtId="1" fillId="3" borderId="22" applyFont="0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0" fillId="2" borderId="0" applyFont="1" applyNumberFormat="0" applyFill="0" applyBorder="0" applyAlignment="0" applyProtection="true">
      <protection hidden="false"/>
    </xf>
    <xf xfId="0" fontId="1" numFmtId="0" fillId="2" borderId="0" applyFont="1" applyNumberFormat="0" applyFill="0" applyBorder="0" applyAlignment="1" applyProtection="true">
      <alignment horizontal="right" vertical="center" textRotation="0" wrapText="false" shrinkToFit="false"/>
      <protection hidden="false"/>
    </xf>
    <xf xfId="0" fontId="1" numFmtId="12" fillId="2" borderId="56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0" fillId="2" borderId="56" applyFont="1" applyNumberFormat="0" applyFill="0" applyBorder="1" applyAlignment="1" applyProtection="true">
      <alignment vertical="center" textRotation="0" wrapText="false" shrinkToFit="false"/>
      <protection hidden="true"/>
    </xf>
    <xf xfId="0" fontId="0" numFmtId="169" fillId="2" borderId="104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169" fillId="2" borderId="105" applyFont="0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86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106" applyFont="1" applyNumberFormat="1" applyFill="0" applyBorder="1" applyAlignment="1" applyProtection="true">
      <alignment vertical="center" textRotation="0" wrapText="false" shrinkToFit="false"/>
      <protection hidden="true"/>
    </xf>
    <xf xfId="0" fontId="12" numFmtId="1" fillId="9" borderId="1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2" numFmtId="1" fillId="9" borderId="19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9" borderId="19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9" borderId="19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9" borderId="107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9" fillId="2" borderId="32" applyFont="1" applyNumberFormat="1" applyFill="0" applyBorder="1" applyAlignment="1" applyProtection="true">
      <alignment vertical="center" textRotation="0" wrapText="false" shrinkToFit="false"/>
      <protection hidden="true"/>
    </xf>
    <xf xfId="0" fontId="4" numFmtId="164" fillId="9" borderId="108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" fillId="2" borderId="1" applyFont="1" applyNumberFormat="1" applyFill="0" applyBorder="1" applyAlignment="1" applyProtection="true">
      <alignment horizontal="left" vertical="center" textRotation="0" wrapText="false" shrinkToFit="false"/>
      <protection hidden="true"/>
    </xf>
    <xf xfId="0" fontId="1" numFmtId="1" fillId="2" borderId="89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" fillId="2" borderId="2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4" numFmtId="1" fillId="9" borderId="0" applyFont="1" applyNumberFormat="1" applyFill="1" applyBorder="0" applyAlignment="1" applyProtection="true">
      <alignment horizontal="center" vertical="center" textRotation="0" wrapText="false" shrinkToFit="false"/>
      <protection hidden="true"/>
    </xf>
    <xf xfId="0" fontId="0" numFmtId="1" fillId="2" borderId="0" applyFont="0" applyNumberFormat="1" applyFill="0" applyBorder="0" applyAlignment="1" applyProtection="true">
      <alignment vertical="center" textRotation="0" wrapText="false" shrinkToFit="false"/>
      <protection hidden="true"/>
    </xf>
    <xf xfId="0" fontId="6" numFmtId="1" fillId="2" borderId="1" applyFont="1" applyNumberFormat="1" applyFill="0" applyBorder="1" applyAlignment="1" applyProtection="true">
      <alignment horizontal="left" vertical="center" textRotation="0" wrapText="false" shrinkToFit="false"/>
      <protection hidden="true"/>
    </xf>
    <xf xfId="0" fontId="1" numFmtId="1" fillId="2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1" numFmtId="1" fillId="9" borderId="0" applyFont="1" applyNumberFormat="1" applyFill="1" applyBorder="0" applyAlignment="1" applyProtection="true">
      <alignment horizontal="center" vertical="center" textRotation="0" wrapText="false" shrinkToFit="false"/>
      <protection hidden="true"/>
    </xf>
    <xf xfId="0" fontId="0" numFmtId="1" fillId="9" borderId="101" applyFont="0" applyNumberFormat="1" applyFill="1" applyBorder="1" applyAlignment="1" applyProtection="true">
      <alignment vertical="center" textRotation="0" wrapText="false" shrinkToFit="false"/>
      <protection hidden="true"/>
    </xf>
    <xf xfId="0" fontId="4" numFmtId="1" fillId="9" borderId="108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9" borderId="107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" fillId="2" borderId="106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42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40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51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41" applyFont="1" applyNumberFormat="1" applyFill="0" applyBorder="1" applyAlignment="1" applyProtection="true">
      <alignment vertical="center" textRotation="0" wrapText="false" shrinkToFit="false"/>
      <protection hidden="true"/>
    </xf>
    <xf xfId="0" fontId="0" numFmtId="1" fillId="2" borderId="84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1" fillId="5" borderId="0" applyFont="0" applyNumberFormat="1" applyFill="1" applyBorder="0" applyAlignment="1" applyProtection="true">
      <alignment vertical="center" textRotation="0" wrapText="false" shrinkToFit="false"/>
      <protection hidden="true"/>
    </xf>
    <xf xfId="0" fontId="1" numFmtId="1" fillId="2" borderId="102" applyFont="1" applyNumberFormat="1" applyFill="0" applyBorder="1" applyAlignment="1" applyProtection="true">
      <alignment vertical="center" textRotation="0" wrapText="false" shrinkToFit="false"/>
      <protection hidden="true"/>
    </xf>
    <xf xfId="0" fontId="0" numFmtId="1" fillId="2" borderId="105" applyFont="0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3" borderId="109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56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54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103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55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85" applyFont="1" applyNumberFormat="1" applyFill="1" applyBorder="1" applyAlignment="1" applyProtection="true">
      <alignment vertical="center" textRotation="0" wrapText="false" shrinkToFit="false"/>
      <protection hidden="true"/>
    </xf>
    <xf xfId="0" fontId="0" numFmtId="1" fillId="3" borderId="0" applyFont="0" applyNumberFormat="1" applyFill="1" applyBorder="0" applyAlignment="1" applyProtection="true">
      <alignment vertical="center" textRotation="0" wrapText="false" shrinkToFit="false"/>
      <protection hidden="true"/>
    </xf>
    <xf xfId="0" fontId="1" numFmtId="1" fillId="3" borderId="42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41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57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110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48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49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111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21" applyFont="1" applyNumberFormat="1" applyFill="1" applyBorder="1" applyAlignment="1" applyProtection="true">
      <alignment vertical="center" textRotation="0" wrapText="false" shrinkToFit="false"/>
      <protection hidden="true"/>
    </xf>
    <xf xfId="0" fontId="10" numFmtId="1" fillId="9" borderId="0" applyFont="1" applyNumberFormat="1" applyFill="1" applyBorder="0" applyAlignment="1" applyProtection="true">
      <alignment horizontal="center" vertical="center" textRotation="0" wrapText="false" shrinkToFit="false"/>
      <protection hidden="true"/>
    </xf>
    <xf xfId="0" fontId="0" numFmtId="1" fillId="2" borderId="0" applyFont="0" applyNumberFormat="1" applyFill="0" applyBorder="0" applyAlignment="0" applyProtection="true">
      <protection hidden="false"/>
    </xf>
    <xf xfId="0" fontId="1" numFmtId="169" fillId="2" borderId="109" applyFont="1" applyNumberFormat="1" applyFill="0" applyBorder="1" applyAlignment="1" applyProtection="true">
      <alignment vertical="center" textRotation="0" wrapText="false" shrinkToFit="false"/>
      <protection hidden="true"/>
    </xf>
    <xf xfId="0" fontId="12" numFmtId="1" fillId="9" borderId="11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5" borderId="108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64" fillId="5" borderId="108" applyFont="1" applyNumberFormat="1" applyFill="1" applyBorder="1" applyAlignment="1" applyProtection="true">
      <alignment horizontal="center" vertical="center" textRotation="0" wrapText="true" shrinkToFit="false"/>
      <protection hidden="true"/>
    </xf>
    <xf xfId="0" fontId="1" numFmtId="169" fillId="2" borderId="30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69" fillId="2" borderId="13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69" fillId="2" borderId="31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69" fillId="2" borderId="113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32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69" fillId="2" borderId="28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33" applyFont="1" applyNumberFormat="1" applyFill="0" applyBorder="1" applyAlignment="1" applyProtection="true">
      <alignment vertical="center" textRotation="0" wrapText="false" shrinkToFit="false"/>
      <protection hidden="true"/>
    </xf>
    <xf xfId="0" fontId="0" numFmtId="1" fillId="2" borderId="0" applyFont="0" applyNumberFormat="1" applyFill="0" applyBorder="0" applyAlignment="1" applyProtection="true">
      <alignment horizontal="center" vertical="center" textRotation="0" wrapText="false" shrinkToFit="false"/>
      <protection hidden="false"/>
    </xf>
    <xf xfId="0" fontId="1" numFmtId="167" fillId="3" borderId="47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" fillId="2" borderId="109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56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54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57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103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114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85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55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110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48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49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21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111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7" fillId="3" borderId="4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hidden="false"/>
    </xf>
    <xf xfId="0" fontId="9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8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2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1" numFmtId="15" fillId="2" borderId="0" applyFont="1" applyNumberFormat="1" applyFill="0" applyBorder="0" applyAlignment="1" applyProtection="true">
      <alignment vertical="center" textRotation="0" wrapText="false" shrinkToFit="false"/>
      <protection hidden="false"/>
    </xf>
    <xf xfId="0" fontId="5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5" numFmtId="2" fillId="2" borderId="0" applyFont="1" applyNumberFormat="1" applyFill="0" applyBorder="0" applyAlignment="1" applyProtection="true">
      <alignment vertical="center" textRotation="0" wrapText="false" shrinkToFit="false"/>
      <protection hidden="false"/>
    </xf>
    <xf xfId="0" fontId="1" numFmtId="0" fillId="2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170" fillId="2" borderId="0" applyFont="1" applyNumberFormat="1" applyFill="0" applyBorder="0" applyAlignment="1" applyProtection="true">
      <alignment vertical="center" textRotation="0" wrapText="false" shrinkToFit="false"/>
      <protection hidden="false"/>
    </xf>
    <xf xfId="0" fontId="1" numFmtId="2" fillId="2" borderId="0" applyFont="1" applyNumberFormat="1" applyFill="0" applyBorder="0" applyAlignment="1" applyProtection="true">
      <alignment vertical="center" textRotation="0" wrapText="false" shrinkToFit="false"/>
      <protection hidden="false"/>
    </xf>
    <xf xfId="0" fontId="1" numFmtId="0" fillId="2" borderId="8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center" textRotation="0" wrapText="false" shrinkToFit="false"/>
      <protection locked="false" hidden="false"/>
    </xf>
    <xf xfId="0" fontId="1" numFmtId="0" fillId="2" borderId="0" applyFont="1" applyNumberFormat="0" applyFill="0" applyBorder="0" applyAlignment="1" applyProtection="true">
      <alignment vertical="center" textRotation="0" wrapText="false" shrinkToFit="false"/>
      <protection locked="false" hidden="false"/>
    </xf>
    <xf xfId="0" fontId="1" numFmtId="0" fillId="2" borderId="0" applyFont="1" applyNumberFormat="0" applyFill="0" applyBorder="0" applyAlignment="1" applyProtection="true">
      <alignment horizontal="right" vertical="center" textRotation="0" wrapText="false" shrinkToFit="false"/>
      <protection hidden="false"/>
    </xf>
    <xf xfId="0" fontId="1" numFmtId="166" fillId="2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1" numFmtId="15" fillId="2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1" numFmtId="15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2" numFmtId="21" fillId="2" borderId="3" applyFont="1" applyNumberFormat="1" applyFill="0" applyBorder="1" applyAlignment="1" applyProtection="true">
      <alignment vertical="center" textRotation="0" wrapText="false" shrinkToFit="false"/>
      <protection hidden="false"/>
    </xf>
    <xf xfId="0" fontId="3" numFmtId="0" fillId="2" borderId="3" applyFont="1" applyNumberFormat="0" applyFill="0" applyBorder="1" applyAlignment="1" applyProtection="true">
      <alignment vertical="center" textRotation="0" wrapText="false" shrinkToFit="false"/>
      <protection hidden="false"/>
    </xf>
    <xf xfId="0" fontId="4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vertical="center" textRotation="0" wrapText="false" shrinkToFit="false"/>
      <protection hidden="false"/>
    </xf>
    <xf xfId="0" fontId="1" numFmtId="164" fillId="3" borderId="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2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2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3" fillId="4" borderId="113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30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7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31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15" applyFont="1" applyNumberFormat="1" applyFill="1" applyBorder="1" applyAlignment="1" applyProtection="true">
      <alignment vertical="center" textRotation="0" wrapText="false" shrinkToFit="false"/>
      <protection hidden="false"/>
    </xf>
    <xf xfId="0" fontId="0" numFmtId="0" fillId="4" borderId="0" applyFont="0" applyNumberFormat="0" applyFill="1" applyBorder="0" applyAlignment="1" applyProtection="true">
      <alignment vertical="center" textRotation="0" wrapText="false" shrinkToFit="false"/>
      <protection hidden="false"/>
    </xf>
    <xf xfId="0" fontId="1" numFmtId="3" fillId="4" borderId="106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42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40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41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51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02" applyFont="1" applyNumberFormat="1" applyFill="1" applyBorder="1" applyAlignment="1" applyProtection="true">
      <alignment vertical="center" textRotation="0" wrapText="false" shrinkToFit="false"/>
      <protection hidden="false"/>
    </xf>
    <xf xfId="0" fontId="0" numFmtId="0" fillId="3" borderId="43" applyFont="0" applyNumberFormat="0" applyFill="1" applyBorder="1" applyAlignment="1" applyProtection="true">
      <alignment vertical="center" textRotation="0" wrapText="false" shrinkToFit="false"/>
      <protection hidden="false"/>
    </xf>
    <xf xfId="0" fontId="1" numFmtId="0" fillId="4" borderId="42" applyFont="1" applyNumberFormat="0" applyFill="1" applyBorder="1" applyAlignment="1" applyProtection="true">
      <alignment vertical="center" textRotation="0" wrapText="false" shrinkToFit="false"/>
      <protection hidden="false"/>
    </xf>
    <xf xfId="0" fontId="1" numFmtId="38" fillId="4" borderId="42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09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54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55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85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03" applyFont="1" applyNumberFormat="1" applyFill="1" applyBorder="1" applyAlignment="1" applyProtection="true">
      <alignment vertical="center" textRotation="0" wrapText="false" shrinkToFit="false"/>
      <protection hidden="false"/>
    </xf>
    <xf xfId="0" fontId="0" numFmtId="0" fillId="3" borderId="0" applyFont="0" applyNumberFormat="0" applyFill="1" applyBorder="0" applyAlignment="1" applyProtection="true">
      <alignment vertical="center" textRotation="0" wrapText="false" shrinkToFit="false"/>
      <protection hidden="false"/>
    </xf>
    <xf xfId="0" fontId="0" numFmtId="0" fillId="4" borderId="105" applyFont="0" applyNumberFormat="0" applyFill="1" applyBorder="1" applyAlignment="1" applyProtection="true">
      <alignment vertical="center" textRotation="0" wrapText="false" shrinkToFit="false"/>
      <protection hidden="false"/>
    </xf>
    <xf xfId="0" fontId="0" numFmtId="0" fillId="3" borderId="116" applyFont="0" applyNumberFormat="0" applyFill="1" applyBorder="1" applyAlignment="1" applyProtection="true">
      <alignment vertical="center" textRotation="0" wrapText="false" shrinkToFit="false"/>
      <protection hidden="false"/>
    </xf>
    <xf xfId="0" fontId="0" numFmtId="0" fillId="4" borderId="43" applyFont="0" applyNumberFormat="0" applyFill="1" applyBorder="1" applyAlignment="1" applyProtection="true">
      <alignment vertical="center" textRotation="0" wrapText="false" shrinkToFit="false"/>
      <protection hidden="false"/>
    </xf>
    <xf xfId="0" fontId="4" numFmtId="1" fillId="2" borderId="117" applyFont="1" applyNumberFormat="1" applyFill="0" applyBorder="1" applyAlignment="1" applyProtection="true">
      <alignment vertical="center" textRotation="0" wrapText="false" shrinkToFit="false"/>
      <protection hidden="false"/>
    </xf>
    <xf xfId="0" fontId="3" numFmtId="164" fillId="2" borderId="0" applyFont="1" applyNumberFormat="1" applyFill="0" applyBorder="0" applyAlignment="1" applyProtection="true">
      <alignment vertical="center" textRotation="0" wrapText="false" shrinkToFit="false"/>
      <protection hidden="false"/>
    </xf>
    <xf xfId="0" fontId="1" numFmtId="164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0" numFmtId="1" fillId="2" borderId="0" applyFont="0" applyNumberFormat="1" applyFill="0" applyBorder="0" applyAlignment="1" applyProtection="true">
      <alignment vertical="center" textRotation="0" wrapText="false" shrinkToFit="false"/>
      <protection hidden="false"/>
    </xf>
    <xf xfId="0" fontId="1" numFmtId="1" fillId="2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1" numFmtId="1" fillId="2" borderId="0" applyFont="1" applyNumberFormat="1" applyFill="0" applyBorder="0" applyAlignment="1" applyProtection="true">
      <alignment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1" numFmtId="164" fillId="2" borderId="0" applyFont="1" applyNumberFormat="1" applyFill="0" applyBorder="0" applyAlignment="1" applyProtection="true">
      <alignment vertical="center" textRotation="0" wrapText="false" shrinkToFit="false"/>
      <protection hidden="false"/>
    </xf>
    <xf xfId="0" fontId="5" numFmtId="164" fillId="2" borderId="0" applyFont="1" applyNumberFormat="1" applyFill="0" applyBorder="0" applyAlignment="1" applyProtection="true">
      <alignment horizontal="right" vertical="center" textRotation="0" wrapText="false" shrinkToFit="false"/>
      <protection hidden="false"/>
    </xf>
    <xf xfId="0" fontId="1" numFmtId="1" fillId="2" borderId="0" applyFont="1" applyNumberFormat="1" applyFill="0" applyBorder="0" applyAlignment="1" applyProtection="true">
      <alignment vertical="center" textRotation="0" wrapText="false" shrinkToFit="false"/>
      <protection hidden="false"/>
    </xf>
    <xf xfId="0" fontId="5" numFmtId="164" fillId="2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5" numFmtId="164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0" numFmtId="0" fillId="2" borderId="45" applyFont="0" applyNumberFormat="0" applyFill="0" applyBorder="1" applyAlignment="1" applyProtection="true">
      <alignment vertical="center" textRotation="0" wrapText="false" shrinkToFit="false"/>
      <protection hidden="false"/>
    </xf>
    <xf xfId="0" fontId="0" numFmtId="0" fillId="2" borderId="45" applyFont="0" applyNumberFormat="0" applyFill="0" applyBorder="1" applyAlignment="1" applyProtection="true">
      <alignment vertical="center" textRotation="0" wrapText="false" shrinkToFit="false"/>
      <protection hidden="false"/>
    </xf>
    <xf xfId="0" fontId="0" numFmtId="0" fillId="2" borderId="90" applyFont="0" applyNumberFormat="0" applyFill="0" applyBorder="1" applyAlignment="1" applyProtection="true">
      <alignment vertical="center" textRotation="0" wrapText="false" shrinkToFit="false"/>
      <protection hidden="false"/>
    </xf>
    <xf xfId="0" fontId="1" numFmtId="164" fillId="5" borderId="4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10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6" borderId="4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3" fillId="4" borderId="32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33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164" fillId="7" borderId="4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3" fillId="4" borderId="56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86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53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42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43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39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59" applyFont="1" applyNumberFormat="1" applyFill="1" applyBorder="1" applyAlignment="1" applyProtection="true">
      <alignment vertical="center" textRotation="0" wrapText="false" shrinkToFit="false"/>
      <protection hidden="false"/>
    </xf>
    <xf xfId="0" fontId="0" numFmtId="0" fillId="4" borderId="64" applyFont="0" applyNumberFormat="0" applyFill="1" applyBorder="1" applyAlignment="1" applyProtection="true">
      <alignment vertical="center" textRotation="0" wrapText="false" shrinkToFit="false"/>
      <protection hidden="false"/>
    </xf>
    <xf xfId="0" fontId="1" numFmtId="3" fillId="3" borderId="118" applyFont="1" applyNumberFormat="1" applyFill="1" applyBorder="1" applyAlignment="1" applyProtection="true">
      <alignment vertical="center" textRotation="0" wrapText="false" shrinkToFit="false"/>
      <protection hidden="false"/>
    </xf>
    <xf xfId="0" fontId="0" numFmtId="0" fillId="3" borderId="14" applyFont="0" applyNumberFormat="0" applyFill="1" applyBorder="1" applyAlignment="1" applyProtection="true">
      <alignment vertical="center" textRotation="0" wrapText="false" shrinkToFit="false"/>
      <protection hidden="false"/>
    </xf>
    <xf xfId="0" fontId="0" numFmtId="0" fillId="3" borderId="64" applyFont="0" applyNumberFormat="0" applyFill="1" applyBorder="1" applyAlignment="1" applyProtection="true">
      <alignment vertical="center" textRotation="0" wrapText="false" shrinkToFit="false"/>
      <protection hidden="false"/>
    </xf>
    <xf xfId="0" fontId="4" numFmtId="1" fillId="2" borderId="95" applyFont="1" applyNumberFormat="1" applyFill="0" applyBorder="1" applyAlignment="1" applyProtection="true">
      <alignment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1" numFmtId="2" fillId="2" borderId="1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2" fillId="2" borderId="1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center" vertical="center" textRotation="0" wrapText="false" shrinkToFit="false"/>
      <protection hidden="false"/>
    </xf>
    <xf xfId="0" fontId="6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center" vertical="center" textRotation="0" wrapText="false" shrinkToFit="false"/>
      <protection hidden="false"/>
    </xf>
    <xf xfId="0" fontId="0" numFmtId="165" fillId="2" borderId="0" applyFont="0" applyNumberFormat="1" applyFill="0" applyBorder="0" applyAlignment="1" applyProtection="true">
      <alignment horizontal="center" vertical="center" textRotation="0" wrapText="false" shrinkToFit="false"/>
      <protection hidden="false"/>
    </xf>
    <xf xfId="0" fontId="0" numFmtId="0" fillId="2" borderId="8" applyFont="0" applyNumberFormat="0" applyFill="0" applyBorder="1" applyAlignment="1" applyProtection="true">
      <alignment vertical="center" textRotation="0" wrapText="false" shrinkToFit="false"/>
      <protection hidden="false"/>
    </xf>
    <xf xfId="0" fontId="0" numFmtId="0" fillId="2" borderId="8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2" borderId="9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6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7" numFmtId="2" fillId="2" borderId="13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2" fillId="2" borderId="11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2" fillId="2" borderId="11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2" fillId="2" borderId="12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2" fillId="2" borderId="11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2" fillId="2" borderId="12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6" applyFont="1" applyNumberFormat="0" applyFill="0" applyBorder="1" applyAlignment="1" applyProtection="true">
      <alignment horizontal="right" vertical="center" textRotation="0" wrapText="false" shrinkToFit="false"/>
      <protection hidden="true"/>
    </xf>
    <xf xfId="0" fontId="1" numFmtId="0" fillId="2" borderId="19" applyFont="1" applyNumberFormat="0" applyFill="0" applyBorder="1" applyAlignment="1" applyProtection="true">
      <alignment horizontal="right" vertical="center" textRotation="0" wrapText="false" shrinkToFit="false"/>
      <protection hidden="true"/>
    </xf>
    <xf xfId="0" fontId="1" numFmtId="0" fillId="2" borderId="11" applyFont="1" applyNumberFormat="0" applyFill="0" applyBorder="1" applyAlignment="1" applyProtection="true">
      <alignment horizontal="right" vertical="center" textRotation="0" wrapText="false" shrinkToFit="false"/>
      <protection hidden="true"/>
    </xf>
    <xf xfId="0" fontId="1" numFmtId="0" fillId="2" borderId="2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5" numFmtId="0" fillId="2" borderId="0" applyFont="1" applyNumberFormat="0" applyFill="0" applyBorder="0" applyAlignment="1" applyProtection="true">
      <alignment vertical="center" textRotation="0" wrapText="false" shrinkToFit="false"/>
      <protection hidden="false"/>
    </xf>
    <xf xfId="0" fontId="1" numFmtId="168" fillId="3" borderId="5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71" fillId="2" borderId="0" applyFont="1" applyNumberFormat="1" applyFill="0" applyBorder="0" applyAlignment="1" applyProtection="true">
      <alignment horizontal="center" vertical="center" textRotation="0" wrapText="false" shrinkToFit="false"/>
      <protection hidden="true"/>
    </xf>
    <xf xfId="0" fontId="1" numFmtId="0" fillId="4" borderId="56" applyFont="1" applyNumberFormat="0" applyFill="1" applyBorder="1" applyAlignment="1" applyProtection="true">
      <alignment vertical="center" textRotation="0" wrapText="false" shrinkToFit="false"/>
      <protection hidden="false"/>
    </xf>
    <xf xfId="0" fontId="1" numFmtId="168" fillId="3" borderId="8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9" fillId="2" borderId="119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11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11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69" fillId="2" borderId="120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3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12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2" fillId="2" borderId="32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2" fillId="2" borderId="11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90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4" fillId="4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11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7" borderId="2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12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4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11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6" borderId="4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3" fillId="4" borderId="95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1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3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3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2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92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0" fillId="5" borderId="17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10" borderId="41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1" fillId="3" borderId="32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30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17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68" fillId="3" borderId="5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2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3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2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3" borderId="53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3" borderId="55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3" borderId="2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" fillId="2" borderId="0" applyFont="1" applyNumberFormat="1" applyFill="0" applyBorder="0" applyAlignment="1" applyProtection="true">
      <alignment vertical="center" textRotation="0" wrapText="false" shrinkToFit="false"/>
      <protection hidden="false"/>
    </xf>
    <xf xfId="0" fontId="1" numFmtId="164" fillId="4" borderId="5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10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6" borderId="5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3" fillId="4" borderId="121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164" fillId="10" borderId="5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3" borderId="17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0" fillId="2" borderId="32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" numFmtId="167" fillId="3" borderId="2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" fillId="2" borderId="113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32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30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31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17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115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7" fillId="3" borderId="1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3" borderId="12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4" borderId="32" applyFont="1" applyNumberFormat="0" applyFill="1" applyBorder="1" applyAlignment="1" applyProtection="true">
      <alignment vertical="center" textRotation="0" wrapText="false" shrinkToFit="false"/>
      <protection hidden="false"/>
    </xf>
    <xf xfId="0" fontId="1" numFmtId="38" fillId="4" borderId="32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2" borderId="0" applyFont="1" applyNumberFormat="1" applyFill="0" applyBorder="0" applyAlignment="1" applyProtection="true">
      <alignment vertical="center" textRotation="0" wrapText="false" shrinkToFit="false"/>
      <protection hidden="false"/>
    </xf>
    <xf xfId="0" fontId="1" numFmtId="172" fillId="2" borderId="32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7" fillId="3" borderId="9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9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12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3" borderId="1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3" fillId="4" borderId="119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1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0" fillId="4" borderId="11" applyFont="1" applyNumberFormat="0" applyFill="1" applyBorder="1" applyAlignment="1" applyProtection="true">
      <alignment vertical="center" textRotation="0" wrapText="false" shrinkToFit="false"/>
      <protection hidden="false"/>
    </xf>
    <xf xfId="0" fontId="1" numFmtId="3" fillId="4" borderId="90" applyFont="1" applyNumberFormat="1" applyFill="1" applyBorder="1" applyAlignment="1" applyProtection="true">
      <alignment vertical="center" textRotation="0" wrapText="false" shrinkToFit="false"/>
      <protection hidden="false"/>
    </xf>
    <xf xfId="0" fontId="0" numFmtId="0" fillId="3" borderId="86" applyFont="0" applyNumberFormat="0" applyFill="1" applyBorder="1" applyAlignment="1" applyProtection="true">
      <alignment vertical="center" textRotation="0" wrapText="false" shrinkToFit="false"/>
      <protection hidden="false"/>
    </xf>
    <xf xfId="0" fontId="1" numFmtId="169" fillId="10" borderId="0" applyFont="1" applyNumberFormat="1" applyFill="1" applyBorder="0" applyAlignment="1" applyProtection="true">
      <alignment horizontal="left" vertical="center" textRotation="0" wrapText="false" shrinkToFit="false"/>
      <protection hidden="true"/>
    </xf>
    <xf xfId="0" fontId="0" numFmtId="3" fillId="2" borderId="0" applyFont="0" applyNumberFormat="1" applyFill="0" applyBorder="0" applyAlignment="1" applyProtection="true">
      <alignment vertical="center" textRotation="0" wrapText="false" shrinkToFit="false"/>
      <protection hidden="false"/>
    </xf>
    <xf xfId="0" fontId="1" numFmtId="167" fillId="3" borderId="5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5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8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5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3" borderId="12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12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3" fillId="4" borderId="125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0" fillId="4" borderId="126" applyFont="1" applyNumberFormat="0" applyFill="1" applyBorder="1" applyAlignment="1" applyProtection="true">
      <alignment vertical="center" textRotation="0" wrapText="false" shrinkToFit="false"/>
      <protection hidden="false"/>
    </xf>
    <xf xfId="0" fontId="1" numFmtId="3" fillId="4" borderId="127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23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28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29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168" fillId="3" borderId="8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3" fillId="4" borderId="56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164" fillId="4" borderId="11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3" fillId="4" borderId="126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164" fillId="5" borderId="5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5" borderId="1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2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6" borderId="3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3" fillId="4" borderId="29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164" fillId="7" borderId="12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4" borderId="130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1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12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6" borderId="12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3" fillId="4" borderId="132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33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34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05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35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36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164" fillId="7" borderId="5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10" borderId="123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3" fillId="4" borderId="126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16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31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167" fillId="3" borderId="13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" fillId="2" borderId="125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126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127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3" borderId="126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2" borderId="128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123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2" borderId="129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10" borderId="44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169" fillId="10" borderId="130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167" fillId="3" borderId="123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9" fillId="2" borderId="125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126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126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69" fillId="2" borderId="127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69" fillId="2" borderId="124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116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128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2" fillId="2" borderId="126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129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0" fillId="2" borderId="32" applyFont="1" applyNumberFormat="0" applyFill="0" applyBorder="1" applyAlignment="1" applyProtection="true">
      <alignment vertical="center" textRotation="0" wrapText="false" shrinkToFit="false"/>
      <protection hidden="true"/>
    </xf>
    <xf xfId="0" fontId="1" numFmtId="169" fillId="2" borderId="137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133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133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69" fillId="2" borderId="134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69" fillId="2" borderId="130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105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135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2" fillId="2" borderId="133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138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8" fillId="3" borderId="9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2" borderId="0" applyFont="1" applyNumberFormat="1" applyFill="0" applyBorder="0" applyAlignment="1" applyProtection="true">
      <alignment vertical="center" textRotation="0" wrapText="false" shrinkToFit="false"/>
      <protection hidden="false"/>
    </xf>
    <xf xfId="0" fontId="1" numFmtId="169" fillId="3" borderId="56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69" fillId="3" borderId="42" applyFont="1" applyNumberFormat="1" applyFill="1" applyBorder="1" applyAlignment="1" applyProtection="true">
      <alignment vertical="center" textRotation="0" wrapText="false" shrinkToFit="false"/>
      <protection hidden="true"/>
    </xf>
    <xf xfId="0" fontId="0" numFmtId="0" fillId="11" borderId="105" applyFont="0" applyNumberFormat="0" applyFill="1" applyBorder="1" applyAlignment="1" applyProtection="true">
      <alignment vertical="center" textRotation="0" wrapText="false" shrinkToFit="false"/>
      <protection hidden="false"/>
    </xf>
    <xf xfId="0" fontId="0" numFmtId="0" fillId="11" borderId="116" applyFont="0" applyNumberFormat="0" applyFill="1" applyBorder="1" applyAlignment="1" applyProtection="true">
      <alignment vertical="center" textRotation="0" wrapText="false" shrinkToFit="false"/>
      <protection hidden="false"/>
    </xf>
    <xf xfId="0" fontId="0" numFmtId="1" fillId="11" borderId="105" applyFont="0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2" borderId="0" applyFont="1" applyNumberFormat="1" applyFill="0" applyBorder="0" applyAlignment="1" applyProtection="true">
      <alignment horizontal="right" vertical="center" textRotation="0" wrapText="false" shrinkToFit="false"/>
      <protection hidden="false"/>
    </xf>
    <xf xfId="0" fontId="1" numFmtId="164" fillId="2" borderId="0" applyFont="1" applyNumberFormat="1" applyFill="0" applyBorder="0" applyAlignment="1" applyProtection="true">
      <alignment horizontal="right" vertical="center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right" vertical="center" textRotation="0" wrapText="false" shrinkToFit="false"/>
      <protection hidden="false"/>
    </xf>
    <xf xfId="0" fontId="1" numFmtId="169" fillId="3" borderId="38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2" fillId="3" borderId="42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69" fillId="3" borderId="43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69" fillId="3" borderId="126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12" borderId="39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1" fillId="12" borderId="53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167" fillId="3" borderId="5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3" borderId="5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4" borderId="86" applyFont="0" applyNumberFormat="0" applyFill="1" applyBorder="1" applyAlignment="1" applyProtection="true">
      <alignment vertical="center" textRotation="0" wrapText="false" shrinkToFit="false"/>
      <protection hidden="false"/>
    </xf>
    <xf xfId="0" fontId="0" numFmtId="0" fillId="3" borderId="105" applyFont="0" applyNumberFormat="0" applyFill="1" applyBorder="1" applyAlignment="1" applyProtection="true">
      <alignment vertical="center" textRotation="0" wrapText="false" shrinkToFit="false"/>
      <protection hidden="false"/>
    </xf>
    <xf xfId="0" fontId="1" numFmtId="167" fillId="3" borderId="2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4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4" borderId="4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3" fillId="4" borderId="21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0" fillId="4" borderId="48" applyFont="1" applyNumberFormat="0" applyFill="1" applyBorder="1" applyAlignment="1" applyProtection="true">
      <alignment vertical="center" textRotation="0" wrapText="false" shrinkToFit="false"/>
      <protection hidden="false"/>
    </xf>
    <xf xfId="0" fontId="1" numFmtId="3" fillId="4" borderId="111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10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139" applyFont="1" applyNumberFormat="1" applyFill="1" applyBorder="1" applyAlignment="1" applyProtection="true">
      <alignment vertical="center" textRotation="0" wrapText="false" shrinkToFit="false"/>
      <protection hidden="false"/>
    </xf>
    <xf xfId="0" fontId="0" numFmtId="0" fillId="4" borderId="3" applyFont="0" applyNumberFormat="0" applyFill="1" applyBorder="1" applyAlignment="1" applyProtection="true">
      <alignment vertical="center" textRotation="0" wrapText="false" shrinkToFit="false"/>
      <protection hidden="false"/>
    </xf>
    <xf xfId="0" fontId="0" numFmtId="0" fillId="3" borderId="50" applyFont="0" applyNumberFormat="0" applyFill="1" applyBorder="1" applyAlignment="1" applyProtection="true">
      <alignment vertical="center" textRotation="0" wrapText="false" shrinkToFit="false"/>
      <protection hidden="false"/>
    </xf>
    <xf xfId="0" fontId="1" numFmtId="0" fillId="5" borderId="55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3" fillId="4" borderId="140" applyFont="1" applyNumberFormat="1" applyFill="1" applyBorder="1" applyAlignment="1" applyProtection="true">
      <alignment vertical="center" textRotation="0" wrapText="false" shrinkToFit="false"/>
      <protection hidden="false"/>
    </xf>
    <xf xfId="0" fontId="0" numFmtId="1" fillId="2" borderId="86" applyFont="0" applyNumberFormat="1" applyFill="0" applyBorder="1" applyAlignment="1" applyProtection="true">
      <alignment vertical="center" textRotation="0" wrapText="false" shrinkToFit="false"/>
      <protection hidden="true"/>
    </xf>
    <xf xfId="0" fontId="1" numFmtId="1" fillId="3" borderId="106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40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51" applyFont="1" applyNumberFormat="1" applyFill="1" applyBorder="1" applyAlignment="1" applyProtection="true">
      <alignment vertical="center" textRotation="0" wrapText="false" shrinkToFit="false"/>
      <protection hidden="true"/>
    </xf>
    <xf xfId="0" fontId="0" numFmtId="1" fillId="3" borderId="86" applyFont="0" applyNumberFormat="1" applyFill="1" applyBorder="1" applyAlignment="1" applyProtection="true">
      <alignment vertical="center" textRotation="0" wrapText="false" shrinkToFit="false"/>
      <protection hidden="true"/>
    </xf>
    <xf xfId="0" fontId="0" numFmtId="1" fillId="2" borderId="3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169" fillId="2" borderId="141" applyFont="0" applyNumberFormat="1" applyFill="0" applyBorder="1" applyAlignment="1" applyProtection="true">
      <alignment vertical="center" textRotation="0" wrapText="false" shrinkToFit="false"/>
      <protection hidden="true"/>
    </xf>
    <xf xfId="0" fontId="1" numFmtId="0" fillId="2" borderId="56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" numFmtId="172" fillId="2" borderId="56" applyFont="1" applyNumberFormat="1" applyFill="0" applyBorder="1" applyAlignment="1" applyProtection="true">
      <alignment vertical="center" textRotation="0" wrapText="false" shrinkToFit="false"/>
      <protection hidden="true"/>
    </xf>
    <xf xfId="0" fontId="0" numFmtId="169" fillId="2" borderId="86" applyFont="0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110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48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48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69" fillId="2" borderId="49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69" fillId="3" borderId="46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69" fillId="3" borderId="48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69" fillId="3" borderId="50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69" fillId="2" borderId="111" applyFont="1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2" fillId="3" borderId="48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69" fillId="2" borderId="139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46" applyFont="1" applyNumberFormat="1" applyFill="0" applyBorder="1" applyAlignment="1" applyProtection="true">
      <alignment vertical="center" textRotation="0" wrapText="false" shrinkToFit="false"/>
      <protection hidden="true"/>
    </xf>
    <xf xfId="0" fontId="1" numFmtId="169" fillId="2" borderId="50" applyFont="1" applyNumberFormat="1" applyFill="0" applyBorder="1" applyAlignment="1" applyProtection="true">
      <alignment vertical="center" textRotation="0" wrapText="false" shrinkToFit="false"/>
      <protection hidden="true"/>
    </xf>
    <xf xfId="0" fontId="0" numFmtId="169" fillId="2" borderId="3" applyFont="0" applyNumberFormat="1" applyFill="0" applyBorder="1" applyAlignment="1" applyProtection="true">
      <alignment vertical="center" textRotation="0" wrapText="false" shrinkToFit="false"/>
      <protection hidden="true"/>
    </xf>
    <xf xfId="0" fontId="5" numFmtId="0" fillId="13" borderId="29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5" numFmtId="0" fillId="7" borderId="53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5" numFmtId="0" fillId="7" borderId="91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5" numFmtId="0" fillId="7" borderId="39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5" numFmtId="0" fillId="7" borderId="92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5" numFmtId="0" fillId="11" borderId="53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5" numFmtId="0" fillId="11" borderId="39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5" numFmtId="0" fillId="11" borderId="92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5" numFmtId="1" fillId="11" borderId="29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5" numFmtId="1" fillId="11" borderId="53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5" numFmtId="1" fillId="11" borderId="39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5" numFmtId="1" fillId="11" borderId="47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5" numFmtId="1" fillId="7" borderId="29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5" numFmtId="1" fillId="7" borderId="53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5" numFmtId="1" fillId="7" borderId="39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5" numFmtId="1" fillId="7" borderId="47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168" fillId="3" borderId="8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11" borderId="39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5" numFmtId="0" fillId="11" borderId="91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5" numFmtId="0" fillId="11" borderId="29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3" fillId="4" borderId="138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168" fillId="14" borderId="8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7" fillId="11" borderId="4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11" borderId="3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15" borderId="29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15" borderId="39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15" borderId="53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15" borderId="91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5" numFmtId="169" fillId="13" borderId="34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5" numFmtId="167" fillId="3" borderId="17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3" borderId="12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4" borderId="16" applyFont="1" applyNumberFormat="0" applyFill="1" applyBorder="1" applyAlignment="1" applyProtection="true">
      <alignment vertical="center" textRotation="0" wrapText="false" shrinkToFit="false"/>
      <protection hidden="false"/>
    </xf>
    <xf xfId="0" fontId="5" numFmtId="169" fillId="13" borderId="44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164" fillId="3" borderId="3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1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4" numFmtId="1" fillId="9" borderId="91" applyFont="1" applyNumberFormat="1" applyFill="1" applyBorder="1" applyAlignment="1" applyProtection="true">
      <alignment horizontal="center" vertical="center" textRotation="90" wrapText="true" shrinkToFit="false"/>
      <protection hidden="true"/>
    </xf>
    <xf xfId="0" fontId="4" numFmtId="1" fillId="9" borderId="92" applyFont="1" applyNumberFormat="1" applyFill="1" applyBorder="1" applyAlignment="1" applyProtection="true">
      <alignment horizontal="center" vertical="center" textRotation="90" wrapText="true" shrinkToFit="false"/>
      <protection hidden="true"/>
    </xf>
    <xf xfId="0" fontId="1" numFmtId="0" fillId="14" borderId="39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14" borderId="47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14" borderId="131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7" borderId="53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7" borderId="39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7" borderId="92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7" borderId="91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7" borderId="39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7" borderId="53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1" fillId="3" borderId="125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127" applyFont="1" applyNumberFormat="1" applyFill="1" applyBorder="1" applyAlignment="1" applyProtection="true">
      <alignment vertical="center" textRotation="0" wrapText="false" shrinkToFit="false"/>
      <protection hidden="true"/>
    </xf>
    <xf xfId="0" fontId="0" numFmtId="1" fillId="3" borderId="105" applyFont="0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16" borderId="39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1" fillId="16" borderId="131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1" fillId="16" borderId="53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1" fillId="7" borderId="39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1" fillId="7" borderId="53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1" fillId="7" borderId="47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12" fillId="2" borderId="48" applyFont="1" applyNumberFormat="1" applyFill="0" applyBorder="1" applyAlignment="1" applyProtection="true">
      <alignment vertical="center" textRotation="0" wrapText="false" shrinkToFit="false"/>
      <protection hidden="true"/>
    </xf>
    <xf xfId="0" fontId="0" numFmtId="169" fillId="2" borderId="142" applyFont="0" applyNumberFormat="1" applyFill="0" applyBorder="1" applyAlignment="1" applyProtection="true">
      <alignment vertical="center" textRotation="0" wrapText="false" shrinkToFit="false"/>
      <protection hidden="true"/>
    </xf>
    <xf xfId="0" fontId="1" numFmtId="167" fillId="3" borderId="106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3" borderId="10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3" borderId="110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7" fillId="3" borderId="125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8" fillId="5" borderId="8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5" borderId="5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5" borderId="8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5" borderId="122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5" borderId="8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8" borderId="39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167" fillId="8" borderId="4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8" borderId="3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8" borderId="4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8" borderId="3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8" borderId="8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3" fillId="8" borderId="41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0" fillId="8" borderId="42" applyFont="1" applyNumberFormat="0" applyFill="1" applyBorder="1" applyAlignment="1" applyProtection="true">
      <alignment vertical="center" textRotation="0" wrapText="false" shrinkToFit="false"/>
      <protection hidden="false"/>
    </xf>
    <xf xfId="0" fontId="1" numFmtId="3" fillId="8" borderId="51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8" borderId="106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8" borderId="40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0" fillId="8" borderId="131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167" fillId="8" borderId="12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8" borderId="13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8" borderId="12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8" borderId="12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3" fillId="8" borderId="123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0" fillId="8" borderId="126" applyFont="1" applyNumberFormat="0" applyFill="1" applyBorder="1" applyAlignment="1" applyProtection="true">
      <alignment vertical="center" textRotation="0" wrapText="false" shrinkToFit="false"/>
      <protection hidden="false"/>
    </xf>
    <xf xfId="0" fontId="1" numFmtId="3" fillId="8" borderId="128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8" borderId="125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8" borderId="127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1" fillId="8" borderId="39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167" fillId="8" borderId="3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" fillId="8" borderId="106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42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40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51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41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131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167" fillId="8" borderId="131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" fillId="8" borderId="125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126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127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128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123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53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167" fillId="8" borderId="53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" fillId="8" borderId="109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56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54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85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55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29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167" fillId="8" borderId="29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" fillId="8" borderId="113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32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30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115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31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17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103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129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102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73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33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143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8" borderId="86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86" applyFont="1" applyNumberFormat="1" applyFill="1" applyBorder="1" applyAlignment="1" applyProtection="true">
      <alignment vertical="center" textRotation="0" wrapText="false" shrinkToFit="false"/>
      <protection hidden="true"/>
    </xf>
    <xf xfId="0" fontId="1" numFmtId="1" fillId="3" borderId="114" applyFont="1" applyNumberFormat="1" applyFill="1" applyBorder="1" applyAlignment="1" applyProtection="true">
      <alignment vertical="center" textRotation="0" wrapText="false" shrinkToFit="false"/>
      <protection hidden="true"/>
    </xf>
    <xf xfId="0" fontId="12" numFmtId="1" fillId="9" borderId="108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8" fillId="8" borderId="5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3" fillId="8" borderId="55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0" fillId="8" borderId="56" applyFont="1" applyNumberFormat="0" applyFill="1" applyBorder="1" applyAlignment="1" applyProtection="true">
      <alignment vertical="center" textRotation="0" wrapText="false" shrinkToFit="false"/>
      <protection hidden="false"/>
    </xf>
    <xf xfId="0" fontId="1" numFmtId="3" fillId="8" borderId="85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8" borderId="109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0" fillId="8" borderId="91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164" fillId="3" borderId="8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43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4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4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3" borderId="11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3" fillId="4" borderId="48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4" borderId="49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167" fillId="2" borderId="4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164" fillId="2" borderId="3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3" fillId="4" borderId="144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0" fillId="8" borderId="145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167" fillId="8" borderId="14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8" borderId="14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8" borderId="14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8" borderId="14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8" borderId="14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3" fillId="8" borderId="146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0" fillId="8" borderId="149" applyFont="1" applyNumberFormat="0" applyFill="1" applyBorder="1" applyAlignment="1" applyProtection="true">
      <alignment vertical="center" textRotation="0" wrapText="false" shrinkToFit="false"/>
      <protection hidden="false"/>
    </xf>
    <xf xfId="0" fontId="1" numFmtId="3" fillId="8" borderId="150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8" borderId="151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3" fillId="8" borderId="152" applyFont="1" applyNumberFormat="1" applyFill="1" applyBorder="1" applyAlignment="1" applyProtection="true">
      <alignment vertical="center" textRotation="0" wrapText="false" shrinkToFit="false"/>
      <protection hidden="false"/>
    </xf>
    <xf xfId="0" fontId="1" numFmtId="167" fillId="2" borderId="123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164" fillId="2" borderId="13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1" fillId="10" borderId="53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1" fillId="10" borderId="39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1" fillId="10" borderId="131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1" fillId="10" borderId="47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0" fillId="10" borderId="53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10" borderId="39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10" borderId="131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10" borderId="53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10" borderId="39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10" borderId="47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0" numFmtId="1" fillId="2" borderId="153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1" fillId="2" borderId="154" applyFont="0" applyNumberFormat="1" applyFill="0" applyBorder="1" applyAlignment="1" applyProtection="true">
      <alignment vertical="center" textRotation="0" wrapText="false" shrinkToFit="false"/>
      <protection hidden="true"/>
    </xf>
    <xf xfId="0" fontId="0" numFmtId="1" fillId="3" borderId="0" applyFont="0" applyNumberFormat="1" applyFill="1" applyBorder="0" applyAlignment="1" applyProtection="true">
      <alignment vertical="center" textRotation="0" wrapText="false" shrinkToFit="false"/>
      <protection hidden="true"/>
    </xf>
    <xf xfId="0" fontId="0" numFmtId="1" fillId="2" borderId="0" applyFont="0" applyNumberFormat="1" applyFill="0" applyBorder="0" applyAlignment="1" applyProtection="true">
      <alignment vertical="center" textRotation="0" wrapText="false" shrinkToFit="false"/>
      <protection hidden="true"/>
    </xf>
    <xf xfId="0" fontId="0" numFmtId="1" fillId="2" borderId="3" applyFont="0" applyNumberFormat="1" applyFill="0" applyBorder="1" applyAlignment="1" applyProtection="true">
      <alignment vertical="center" textRotation="0" wrapText="false" shrinkToFit="false"/>
      <protection hidden="true"/>
    </xf>
    <xf xfId="0" fontId="1" numFmtId="0" fillId="10" borderId="131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164" fillId="3" borderId="124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8" borderId="116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" fillId="16" borderId="47" applyFont="1" applyNumberFormat="1" applyFill="1" applyBorder="1" applyAlignment="1" applyProtection="true">
      <alignment horizontal="left" vertical="center" textRotation="0" wrapText="false" shrinkToFit="false"/>
      <protection hidden="true"/>
    </xf>
    <xf xfId="0" fontId="1" numFmtId="168" fillId="14" borderId="8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14" borderId="5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14" borderId="12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3" borderId="12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14" borderId="111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8" fillId="14" borderId="99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11" borderId="56" applyFont="1" applyNumberFormat="0" applyFill="1" applyBorder="1" applyAlignment="1" applyProtection="true">
      <alignment vertical="center" textRotation="0" wrapText="false" shrinkToFit="false"/>
      <protection hidden="false"/>
    </xf>
    <xf xfId="0" fontId="1" numFmtId="0" fillId="11" borderId="126" applyFont="1" applyNumberFormat="0" applyFill="1" applyBorder="1" applyAlignment="1" applyProtection="true">
      <alignment vertical="center" textRotation="0" wrapText="false" shrinkToFit="false"/>
      <protection hidden="false"/>
    </xf>
    <xf xfId="0" fontId="1" numFmtId="0" fillId="11" borderId="11" applyFont="1" applyNumberFormat="0" applyFill="1" applyBorder="1" applyAlignment="1" applyProtection="true">
      <alignment vertical="center" textRotation="0" wrapText="false" shrinkToFit="false"/>
      <protection hidden="false"/>
    </xf>
    <xf xfId="0" fontId="1" numFmtId="0" fillId="2" borderId="34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3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44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4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2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9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3" numFmtId="0" fillId="14" borderId="155" applyFont="1" applyNumberFormat="0" applyFill="1" applyBorder="1" applyAlignment="1" applyProtection="true">
      <alignment horizontal="center" vertical="center" textRotation="90" wrapText="true" shrinkToFit="false"/>
      <protection hidden="false"/>
    </xf>
    <xf xfId="0" fontId="13" numFmtId="0" fillId="14" borderId="91" applyFont="1" applyNumberFormat="0" applyFill="1" applyBorder="1" applyAlignment="1" applyProtection="true">
      <alignment horizontal="center" vertical="center" textRotation="90" wrapText="true" shrinkToFit="false"/>
      <protection hidden="false"/>
    </xf>
    <xf xfId="0" fontId="13" numFmtId="0" fillId="14" borderId="136" applyFont="1" applyNumberFormat="0" applyFill="1" applyBorder="1" applyAlignment="1" applyProtection="true">
      <alignment horizontal="center" vertical="center" textRotation="90" wrapText="true" shrinkToFit="false"/>
      <protection hidden="false"/>
    </xf>
    <xf xfId="0" fontId="9" numFmtId="0" fillId="11" borderId="155" applyFont="1" applyNumberFormat="0" applyFill="1" applyBorder="1" applyAlignment="1" applyProtection="true">
      <alignment horizontal="center" vertical="center" textRotation="90" wrapText="false" shrinkToFit="false"/>
      <protection hidden="false"/>
    </xf>
    <xf xfId="0" fontId="9" numFmtId="0" fillId="11" borderId="91" applyFont="1" applyNumberFormat="0" applyFill="1" applyBorder="1" applyAlignment="1" applyProtection="true">
      <alignment horizontal="center" vertical="center" textRotation="90" wrapText="false" shrinkToFit="false"/>
      <protection hidden="false"/>
    </xf>
    <xf xfId="0" fontId="9" numFmtId="0" fillId="11" borderId="92" applyFont="1" applyNumberFormat="0" applyFill="1" applyBorder="1" applyAlignment="1" applyProtection="true">
      <alignment horizontal="center" vertical="center" textRotation="90" wrapText="false" shrinkToFit="false"/>
      <protection hidden="false"/>
    </xf>
    <xf xfId="0" fontId="9" numFmtId="164" fillId="2" borderId="117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164" fillId="2" borderId="15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164" fillId="2" borderId="157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14" borderId="45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3" numFmtId="164" fillId="2" borderId="2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4" fillId="2" borderId="8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4" fillId="2" borderId="15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4" numFmtId="0" fillId="9" borderId="155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4" numFmtId="0" fillId="9" borderId="9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4" numFmtId="0" fillId="9" borderId="136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4" numFmtId="0" fillId="9" borderId="159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4" numFmtId="0" fillId="9" borderId="92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3" numFmtId="0" fillId="10" borderId="160" applyFont="1" applyNumberFormat="0" applyFill="1" applyBorder="1" applyAlignment="1" applyProtection="true">
      <alignment horizontal="center" vertical="center" textRotation="90" wrapText="true" shrinkToFit="false"/>
      <protection hidden="false"/>
    </xf>
    <xf xfId="0" fontId="13" numFmtId="0" fillId="10" borderId="45" applyFont="1" applyNumberFormat="0" applyFill="1" applyBorder="1" applyAlignment="1" applyProtection="true">
      <alignment horizontal="center" vertical="center" textRotation="90" wrapText="true" shrinkToFit="false"/>
      <protection hidden="false"/>
    </xf>
    <xf xfId="0" fontId="13" numFmtId="0" fillId="10" borderId="90" applyFont="1" applyNumberFormat="0" applyFill="1" applyBorder="1" applyAlignment="1" applyProtection="true">
      <alignment horizontal="center" vertical="center" textRotation="90" wrapText="true" shrinkToFit="false"/>
      <protection hidden="false"/>
    </xf>
    <xf xfId="0" fontId="1" numFmtId="164" fillId="3" borderId="65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68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3" borderId="67" applyFont="1" applyNumberFormat="1" applyFill="1" applyBorder="1" applyAlignment="1" applyProtection="true">
      <alignment horizontal="center" vertical="center" textRotation="0" wrapText="false" shrinkToFit="false"/>
      <protection hidden="false"/>
    </xf>
    <xf xfId="0" fontId="1" numFmtId="164" fillId="2" borderId="155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164" fillId="2" borderId="9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164" fillId="2" borderId="9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164" fillId="2" borderId="118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1" numFmtId="164" fillId="2" borderId="92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1" numFmtId="164" fillId="2" borderId="155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1" numFmtId="164" fillId="2" borderId="91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2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8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5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164" fillId="2" borderId="34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164" fillId="2" borderId="44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164" fillId="2" borderId="120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164" fillId="2" borderId="120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164" fillId="2" borderId="3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164" fillId="2" borderId="90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5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9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9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4" borderId="22" applyFont="1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2" borderId="57" applyFont="1" applyNumberFormat="0" applyFill="0" applyBorder="1" applyAlignment="1" applyProtection="true">
      <alignment horizontal="right" vertical="center" textRotation="0" wrapText="false" shrinkToFit="false"/>
      <protection hidden="true"/>
    </xf>
    <xf xfId="0" fontId="3" numFmtId="164" fillId="2" borderId="15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4" fillId="2" borderId="16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5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" numFmtId="0" fillId="2" borderId="25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" numFmtId="0" fillId="2" borderId="22" applyFont="1" applyNumberFormat="0" applyFill="0" applyBorder="1" applyAlignment="1" applyProtection="true">
      <alignment horizontal="right" vertical="center" textRotation="0" wrapText="false" shrinkToFit="false"/>
      <protection hidden="true"/>
    </xf>
    <xf xfId="0" fontId="1" numFmtId="0" fillId="2" borderId="5" applyFont="1" applyNumberFormat="0" applyFill="0" applyBorder="1" applyAlignment="1" applyProtection="true">
      <alignment horizontal="right" vertical="center" textRotation="0" wrapText="false" shrinkToFit="false"/>
      <protection hidden="true"/>
    </xf>
    <xf xfId="0" fontId="1" numFmtId="0" fillId="2" borderId="11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5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164" fillId="2" borderId="157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2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4" borderId="22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164" fillId="2" borderId="16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164" fillId="2" borderId="15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164" fillId="2" borderId="16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0" numFmtId="164" fillId="2" borderId="163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0" numFmtId="164" fillId="2" borderId="37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0" numFmtId="164" fillId="2" borderId="164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164" fillId="2" borderId="3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164" fillId="2" borderId="11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164" fillId="2" borderId="3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164" fillId="2" borderId="90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0" numFmtId="164" fillId="2" borderId="3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164" fillId="2" borderId="157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9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4" numFmtId="164" fillId="2" borderId="65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164" fillId="2" borderId="6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164" fillId="2" borderId="67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2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8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5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8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8" numFmtId="0" fillId="2" borderId="2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164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8" numFmtId="0" fillId="2" borderId="108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8" numFmtId="0" fillId="2" borderId="1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8" numFmtId="0" fillId="2" borderId="16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8" numFmtId="0" fillId="2" borderId="143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164" fillId="2" borderId="16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164" fillId="2" borderId="27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164" fillId="2" borderId="167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164" fillId="2" borderId="16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4" numFmtId="0" fillId="17" borderId="155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4" numFmtId="0" fillId="17" borderId="9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4" numFmtId="0" fillId="17" borderId="92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9" numFmtId="0" fillId="10" borderId="155" applyFont="1" applyNumberFormat="0" applyFill="1" applyBorder="1" applyAlignment="1" applyProtection="true">
      <alignment horizontal="center" vertical="center" textRotation="90" wrapText="false" shrinkToFit="false"/>
      <protection hidden="false"/>
    </xf>
    <xf xfId="0" fontId="9" numFmtId="0" fillId="10" borderId="91" applyFont="1" applyNumberFormat="0" applyFill="1" applyBorder="1" applyAlignment="1" applyProtection="true">
      <alignment horizontal="center" vertical="center" textRotation="90" wrapText="false" shrinkToFit="false"/>
      <protection hidden="false"/>
    </xf>
    <xf xfId="0" fontId="9" numFmtId="0" fillId="10" borderId="92" applyFont="1" applyNumberFormat="0" applyFill="1" applyBorder="1" applyAlignment="1" applyProtection="true">
      <alignment horizontal="center" vertical="center" textRotation="90" wrapText="false" shrinkToFit="false"/>
      <protection hidden="false"/>
    </xf>
    <xf xfId="0" fontId="3" numFmtId="164" fillId="2" borderId="27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4" fillId="2" borderId="167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4" fillId="2" borderId="16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4" fillId="2" borderId="7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4" fillId="2" borderId="64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164" fillId="2" borderId="7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3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1" numFmtId="164" fillId="2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8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center" textRotation="0" wrapText="false" shrinkToFit="false"/>
      <protection locked="false"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164" fillId="2" borderId="65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4" fillId="2" borderId="68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0" numFmtId="164" fillId="2" borderId="67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9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8" numFmtId="0" fillId="2" borderId="2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8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26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15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26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2" borderId="89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0" numFmtId="0" fillId="2" borderId="158" applyFont="0" applyNumberFormat="0" applyFill="0" applyBorder="1" applyAlignment="1" applyProtection="true">
      <alignment horizontal="center" vertical="center" textRotation="0" wrapText="false" shrinkToFit="false"/>
      <protection hidden="true"/>
    </xf>
    <xf xfId="0" fontId="1" numFmtId="164" fillId="3" borderId="65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3" borderId="68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1" numFmtId="164" fillId="3" borderId="67" applyFont="1" applyNumberFormat="1" applyFill="1" applyBorder="1" applyAlignment="1" applyProtection="true">
      <alignment horizontal="center" vertical="bottom" textRotation="0" wrapText="false" shrinkToFit="false"/>
      <protection hidden="false"/>
    </xf>
    <xf xfId="0" fontId="0" numFmtId="164" fillId="2" borderId="26" applyFont="0" applyNumberFormat="1" applyFill="0" applyBorder="1" applyAlignment="1" applyProtection="true">
      <alignment horizontal="center" vertical="center" textRotation="0" wrapText="false" shrinkToFit="false"/>
      <protection hidden="true"/>
    </xf>
    <xf xfId="0" fontId="1" numFmtId="164" fillId="2" borderId="65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1" numFmtId="164" fillId="2" borderId="67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164" fillId="2" borderId="65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4" numFmtId="164" fillId="2" borderId="68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4" numFmtId="164" fillId="2" borderId="67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9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1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3" borderId="155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" numFmtId="0" fillId="3" borderId="9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" numFmtId="0" fillId="3" borderId="92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4" numFmtId="164" fillId="2" borderId="117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4" numFmtId="164" fillId="2" borderId="156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4" numFmtId="164" fillId="2" borderId="157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3" numFmtId="164" fillId="2" borderId="78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3" numFmtId="164" fillId="2" borderId="64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3" numFmtId="164" fillId="2" borderId="7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3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center" textRotation="0" wrapText="true" shrinkToFit="false"/>
      <protection hidden="false"/>
    </xf>
    <xf xfId="0" fontId="1" numFmtId="0" fillId="2" borderId="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45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2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4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6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9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7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4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6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4" borderId="169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4" borderId="94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2" borderId="3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7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1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1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5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10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3" borderId="169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3" borderId="94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3" borderId="44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3" borderId="95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7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164" fillId="2" borderId="26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3" numFmtId="164" fillId="2" borderId="8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3" numFmtId="164" fillId="2" borderId="158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164" fillId="2" borderId="166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164" fillId="2" borderId="27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164" fillId="2" borderId="167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164" fillId="2" borderId="168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3" numFmtId="164" fillId="2" borderId="27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3" numFmtId="164" fillId="2" borderId="167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3" numFmtId="164" fillId="2" borderId="168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9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4" numFmtId="164" fillId="2" borderId="162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4" numFmtId="164" fillId="2" borderId="156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4" numFmtId="164" fillId="2" borderId="157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155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9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2" borderId="14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3" borderId="118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3" borderId="91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3" borderId="140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1" numFmtId="0" fillId="2" borderId="11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4" borderId="155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4" borderId="91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0" numFmtId="0" fillId="4" borderId="140" applyFont="0" applyNumberFormat="0" applyFill="1" applyBorder="1" applyAlignment="1" applyProtection="true">
      <alignment horizontal="center" vertical="center" textRotation="0" wrapText="false" shrinkToFit="false"/>
      <protection hidden="false"/>
    </xf>
    <xf xfId="0" fontId="4" numFmtId="164" fillId="2" borderId="161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3" numFmtId="164" fillId="2" borderId="156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3" numFmtId="164" fillId="2" borderId="161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0" numFmtId="164" fillId="2" borderId="3" applyFont="0" applyNumberFormat="1" applyFill="0" applyBorder="1" applyAlignment="1" applyProtection="true">
      <alignment horizontal="center" vertical="bottom" textRotation="0" wrapText="false" shrinkToFit="false"/>
      <protection hidden="false"/>
    </xf>
    <xf xfId="0" fontId="0" numFmtId="164" fillId="2" borderId="90" applyFont="0" applyNumberFormat="1" applyFill="0" applyBorder="1" applyAlignment="1" applyProtection="true">
      <alignment horizontal="center" vertical="bottom" textRotation="0" wrapText="false" shrinkToFit="false"/>
      <protection hidden="false"/>
    </xf>
    <xf xfId="0" fontId="10" numFmtId="164" fillId="2" borderId="163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0" numFmtId="164" fillId="2" borderId="37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0" numFmtId="164" fillId="2" borderId="164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0" numFmtId="164" fillId="2" borderId="36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22" applyFont="1" applyNumberFormat="0" applyFill="0" applyBorder="1" applyAlignment="1" applyProtection="true">
      <alignment horizontal="right" vertical="center" textRotation="0" wrapText="false" shrinkToFit="false" indent="1"/>
      <protection hidden="true"/>
    </xf>
    <xf xfId="0" fontId="1" numFmtId="0" fillId="2" borderId="5" applyFont="1" applyNumberFormat="0" applyFill="0" applyBorder="1" applyAlignment="1" applyProtection="true">
      <alignment horizontal="right" vertical="center" textRotation="0" wrapText="false" shrinkToFit="false" indent="1"/>
      <protection hidden="true"/>
    </xf>
    <xf xfId="0" fontId="3" numFmtId="164" fillId="2" borderId="157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164" fillId="2" borderId="3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164" fillId="2" borderId="11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6" applyFont="1" applyNumberFormat="0" applyFill="0" applyBorder="1" applyAlignment="1" applyProtection="true">
      <alignment horizontal="center" vertical="center" textRotation="0" wrapText="false" shrinkToFit="false"/>
      <protection hidden="true"/>
    </xf>
    <xf xfId="0" fontId="1" numFmtId="0" fillId="2" borderId="57" applyFont="1" applyNumberFormat="0" applyFill="0" applyBorder="1" applyAlignment="1" applyProtection="true">
      <alignment horizontal="right" vertical="center" textRotation="0" wrapText="false" shrinkToFit="false" indent="1"/>
      <protection hidden="true"/>
    </xf>
    <xf xfId="0" fontId="1" numFmtId="0" fillId="2" borderId="22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1" fillId="9" borderId="17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" fillId="9" borderId="104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" fillId="9" borderId="160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" fillId="9" borderId="78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" fillId="9" borderId="64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" fillId="9" borderId="79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" fillId="9" borderId="17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" fillId="9" borderId="16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4" numFmtId="1" fillId="9" borderId="155" applyFont="1" applyNumberFormat="1" applyFill="1" applyBorder="1" applyAlignment="1" applyProtection="true">
      <alignment horizontal="center" vertical="center" textRotation="90" wrapText="true" shrinkToFit="false"/>
      <protection hidden="true"/>
    </xf>
    <xf xfId="0" fontId="4" numFmtId="1" fillId="9" borderId="91" applyFont="1" applyNumberFormat="1" applyFill="1" applyBorder="1" applyAlignment="1" applyProtection="true">
      <alignment horizontal="center" vertical="center" textRotation="90" wrapText="true" shrinkToFit="false"/>
      <protection hidden="true"/>
    </xf>
    <xf xfId="0" fontId="4" numFmtId="1" fillId="9" borderId="92" applyFont="1" applyNumberFormat="1" applyFill="1" applyBorder="1" applyAlignment="1" applyProtection="true">
      <alignment horizontal="center" vertical="center" textRotation="90" wrapText="true" shrinkToFit="false"/>
      <protection hidden="true"/>
    </xf>
    <xf xfId="0" fontId="4" numFmtId="1" fillId="9" borderId="155" applyFont="1" applyNumberFormat="1" applyFill="1" applyBorder="1" applyAlignment="1" applyProtection="true">
      <alignment horizontal="center" vertical="center" textRotation="90" wrapText="false" shrinkToFit="false"/>
      <protection hidden="true"/>
    </xf>
    <xf xfId="0" fontId="4" numFmtId="1" fillId="9" borderId="91" applyFont="1" applyNumberFormat="1" applyFill="1" applyBorder="1" applyAlignment="1" applyProtection="true">
      <alignment horizontal="center" vertical="center" textRotation="90" wrapText="false" shrinkToFit="false"/>
      <protection hidden="true"/>
    </xf>
    <xf xfId="0" fontId="4" numFmtId="1" fillId="9" borderId="92" applyFont="1" applyNumberFormat="1" applyFill="1" applyBorder="1" applyAlignment="1" applyProtection="true">
      <alignment horizontal="center" vertical="center" textRotation="90" wrapText="false" shrinkToFit="false"/>
      <protection hidden="true"/>
    </xf>
    <xf xfId="0" fontId="1" numFmtId="1" fillId="9" borderId="10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" fillId="9" borderId="173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" fillId="9" borderId="174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" fillId="9" borderId="17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9" numFmtId="169" fillId="10" borderId="15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9" numFmtId="169" fillId="10" borderId="9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9" numFmtId="169" fillId="10" borderId="9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9" numFmtId="169" fillId="7" borderId="34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9" numFmtId="169" fillId="7" borderId="44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9" numFmtId="169" fillId="7" borderId="120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9" numFmtId="169" fillId="16" borderId="155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9" numFmtId="169" fillId="16" borderId="9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9" numFmtId="169" fillId="16" borderId="92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0" fillId="9" borderId="10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0" fillId="9" borderId="173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9" borderId="101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9" borderId="173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9" borderId="174" applyFont="1" applyNumberFormat="1" applyFill="1" applyBorder="1" applyAlignment="1" applyProtection="true">
      <alignment horizontal="center" vertical="center" textRotation="0" wrapText="false" shrinkToFit="false"/>
      <protection hidden="true"/>
    </xf>
    <xf xfId="0" fontId="1" numFmtId="164" fillId="9" borderId="175" applyFont="1" applyNumberFormat="1" applyFill="1" applyBorder="1" applyAlignment="1" applyProtection="true">
      <alignment horizontal="center" vertical="center" textRotation="0" wrapText="false" shrinkToFit="false"/>
      <protection hidden="true"/>
    </xf>
  </cellXfs>
  <cellStyles count="1">
    <cellStyle name="Normal" xfId="0" builtinId="0"/>
  </cellStyles>
  <dxfs count="2">
    <dxf>
      <fill>
        <patternFill patternType="solid">
          <fgColor rgb="FF000000"/>
          <bgColor rgb="FFFF99CC"/>
        </patternFill>
      </fill>
      <border/>
    </dxf>
    <dxf>
      <font>
        <b val="1"/>
        <color rgb="FFFF0000"/>
      </font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drawings/_rels/vmlDrawing2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279"/>
  <sheetViews>
    <sheetView tabSelected="0" workbookViewId="0" zoomScale="90" zoomScaleNormal="70" view="pageBreakPreview" showGridLines="true" showRowColHeaders="1">
      <pane xSplit="3" ySplit="13" topLeftCell="D95" activePane="bottomRight" state="frozen"/>
      <selection pane="topRight"/>
      <selection pane="bottomLeft"/>
      <selection pane="bottomRight" activeCell="Y59" sqref="Y59:Y60"/>
    </sheetView>
  </sheetViews>
  <sheetFormatPr customHeight="true" defaultRowHeight="15" defaultColWidth="9.1328125" outlineLevelRow="0" outlineLevelCol="0"/>
  <cols>
    <col min="1" max="1" width="11.86328125" customWidth="true" style="579"/>
    <col min="2" max="2" width="17.59765625" customWidth="true" style="580"/>
    <col min="3" max="3" width="33.59765625" customWidth="true" style="580"/>
    <col min="4" max="4" width="18.1328125" customWidth="true" style="580"/>
    <col min="5" max="5" width="9.3984375" customWidth="true" style="580"/>
    <col min="6" max="6" width="8.86328125" hidden="true" customWidth="true" style="580"/>
    <col min="7" max="7" width="8.86328125" customWidth="true" style="580"/>
    <col min="8" max="8" width="13.1328125" customWidth="true" style="580"/>
    <col min="9" max="9" width="9.59765625" customWidth="true" style="580"/>
    <col min="10" max="10" width="9.86328125" customWidth="true" style="580"/>
    <col min="11" max="11" width="10" customWidth="true" style="580"/>
    <col min="12" max="12" width="10.59765625" customWidth="true" style="580"/>
    <col min="13" max="13" width="10" customWidth="true" style="580"/>
    <col min="14" max="14" width="11.86328125" customWidth="true" style="580"/>
    <col min="15" max="15" width="9.73046875" customWidth="true" style="580"/>
    <col min="16" max="16" width="10.73046875" customWidth="true" style="580"/>
    <col min="17" max="17" width="10" customWidth="true" style="580"/>
    <col min="18" max="18" width="10" customWidth="true" style="580"/>
    <col min="19" max="19" width="11.3984375" customWidth="true" style="580"/>
    <col min="20" max="20" width="10" customWidth="true" style="580"/>
    <col min="21" max="21" width="10" customWidth="true" style="580"/>
    <col min="22" max="22" width="10" customWidth="true" style="580"/>
    <col min="23" max="23" width="10" customWidth="true" style="580"/>
    <col min="24" max="24" width="10" customWidth="true" style="580"/>
    <col min="25" max="25" width="10" customWidth="true" style="580"/>
    <col min="26" max="26" width="10" customWidth="true" style="580"/>
    <col min="27" max="27" width="10.265625" customWidth="true" style="4"/>
    <col min="28" max="28" width="11.86328125" customWidth="true" style="579"/>
    <col min="29" max="29" width="10.73046875" customWidth="true" style="579"/>
    <col min="30" max="30" width="10.265625" customWidth="true" style="579"/>
  </cols>
  <sheetData>
    <row r="1" spans="1:32" customHeight="1" ht="17.25">
      <c r="A1" s="577"/>
      <c r="B1" s="499"/>
      <c r="C1" s="578"/>
      <c r="D1" s="578"/>
      <c r="E1" s="578"/>
      <c r="F1" s="578"/>
      <c r="G1" s="578"/>
      <c r="H1" s="578"/>
      <c r="I1" s="578"/>
      <c r="J1" s="578"/>
      <c r="K1" s="1141" t="s">
        <v>0</v>
      </c>
      <c r="L1" s="1141"/>
      <c r="M1" s="1141"/>
      <c r="N1" s="1141"/>
      <c r="O1" s="1141"/>
      <c r="P1" s="1141"/>
      <c r="Q1" s="1141"/>
      <c r="R1" s="578"/>
      <c r="S1" s="578"/>
      <c r="T1" s="578"/>
      <c r="U1" s="578"/>
      <c r="V1" s="578"/>
      <c r="W1" s="578"/>
      <c r="X1" s="578"/>
      <c r="Y1" s="578"/>
      <c r="Z1" s="578"/>
      <c r="AA1" s="578"/>
      <c r="AB1" s="578"/>
      <c r="AC1" s="578"/>
      <c r="AD1" s="578"/>
    </row>
    <row r="2" spans="1:32" customHeight="1" ht="18.75">
      <c r="B2" s="4"/>
      <c r="C2" s="4"/>
      <c r="D2" s="4"/>
      <c r="E2" s="4"/>
      <c r="J2" s="75"/>
      <c r="K2" s="1142" t="s">
        <v>1</v>
      </c>
      <c r="L2" s="1142"/>
      <c r="M2" s="1142"/>
      <c r="N2" s="1142"/>
      <c r="O2" s="1142"/>
      <c r="P2" s="1142"/>
      <c r="Q2" s="1142"/>
      <c r="R2" s="75"/>
      <c r="S2" s="75"/>
      <c r="T2" s="75"/>
      <c r="U2" s="75"/>
      <c r="V2" s="71"/>
      <c r="W2" s="581"/>
      <c r="X2" s="581"/>
      <c r="Y2" s="581"/>
      <c r="Z2" s="581"/>
      <c r="AA2" s="1150" t="s">
        <v>2</v>
      </c>
      <c r="AB2" s="1150"/>
      <c r="AC2" s="1149"/>
      <c r="AD2" s="1149"/>
    </row>
    <row r="3" spans="1:32" customHeight="1" ht="17.25">
      <c r="B3" s="4" t="s">
        <v>3</v>
      </c>
      <c r="D3" s="4"/>
      <c r="E3" s="4"/>
      <c r="J3" s="75"/>
      <c r="K3" s="1142" t="s">
        <v>4</v>
      </c>
      <c r="L3" s="1142"/>
      <c r="M3" s="1142"/>
      <c r="N3" s="1142"/>
      <c r="O3" s="1142"/>
      <c r="P3" s="1142"/>
      <c r="Q3" s="1142"/>
      <c r="R3" s="75"/>
      <c r="S3" s="75"/>
      <c r="T3" s="75"/>
      <c r="U3" s="75"/>
      <c r="V3" s="71"/>
      <c r="W3" s="581"/>
      <c r="X3" s="581"/>
      <c r="Y3" s="581"/>
      <c r="Z3" s="581"/>
      <c r="AA3" s="1152"/>
      <c r="AB3" s="1153"/>
      <c r="AC3" s="72"/>
      <c r="AD3" s="71"/>
    </row>
    <row r="4" spans="1:32" customHeight="1" ht="14.1">
      <c r="B4" s="4" t="s">
        <v>5</v>
      </c>
      <c r="C4" s="4"/>
      <c r="D4" s="4"/>
      <c r="E4" s="4"/>
      <c r="J4" s="75"/>
      <c r="O4" s="7"/>
      <c r="R4" s="7"/>
      <c r="U4" s="4"/>
      <c r="V4" s="4"/>
      <c r="AA4" s="1154"/>
      <c r="AB4" s="1155"/>
      <c r="AC4" s="7"/>
      <c r="AD4" s="4"/>
    </row>
    <row r="5" spans="1:32" customHeight="1" ht="12.75">
      <c r="B5" s="583"/>
      <c r="C5" s="4"/>
      <c r="D5" s="4"/>
      <c r="E5" s="4"/>
      <c r="F5" s="4"/>
      <c r="G5" s="4"/>
      <c r="J5" s="584"/>
      <c r="K5" s="584"/>
      <c r="L5" s="584"/>
      <c r="M5" s="584"/>
      <c r="N5" s="585"/>
      <c r="O5" s="491"/>
      <c r="R5" s="7"/>
      <c r="U5" s="4"/>
      <c r="V5" s="4"/>
      <c r="AA5" s="1137"/>
      <c r="AB5" s="1138"/>
      <c r="AC5" s="4"/>
      <c r="AD5" s="4"/>
    </row>
    <row r="6" spans="1:32" customHeight="1" ht="12.95">
      <c r="B6" s="4"/>
      <c r="C6" s="4"/>
      <c r="D6" s="4"/>
      <c r="E6" s="4"/>
      <c r="F6" s="4"/>
      <c r="G6" s="4"/>
      <c r="L6" s="588"/>
      <c r="N6" s="589"/>
      <c r="O6" s="490"/>
      <c r="P6" s="589"/>
      <c r="R6" s="7"/>
      <c r="U6" s="4"/>
      <c r="V6" s="4"/>
      <c r="AB6" s="4"/>
      <c r="AC6" s="4"/>
      <c r="AD6" s="4"/>
    </row>
    <row r="7" spans="1:32" customHeight="1" ht="3.75" hidden="true">
      <c r="B7" s="4"/>
      <c r="C7" s="4"/>
      <c r="D7" s="4"/>
      <c r="E7" s="4"/>
      <c r="F7" s="4"/>
      <c r="G7" s="4"/>
      <c r="O7" s="7"/>
      <c r="R7" s="7"/>
      <c r="U7" s="1151"/>
      <c r="V7" s="1151"/>
      <c r="W7" s="586"/>
      <c r="X7" s="587"/>
      <c r="Y7" s="1137" t="s">
        <v>6</v>
      </c>
      <c r="Z7" s="1103"/>
      <c r="AA7" s="591"/>
    </row>
    <row r="8" spans="1:32" customHeight="1" ht="12">
      <c r="B8" s="4"/>
      <c r="C8" s="4"/>
      <c r="D8" s="4"/>
      <c r="E8" s="4"/>
      <c r="F8" s="4"/>
      <c r="G8" s="4"/>
      <c r="O8" s="7"/>
      <c r="R8" s="7"/>
      <c r="U8" s="1151"/>
      <c r="V8" s="1151"/>
      <c r="W8" s="592"/>
      <c r="X8" s="592"/>
      <c r="Y8" s="592"/>
      <c r="Z8" s="592"/>
      <c r="AA8" s="592"/>
    </row>
    <row r="9" spans="1:32" customHeight="1" ht="15.75">
      <c r="B9" s="4"/>
      <c r="C9" s="4">
        <v>1</v>
      </c>
      <c r="D9" s="4">
        <f>+C9+1</f>
        <v>2</v>
      </c>
      <c r="E9" s="4">
        <f>+D9+1</f>
        <v>3</v>
      </c>
      <c r="F9" s="4">
        <f>+E9+1</f>
        <v>4</v>
      </c>
      <c r="G9" s="4">
        <f>+F9+1</f>
        <v>5</v>
      </c>
      <c r="H9" s="4">
        <f>+G9+1</f>
        <v>6</v>
      </c>
      <c r="I9" s="4">
        <f>+H9+1</f>
        <v>7</v>
      </c>
      <c r="J9" s="4">
        <f>+I9+1</f>
        <v>8</v>
      </c>
      <c r="K9" s="4">
        <f>+J9+1</f>
        <v>9</v>
      </c>
      <c r="L9" s="4">
        <f>+K9+1</f>
        <v>10</v>
      </c>
      <c r="M9" s="4">
        <f>+L9+1</f>
        <v>11</v>
      </c>
      <c r="N9" s="4">
        <f>+M9+1</f>
        <v>12</v>
      </c>
      <c r="O9" s="4">
        <f>+N9+1</f>
        <v>13</v>
      </c>
      <c r="P9" s="4">
        <f>+O9+1</f>
        <v>14</v>
      </c>
      <c r="Q9" s="4">
        <f>+P9+1</f>
        <v>15</v>
      </c>
      <c r="R9" s="4">
        <f>+Q9+1</f>
        <v>16</v>
      </c>
      <c r="S9" s="4">
        <f>+R9+1</f>
        <v>17</v>
      </c>
      <c r="T9" s="4">
        <f>+S9+1</f>
        <v>18</v>
      </c>
      <c r="U9" s="4">
        <f>+T9+1</f>
        <v>19</v>
      </c>
      <c r="V9" s="4">
        <f>+U9+1</f>
        <v>20</v>
      </c>
      <c r="W9" s="4">
        <f>+V9+1</f>
        <v>21</v>
      </c>
      <c r="X9" s="4">
        <f>+W9+1</f>
        <v>22</v>
      </c>
      <c r="Y9" s="4">
        <f>+X9+1</f>
        <v>23</v>
      </c>
      <c r="Z9" s="4">
        <f>+Y9+1</f>
        <v>24</v>
      </c>
      <c r="AA9" s="4">
        <f>+Z9+1</f>
        <v>25</v>
      </c>
      <c r="AB9" s="4">
        <f>+AA9+1</f>
        <v>26</v>
      </c>
      <c r="AC9" s="4">
        <f>+AB9+1</f>
        <v>27</v>
      </c>
      <c r="AD9" s="4">
        <f>+AC9+1</f>
        <v>28</v>
      </c>
    </row>
    <row r="10" spans="1:32" customHeight="1" ht="14.25">
      <c r="B10" s="593" t="s">
        <v>7</v>
      </c>
      <c r="C10" s="594">
        <f>NOW()</f>
        <v>46195.104525463</v>
      </c>
      <c r="D10" s="595"/>
      <c r="E10" s="595"/>
      <c r="F10" s="596"/>
      <c r="G10" s="596"/>
      <c r="H10" s="597"/>
      <c r="M10" s="598"/>
      <c r="N10" s="598"/>
      <c r="O10" s="598"/>
      <c r="P10" s="599"/>
      <c r="S10" s="600"/>
      <c r="V10" s="600"/>
      <c r="Y10" s="600"/>
    </row>
    <row r="11" spans="1:32" customHeight="1" ht="35.25">
      <c r="A11" s="1065" t="s">
        <v>8</v>
      </c>
      <c r="B11" s="1066"/>
      <c r="C11" s="1095" t="s">
        <v>9</v>
      </c>
      <c r="D11" s="1105" t="s">
        <v>10</v>
      </c>
      <c r="E11" s="1100" t="s">
        <v>11</v>
      </c>
      <c r="F11" s="1095" t="s">
        <v>12</v>
      </c>
      <c r="G11" s="1100" t="s">
        <v>13</v>
      </c>
      <c r="H11" s="489" t="s">
        <v>14</v>
      </c>
      <c r="I11" s="1092" t="s">
        <v>15</v>
      </c>
      <c r="J11" s="1093"/>
      <c r="K11" s="1094"/>
      <c r="L11" s="1092" t="s">
        <v>16</v>
      </c>
      <c r="M11" s="1093"/>
      <c r="N11" s="1094"/>
      <c r="O11" s="1092" t="s">
        <v>17</v>
      </c>
      <c r="P11" s="1093"/>
      <c r="Q11" s="1094"/>
      <c r="R11" s="1092" t="s">
        <v>18</v>
      </c>
      <c r="S11" s="1093"/>
      <c r="T11" s="1094"/>
      <c r="U11" s="1092" t="s">
        <v>19</v>
      </c>
      <c r="V11" s="1093"/>
      <c r="W11" s="1094"/>
      <c r="X11" s="1092" t="s">
        <v>20</v>
      </c>
      <c r="Y11" s="1093"/>
      <c r="Z11" s="1094"/>
      <c r="AA11" s="1092" t="s">
        <v>21</v>
      </c>
      <c r="AB11" s="1093"/>
      <c r="AC11" s="1094"/>
      <c r="AD11" s="1095" t="s">
        <v>22</v>
      </c>
    </row>
    <row r="12" spans="1:32" customHeight="1" ht="15.95" s="601" customFormat="1">
      <c r="A12" s="1067"/>
      <c r="B12" s="1068"/>
      <c r="C12" s="1096"/>
      <c r="D12" s="1106"/>
      <c r="E12" s="1101"/>
      <c r="F12" s="1096"/>
      <c r="G12" s="1101"/>
      <c r="H12" s="1098" t="s">
        <v>23</v>
      </c>
      <c r="I12" s="1146" t="str">
        <f>VLOOKUP(I11,WEEK!A2:D13,2,0)</f>
        <v>02/FEB ~ 27/FEB</v>
      </c>
      <c r="J12" s="1147"/>
      <c r="K12" s="1148"/>
      <c r="L12" s="1102" t="str">
        <f>VLOOKUP(L11,WEEK!A2:D13,2,0)</f>
        <v>02/MAR ~ 31/MAR</v>
      </c>
      <c r="M12" s="1103"/>
      <c r="N12" s="1104"/>
      <c r="O12" s="1102" t="str">
        <f>VLOOKUP(O11,WEEK!A2:D13,2,0)</f>
        <v>01/APR ~ 30/APR</v>
      </c>
      <c r="P12" s="1103"/>
      <c r="Q12" s="1104"/>
      <c r="R12" s="1102" t="str">
        <f>VLOOKUP(R11,WEEK!A2:D13,2,0)</f>
        <v>02/MAY ~ 30/MAY</v>
      </c>
      <c r="S12" s="1103"/>
      <c r="T12" s="1104"/>
      <c r="U12" s="1102" t="str">
        <f>VLOOKUP(U11,WEEK!A2:D13,2,0)</f>
        <v>02/JUN ~ 30/JUN</v>
      </c>
      <c r="V12" s="1103"/>
      <c r="W12" s="1104"/>
      <c r="X12" s="1102" t="str">
        <f>VLOOKUP(X11,WEEK!$A$2:$D13,2,0)</f>
        <v>01/JUL ~ 31/JUL</v>
      </c>
      <c r="Y12" s="1103"/>
      <c r="Z12" s="1104"/>
      <c r="AA12" s="1102" t="str">
        <f>VLOOKUP(AA11,WEEK!$A$2:$D13,2,0)</f>
        <v>03/AUG ~ 31/AUG</v>
      </c>
      <c r="AB12" s="1103"/>
      <c r="AC12" s="1104"/>
      <c r="AD12" s="1096"/>
      <c r="AE12" s="579"/>
    </row>
    <row r="13" spans="1:32" customHeight="1" ht="15.95">
      <c r="A13" s="1069"/>
      <c r="B13" s="1070"/>
      <c r="C13" s="1097"/>
      <c r="D13" s="1107"/>
      <c r="E13" s="1099"/>
      <c r="F13" s="1097"/>
      <c r="G13" s="1099"/>
      <c r="H13" s="1099"/>
      <c r="I13" s="602" t="s">
        <v>22</v>
      </c>
      <c r="J13" s="603" t="s">
        <v>24</v>
      </c>
      <c r="K13" s="604" t="s">
        <v>25</v>
      </c>
      <c r="L13" s="602" t="s">
        <v>22</v>
      </c>
      <c r="M13" s="603" t="s">
        <v>24</v>
      </c>
      <c r="N13" s="604" t="s">
        <v>25</v>
      </c>
      <c r="O13" s="602" t="s">
        <v>22</v>
      </c>
      <c r="P13" s="603" t="s">
        <v>24</v>
      </c>
      <c r="Q13" s="604" t="s">
        <v>25</v>
      </c>
      <c r="R13" s="602" t="s">
        <v>22</v>
      </c>
      <c r="S13" s="603" t="s">
        <v>24</v>
      </c>
      <c r="T13" s="605" t="s">
        <v>25</v>
      </c>
      <c r="U13" s="602" t="s">
        <v>22</v>
      </c>
      <c r="V13" s="603" t="s">
        <v>24</v>
      </c>
      <c r="W13" s="604" t="s">
        <v>25</v>
      </c>
      <c r="X13" s="606" t="s">
        <v>22</v>
      </c>
      <c r="Y13" s="603" t="s">
        <v>24</v>
      </c>
      <c r="Z13" s="604" t="s">
        <v>25</v>
      </c>
      <c r="AA13" s="606" t="s">
        <v>22</v>
      </c>
      <c r="AB13" s="603" t="s">
        <v>24</v>
      </c>
      <c r="AC13" s="604" t="s">
        <v>25</v>
      </c>
      <c r="AD13" s="1097"/>
    </row>
    <row r="14" spans="1:32" customHeight="1" ht="20.1" hidden="true" s="612" customFormat="1">
      <c r="A14" s="1071" t="s">
        <v>26</v>
      </c>
      <c r="B14" s="1084" t="s">
        <v>27</v>
      </c>
      <c r="C14" s="882" t="s">
        <v>28</v>
      </c>
      <c r="D14" s="742" t="s">
        <v>29</v>
      </c>
      <c r="E14" s="721" t="s">
        <v>30</v>
      </c>
      <c r="F14" s="722"/>
      <c r="G14" s="723">
        <v>4</v>
      </c>
      <c r="H14" s="743">
        <v>0.0</v>
      </c>
      <c r="I14" s="609">
        <v>0.0</v>
      </c>
      <c r="J14" s="744">
        <v>0.0</v>
      </c>
      <c r="K14" s="610">
        <v>0.0</v>
      </c>
      <c r="L14" s="609">
        <f>I14+K14-J14</f>
        <v>0</v>
      </c>
      <c r="M14" s="744"/>
      <c r="N14" s="610">
        <f>M14-L14</f>
        <v>0</v>
      </c>
      <c r="O14" s="607">
        <f>L14+N14-M14</f>
        <v>0</v>
      </c>
      <c r="P14" s="744"/>
      <c r="Q14" s="608">
        <f>P14-O14</f>
        <v>0</v>
      </c>
      <c r="R14" s="609">
        <f>O14+Q14-P14</f>
        <v>0</v>
      </c>
      <c r="S14" s="744"/>
      <c r="T14" s="610">
        <f>S14-R14</f>
        <v>0</v>
      </c>
      <c r="U14" s="607">
        <f>R14+T14-S14</f>
        <v>0</v>
      </c>
      <c r="V14" s="744"/>
      <c r="W14" s="610">
        <f>V14-U14</f>
        <v>0</v>
      </c>
      <c r="X14" s="609">
        <f>U14+W14-V14</f>
        <v>0</v>
      </c>
      <c r="Y14" s="744"/>
      <c r="Z14" s="610">
        <f>Y14-X14+100-100+64-64</f>
        <v>0</v>
      </c>
      <c r="AA14" s="607">
        <f>X14+Z14-Y14</f>
        <v>0</v>
      </c>
      <c r="AB14" s="745">
        <f>+Y14</f>
        <v/>
      </c>
      <c r="AC14" s="610">
        <f>AB14-AA14</f>
        <v>0</v>
      </c>
      <c r="AD14" s="611">
        <f>AA14+AC14-AB14</f>
        <v>0</v>
      </c>
    </row>
    <row r="15" spans="1:32" customHeight="1" ht="20.1" hidden="true" s="612" customFormat="1">
      <c r="A15" s="1072"/>
      <c r="B15" s="1085"/>
      <c r="C15" s="899" t="s">
        <v>31</v>
      </c>
      <c r="D15" s="904" t="s">
        <v>32</v>
      </c>
      <c r="E15" s="905" t="s">
        <v>33</v>
      </c>
      <c r="F15" s="455"/>
      <c r="G15" s="455">
        <v>4</v>
      </c>
      <c r="H15" s="903">
        <v>4.7863716666667</v>
      </c>
      <c r="I15" s="616">
        <v>0.0</v>
      </c>
      <c r="J15" s="620">
        <v>0.0</v>
      </c>
      <c r="K15" s="617">
        <v>0.0</v>
      </c>
      <c r="L15" s="616">
        <f>I15+K15-J15</f>
        <v>0</v>
      </c>
      <c r="M15" s="620"/>
      <c r="N15" s="617">
        <f>M15-L15</f>
        <v>0</v>
      </c>
      <c r="O15" s="613">
        <f>L15+N15-M15</f>
        <v>0</v>
      </c>
      <c r="P15" s="620"/>
      <c r="Q15" s="615">
        <f>P15-O15</f>
        <v>0</v>
      </c>
      <c r="R15" s="616">
        <f>O15+Q15-P15</f>
        <v>0</v>
      </c>
      <c r="S15" s="620"/>
      <c r="T15" s="617">
        <f>S15-R15</f>
        <v>0</v>
      </c>
      <c r="U15" s="613">
        <f>R15+T15-S15</f>
        <v>0</v>
      </c>
      <c r="V15" s="620"/>
      <c r="W15" s="617">
        <f>V15-U15</f>
        <v>0</v>
      </c>
      <c r="X15" s="616">
        <f>U15+W15-V15</f>
        <v>0</v>
      </c>
      <c r="Y15" s="620"/>
      <c r="Z15" s="617">
        <f>Y15-X15</f>
        <v>0</v>
      </c>
      <c r="AA15" s="613">
        <f>X15+Z15-Y15</f>
        <v>0</v>
      </c>
      <c r="AB15" s="621">
        <f>+Y15</f>
        <v/>
      </c>
      <c r="AC15" s="617">
        <f>AB15-AA15</f>
        <v>0</v>
      </c>
      <c r="AD15" s="618">
        <f>AA15+AC15-AB15</f>
        <v>0</v>
      </c>
    </row>
    <row r="16" spans="1:32" customHeight="1" ht="19.5" hidden="true" s="619" customFormat="1">
      <c r="A16" s="1072"/>
      <c r="B16" s="1085"/>
      <c r="C16" s="948" t="s">
        <v>34</v>
      </c>
      <c r="D16" s="949" t="s">
        <v>29</v>
      </c>
      <c r="E16" s="950" t="s">
        <v>35</v>
      </c>
      <c r="F16" s="951"/>
      <c r="G16" s="952">
        <v>4</v>
      </c>
      <c r="H16" s="953" t="e">
        <f>VLOOKUP($C16,#REF!,18,0)</f>
        <v>#REF!</v>
      </c>
      <c r="I16" s="954">
        <v>0.0</v>
      </c>
      <c r="J16" s="955">
        <v>0.0</v>
      </c>
      <c r="K16" s="956">
        <v>0.0</v>
      </c>
      <c r="L16" s="954">
        <f>I16+K16-J16</f>
        <v>0</v>
      </c>
      <c r="M16" s="955">
        <v>0.0</v>
      </c>
      <c r="N16" s="956">
        <f>M16-L16</f>
        <v>0</v>
      </c>
      <c r="O16" s="957">
        <f>L16+N16-M16</f>
        <v>0</v>
      </c>
      <c r="P16" s="955">
        <v>0.0</v>
      </c>
      <c r="Q16" s="958">
        <f>P16-O16</f>
        <v>0</v>
      </c>
      <c r="R16" s="954">
        <f>O16+Q16-P16</f>
        <v>0</v>
      </c>
      <c r="S16" s="955">
        <v>0.0</v>
      </c>
      <c r="T16" s="956">
        <f>S16-R16</f>
        <v>0</v>
      </c>
      <c r="U16" s="957">
        <f>R16+T16-S16</f>
        <v>0</v>
      </c>
      <c r="V16" s="955">
        <v>0.0</v>
      </c>
      <c r="W16" s="956">
        <f>V16-U16</f>
        <v>0</v>
      </c>
      <c r="X16" s="954">
        <f>U16+W16-V16</f>
        <v>0</v>
      </c>
      <c r="Y16" s="955">
        <v>0.0</v>
      </c>
      <c r="Z16" s="956">
        <f>Y16-X16</f>
        <v>0</v>
      </c>
      <c r="AA16" s="957">
        <f>X16+Z16-Y16</f>
        <v>0</v>
      </c>
      <c r="AB16" s="955">
        <v>0.0</v>
      </c>
      <c r="AC16" s="956">
        <f>AB16-AA16</f>
        <v>0</v>
      </c>
      <c r="AD16" s="618">
        <f>AA16+AC16-AB16</f>
        <v>0</v>
      </c>
      <c r="AE16" s="612"/>
    </row>
    <row r="17" spans="1:32" customHeight="1" ht="19.5" hidden="true" s="619" customFormat="1">
      <c r="A17" s="1072"/>
      <c r="B17" s="1086"/>
      <c r="C17" s="959" t="s">
        <v>36</v>
      </c>
      <c r="D17" s="960" t="s">
        <v>29</v>
      </c>
      <c r="E17" s="961" t="s">
        <v>37</v>
      </c>
      <c r="F17" s="962"/>
      <c r="G17" s="962">
        <v>4</v>
      </c>
      <c r="H17" s="963" t="e">
        <f>VLOOKUP($C17,#REF!,18,0)</f>
        <v>#REF!</v>
      </c>
      <c r="I17" s="964">
        <v>0.0</v>
      </c>
      <c r="J17" s="965">
        <v>0.0</v>
      </c>
      <c r="K17" s="966">
        <v>0.0</v>
      </c>
      <c r="L17" s="964">
        <f>I17+K17-J17</f>
        <v>0</v>
      </c>
      <c r="M17" s="965">
        <v>0.0</v>
      </c>
      <c r="N17" s="966">
        <f>M17-L17</f>
        <v>0</v>
      </c>
      <c r="O17" s="967">
        <f>L17+N17-M17</f>
        <v>0</v>
      </c>
      <c r="P17" s="965">
        <v>0.0</v>
      </c>
      <c r="Q17" s="968">
        <f>P17-O17</f>
        <v>0</v>
      </c>
      <c r="R17" s="964">
        <f>O17+Q17-P17</f>
        <v>0</v>
      </c>
      <c r="S17" s="965">
        <v>0.0</v>
      </c>
      <c r="T17" s="966">
        <f>S17-R17</f>
        <v>0</v>
      </c>
      <c r="U17" s="967">
        <f>R17+T17-S17</f>
        <v>0</v>
      </c>
      <c r="V17" s="965">
        <v>0.0</v>
      </c>
      <c r="W17" s="966">
        <f>V17-U17</f>
        <v>0</v>
      </c>
      <c r="X17" s="964">
        <f>U17+W17-V17</f>
        <v>0</v>
      </c>
      <c r="Y17" s="965">
        <v>0.0</v>
      </c>
      <c r="Z17" s="966">
        <f>Y17-X17</f>
        <v>0</v>
      </c>
      <c r="AA17" s="967">
        <f>X17+Z17-Y17</f>
        <v>0</v>
      </c>
      <c r="AB17" s="965">
        <v>0.0</v>
      </c>
      <c r="AC17" s="966">
        <f>AB17-AA17</f>
        <v>0</v>
      </c>
      <c r="AD17" s="771">
        <f>AA17+AC17-AB17</f>
        <v>0</v>
      </c>
      <c r="AE17" s="612"/>
    </row>
    <row r="18" spans="1:32" customHeight="1" ht="20.1" hidden="true" s="612" customFormat="1">
      <c r="A18" s="1072"/>
      <c r="B18" s="1087" t="s">
        <v>38</v>
      </c>
      <c r="C18" s="1024" t="s">
        <v>39</v>
      </c>
      <c r="D18" s="1025" t="s">
        <v>40</v>
      </c>
      <c r="E18" s="1026" t="s">
        <v>41</v>
      </c>
      <c r="F18" s="1027"/>
      <c r="G18" s="1028">
        <v>4</v>
      </c>
      <c r="H18" s="1029" t="e">
        <f>+H30</f>
        <v>#REF!</v>
      </c>
      <c r="I18" s="1030">
        <v>0.0</v>
      </c>
      <c r="J18" s="1031">
        <v>0.0</v>
      </c>
      <c r="K18" s="1032">
        <v>0.0</v>
      </c>
      <c r="L18" s="1030">
        <f>I18+K18-J18</f>
        <v>0</v>
      </c>
      <c r="M18" s="1031">
        <v>0.0</v>
      </c>
      <c r="N18" s="1032">
        <f>M18-L18</f>
        <v>0</v>
      </c>
      <c r="O18" s="1033">
        <f>L18+N18-M18</f>
        <v>0</v>
      </c>
      <c r="P18" s="1031">
        <v>0.0</v>
      </c>
      <c r="Q18" s="1034">
        <f>P18-O18</f>
        <v>0</v>
      </c>
      <c r="R18" s="1030">
        <f>O18+Q18-P18</f>
        <v>0</v>
      </c>
      <c r="S18" s="1031">
        <v>0.0</v>
      </c>
      <c r="T18" s="1032">
        <f>S18-R18</f>
        <v>0</v>
      </c>
      <c r="U18" s="1033">
        <f>R18+T18-S18</f>
        <v>0</v>
      </c>
      <c r="V18" s="1031">
        <v>0.0</v>
      </c>
      <c r="W18" s="1032">
        <f>V18-U18</f>
        <v>0</v>
      </c>
      <c r="X18" s="1030">
        <f>U18+W18-V18</f>
        <v>0</v>
      </c>
      <c r="Y18" s="1031">
        <v>0.0</v>
      </c>
      <c r="Z18" s="1032">
        <f>Y18-X18</f>
        <v>0</v>
      </c>
      <c r="AA18" s="1033">
        <f>X18+Z18-Y18</f>
        <v>0</v>
      </c>
      <c r="AB18" s="1031">
        <v>0.0</v>
      </c>
      <c r="AC18" s="1032">
        <f>AB18-AA18</f>
        <v>0</v>
      </c>
      <c r="AD18" s="1023">
        <f>AA18+AC18-AB18</f>
        <v>0</v>
      </c>
    </row>
    <row r="19" spans="1:32" customHeight="1" ht="19.5" s="619" customFormat="1">
      <c r="A19" s="1072"/>
      <c r="B19" s="1085"/>
      <c r="C19" s="919" t="s">
        <v>42</v>
      </c>
      <c r="D19" s="1021" t="s">
        <v>43</v>
      </c>
      <c r="E19" s="1022" t="s">
        <v>44</v>
      </c>
      <c r="F19" s="456"/>
      <c r="G19" s="455">
        <v>4</v>
      </c>
      <c r="H19" s="692" t="e">
        <f>VLOOKUP(C19,#REF!,18,0)</f>
        <v>#REF!</v>
      </c>
      <c r="I19" s="616">
        <v>0.0</v>
      </c>
      <c r="J19" s="620">
        <v>452</v>
      </c>
      <c r="K19" s="617">
        <v>452</v>
      </c>
      <c r="L19" s="616">
        <f>I19+K19-J19</f>
        <v>0</v>
      </c>
      <c r="M19" s="620" t="e">
        <f>VLOOKUP($C19,#REF!,57,0)</f>
        <v>#REF!</v>
      </c>
      <c r="N19" s="617" t="e">
        <f>M19-L19+52-8</f>
        <v>#REF!</v>
      </c>
      <c r="O19" s="613" t="e">
        <f>L19+N19-M19</f>
        <v>#REF!</v>
      </c>
      <c r="P19" s="620" t="e">
        <f>VLOOKUP($C19,#REF!,58,0)</f>
        <v>#REF!</v>
      </c>
      <c r="Q19" s="615" t="e">
        <f>P19-O19</f>
        <v>#REF!</v>
      </c>
      <c r="R19" s="616" t="e">
        <f>O19+Q19-P19</f>
        <v>#REF!</v>
      </c>
      <c r="S19" s="620" t="e">
        <f>VLOOKUP($C19,#REF!,59,0)</f>
        <v>#REF!</v>
      </c>
      <c r="T19" s="617" t="e">
        <f>S19-R19</f>
        <v>#REF!</v>
      </c>
      <c r="U19" s="613" t="e">
        <f>R19+T19-S19</f>
        <v>#REF!</v>
      </c>
      <c r="V19" s="620" t="e">
        <f>VLOOKUP($C19,#REF!,60,0)</f>
        <v>#REF!</v>
      </c>
      <c r="W19" s="617" t="e">
        <f>V19-U19</f>
        <v>#REF!</v>
      </c>
      <c r="X19" s="616" t="e">
        <f>U19+W19-V19</f>
        <v>#REF!</v>
      </c>
      <c r="Y19" s="620" t="e">
        <f>VLOOKUP($C19,#REF!,61,0)</f>
        <v>#REF!</v>
      </c>
      <c r="Z19" s="617" t="e">
        <f>Y19-X19</f>
        <v>#REF!</v>
      </c>
      <c r="AA19" s="613" t="e">
        <f>X19+Z19-Y19</f>
        <v>#REF!</v>
      </c>
      <c r="AB19" s="620" t="e">
        <f>VLOOKUP($C19,#REF!,62,0)</f>
        <v>#REF!</v>
      </c>
      <c r="AC19" s="617" t="e">
        <f>AB19-AA19</f>
        <v>#REF!</v>
      </c>
      <c r="AD19" s="618" t="e">
        <f>AA19+AC19-AB19</f>
        <v>#REF!</v>
      </c>
      <c r="AE19" s="612"/>
    </row>
    <row r="20" spans="1:32" customHeight="1" ht="20.1" s="846" customFormat="1">
      <c r="A20" s="1072"/>
      <c r="B20" s="1085"/>
      <c r="C20" s="921" t="s">
        <v>45</v>
      </c>
      <c r="D20" s="1035" t="s">
        <v>43</v>
      </c>
      <c r="E20" s="1036" t="s">
        <v>46</v>
      </c>
      <c r="F20" s="774"/>
      <c r="G20" s="765">
        <v>4</v>
      </c>
      <c r="H20" s="1059" t="e">
        <f>VLOOKUP(C20,#REF!,18,0)</f>
        <v>#REF!</v>
      </c>
      <c r="I20" s="769">
        <v>336</v>
      </c>
      <c r="J20" s="767">
        <v>2724</v>
      </c>
      <c r="K20" s="770">
        <v>2724</v>
      </c>
      <c r="L20" s="769">
        <f>I20+K20-J20</f>
        <v>336</v>
      </c>
      <c r="M20" s="767" t="e">
        <f>VLOOKUP($C20,#REF!,57,0)</f>
        <v>#REF!</v>
      </c>
      <c r="N20" s="770" t="e">
        <f>M20-L20+368-8-4-148</f>
        <v>#REF!</v>
      </c>
      <c r="O20" s="766" t="e">
        <f>L20+N20-M20</f>
        <v>#REF!</v>
      </c>
      <c r="P20" s="767" t="e">
        <f>VLOOKUP($C20,#REF!,58,0)</f>
        <v>#REF!</v>
      </c>
      <c r="Q20" s="768" t="e">
        <f>P20-O20+212</f>
        <v>#REF!</v>
      </c>
      <c r="R20" s="769" t="e">
        <f>O20+Q20-P20</f>
        <v>#REF!</v>
      </c>
      <c r="S20" s="767" t="e">
        <f>VLOOKUP($C20,#REF!,59,0)</f>
        <v>#REF!</v>
      </c>
      <c r="T20" s="770" t="e">
        <f>S20-R20+432-200</f>
        <v>#REF!</v>
      </c>
      <c r="U20" s="766" t="e">
        <f>R20+T20-S20</f>
        <v>#REF!</v>
      </c>
      <c r="V20" s="767" t="e">
        <f>VLOOKUP($C20,#REF!,60,0)</f>
        <v>#REF!</v>
      </c>
      <c r="W20" s="770" t="e">
        <f>V20-U20+736-200</f>
        <v>#REF!</v>
      </c>
      <c r="X20" s="769" t="e">
        <f>U20+W20-V20</f>
        <v>#REF!</v>
      </c>
      <c r="Y20" s="767" t="e">
        <f>VLOOKUP($C20,#REF!,61,0)</f>
        <v>#REF!</v>
      </c>
      <c r="Z20" s="770" t="e">
        <f>Y20-X20+496</f>
        <v>#REF!</v>
      </c>
      <c r="AA20" s="766" t="e">
        <f>X20+Z20-Y20</f>
        <v>#REF!</v>
      </c>
      <c r="AB20" s="767" t="e">
        <f>VLOOKUP($C20,#REF!,62,0)</f>
        <v>#REF!</v>
      </c>
      <c r="AC20" s="770" t="e">
        <f>AB20-AA20</f>
        <v>#REF!</v>
      </c>
      <c r="AD20" s="902" t="e">
        <f>AA20+AC20-AB20</f>
        <v>#REF!</v>
      </c>
      <c r="AE20" s="628"/>
    </row>
    <row r="21" spans="1:32" customHeight="1" ht="20.1" hidden="true" s="612" customFormat="1">
      <c r="A21" s="1072"/>
      <c r="B21" s="1085"/>
      <c r="C21" s="887" t="s">
        <v>47</v>
      </c>
      <c r="D21" s="760" t="s">
        <v>48</v>
      </c>
      <c r="E21" s="286" t="s">
        <v>49</v>
      </c>
      <c r="F21" s="763"/>
      <c r="G21" s="763">
        <v>4</v>
      </c>
      <c r="H21" s="827"/>
      <c r="I21" s="624"/>
      <c r="J21" s="691"/>
      <c r="K21" s="625">
        <v>0.0</v>
      </c>
      <c r="L21" s="624"/>
      <c r="M21" s="691"/>
      <c r="N21" s="625">
        <f>M21-L21</f>
        <v>0</v>
      </c>
      <c r="O21" s="622"/>
      <c r="P21" s="691"/>
      <c r="Q21" s="623">
        <f>P21-O21</f>
        <v>0</v>
      </c>
      <c r="R21" s="624"/>
      <c r="S21" s="691"/>
      <c r="T21" s="625">
        <f>S21-R21</f>
        <v>0</v>
      </c>
      <c r="U21" s="622"/>
      <c r="V21" s="691"/>
      <c r="W21" s="625">
        <f>V21-U21</f>
        <v>0</v>
      </c>
      <c r="X21" s="624"/>
      <c r="Y21" s="691"/>
      <c r="Z21" s="625">
        <f>Y21-X21</f>
        <v>0</v>
      </c>
      <c r="AA21" s="622"/>
      <c r="AB21" s="691"/>
      <c r="AC21" s="625"/>
      <c r="AD21" s="626">
        <f>AA21+AC21-AB21</f>
        <v>0</v>
      </c>
    </row>
    <row r="22" spans="1:32" customHeight="1" ht="19.5" hidden="true" s="619" customFormat="1">
      <c r="A22" s="1072"/>
      <c r="B22" s="1085"/>
      <c r="C22" s="888" t="s">
        <v>50</v>
      </c>
      <c r="D22" s="576" t="s">
        <v>48</v>
      </c>
      <c r="E22" s="451" t="s">
        <v>51</v>
      </c>
      <c r="F22" s="456"/>
      <c r="G22" s="455">
        <v>4</v>
      </c>
      <c r="H22" s="692"/>
      <c r="I22" s="616"/>
      <c r="J22" s="620"/>
      <c r="K22" s="617">
        <v>0.0</v>
      </c>
      <c r="L22" s="616"/>
      <c r="M22" s="620"/>
      <c r="N22" s="617">
        <f>M22-L22</f>
        <v>0</v>
      </c>
      <c r="O22" s="613"/>
      <c r="P22" s="620"/>
      <c r="Q22" s="615">
        <f>P22-O22</f>
        <v>0</v>
      </c>
      <c r="R22" s="616"/>
      <c r="S22" s="620"/>
      <c r="T22" s="617">
        <f>S22-R22</f>
        <v>0</v>
      </c>
      <c r="U22" s="613"/>
      <c r="V22" s="620"/>
      <c r="W22" s="617">
        <f>V22-U22</f>
        <v>0</v>
      </c>
      <c r="X22" s="616"/>
      <c r="Y22" s="620"/>
      <c r="Z22" s="617">
        <f>Y22-X22</f>
        <v>0</v>
      </c>
      <c r="AA22" s="613"/>
      <c r="AB22" s="620"/>
      <c r="AC22" s="617"/>
      <c r="AD22" s="618">
        <f>AA22+AC22-AB22</f>
        <v>0</v>
      </c>
      <c r="AE22" s="612"/>
    </row>
    <row r="23" spans="1:32" customHeight="1" ht="19.5" hidden="true" s="619" customFormat="1">
      <c r="A23" s="1072"/>
      <c r="B23" s="1085"/>
      <c r="C23" s="888" t="s">
        <v>52</v>
      </c>
      <c r="D23" s="576" t="s">
        <v>48</v>
      </c>
      <c r="E23" s="451" t="s">
        <v>53</v>
      </c>
      <c r="F23" s="455"/>
      <c r="G23" s="455">
        <v>4</v>
      </c>
      <c r="H23" s="692"/>
      <c r="I23" s="616"/>
      <c r="J23" s="620"/>
      <c r="K23" s="617">
        <v>0.0</v>
      </c>
      <c r="L23" s="616"/>
      <c r="M23" s="620"/>
      <c r="N23" s="617">
        <f>M23-L23</f>
        <v>0</v>
      </c>
      <c r="O23" s="613"/>
      <c r="P23" s="620"/>
      <c r="Q23" s="615">
        <f>P23-O23</f>
        <v>0</v>
      </c>
      <c r="R23" s="616"/>
      <c r="S23" s="620"/>
      <c r="T23" s="617">
        <f>S23-R23</f>
        <v>0</v>
      </c>
      <c r="U23" s="613"/>
      <c r="V23" s="620"/>
      <c r="W23" s="617">
        <f>V23-U23</f>
        <v>0</v>
      </c>
      <c r="X23" s="616"/>
      <c r="Y23" s="620"/>
      <c r="Z23" s="617">
        <f>Y23-X23</f>
        <v>0</v>
      </c>
      <c r="AA23" s="613"/>
      <c r="AB23" s="620"/>
      <c r="AC23" s="617"/>
      <c r="AD23" s="618">
        <f>AA23+AC23-AB23</f>
        <v>0</v>
      </c>
      <c r="AE23" s="612"/>
    </row>
    <row r="24" spans="1:32" customHeight="1" ht="20.1" hidden="true" s="612" customFormat="1">
      <c r="A24" s="1072"/>
      <c r="B24" s="1085"/>
      <c r="C24" s="888" t="s">
        <v>54</v>
      </c>
      <c r="D24" s="576" t="s">
        <v>48</v>
      </c>
      <c r="E24" s="451" t="s">
        <v>55</v>
      </c>
      <c r="F24" s="456"/>
      <c r="G24" s="455">
        <v>4</v>
      </c>
      <c r="H24" s="692"/>
      <c r="I24" s="624"/>
      <c r="J24" s="620"/>
      <c r="K24" s="625">
        <v>0.0</v>
      </c>
      <c r="L24" s="624"/>
      <c r="M24" s="620"/>
      <c r="N24" s="625">
        <f>M24-L24</f>
        <v>0</v>
      </c>
      <c r="O24" s="622"/>
      <c r="P24" s="691"/>
      <c r="Q24" s="625">
        <f>P24-O24</f>
        <v>0</v>
      </c>
      <c r="R24" s="624"/>
      <c r="S24" s="691"/>
      <c r="T24" s="625">
        <f>S24-R24</f>
        <v>0</v>
      </c>
      <c r="U24" s="622"/>
      <c r="V24" s="691"/>
      <c r="W24" s="625">
        <f>V24-U24</f>
        <v>0</v>
      </c>
      <c r="X24" s="624"/>
      <c r="Y24" s="691"/>
      <c r="Z24" s="625">
        <f>Y24-X24</f>
        <v>0</v>
      </c>
      <c r="AA24" s="622"/>
      <c r="AB24" s="691"/>
      <c r="AC24" s="625"/>
      <c r="AD24" s="626">
        <f>AA24+AC24-AB24</f>
        <v>0</v>
      </c>
    </row>
    <row r="25" spans="1:32" customHeight="1" ht="19.5" hidden="true" s="619" customFormat="1">
      <c r="A25" s="1072"/>
      <c r="B25" s="1085"/>
      <c r="C25" s="900" t="s">
        <v>56</v>
      </c>
      <c r="D25" s="576" t="s">
        <v>48</v>
      </c>
      <c r="E25" s="451" t="s">
        <v>57</v>
      </c>
      <c r="F25" s="455"/>
      <c r="G25" s="455">
        <v>4</v>
      </c>
      <c r="H25" s="689"/>
      <c r="I25" s="616"/>
      <c r="J25" s="620"/>
      <c r="K25" s="617">
        <v>0.0</v>
      </c>
      <c r="L25" s="616"/>
      <c r="M25" s="620"/>
      <c r="N25" s="617">
        <f>M25-L25</f>
        <v>0</v>
      </c>
      <c r="O25" s="613"/>
      <c r="P25" s="614"/>
      <c r="Q25" s="615">
        <f>P25-O25</f>
        <v>0</v>
      </c>
      <c r="R25" s="616"/>
      <c r="S25" s="614"/>
      <c r="T25" s="617">
        <f>S25-R25</f>
        <v>0</v>
      </c>
      <c r="U25" s="613"/>
      <c r="V25" s="614"/>
      <c r="W25" s="615">
        <f>V25-U25</f>
        <v>0</v>
      </c>
      <c r="X25" s="616"/>
      <c r="Y25" s="614"/>
      <c r="Z25" s="617">
        <f>Y25-X25</f>
        <v>0</v>
      </c>
      <c r="AA25" s="613"/>
      <c r="AB25" s="614"/>
      <c r="AC25" s="617"/>
      <c r="AD25" s="618">
        <f>AA25+AC25-AB25</f>
        <v>0</v>
      </c>
      <c r="AE25" s="612"/>
    </row>
    <row r="26" spans="1:32" customHeight="1" ht="20.1" hidden="true" s="662" customFormat="1">
      <c r="A26" s="1072"/>
      <c r="B26" s="1085"/>
      <c r="C26" s="888" t="s">
        <v>58</v>
      </c>
      <c r="D26" s="576" t="s">
        <v>48</v>
      </c>
      <c r="E26" s="451" t="s">
        <v>59</v>
      </c>
      <c r="F26" s="456"/>
      <c r="G26" s="455">
        <v>4</v>
      </c>
      <c r="H26" s="692"/>
      <c r="I26" s="624"/>
      <c r="J26" s="620"/>
      <c r="K26" s="625">
        <v>0.0</v>
      </c>
      <c r="L26" s="624"/>
      <c r="M26" s="620"/>
      <c r="N26" s="625">
        <f>M26-L26</f>
        <v>0</v>
      </c>
      <c r="O26" s="622"/>
      <c r="P26" s="691"/>
      <c r="Q26" s="625">
        <f>P26-O26</f>
        <v>0</v>
      </c>
      <c r="R26" s="624"/>
      <c r="S26" s="691"/>
      <c r="T26" s="625">
        <f>S26-R26</f>
        <v>0</v>
      </c>
      <c r="U26" s="622"/>
      <c r="V26" s="691"/>
      <c r="W26" s="625">
        <f>V26-U26</f>
        <v>0</v>
      </c>
      <c r="X26" s="624"/>
      <c r="Y26" s="691"/>
      <c r="Z26" s="625">
        <f>Y26-X26</f>
        <v>0</v>
      </c>
      <c r="AA26" s="622"/>
      <c r="AB26" s="691"/>
      <c r="AC26" s="625"/>
      <c r="AD26" s="626">
        <f>AA26+AC26-AB26</f>
        <v>0</v>
      </c>
      <c r="AE26" s="659"/>
    </row>
    <row r="27" spans="1:32" customHeight="1" ht="20.1" hidden="true" s="662" customFormat="1">
      <c r="A27" s="1072"/>
      <c r="B27" s="1085"/>
      <c r="C27" s="888" t="s">
        <v>60</v>
      </c>
      <c r="D27" s="576" t="s">
        <v>48</v>
      </c>
      <c r="E27" s="451" t="s">
        <v>61</v>
      </c>
      <c r="F27" s="456"/>
      <c r="G27" s="455">
        <v>4</v>
      </c>
      <c r="H27" s="689"/>
      <c r="I27" s="624"/>
      <c r="J27" s="620"/>
      <c r="K27" s="625">
        <v>0.0</v>
      </c>
      <c r="L27" s="624"/>
      <c r="M27" s="620"/>
      <c r="N27" s="625">
        <f>M27-L27</f>
        <v>0</v>
      </c>
      <c r="O27" s="622"/>
      <c r="P27" s="691"/>
      <c r="Q27" s="625">
        <f>P27-O27</f>
        <v>0</v>
      </c>
      <c r="R27" s="624"/>
      <c r="S27" s="691"/>
      <c r="T27" s="625">
        <f>S27-R27</f>
        <v>0</v>
      </c>
      <c r="U27" s="622"/>
      <c r="V27" s="691"/>
      <c r="W27" s="625">
        <f>V27-U27</f>
        <v>0</v>
      </c>
      <c r="X27" s="624"/>
      <c r="Y27" s="691"/>
      <c r="Z27" s="625">
        <f>Y27-X27</f>
        <v>0</v>
      </c>
      <c r="AA27" s="622"/>
      <c r="AB27" s="691"/>
      <c r="AC27" s="625"/>
      <c r="AD27" s="626">
        <f>AA27+AC27-AB27</f>
        <v>0</v>
      </c>
      <c r="AE27" s="659"/>
    </row>
    <row r="28" spans="1:32" customHeight="1" ht="19.5" hidden="true" s="757" customFormat="1">
      <c r="A28" s="1072"/>
      <c r="B28" s="1085"/>
      <c r="C28" s="889" t="s">
        <v>62</v>
      </c>
      <c r="D28" s="748" t="s">
        <v>48</v>
      </c>
      <c r="E28" s="749" t="s">
        <v>63</v>
      </c>
      <c r="F28" s="456"/>
      <c r="G28" s="751">
        <v>4</v>
      </c>
      <c r="H28" s="752"/>
      <c r="I28" s="709"/>
      <c r="J28" s="755"/>
      <c r="K28" s="713">
        <v>0.0</v>
      </c>
      <c r="L28" s="709"/>
      <c r="M28" s="755"/>
      <c r="N28" s="713">
        <f>M28-L28</f>
        <v>0</v>
      </c>
      <c r="O28" s="753"/>
      <c r="P28" s="754"/>
      <c r="Q28" s="711">
        <f>P28-O28</f>
        <v>0</v>
      </c>
      <c r="R28" s="709"/>
      <c r="S28" s="754"/>
      <c r="T28" s="713">
        <f>S28-R28</f>
        <v>0</v>
      </c>
      <c r="U28" s="753"/>
      <c r="V28" s="754"/>
      <c r="W28" s="711">
        <f>V28-U28</f>
        <v>0</v>
      </c>
      <c r="X28" s="709"/>
      <c r="Y28" s="754"/>
      <c r="Z28" s="713">
        <f>Y28-X28</f>
        <v>0</v>
      </c>
      <c r="AA28" s="753"/>
      <c r="AB28" s="754"/>
      <c r="AC28" s="713"/>
      <c r="AD28" s="756">
        <f>AA28+AC28-AB28</f>
        <v>0</v>
      </c>
      <c r="AE28" s="612"/>
    </row>
    <row r="29" spans="1:32" customHeight="1" ht="20.1" hidden="true" s="612" customFormat="1">
      <c r="A29" s="1072"/>
      <c r="B29" s="1085"/>
      <c r="C29" s="901" t="s">
        <v>64</v>
      </c>
      <c r="D29" s="742" t="s">
        <v>65</v>
      </c>
      <c r="E29" s="721" t="s">
        <v>66</v>
      </c>
      <c r="F29" s="722"/>
      <c r="G29" s="723">
        <v>4</v>
      </c>
      <c r="H29" s="743"/>
      <c r="I29" s="609"/>
      <c r="J29" s="744"/>
      <c r="K29" s="610">
        <v>0.0</v>
      </c>
      <c r="L29" s="609"/>
      <c r="M29" s="744"/>
      <c r="N29" s="610">
        <f>M29-L29</f>
        <v>0</v>
      </c>
      <c r="O29" s="607"/>
      <c r="P29" s="744"/>
      <c r="Q29" s="608">
        <f>P29-O29</f>
        <v>0</v>
      </c>
      <c r="R29" s="609"/>
      <c r="S29" s="744"/>
      <c r="T29" s="610">
        <f>S29-R29</f>
        <v>0</v>
      </c>
      <c r="U29" s="607"/>
      <c r="V29" s="744"/>
      <c r="W29" s="610">
        <f>V29-U29</f>
        <v>0</v>
      </c>
      <c r="X29" s="609"/>
      <c r="Y29" s="744"/>
      <c r="Z29" s="610">
        <f>Y29-X29</f>
        <v>0</v>
      </c>
      <c r="AA29" s="607"/>
      <c r="AB29" s="744"/>
      <c r="AC29" s="610"/>
      <c r="AD29" s="611">
        <f>AA29+AC29-AB29</f>
        <v>0</v>
      </c>
    </row>
    <row r="30" spans="1:32" customHeight="1" ht="20.1" s="612" customFormat="1">
      <c r="A30" s="1072"/>
      <c r="B30" s="1085"/>
      <c r="C30" s="919" t="s">
        <v>67</v>
      </c>
      <c r="D30" s="576" t="s">
        <v>68</v>
      </c>
      <c r="E30" s="451" t="s">
        <v>69</v>
      </c>
      <c r="F30" s="455"/>
      <c r="G30" s="455">
        <v>4</v>
      </c>
      <c r="H30" s="692" t="e">
        <f>VLOOKUP(C30,#REF!,18,0)</f>
        <v>#REF!</v>
      </c>
      <c r="I30" s="616">
        <v>96</v>
      </c>
      <c r="J30" s="620">
        <v>1392</v>
      </c>
      <c r="K30" s="617">
        <v>1680</v>
      </c>
      <c r="L30" s="616">
        <f>I30+K30-J30</f>
        <v>384</v>
      </c>
      <c r="M30" s="620" t="e">
        <f>VLOOKUP($C30,#REF!,57,0)</f>
        <v>#REF!</v>
      </c>
      <c r="N30" s="617" t="e">
        <f>M30-L30+208</f>
        <v>#REF!</v>
      </c>
      <c r="O30" s="613" t="e">
        <f>L30+N30-M30</f>
        <v>#REF!</v>
      </c>
      <c r="P30" s="620" t="e">
        <f>VLOOKUP($C30,#REF!,58,0)</f>
        <v>#REF!</v>
      </c>
      <c r="Q30" s="615" t="e">
        <f>P30-O30+200</f>
        <v>#REF!</v>
      </c>
      <c r="R30" s="616" t="e">
        <f>O30+Q30-P30</f>
        <v>#REF!</v>
      </c>
      <c r="S30" s="620" t="e">
        <f>VLOOKUP($C30,#REF!,59,0)</f>
        <v>#REF!</v>
      </c>
      <c r="T30" s="617" t="e">
        <f>S30-R30+200</f>
        <v>#REF!</v>
      </c>
      <c r="U30" s="613" t="e">
        <f>R30+T30-S30</f>
        <v>#REF!</v>
      </c>
      <c r="V30" s="620" t="e">
        <f>VLOOKUP($C30,#REF!,60,0)</f>
        <v>#REF!</v>
      </c>
      <c r="W30" s="617" t="e">
        <f>V30-U30+200</f>
        <v>#REF!</v>
      </c>
      <c r="X30" s="616" t="e">
        <f>U30+W30-V30</f>
        <v>#REF!</v>
      </c>
      <c r="Y30" s="620" t="e">
        <f>VLOOKUP($C30,#REF!,61,0)</f>
        <v>#REF!</v>
      </c>
      <c r="Z30" s="617" t="e">
        <f>Y30-X30+200</f>
        <v>#REF!</v>
      </c>
      <c r="AA30" s="613" t="e">
        <f>X30+Z30-Y30</f>
        <v>#REF!</v>
      </c>
      <c r="AB30" s="620" t="e">
        <f>VLOOKUP($C30,#REF!,62,0)</f>
        <v>#REF!</v>
      </c>
      <c r="AC30" s="617" t="e">
        <f>AB30-AA30</f>
        <v>#REF!</v>
      </c>
      <c r="AD30" s="618" t="e">
        <f>AA30+AC30-AB30</f>
        <v>#REF!</v>
      </c>
      <c r="AE30" s="612" t="s">
        <v>70</v>
      </c>
    </row>
    <row r="31" spans="1:32" customHeight="1" ht="19.5" s="619" customFormat="1">
      <c r="A31" s="1072"/>
      <c r="B31" s="1085"/>
      <c r="C31" s="919" t="s">
        <v>71</v>
      </c>
      <c r="D31" s="576" t="s">
        <v>72</v>
      </c>
      <c r="E31" s="451" t="s">
        <v>73</v>
      </c>
      <c r="F31" s="456"/>
      <c r="G31" s="455">
        <v>4</v>
      </c>
      <c r="H31" s="903" t="e">
        <f>VLOOKUP(C31,#REF!,18,0)</f>
        <v>#REF!</v>
      </c>
      <c r="I31" s="616">
        <v>0.0</v>
      </c>
      <c r="J31" s="620">
        <v>0.0</v>
      </c>
      <c r="K31" s="617">
        <v>0.0</v>
      </c>
      <c r="L31" s="616">
        <f>I31+K31-J31</f>
        <v>0</v>
      </c>
      <c r="M31" s="620" t="e">
        <f>VLOOKUP($C31,#REF!,57,0)</f>
        <v>#REF!</v>
      </c>
      <c r="N31" s="617" t="e">
        <f>M31-L31</f>
        <v>#REF!</v>
      </c>
      <c r="O31" s="613" t="e">
        <f>L31+N31-M31</f>
        <v>#REF!</v>
      </c>
      <c r="P31" s="620" t="e">
        <f>VLOOKUP($C31,#REF!,58,0)</f>
        <v>#REF!</v>
      </c>
      <c r="Q31" s="615" t="e">
        <f>P31-O31</f>
        <v>#REF!</v>
      </c>
      <c r="R31" s="616" t="e">
        <f>O31+Q31-P31</f>
        <v>#REF!</v>
      </c>
      <c r="S31" s="620" t="e">
        <f>VLOOKUP($C31,#REF!,59,0)</f>
        <v>#REF!</v>
      </c>
      <c r="T31" s="617" t="e">
        <f>S31-R31</f>
        <v>#REF!</v>
      </c>
      <c r="U31" s="613" t="e">
        <f>R31+T31-S31</f>
        <v>#REF!</v>
      </c>
      <c r="V31" s="620" t="e">
        <f>VLOOKUP($C31,#REF!,60,0)</f>
        <v>#REF!</v>
      </c>
      <c r="W31" s="617" t="e">
        <f>V31-U31</f>
        <v>#REF!</v>
      </c>
      <c r="X31" s="616" t="e">
        <f>U31+W31-V31</f>
        <v>#REF!</v>
      </c>
      <c r="Y31" s="620" t="e">
        <f>VLOOKUP($C31,#REF!,61,0)</f>
        <v>#REF!</v>
      </c>
      <c r="Z31" s="617" t="e">
        <f>Y31-X31</f>
        <v>#REF!</v>
      </c>
      <c r="AA31" s="613" t="e">
        <f>X31+Z31-Y31</f>
        <v>#REF!</v>
      </c>
      <c r="AB31" s="620" t="e">
        <f>VLOOKUP($C31,#REF!,62,0)</f>
        <v>#REF!</v>
      </c>
      <c r="AC31" s="617" t="e">
        <f>AB31-AA31</f>
        <v>#REF!</v>
      </c>
      <c r="AD31" s="618" t="e">
        <f>AA31+AC31-AB31</f>
        <v>#REF!</v>
      </c>
      <c r="AE31" s="612" t="s">
        <v>34</v>
      </c>
    </row>
    <row r="32" spans="1:32" customHeight="1" ht="19.5" s="856" customFormat="1">
      <c r="A32" s="1072"/>
      <c r="B32" s="1085"/>
      <c r="C32" s="920" t="s">
        <v>74</v>
      </c>
      <c r="D32" s="847" t="s">
        <v>72</v>
      </c>
      <c r="E32" s="848" t="s">
        <v>75</v>
      </c>
      <c r="F32" s="849"/>
      <c r="G32" s="849">
        <v>4</v>
      </c>
      <c r="H32" s="1060" t="e">
        <f>VLOOKUP(C32,#REF!,18,0)</f>
        <v>#REF!</v>
      </c>
      <c r="I32" s="850">
        <v>0.0</v>
      </c>
      <c r="J32" s="851">
        <v>0.0</v>
      </c>
      <c r="K32" s="852">
        <v>0.0</v>
      </c>
      <c r="L32" s="850">
        <f>I32+K32-J32</f>
        <v>0</v>
      </c>
      <c r="M32" s="851" t="e">
        <f>VLOOKUP($C32,#REF!,57,0)</f>
        <v>#REF!</v>
      </c>
      <c r="N32" s="852" t="e">
        <f>M32-L32</f>
        <v>#REF!</v>
      </c>
      <c r="O32" s="853" t="e">
        <f>L32+N32-M32</f>
        <v>#REF!</v>
      </c>
      <c r="P32" s="851" t="e">
        <f>VLOOKUP($C32,#REF!,58,0)</f>
        <v>#REF!</v>
      </c>
      <c r="Q32" s="852" t="e">
        <f>P32-O32</f>
        <v>#REF!</v>
      </c>
      <c r="R32" s="850" t="e">
        <f>O32+Q32-P32</f>
        <v>#REF!</v>
      </c>
      <c r="S32" s="851" t="e">
        <f>VLOOKUP($C32,#REF!,59,0)</f>
        <v>#REF!</v>
      </c>
      <c r="T32" s="852" t="e">
        <f>S32-R32</f>
        <v>#REF!</v>
      </c>
      <c r="U32" s="853" t="e">
        <f>R32+T32-S32</f>
        <v>#REF!</v>
      </c>
      <c r="V32" s="851" t="e">
        <f>VLOOKUP($C32,#REF!,60,0)</f>
        <v>#REF!</v>
      </c>
      <c r="W32" s="852" t="e">
        <f>V32-U32</f>
        <v>#REF!</v>
      </c>
      <c r="X32" s="850" t="e">
        <f>U32+W32-V32</f>
        <v>#REF!</v>
      </c>
      <c r="Y32" s="851" t="e">
        <f>VLOOKUP($C32,#REF!,61,0)</f>
        <v>#REF!</v>
      </c>
      <c r="Z32" s="852" t="e">
        <f>Y32-X32</f>
        <v>#REF!</v>
      </c>
      <c r="AA32" s="853" t="e">
        <f>X32+Z32-Y32</f>
        <v>#REF!</v>
      </c>
      <c r="AB32" s="851" t="e">
        <f>VLOOKUP($C32,#REF!,62,0)</f>
        <v>#REF!</v>
      </c>
      <c r="AC32" s="852" t="e">
        <f>AB32-AA32</f>
        <v>#REF!</v>
      </c>
      <c r="AD32" s="854" t="e">
        <f>AA32+AC32-AB32</f>
        <v>#REF!</v>
      </c>
      <c r="AE32" s="855" t="s">
        <v>36</v>
      </c>
    </row>
    <row r="33" spans="1:32" customHeight="1" ht="20.1" hidden="true" s="612" customFormat="1">
      <c r="A33" s="1072"/>
      <c r="B33" s="1085"/>
      <c r="C33" s="883" t="s">
        <v>76</v>
      </c>
      <c r="D33" s="760" t="s">
        <v>77</v>
      </c>
      <c r="E33" s="761" t="s">
        <v>78</v>
      </c>
      <c r="F33" s="762"/>
      <c r="G33" s="763">
        <v>4</v>
      </c>
      <c r="H33" s="827"/>
      <c r="I33" s="624"/>
      <c r="J33" s="691"/>
      <c r="K33" s="625">
        <v>0.0</v>
      </c>
      <c r="L33" s="624"/>
      <c r="M33" s="691"/>
      <c r="N33" s="625">
        <f>M33-L33</f>
        <v>0</v>
      </c>
      <c r="O33" s="622"/>
      <c r="P33" s="691"/>
      <c r="Q33" s="625">
        <f>P33-O33</f>
        <v>0</v>
      </c>
      <c r="R33" s="624"/>
      <c r="S33" s="691"/>
      <c r="T33" s="625">
        <f>S33-R33</f>
        <v>0</v>
      </c>
      <c r="U33" s="622"/>
      <c r="V33" s="691"/>
      <c r="W33" s="625">
        <f>V33-U33</f>
        <v>0</v>
      </c>
      <c r="X33" s="624"/>
      <c r="Y33" s="691"/>
      <c r="Z33" s="625">
        <f>Y33-X33</f>
        <v>0</v>
      </c>
      <c r="AA33" s="622"/>
      <c r="AB33" s="691"/>
      <c r="AC33" s="625"/>
      <c r="AD33" s="626">
        <f>AA33+AC33-AB33</f>
        <v>0</v>
      </c>
    </row>
    <row r="34" spans="1:32" customHeight="1" ht="19.5" hidden="true" s="619" customFormat="1">
      <c r="A34" s="1072"/>
      <c r="B34" s="1085"/>
      <c r="C34" s="884" t="s">
        <v>79</v>
      </c>
      <c r="D34" s="576" t="s">
        <v>77</v>
      </c>
      <c r="E34" s="451" t="s">
        <v>80</v>
      </c>
      <c r="F34" s="455"/>
      <c r="G34" s="455">
        <v>4</v>
      </c>
      <c r="H34" s="689"/>
      <c r="I34" s="616"/>
      <c r="J34" s="691"/>
      <c r="K34" s="617">
        <v>0.0</v>
      </c>
      <c r="L34" s="616"/>
      <c r="M34" s="691"/>
      <c r="N34" s="617">
        <f>M34-L34</f>
        <v>0</v>
      </c>
      <c r="O34" s="613"/>
      <c r="P34" s="614"/>
      <c r="Q34" s="615">
        <f>P34-O34</f>
        <v>0</v>
      </c>
      <c r="R34" s="616"/>
      <c r="S34" s="614"/>
      <c r="T34" s="617">
        <f>S34-R34</f>
        <v>0</v>
      </c>
      <c r="U34" s="613"/>
      <c r="V34" s="614"/>
      <c r="W34" s="615">
        <f>V34-U34</f>
        <v>0</v>
      </c>
      <c r="X34" s="616"/>
      <c r="Y34" s="614"/>
      <c r="Z34" s="617">
        <f>Y34-X34</f>
        <v>0</v>
      </c>
      <c r="AA34" s="613"/>
      <c r="AB34" s="614"/>
      <c r="AC34" s="617"/>
      <c r="AD34" s="618">
        <f>AA34+AC34-AB34</f>
        <v>0</v>
      </c>
      <c r="AE34" s="612"/>
    </row>
    <row r="35" spans="1:32" customHeight="1" ht="20.1" hidden="true" s="662" customFormat="1">
      <c r="A35" s="1072"/>
      <c r="B35" s="1085"/>
      <c r="C35" s="885" t="s">
        <v>81</v>
      </c>
      <c r="D35" s="576" t="s">
        <v>77</v>
      </c>
      <c r="E35" s="451" t="s">
        <v>82</v>
      </c>
      <c r="F35" s="456"/>
      <c r="G35" s="455">
        <v>4</v>
      </c>
      <c r="H35" s="692"/>
      <c r="I35" s="624"/>
      <c r="J35" s="691"/>
      <c r="K35" s="625">
        <v>0.0</v>
      </c>
      <c r="L35" s="624"/>
      <c r="M35" s="691"/>
      <c r="N35" s="625">
        <f>M35-L35</f>
        <v>0</v>
      </c>
      <c r="O35" s="622"/>
      <c r="P35" s="691"/>
      <c r="Q35" s="625">
        <f>P35-O35</f>
        <v>0</v>
      </c>
      <c r="R35" s="624"/>
      <c r="S35" s="691"/>
      <c r="T35" s="625">
        <f>S35-R35</f>
        <v>0</v>
      </c>
      <c r="U35" s="622"/>
      <c r="V35" s="691"/>
      <c r="W35" s="625">
        <f>V35-U35</f>
        <v>0</v>
      </c>
      <c r="X35" s="624"/>
      <c r="Y35" s="691"/>
      <c r="Z35" s="625">
        <f>Y35-X35</f>
        <v>0</v>
      </c>
      <c r="AA35" s="622"/>
      <c r="AB35" s="691"/>
      <c r="AC35" s="625"/>
      <c r="AD35" s="626">
        <f>AA35+AC35-AB35</f>
        <v>0</v>
      </c>
      <c r="AE35" s="659"/>
    </row>
    <row r="36" spans="1:32" customHeight="1" ht="20.1" hidden="true" s="612" customFormat="1">
      <c r="A36" s="1072"/>
      <c r="B36" s="1085"/>
      <c r="C36" s="885" t="s">
        <v>83</v>
      </c>
      <c r="D36" s="576" t="s">
        <v>77</v>
      </c>
      <c r="E36" s="451" t="s">
        <v>84</v>
      </c>
      <c r="F36" s="455"/>
      <c r="G36" s="455">
        <v>4</v>
      </c>
      <c r="H36" s="692"/>
      <c r="I36" s="616"/>
      <c r="J36" s="691"/>
      <c r="K36" s="617">
        <v>0.0</v>
      </c>
      <c r="L36" s="616"/>
      <c r="M36" s="691"/>
      <c r="N36" s="617">
        <f>M36-L36</f>
        <v>0</v>
      </c>
      <c r="O36" s="613"/>
      <c r="P36" s="620"/>
      <c r="Q36" s="615">
        <f>P36-O36</f>
        <v>0</v>
      </c>
      <c r="R36" s="616"/>
      <c r="S36" s="620"/>
      <c r="T36" s="617">
        <f>S36-R36</f>
        <v>0</v>
      </c>
      <c r="U36" s="613"/>
      <c r="V36" s="620"/>
      <c r="W36" s="617">
        <f>V36-U36</f>
        <v>0</v>
      </c>
      <c r="X36" s="616"/>
      <c r="Y36" s="620"/>
      <c r="Z36" s="617">
        <f>Y36-X36</f>
        <v>0</v>
      </c>
      <c r="AA36" s="613"/>
      <c r="AB36" s="620"/>
      <c r="AC36" s="617"/>
      <c r="AD36" s="618">
        <f>AA36+AC36-AB36</f>
        <v>0</v>
      </c>
    </row>
    <row r="37" spans="1:32" customHeight="1" ht="19.5" hidden="true" s="619" customFormat="1">
      <c r="A37" s="1072"/>
      <c r="B37" s="1085"/>
      <c r="C37" s="885" t="s">
        <v>85</v>
      </c>
      <c r="D37" s="576" t="s">
        <v>77</v>
      </c>
      <c r="E37" s="451" t="s">
        <v>86</v>
      </c>
      <c r="F37" s="456"/>
      <c r="G37" s="455">
        <v>4</v>
      </c>
      <c r="H37" s="692"/>
      <c r="I37" s="616"/>
      <c r="J37" s="691"/>
      <c r="K37" s="617">
        <v>0.0</v>
      </c>
      <c r="L37" s="616"/>
      <c r="M37" s="691"/>
      <c r="N37" s="617">
        <f>M37-L37</f>
        <v>0</v>
      </c>
      <c r="O37" s="613"/>
      <c r="P37" s="620"/>
      <c r="Q37" s="615">
        <f>P37-O37</f>
        <v>0</v>
      </c>
      <c r="R37" s="616"/>
      <c r="S37" s="620"/>
      <c r="T37" s="617">
        <f>S37-R37</f>
        <v>0</v>
      </c>
      <c r="U37" s="613"/>
      <c r="V37" s="620"/>
      <c r="W37" s="617">
        <f>V37-U37</f>
        <v>0</v>
      </c>
      <c r="X37" s="616"/>
      <c r="Y37" s="620"/>
      <c r="Z37" s="617">
        <f>Y37-X37</f>
        <v>0</v>
      </c>
      <c r="AA37" s="613"/>
      <c r="AB37" s="620"/>
      <c r="AC37" s="617"/>
      <c r="AD37" s="618">
        <f>AA37+AC37-AB37</f>
        <v>0</v>
      </c>
      <c r="AE37" s="612"/>
    </row>
    <row r="38" spans="1:32" customHeight="1" ht="19.5" hidden="true" s="619" customFormat="1">
      <c r="A38" s="1072"/>
      <c r="B38" s="1085"/>
      <c r="C38" s="885" t="s">
        <v>87</v>
      </c>
      <c r="D38" s="576" t="s">
        <v>77</v>
      </c>
      <c r="E38" s="451" t="s">
        <v>88</v>
      </c>
      <c r="F38" s="455"/>
      <c r="G38" s="455">
        <v>4</v>
      </c>
      <c r="H38" s="692"/>
      <c r="I38" s="616"/>
      <c r="J38" s="691"/>
      <c r="K38" s="617">
        <v>0.0</v>
      </c>
      <c r="L38" s="616"/>
      <c r="M38" s="691"/>
      <c r="N38" s="617">
        <f>M38-L38</f>
        <v>0</v>
      </c>
      <c r="O38" s="613"/>
      <c r="P38" s="620"/>
      <c r="Q38" s="615">
        <f>P38-O38</f>
        <v>0</v>
      </c>
      <c r="R38" s="616"/>
      <c r="S38" s="620"/>
      <c r="T38" s="617">
        <f>S38-R38</f>
        <v>0</v>
      </c>
      <c r="U38" s="613"/>
      <c r="V38" s="620"/>
      <c r="W38" s="617">
        <f>V38-U38</f>
        <v>0</v>
      </c>
      <c r="X38" s="616"/>
      <c r="Y38" s="620"/>
      <c r="Z38" s="617">
        <f>Y38-X38</f>
        <v>0</v>
      </c>
      <c r="AA38" s="613"/>
      <c r="AB38" s="620"/>
      <c r="AC38" s="617"/>
      <c r="AD38" s="618">
        <f>AA38+AC38-AB38</f>
        <v>0</v>
      </c>
      <c r="AE38" s="612"/>
    </row>
    <row r="39" spans="1:32" customHeight="1" ht="20.1" hidden="true" s="612" customFormat="1">
      <c r="A39" s="1072"/>
      <c r="B39" s="1085"/>
      <c r="C39" s="885" t="s">
        <v>89</v>
      </c>
      <c r="D39" s="576" t="s">
        <v>77</v>
      </c>
      <c r="E39" s="451" t="s">
        <v>90</v>
      </c>
      <c r="F39" s="456"/>
      <c r="G39" s="455">
        <v>4</v>
      </c>
      <c r="H39" s="692"/>
      <c r="I39" s="624"/>
      <c r="J39" s="691"/>
      <c r="K39" s="625">
        <v>0.0</v>
      </c>
      <c r="L39" s="624"/>
      <c r="M39" s="691"/>
      <c r="N39" s="625">
        <f>M39-L39</f>
        <v>0</v>
      </c>
      <c r="O39" s="622"/>
      <c r="P39" s="691"/>
      <c r="Q39" s="625">
        <f>P39-O39</f>
        <v>0</v>
      </c>
      <c r="R39" s="624"/>
      <c r="S39" s="691"/>
      <c r="T39" s="625">
        <f>S39-R39</f>
        <v>0</v>
      </c>
      <c r="U39" s="622"/>
      <c r="V39" s="691"/>
      <c r="W39" s="625">
        <f>V39-U39</f>
        <v>0</v>
      </c>
      <c r="X39" s="624"/>
      <c r="Y39" s="691"/>
      <c r="Z39" s="625">
        <f>Y39-X39</f>
        <v>0</v>
      </c>
      <c r="AA39" s="622"/>
      <c r="AB39" s="691"/>
      <c r="AC39" s="625"/>
      <c r="AD39" s="626">
        <f>AA39+AC39-AB39</f>
        <v>0</v>
      </c>
    </row>
    <row r="40" spans="1:32" customHeight="1" ht="19.5" hidden="true" s="619" customFormat="1">
      <c r="A40" s="1072"/>
      <c r="B40" s="1085"/>
      <c r="C40" s="884" t="s">
        <v>91</v>
      </c>
      <c r="D40" s="576" t="s">
        <v>77</v>
      </c>
      <c r="E40" s="451" t="s">
        <v>92</v>
      </c>
      <c r="F40" s="455"/>
      <c r="G40" s="455">
        <v>4</v>
      </c>
      <c r="H40" s="689"/>
      <c r="I40" s="616"/>
      <c r="J40" s="691"/>
      <c r="K40" s="617">
        <v>0.0</v>
      </c>
      <c r="L40" s="616"/>
      <c r="M40" s="691"/>
      <c r="N40" s="617">
        <f>M40-L40</f>
        <v>0</v>
      </c>
      <c r="O40" s="613"/>
      <c r="P40" s="614"/>
      <c r="Q40" s="615">
        <f>P40-O40</f>
        <v>0</v>
      </c>
      <c r="R40" s="616"/>
      <c r="S40" s="614"/>
      <c r="T40" s="617">
        <f>S40-R40</f>
        <v>0</v>
      </c>
      <c r="U40" s="613"/>
      <c r="V40" s="614"/>
      <c r="W40" s="615">
        <f>V40-U40</f>
        <v>0</v>
      </c>
      <c r="X40" s="616"/>
      <c r="Y40" s="614"/>
      <c r="Z40" s="617">
        <f>Y40-X40</f>
        <v>0</v>
      </c>
      <c r="AA40" s="613"/>
      <c r="AB40" s="614"/>
      <c r="AC40" s="617"/>
      <c r="AD40" s="618">
        <f>AA40+AC40-AB40</f>
        <v>0</v>
      </c>
      <c r="AE40" s="612"/>
    </row>
    <row r="41" spans="1:32" customHeight="1" ht="20.1" hidden="true" s="662" customFormat="1">
      <c r="A41" s="1072"/>
      <c r="B41" s="1085"/>
      <c r="C41" s="885" t="s">
        <v>93</v>
      </c>
      <c r="D41" s="576" t="s">
        <v>77</v>
      </c>
      <c r="E41" s="451" t="s">
        <v>94</v>
      </c>
      <c r="F41" s="456"/>
      <c r="G41" s="455">
        <v>4</v>
      </c>
      <c r="H41" s="692"/>
      <c r="I41" s="624"/>
      <c r="J41" s="691"/>
      <c r="K41" s="625">
        <v>0.0</v>
      </c>
      <c r="L41" s="624"/>
      <c r="M41" s="691"/>
      <c r="N41" s="625">
        <f>M41-L41</f>
        <v>0</v>
      </c>
      <c r="O41" s="622"/>
      <c r="P41" s="691"/>
      <c r="Q41" s="625">
        <f>P41-O41</f>
        <v>0</v>
      </c>
      <c r="R41" s="624"/>
      <c r="S41" s="691"/>
      <c r="T41" s="625">
        <f>S41-R41</f>
        <v>0</v>
      </c>
      <c r="U41" s="622"/>
      <c r="V41" s="691"/>
      <c r="W41" s="625">
        <f>V41-U41</f>
        <v>0</v>
      </c>
      <c r="X41" s="624"/>
      <c r="Y41" s="691"/>
      <c r="Z41" s="625">
        <f>Y41-X41</f>
        <v>0</v>
      </c>
      <c r="AA41" s="622"/>
      <c r="AB41" s="691"/>
      <c r="AC41" s="625"/>
      <c r="AD41" s="626">
        <f>AA41+AC41-AB41</f>
        <v>0</v>
      </c>
      <c r="AE41" s="659"/>
    </row>
    <row r="42" spans="1:32" customHeight="1" ht="20.1" hidden="true" s="662" customFormat="1">
      <c r="A42" s="1072"/>
      <c r="B42" s="1085"/>
      <c r="C42" s="885" t="s">
        <v>95</v>
      </c>
      <c r="D42" s="576" t="s">
        <v>77</v>
      </c>
      <c r="E42" s="451" t="s">
        <v>96</v>
      </c>
      <c r="F42" s="456"/>
      <c r="G42" s="455">
        <v>4</v>
      </c>
      <c r="H42" s="689"/>
      <c r="I42" s="624"/>
      <c r="J42" s="691"/>
      <c r="K42" s="625">
        <v>0.0</v>
      </c>
      <c r="L42" s="624"/>
      <c r="M42" s="691"/>
      <c r="N42" s="625">
        <f>M42-L42</f>
        <v>0</v>
      </c>
      <c r="O42" s="622"/>
      <c r="P42" s="691"/>
      <c r="Q42" s="625">
        <f>P42-O42</f>
        <v>0</v>
      </c>
      <c r="R42" s="624"/>
      <c r="S42" s="691"/>
      <c r="T42" s="625">
        <f>S42-R42</f>
        <v>0</v>
      </c>
      <c r="U42" s="622"/>
      <c r="V42" s="691"/>
      <c r="W42" s="625">
        <f>V42-U42</f>
        <v>0</v>
      </c>
      <c r="X42" s="624"/>
      <c r="Y42" s="691"/>
      <c r="Z42" s="625">
        <f>Y42-X42</f>
        <v>0</v>
      </c>
      <c r="AA42" s="622"/>
      <c r="AB42" s="691"/>
      <c r="AC42" s="625"/>
      <c r="AD42" s="626">
        <f>AA42+AC42-AB42</f>
        <v>0</v>
      </c>
      <c r="AE42" s="659"/>
    </row>
    <row r="43" spans="1:32" customHeight="1" ht="19.5" hidden="true" s="757" customFormat="1">
      <c r="A43" s="1073"/>
      <c r="B43" s="1085"/>
      <c r="C43" s="886" t="s">
        <v>97</v>
      </c>
      <c r="D43" s="748" t="s">
        <v>77</v>
      </c>
      <c r="E43" s="749" t="s">
        <v>98</v>
      </c>
      <c r="F43" s="456"/>
      <c r="G43" s="751">
        <v>4</v>
      </c>
      <c r="H43" s="752"/>
      <c r="I43" s="709"/>
      <c r="J43" s="691"/>
      <c r="K43" s="713">
        <v>0.0</v>
      </c>
      <c r="L43" s="709"/>
      <c r="M43" s="913"/>
      <c r="N43" s="713">
        <f>M43-L43</f>
        <v>0</v>
      </c>
      <c r="O43" s="753"/>
      <c r="P43" s="754"/>
      <c r="Q43" s="711">
        <f>P43-O43</f>
        <v>0</v>
      </c>
      <c r="R43" s="709"/>
      <c r="S43" s="754"/>
      <c r="T43" s="713">
        <f>S43-R43</f>
        <v>0</v>
      </c>
      <c r="U43" s="753"/>
      <c r="V43" s="754"/>
      <c r="W43" s="711">
        <f>V43-U43</f>
        <v>0</v>
      </c>
      <c r="X43" s="709"/>
      <c r="Y43" s="754"/>
      <c r="Z43" s="713">
        <f>Y43-X43</f>
        <v>0</v>
      </c>
      <c r="AA43" s="753"/>
      <c r="AB43" s="754"/>
      <c r="AC43" s="713"/>
      <c r="AD43" s="756">
        <f>AA43+AC43-AB43</f>
        <v>0</v>
      </c>
      <c r="AE43" s="612"/>
    </row>
    <row r="44" spans="1:32" customHeight="1" ht="19.5" hidden="true" s="619" customFormat="1">
      <c r="A44" s="1089" t="s">
        <v>99</v>
      </c>
      <c r="B44" s="1085"/>
      <c r="C44" s="948" t="s">
        <v>100</v>
      </c>
      <c r="D44" s="949" t="s">
        <v>29</v>
      </c>
      <c r="E44" s="950" t="s">
        <v>101</v>
      </c>
      <c r="F44" s="951"/>
      <c r="G44" s="952">
        <v>4</v>
      </c>
      <c r="H44" s="953" t="e">
        <f>VLOOKUP($C44,#REF!,18,0)</f>
        <v>#REF!</v>
      </c>
      <c r="I44" s="954">
        <v>0.0</v>
      </c>
      <c r="J44" s="955">
        <v>0.0</v>
      </c>
      <c r="K44" s="956">
        <v>0.0</v>
      </c>
      <c r="L44" s="954">
        <v>0.0</v>
      </c>
      <c r="M44" s="620">
        <v>0.0</v>
      </c>
      <c r="N44" s="956">
        <v>0.0</v>
      </c>
      <c r="O44" s="957">
        <v>0.0</v>
      </c>
      <c r="P44" s="955">
        <v>0.0</v>
      </c>
      <c r="Q44" s="958">
        <v>0.0</v>
      </c>
      <c r="R44" s="954">
        <v>0.0</v>
      </c>
      <c r="S44" s="955">
        <v>0.0</v>
      </c>
      <c r="T44" s="956">
        <f>S44-R44</f>
        <v>0</v>
      </c>
      <c r="U44" s="957">
        <v>0.0</v>
      </c>
      <c r="V44" s="955">
        <v>0.0</v>
      </c>
      <c r="W44" s="956">
        <f>V44-U44</f>
        <v>0</v>
      </c>
      <c r="X44" s="954">
        <v>0.0</v>
      </c>
      <c r="Y44" s="955">
        <v>0.0</v>
      </c>
      <c r="Z44" s="956">
        <v>0.0</v>
      </c>
      <c r="AA44" s="957">
        <v>0.0</v>
      </c>
      <c r="AB44" s="955">
        <v>0.0</v>
      </c>
      <c r="AC44" s="956">
        <v>0.0</v>
      </c>
      <c r="AD44" s="611">
        <f>AA44+AC44-AB44</f>
        <v>0</v>
      </c>
      <c r="AE44" s="612"/>
    </row>
    <row r="45" spans="1:32" customHeight="1" ht="19.5" hidden="true" s="619" customFormat="1">
      <c r="A45" s="1090"/>
      <c r="B45" s="1085"/>
      <c r="C45" s="948" t="s">
        <v>102</v>
      </c>
      <c r="D45" s="949" t="s">
        <v>29</v>
      </c>
      <c r="E45" s="950" t="s">
        <v>103</v>
      </c>
      <c r="F45" s="951"/>
      <c r="G45" s="952">
        <v>4</v>
      </c>
      <c r="H45" s="953" t="e">
        <f>VLOOKUP($C45,#REF!,18,0)</f>
        <v>#REF!</v>
      </c>
      <c r="I45" s="954">
        <v>0.0</v>
      </c>
      <c r="J45" s="955">
        <v>0.0</v>
      </c>
      <c r="K45" s="956">
        <v>0.0</v>
      </c>
      <c r="L45" s="954">
        <v>0.0</v>
      </c>
      <c r="M45" s="620">
        <v>0.0</v>
      </c>
      <c r="N45" s="956">
        <v>0.0</v>
      </c>
      <c r="O45" s="957">
        <v>0.0</v>
      </c>
      <c r="P45" s="955">
        <v>0.0</v>
      </c>
      <c r="Q45" s="958">
        <v>0.0</v>
      </c>
      <c r="R45" s="954">
        <v>0.0</v>
      </c>
      <c r="S45" s="955">
        <v>0.0</v>
      </c>
      <c r="T45" s="956">
        <f>S45-R45</f>
        <v>0</v>
      </c>
      <c r="U45" s="957">
        <v>0.0</v>
      </c>
      <c r="V45" s="955">
        <v>0.0</v>
      </c>
      <c r="W45" s="956">
        <f>V45-U45</f>
        <v>0</v>
      </c>
      <c r="X45" s="954">
        <v>0.0</v>
      </c>
      <c r="Y45" s="955">
        <v>0.0</v>
      </c>
      <c r="Z45" s="956">
        <v>0.0</v>
      </c>
      <c r="AA45" s="957">
        <v>0.0</v>
      </c>
      <c r="AB45" s="955">
        <v>0.0</v>
      </c>
      <c r="AC45" s="956">
        <v>0.0</v>
      </c>
      <c r="AD45" s="618">
        <f>AA45+AC45-AB45</f>
        <v>0</v>
      </c>
      <c r="AE45" s="612"/>
    </row>
    <row r="46" spans="1:32" customHeight="1" ht="19.5" hidden="true" s="619" customFormat="1">
      <c r="A46" s="1090"/>
      <c r="B46" s="1085"/>
      <c r="C46" s="948" t="s">
        <v>104</v>
      </c>
      <c r="D46" s="949" t="s">
        <v>29</v>
      </c>
      <c r="E46" s="950" t="s">
        <v>105</v>
      </c>
      <c r="F46" s="951"/>
      <c r="G46" s="952">
        <v>4</v>
      </c>
      <c r="H46" s="953" t="e">
        <f>VLOOKUP($C46,#REF!,18,0)</f>
        <v>#REF!</v>
      </c>
      <c r="I46" s="954">
        <v>0.0</v>
      </c>
      <c r="J46" s="955">
        <v>0.0</v>
      </c>
      <c r="K46" s="956">
        <v>0.0</v>
      </c>
      <c r="L46" s="954">
        <v>0.0</v>
      </c>
      <c r="M46" s="620">
        <v>0.0</v>
      </c>
      <c r="N46" s="956">
        <v>0.0</v>
      </c>
      <c r="O46" s="957">
        <v>0.0</v>
      </c>
      <c r="P46" s="955">
        <v>0.0</v>
      </c>
      <c r="Q46" s="958">
        <v>0.0</v>
      </c>
      <c r="R46" s="954">
        <v>0.0</v>
      </c>
      <c r="S46" s="955">
        <v>0.0</v>
      </c>
      <c r="T46" s="956">
        <f>S46-R46</f>
        <v>0</v>
      </c>
      <c r="U46" s="957">
        <v>0.0</v>
      </c>
      <c r="V46" s="955">
        <v>0.0</v>
      </c>
      <c r="W46" s="956">
        <f>V46-U46</f>
        <v>0</v>
      </c>
      <c r="X46" s="954">
        <v>0.0</v>
      </c>
      <c r="Y46" s="955">
        <v>0.0</v>
      </c>
      <c r="Z46" s="956">
        <v>0.0</v>
      </c>
      <c r="AA46" s="957">
        <v>0.0</v>
      </c>
      <c r="AB46" s="955">
        <v>0.0</v>
      </c>
      <c r="AC46" s="956">
        <v>0.0</v>
      </c>
      <c r="AD46" s="618">
        <f>AA46+AC46-AB46</f>
        <v>0</v>
      </c>
      <c r="AE46" s="612"/>
    </row>
    <row r="47" spans="1:32" customHeight="1" ht="19.5" hidden="true" s="629" customFormat="1">
      <c r="A47" s="1090"/>
      <c r="B47" s="1085"/>
      <c r="C47" s="948" t="s">
        <v>106</v>
      </c>
      <c r="D47" s="949" t="s">
        <v>29</v>
      </c>
      <c r="E47" s="950" t="s">
        <v>107</v>
      </c>
      <c r="F47" s="951"/>
      <c r="G47" s="952">
        <v>4</v>
      </c>
      <c r="H47" s="953" t="e">
        <f>VLOOKUP($C47,#REF!,18,0)</f>
        <v>#REF!</v>
      </c>
      <c r="I47" s="954">
        <v>0.0</v>
      </c>
      <c r="J47" s="955">
        <v>0.0</v>
      </c>
      <c r="K47" s="956">
        <v>0.0</v>
      </c>
      <c r="L47" s="954">
        <v>0.0</v>
      </c>
      <c r="M47" s="620">
        <v>0.0</v>
      </c>
      <c r="N47" s="956">
        <v>0.0</v>
      </c>
      <c r="O47" s="957">
        <v>0.0</v>
      </c>
      <c r="P47" s="955">
        <v>0.0</v>
      </c>
      <c r="Q47" s="958">
        <v>0.0</v>
      </c>
      <c r="R47" s="954">
        <v>0.0</v>
      </c>
      <c r="S47" s="955">
        <v>0.0</v>
      </c>
      <c r="T47" s="956">
        <f>S47-R47</f>
        <v>0</v>
      </c>
      <c r="U47" s="957">
        <v>0.0</v>
      </c>
      <c r="V47" s="955">
        <v>0.0</v>
      </c>
      <c r="W47" s="956">
        <f>V47-U47</f>
        <v>0</v>
      </c>
      <c r="X47" s="954">
        <v>0.0</v>
      </c>
      <c r="Y47" s="955">
        <v>0.0</v>
      </c>
      <c r="Z47" s="956">
        <v>0.0</v>
      </c>
      <c r="AA47" s="957">
        <v>0.0</v>
      </c>
      <c r="AB47" s="955">
        <v>0.0</v>
      </c>
      <c r="AC47" s="956">
        <v>0.0</v>
      </c>
      <c r="AD47" s="771">
        <f>AA47+AC47-AB47</f>
        <v>0</v>
      </c>
      <c r="AE47" s="628"/>
    </row>
    <row r="48" spans="1:32" customHeight="1" ht="19.5" hidden="true" s="846" customFormat="1">
      <c r="A48" s="1090"/>
      <c r="B48" s="1085"/>
      <c r="C48" s="948" t="s">
        <v>108</v>
      </c>
      <c r="D48" s="949" t="s">
        <v>109</v>
      </c>
      <c r="E48" s="950" t="s">
        <v>110</v>
      </c>
      <c r="F48" s="951"/>
      <c r="G48" s="952">
        <v>4</v>
      </c>
      <c r="H48" s="953"/>
      <c r="I48" s="954">
        <v>0.0</v>
      </c>
      <c r="J48" s="955">
        <v>0.0</v>
      </c>
      <c r="K48" s="956">
        <v>0.0</v>
      </c>
      <c r="L48" s="954">
        <v>0.0</v>
      </c>
      <c r="M48" s="620">
        <v>0.0</v>
      </c>
      <c r="N48" s="956">
        <v>0.0</v>
      </c>
      <c r="O48" s="957">
        <v>0.0</v>
      </c>
      <c r="P48" s="955">
        <v>0.0</v>
      </c>
      <c r="Q48" s="958">
        <v>0.0</v>
      </c>
      <c r="R48" s="954">
        <v>0.0</v>
      </c>
      <c r="S48" s="955">
        <v>0.0</v>
      </c>
      <c r="T48" s="956">
        <f>S48-R48</f>
        <v>0</v>
      </c>
      <c r="U48" s="957">
        <v>0.0</v>
      </c>
      <c r="V48" s="955">
        <v>0.0</v>
      </c>
      <c r="W48" s="956">
        <f>V48-U48</f>
        <v>0</v>
      </c>
      <c r="X48" s="954">
        <v>0.0</v>
      </c>
      <c r="Y48" s="955">
        <v>0.0</v>
      </c>
      <c r="Z48" s="956">
        <v>0.0</v>
      </c>
      <c r="AA48" s="957">
        <v>0.0</v>
      </c>
      <c r="AB48" s="955">
        <v>0.0</v>
      </c>
      <c r="AC48" s="956">
        <v>0.0</v>
      </c>
      <c r="AD48" s="626">
        <f>AA48+AC48-AB48</f>
        <v>0</v>
      </c>
      <c r="AE48" s="628"/>
    </row>
    <row r="49" spans="1:32" customHeight="1" ht="19.5" hidden="true" s="627" customFormat="1">
      <c r="A49" s="1090"/>
      <c r="B49" s="1085"/>
      <c r="C49" s="948" t="s">
        <v>111</v>
      </c>
      <c r="D49" s="949" t="s">
        <v>29</v>
      </c>
      <c r="E49" s="950" t="s">
        <v>112</v>
      </c>
      <c r="F49" s="951"/>
      <c r="G49" s="952">
        <v>4</v>
      </c>
      <c r="H49" s="953" t="e">
        <f>VLOOKUP($C49,#REF!,18,0)</f>
        <v>#REF!</v>
      </c>
      <c r="I49" s="954">
        <v>0.0</v>
      </c>
      <c r="J49" s="955">
        <v>0.0</v>
      </c>
      <c r="K49" s="956">
        <v>0.0</v>
      </c>
      <c r="L49" s="954">
        <v>0.0</v>
      </c>
      <c r="M49" s="620">
        <v>0.0</v>
      </c>
      <c r="N49" s="956">
        <v>0.0</v>
      </c>
      <c r="O49" s="957">
        <v>0.0</v>
      </c>
      <c r="P49" s="955">
        <v>0.0</v>
      </c>
      <c r="Q49" s="958">
        <v>0.0</v>
      </c>
      <c r="R49" s="954">
        <v>0.0</v>
      </c>
      <c r="S49" s="955">
        <v>0.0</v>
      </c>
      <c r="T49" s="956">
        <f>S49-R49</f>
        <v>0</v>
      </c>
      <c r="U49" s="957">
        <v>0.0</v>
      </c>
      <c r="V49" s="955">
        <v>0.0</v>
      </c>
      <c r="W49" s="956">
        <f>V49-U49</f>
        <v>0</v>
      </c>
      <c r="X49" s="954">
        <v>0.0</v>
      </c>
      <c r="Y49" s="955">
        <v>0.0</v>
      </c>
      <c r="Z49" s="956">
        <v>0.0</v>
      </c>
      <c r="AA49" s="957">
        <v>0.0</v>
      </c>
      <c r="AB49" s="955">
        <v>0.0</v>
      </c>
      <c r="AC49" s="956">
        <v>0.0</v>
      </c>
      <c r="AD49" s="618">
        <f>AA49+AC49-AB49</f>
        <v>0</v>
      </c>
      <c r="AE49" s="612"/>
    </row>
    <row r="50" spans="1:32" customHeight="1" ht="19.5" hidden="true" s="619" customFormat="1">
      <c r="A50" s="1090"/>
      <c r="B50" s="1085"/>
      <c r="C50" s="948" t="s">
        <v>113</v>
      </c>
      <c r="D50" s="949" t="s">
        <v>109</v>
      </c>
      <c r="E50" s="950" t="s">
        <v>114</v>
      </c>
      <c r="F50" s="951"/>
      <c r="G50" s="952">
        <v>4</v>
      </c>
      <c r="H50" s="953"/>
      <c r="I50" s="954">
        <v>0.0</v>
      </c>
      <c r="J50" s="955">
        <v>0.0</v>
      </c>
      <c r="K50" s="956">
        <v>0.0</v>
      </c>
      <c r="L50" s="954">
        <v>0.0</v>
      </c>
      <c r="M50" s="620">
        <v>0.0</v>
      </c>
      <c r="N50" s="956">
        <v>0.0</v>
      </c>
      <c r="O50" s="957">
        <v>0.0</v>
      </c>
      <c r="P50" s="955">
        <v>0.0</v>
      </c>
      <c r="Q50" s="958">
        <v>0.0</v>
      </c>
      <c r="R50" s="954">
        <v>0.0</v>
      </c>
      <c r="S50" s="955">
        <v>0.0</v>
      </c>
      <c r="T50" s="956">
        <f>S50-R50</f>
        <v>0</v>
      </c>
      <c r="U50" s="957">
        <v>0.0</v>
      </c>
      <c r="V50" s="955">
        <v>0.0</v>
      </c>
      <c r="W50" s="956">
        <f>V50-U50</f>
        <v>0</v>
      </c>
      <c r="X50" s="954">
        <v>0.0</v>
      </c>
      <c r="Y50" s="955">
        <v>0.0</v>
      </c>
      <c r="Z50" s="956">
        <v>0.0</v>
      </c>
      <c r="AA50" s="957">
        <v>0.0</v>
      </c>
      <c r="AB50" s="955">
        <v>0.0</v>
      </c>
      <c r="AC50" s="956">
        <v>0.0</v>
      </c>
      <c r="AD50" s="618">
        <f>AA50+AC50-AB50</f>
        <v>0</v>
      </c>
      <c r="AE50" s="612"/>
    </row>
    <row r="51" spans="1:32" customHeight="1" ht="19.5" hidden="true" s="619" customFormat="1">
      <c r="A51" s="1090"/>
      <c r="B51" s="1085"/>
      <c r="C51" s="948" t="s">
        <v>115</v>
      </c>
      <c r="D51" s="949" t="s">
        <v>29</v>
      </c>
      <c r="E51" s="950" t="s">
        <v>116</v>
      </c>
      <c r="F51" s="951"/>
      <c r="G51" s="952">
        <v>4</v>
      </c>
      <c r="H51" s="953" t="e">
        <f>VLOOKUP($C51,#REF!,18,0)</f>
        <v>#REF!</v>
      </c>
      <c r="I51" s="954">
        <v>0.0</v>
      </c>
      <c r="J51" s="955">
        <v>0.0</v>
      </c>
      <c r="K51" s="956">
        <v>0.0</v>
      </c>
      <c r="L51" s="954">
        <v>0.0</v>
      </c>
      <c r="M51" s="620">
        <v>0.0</v>
      </c>
      <c r="N51" s="956">
        <v>0.0</v>
      </c>
      <c r="O51" s="957">
        <v>0.0</v>
      </c>
      <c r="P51" s="955">
        <v>0.0</v>
      </c>
      <c r="Q51" s="958">
        <v>0.0</v>
      </c>
      <c r="R51" s="954">
        <v>0.0</v>
      </c>
      <c r="S51" s="955">
        <v>0.0</v>
      </c>
      <c r="T51" s="956">
        <f>S51-R51</f>
        <v>0</v>
      </c>
      <c r="U51" s="957">
        <v>0.0</v>
      </c>
      <c r="V51" s="955">
        <v>0.0</v>
      </c>
      <c r="W51" s="956">
        <f>V51-U51</f>
        <v>0</v>
      </c>
      <c r="X51" s="954">
        <v>0.0</v>
      </c>
      <c r="Y51" s="955">
        <v>0.0</v>
      </c>
      <c r="Z51" s="956">
        <v>0.0</v>
      </c>
      <c r="AA51" s="957">
        <v>0.0</v>
      </c>
      <c r="AB51" s="955">
        <v>0.0</v>
      </c>
      <c r="AC51" s="956">
        <v>0.0</v>
      </c>
      <c r="AD51" s="618">
        <f>AA51+AC51-AB51</f>
        <v>0</v>
      </c>
      <c r="AE51" s="612"/>
    </row>
    <row r="52" spans="1:32" customHeight="1" ht="19.5" hidden="true" s="619" customFormat="1">
      <c r="A52" s="1090"/>
      <c r="B52" s="1085"/>
      <c r="C52" s="948" t="s">
        <v>117</v>
      </c>
      <c r="D52" s="949" t="s">
        <v>109</v>
      </c>
      <c r="E52" s="950" t="s">
        <v>118</v>
      </c>
      <c r="F52" s="951"/>
      <c r="G52" s="952">
        <v>4</v>
      </c>
      <c r="H52" s="953"/>
      <c r="I52" s="954">
        <v>0.0</v>
      </c>
      <c r="J52" s="955">
        <v>0.0</v>
      </c>
      <c r="K52" s="956">
        <v>0.0</v>
      </c>
      <c r="L52" s="954">
        <v>0.0</v>
      </c>
      <c r="M52" s="620">
        <v>0.0</v>
      </c>
      <c r="N52" s="956">
        <v>0.0</v>
      </c>
      <c r="O52" s="957">
        <v>0.0</v>
      </c>
      <c r="P52" s="955">
        <v>0.0</v>
      </c>
      <c r="Q52" s="958">
        <v>0.0</v>
      </c>
      <c r="R52" s="954">
        <v>0.0</v>
      </c>
      <c r="S52" s="955">
        <v>0.0</v>
      </c>
      <c r="T52" s="956">
        <f>S52-R52</f>
        <v>0</v>
      </c>
      <c r="U52" s="957">
        <v>0.0</v>
      </c>
      <c r="V52" s="955">
        <v>0.0</v>
      </c>
      <c r="W52" s="956">
        <f>V52-U52</f>
        <v>0</v>
      </c>
      <c r="X52" s="954">
        <v>0.0</v>
      </c>
      <c r="Y52" s="955">
        <v>0.0</v>
      </c>
      <c r="Z52" s="956">
        <v>0.0</v>
      </c>
      <c r="AA52" s="957">
        <v>0.0</v>
      </c>
      <c r="AB52" s="955">
        <v>0.0</v>
      </c>
      <c r="AC52" s="956">
        <v>0.0</v>
      </c>
      <c r="AD52" s="618">
        <f>AA52+AC52-AB52</f>
        <v>0</v>
      </c>
      <c r="AE52" s="612"/>
    </row>
    <row r="53" spans="1:32" customHeight="1" ht="19.5" s="832" customFormat="1">
      <c r="A53" s="1090"/>
      <c r="B53" s="1085"/>
      <c r="C53" s="1041" t="s">
        <v>119</v>
      </c>
      <c r="D53" s="760" t="s">
        <v>43</v>
      </c>
      <c r="E53" s="761" t="s">
        <v>120</v>
      </c>
      <c r="F53" s="762"/>
      <c r="G53" s="763">
        <v>4</v>
      </c>
      <c r="H53" s="1056" t="e">
        <f>VLOOKUP(C53,#REF!,18,0)</f>
        <v>#REF!</v>
      </c>
      <c r="I53" s="624">
        <v>0.0</v>
      </c>
      <c r="J53" s="691">
        <v>0.0</v>
      </c>
      <c r="K53" s="625">
        <v>0.0</v>
      </c>
      <c r="L53" s="624">
        <f>I53+K53-J53</f>
        <v>0</v>
      </c>
      <c r="M53" s="691" t="e">
        <f>VLOOKUP($C53,#REF!,57,0)</f>
        <v>#REF!</v>
      </c>
      <c r="N53" s="625" t="e">
        <f>M53-L53</f>
        <v>#REF!</v>
      </c>
      <c r="O53" s="622" t="e">
        <f>L53+N53-M53</f>
        <v>#REF!</v>
      </c>
      <c r="P53" s="773" t="e">
        <f>VLOOKUP($C53,#REF!,58,0)</f>
        <v>#REF!</v>
      </c>
      <c r="Q53" s="623" t="e">
        <f>P53-O53</f>
        <v>#REF!</v>
      </c>
      <c r="R53" s="624" t="e">
        <f>O53+Q53-P53</f>
        <v>#REF!</v>
      </c>
      <c r="S53" s="773" t="e">
        <f>VLOOKUP($C53,#REF!,59,0)</f>
        <v>#REF!</v>
      </c>
      <c r="T53" s="625" t="e">
        <f>S53-R53</f>
        <v>#REF!</v>
      </c>
      <c r="U53" s="622" t="e">
        <f>R53+T53-S53</f>
        <v>#REF!</v>
      </c>
      <c r="V53" s="773" t="e">
        <f>VLOOKUP($C53,#REF!,60,0)</f>
        <v>#REF!</v>
      </c>
      <c r="W53" s="623" t="e">
        <f>V53-U53</f>
        <v>#REF!</v>
      </c>
      <c r="X53" s="624" t="e">
        <f>U53+W53-V53</f>
        <v>#REF!</v>
      </c>
      <c r="Y53" s="773" t="e">
        <f>VLOOKUP($C53,#REF!,61,0)</f>
        <v>#REF!</v>
      </c>
      <c r="Z53" s="625" t="e">
        <f>Y53-X53</f>
        <v>#REF!</v>
      </c>
      <c r="AA53" s="622" t="e">
        <f>X53+Z53-Y53</f>
        <v>#REF!</v>
      </c>
      <c r="AB53" s="773" t="e">
        <f>VLOOKUP($C53,#REF!,62,0)</f>
        <v>#REF!</v>
      </c>
      <c r="AC53" s="625" t="e">
        <f>AB53-AA53</f>
        <v>#REF!</v>
      </c>
      <c r="AD53" s="626" t="e">
        <f>AA53+AC53-AB53</f>
        <v>#REF!</v>
      </c>
      <c r="AE53" s="831"/>
    </row>
    <row r="54" spans="1:32" customHeight="1" ht="18.75" s="627" customFormat="1">
      <c r="A54" s="1090"/>
      <c r="B54" s="1085"/>
      <c r="C54" s="1042" t="s">
        <v>121</v>
      </c>
      <c r="D54" s="576" t="s">
        <v>43</v>
      </c>
      <c r="E54" s="915" t="s">
        <v>122</v>
      </c>
      <c r="F54" s="456"/>
      <c r="G54" s="455">
        <v>4</v>
      </c>
      <c r="H54" s="1057" t="e">
        <f>VLOOKUP(C54,#REF!,18,0)</f>
        <v>#REF!</v>
      </c>
      <c r="I54" s="616">
        <v>0.0</v>
      </c>
      <c r="J54" s="620">
        <v>0.0</v>
      </c>
      <c r="K54" s="617">
        <v>0.0</v>
      </c>
      <c r="L54" s="616">
        <f>I54+K54-J54</f>
        <v>0</v>
      </c>
      <c r="M54" s="620" t="e">
        <f>VLOOKUP($C54,#REF!,57,0)</f>
        <v>#REF!</v>
      </c>
      <c r="N54" s="617" t="e">
        <f>M54-L54</f>
        <v>#REF!</v>
      </c>
      <c r="O54" s="613" t="e">
        <f>L54+N54-M54</f>
        <v>#REF!</v>
      </c>
      <c r="P54" s="614" t="e">
        <f>VLOOKUP($C54,#REF!,58,0)</f>
        <v>#REF!</v>
      </c>
      <c r="Q54" s="615" t="e">
        <f>P54-O54</f>
        <v>#REF!</v>
      </c>
      <c r="R54" s="616" t="e">
        <f>O54+Q54-P54</f>
        <v>#REF!</v>
      </c>
      <c r="S54" s="614" t="e">
        <f>VLOOKUP($C54,#REF!,59,0)</f>
        <v>#REF!</v>
      </c>
      <c r="T54" s="617" t="e">
        <f>S54-R54</f>
        <v>#REF!</v>
      </c>
      <c r="U54" s="613" t="e">
        <f>R54+T54-S54</f>
        <v>#REF!</v>
      </c>
      <c r="V54" s="614" t="e">
        <f>VLOOKUP($C54,#REF!,60,0)</f>
        <v>#REF!</v>
      </c>
      <c r="W54" s="615" t="e">
        <f>V54-U54</f>
        <v>#REF!</v>
      </c>
      <c r="X54" s="616" t="e">
        <f>U54+W54-V54</f>
        <v>#REF!</v>
      </c>
      <c r="Y54" s="614" t="e">
        <f>VLOOKUP($C54,#REF!,61,0)</f>
        <v>#REF!</v>
      </c>
      <c r="Z54" s="617" t="e">
        <f>Y54-X54</f>
        <v>#REF!</v>
      </c>
      <c r="AA54" s="613" t="e">
        <f>X54+Z54-Y54</f>
        <v>#REF!</v>
      </c>
      <c r="AB54" s="614" t="e">
        <f>VLOOKUP($C54,#REF!,62,0)</f>
        <v>#REF!</v>
      </c>
      <c r="AC54" s="617" t="e">
        <f>AB54-AA54</f>
        <v>#REF!</v>
      </c>
      <c r="AD54" s="618" t="e">
        <f>AA54+AC54-AB54</f>
        <v>#REF!</v>
      </c>
      <c r="AE54" s="612"/>
    </row>
    <row r="55" spans="1:32" customHeight="1" ht="20.1" s="627" customFormat="1">
      <c r="A55" s="1090"/>
      <c r="B55" s="1085"/>
      <c r="C55" s="1042" t="s">
        <v>123</v>
      </c>
      <c r="D55" s="576" t="s">
        <v>43</v>
      </c>
      <c r="E55" s="915" t="s">
        <v>124</v>
      </c>
      <c r="F55" s="455"/>
      <c r="G55" s="455">
        <v>4</v>
      </c>
      <c r="H55" s="1057" t="e">
        <f>VLOOKUP(C55,#REF!,18,0)</f>
        <v>#REF!</v>
      </c>
      <c r="I55" s="616">
        <v>0.0</v>
      </c>
      <c r="J55" s="620">
        <v>0.0</v>
      </c>
      <c r="K55" s="617">
        <v>0.0</v>
      </c>
      <c r="L55" s="616">
        <f>I55+K55-J55</f>
        <v>0</v>
      </c>
      <c r="M55" s="620" t="e">
        <f>VLOOKUP($C55,#REF!,57,0)</f>
        <v>#REF!</v>
      </c>
      <c r="N55" s="617" t="e">
        <f>M55-L55</f>
        <v>#REF!</v>
      </c>
      <c r="O55" s="613" t="e">
        <f>L55+N55-M55</f>
        <v>#REF!</v>
      </c>
      <c r="P55" s="614" t="e">
        <f>VLOOKUP($C55,#REF!,58,0)</f>
        <v>#REF!</v>
      </c>
      <c r="Q55" s="615" t="e">
        <f>P55-O55</f>
        <v>#REF!</v>
      </c>
      <c r="R55" s="616" t="e">
        <f>O55+Q55-P55</f>
        <v>#REF!</v>
      </c>
      <c r="S55" s="614" t="e">
        <f>VLOOKUP($C55,#REF!,59,0)</f>
        <v>#REF!</v>
      </c>
      <c r="T55" s="617" t="e">
        <f>S55-R55</f>
        <v>#REF!</v>
      </c>
      <c r="U55" s="613" t="e">
        <f>R55+T55-S55</f>
        <v>#REF!</v>
      </c>
      <c r="V55" s="614" t="e">
        <f>VLOOKUP($C55,#REF!,60,0)</f>
        <v>#REF!</v>
      </c>
      <c r="W55" s="615" t="e">
        <f>V55-U55</f>
        <v>#REF!</v>
      </c>
      <c r="X55" s="616" t="e">
        <f>U55+W55-V55</f>
        <v>#REF!</v>
      </c>
      <c r="Y55" s="614" t="e">
        <f>VLOOKUP($C55,#REF!,61,0)</f>
        <v>#REF!</v>
      </c>
      <c r="Z55" s="617" t="e">
        <f>Y55-X55</f>
        <v>#REF!</v>
      </c>
      <c r="AA55" s="613" t="e">
        <f>X55+Z55-Y55</f>
        <v>#REF!</v>
      </c>
      <c r="AB55" s="614" t="e">
        <f>VLOOKUP($C55,#REF!,62,0)</f>
        <v>#REF!</v>
      </c>
      <c r="AC55" s="617" t="e">
        <f>AB55-AA55</f>
        <v>#REF!</v>
      </c>
      <c r="AD55" s="618" t="e">
        <f>AA55+AC55-AB55</f>
        <v>#REF!</v>
      </c>
      <c r="AE55" s="612"/>
    </row>
    <row r="56" spans="1:32" customHeight="1" ht="20.1" s="619" customFormat="1">
      <c r="A56" s="1090"/>
      <c r="B56" s="1085"/>
      <c r="C56" s="1043" t="s">
        <v>125</v>
      </c>
      <c r="D56" s="764" t="s">
        <v>43</v>
      </c>
      <c r="E56" s="916" t="s">
        <v>126</v>
      </c>
      <c r="F56" s="774"/>
      <c r="G56" s="765">
        <v>4</v>
      </c>
      <c r="H56" s="1058" t="e">
        <f>VLOOKUP(C56,#REF!,18,0)</f>
        <v>#REF!</v>
      </c>
      <c r="I56" s="769">
        <v>0.0</v>
      </c>
      <c r="J56" s="767">
        <v>0.0</v>
      </c>
      <c r="K56" s="770">
        <v>0.0</v>
      </c>
      <c r="L56" s="769">
        <f>I56+K56-J56</f>
        <v>0</v>
      </c>
      <c r="M56" s="767" t="e">
        <f>VLOOKUP($C56,#REF!,57,0)</f>
        <v>#REF!</v>
      </c>
      <c r="N56" s="770" t="e">
        <f>M56-L56</f>
        <v>#REF!</v>
      </c>
      <c r="O56" s="766" t="e">
        <f>L56+N56-M56</f>
        <v>#REF!</v>
      </c>
      <c r="P56" s="775" t="e">
        <f>VLOOKUP($C56,#REF!,58,0)</f>
        <v>#REF!</v>
      </c>
      <c r="Q56" s="768" t="e">
        <f>P56-O56</f>
        <v>#REF!</v>
      </c>
      <c r="R56" s="769" t="e">
        <f>O56+Q56-P56</f>
        <v>#REF!</v>
      </c>
      <c r="S56" s="775" t="e">
        <f>VLOOKUP($C56,#REF!,59,0)</f>
        <v>#REF!</v>
      </c>
      <c r="T56" s="770" t="e">
        <f>S56-R56</f>
        <v>#REF!</v>
      </c>
      <c r="U56" s="766" t="e">
        <f>R56+T56-S56</f>
        <v>#REF!</v>
      </c>
      <c r="V56" s="775" t="e">
        <f>VLOOKUP($C56,#REF!,60,0)</f>
        <v>#REF!</v>
      </c>
      <c r="W56" s="768" t="e">
        <f>V56-U56</f>
        <v>#REF!</v>
      </c>
      <c r="X56" s="769" t="e">
        <f>U56+W56-V56</f>
        <v>#REF!</v>
      </c>
      <c r="Y56" s="775" t="e">
        <f>VLOOKUP($C56,#REF!,61,0)</f>
        <v>#REF!</v>
      </c>
      <c r="Z56" s="770" t="e">
        <f>Y56-X56</f>
        <v>#REF!</v>
      </c>
      <c r="AA56" s="766" t="e">
        <f>X56+Z56-Y56</f>
        <v>#REF!</v>
      </c>
      <c r="AB56" s="775" t="e">
        <f>VLOOKUP($C56,#REF!,62,0)</f>
        <v>#REF!</v>
      </c>
      <c r="AC56" s="770" t="e">
        <f>AB56-AA56</f>
        <v>#REF!</v>
      </c>
      <c r="AD56" s="771" t="e">
        <f>AA56+AC56-AB56</f>
        <v>#REF!</v>
      </c>
      <c r="AE56" s="630"/>
    </row>
    <row r="57" spans="1:32" customHeight="1" ht="19.5" s="619" customFormat="1">
      <c r="A57" s="1090"/>
      <c r="B57" s="1085"/>
      <c r="C57" s="1044" t="s">
        <v>127</v>
      </c>
      <c r="D57" s="760" t="s">
        <v>128</v>
      </c>
      <c r="E57" s="761" t="s">
        <v>129</v>
      </c>
      <c r="F57" s="1014"/>
      <c r="G57" s="455">
        <v>4</v>
      </c>
      <c r="H57" s="772" t="e">
        <f>+H61</f>
        <v>#REF!</v>
      </c>
      <c r="I57" s="624">
        <v>220</v>
      </c>
      <c r="J57" s="691">
        <v>2392</v>
      </c>
      <c r="K57" s="625">
        <v>2368</v>
      </c>
      <c r="L57" s="624">
        <f>I57+K57-J57</f>
        <v>196</v>
      </c>
      <c r="M57" s="1062" t="e">
        <f>VLOOKUP($C57,#REF!,57,0)+68</f>
        <v>#REF!</v>
      </c>
      <c r="N57" s="625" t="e">
        <f>M57-L57</f>
        <v>#REF!</v>
      </c>
      <c r="O57" s="622" t="e">
        <f>L57+N57-M57</f>
        <v>#REF!</v>
      </c>
      <c r="P57" s="773" t="e">
        <f>VLOOKUP($C57,#REF!,58,0)</f>
        <v>#REF!</v>
      </c>
      <c r="Q57" s="623" t="e">
        <f>P57-O57</f>
        <v>#REF!</v>
      </c>
      <c r="R57" s="624" t="e">
        <f>O57+Q57-P57</f>
        <v>#REF!</v>
      </c>
      <c r="S57" s="773" t="e">
        <f>VLOOKUP($C57,#REF!,59,0)</f>
        <v>#REF!</v>
      </c>
      <c r="T57" s="625" t="e">
        <f>S57-R57</f>
        <v>#REF!</v>
      </c>
      <c r="U57" s="622" t="e">
        <f>R57+T57-S57</f>
        <v>#REF!</v>
      </c>
      <c r="V57" s="773" t="e">
        <f>VLOOKUP($C57,#REF!,60,0)</f>
        <v>#REF!</v>
      </c>
      <c r="W57" s="623" t="e">
        <f>V57-U57</f>
        <v>#REF!</v>
      </c>
      <c r="X57" s="624" t="e">
        <f>U57+W57-V57</f>
        <v>#REF!</v>
      </c>
      <c r="Y57" s="773" t="e">
        <f>VLOOKUP($C57,#REF!,61,0)</f>
        <v>#REF!</v>
      </c>
      <c r="Z57" s="625" t="e">
        <f>Y57-X57</f>
        <v>#REF!</v>
      </c>
      <c r="AA57" s="622" t="e">
        <f>X57+Z57-Y57</f>
        <v>#REF!</v>
      </c>
      <c r="AB57" s="773" t="e">
        <f>VLOOKUP($C57,#REF!,62,0)</f>
        <v>#REF!</v>
      </c>
      <c r="AC57" s="625" t="e">
        <f>AB57-AA57</f>
        <v>#REF!</v>
      </c>
      <c r="AD57" s="626" t="e">
        <f>AA57+AC57-AB57</f>
        <v>#REF!</v>
      </c>
      <c r="AE57" s="612" t="s">
        <v>100</v>
      </c>
    </row>
    <row r="58" spans="1:32" customHeight="1" ht="19.5" s="619" customFormat="1">
      <c r="A58" s="1090"/>
      <c r="B58" s="1085"/>
      <c r="C58" s="1045" t="s">
        <v>130</v>
      </c>
      <c r="D58" s="576" t="s">
        <v>128</v>
      </c>
      <c r="E58" s="915" t="s">
        <v>131</v>
      </c>
      <c r="F58" s="1015"/>
      <c r="G58" s="455">
        <v>4</v>
      </c>
      <c r="H58" s="720" t="e">
        <f>+H62</f>
        <v>#REF!</v>
      </c>
      <c r="I58" s="616">
        <v>48</v>
      </c>
      <c r="J58" s="691">
        <v>924</v>
      </c>
      <c r="K58" s="617">
        <v>1052</v>
      </c>
      <c r="L58" s="616">
        <f>I58+K58-J58</f>
        <v>176</v>
      </c>
      <c r="M58" s="1062" t="e">
        <f>VLOOKUP($C58,#REF!,57,0)+104</f>
        <v>#REF!</v>
      </c>
      <c r="N58" s="617" t="e">
        <f>M58-L58</f>
        <v>#REF!</v>
      </c>
      <c r="O58" s="613" t="e">
        <f>L58+N58-M58</f>
        <v>#REF!</v>
      </c>
      <c r="P58" s="614" t="e">
        <f>VLOOKUP($C58,#REF!,58,0)</f>
        <v>#REF!</v>
      </c>
      <c r="Q58" s="615" t="e">
        <f>P58-O58</f>
        <v>#REF!</v>
      </c>
      <c r="R58" s="616" t="e">
        <f>O58+Q58-P58</f>
        <v>#REF!</v>
      </c>
      <c r="S58" s="614" t="e">
        <f>VLOOKUP($C58,#REF!,59,0)</f>
        <v>#REF!</v>
      </c>
      <c r="T58" s="617" t="e">
        <f>S58-R58</f>
        <v>#REF!</v>
      </c>
      <c r="U58" s="613" t="e">
        <f>R58+T58-S58</f>
        <v>#REF!</v>
      </c>
      <c r="V58" s="614" t="e">
        <f>VLOOKUP($C58,#REF!,60,0)</f>
        <v>#REF!</v>
      </c>
      <c r="W58" s="615" t="e">
        <f>V58-U58</f>
        <v>#REF!</v>
      </c>
      <c r="X58" s="616" t="e">
        <f>U58+W58-V58</f>
        <v>#REF!</v>
      </c>
      <c r="Y58" s="614" t="e">
        <f>VLOOKUP($C58,#REF!,61,0)</f>
        <v>#REF!</v>
      </c>
      <c r="Z58" s="617" t="e">
        <f>Y58-X58</f>
        <v>#REF!</v>
      </c>
      <c r="AA58" s="613" t="e">
        <f>X58+Z58-Y58</f>
        <v>#REF!</v>
      </c>
      <c r="AB58" s="614" t="e">
        <f>VLOOKUP($C58,#REF!,62,0)</f>
        <v>#REF!</v>
      </c>
      <c r="AC58" s="617" t="e">
        <f>AB58-AA58</f>
        <v>#REF!</v>
      </c>
      <c r="AD58" s="618" t="e">
        <f>AA58+AC58-AB58</f>
        <v>#REF!</v>
      </c>
      <c r="AE58" s="612" t="s">
        <v>102</v>
      </c>
    </row>
    <row r="59" spans="1:32" customHeight="1" ht="19.5" s="619" customFormat="1">
      <c r="A59" s="1090"/>
      <c r="B59" s="1085"/>
      <c r="C59" s="1045" t="s">
        <v>132</v>
      </c>
      <c r="D59" s="576" t="s">
        <v>128</v>
      </c>
      <c r="E59" s="915" t="s">
        <v>133</v>
      </c>
      <c r="F59" s="1015"/>
      <c r="G59" s="455">
        <v>4</v>
      </c>
      <c r="H59" s="720" t="e">
        <f>+H63</f>
        <v>#REF!</v>
      </c>
      <c r="I59" s="616">
        <v>260</v>
      </c>
      <c r="J59" s="691">
        <v>1148</v>
      </c>
      <c r="K59" s="617">
        <v>1240</v>
      </c>
      <c r="L59" s="616">
        <f>I59+K59-J59</f>
        <v>352</v>
      </c>
      <c r="M59" s="1062" t="e">
        <f>VLOOKUP($C59,#REF!,57,0)</f>
        <v>#REF!</v>
      </c>
      <c r="N59" s="617" t="e">
        <f>M59-L59</f>
        <v>#REF!</v>
      </c>
      <c r="O59" s="613" t="e">
        <f>L59+N59-M59</f>
        <v>#REF!</v>
      </c>
      <c r="P59" s="614" t="e">
        <f>VLOOKUP($C59,#REF!,58,0)</f>
        <v>#REF!</v>
      </c>
      <c r="Q59" s="615" t="e">
        <f>P59-O59</f>
        <v>#REF!</v>
      </c>
      <c r="R59" s="616" t="e">
        <f>O59+Q59-P59</f>
        <v>#REF!</v>
      </c>
      <c r="S59" s="614" t="e">
        <f>VLOOKUP($C59,#REF!,59,0)</f>
        <v>#REF!</v>
      </c>
      <c r="T59" s="617" t="e">
        <f>S59-R59</f>
        <v>#REF!</v>
      </c>
      <c r="U59" s="613" t="e">
        <f>R59+T59-S59</f>
        <v>#REF!</v>
      </c>
      <c r="V59" s="614" t="e">
        <f>VLOOKUP($C59,#REF!,60,0)</f>
        <v>#REF!</v>
      </c>
      <c r="W59" s="615" t="e">
        <f>V59-U59</f>
        <v>#REF!</v>
      </c>
      <c r="X59" s="616" t="e">
        <f>U59+W59-V59</f>
        <v>#REF!</v>
      </c>
      <c r="Y59" s="614" t="e">
        <f>VLOOKUP($C59,#REF!,61,0)</f>
        <v>#REF!</v>
      </c>
      <c r="Z59" s="617" t="e">
        <f>Y59-X59</f>
        <v>#REF!</v>
      </c>
      <c r="AA59" s="613" t="e">
        <f>X59+Z59-Y59</f>
        <v>#REF!</v>
      </c>
      <c r="AB59" s="614" t="e">
        <f>VLOOKUP($C59,#REF!,62,0)</f>
        <v>#REF!</v>
      </c>
      <c r="AC59" s="617" t="e">
        <f>AB59-AA59</f>
        <v>#REF!</v>
      </c>
      <c r="AD59" s="618" t="e">
        <f>AA59+AC59-AB59</f>
        <v>#REF!</v>
      </c>
      <c r="AE59" s="612" t="s">
        <v>104</v>
      </c>
    </row>
    <row r="60" spans="1:32" customHeight="1" ht="19.5" s="629" customFormat="1">
      <c r="A60" s="1090"/>
      <c r="B60" s="1085"/>
      <c r="C60" s="1052" t="s">
        <v>134</v>
      </c>
      <c r="D60" s="764" t="s">
        <v>128</v>
      </c>
      <c r="E60" s="916" t="s">
        <v>135</v>
      </c>
      <c r="F60" s="1053"/>
      <c r="G60" s="765">
        <v>4</v>
      </c>
      <c r="H60" s="912" t="e">
        <f>+H64</f>
        <v>#REF!</v>
      </c>
      <c r="I60" s="769">
        <v>216</v>
      </c>
      <c r="J60" s="767">
        <v>1176</v>
      </c>
      <c r="K60" s="770">
        <v>1440</v>
      </c>
      <c r="L60" s="769">
        <f>I60+K60-J60</f>
        <v>480</v>
      </c>
      <c r="M60" s="1063" t="e">
        <f>VLOOKUP($C60,#REF!,57,0)</f>
        <v>#REF!</v>
      </c>
      <c r="N60" s="770" t="e">
        <f>M60-L60</f>
        <v>#REF!</v>
      </c>
      <c r="O60" s="766" t="e">
        <f>L60+N60-M60</f>
        <v>#REF!</v>
      </c>
      <c r="P60" s="775" t="e">
        <f>VLOOKUP($C60,#REF!,58,0)</f>
        <v>#REF!</v>
      </c>
      <c r="Q60" s="768" t="e">
        <f>P60-O60</f>
        <v>#REF!</v>
      </c>
      <c r="R60" s="769" t="e">
        <f>O60+Q60-P60</f>
        <v>#REF!</v>
      </c>
      <c r="S60" s="775" t="e">
        <f>VLOOKUP($C60,#REF!,59,0)</f>
        <v>#REF!</v>
      </c>
      <c r="T60" s="770" t="e">
        <f>S60-R60</f>
        <v>#REF!</v>
      </c>
      <c r="U60" s="766" t="e">
        <f>R60+T60-S60</f>
        <v>#REF!</v>
      </c>
      <c r="V60" s="775" t="e">
        <f>VLOOKUP($C60,#REF!,60,0)</f>
        <v>#REF!</v>
      </c>
      <c r="W60" s="768" t="e">
        <f>V60-U60</f>
        <v>#REF!</v>
      </c>
      <c r="X60" s="769" t="e">
        <f>U60+W60-V60</f>
        <v>#REF!</v>
      </c>
      <c r="Y60" s="775" t="e">
        <f>VLOOKUP($C60,#REF!,61,0)</f>
        <v>#REF!</v>
      </c>
      <c r="Z60" s="770" t="e">
        <f>Y60-X60</f>
        <v>#REF!</v>
      </c>
      <c r="AA60" s="766" t="e">
        <f>X60+Z60-Y60</f>
        <v>#REF!</v>
      </c>
      <c r="AB60" s="775" t="e">
        <f>VLOOKUP($C60,#REF!,62,0)</f>
        <v>#REF!</v>
      </c>
      <c r="AC60" s="770" t="e">
        <f>AB60-AA60</f>
        <v>#REF!</v>
      </c>
      <c r="AD60" s="771" t="e">
        <f>AA60+AC60-AB60</f>
        <v>#REF!</v>
      </c>
      <c r="AE60" s="628" t="s">
        <v>106</v>
      </c>
    </row>
    <row r="61" spans="1:32" customHeight="1" ht="19.5" s="846" customFormat="1">
      <c r="A61" s="1090"/>
      <c r="B61" s="1085"/>
      <c r="C61" s="1044" t="s">
        <v>136</v>
      </c>
      <c r="D61" s="760" t="s">
        <v>137</v>
      </c>
      <c r="E61" s="761" t="s">
        <v>138</v>
      </c>
      <c r="F61" s="1014"/>
      <c r="G61" s="763">
        <v>4</v>
      </c>
      <c r="H61" s="772" t="e">
        <f>VLOOKUP(C61,#REF!,18,0)</f>
        <v>#REF!</v>
      </c>
      <c r="I61" s="624">
        <v>0.0</v>
      </c>
      <c r="J61" s="691">
        <v>0.0</v>
      </c>
      <c r="K61" s="625">
        <v>0.0</v>
      </c>
      <c r="L61" s="624">
        <f>I61+K61-J61</f>
        <v>0</v>
      </c>
      <c r="M61" s="1062" t="e">
        <f>VLOOKUP($C61,#REF!,57,0)-68</f>
        <v>#REF!</v>
      </c>
      <c r="N61" s="625" t="e">
        <f>M61-L61+32+16+268</f>
        <v>#REF!</v>
      </c>
      <c r="O61" s="622" t="e">
        <f>L61+N61-M61</f>
        <v>#REF!</v>
      </c>
      <c r="P61" s="773" t="e">
        <f>VLOOKUP($C61,#REF!,58,0)</f>
        <v>#REF!</v>
      </c>
      <c r="Q61" s="623" t="e">
        <f>P61-O61+100+100</f>
        <v>#REF!</v>
      </c>
      <c r="R61" s="624" t="e">
        <f>O61+Q61-P61</f>
        <v>#REF!</v>
      </c>
      <c r="S61" s="773" t="e">
        <f>VLOOKUP($C61,#REF!,59,0)</f>
        <v>#REF!</v>
      </c>
      <c r="T61" s="625" t="e">
        <f>S61-R61+112</f>
        <v>#REF!</v>
      </c>
      <c r="U61" s="622" t="e">
        <f>R61+T61-S61</f>
        <v>#REF!</v>
      </c>
      <c r="V61" s="773" t="e">
        <f>VLOOKUP($C61,#REF!,60,0)</f>
        <v>#REF!</v>
      </c>
      <c r="W61" s="623" t="e">
        <f>V61-U61+320</f>
        <v>#REF!</v>
      </c>
      <c r="X61" s="624" t="e">
        <f>U61+W61-V61</f>
        <v>#REF!</v>
      </c>
      <c r="Y61" s="773" t="e">
        <f>VLOOKUP($C61,#REF!,61,0)</f>
        <v>#REF!</v>
      </c>
      <c r="Z61" s="625" t="e">
        <f>Y61-X61+180</f>
        <v>#REF!</v>
      </c>
      <c r="AA61" s="622" t="e">
        <f>X61+Z61-Y61</f>
        <v>#REF!</v>
      </c>
      <c r="AB61" s="773" t="e">
        <f>VLOOKUP($C61,#REF!,62,0)</f>
        <v>#REF!</v>
      </c>
      <c r="AC61" s="625" t="e">
        <f>AB61-AA61</f>
        <v>#REF!</v>
      </c>
      <c r="AD61" s="626" t="e">
        <f>AA61+AC61-AB61</f>
        <v>#REF!</v>
      </c>
      <c r="AE61" s="628"/>
    </row>
    <row r="62" spans="1:32" customHeight="1" ht="19.5" s="627" customFormat="1">
      <c r="A62" s="1090"/>
      <c r="B62" s="1085"/>
      <c r="C62" s="1045" t="s">
        <v>139</v>
      </c>
      <c r="D62" s="576" t="s">
        <v>137</v>
      </c>
      <c r="E62" s="915" t="s">
        <v>140</v>
      </c>
      <c r="F62" s="1015"/>
      <c r="G62" s="455">
        <v>4</v>
      </c>
      <c r="H62" s="720" t="e">
        <f>VLOOKUP(C62,#REF!,18,0)</f>
        <v>#REF!</v>
      </c>
      <c r="I62" s="616">
        <v>0.0</v>
      </c>
      <c r="J62" s="691">
        <v>0.0</v>
      </c>
      <c r="K62" s="617">
        <v>0.0</v>
      </c>
      <c r="L62" s="616">
        <f>I62+K62-J62</f>
        <v>0</v>
      </c>
      <c r="M62" s="1062" t="e">
        <f>VLOOKUP($C62,#REF!,57,0)-104</f>
        <v>#REF!</v>
      </c>
      <c r="N62" s="617" t="e">
        <f>M62-L62+128</f>
        <v>#REF!</v>
      </c>
      <c r="O62" s="613" t="e">
        <f>L62+N62-M62</f>
        <v>#REF!</v>
      </c>
      <c r="P62" s="614" t="e">
        <f>VLOOKUP($C62,#REF!,58,0)</f>
        <v>#REF!</v>
      </c>
      <c r="Q62" s="615" t="e">
        <f>P62-O62</f>
        <v>#REF!</v>
      </c>
      <c r="R62" s="616" t="e">
        <f>O62+Q62-P62</f>
        <v>#REF!</v>
      </c>
      <c r="S62" s="614" t="e">
        <f>VLOOKUP($C62,#REF!,59,0)</f>
        <v>#REF!</v>
      </c>
      <c r="T62" s="617" t="e">
        <f>S62-R62</f>
        <v>#REF!</v>
      </c>
      <c r="U62" s="613" t="e">
        <f>R62+T62-S62</f>
        <v>#REF!</v>
      </c>
      <c r="V62" s="614" t="e">
        <f>VLOOKUP($C62,#REF!,60,0)</f>
        <v>#REF!</v>
      </c>
      <c r="W62" s="615" t="e">
        <f>V62-U62</f>
        <v>#REF!</v>
      </c>
      <c r="X62" s="616" t="e">
        <f>U62+W62-V62</f>
        <v>#REF!</v>
      </c>
      <c r="Y62" s="614" t="e">
        <f>VLOOKUP($C62,#REF!,61,0)</f>
        <v>#REF!</v>
      </c>
      <c r="Z62" s="617" t="e">
        <f>Y62-X62</f>
        <v>#REF!</v>
      </c>
      <c r="AA62" s="613" t="e">
        <f>X62+Z62-Y62</f>
        <v>#REF!</v>
      </c>
      <c r="AB62" s="614" t="e">
        <f>VLOOKUP($C62,#REF!,62,0)</f>
        <v>#REF!</v>
      </c>
      <c r="AC62" s="617" t="e">
        <f>AB62-AA62</f>
        <v>#REF!</v>
      </c>
      <c r="AD62" s="618" t="e">
        <f>AA62+AC62-AB62</f>
        <v>#REF!</v>
      </c>
      <c r="AE62" s="612"/>
    </row>
    <row r="63" spans="1:32" customHeight="1" ht="19.5" s="619" customFormat="1">
      <c r="A63" s="1090"/>
      <c r="B63" s="1085"/>
      <c r="C63" s="1045" t="s">
        <v>141</v>
      </c>
      <c r="D63" s="576" t="s">
        <v>137</v>
      </c>
      <c r="E63" s="915" t="s">
        <v>142</v>
      </c>
      <c r="F63" s="1015"/>
      <c r="G63" s="455">
        <v>4</v>
      </c>
      <c r="H63" s="720" t="e">
        <f>VLOOKUP(C63,#REF!,18,0)</f>
        <v>#REF!</v>
      </c>
      <c r="I63" s="616">
        <v>0.0</v>
      </c>
      <c r="J63" s="691">
        <v>0.0</v>
      </c>
      <c r="K63" s="617">
        <v>0.0</v>
      </c>
      <c r="L63" s="616">
        <f>I63+K63-J63</f>
        <v>0</v>
      </c>
      <c r="M63" s="1062" t="e">
        <f>VLOOKUP($C63,#REF!,57,0)</f>
        <v>#REF!</v>
      </c>
      <c r="N63" s="617" t="e">
        <f>M63-L63+444</f>
        <v>#REF!</v>
      </c>
      <c r="O63" s="613" t="e">
        <f>L63+N63-M63</f>
        <v>#REF!</v>
      </c>
      <c r="P63" s="614" t="e">
        <f>VLOOKUP($C63,#REF!,58,0)</f>
        <v>#REF!</v>
      </c>
      <c r="Q63" s="615" t="e">
        <f>P63-O63+100</f>
        <v>#REF!</v>
      </c>
      <c r="R63" s="616" t="e">
        <f>O63+Q63-P63</f>
        <v>#REF!</v>
      </c>
      <c r="S63" s="614" t="e">
        <f>VLOOKUP($C63,#REF!,59,0)</f>
        <v>#REF!</v>
      </c>
      <c r="T63" s="617" t="e">
        <f>S63-R63+312-224</f>
        <v>#REF!</v>
      </c>
      <c r="U63" s="613" t="e">
        <f>R63+T63-S63</f>
        <v>#REF!</v>
      </c>
      <c r="V63" s="614" t="e">
        <f>VLOOKUP($C63,#REF!,60,0)</f>
        <v>#REF!</v>
      </c>
      <c r="W63" s="615" t="e">
        <f>V63-U63+300</f>
        <v>#REF!</v>
      </c>
      <c r="X63" s="616" t="e">
        <f>U63+W63-V63</f>
        <v>#REF!</v>
      </c>
      <c r="Y63" s="614" t="e">
        <f>VLOOKUP($C63,#REF!,61,0)</f>
        <v>#REF!</v>
      </c>
      <c r="Z63" s="617" t="e">
        <f>Y63-X63</f>
        <v>#REF!</v>
      </c>
      <c r="AA63" s="613" t="e">
        <f>X63+Z63-Y63</f>
        <v>#REF!</v>
      </c>
      <c r="AB63" s="614" t="e">
        <f>VLOOKUP($C63,#REF!,62,0)</f>
        <v>#REF!</v>
      </c>
      <c r="AC63" s="617" t="e">
        <f>AB63-AA63</f>
        <v>#REF!</v>
      </c>
      <c r="AD63" s="618" t="e">
        <f>AA63+AC63-AB63</f>
        <v>#REF!</v>
      </c>
      <c r="AE63" s="612"/>
    </row>
    <row r="64" spans="1:32" customHeight="1" ht="19.5" s="856" customFormat="1">
      <c r="A64" s="1090"/>
      <c r="B64" s="1088"/>
      <c r="C64" s="1046" t="s">
        <v>143</v>
      </c>
      <c r="D64" s="847" t="s">
        <v>137</v>
      </c>
      <c r="E64" s="1016" t="s">
        <v>144</v>
      </c>
      <c r="F64" s="1017"/>
      <c r="G64" s="455">
        <v>4</v>
      </c>
      <c r="H64" s="1018" t="e">
        <f>VLOOKUP(C64,#REF!,18,0)</f>
        <v>#REF!</v>
      </c>
      <c r="I64" s="850">
        <v>0.0</v>
      </c>
      <c r="J64" s="755">
        <v>0.0</v>
      </c>
      <c r="K64" s="852">
        <v>0.0</v>
      </c>
      <c r="L64" s="850">
        <f>I64+K64-J64</f>
        <v>0</v>
      </c>
      <c r="M64" s="1064" t="e">
        <f>VLOOKUP($C64,#REF!,57,0)</f>
        <v>#REF!</v>
      </c>
      <c r="N64" s="852" t="e">
        <f>M64-L64+40+16+232</f>
        <v>#REF!</v>
      </c>
      <c r="O64" s="853" t="e">
        <f>L64+N64-M64</f>
        <v>#REF!</v>
      </c>
      <c r="P64" s="1019" t="e">
        <f>VLOOKUP($C64,#REF!,58,0)</f>
        <v>#REF!</v>
      </c>
      <c r="Q64" s="1020" t="e">
        <f>P64-O64+252</f>
        <v>#REF!</v>
      </c>
      <c r="R64" s="850" t="e">
        <f>O64+Q64-P64</f>
        <v>#REF!</v>
      </c>
      <c r="S64" s="1019" t="e">
        <f>VLOOKUP($C64,#REF!,59,0)</f>
        <v>#REF!</v>
      </c>
      <c r="T64" s="852" t="e">
        <f>S64-R64+112</f>
        <v>#REF!</v>
      </c>
      <c r="U64" s="853" t="e">
        <f>R64+T64-S64</f>
        <v>#REF!</v>
      </c>
      <c r="V64" s="1019" t="e">
        <f>VLOOKUP($C64,#REF!,60,0)</f>
        <v>#REF!</v>
      </c>
      <c r="W64" s="1020" t="e">
        <f>V64-U64+300</f>
        <v>#REF!</v>
      </c>
      <c r="X64" s="850" t="e">
        <f>U64+W64-V64</f>
        <v>#REF!</v>
      </c>
      <c r="Y64" s="1019" t="e">
        <f>VLOOKUP($C64,#REF!,61,0)</f>
        <v>#REF!</v>
      </c>
      <c r="Z64" s="852" t="e">
        <f>Y64-X64</f>
        <v>#REF!</v>
      </c>
      <c r="AA64" s="853" t="e">
        <f>X64+Z64-Y64</f>
        <v>#REF!</v>
      </c>
      <c r="AB64" s="1019" t="e">
        <f>VLOOKUP($C64,#REF!,62,0)</f>
        <v>#REF!</v>
      </c>
      <c r="AC64" s="852" t="e">
        <f>AB64-AA64</f>
        <v>#REF!</v>
      </c>
      <c r="AD64" s="854" t="e">
        <f>AA64+AC64-AB64</f>
        <v>#REF!</v>
      </c>
      <c r="AE64" s="855"/>
    </row>
    <row r="65" spans="1:32" customHeight="1" ht="19.5" s="757" customFormat="1">
      <c r="A65" s="1090"/>
      <c r="B65" s="1160" t="s">
        <v>145</v>
      </c>
      <c r="C65" s="906" t="s">
        <v>146</v>
      </c>
      <c r="D65" s="742" t="s">
        <v>147</v>
      </c>
      <c r="E65" s="721" t="s">
        <v>148</v>
      </c>
      <c r="F65" s="722"/>
      <c r="G65" s="723">
        <v>4</v>
      </c>
      <c r="H65" s="946" t="e">
        <f>+H82</f>
        <v>#REF!</v>
      </c>
      <c r="I65" s="609">
        <v>0.0</v>
      </c>
      <c r="J65" s="744">
        <v>0.0</v>
      </c>
      <c r="K65" s="610">
        <v>0.0</v>
      </c>
      <c r="L65" s="624">
        <f>I65+K65-J65</f>
        <v>0</v>
      </c>
      <c r="M65" s="691" t="e">
        <f>VLOOKUP($C65,#REF!,57,0)</f>
        <v>#REF!</v>
      </c>
      <c r="N65" s="625" t="e">
        <f>M65-L65</f>
        <v>#REF!</v>
      </c>
      <c r="O65" s="622" t="e">
        <f>L65+N65-M65</f>
        <v>#REF!</v>
      </c>
      <c r="P65" s="773" t="e">
        <f>VLOOKUP($C65,#REF!,58,0)</f>
        <v>#REF!</v>
      </c>
      <c r="Q65" s="623" t="e">
        <f>P65-O65</f>
        <v>#REF!</v>
      </c>
      <c r="R65" s="624" t="e">
        <f>O65+Q65-P65</f>
        <v>#REF!</v>
      </c>
      <c r="S65" s="773" t="e">
        <f>VLOOKUP($C65,#REF!,59,0)</f>
        <v>#REF!</v>
      </c>
      <c r="T65" s="625" t="e">
        <f>S65-R65</f>
        <v>#REF!</v>
      </c>
      <c r="U65" s="622" t="e">
        <f>R65+T65-S65</f>
        <v>#REF!</v>
      </c>
      <c r="V65" s="773" t="e">
        <f>VLOOKUP($C65,#REF!,60,0)</f>
        <v>#REF!</v>
      </c>
      <c r="W65" s="623" t="e">
        <f>V65-U65</f>
        <v>#REF!</v>
      </c>
      <c r="X65" s="624" t="e">
        <f>U65+W65-V65</f>
        <v>#REF!</v>
      </c>
      <c r="Y65" s="773" t="e">
        <f>VLOOKUP($C65,#REF!,61,0)</f>
        <v>#REF!</v>
      </c>
      <c r="Z65" s="625" t="e">
        <f>Y65-X65</f>
        <v>#REF!</v>
      </c>
      <c r="AA65" s="622" t="e">
        <f>X65+Z65-Y65</f>
        <v>#REF!</v>
      </c>
      <c r="AB65" s="773" t="e">
        <f>VLOOKUP($C65,#REF!,62,0)</f>
        <v>#REF!</v>
      </c>
      <c r="AC65" s="625" t="e">
        <f>AB65-AA65</f>
        <v>#REF!</v>
      </c>
      <c r="AD65" s="626" t="e">
        <f>AA65+AC65-AB65</f>
        <v>#REF!</v>
      </c>
      <c r="AE65" s="612"/>
    </row>
    <row r="66" spans="1:32" customHeight="1" ht="19.5" s="832" customFormat="1">
      <c r="A66" s="1090"/>
      <c r="B66" s="1161"/>
      <c r="C66" s="948" t="s">
        <v>149</v>
      </c>
      <c r="D66" s="949" t="s">
        <v>147</v>
      </c>
      <c r="E66" s="950" t="s">
        <v>150</v>
      </c>
      <c r="F66" s="951"/>
      <c r="G66" s="952">
        <v>4</v>
      </c>
      <c r="H66" s="953" t="e">
        <f>+H83</f>
        <v>#REF!</v>
      </c>
      <c r="I66" s="954"/>
      <c r="J66" s="955"/>
      <c r="K66" s="956"/>
      <c r="L66" s="954"/>
      <c r="M66" s="955"/>
      <c r="N66" s="956"/>
      <c r="O66" s="957"/>
      <c r="P66" s="955"/>
      <c r="Q66" s="958"/>
      <c r="R66" s="954"/>
      <c r="S66" s="955"/>
      <c r="T66" s="956"/>
      <c r="U66" s="957"/>
      <c r="V66" s="955"/>
      <c r="W66" s="956"/>
      <c r="X66" s="954"/>
      <c r="Y66" s="955"/>
      <c r="Z66" s="956"/>
      <c r="AA66" s="957"/>
      <c r="AB66" s="955"/>
      <c r="AC66" s="956"/>
      <c r="AD66" s="618"/>
      <c r="AE66" s="831"/>
    </row>
    <row r="67" spans="1:32" customHeight="1" ht="18.75" s="627" customFormat="1">
      <c r="A67" s="1090"/>
      <c r="B67" s="1161"/>
      <c r="C67" s="948" t="s">
        <v>151</v>
      </c>
      <c r="D67" s="949" t="s">
        <v>147</v>
      </c>
      <c r="E67" s="950" t="s">
        <v>152</v>
      </c>
      <c r="F67" s="951"/>
      <c r="G67" s="952">
        <v>4</v>
      </c>
      <c r="H67" s="953" t="e">
        <f>+H84</f>
        <v>#REF!</v>
      </c>
      <c r="I67" s="954"/>
      <c r="J67" s="955"/>
      <c r="K67" s="956"/>
      <c r="L67" s="954"/>
      <c r="M67" s="955"/>
      <c r="N67" s="956"/>
      <c r="O67" s="957"/>
      <c r="P67" s="955"/>
      <c r="Q67" s="958"/>
      <c r="R67" s="954"/>
      <c r="S67" s="955"/>
      <c r="T67" s="956"/>
      <c r="U67" s="957"/>
      <c r="V67" s="955"/>
      <c r="W67" s="956"/>
      <c r="X67" s="954"/>
      <c r="Y67" s="955"/>
      <c r="Z67" s="956"/>
      <c r="AA67" s="957"/>
      <c r="AB67" s="955"/>
      <c r="AC67" s="956"/>
      <c r="AD67" s="618"/>
      <c r="AE67" s="612"/>
    </row>
    <row r="68" spans="1:32" customHeight="1" ht="20.1" s="627" customFormat="1">
      <c r="A68" s="1090"/>
      <c r="B68" s="1161"/>
      <c r="C68" s="948" t="s">
        <v>153</v>
      </c>
      <c r="D68" s="949" t="s">
        <v>154</v>
      </c>
      <c r="E68" s="950" t="s">
        <v>155</v>
      </c>
      <c r="F68" s="951"/>
      <c r="G68" s="952">
        <v>4</v>
      </c>
      <c r="H68" s="953" t="e">
        <f>+H85</f>
        <v>#REF!</v>
      </c>
      <c r="I68" s="954"/>
      <c r="J68" s="955"/>
      <c r="K68" s="956"/>
      <c r="L68" s="954"/>
      <c r="M68" s="955"/>
      <c r="N68" s="956"/>
      <c r="O68" s="957"/>
      <c r="P68" s="955"/>
      <c r="Q68" s="958"/>
      <c r="R68" s="954"/>
      <c r="S68" s="955"/>
      <c r="T68" s="956"/>
      <c r="U68" s="957"/>
      <c r="V68" s="955"/>
      <c r="W68" s="956"/>
      <c r="X68" s="954"/>
      <c r="Y68" s="955"/>
      <c r="Z68" s="956"/>
      <c r="AA68" s="957"/>
      <c r="AB68" s="955"/>
      <c r="AC68" s="956"/>
      <c r="AD68" s="618"/>
      <c r="AE68" s="612"/>
    </row>
    <row r="69" spans="1:32" customHeight="1" ht="20.1" s="619" customFormat="1">
      <c r="A69" s="1090"/>
      <c r="B69" s="1161"/>
      <c r="C69" s="908" t="s">
        <v>156</v>
      </c>
      <c r="D69" s="760" t="s">
        <v>147</v>
      </c>
      <c r="E69" s="451" t="s">
        <v>157</v>
      </c>
      <c r="F69" s="762"/>
      <c r="G69" s="763">
        <v>4</v>
      </c>
      <c r="H69" s="944" t="e">
        <f>+H86</f>
        <v>#REF!</v>
      </c>
      <c r="I69" s="624">
        <v>0.0</v>
      </c>
      <c r="J69" s="691">
        <v>0.0</v>
      </c>
      <c r="K69" s="625">
        <v>0.0</v>
      </c>
      <c r="L69" s="624">
        <f>I69+K69-J69</f>
        <v>0</v>
      </c>
      <c r="M69" s="691" t="e">
        <f>VLOOKUP($C69,#REF!,57,0)</f>
        <v>#REF!</v>
      </c>
      <c r="N69" s="625" t="e">
        <f>M69-L69</f>
        <v>#REF!</v>
      </c>
      <c r="O69" s="622" t="e">
        <f>L69+N69-M69</f>
        <v>#REF!</v>
      </c>
      <c r="P69" s="614" t="e">
        <f>VLOOKUP($C69,#REF!,58,0)</f>
        <v>#REF!</v>
      </c>
      <c r="Q69" s="623" t="e">
        <f>P69-O69</f>
        <v>#REF!</v>
      </c>
      <c r="R69" s="624" t="e">
        <f>O69+Q69-P69</f>
        <v>#REF!</v>
      </c>
      <c r="S69" s="773" t="e">
        <f>VLOOKUP($C69,#REF!,59,0)</f>
        <v>#REF!</v>
      </c>
      <c r="T69" s="625" t="e">
        <f>S69-R69</f>
        <v>#REF!</v>
      </c>
      <c r="U69" s="622" t="e">
        <f>R69+T69-S69</f>
        <v>#REF!</v>
      </c>
      <c r="V69" s="773" t="e">
        <f>VLOOKUP($C69,#REF!,60,0)</f>
        <v>#REF!</v>
      </c>
      <c r="W69" s="623" t="e">
        <f>V69-U69</f>
        <v>#REF!</v>
      </c>
      <c r="X69" s="624" t="e">
        <f>U69+W69-V69</f>
        <v>#REF!</v>
      </c>
      <c r="Y69" s="773" t="e">
        <f>VLOOKUP($C69,#REF!,61,0)</f>
        <v>#REF!</v>
      </c>
      <c r="Z69" s="625" t="e">
        <f>Y69-X69</f>
        <v>#REF!</v>
      </c>
      <c r="AA69" s="622" t="e">
        <f>X69+Z69-Y69</f>
        <v>#REF!</v>
      </c>
      <c r="AB69" s="773" t="e">
        <f>VLOOKUP($C69,#REF!,62,0)</f>
        <v>#REF!</v>
      </c>
      <c r="AC69" s="625" t="e">
        <f>AB69-AA69</f>
        <v>#REF!</v>
      </c>
      <c r="AD69" s="626" t="e">
        <f>AA69+AC69-AB69</f>
        <v>#REF!</v>
      </c>
      <c r="AE69" s="630"/>
    </row>
    <row r="70" spans="1:32" customHeight="1" ht="20.1" s="612" customFormat="1">
      <c r="A70" s="1090"/>
      <c r="B70" s="1161"/>
      <c r="C70" s="909" t="s">
        <v>158</v>
      </c>
      <c r="D70" s="760" t="s">
        <v>147</v>
      </c>
      <c r="E70" s="286" t="s">
        <v>159</v>
      </c>
      <c r="F70" s="763"/>
      <c r="G70" s="763">
        <v>4</v>
      </c>
      <c r="H70" s="944" t="e">
        <f>+H87</f>
        <v>#REF!</v>
      </c>
      <c r="I70" s="624">
        <v>0.0</v>
      </c>
      <c r="J70" s="691">
        <v>0.0</v>
      </c>
      <c r="K70" s="625">
        <v>0.0</v>
      </c>
      <c r="L70" s="624">
        <f>I70+K70-J70</f>
        <v>0</v>
      </c>
      <c r="M70" s="691" t="e">
        <f>VLOOKUP($C70,#REF!,57,0)</f>
        <v>#REF!</v>
      </c>
      <c r="N70" s="625" t="e">
        <f>M70-L70</f>
        <v>#REF!</v>
      </c>
      <c r="O70" s="622" t="e">
        <f>L70+N70-M70</f>
        <v>#REF!</v>
      </c>
      <c r="P70" s="614" t="e">
        <f>VLOOKUP($C70,#REF!,58,0)</f>
        <v>#REF!</v>
      </c>
      <c r="Q70" s="623" t="e">
        <f>P70-O70</f>
        <v>#REF!</v>
      </c>
      <c r="R70" s="624" t="e">
        <f>O70+Q70-P70</f>
        <v>#REF!</v>
      </c>
      <c r="S70" s="691" t="e">
        <f>VLOOKUP($C70,#REF!,59,0)</f>
        <v>#REF!</v>
      </c>
      <c r="T70" s="625" t="e">
        <f>S70-R70</f>
        <v>#REF!</v>
      </c>
      <c r="U70" s="622" t="e">
        <f>R70+T70-S70</f>
        <v>#REF!</v>
      </c>
      <c r="V70" s="691" t="e">
        <f>VLOOKUP($C70,#REF!,60,0)</f>
        <v>#REF!</v>
      </c>
      <c r="W70" s="625" t="e">
        <f>V70-U70</f>
        <v>#REF!</v>
      </c>
      <c r="X70" s="624" t="e">
        <f>U70+W70-V70</f>
        <v>#REF!</v>
      </c>
      <c r="Y70" s="691" t="e">
        <f>VLOOKUP($C70,#REF!,61,0)</f>
        <v>#REF!</v>
      </c>
      <c r="Z70" s="625" t="e">
        <f>Y70-X70</f>
        <v>#REF!</v>
      </c>
      <c r="AA70" s="622" t="e">
        <f>X70+Z70-Y70</f>
        <v>#REF!</v>
      </c>
      <c r="AB70" s="691" t="e">
        <f>VLOOKUP($C70,#REF!,62,0)</f>
        <v>#REF!</v>
      </c>
      <c r="AC70" s="625" t="e">
        <f>AB70-AA70</f>
        <v>#REF!</v>
      </c>
      <c r="AD70" s="626" t="e">
        <f>AA70+AC70-AB70</f>
        <v>#REF!</v>
      </c>
    </row>
    <row r="71" spans="1:32" customHeight="1" ht="20.1" s="612" customFormat="1">
      <c r="A71" s="1090"/>
      <c r="B71" s="1161"/>
      <c r="C71" s="948" t="s">
        <v>160</v>
      </c>
      <c r="D71" s="949" t="s">
        <v>154</v>
      </c>
      <c r="E71" s="950" t="s">
        <v>161</v>
      </c>
      <c r="F71" s="951"/>
      <c r="G71" s="952">
        <v>4</v>
      </c>
      <c r="H71" s="953" t="e">
        <f>+H88</f>
        <v>#REF!</v>
      </c>
      <c r="I71" s="954"/>
      <c r="J71" s="955"/>
      <c r="K71" s="956"/>
      <c r="L71" s="954"/>
      <c r="M71" s="955"/>
      <c r="N71" s="956"/>
      <c r="O71" s="957"/>
      <c r="P71" s="955"/>
      <c r="Q71" s="958"/>
      <c r="R71" s="954"/>
      <c r="S71" s="955"/>
      <c r="T71" s="956"/>
      <c r="U71" s="957"/>
      <c r="V71" s="955"/>
      <c r="W71" s="956"/>
      <c r="X71" s="954"/>
      <c r="Y71" s="955"/>
      <c r="Z71" s="956"/>
      <c r="AA71" s="957"/>
      <c r="AB71" s="955"/>
      <c r="AC71" s="956"/>
      <c r="AD71" s="618"/>
    </row>
    <row r="72" spans="1:32" customHeight="1" ht="19.5" s="619" customFormat="1">
      <c r="A72" s="1090"/>
      <c r="B72" s="1161"/>
      <c r="C72" s="907" t="s">
        <v>162</v>
      </c>
      <c r="D72" s="576" t="s">
        <v>154</v>
      </c>
      <c r="E72" s="451" t="s">
        <v>163</v>
      </c>
      <c r="F72" s="455"/>
      <c r="G72" s="455">
        <v>4</v>
      </c>
      <c r="H72" s="944" t="e">
        <f>+H89</f>
        <v>#REF!</v>
      </c>
      <c r="I72" s="616">
        <v>0.0</v>
      </c>
      <c r="J72" s="620">
        <v>0.0</v>
      </c>
      <c r="K72" s="617">
        <v>0.0</v>
      </c>
      <c r="L72" s="616">
        <f>I72+K72-J72</f>
        <v>0</v>
      </c>
      <c r="M72" s="620" t="e">
        <f>VLOOKUP($C72,#REF!,57,0)</f>
        <v>#REF!</v>
      </c>
      <c r="N72" s="617" t="e">
        <f>M72-L72</f>
        <v>#REF!</v>
      </c>
      <c r="O72" s="613" t="e">
        <f>L72+N72-M72</f>
        <v>#REF!</v>
      </c>
      <c r="P72" s="620" t="e">
        <f>VLOOKUP($C72,#REF!,58,0)</f>
        <v>#REF!</v>
      </c>
      <c r="Q72" s="615" t="e">
        <f>P72-O72</f>
        <v>#REF!</v>
      </c>
      <c r="R72" s="616" t="e">
        <f>O72+Q72-P72</f>
        <v>#REF!</v>
      </c>
      <c r="S72" s="620" t="e">
        <f>VLOOKUP($C72,#REF!,59,0)</f>
        <v>#REF!</v>
      </c>
      <c r="T72" s="617" t="e">
        <f>S72-R72</f>
        <v>#REF!</v>
      </c>
      <c r="U72" s="613" t="e">
        <f>R72+T72-S72</f>
        <v>#REF!</v>
      </c>
      <c r="V72" s="620" t="e">
        <f>VLOOKUP($C72,#REF!,60,0)</f>
        <v>#REF!</v>
      </c>
      <c r="W72" s="617" t="e">
        <f>V72-U72</f>
        <v>#REF!</v>
      </c>
      <c r="X72" s="616" t="e">
        <f>U72+W72-V72</f>
        <v>#REF!</v>
      </c>
      <c r="Y72" s="620" t="e">
        <f>VLOOKUP($C72,#REF!,61,0)</f>
        <v>#REF!</v>
      </c>
      <c r="Z72" s="617" t="e">
        <f>Y72-X72</f>
        <v>#REF!</v>
      </c>
      <c r="AA72" s="613" t="e">
        <f>X72+Z72-Y72</f>
        <v>#REF!</v>
      </c>
      <c r="AB72" s="620" t="e">
        <f>VLOOKUP($C72,#REF!,62,0)</f>
        <v>#REF!</v>
      </c>
      <c r="AC72" s="617" t="e">
        <f>AB72-AA72</f>
        <v>#REF!</v>
      </c>
      <c r="AD72" s="618" t="e">
        <f>AA72+AC72-AB72</f>
        <v>#REF!</v>
      </c>
      <c r="AE72" s="612"/>
    </row>
    <row r="73" spans="1:32" customHeight="1" ht="19.5" s="619" customFormat="1">
      <c r="A73" s="1090"/>
      <c r="B73" s="1161"/>
      <c r="C73" s="907" t="s">
        <v>164</v>
      </c>
      <c r="D73" s="576" t="s">
        <v>154</v>
      </c>
      <c r="E73" s="451" t="s">
        <v>165</v>
      </c>
      <c r="F73" s="456"/>
      <c r="G73" s="455">
        <v>4</v>
      </c>
      <c r="H73" s="944" t="e">
        <f>+H90</f>
        <v>#REF!</v>
      </c>
      <c r="I73" s="616">
        <v>0.0</v>
      </c>
      <c r="J73" s="620">
        <v>0.0</v>
      </c>
      <c r="K73" s="617">
        <v>0.0</v>
      </c>
      <c r="L73" s="616">
        <f>I73+K73-J73</f>
        <v>0</v>
      </c>
      <c r="M73" s="620" t="e">
        <f>VLOOKUP($C73,#REF!,57,0)</f>
        <v>#REF!</v>
      </c>
      <c r="N73" s="617" t="e">
        <f>M73-L73</f>
        <v>#REF!</v>
      </c>
      <c r="O73" s="613" t="e">
        <f>L73+N73-M73</f>
        <v>#REF!</v>
      </c>
      <c r="P73" s="620" t="e">
        <f>VLOOKUP($C73,#REF!,58,0)</f>
        <v>#REF!</v>
      </c>
      <c r="Q73" s="615" t="e">
        <f>P73-O73</f>
        <v>#REF!</v>
      </c>
      <c r="R73" s="616" t="e">
        <f>O73+Q73-P73</f>
        <v>#REF!</v>
      </c>
      <c r="S73" s="620" t="e">
        <f>VLOOKUP($C73,#REF!,59,0)</f>
        <v>#REF!</v>
      </c>
      <c r="T73" s="617" t="e">
        <f>S73-R73</f>
        <v>#REF!</v>
      </c>
      <c r="U73" s="616" t="e">
        <f>R73+T73-S73</f>
        <v>#REF!</v>
      </c>
      <c r="V73" s="620" t="e">
        <f>VLOOKUP($C73,#REF!,60,0)</f>
        <v>#REF!</v>
      </c>
      <c r="W73" s="617" t="e">
        <f>V73-U73</f>
        <v>#REF!</v>
      </c>
      <c r="X73" s="616" t="e">
        <f>U73+W73-V73</f>
        <v>#REF!</v>
      </c>
      <c r="Y73" s="620" t="e">
        <f>VLOOKUP($C73,#REF!,61,0)</f>
        <v>#REF!</v>
      </c>
      <c r="Z73" s="617" t="e">
        <f>Y73-X73</f>
        <v>#REF!</v>
      </c>
      <c r="AA73" s="613" t="e">
        <f>X73+Z73-Y73</f>
        <v>#REF!</v>
      </c>
      <c r="AB73" s="620" t="e">
        <f>VLOOKUP($C73,#REF!,62,0)</f>
        <v>#REF!</v>
      </c>
      <c r="AC73" s="617" t="e">
        <f>AB73-AA73</f>
        <v>#REF!</v>
      </c>
      <c r="AD73" s="618" t="e">
        <f>AA73+AC73-AB73</f>
        <v>#REF!</v>
      </c>
      <c r="AE73" s="612"/>
    </row>
    <row r="74" spans="1:32" customHeight="1" ht="20.1" s="612" customFormat="1">
      <c r="A74" s="1090"/>
      <c r="B74" s="1161"/>
      <c r="C74" s="926" t="s">
        <v>166</v>
      </c>
      <c r="D74" s="576" t="s">
        <v>167</v>
      </c>
      <c r="E74" s="451" t="s">
        <v>168</v>
      </c>
      <c r="F74" s="455"/>
      <c r="G74" s="455">
        <v>4</v>
      </c>
      <c r="H74" s="1056" t="e">
        <f>VLOOKUP(C74,#REF!,18,0)</f>
        <v>#REF!</v>
      </c>
      <c r="I74" s="616">
        <v>0.0</v>
      </c>
      <c r="J74" s="620">
        <v>0.0</v>
      </c>
      <c r="K74" s="617">
        <v>0.0</v>
      </c>
      <c r="L74" s="624">
        <f>I74+K74-J74</f>
        <v>0</v>
      </c>
      <c r="M74" s="691" t="e">
        <f>VLOOKUP($C74,#REF!,57,0)</f>
        <v>#REF!</v>
      </c>
      <c r="N74" s="625" t="e">
        <f>M74-L74</f>
        <v>#REF!</v>
      </c>
      <c r="O74" s="622" t="e">
        <f>L74+N74-M74</f>
        <v>#REF!</v>
      </c>
      <c r="P74" s="691" t="e">
        <f>VLOOKUP($C74,#REF!,58,0)</f>
        <v>#REF!</v>
      </c>
      <c r="Q74" s="625" t="e">
        <f>P74-O74</f>
        <v>#REF!</v>
      </c>
      <c r="R74" s="624" t="e">
        <f>O74+Q74-P74</f>
        <v>#REF!</v>
      </c>
      <c r="S74" s="691" t="e">
        <f>VLOOKUP($C74,#REF!,59,0)</f>
        <v>#REF!</v>
      </c>
      <c r="T74" s="625" t="e">
        <f>S74-R74</f>
        <v>#REF!</v>
      </c>
      <c r="U74" s="622" t="e">
        <f>R74+T74-S74</f>
        <v>#REF!</v>
      </c>
      <c r="V74" s="691" t="e">
        <f>VLOOKUP($C74,#REF!,60,0)</f>
        <v>#REF!</v>
      </c>
      <c r="W74" s="625" t="e">
        <f>V74-U74</f>
        <v>#REF!</v>
      </c>
      <c r="X74" s="624" t="e">
        <f>U74+W74-V74</f>
        <v>#REF!</v>
      </c>
      <c r="Y74" s="691" t="e">
        <f>VLOOKUP($C74,#REF!,61,0)</f>
        <v>#REF!</v>
      </c>
      <c r="Z74" s="625" t="e">
        <f>Y74-X74</f>
        <v>#REF!</v>
      </c>
      <c r="AA74" s="622" t="e">
        <f>X74+Z74-Y74</f>
        <v>#REF!</v>
      </c>
      <c r="AB74" s="691" t="e">
        <f>VLOOKUP($C74,#REF!,62,0)</f>
        <v>#REF!</v>
      </c>
      <c r="AC74" s="625" t="e">
        <f>AB74-AA74</f>
        <v>#REF!</v>
      </c>
      <c r="AD74" s="626" t="e">
        <f>AA74+AC74-AB74</f>
        <v>#REF!</v>
      </c>
      <c r="AE74" s="612" t="s">
        <v>169</v>
      </c>
    </row>
    <row r="75" spans="1:32" customHeight="1" ht="19.5" s="619" customFormat="1">
      <c r="A75" s="1090"/>
      <c r="B75" s="1161"/>
      <c r="C75" s="907" t="s">
        <v>170</v>
      </c>
      <c r="D75" s="576" t="s">
        <v>154</v>
      </c>
      <c r="E75" s="451" t="s">
        <v>171</v>
      </c>
      <c r="F75" s="456"/>
      <c r="G75" s="455">
        <v>4</v>
      </c>
      <c r="H75" s="943" t="e">
        <f>+H91</f>
        <v>#REF!</v>
      </c>
      <c r="I75" s="624">
        <v>0.0</v>
      </c>
      <c r="J75" s="620">
        <v>0.0</v>
      </c>
      <c r="K75" s="625">
        <v>0.0</v>
      </c>
      <c r="L75" s="616">
        <f>I75+K75-J75</f>
        <v>0</v>
      </c>
      <c r="M75" s="691" t="e">
        <f>VLOOKUP($C75,#REF!,57,0)</f>
        <v>#REF!</v>
      </c>
      <c r="N75" s="617" t="e">
        <f>M75-L75</f>
        <v>#REF!</v>
      </c>
      <c r="O75" s="613" t="e">
        <f>L75+N75-M75</f>
        <v>#REF!</v>
      </c>
      <c r="P75" s="614" t="e">
        <f>VLOOKUP($C75,#REF!,58,0)</f>
        <v>#REF!</v>
      </c>
      <c r="Q75" s="615" t="e">
        <f>P75-O75</f>
        <v>#REF!</v>
      </c>
      <c r="R75" s="616" t="e">
        <f>O75+Q75-P75</f>
        <v>#REF!</v>
      </c>
      <c r="S75" s="614" t="e">
        <f>VLOOKUP($C75,#REF!,59,0)</f>
        <v>#REF!</v>
      </c>
      <c r="T75" s="617" t="e">
        <f>S75-R75</f>
        <v>#REF!</v>
      </c>
      <c r="U75" s="613" t="e">
        <f>R75+T75-S75</f>
        <v>#REF!</v>
      </c>
      <c r="V75" s="614" t="e">
        <f>VLOOKUP($C75,#REF!,60,0)</f>
        <v>#REF!</v>
      </c>
      <c r="W75" s="615" t="e">
        <f>V75-U75</f>
        <v>#REF!</v>
      </c>
      <c r="X75" s="616" t="e">
        <f>U75+W75-V75</f>
        <v>#REF!</v>
      </c>
      <c r="Y75" s="614" t="e">
        <f>VLOOKUP($C75,#REF!,61,0)</f>
        <v>#REF!</v>
      </c>
      <c r="Z75" s="617" t="e">
        <f>Y75-X75</f>
        <v>#REF!</v>
      </c>
      <c r="AA75" s="613" t="e">
        <f>X75+Z75-Y75</f>
        <v>#REF!</v>
      </c>
      <c r="AB75" s="614" t="e">
        <f>VLOOKUP($C75,#REF!,62,0)</f>
        <v>#REF!</v>
      </c>
      <c r="AC75" s="617" t="e">
        <f>AB75-AA75</f>
        <v>#REF!</v>
      </c>
      <c r="AD75" s="618" t="e">
        <f>AA75+AC75-AB75</f>
        <v>#REF!</v>
      </c>
      <c r="AE75" s="612"/>
    </row>
    <row r="76" spans="1:32" customHeight="1" ht="20.1" s="662" customFormat="1">
      <c r="A76" s="1090"/>
      <c r="B76" s="1161"/>
      <c r="C76" s="948" t="s">
        <v>172</v>
      </c>
      <c r="D76" s="949" t="s">
        <v>154</v>
      </c>
      <c r="E76" s="950" t="s">
        <v>173</v>
      </c>
      <c r="F76" s="952"/>
      <c r="G76" s="952">
        <v>4</v>
      </c>
      <c r="H76" s="1008" t="e">
        <f>+H92</f>
        <v>#REF!</v>
      </c>
      <c r="I76" s="954"/>
      <c r="J76" s="955"/>
      <c r="K76" s="956"/>
      <c r="L76" s="1009"/>
      <c r="M76" s="1010"/>
      <c r="N76" s="1011"/>
      <c r="O76" s="1012"/>
      <c r="P76" s="1010"/>
      <c r="Q76" s="1011"/>
      <c r="R76" s="1009"/>
      <c r="S76" s="1010"/>
      <c r="T76" s="1011"/>
      <c r="U76" s="1012"/>
      <c r="V76" s="1010"/>
      <c r="W76" s="1011"/>
      <c r="X76" s="1009"/>
      <c r="Y76" s="1010"/>
      <c r="Z76" s="1011"/>
      <c r="AA76" s="1012"/>
      <c r="AB76" s="1010"/>
      <c r="AC76" s="1011"/>
      <c r="AD76" s="626"/>
      <c r="AE76" s="659"/>
    </row>
    <row r="77" spans="1:32" customHeight="1" ht="20.1" s="612" customFormat="1">
      <c r="A77" s="1090"/>
      <c r="B77" s="1161"/>
      <c r="C77" s="1013" t="s">
        <v>174</v>
      </c>
      <c r="D77" s="949" t="s">
        <v>154</v>
      </c>
      <c r="E77" s="950" t="s">
        <v>175</v>
      </c>
      <c r="F77" s="951"/>
      <c r="G77" s="952">
        <v>4</v>
      </c>
      <c r="H77" s="953" t="e">
        <f>+H93</f>
        <v>#REF!</v>
      </c>
      <c r="I77" s="1009"/>
      <c r="J77" s="955"/>
      <c r="K77" s="1011"/>
      <c r="L77" s="954"/>
      <c r="M77" s="1010"/>
      <c r="N77" s="956"/>
      <c r="O77" s="957"/>
      <c r="P77" s="955"/>
      <c r="Q77" s="958"/>
      <c r="R77" s="954"/>
      <c r="S77" s="955"/>
      <c r="T77" s="956"/>
      <c r="U77" s="957"/>
      <c r="V77" s="955"/>
      <c r="W77" s="956"/>
      <c r="X77" s="954"/>
      <c r="Y77" s="955"/>
      <c r="Z77" s="956"/>
      <c r="AA77" s="957"/>
      <c r="AB77" s="955"/>
      <c r="AC77" s="956"/>
      <c r="AD77" s="618"/>
    </row>
    <row r="78" spans="1:32" customHeight="1" ht="19.5" s="619" customFormat="1">
      <c r="A78" s="1090"/>
      <c r="B78" s="1161"/>
      <c r="C78" s="948" t="s">
        <v>176</v>
      </c>
      <c r="D78" s="949" t="s">
        <v>154</v>
      </c>
      <c r="E78" s="950" t="s">
        <v>177</v>
      </c>
      <c r="F78" s="951"/>
      <c r="G78" s="952">
        <v>4</v>
      </c>
      <c r="H78" s="953" t="e">
        <f>+H94</f>
        <v>#REF!</v>
      </c>
      <c r="I78" s="954"/>
      <c r="J78" s="955"/>
      <c r="K78" s="956"/>
      <c r="L78" s="954"/>
      <c r="M78" s="955"/>
      <c r="N78" s="956"/>
      <c r="O78" s="957"/>
      <c r="P78" s="955"/>
      <c r="Q78" s="958"/>
      <c r="R78" s="954"/>
      <c r="S78" s="955"/>
      <c r="T78" s="956"/>
      <c r="U78" s="957"/>
      <c r="V78" s="955"/>
      <c r="W78" s="956"/>
      <c r="X78" s="954"/>
      <c r="Y78" s="955"/>
      <c r="Z78" s="956"/>
      <c r="AA78" s="957"/>
      <c r="AB78" s="955"/>
      <c r="AC78" s="956"/>
      <c r="AD78" s="618"/>
      <c r="AE78" s="612"/>
    </row>
    <row r="79" spans="1:32" customHeight="1" ht="19.5" s="619" customFormat="1">
      <c r="A79" s="1090"/>
      <c r="B79" s="1161"/>
      <c r="C79" s="907" t="s">
        <v>178</v>
      </c>
      <c r="D79" s="844" t="s">
        <v>154</v>
      </c>
      <c r="E79" s="451" t="s">
        <v>179</v>
      </c>
      <c r="F79" s="456"/>
      <c r="G79" s="763">
        <v>4</v>
      </c>
      <c r="H79" s="947" t="e">
        <f>+H95</f>
        <v>#REF!</v>
      </c>
      <c r="I79" s="624">
        <v>0.0</v>
      </c>
      <c r="J79" s="691">
        <v>0.0</v>
      </c>
      <c r="K79" s="625">
        <v>0.0</v>
      </c>
      <c r="L79" s="616">
        <f>I79+K79-J79</f>
        <v>0</v>
      </c>
      <c r="M79" s="620" t="e">
        <f>VLOOKUP($C79,#REF!,57,0)</f>
        <v>#REF!</v>
      </c>
      <c r="N79" s="617" t="e">
        <f>M79-L79</f>
        <v>#REF!</v>
      </c>
      <c r="O79" s="613" t="e">
        <f>L79+N79-M79</f>
        <v>#REF!</v>
      </c>
      <c r="P79" s="620" t="e">
        <f>VLOOKUP($C79,#REF!,58,0)</f>
        <v>#REF!</v>
      </c>
      <c r="Q79" s="615" t="e">
        <f>P79-O79</f>
        <v>#REF!</v>
      </c>
      <c r="R79" s="616" t="e">
        <f>O79+Q79-P79</f>
        <v>#REF!</v>
      </c>
      <c r="S79" s="620" t="e">
        <f>VLOOKUP($C79,#REF!,59,0)</f>
        <v>#REF!</v>
      </c>
      <c r="T79" s="617" t="e">
        <f>S79-R79</f>
        <v>#REF!</v>
      </c>
      <c r="U79" s="613" t="e">
        <f>R79+T79-S79</f>
        <v>#REF!</v>
      </c>
      <c r="V79" s="620" t="e">
        <f>VLOOKUP($C79,#REF!,60,0)</f>
        <v>#REF!</v>
      </c>
      <c r="W79" s="617" t="e">
        <f>V79-U79</f>
        <v>#REF!</v>
      </c>
      <c r="X79" s="616" t="e">
        <f>U79+W79-V79</f>
        <v>#REF!</v>
      </c>
      <c r="Y79" s="620" t="e">
        <f>VLOOKUP($C79,#REF!,61,0)</f>
        <v>#REF!</v>
      </c>
      <c r="Z79" s="617" t="e">
        <f>Y79-X79</f>
        <v>#REF!</v>
      </c>
      <c r="AA79" s="613" t="e">
        <f>X79+Z79-Y79</f>
        <v>#REF!</v>
      </c>
      <c r="AB79" s="620" t="e">
        <f>VLOOKUP($C79,#REF!,62,0)</f>
        <v>#REF!</v>
      </c>
      <c r="AC79" s="617" t="e">
        <f>AB79-AA79</f>
        <v>#REF!</v>
      </c>
      <c r="AD79" s="618" t="e">
        <f>AA79+AC79-AB79</f>
        <v>#REF!</v>
      </c>
      <c r="AE79" s="612"/>
    </row>
    <row r="80" spans="1:32" customHeight="1" ht="20.1" s="612" customFormat="1">
      <c r="A80" s="1090"/>
      <c r="B80" s="1161"/>
      <c r="C80" s="907" t="s">
        <v>180</v>
      </c>
      <c r="D80" s="843" t="s">
        <v>154</v>
      </c>
      <c r="E80" s="451" t="s">
        <v>181</v>
      </c>
      <c r="F80" s="762"/>
      <c r="G80" s="763">
        <v>4</v>
      </c>
      <c r="H80" s="945" t="e">
        <f>+H96</f>
        <v>#REF!</v>
      </c>
      <c r="I80" s="624">
        <v>0.0</v>
      </c>
      <c r="J80" s="691">
        <v>0.0</v>
      </c>
      <c r="K80" s="625">
        <v>0.0</v>
      </c>
      <c r="L80" s="624">
        <f>I80+K80-J80</f>
        <v>0</v>
      </c>
      <c r="M80" s="620" t="e">
        <f>VLOOKUP($C80,#REF!,57,0)</f>
        <v>#REF!</v>
      </c>
      <c r="N80" s="625" t="e">
        <f>M80-L80</f>
        <v>#REF!</v>
      </c>
      <c r="O80" s="622" t="e">
        <f>L80+N80-M80</f>
        <v>#REF!</v>
      </c>
      <c r="P80" s="691" t="e">
        <f>VLOOKUP($C80,#REF!,58,0)</f>
        <v>#REF!</v>
      </c>
      <c r="Q80" s="625" t="e">
        <f>P80-O80</f>
        <v>#REF!</v>
      </c>
      <c r="R80" s="624" t="e">
        <f>O80+Q80-P80</f>
        <v>#REF!</v>
      </c>
      <c r="S80" s="691" t="e">
        <f>VLOOKUP($C80,#REF!,59,0)</f>
        <v>#REF!</v>
      </c>
      <c r="T80" s="625" t="e">
        <f>S80-R80</f>
        <v>#REF!</v>
      </c>
      <c r="U80" s="622" t="e">
        <f>R80+T80-S80</f>
        <v>#REF!</v>
      </c>
      <c r="V80" s="691" t="e">
        <f>VLOOKUP($C80,#REF!,60,0)</f>
        <v>#REF!</v>
      </c>
      <c r="W80" s="625" t="e">
        <f>V80-U80</f>
        <v>#REF!</v>
      </c>
      <c r="X80" s="624" t="e">
        <f>U80+W80-V80</f>
        <v>#REF!</v>
      </c>
      <c r="Y80" s="691" t="e">
        <f>VLOOKUP($C80,#REF!,61,0)</f>
        <v>#REF!</v>
      </c>
      <c r="Z80" s="625" t="e">
        <f>Y80-X80</f>
        <v>#REF!</v>
      </c>
      <c r="AA80" s="622" t="e">
        <f>X80+Z80-Y80</f>
        <v>#REF!</v>
      </c>
      <c r="AB80" s="691" t="e">
        <f>VLOOKUP($C80,#REF!,62,0)</f>
        <v>#REF!</v>
      </c>
      <c r="AC80" s="625" t="e">
        <f>AB80-AA80</f>
        <v>#REF!</v>
      </c>
      <c r="AD80" s="626" t="e">
        <f>AA80+AC80-AB80</f>
        <v>#REF!</v>
      </c>
    </row>
    <row r="81" spans="1:32" customHeight="1" ht="19.5" s="629" customFormat="1">
      <c r="A81" s="1090"/>
      <c r="B81" s="1161"/>
      <c r="C81" s="959" t="s">
        <v>182</v>
      </c>
      <c r="D81" s="960" t="s">
        <v>154</v>
      </c>
      <c r="E81" s="961" t="s">
        <v>183</v>
      </c>
      <c r="F81" s="1054"/>
      <c r="G81" s="962">
        <v>4</v>
      </c>
      <c r="H81" s="963" t="e">
        <f>+H97</f>
        <v>#REF!</v>
      </c>
      <c r="I81" s="964"/>
      <c r="J81" s="965"/>
      <c r="K81" s="966"/>
      <c r="L81" s="964"/>
      <c r="M81" s="965"/>
      <c r="N81" s="966"/>
      <c r="O81" s="967"/>
      <c r="P81" s="965"/>
      <c r="Q81" s="968"/>
      <c r="R81" s="964"/>
      <c r="S81" s="965"/>
      <c r="T81" s="966"/>
      <c r="U81" s="967"/>
      <c r="V81" s="965"/>
      <c r="W81" s="966"/>
      <c r="X81" s="964"/>
      <c r="Y81" s="965"/>
      <c r="Z81" s="966"/>
      <c r="AA81" s="967"/>
      <c r="AB81" s="965"/>
      <c r="AC81" s="966"/>
      <c r="AD81" s="771"/>
      <c r="AE81" s="628"/>
    </row>
    <row r="82" spans="1:32" customHeight="1" ht="20.1" s="662" customFormat="1">
      <c r="A82" s="1090"/>
      <c r="B82" s="1161"/>
      <c r="C82" s="925" t="s">
        <v>184</v>
      </c>
      <c r="D82" s="760" t="s">
        <v>167</v>
      </c>
      <c r="E82" s="286" t="s">
        <v>185</v>
      </c>
      <c r="F82" s="762"/>
      <c r="G82" s="763">
        <v>4</v>
      </c>
      <c r="H82" s="1061" t="e">
        <f>VLOOKUP(C82,#REF!,18,0)</f>
        <v>#REF!</v>
      </c>
      <c r="I82" s="624">
        <v>0.0</v>
      </c>
      <c r="J82" s="691">
        <v>0.0</v>
      </c>
      <c r="K82" s="625">
        <v>0.0</v>
      </c>
      <c r="L82" s="624">
        <f>I82+K82-J82</f>
        <v>0</v>
      </c>
      <c r="M82" s="691" t="e">
        <f>VLOOKUP($C82,#REF!,57,0)</f>
        <v>#REF!</v>
      </c>
      <c r="N82" s="625" t="e">
        <f>M82-L82</f>
        <v>#REF!</v>
      </c>
      <c r="O82" s="622" t="e">
        <f>L82+N82-M82</f>
        <v>#REF!</v>
      </c>
      <c r="P82" s="691" t="e">
        <f>VLOOKUP($C82,#REF!,58,0)</f>
        <v>#REF!</v>
      </c>
      <c r="Q82" s="625" t="e">
        <f>P82-O82</f>
        <v>#REF!</v>
      </c>
      <c r="R82" s="624" t="e">
        <f>O82+Q82-P82</f>
        <v>#REF!</v>
      </c>
      <c r="S82" s="691" t="e">
        <f>VLOOKUP($C82,#REF!,59,0)</f>
        <v>#REF!</v>
      </c>
      <c r="T82" s="625" t="e">
        <f>S82-R82</f>
        <v>#REF!</v>
      </c>
      <c r="U82" s="622" t="e">
        <f>R82+T82-S82</f>
        <v>#REF!</v>
      </c>
      <c r="V82" s="691" t="e">
        <f>VLOOKUP($C82,#REF!,60,0)</f>
        <v>#REF!</v>
      </c>
      <c r="W82" s="625" t="e">
        <f>V82-U82</f>
        <v>#REF!</v>
      </c>
      <c r="X82" s="624" t="e">
        <f>U82+W82-V82</f>
        <v>#REF!</v>
      </c>
      <c r="Y82" s="691" t="e">
        <f>VLOOKUP($C82,#REF!,61,0)</f>
        <v>#REF!</v>
      </c>
      <c r="Z82" s="625" t="e">
        <f>Y82-X82</f>
        <v>#REF!</v>
      </c>
      <c r="AA82" s="622" t="e">
        <f>X82+Z82-Y82</f>
        <v>#REF!</v>
      </c>
      <c r="AB82" s="691" t="e">
        <f>VLOOKUP($C82,#REF!,62,0)</f>
        <v>#REF!</v>
      </c>
      <c r="AC82" s="625" t="e">
        <f>AB82-AA82</f>
        <v>#REF!</v>
      </c>
      <c r="AD82" s="626" t="e">
        <f>AA82+AC82-AB82</f>
        <v>#REF!</v>
      </c>
      <c r="AE82" s="659"/>
    </row>
    <row r="83" spans="1:32" customHeight="1" ht="20.1" s="662" customFormat="1">
      <c r="A83" s="1090"/>
      <c r="B83" s="1161"/>
      <c r="C83" s="926" t="s">
        <v>186</v>
      </c>
      <c r="D83" s="576" t="s">
        <v>167</v>
      </c>
      <c r="E83" s="451" t="s">
        <v>187</v>
      </c>
      <c r="F83" s="456"/>
      <c r="G83" s="455">
        <v>4</v>
      </c>
      <c r="H83" s="689" t="e">
        <f>VLOOKUP(C83,#REF!,18,0)</f>
        <v>#REF!</v>
      </c>
      <c r="I83" s="624">
        <v>0.0</v>
      </c>
      <c r="J83" s="620">
        <v>128</v>
      </c>
      <c r="K83" s="625">
        <v>128</v>
      </c>
      <c r="L83" s="624">
        <f>I83+K83-J83</f>
        <v>0</v>
      </c>
      <c r="M83" s="620" t="e">
        <f>VLOOKUP($C83,#REF!,57,0)</f>
        <v>#REF!</v>
      </c>
      <c r="N83" s="617" t="e">
        <f>M83-L83+4</f>
        <v>#REF!</v>
      </c>
      <c r="O83" s="622" t="e">
        <f>L83+N83-M83</f>
        <v>#REF!</v>
      </c>
      <c r="P83" s="691" t="e">
        <f>VLOOKUP($C83,#REF!,58,0)</f>
        <v>#REF!</v>
      </c>
      <c r="Q83" s="625" t="e">
        <f>P83-O83</f>
        <v>#REF!</v>
      </c>
      <c r="R83" s="624" t="e">
        <f>O83+Q83-P83</f>
        <v>#REF!</v>
      </c>
      <c r="S83" s="691" t="e">
        <f>VLOOKUP($C83,#REF!,59,0)</f>
        <v>#REF!</v>
      </c>
      <c r="T83" s="625" t="e">
        <f>S83-R83</f>
        <v>#REF!</v>
      </c>
      <c r="U83" s="622" t="e">
        <f>R83+T83-S83</f>
        <v>#REF!</v>
      </c>
      <c r="V83" s="691" t="e">
        <f>VLOOKUP($C83,#REF!,60,0)</f>
        <v>#REF!</v>
      </c>
      <c r="W83" s="625" t="e">
        <f>V83-U83</f>
        <v>#REF!</v>
      </c>
      <c r="X83" s="624" t="e">
        <f>U83+W83-V83</f>
        <v>#REF!</v>
      </c>
      <c r="Y83" s="691" t="e">
        <f>VLOOKUP($C83,#REF!,61,0)</f>
        <v>#REF!</v>
      </c>
      <c r="Z83" s="625" t="e">
        <f>Y83-X83</f>
        <v>#REF!</v>
      </c>
      <c r="AA83" s="622" t="e">
        <f>X83+Z83-Y83</f>
        <v>#REF!</v>
      </c>
      <c r="AB83" s="691" t="e">
        <f>VLOOKUP($C83,#REF!,62,0)</f>
        <v>#REF!</v>
      </c>
      <c r="AC83" s="625" t="e">
        <f>AB83-AA83</f>
        <v>#REF!</v>
      </c>
      <c r="AD83" s="626" t="e">
        <f>AA83+AC83-AB83</f>
        <v>#REF!</v>
      </c>
      <c r="AE83" s="659"/>
    </row>
    <row r="84" spans="1:32" customHeight="1" ht="19.5" s="757" customFormat="1">
      <c r="A84" s="1090"/>
      <c r="B84" s="1161"/>
      <c r="C84" s="926" t="s">
        <v>188</v>
      </c>
      <c r="D84" s="844" t="s">
        <v>167</v>
      </c>
      <c r="E84" s="451" t="s">
        <v>189</v>
      </c>
      <c r="F84" s="456"/>
      <c r="G84" s="763">
        <v>4</v>
      </c>
      <c r="H84" s="898" t="e">
        <f>VLOOKUP(C84,#REF!,18,0)</f>
        <v>#REF!</v>
      </c>
      <c r="I84" s="624">
        <v>0.0</v>
      </c>
      <c r="J84" s="691">
        <v>232</v>
      </c>
      <c r="K84" s="625">
        <v>232</v>
      </c>
      <c r="L84" s="624">
        <f>I84+K84-J84</f>
        <v>0</v>
      </c>
      <c r="M84" s="691" t="e">
        <f>VLOOKUP($C84,#REF!,57,0)</f>
        <v>#REF!</v>
      </c>
      <c r="N84" s="617" t="e">
        <f>M84-L84+24+16</f>
        <v>#REF!</v>
      </c>
      <c r="O84" s="622" t="e">
        <f>L84+N84-M84</f>
        <v>#REF!</v>
      </c>
      <c r="P84" s="773" t="e">
        <f>VLOOKUP($C84,#REF!,58,0)</f>
        <v>#REF!</v>
      </c>
      <c r="Q84" s="623" t="e">
        <f>P84-O84</f>
        <v>#REF!</v>
      </c>
      <c r="R84" s="624" t="e">
        <f>O84+Q84-P84</f>
        <v>#REF!</v>
      </c>
      <c r="S84" s="773" t="e">
        <f>VLOOKUP($C84,#REF!,59,0)</f>
        <v>#REF!</v>
      </c>
      <c r="T84" s="625" t="e">
        <f>S84-R84</f>
        <v>#REF!</v>
      </c>
      <c r="U84" s="622" t="e">
        <f>R84+T84-S84</f>
        <v>#REF!</v>
      </c>
      <c r="V84" s="773" t="e">
        <f>VLOOKUP($C84,#REF!,60,0)</f>
        <v>#REF!</v>
      </c>
      <c r="W84" s="623" t="e">
        <f>V84-U84</f>
        <v>#REF!</v>
      </c>
      <c r="X84" s="624" t="e">
        <f>U84+W84-V84</f>
        <v>#REF!</v>
      </c>
      <c r="Y84" s="773" t="e">
        <f>VLOOKUP($C84,#REF!,61,0)</f>
        <v>#REF!</v>
      </c>
      <c r="Z84" s="625" t="e">
        <f>Y84-X84</f>
        <v>#REF!</v>
      </c>
      <c r="AA84" s="622" t="e">
        <f>X84+Z84-Y84</f>
        <v>#REF!</v>
      </c>
      <c r="AB84" s="773" t="e">
        <f>VLOOKUP($C84,#REF!,62,0)</f>
        <v>#REF!</v>
      </c>
      <c r="AC84" s="625" t="e">
        <f>AB84-AA84</f>
        <v>#REF!</v>
      </c>
      <c r="AD84" s="626" t="e">
        <f>AA84+AC84-AB84</f>
        <v>#REF!</v>
      </c>
      <c r="AE84" s="845"/>
    </row>
    <row r="85" spans="1:32" customHeight="1" ht="19.5" s="757" customFormat="1">
      <c r="A85" s="1090"/>
      <c r="B85" s="1161"/>
      <c r="C85" s="926" t="s">
        <v>190</v>
      </c>
      <c r="D85" s="843" t="s">
        <v>167</v>
      </c>
      <c r="E85" s="451" t="s">
        <v>191</v>
      </c>
      <c r="F85" s="762"/>
      <c r="G85" s="763">
        <v>4</v>
      </c>
      <c r="H85" s="772" t="e">
        <f>VLOOKUP(C85,#REF!,18,0)</f>
        <v>#REF!</v>
      </c>
      <c r="I85" s="624">
        <v>640</v>
      </c>
      <c r="J85" s="691">
        <v>3484</v>
      </c>
      <c r="K85" s="625">
        <v>3284</v>
      </c>
      <c r="L85" s="624">
        <f>I85+K85-J85</f>
        <v>440</v>
      </c>
      <c r="M85" s="691" t="e">
        <f>VLOOKUP($C85,#REF!,57,0)</f>
        <v>#REF!</v>
      </c>
      <c r="N85" s="617" t="e">
        <f>M85-L85+40-4+376</f>
        <v>#REF!</v>
      </c>
      <c r="O85" s="622" t="e">
        <f>L85+N85-M85</f>
        <v>#REF!</v>
      </c>
      <c r="P85" s="773" t="e">
        <f>VLOOKUP($C85,#REF!,58,0)</f>
        <v>#REF!</v>
      </c>
      <c r="Q85" s="623" t="e">
        <f>P85-O85+944-160</f>
        <v>#REF!</v>
      </c>
      <c r="R85" s="624" t="e">
        <f>O85+Q85-P85</f>
        <v>#REF!</v>
      </c>
      <c r="S85" s="773" t="e">
        <f>VLOOKUP($C85,#REF!,59,0)</f>
        <v>#REF!</v>
      </c>
      <c r="T85" s="625" t="e">
        <f>S85-R85+556</f>
        <v>#REF!</v>
      </c>
      <c r="U85" s="622" t="e">
        <f>R85+T85-S85</f>
        <v>#REF!</v>
      </c>
      <c r="V85" s="773" t="e">
        <f>VLOOKUP($C85,#REF!,60,0)</f>
        <v>#REF!</v>
      </c>
      <c r="W85" s="623" t="e">
        <f>V85-U85+588</f>
        <v>#REF!</v>
      </c>
      <c r="X85" s="624" t="e">
        <f>U85+W85-V85</f>
        <v>#REF!</v>
      </c>
      <c r="Y85" s="773" t="e">
        <f>VLOOKUP($C85,#REF!,61,0)</f>
        <v>#REF!</v>
      </c>
      <c r="Z85" s="625" t="e">
        <f>Y85-X85+300</f>
        <v>#REF!</v>
      </c>
      <c r="AA85" s="622" t="e">
        <f>X85+Z85-Y85</f>
        <v>#REF!</v>
      </c>
      <c r="AB85" s="773" t="e">
        <f>VLOOKUP($C85,#REF!,62,0)</f>
        <v>#REF!</v>
      </c>
      <c r="AC85" s="625" t="e">
        <f>AB85-AA85</f>
        <v>#REF!</v>
      </c>
      <c r="AD85" s="626" t="e">
        <f>AA85+AC85-AB85</f>
        <v>#REF!</v>
      </c>
      <c r="AE85" s="612"/>
    </row>
    <row r="86" spans="1:32" customHeight="1" ht="19.5" s="619" customFormat="1">
      <c r="A86" s="1090"/>
      <c r="B86" s="1161"/>
      <c r="C86" s="927" t="s">
        <v>192</v>
      </c>
      <c r="D86" s="576" t="s">
        <v>167</v>
      </c>
      <c r="E86" s="451" t="s">
        <v>193</v>
      </c>
      <c r="F86" s="456"/>
      <c r="G86" s="455">
        <v>4</v>
      </c>
      <c r="H86" s="1057" t="e">
        <f>VLOOKUP(C86,#REF!,18,0)</f>
        <v>#REF!</v>
      </c>
      <c r="I86" s="616">
        <v>0.0</v>
      </c>
      <c r="J86" s="620">
        <v>0.0</v>
      </c>
      <c r="K86" s="617">
        <v>0.0</v>
      </c>
      <c r="L86" s="616">
        <f>I86+K86-J86</f>
        <v>0</v>
      </c>
      <c r="M86" s="691" t="e">
        <f>VLOOKUP($C86,#REF!,57,0)</f>
        <v>#REF!</v>
      </c>
      <c r="N86" s="617" t="e">
        <f>M86-L86</f>
        <v>#REF!</v>
      </c>
      <c r="O86" s="613" t="e">
        <f>L86+N86-M86</f>
        <v>#REF!</v>
      </c>
      <c r="P86" s="773" t="e">
        <f>VLOOKUP($C86,#REF!,58,0)</f>
        <v>#REF!</v>
      </c>
      <c r="Q86" s="615" t="e">
        <f>P86-O86</f>
        <v>#REF!</v>
      </c>
      <c r="R86" s="616" t="e">
        <f>O86+Q86-P86</f>
        <v>#REF!</v>
      </c>
      <c r="S86" s="614" t="e">
        <f>VLOOKUP($C86,#REF!,59,0)</f>
        <v>#REF!</v>
      </c>
      <c r="T86" s="617" t="e">
        <f>S86-R86</f>
        <v>#REF!</v>
      </c>
      <c r="U86" s="613" t="e">
        <f>R86+T86-S86</f>
        <v>#REF!</v>
      </c>
      <c r="V86" s="614" t="e">
        <f>VLOOKUP($C86,#REF!,60,0)</f>
        <v>#REF!</v>
      </c>
      <c r="W86" s="615" t="e">
        <f>V86-U86</f>
        <v>#REF!</v>
      </c>
      <c r="X86" s="616" t="e">
        <f>U86+W86-V86</f>
        <v>#REF!</v>
      </c>
      <c r="Y86" s="614" t="e">
        <f>VLOOKUP($C86,#REF!,61,0)</f>
        <v>#REF!</v>
      </c>
      <c r="Z86" s="617" t="e">
        <f>Y86-X86</f>
        <v>#REF!</v>
      </c>
      <c r="AA86" s="613" t="e">
        <f>X86+Z86-Y86</f>
        <v>#REF!</v>
      </c>
      <c r="AB86" s="614" t="e">
        <f>VLOOKUP($C86,#REF!,62,0)</f>
        <v>#REF!</v>
      </c>
      <c r="AC86" s="617" t="e">
        <f>AB86-AA86</f>
        <v>#REF!</v>
      </c>
      <c r="AD86" s="618" t="e">
        <f>AA86+AC86-AB86</f>
        <v>#REF!</v>
      </c>
      <c r="AE86" s="845"/>
    </row>
    <row r="87" spans="1:32" customHeight="1" ht="19.5" s="757" customFormat="1">
      <c r="A87" s="1090"/>
      <c r="B87" s="1161"/>
      <c r="C87" s="922" t="s">
        <v>194</v>
      </c>
      <c r="D87" s="760" t="s">
        <v>167</v>
      </c>
      <c r="E87" s="451" t="s">
        <v>195</v>
      </c>
      <c r="F87" s="763"/>
      <c r="G87" s="763">
        <v>4</v>
      </c>
      <c r="H87" s="1056" t="e">
        <f>VLOOKUP(C87,#REF!,18,0)</f>
        <v>#REF!</v>
      </c>
      <c r="I87" s="624">
        <v>0.0</v>
      </c>
      <c r="J87" s="773">
        <v>0.0</v>
      </c>
      <c r="K87" s="625">
        <v>0.0</v>
      </c>
      <c r="L87" s="624">
        <f>I87+K87-J87</f>
        <v>0</v>
      </c>
      <c r="M87" s="691" t="e">
        <f>VLOOKUP($C87,#REF!,57,0)</f>
        <v>#REF!</v>
      </c>
      <c r="N87" s="617" t="e">
        <f>M87-L87</f>
        <v>#REF!</v>
      </c>
      <c r="O87" s="622" t="e">
        <f>L87+N87-M87</f>
        <v>#REF!</v>
      </c>
      <c r="P87" s="773" t="e">
        <f>VLOOKUP($C87,#REF!,58,0)</f>
        <v>#REF!</v>
      </c>
      <c r="Q87" s="623" t="e">
        <f>P87-O87</f>
        <v>#REF!</v>
      </c>
      <c r="R87" s="624" t="e">
        <f>O87+Q87-P87</f>
        <v>#REF!</v>
      </c>
      <c r="S87" s="773" t="e">
        <f>VLOOKUP($C87,#REF!,59,0)</f>
        <v>#REF!</v>
      </c>
      <c r="T87" s="625" t="e">
        <f>S87-R87</f>
        <v>#REF!</v>
      </c>
      <c r="U87" s="622" t="e">
        <f>R87+T87-S87</f>
        <v>#REF!</v>
      </c>
      <c r="V87" s="773" t="e">
        <f>VLOOKUP($C87,#REF!,60,0)</f>
        <v>#REF!</v>
      </c>
      <c r="W87" s="623" t="e">
        <f>V87-U87</f>
        <v>#REF!</v>
      </c>
      <c r="X87" s="624" t="e">
        <f>U87+W87-V87</f>
        <v>#REF!</v>
      </c>
      <c r="Y87" s="773" t="e">
        <f>VLOOKUP($C87,#REF!,61,0)</f>
        <v>#REF!</v>
      </c>
      <c r="Z87" s="625" t="e">
        <f>Y87-X87</f>
        <v>#REF!</v>
      </c>
      <c r="AA87" s="622" t="e">
        <f>X87+Z87-Y87</f>
        <v>#REF!</v>
      </c>
      <c r="AB87" s="773" t="e">
        <f>VLOOKUP($C87,#REF!,62,0)</f>
        <v>#REF!</v>
      </c>
      <c r="AC87" s="625" t="e">
        <f>AB87-AA87</f>
        <v>#REF!</v>
      </c>
      <c r="AD87" s="626" t="e">
        <f>AA87+AC87-AB87</f>
        <v>#REF!</v>
      </c>
      <c r="AE87" s="612"/>
    </row>
    <row r="88" spans="1:32" customHeight="1" ht="19.5" s="619" customFormat="1">
      <c r="A88" s="1090"/>
      <c r="B88" s="1161"/>
      <c r="C88" s="923" t="s">
        <v>196</v>
      </c>
      <c r="D88" s="576" t="s">
        <v>167</v>
      </c>
      <c r="E88" s="451" t="s">
        <v>197</v>
      </c>
      <c r="F88" s="456"/>
      <c r="G88" s="455">
        <v>4</v>
      </c>
      <c r="H88" s="720" t="e">
        <f>VLOOKUP(C88,#REF!,18,0)</f>
        <v>#REF!</v>
      </c>
      <c r="I88" s="616">
        <v>208</v>
      </c>
      <c r="J88" s="614">
        <v>1056</v>
      </c>
      <c r="K88" s="617">
        <v>1024</v>
      </c>
      <c r="L88" s="616">
        <f>I88+K88-J88</f>
        <v>176</v>
      </c>
      <c r="M88" s="614" t="e">
        <f>VLOOKUP($C88,#REF!,57,0)</f>
        <v>#REF!</v>
      </c>
      <c r="N88" s="617" t="e">
        <f>M88-L88+144</f>
        <v>#REF!</v>
      </c>
      <c r="O88" s="613" t="e">
        <f>L88+N88-M88</f>
        <v>#REF!</v>
      </c>
      <c r="P88" s="614" t="e">
        <f>VLOOKUP($C88,#REF!,58,0)</f>
        <v>#REF!</v>
      </c>
      <c r="Q88" s="615" t="e">
        <f>P88-O88+160</f>
        <v>#REF!</v>
      </c>
      <c r="R88" s="616" t="e">
        <f>O88+Q88-P88</f>
        <v>#REF!</v>
      </c>
      <c r="S88" s="614" t="e">
        <f>VLOOKUP($C88,#REF!,59,0)</f>
        <v>#REF!</v>
      </c>
      <c r="T88" s="617" t="e">
        <f>S88-R88</f>
        <v>#REF!</v>
      </c>
      <c r="U88" s="613" t="e">
        <f>R88+T88-S88</f>
        <v>#REF!</v>
      </c>
      <c r="V88" s="614" t="e">
        <f>VLOOKUP($C88,#REF!,60,0)</f>
        <v>#REF!</v>
      </c>
      <c r="W88" s="615" t="e">
        <f>V88-U88</f>
        <v>#REF!</v>
      </c>
      <c r="X88" s="616" t="e">
        <f>U88+W88-V88</f>
        <v>#REF!</v>
      </c>
      <c r="Y88" s="614" t="e">
        <f>VLOOKUP($C88,#REF!,61,0)</f>
        <v>#REF!</v>
      </c>
      <c r="Z88" s="617" t="e">
        <f>Y88-X88</f>
        <v>#REF!</v>
      </c>
      <c r="AA88" s="613" t="e">
        <f>X88+Z88-Y88</f>
        <v>#REF!</v>
      </c>
      <c r="AB88" s="614" t="e">
        <f>VLOOKUP($C88,#REF!,62,0)</f>
        <v>#REF!</v>
      </c>
      <c r="AC88" s="617" t="e">
        <f>AB88-AA88</f>
        <v>#REF!</v>
      </c>
      <c r="AD88" s="618" t="e">
        <f>AA88+AC88-AB88</f>
        <v>#REF!</v>
      </c>
      <c r="AE88" s="845"/>
    </row>
    <row r="89" spans="1:32" customHeight="1" ht="19.5" s="846" customFormat="1">
      <c r="A89" s="1090"/>
      <c r="B89" s="1161"/>
      <c r="C89" s="922" t="s">
        <v>198</v>
      </c>
      <c r="D89" s="760" t="s">
        <v>167</v>
      </c>
      <c r="E89" s="451" t="s">
        <v>199</v>
      </c>
      <c r="F89" s="762"/>
      <c r="G89" s="763">
        <v>4</v>
      </c>
      <c r="H89" s="1056" t="e">
        <f>VLOOKUP(C89,#REF!,18,0)</f>
        <v>#REF!</v>
      </c>
      <c r="I89" s="624">
        <v>0.0</v>
      </c>
      <c r="J89" s="614">
        <v>0.0</v>
      </c>
      <c r="K89" s="625">
        <v>0.0</v>
      </c>
      <c r="L89" s="624">
        <f>I89+K89-J89</f>
        <v>0</v>
      </c>
      <c r="M89" s="773" t="e">
        <f>VLOOKUP($C89,#REF!,57,0)</f>
        <v>#REF!</v>
      </c>
      <c r="N89" s="625" t="e">
        <f>M89-L89</f>
        <v>#REF!</v>
      </c>
      <c r="O89" s="622" t="e">
        <f>L89+N89-M89</f>
        <v>#REF!</v>
      </c>
      <c r="P89" s="773" t="e">
        <f>VLOOKUP($C89,#REF!,58,0)</f>
        <v>#REF!</v>
      </c>
      <c r="Q89" s="623" t="e">
        <f>P89-O89</f>
        <v>#REF!</v>
      </c>
      <c r="R89" s="624" t="e">
        <f>O89+Q89-P89</f>
        <v>#REF!</v>
      </c>
      <c r="S89" s="773" t="e">
        <f>VLOOKUP($C89,#REF!,59,0)</f>
        <v>#REF!</v>
      </c>
      <c r="T89" s="625" t="e">
        <f>S89-R89</f>
        <v>#REF!</v>
      </c>
      <c r="U89" s="622" t="e">
        <f>R89+T89-S89</f>
        <v>#REF!</v>
      </c>
      <c r="V89" s="773" t="e">
        <f>VLOOKUP($C89,#REF!,60,0)</f>
        <v>#REF!</v>
      </c>
      <c r="W89" s="623" t="e">
        <f>V89-U89</f>
        <v>#REF!</v>
      </c>
      <c r="X89" s="624" t="e">
        <f>U89+W89-V89</f>
        <v>#REF!</v>
      </c>
      <c r="Y89" s="773" t="e">
        <f>VLOOKUP($C89,#REF!,61,0)</f>
        <v>#REF!</v>
      </c>
      <c r="Z89" s="625" t="e">
        <f>Y89-X89</f>
        <v>#REF!</v>
      </c>
      <c r="AA89" s="622" t="e">
        <f>X89+Z89-Y89</f>
        <v>#REF!</v>
      </c>
      <c r="AB89" s="773" t="e">
        <f>VLOOKUP($C89,#REF!,62,0)</f>
        <v>#REF!</v>
      </c>
      <c r="AC89" s="625" t="e">
        <f>AB89-AA89</f>
        <v>#REF!</v>
      </c>
      <c r="AD89" s="626" t="e">
        <f>AA89+AC89-AB89</f>
        <v>#REF!</v>
      </c>
      <c r="AE89" s="628"/>
    </row>
    <row r="90" spans="1:32" customHeight="1" ht="19.5" s="627" customFormat="1">
      <c r="A90" s="1090"/>
      <c r="B90" s="1161"/>
      <c r="C90" s="923" t="s">
        <v>200</v>
      </c>
      <c r="D90" s="576" t="s">
        <v>167</v>
      </c>
      <c r="E90" s="451" t="s">
        <v>201</v>
      </c>
      <c r="F90" s="456"/>
      <c r="G90" s="455">
        <v>4</v>
      </c>
      <c r="H90" s="1057" t="e">
        <f>VLOOKUP(C90,#REF!,18,0)</f>
        <v>#REF!</v>
      </c>
      <c r="I90" s="616">
        <v>0.0</v>
      </c>
      <c r="J90" s="614">
        <v>0.0</v>
      </c>
      <c r="K90" s="617">
        <v>0.0</v>
      </c>
      <c r="L90" s="616">
        <f>I90+K90-J90</f>
        <v>0</v>
      </c>
      <c r="M90" s="614" t="e">
        <f>VLOOKUP($C90,#REF!,57,0)</f>
        <v>#REF!</v>
      </c>
      <c r="N90" s="617" t="e">
        <f>M90-L90</f>
        <v>#REF!</v>
      </c>
      <c r="O90" s="613" t="e">
        <f>L90+N90-M90</f>
        <v>#REF!</v>
      </c>
      <c r="P90" s="614" t="e">
        <f>VLOOKUP($C90,#REF!,58,0)</f>
        <v>#REF!</v>
      </c>
      <c r="Q90" s="615" t="e">
        <f>P90-O90</f>
        <v>#REF!</v>
      </c>
      <c r="R90" s="616" t="e">
        <f>O90+Q90-P90</f>
        <v>#REF!</v>
      </c>
      <c r="S90" s="614" t="e">
        <f>VLOOKUP($C90,#REF!,59,0)</f>
        <v>#REF!</v>
      </c>
      <c r="T90" s="617" t="e">
        <f>S90-R90</f>
        <v>#REF!</v>
      </c>
      <c r="U90" s="613" t="e">
        <f>R90+T90-S90</f>
        <v>#REF!</v>
      </c>
      <c r="V90" s="614" t="e">
        <f>VLOOKUP($C90,#REF!,60,0)</f>
        <v>#REF!</v>
      </c>
      <c r="W90" s="615" t="e">
        <f>V90-U90</f>
        <v>#REF!</v>
      </c>
      <c r="X90" s="616" t="e">
        <f>U90+W90-V90</f>
        <v>#REF!</v>
      </c>
      <c r="Y90" s="614" t="e">
        <f>VLOOKUP($C90,#REF!,61,0)</f>
        <v>#REF!</v>
      </c>
      <c r="Z90" s="617" t="e">
        <f>Y90-X90</f>
        <v>#REF!</v>
      </c>
      <c r="AA90" s="613" t="e">
        <f>X90+Z90-Y90</f>
        <v>#REF!</v>
      </c>
      <c r="AB90" s="614" t="e">
        <f>VLOOKUP($C90,#REF!,62,0)</f>
        <v>#REF!</v>
      </c>
      <c r="AC90" s="617" t="e">
        <f>AB90-AA90</f>
        <v>#REF!</v>
      </c>
      <c r="AD90" s="618" t="e">
        <f>AA90+AC90-AB90</f>
        <v>#REF!</v>
      </c>
      <c r="AE90" s="612"/>
    </row>
    <row r="91" spans="1:32" customHeight="1" ht="19.5" s="619" customFormat="1">
      <c r="A91" s="1090"/>
      <c r="B91" s="1161"/>
      <c r="C91" s="923" t="s">
        <v>202</v>
      </c>
      <c r="D91" s="576" t="s">
        <v>167</v>
      </c>
      <c r="E91" s="451" t="s">
        <v>203</v>
      </c>
      <c r="F91" s="456"/>
      <c r="G91" s="455">
        <v>4</v>
      </c>
      <c r="H91" s="1057" t="e">
        <f>VLOOKUP(C91,#REF!,18,0)</f>
        <v>#REF!</v>
      </c>
      <c r="I91" s="616">
        <v>0.0</v>
      </c>
      <c r="J91" s="614">
        <v>0.0</v>
      </c>
      <c r="K91" s="617">
        <v>0.0</v>
      </c>
      <c r="L91" s="616">
        <f>I91+K91-J91</f>
        <v>0</v>
      </c>
      <c r="M91" s="620" t="e">
        <f>VLOOKUP($C91,#REF!,57,0)</f>
        <v>#REF!</v>
      </c>
      <c r="N91" s="617" t="e">
        <f>M91-L91</f>
        <v>#REF!</v>
      </c>
      <c r="O91" s="613" t="e">
        <f>L91+N91-M91</f>
        <v>#REF!</v>
      </c>
      <c r="P91" s="614" t="e">
        <f>VLOOKUP($C91,#REF!,58,0)</f>
        <v>#REF!</v>
      </c>
      <c r="Q91" s="615" t="e">
        <f>P91-O91</f>
        <v>#REF!</v>
      </c>
      <c r="R91" s="616" t="e">
        <f>O91+Q91-P91</f>
        <v>#REF!</v>
      </c>
      <c r="S91" s="614" t="e">
        <f>VLOOKUP($C91,#REF!,59,0)</f>
        <v>#REF!</v>
      </c>
      <c r="T91" s="617" t="e">
        <f>S91-R91</f>
        <v>#REF!</v>
      </c>
      <c r="U91" s="613" t="e">
        <f>R91+T91-S91</f>
        <v>#REF!</v>
      </c>
      <c r="V91" s="614" t="e">
        <f>VLOOKUP($C91,#REF!,60,0)</f>
        <v>#REF!</v>
      </c>
      <c r="W91" s="615" t="e">
        <f>V91-U91</f>
        <v>#REF!</v>
      </c>
      <c r="X91" s="616" t="e">
        <f>U91+W91-V91</f>
        <v>#REF!</v>
      </c>
      <c r="Y91" s="614" t="e">
        <f>VLOOKUP($C91,#REF!,61,0)</f>
        <v>#REF!</v>
      </c>
      <c r="Z91" s="617" t="e">
        <f>Y91-X91</f>
        <v>#REF!</v>
      </c>
      <c r="AA91" s="613" t="e">
        <f>X91+Z91-Y91</f>
        <v>#REF!</v>
      </c>
      <c r="AB91" s="614" t="e">
        <f>VLOOKUP($C91,#REF!,62,0)</f>
        <v>#REF!</v>
      </c>
      <c r="AC91" s="617" t="e">
        <f>AB91-AA91</f>
        <v>#REF!</v>
      </c>
      <c r="AD91" s="618" t="e">
        <f>AA91+AC91-AB91</f>
        <v>#REF!</v>
      </c>
      <c r="AE91" s="612"/>
    </row>
    <row r="92" spans="1:32" customHeight="1" ht="19.5" s="619" customFormat="1">
      <c r="A92" s="1090"/>
      <c r="B92" s="1161"/>
      <c r="C92" s="923" t="s">
        <v>204</v>
      </c>
      <c r="D92" s="576" t="s">
        <v>167</v>
      </c>
      <c r="E92" s="451" t="s">
        <v>205</v>
      </c>
      <c r="F92" s="455"/>
      <c r="G92" s="455">
        <v>4</v>
      </c>
      <c r="H92" s="1057" t="e">
        <f>VLOOKUP(C92,#REF!,18,0)</f>
        <v>#REF!</v>
      </c>
      <c r="I92" s="616">
        <v>0.0</v>
      </c>
      <c r="J92" s="614">
        <v>0.0</v>
      </c>
      <c r="K92" s="617">
        <v>0.0</v>
      </c>
      <c r="L92" s="616">
        <f>I92+K92-J92</f>
        <v>0</v>
      </c>
      <c r="M92" s="614" t="e">
        <f>VLOOKUP($C92,#REF!,57,0)</f>
        <v>#REF!</v>
      </c>
      <c r="N92" s="617" t="e">
        <f>M92-L92</f>
        <v>#REF!</v>
      </c>
      <c r="O92" s="613" t="e">
        <f>L92+N92-M92</f>
        <v>#REF!</v>
      </c>
      <c r="P92" s="614" t="e">
        <f>VLOOKUP($C92,#REF!,58,0)</f>
        <v>#REF!</v>
      </c>
      <c r="Q92" s="615" t="e">
        <f>P92-O92</f>
        <v>#REF!</v>
      </c>
      <c r="R92" s="616" t="e">
        <f>O92+Q92-P92</f>
        <v>#REF!</v>
      </c>
      <c r="S92" s="614" t="e">
        <f>VLOOKUP($C92,#REF!,59,0)</f>
        <v>#REF!</v>
      </c>
      <c r="T92" s="617" t="e">
        <f>S92-R92</f>
        <v>#REF!</v>
      </c>
      <c r="U92" s="613" t="e">
        <f>R92+T92-S92</f>
        <v>#REF!</v>
      </c>
      <c r="V92" s="614" t="e">
        <f>VLOOKUP($C92,#REF!,60,0)</f>
        <v>#REF!</v>
      </c>
      <c r="W92" s="615" t="e">
        <f>V92-U92</f>
        <v>#REF!</v>
      </c>
      <c r="X92" s="616" t="e">
        <f>U92+W92-V92</f>
        <v>#REF!</v>
      </c>
      <c r="Y92" s="614" t="e">
        <f>VLOOKUP($C92,#REF!,61,0)</f>
        <v>#REF!</v>
      </c>
      <c r="Z92" s="617" t="e">
        <f>Y92-X92</f>
        <v>#REF!</v>
      </c>
      <c r="AA92" s="613" t="e">
        <f>X92+Z92-Y92</f>
        <v>#REF!</v>
      </c>
      <c r="AB92" s="614" t="e">
        <f>VLOOKUP($C92,#REF!,62,0)</f>
        <v>#REF!</v>
      </c>
      <c r="AC92" s="617" t="e">
        <f>AB92-AA92</f>
        <v>#REF!</v>
      </c>
      <c r="AD92" s="618" t="e">
        <f>AA92+AC92-AB92</f>
        <v>#REF!</v>
      </c>
      <c r="AE92" s="612"/>
    </row>
    <row r="93" spans="1:32" customHeight="1" ht="19.5" s="619" customFormat="1">
      <c r="A93" s="1090"/>
      <c r="B93" s="1161"/>
      <c r="C93" s="923" t="s">
        <v>206</v>
      </c>
      <c r="D93" s="576" t="s">
        <v>167</v>
      </c>
      <c r="E93" s="451" t="s">
        <v>207</v>
      </c>
      <c r="F93" s="456"/>
      <c r="G93" s="455">
        <v>4</v>
      </c>
      <c r="H93" s="1057" t="e">
        <f>VLOOKUP(C93,#REF!,18,0)</f>
        <v>#REF!</v>
      </c>
      <c r="I93" s="616">
        <v>0.0</v>
      </c>
      <c r="J93" s="614">
        <v>0.0</v>
      </c>
      <c r="K93" s="617">
        <v>0.0</v>
      </c>
      <c r="L93" s="616">
        <f>I93+K93-J93</f>
        <v>0</v>
      </c>
      <c r="M93" s="614" t="e">
        <f>VLOOKUP($C93,#REF!,57,0)</f>
        <v>#REF!</v>
      </c>
      <c r="N93" s="617" t="e">
        <f>M93-L93</f>
        <v>#REF!</v>
      </c>
      <c r="O93" s="613" t="e">
        <f>L93+N93-M93</f>
        <v>#REF!</v>
      </c>
      <c r="P93" s="614" t="e">
        <f>VLOOKUP($C93,#REF!,58,0)</f>
        <v>#REF!</v>
      </c>
      <c r="Q93" s="615" t="e">
        <f>P93-O93</f>
        <v>#REF!</v>
      </c>
      <c r="R93" s="616" t="e">
        <f>O93+Q93-P93</f>
        <v>#REF!</v>
      </c>
      <c r="S93" s="614" t="e">
        <f>VLOOKUP($C93,#REF!,59,0)</f>
        <v>#REF!</v>
      </c>
      <c r="T93" s="617" t="e">
        <f>S93-R93</f>
        <v>#REF!</v>
      </c>
      <c r="U93" s="613" t="e">
        <f>R93+T93-S93</f>
        <v>#REF!</v>
      </c>
      <c r="V93" s="614" t="e">
        <f>VLOOKUP($C93,#REF!,60,0)</f>
        <v>#REF!</v>
      </c>
      <c r="W93" s="615" t="e">
        <f>V93-U93</f>
        <v>#REF!</v>
      </c>
      <c r="X93" s="616" t="e">
        <f>U93+W93-V93</f>
        <v>#REF!</v>
      </c>
      <c r="Y93" s="614" t="e">
        <f>VLOOKUP($C93,#REF!,61,0)</f>
        <v>#REF!</v>
      </c>
      <c r="Z93" s="617" t="e">
        <f>Y93-X93</f>
        <v>#REF!</v>
      </c>
      <c r="AA93" s="613" t="e">
        <f>X93+Z93-Y93</f>
        <v>#REF!</v>
      </c>
      <c r="AB93" s="614" t="e">
        <f>VLOOKUP($C93,#REF!,62,0)</f>
        <v>#REF!</v>
      </c>
      <c r="AC93" s="617" t="e">
        <f>AB93-AA93</f>
        <v>#REF!</v>
      </c>
      <c r="AD93" s="618" t="e">
        <f>AA93+AC93-AB93</f>
        <v>#REF!</v>
      </c>
      <c r="AE93" s="612"/>
    </row>
    <row r="94" spans="1:32" customHeight="1" ht="19.5" s="832" customFormat="1">
      <c r="A94" s="1090"/>
      <c r="B94" s="1161"/>
      <c r="C94" s="923" t="s">
        <v>208</v>
      </c>
      <c r="D94" s="576" t="s">
        <v>167</v>
      </c>
      <c r="E94" s="451" t="s">
        <v>209</v>
      </c>
      <c r="F94" s="456"/>
      <c r="G94" s="455">
        <v>4</v>
      </c>
      <c r="H94" s="1057" t="e">
        <f>VLOOKUP(C94,#REF!,18,0)</f>
        <v>#REF!</v>
      </c>
      <c r="I94" s="616">
        <v>0.0</v>
      </c>
      <c r="J94" s="614">
        <v>0.0</v>
      </c>
      <c r="K94" s="617">
        <v>0.0</v>
      </c>
      <c r="L94" s="616">
        <f>I94+K94-J94</f>
        <v>0</v>
      </c>
      <c r="M94" s="614" t="e">
        <f>VLOOKUP($C94,#REF!,57,0)</f>
        <v>#REF!</v>
      </c>
      <c r="N94" s="617" t="e">
        <f>M94-L94</f>
        <v>#REF!</v>
      </c>
      <c r="O94" s="613" t="e">
        <f>L94+N94-M94</f>
        <v>#REF!</v>
      </c>
      <c r="P94" s="614" t="e">
        <f>VLOOKUP($C94,#REF!,58,0)</f>
        <v>#REF!</v>
      </c>
      <c r="Q94" s="615" t="e">
        <f>P94-O94</f>
        <v>#REF!</v>
      </c>
      <c r="R94" s="616" t="e">
        <f>O94+Q94-P94</f>
        <v>#REF!</v>
      </c>
      <c r="S94" s="614" t="e">
        <f>VLOOKUP($C94,#REF!,59,0)</f>
        <v>#REF!</v>
      </c>
      <c r="T94" s="617" t="e">
        <f>S94-R94</f>
        <v>#REF!</v>
      </c>
      <c r="U94" s="613" t="e">
        <f>R94+T94-S94</f>
        <v>#REF!</v>
      </c>
      <c r="V94" s="614" t="e">
        <f>VLOOKUP($C94,#REF!,60,0)</f>
        <v>#REF!</v>
      </c>
      <c r="W94" s="615" t="e">
        <f>V94-U94</f>
        <v>#REF!</v>
      </c>
      <c r="X94" s="616" t="e">
        <f>U94+W94-V94</f>
        <v>#REF!</v>
      </c>
      <c r="Y94" s="614" t="e">
        <f>VLOOKUP($C94,#REF!,61,0)</f>
        <v>#REF!</v>
      </c>
      <c r="Z94" s="617" t="e">
        <f>Y94-X94</f>
        <v>#REF!</v>
      </c>
      <c r="AA94" s="613" t="e">
        <f>X94+Z94-Y94</f>
        <v>#REF!</v>
      </c>
      <c r="AB94" s="614" t="e">
        <f>VLOOKUP($C94,#REF!,62,0)</f>
        <v>#REF!</v>
      </c>
      <c r="AC94" s="617" t="e">
        <f>AB94-AA94</f>
        <v>#REF!</v>
      </c>
      <c r="AD94" s="618" t="e">
        <f>AA94+AC94-AB94</f>
        <v>#REF!</v>
      </c>
      <c r="AE94" s="831"/>
    </row>
    <row r="95" spans="1:32" customHeight="1" ht="18.75" s="627" customFormat="1">
      <c r="A95" s="1090"/>
      <c r="B95" s="1161"/>
      <c r="C95" s="923" t="s">
        <v>210</v>
      </c>
      <c r="D95" s="576" t="s">
        <v>167</v>
      </c>
      <c r="E95" s="451" t="s">
        <v>211</v>
      </c>
      <c r="F95" s="456"/>
      <c r="G95" s="455">
        <v>4</v>
      </c>
      <c r="H95" s="1057" t="e">
        <f>VLOOKUP(C95,#REF!,18,0)</f>
        <v>#REF!</v>
      </c>
      <c r="I95" s="616">
        <v>0.0</v>
      </c>
      <c r="J95" s="614">
        <v>0.0</v>
      </c>
      <c r="K95" s="617">
        <v>0.0</v>
      </c>
      <c r="L95" s="616">
        <f>I95+K95-J95</f>
        <v>0</v>
      </c>
      <c r="M95" s="614" t="e">
        <f>VLOOKUP($C95,#REF!,57,0)</f>
        <v>#REF!</v>
      </c>
      <c r="N95" s="617" t="e">
        <f>M95-L95</f>
        <v>#REF!</v>
      </c>
      <c r="O95" s="613" t="e">
        <f>L95+N95-M95</f>
        <v>#REF!</v>
      </c>
      <c r="P95" s="614" t="e">
        <f>VLOOKUP($C95,#REF!,58,0)</f>
        <v>#REF!</v>
      </c>
      <c r="Q95" s="615" t="e">
        <f>P95-O95</f>
        <v>#REF!</v>
      </c>
      <c r="R95" s="616" t="e">
        <f>O95+Q95-P95</f>
        <v>#REF!</v>
      </c>
      <c r="S95" s="614" t="e">
        <f>VLOOKUP($C95,#REF!,59,0)</f>
        <v>#REF!</v>
      </c>
      <c r="T95" s="617" t="e">
        <f>S95-R95</f>
        <v>#REF!</v>
      </c>
      <c r="U95" s="613" t="e">
        <f>R95+T95-S95</f>
        <v>#REF!</v>
      </c>
      <c r="V95" s="614" t="e">
        <f>VLOOKUP($C95,#REF!,60,0)</f>
        <v>#REF!</v>
      </c>
      <c r="W95" s="615" t="e">
        <f>V95-U95</f>
        <v>#REF!</v>
      </c>
      <c r="X95" s="616" t="e">
        <f>U95+W95-V95</f>
        <v>#REF!</v>
      </c>
      <c r="Y95" s="614" t="e">
        <f>VLOOKUP($C95,#REF!,61,0)</f>
        <v>#REF!</v>
      </c>
      <c r="Z95" s="617" t="e">
        <f>Y95-X95</f>
        <v>#REF!</v>
      </c>
      <c r="AA95" s="613" t="e">
        <f>X95+Z95-Y95</f>
        <v>#REF!</v>
      </c>
      <c r="AB95" s="614" t="e">
        <f>VLOOKUP($C95,#REF!,62,0)</f>
        <v>#REF!</v>
      </c>
      <c r="AC95" s="617" t="e">
        <f>AB95-AA95</f>
        <v>#REF!</v>
      </c>
      <c r="AD95" s="618" t="e">
        <f>AA95+AC95-AB95</f>
        <v>#REF!</v>
      </c>
      <c r="AE95" s="612"/>
    </row>
    <row r="96" spans="1:32" customHeight="1" ht="20.1" s="627" customFormat="1">
      <c r="A96" s="1090"/>
      <c r="B96" s="1161"/>
      <c r="C96" s="923" t="s">
        <v>212</v>
      </c>
      <c r="D96" s="576" t="s">
        <v>167</v>
      </c>
      <c r="E96" s="451" t="s">
        <v>213</v>
      </c>
      <c r="F96" s="456"/>
      <c r="G96" s="455">
        <v>4</v>
      </c>
      <c r="H96" s="1057" t="e">
        <f>VLOOKUP(C96,#REF!,18,0)</f>
        <v>#REF!</v>
      </c>
      <c r="I96" s="616">
        <v>0.0</v>
      </c>
      <c r="J96" s="614">
        <v>0.0</v>
      </c>
      <c r="K96" s="617">
        <v>0.0</v>
      </c>
      <c r="L96" s="616">
        <f>I96+K96-J96</f>
        <v>0</v>
      </c>
      <c r="M96" s="614" t="e">
        <f>VLOOKUP($C96,#REF!,57,0)</f>
        <v>#REF!</v>
      </c>
      <c r="N96" s="617" t="e">
        <f>M96-L96</f>
        <v>#REF!</v>
      </c>
      <c r="O96" s="613" t="e">
        <f>L96+N96-M96</f>
        <v>#REF!</v>
      </c>
      <c r="P96" s="614" t="e">
        <f>VLOOKUP($C96,#REF!,58,0)</f>
        <v>#REF!</v>
      </c>
      <c r="Q96" s="615" t="e">
        <f>P96-O96</f>
        <v>#REF!</v>
      </c>
      <c r="R96" s="616" t="e">
        <f>O96+Q96-P96</f>
        <v>#REF!</v>
      </c>
      <c r="S96" s="614" t="e">
        <f>VLOOKUP($C96,#REF!,59,0)</f>
        <v>#REF!</v>
      </c>
      <c r="T96" s="617" t="e">
        <f>S96-R96</f>
        <v>#REF!</v>
      </c>
      <c r="U96" s="613" t="e">
        <f>R96+T96-S96</f>
        <v>#REF!</v>
      </c>
      <c r="V96" s="614" t="e">
        <f>VLOOKUP($C96,#REF!,60,0)</f>
        <v>#REF!</v>
      </c>
      <c r="W96" s="615" t="e">
        <f>V96-U96</f>
        <v>#REF!</v>
      </c>
      <c r="X96" s="616" t="e">
        <f>U96+W96-V96</f>
        <v>#REF!</v>
      </c>
      <c r="Y96" s="614" t="e">
        <f>VLOOKUP($C96,#REF!,61,0)</f>
        <v>#REF!</v>
      </c>
      <c r="Z96" s="617" t="e">
        <f>Y96-X96</f>
        <v>#REF!</v>
      </c>
      <c r="AA96" s="613" t="e">
        <f>X96+Z96-Y96</f>
        <v>#REF!</v>
      </c>
      <c r="AB96" s="614" t="e">
        <f>VLOOKUP($C96,#REF!,62,0)</f>
        <v>#REF!</v>
      </c>
      <c r="AC96" s="617" t="e">
        <f>AB96-AA96</f>
        <v>#REF!</v>
      </c>
      <c r="AD96" s="618" t="e">
        <f>AA96+AC96-AB96</f>
        <v>#REF!</v>
      </c>
      <c r="AE96" s="612"/>
    </row>
    <row r="97" spans="1:32" customHeight="1" ht="20.1" s="619" customFormat="1">
      <c r="A97" s="1091"/>
      <c r="B97" s="1162"/>
      <c r="C97" s="924" t="s">
        <v>214</v>
      </c>
      <c r="D97" s="748" t="s">
        <v>167</v>
      </c>
      <c r="E97" s="451" t="s">
        <v>215</v>
      </c>
      <c r="F97" s="750"/>
      <c r="G97" s="751">
        <v>4</v>
      </c>
      <c r="H97" s="1057" t="e">
        <f>VLOOKUP(C97,#REF!,18,0)</f>
        <v>#REF!</v>
      </c>
      <c r="I97" s="709">
        <v>0.0</v>
      </c>
      <c r="J97" s="754">
        <v>0.0</v>
      </c>
      <c r="K97" s="713">
        <v>0.0</v>
      </c>
      <c r="L97" s="709">
        <f>I97+K97-J97</f>
        <v>0</v>
      </c>
      <c r="M97" s="754" t="e">
        <f>VLOOKUP($C97,#REF!,57,0)</f>
        <v>#REF!</v>
      </c>
      <c r="N97" s="713" t="e">
        <f>M97-L97</f>
        <v>#REF!</v>
      </c>
      <c r="O97" s="753" t="e">
        <f>L97+N97-M97</f>
        <v>#REF!</v>
      </c>
      <c r="P97" s="754" t="e">
        <f>VLOOKUP($C97,#REF!,58,0)</f>
        <v>#REF!</v>
      </c>
      <c r="Q97" s="711" t="e">
        <f>P97-O97</f>
        <v>#REF!</v>
      </c>
      <c r="R97" s="709" t="e">
        <f>O97+Q97-P97</f>
        <v>#REF!</v>
      </c>
      <c r="S97" s="754" t="e">
        <f>VLOOKUP($C97,#REF!,59,0)</f>
        <v>#REF!</v>
      </c>
      <c r="T97" s="713" t="e">
        <f>S97-R97</f>
        <v>#REF!</v>
      </c>
      <c r="U97" s="753" t="e">
        <f>R97+T97-S97</f>
        <v>#REF!</v>
      </c>
      <c r="V97" s="754" t="e">
        <f>VLOOKUP($C97,#REF!,60,0)</f>
        <v>#REF!</v>
      </c>
      <c r="W97" s="711" t="e">
        <f>V97-U97</f>
        <v>#REF!</v>
      </c>
      <c r="X97" s="709" t="e">
        <f>U97+W97-V97</f>
        <v>#REF!</v>
      </c>
      <c r="Y97" s="754" t="e">
        <f>VLOOKUP($C97,#REF!,61,0)</f>
        <v>#REF!</v>
      </c>
      <c r="Z97" s="713" t="e">
        <f>Y97-X97</f>
        <v>#REF!</v>
      </c>
      <c r="AA97" s="753" t="e">
        <f>X97+Z97-Y97</f>
        <v>#REF!</v>
      </c>
      <c r="AB97" s="754" t="e">
        <f>VLOOKUP($C97,#REF!,62,0)</f>
        <v>#REF!</v>
      </c>
      <c r="AC97" s="713" t="e">
        <f>AB97-AA97</f>
        <v>#REF!</v>
      </c>
      <c r="AD97" s="756" t="e">
        <f>AA97+AC97-AB97</f>
        <v>#REF!</v>
      </c>
      <c r="AE97" s="630"/>
    </row>
    <row r="98" spans="1:32" customHeight="1" ht="20.1" s="612" customFormat="1">
      <c r="A98" s="1080"/>
      <c r="B98" s="1077" t="s">
        <v>216</v>
      </c>
      <c r="C98" s="1078"/>
      <c r="D98" s="1078"/>
      <c r="E98" s="1078"/>
      <c r="F98" s="1078"/>
      <c r="G98" s="1078"/>
      <c r="H98" s="1079"/>
      <c r="I98" s="631">
        <f>SUM(I16:I17,I18:I20,I30:I32,I44:I47,I53:I56,I57:I60,I61:I64)</f>
        <v>1176</v>
      </c>
      <c r="J98" s="631">
        <f>SUM(J16:J17,J18:J20,J30:J32,J44:J47,J53:J56,J57:J60,J61:J64)</f>
        <v>10208</v>
      </c>
      <c r="K98" s="631">
        <f>SUM(K16:K17,K18:K20,K30:K32,K44:K47,K53:K56,K57:K60,K61:K64)</f>
        <v>10956</v>
      </c>
      <c r="L98" s="631">
        <f>SUM(L16:L17,L18:L20,L30:L32,L44:L47,L53:L56,L57:L60,L61:L64)</f>
        <v>1924</v>
      </c>
      <c r="M98" s="631" t="e">
        <f>SUM(M16:M17,M18:M20,M30:M32,M44:M47,M53:M56,M57:M60,M61:M64)</f>
        <v>#REF!</v>
      </c>
      <c r="N98" s="631" t="e">
        <f>SUM(N16:N17,N18:N20,N30:N32,N44:N47,N53:N56,N57:N60,N61:N64)</f>
        <v>#REF!</v>
      </c>
      <c r="O98" s="631" t="e">
        <f>SUM(O16:O17,O18:O20,O30:O32,O44:O47,O53:O56,O57:O60,O61:O64)</f>
        <v>#REF!</v>
      </c>
      <c r="P98" s="631" t="e">
        <f>SUM(P16:P17,P18:P20,P30:P32,P44:P47,P53:P56,P57:P60,P61:P64)</f>
        <v>#REF!</v>
      </c>
      <c r="Q98" s="631" t="e">
        <f>SUM(Q16:Q17,Q18:Q20,Q30:Q32,Q44:Q47,Q53:Q56,Q57:Q60,Q61:Q64)</f>
        <v>#REF!</v>
      </c>
      <c r="R98" s="631" t="e">
        <f>SUM(R16:R17,R18:R20,R30:R32,R44:R47,R53:R56,R57:R60,R61:R64)</f>
        <v>#REF!</v>
      </c>
      <c r="S98" s="631" t="e">
        <f>SUM(S16:S17,S18:S20,S30:S32,S44:S47,S53:S56,S57:S60,S61:S64)</f>
        <v>#REF!</v>
      </c>
      <c r="T98" s="631" t="e">
        <f>SUM(T16:T17,T18:T20,T30:T32,T44:T47,T53:T56,T57:T60,T61:T64)</f>
        <v>#REF!</v>
      </c>
      <c r="U98" s="631" t="e">
        <f>SUM(U16:U17,U18:U20,U30:U32,U44:U47,U53:U56,U57:U60,U61:U64)</f>
        <v>#REF!</v>
      </c>
      <c r="V98" s="631" t="e">
        <f>SUM(V16:V17,V18:V20,V30:V32,V44:V47,V53:V56,V57:V60,V61:V64)</f>
        <v>#REF!</v>
      </c>
      <c r="W98" s="631" t="e">
        <f>SUM(W16:W17,W18:W20,W30:W32,W44:W47,W53:W56,W57:W60,W61:W64)</f>
        <v>#REF!</v>
      </c>
      <c r="X98" s="631" t="e">
        <f>SUM(X16:X17,X18:X20,X30:X32,X44:X47,X53:X56,X57:X60,X61:X64)</f>
        <v>#REF!</v>
      </c>
      <c r="Y98" s="631" t="e">
        <f>SUM(Y16:Y17,Y18:Y20,Y30:Y32,Y44:Y47,Y53:Y56,Y57:Y60,Y61:Y64)</f>
        <v>#REF!</v>
      </c>
      <c r="Z98" s="631" t="e">
        <f>SUM(Z16:Z17,Z18:Z20,Z30:Z32,Z44:Z47,Z53:Z56,Z57:Z60,Z61:Z64)</f>
        <v>#REF!</v>
      </c>
      <c r="AA98" s="631" t="e">
        <f>SUM(AA16:AA17,AA18:AA20,AA30:AA32,AA44:AA47,AA53:AA56,AA57:AA60,AA61:AA64)</f>
        <v>#REF!</v>
      </c>
      <c r="AB98" s="631" t="e">
        <f>SUM(AB16:AB17,AB18:AB20,AB30:AB32,AB44:AB47,AB53:AB56,AB57:AB60,AB61:AB64)</f>
        <v>#REF!</v>
      </c>
      <c r="AC98" s="631" t="e">
        <f>SUM(AC16:AC17,AC18:AC20,AC30:AC32,AC44:AC47,AC53:AC56,AC57:AC60,AC61:AC64)</f>
        <v>#REF!</v>
      </c>
      <c r="AD98" s="631" t="e">
        <f>SUM(AD16:AD17,AD18:AD20,AD30:AD32,AD44:AD47,AD53:AD56,AD57:AD60,AD61:AD64)</f>
        <v>#REF!</v>
      </c>
    </row>
    <row r="99" spans="1:32" customHeight="1" ht="20.1" s="612" customFormat="1">
      <c r="A99" s="1080"/>
      <c r="B99" s="1077" t="s">
        <v>217</v>
      </c>
      <c r="C99" s="1078"/>
      <c r="D99" s="1078"/>
      <c r="E99" s="1078"/>
      <c r="F99" s="1078"/>
      <c r="G99" s="1078"/>
      <c r="H99" s="1079"/>
      <c r="I99" s="631">
        <v>0.0</v>
      </c>
      <c r="J99" s="631">
        <v>0.0</v>
      </c>
      <c r="K99" s="631">
        <v>0.0</v>
      </c>
      <c r="L99" s="631">
        <v>0.0</v>
      </c>
      <c r="M99" s="631">
        <v>0.0</v>
      </c>
      <c r="N99" s="631">
        <v>0.0</v>
      </c>
      <c r="O99" s="631">
        <v>0.0</v>
      </c>
      <c r="P99" s="631">
        <v>0.0</v>
      </c>
      <c r="Q99" s="631">
        <v>0.0</v>
      </c>
      <c r="R99" s="631">
        <v>0.0</v>
      </c>
      <c r="S99" s="631">
        <v>0.0</v>
      </c>
      <c r="T99" s="631">
        <v>0.0</v>
      </c>
      <c r="U99" s="631">
        <v>0.0</v>
      </c>
      <c r="V99" s="631">
        <v>0.0</v>
      </c>
      <c r="W99" s="631">
        <v>0.0</v>
      </c>
      <c r="X99" s="631">
        <v>0.0</v>
      </c>
      <c r="Y99" s="631">
        <v>0.0</v>
      </c>
      <c r="Z99" s="631">
        <v>0.0</v>
      </c>
      <c r="AA99" s="631">
        <v>0.0</v>
      </c>
      <c r="AB99" s="631">
        <v>0.0</v>
      </c>
      <c r="AC99" s="631">
        <v>0.0</v>
      </c>
      <c r="AD99" s="631">
        <v>0.0</v>
      </c>
    </row>
    <row r="100" spans="1:32" customHeight="1" ht="20.1" s="612" customFormat="1">
      <c r="A100" s="1080"/>
      <c r="B100" s="1077" t="s">
        <v>218</v>
      </c>
      <c r="C100" s="1078"/>
      <c r="D100" s="1078"/>
      <c r="E100" s="1078"/>
      <c r="F100" s="1078"/>
      <c r="G100" s="1078"/>
      <c r="H100" s="1079"/>
      <c r="I100" s="631">
        <f>SUM(I65:I97)</f>
        <v>848</v>
      </c>
      <c r="J100" s="631">
        <f>SUM(J65:J97)</f>
        <v>4900</v>
      </c>
      <c r="K100" s="631">
        <f>SUM(K65:K97)</f>
        <v>4668</v>
      </c>
      <c r="L100" s="631">
        <f>SUM(L65:L97)</f>
        <v>616</v>
      </c>
      <c r="M100" s="631" t="e">
        <f>SUM(M65:M97)</f>
        <v>#REF!</v>
      </c>
      <c r="N100" s="631" t="e">
        <f>SUM(N65:N97)</f>
        <v>#REF!</v>
      </c>
      <c r="O100" s="631" t="e">
        <f>SUM(O65:O97)</f>
        <v>#REF!</v>
      </c>
      <c r="P100" s="631" t="e">
        <f>SUM(P65:P97)</f>
        <v>#REF!</v>
      </c>
      <c r="Q100" s="631" t="e">
        <f>SUM(Q65:Q97)</f>
        <v>#REF!</v>
      </c>
      <c r="R100" s="631" t="e">
        <f>SUM(R65:R97)</f>
        <v>#REF!</v>
      </c>
      <c r="S100" s="631" t="e">
        <f>SUM(S65:S97)</f>
        <v>#REF!</v>
      </c>
      <c r="T100" s="631" t="e">
        <f>SUM(T65:T97)</f>
        <v>#REF!</v>
      </c>
      <c r="U100" s="631" t="e">
        <f>SUM(U65:U97)</f>
        <v>#REF!</v>
      </c>
      <c r="V100" s="631" t="e">
        <f>SUM(V65:V97)</f>
        <v>#REF!</v>
      </c>
      <c r="W100" s="631" t="e">
        <f>SUM(W65:W97)</f>
        <v>#REF!</v>
      </c>
      <c r="X100" s="631" t="e">
        <f>SUM(X65:X97)</f>
        <v>#REF!</v>
      </c>
      <c r="Y100" s="631" t="e">
        <f>SUM(Y65:Y97)</f>
        <v>#REF!</v>
      </c>
      <c r="Z100" s="631" t="e">
        <f>SUM(Z65:Z97)</f>
        <v>#REF!</v>
      </c>
      <c r="AA100" s="631" t="e">
        <f>SUM(AA65:AA97)</f>
        <v>#REF!</v>
      </c>
      <c r="AB100" s="631" t="e">
        <f>SUM(AB65:AB97)</f>
        <v>#REF!</v>
      </c>
      <c r="AC100" s="631" t="e">
        <f>SUM(AC65:AC97)</f>
        <v>#REF!</v>
      </c>
      <c r="AD100" s="631" t="e">
        <f>SUM(AD65:AD97)</f>
        <v>#REF!</v>
      </c>
    </row>
    <row r="101" spans="1:32" customHeight="1" ht="20.1">
      <c r="A101" s="1080"/>
      <c r="B101" s="1077" t="s">
        <v>219</v>
      </c>
      <c r="C101" s="1078"/>
      <c r="D101" s="1078"/>
      <c r="E101" s="1078"/>
      <c r="F101" s="1078"/>
      <c r="G101" s="1078"/>
      <c r="H101" s="1079"/>
      <c r="I101" s="631">
        <f>SUM(I14:I97)</f>
        <v>2024</v>
      </c>
      <c r="J101" s="631">
        <f>SUM(J14:J97)</f>
        <v>15108</v>
      </c>
      <c r="K101" s="631">
        <f>SUM(K14:K97)</f>
        <v>15624</v>
      </c>
      <c r="L101" s="631">
        <f>SUM(L14:L97)</f>
        <v>2540</v>
      </c>
      <c r="M101" s="631" t="e">
        <f>SUM(M14:M97)</f>
        <v>#REF!</v>
      </c>
      <c r="N101" s="631" t="e">
        <f>SUM(N14:N97)</f>
        <v>#REF!</v>
      </c>
      <c r="O101" s="631" t="e">
        <f>SUM(O14:O97)</f>
        <v>#REF!</v>
      </c>
      <c r="P101" s="631" t="e">
        <f>SUM(P14:P97)</f>
        <v>#REF!</v>
      </c>
      <c r="Q101" s="631" t="e">
        <f>SUM(Q14:Q97)</f>
        <v>#REF!</v>
      </c>
      <c r="R101" s="631" t="e">
        <f>SUM(R14:R97)</f>
        <v>#REF!</v>
      </c>
      <c r="S101" s="631" t="e">
        <f>SUM(S14:S97)</f>
        <v>#REF!</v>
      </c>
      <c r="T101" s="631" t="e">
        <f>SUM(T14:T97)</f>
        <v>#REF!</v>
      </c>
      <c r="U101" s="631" t="e">
        <f>SUM(U14:U97)</f>
        <v>#REF!</v>
      </c>
      <c r="V101" s="631" t="e">
        <f>SUM(V14:V97)</f>
        <v>#REF!</v>
      </c>
      <c r="W101" s="631" t="e">
        <f>SUM(W14:W97)</f>
        <v>#REF!</v>
      </c>
      <c r="X101" s="631" t="e">
        <f>SUM(X14:X97)</f>
        <v>#REF!</v>
      </c>
      <c r="Y101" s="631" t="e">
        <f>SUM(Y14:Y97)</f>
        <v>#REF!</v>
      </c>
      <c r="Z101" s="631" t="e">
        <f>SUM(Z14:Z97)</f>
        <v>#REF!</v>
      </c>
      <c r="AA101" s="631" t="e">
        <f>SUM(AA14:AA97)</f>
        <v>#REF!</v>
      </c>
      <c r="AB101" s="631" t="e">
        <f>SUM(AB14:AB97)</f>
        <v>#REF!</v>
      </c>
      <c r="AC101" s="631" t="e">
        <f>SUM(AC14:AC97)</f>
        <v>#REF!</v>
      </c>
      <c r="AD101" s="631" t="e">
        <f>SUM(AD14:AD97)</f>
        <v>#REF!</v>
      </c>
    </row>
    <row r="102" spans="1:32" customHeight="1" ht="20.1">
      <c r="A102" s="1080"/>
      <c r="B102" s="1169" t="s">
        <v>220</v>
      </c>
      <c r="C102" s="1170"/>
      <c r="D102" s="1170"/>
      <c r="E102" s="1170"/>
      <c r="F102" s="1170"/>
      <c r="G102" s="1170"/>
      <c r="H102" s="1171"/>
      <c r="I102" s="1143" t="str">
        <f>I11</f>
        <v>FEB</v>
      </c>
      <c r="J102" s="1144"/>
      <c r="K102" s="1145"/>
      <c r="L102" s="1143" t="str">
        <f>L11</f>
        <v>MAR</v>
      </c>
      <c r="M102" s="1144"/>
      <c r="N102" s="1145"/>
      <c r="O102" s="1143" t="str">
        <f>O11</f>
        <v>APR</v>
      </c>
      <c r="P102" s="1144"/>
      <c r="Q102" s="1145"/>
      <c r="R102" s="1143" t="str">
        <f>R11</f>
        <v>MAY</v>
      </c>
      <c r="S102" s="1144"/>
      <c r="T102" s="1145"/>
      <c r="U102" s="1143" t="str">
        <f>U11</f>
        <v>JUN</v>
      </c>
      <c r="V102" s="1144"/>
      <c r="W102" s="1145"/>
      <c r="X102" s="1143" t="str">
        <f>X11</f>
        <v>JUL</v>
      </c>
      <c r="Y102" s="1144"/>
      <c r="Z102" s="1145"/>
      <c r="AA102" s="1143" t="str">
        <f>AA11</f>
        <v>AUG</v>
      </c>
      <c r="AB102" s="1144"/>
      <c r="AC102" s="1145"/>
      <c r="AD102" s="4"/>
    </row>
    <row r="103" spans="1:32" customHeight="1" ht="20.1">
      <c r="A103" s="1080"/>
      <c r="B103" s="1081" t="s">
        <v>221</v>
      </c>
      <c r="C103" s="1082"/>
      <c r="D103" s="1082"/>
      <c r="E103" s="1082"/>
      <c r="F103" s="1082"/>
      <c r="G103" s="1082"/>
      <c r="H103" s="1083"/>
      <c r="I103" s="1156" t="e">
        <f>+#REF!</f>
        <v>#REF!</v>
      </c>
      <c r="J103" s="1156"/>
      <c r="K103" s="1156"/>
      <c r="L103" s="1156" t="e">
        <f>+#REF!</f>
        <v>#REF!</v>
      </c>
      <c r="M103" s="1156"/>
      <c r="N103" s="1156"/>
      <c r="O103" s="1156" t="e">
        <f>+#REF!</f>
        <v>#REF!</v>
      </c>
      <c r="P103" s="1156"/>
      <c r="Q103" s="1156"/>
      <c r="R103" s="1156" t="e">
        <f>+#REF!</f>
        <v>#REF!</v>
      </c>
      <c r="S103" s="1156"/>
      <c r="T103" s="1156"/>
      <c r="U103" s="1156" t="e">
        <f>+#REF!</f>
        <v>#REF!</v>
      </c>
      <c r="V103" s="1156"/>
      <c r="W103" s="1156"/>
      <c r="X103" s="1156" t="e">
        <f>+#REF!</f>
        <v>#REF!</v>
      </c>
      <c r="Y103" s="1156"/>
      <c r="Z103" s="1156"/>
      <c r="AA103" s="1156" t="e">
        <f>+#REF!</f>
        <v>#REF!</v>
      </c>
      <c r="AB103" s="1156"/>
      <c r="AC103" s="1156"/>
      <c r="AD103" s="4"/>
    </row>
    <row r="104" spans="1:32" customHeight="1" ht="20.1">
      <c r="A104" s="1080"/>
      <c r="B104" s="1166" t="s">
        <v>222</v>
      </c>
      <c r="C104" s="1167"/>
      <c r="D104" s="1167"/>
      <c r="E104" s="1167"/>
      <c r="F104" s="1167"/>
      <c r="G104" s="1167"/>
      <c r="H104" s="1168"/>
      <c r="I104" s="1157" t="e">
        <f>+#REF!</f>
        <v>#REF!</v>
      </c>
      <c r="J104" s="1158"/>
      <c r="K104" s="1159"/>
      <c r="L104" s="1157" t="e">
        <f>+#REF!</f>
        <v>#REF!</v>
      </c>
      <c r="M104" s="1158"/>
      <c r="N104" s="1159"/>
      <c r="O104" s="1157" t="e">
        <f>+#REF!</f>
        <v>#REF!</v>
      </c>
      <c r="P104" s="1158"/>
      <c r="Q104" s="1159"/>
      <c r="R104" s="1157" t="e">
        <f>+#REF!</f>
        <v>#REF!</v>
      </c>
      <c r="S104" s="1158"/>
      <c r="T104" s="1159"/>
      <c r="U104" s="1157" t="e">
        <f>+#REF!</f>
        <v>#REF!</v>
      </c>
      <c r="V104" s="1158"/>
      <c r="W104" s="1159"/>
      <c r="X104" s="1157" t="e">
        <f>+#REF!</f>
        <v>#REF!</v>
      </c>
      <c r="Y104" s="1158"/>
      <c r="Z104" s="1159"/>
      <c r="AA104" s="1157" t="e">
        <f>+#REF!</f>
        <v>#REF!</v>
      </c>
      <c r="AB104" s="1158"/>
      <c r="AC104" s="1159"/>
    </row>
    <row r="105" spans="1:32" customHeight="1" ht="20.1">
      <c r="B105" s="4"/>
      <c r="C105" s="632"/>
      <c r="D105" s="632"/>
      <c r="E105" s="632"/>
      <c r="F105" s="632"/>
      <c r="G105" s="632"/>
      <c r="H105" s="632"/>
      <c r="I105" s="633"/>
      <c r="J105" s="633"/>
      <c r="K105" s="633" t="str">
        <f>IF(K101-J101+I101=L101,"ok","false")</f>
        <v>ok</v>
      </c>
      <c r="L105" s="633"/>
      <c r="N105" s="633" t="str">
        <f>IF(N101-M101+L101=O101,"ok","false")</f>
        <v>ok</v>
      </c>
      <c r="O105" s="633"/>
      <c r="P105" s="633"/>
      <c r="Q105" s="633" t="str">
        <f>IF(Q101-P101+O101=R101,"ok","false")</f>
        <v>ok</v>
      </c>
      <c r="R105" s="633"/>
      <c r="T105" s="633" t="str">
        <f>IF(T101-S101+R101=U101,"ok","false")</f>
        <v>ok</v>
      </c>
      <c r="U105" s="4"/>
      <c r="V105" s="4"/>
      <c r="W105" s="633" t="str">
        <f>IF(W101-V101+U101=X101,"ok","false")</f>
        <v>ok</v>
      </c>
      <c r="X105" s="4"/>
      <c r="Y105" s="4"/>
      <c r="Z105" s="633" t="str">
        <f>IF(Z101-Y101+X101=AA101,"ok","false")</f>
        <v>ok</v>
      </c>
      <c r="AC105" s="633" t="str">
        <f>IF(AC101-AB101+AA101=AD101,"ok","false")</f>
        <v>ok</v>
      </c>
    </row>
    <row r="106" spans="1:32" customHeight="1" ht="19.5" s="634" customFormat="1">
      <c r="B106" s="4" t="s">
        <v>223</v>
      </c>
      <c r="C106" s="636"/>
      <c r="D106" s="636"/>
      <c r="E106" s="636"/>
      <c r="F106" s="636"/>
      <c r="G106" s="636"/>
      <c r="H106" s="636"/>
      <c r="I106" s="834">
        <f>+SUM(I18:I20,I53:I56,I61:I64,I14:I17,I29:I32,I44:I47,I57:I60)</f>
        <v>1176</v>
      </c>
      <c r="J106" s="834">
        <f>+SUM(J18:J20,J53:J56,J61:J64,J14:J17,J29:J32,J44:J47,J57:J60)</f>
        <v>10208</v>
      </c>
      <c r="K106" s="834">
        <f>+SUM(K18:K20,K53:K56,K61:K64,K14:K17,K29:K32,K44:K47,K57:K60)</f>
        <v>10956</v>
      </c>
      <c r="L106" s="834">
        <f>+SUM(L18:L20,L53:L56,L61:L64,L14:L17,L29:L32,L44:L47,L57:L60)</f>
        <v>1924</v>
      </c>
      <c r="M106" s="834" t="e">
        <f>+SUM(M18:M20,M53:M56,M61:M64,M14:M17,M29:M32,M44:M47,M57:M60)</f>
        <v>#REF!</v>
      </c>
      <c r="N106" s="834" t="e">
        <f>+SUM(N18:N20,N53:N56,N61:N64,N14:N17,N29:N32,N44:N47,N57:N60)</f>
        <v>#REF!</v>
      </c>
      <c r="O106" s="834" t="e">
        <f>+SUM(O18:O20,O53:O56,O61:O64,O14:O17,O29:O32,O44:O47,O57:O60)</f>
        <v>#REF!</v>
      </c>
      <c r="P106" s="834" t="e">
        <f>+SUM(P18:P20,P53:P56,P61:P64,P14:P17,P29:P32,P44:P47,P57:P60)</f>
        <v>#REF!</v>
      </c>
      <c r="Q106" s="834" t="e">
        <f>+SUM(Q18:Q20,Q53:Q56,Q61:Q64,Q14:Q17,Q29:Q32,Q44:Q47,Q57:Q60)</f>
        <v>#REF!</v>
      </c>
      <c r="R106" s="834" t="e">
        <f>+SUM(R18:R20,R53:R56,R61:R64,R14:R17,R29:R32,R44:R47,R57:R60)</f>
        <v>#REF!</v>
      </c>
      <c r="S106" s="834" t="e">
        <f>+SUM(S18:S20,S53:S56,S61:S64,S14:S17,S29:S32,S44:S47,S57:S60)</f>
        <v>#REF!</v>
      </c>
      <c r="T106" s="834" t="e">
        <f>+SUM(T18:T20,T53:T56,T61:T64,T14:T17,T29:T32,T44:T47,T57:T60)</f>
        <v>#REF!</v>
      </c>
      <c r="U106" s="834" t="e">
        <f>+SUM(U18:U20,U53:U56,U61:U64,U14:U17,U29:U32,U44:U47,U57:U60)</f>
        <v>#REF!</v>
      </c>
      <c r="V106" s="834" t="e">
        <f>+SUM(V18:V20,V53:V56,V61:V64,V14:V17,V29:V32,V44:V47,V57:V60)</f>
        <v>#REF!</v>
      </c>
      <c r="W106" s="834" t="e">
        <f>+SUM(W18:W20,W53:W56,W61:W64,W14:W17,W29:W32,W44:W47,W57:W60)</f>
        <v>#REF!</v>
      </c>
      <c r="X106" s="834" t="e">
        <f>+SUM(X18:X20,X53:X56,X61:X64,X14:X17,X29:X32,X44:X47,X57:X60)</f>
        <v>#REF!</v>
      </c>
      <c r="Y106" s="834" t="e">
        <f>+SUM(Y18:Y20,Y53:Y56,Y61:Y64,Y14:Y17,Y29:Y32,Y44:Y47,Y57:Y60)</f>
        <v>#REF!</v>
      </c>
      <c r="Z106" s="834" t="e">
        <f>+SUM(Z18:Z20,Z53:Z56,Z61:Z64,Z14:Z17,Z29:Z32,Z44:Z47,Z57:Z60)</f>
        <v>#REF!</v>
      </c>
      <c r="AA106" s="834" t="e">
        <f>+SUM(AA18:AA20,AA53:AA56,AA61:AA64,AA14:AA17,AA29:AA32,AA44:AA47,AA57:AA60)</f>
        <v>#REF!</v>
      </c>
      <c r="AB106" s="834" t="e">
        <f>+SUM(AB18:AB20,AB53:AB56,AB61:AB64,AB14:AB17,AB29:AB32,AB44:AB47,AB57:AB60)</f>
        <v>#REF!</v>
      </c>
      <c r="AC106" s="834" t="e">
        <f>+SUM(AC18:AC20,AC53:AC56,AC61:AC64,AC14:AC17,AC29:AC32,AC44:AC47,AC57:AC60)</f>
        <v>#REF!</v>
      </c>
      <c r="AD106" s="834" t="e">
        <f>+SUM(AD18:AD20,AD53:AD56,AD61:AD64,AD14:AD17,AD29:AD32,AD44:AD47,AD57:AD60)</f>
        <v>#REF!</v>
      </c>
    </row>
    <row r="107" spans="1:32" customHeight="1" ht="20.1">
      <c r="B107" s="635" t="s">
        <v>224</v>
      </c>
      <c r="C107" s="638"/>
      <c r="D107" s="638"/>
      <c r="E107" s="638"/>
      <c r="F107" s="638"/>
      <c r="G107" s="638" t="s">
        <v>225</v>
      </c>
      <c r="H107" s="638"/>
      <c r="I107" s="835">
        <v>0.0</v>
      </c>
      <c r="J107" s="835">
        <v>0.0</v>
      </c>
      <c r="K107" s="835">
        <v>0.0</v>
      </c>
      <c r="L107" s="835">
        <v>0.0</v>
      </c>
      <c r="M107" s="835">
        <v>0.0</v>
      </c>
      <c r="N107" s="835">
        <v>0.0</v>
      </c>
      <c r="O107" s="835">
        <v>0.0</v>
      </c>
      <c r="P107" s="835">
        <v>0.0</v>
      </c>
      <c r="Q107" s="835">
        <v>0.0</v>
      </c>
      <c r="R107" s="835">
        <v>0.0</v>
      </c>
      <c r="S107" s="835">
        <v>0.0</v>
      </c>
      <c r="T107" s="835">
        <v>0.0</v>
      </c>
      <c r="U107" s="835">
        <v>0.0</v>
      </c>
      <c r="V107" s="835">
        <v>0.0</v>
      </c>
      <c r="W107" s="835">
        <v>0.0</v>
      </c>
      <c r="X107" s="835">
        <v>0.0</v>
      </c>
      <c r="Y107" s="835">
        <v>0.0</v>
      </c>
      <c r="Z107" s="835">
        <v>0.0</v>
      </c>
      <c r="AA107" s="835">
        <v>0.0</v>
      </c>
      <c r="AB107" s="835">
        <v>0.0</v>
      </c>
      <c r="AC107" s="835">
        <v>0.0</v>
      </c>
      <c r="AD107" s="835">
        <v>0.0</v>
      </c>
    </row>
    <row r="108" spans="1:32" customHeight="1" ht="20.1">
      <c r="B108" s="635" t="s">
        <v>226</v>
      </c>
      <c r="C108" s="638"/>
      <c r="D108" s="638"/>
      <c r="E108" s="638"/>
      <c r="F108" s="638"/>
      <c r="G108" s="638" t="s">
        <v>225</v>
      </c>
      <c r="H108" s="638"/>
      <c r="I108" s="835">
        <f>+SUM(I65:I97)</f>
        <v>848</v>
      </c>
      <c r="J108" s="835">
        <f>+SUM(J65:J97)</f>
        <v>4900</v>
      </c>
      <c r="K108" s="835">
        <f>+SUM(K65:K97)</f>
        <v>4668</v>
      </c>
      <c r="L108" s="835">
        <f>+SUM(L65:L97)</f>
        <v>616</v>
      </c>
      <c r="M108" s="835" t="e">
        <f>+SUM(M65:M97)</f>
        <v>#REF!</v>
      </c>
      <c r="N108" s="835" t="e">
        <f>+SUM(N65:N97)</f>
        <v>#REF!</v>
      </c>
      <c r="O108" s="835" t="e">
        <f>+SUM(O65:O97)</f>
        <v>#REF!</v>
      </c>
      <c r="P108" s="835" t="e">
        <f>+SUM(P65:P97)</f>
        <v>#REF!</v>
      </c>
      <c r="Q108" s="835" t="e">
        <f>+SUM(Q65:Q97)</f>
        <v>#REF!</v>
      </c>
      <c r="R108" s="835" t="e">
        <f>+SUM(R65:R97)</f>
        <v>#REF!</v>
      </c>
      <c r="S108" s="835" t="e">
        <f>+SUM(S65:S97)</f>
        <v>#REF!</v>
      </c>
      <c r="T108" s="835" t="e">
        <f>+SUM(T65:T97)</f>
        <v>#REF!</v>
      </c>
      <c r="U108" s="835" t="e">
        <f>+SUM(U65:U97)</f>
        <v>#REF!</v>
      </c>
      <c r="V108" s="835" t="e">
        <f>+SUM(V65:V97)</f>
        <v>#REF!</v>
      </c>
      <c r="W108" s="835" t="e">
        <f>+SUM(W65:W97)</f>
        <v>#REF!</v>
      </c>
      <c r="X108" s="835" t="e">
        <f>+SUM(X65:X97)</f>
        <v>#REF!</v>
      </c>
      <c r="Y108" s="835" t="e">
        <f>+SUM(Y65:Y97)</f>
        <v>#REF!</v>
      </c>
      <c r="Z108" s="835" t="e">
        <f>+SUM(Z65:Z97)</f>
        <v>#REF!</v>
      </c>
      <c r="AA108" s="835" t="e">
        <f>+SUM(AA65:AA97)</f>
        <v>#REF!</v>
      </c>
      <c r="AB108" s="835" t="e">
        <f>+SUM(AB65:AB97)</f>
        <v>#REF!</v>
      </c>
      <c r="AC108" s="835" t="e">
        <f>+SUM(AC65:AC97)</f>
        <v>#REF!</v>
      </c>
      <c r="AD108" s="835" t="e">
        <f>+SUM(AD65:AD97)</f>
        <v>#REF!</v>
      </c>
    </row>
    <row r="109" spans="1:32" customHeight="1" ht="20.1">
      <c r="B109" s="637"/>
      <c r="C109" s="638"/>
      <c r="D109" s="638"/>
      <c r="E109" s="638"/>
      <c r="F109" s="638"/>
      <c r="G109" s="638"/>
      <c r="H109" s="638"/>
      <c r="I109" s="639"/>
      <c r="J109" s="640" t="e">
        <f>+#REF!</f>
        <v>#REF!</v>
      </c>
      <c r="K109" s="641"/>
      <c r="L109" s="639"/>
      <c r="M109" s="640" t="e">
        <f>+#REF!</f>
        <v>#REF!</v>
      </c>
      <c r="P109" s="640" t="e">
        <f>+#REF!</f>
        <v>#REF!</v>
      </c>
      <c r="S109" s="640" t="e">
        <f>+#REF!</f>
        <v>#REF!</v>
      </c>
      <c r="V109" s="640" t="e">
        <f>+#REF!</f>
        <v>#REF!</v>
      </c>
      <c r="X109" s="4"/>
      <c r="Y109" s="727" t="e">
        <f>+#REF!</f>
        <v>#REF!</v>
      </c>
      <c r="Z109" s="579"/>
      <c r="AB109" s="727" t="e">
        <f>+#REF!</f>
        <v>#REF!</v>
      </c>
    </row>
    <row r="110" spans="1:32" customHeight="1" ht="20.1">
      <c r="B110" s="637"/>
      <c r="C110" s="638"/>
      <c r="D110" s="638"/>
      <c r="E110" s="638"/>
      <c r="F110" s="638"/>
      <c r="G110" s="638"/>
      <c r="H110" s="638"/>
      <c r="I110" s="639"/>
      <c r="J110" s="642" t="e">
        <f>+J101-J109</f>
        <v>#REF!</v>
      </c>
      <c r="K110" s="642"/>
      <c r="L110" s="642"/>
      <c r="M110" s="642" t="e">
        <f>+M101-M109</f>
        <v>#REF!</v>
      </c>
      <c r="O110" s="639"/>
      <c r="P110" s="642" t="e">
        <f>+P101-P109</f>
        <v>#REF!</v>
      </c>
      <c r="S110" s="642" t="e">
        <f>+S101-S109</f>
        <v>#REF!</v>
      </c>
      <c r="V110" s="642" t="e">
        <f>+V101-V109</f>
        <v>#REF!</v>
      </c>
      <c r="Y110" s="642" t="e">
        <f>+Y101-Y109</f>
        <v>#REF!</v>
      </c>
      <c r="AB110" s="642" t="e">
        <f>+AB101-AB109</f>
        <v>#REF!</v>
      </c>
    </row>
    <row r="111" spans="1:32" customHeight="1" ht="17.25">
      <c r="C111" s="578"/>
      <c r="D111" s="578"/>
      <c r="E111" s="578"/>
      <c r="F111" s="578"/>
      <c r="G111" s="578"/>
      <c r="H111" s="578"/>
      <c r="I111" s="578">
        <v>2024</v>
      </c>
      <c r="J111" s="578">
        <v>15108</v>
      </c>
      <c r="K111" s="578">
        <v>15624</v>
      </c>
      <c r="L111" s="1141" t="s">
        <v>227</v>
      </c>
      <c r="M111" s="1141"/>
      <c r="N111" s="1141"/>
      <c r="O111" s="1141"/>
      <c r="P111" s="1141"/>
      <c r="Q111" s="1141"/>
      <c r="R111" s="578"/>
      <c r="S111" s="578"/>
      <c r="T111" s="578"/>
      <c r="U111" s="578"/>
      <c r="V111" s="578"/>
      <c r="W111" s="578"/>
      <c r="X111" s="578"/>
      <c r="Y111" s="578"/>
      <c r="Z111" s="578"/>
      <c r="AA111" s="578"/>
      <c r="AB111" s="578"/>
      <c r="AC111" s="578"/>
      <c r="AD111" s="578"/>
    </row>
    <row r="112" spans="1:32" customHeight="1" ht="18.75">
      <c r="B112" s="4"/>
      <c r="C112" s="4"/>
      <c r="D112" s="4"/>
      <c r="E112" s="4"/>
      <c r="I112" s="640">
        <f>+I101-I111</f>
        <v>0</v>
      </c>
      <c r="J112" s="640">
        <f>+J101-J111</f>
        <v>0</v>
      </c>
      <c r="K112" s="640">
        <f>+K101-K111</f>
        <v>0</v>
      </c>
      <c r="L112" s="1142" t="str">
        <f>K2</f>
        <v>TOYOTA 491D.564D</v>
      </c>
      <c r="M112" s="1142"/>
      <c r="N112" s="1142"/>
      <c r="O112" s="1142"/>
      <c r="P112" s="1142"/>
      <c r="Q112" s="1142"/>
      <c r="R112" s="75"/>
      <c r="S112" s="75"/>
      <c r="T112" s="75"/>
      <c r="U112" s="75"/>
      <c r="V112" s="71"/>
      <c r="W112" s="581"/>
      <c r="X112" s="581"/>
      <c r="Y112" s="581"/>
      <c r="Z112" s="581"/>
      <c r="AA112" s="1149"/>
      <c r="AB112" s="1149"/>
      <c r="AC112" s="1149"/>
      <c r="AD112" s="1149"/>
    </row>
    <row r="113" spans="1:32" customHeight="1" ht="17.25">
      <c r="B113" s="4" t="str">
        <f>B3</f>
        <v>S/R NO   : JAI SR 3-2-2026</v>
      </c>
      <c r="I113" s="746"/>
      <c r="J113" s="75"/>
      <c r="K113" s="75"/>
      <c r="L113" s="1142" t="str">
        <f>K3</f>
        <v>Periode : MAR PRODUCTION 2026</v>
      </c>
      <c r="M113" s="1142"/>
      <c r="N113" s="1142"/>
      <c r="O113" s="1142"/>
      <c r="P113" s="1142"/>
      <c r="Q113" s="1142"/>
      <c r="R113" s="75"/>
      <c r="S113" s="75"/>
      <c r="T113" s="75"/>
      <c r="U113" s="75"/>
      <c r="V113" s="71"/>
      <c r="W113" s="581"/>
      <c r="X113" s="581"/>
      <c r="Y113" s="581"/>
      <c r="Z113" s="581"/>
      <c r="AA113" s="71"/>
      <c r="AB113" s="71"/>
      <c r="AC113" s="72"/>
      <c r="AD113" s="71"/>
      <c r="AF113" s="746"/>
    </row>
    <row r="114" spans="1:32" customHeight="1" ht="14.1">
      <c r="B114" s="4" t="str">
        <f>B4</f>
        <v>FAX NO   : EMAIL</v>
      </c>
      <c r="C114" s="4"/>
      <c r="D114" s="4"/>
      <c r="E114" s="4"/>
      <c r="F114" s="4"/>
      <c r="G114" s="4"/>
      <c r="I114" s="746"/>
      <c r="J114" s="582"/>
      <c r="O114" s="7"/>
      <c r="R114" s="7"/>
      <c r="U114" s="4"/>
      <c r="V114" s="4"/>
      <c r="AB114" s="4"/>
      <c r="AC114" s="7"/>
      <c r="AD114" s="4"/>
      <c r="AF114" s="746"/>
    </row>
    <row r="115" spans="1:32" customHeight="1" ht="12.75">
      <c r="B115" s="4"/>
      <c r="C115" s="836" t="s">
        <v>228</v>
      </c>
      <c r="D115" s="4"/>
      <c r="E115" s="4"/>
      <c r="F115" s="4"/>
      <c r="G115" s="4"/>
      <c r="H115" s="580" t="s">
        <v>228</v>
      </c>
      <c r="I115" s="746">
        <f>SUM(I14:I17,I29:I32,I18:I20)</f>
        <v>432</v>
      </c>
      <c r="J115" s="746">
        <f>SUM(J14:J17,J29:J32,J18:J20)</f>
        <v>4568</v>
      </c>
      <c r="K115" s="746">
        <f>SUM(K14:K17,K29:K32,K18:K20)</f>
        <v>4856</v>
      </c>
      <c r="L115" s="746">
        <f>SUM(L14:L17,L29:L32,L18:L20)</f>
        <v>720</v>
      </c>
      <c r="M115" s="746" t="e">
        <f>SUM(M14:M17,M29:M32,M18:M20)</f>
        <v>#REF!</v>
      </c>
      <c r="N115" s="746" t="e">
        <f>SUM(N14:N17,N29:N32,N18:N20)</f>
        <v>#REF!</v>
      </c>
      <c r="O115" s="746" t="e">
        <f>SUM(O14:O17,O29:O32,O18:O20)</f>
        <v>#REF!</v>
      </c>
      <c r="P115" s="746" t="e">
        <f>SUM(P14:P17,P29:P32,P18:P20)</f>
        <v>#REF!</v>
      </c>
      <c r="Q115" s="746" t="e">
        <f>SUM(Q14:Q17,Q29:Q32,Q18:Q20)</f>
        <v>#REF!</v>
      </c>
      <c r="R115" s="746" t="e">
        <f>SUM(R14:R17,R29:R32,R18:R20)</f>
        <v>#REF!</v>
      </c>
      <c r="S115" s="746" t="e">
        <f>SUM(S14:S17,S29:S32,S18:S20)</f>
        <v>#REF!</v>
      </c>
      <c r="T115" s="746" t="e">
        <f>SUM(T14:T17,T29:T32,T18:T20)</f>
        <v>#REF!</v>
      </c>
      <c r="U115" s="746" t="e">
        <f>SUM(U14:U17,U29:U32,U18:U20)</f>
        <v>#REF!</v>
      </c>
      <c r="V115" s="746" t="e">
        <f>SUM(V14:V17,V29:V32,V18:V20)</f>
        <v>#REF!</v>
      </c>
      <c r="W115" s="746" t="e">
        <f>SUM(W14:W17,W29:W32,W18:W20)</f>
        <v>#REF!</v>
      </c>
      <c r="X115" s="746" t="e">
        <f>SUM(X14:X17,X29:X32,X18:X20)</f>
        <v>#REF!</v>
      </c>
      <c r="Y115" s="746" t="e">
        <f>SUM(Y14:Y17,Y29:Y32,Y18:Y20)</f>
        <v>#REF!</v>
      </c>
      <c r="Z115" s="746" t="e">
        <f>SUM(Z14:Z17,Z29:Z32,Z18:Z20)</f>
        <v>#REF!</v>
      </c>
      <c r="AA115" s="746" t="e">
        <f>SUM(AA14:AA17,AA29:AA32,AA18:AA20)</f>
        <v>#REF!</v>
      </c>
      <c r="AB115" s="746" t="e">
        <f>SUM(AB14:AB17,AB29:AB32,AB18:AB20)</f>
        <v>#REF!</v>
      </c>
      <c r="AC115" s="746" t="e">
        <f>SUM(AC14:AC17,AC29:AC32,AC18:AC20)</f>
        <v>#REF!</v>
      </c>
      <c r="AD115" s="4"/>
    </row>
    <row r="116" spans="1:32" customHeight="1" ht="12.75">
      <c r="B116" s="4"/>
      <c r="C116" s="836" t="s">
        <v>229</v>
      </c>
      <c r="D116" s="4"/>
      <c r="E116" s="4"/>
      <c r="F116" s="4"/>
      <c r="G116" s="4"/>
      <c r="H116" s="580" t="s">
        <v>229</v>
      </c>
      <c r="I116" s="746">
        <v>0.0</v>
      </c>
      <c r="J116" s="746">
        <v>0.0</v>
      </c>
      <c r="K116" s="746">
        <v>0.0</v>
      </c>
      <c r="L116" s="746">
        <v>0.0</v>
      </c>
      <c r="M116" s="746">
        <v>0.0</v>
      </c>
      <c r="N116" s="746">
        <v>0.0</v>
      </c>
      <c r="O116" s="746">
        <v>0.0</v>
      </c>
      <c r="P116" s="746">
        <v>0.0</v>
      </c>
      <c r="Q116" s="746">
        <v>0.0</v>
      </c>
      <c r="R116" s="746">
        <v>0.0</v>
      </c>
      <c r="S116" s="746">
        <v>0.0</v>
      </c>
      <c r="T116" s="746">
        <v>0.0</v>
      </c>
      <c r="U116" s="746">
        <v>0.0</v>
      </c>
      <c r="V116" s="746">
        <v>0.0</v>
      </c>
      <c r="W116" s="746">
        <v>0.0</v>
      </c>
      <c r="X116" s="746">
        <v>0.0</v>
      </c>
      <c r="Y116" s="746">
        <v>0.0</v>
      </c>
      <c r="Z116" s="746">
        <v>0.0</v>
      </c>
      <c r="AA116" s="746">
        <v>0.0</v>
      </c>
      <c r="AB116" s="746">
        <v>0.0</v>
      </c>
      <c r="AC116" s="746">
        <v>0.0</v>
      </c>
      <c r="AD116" s="640"/>
      <c r="AE116" s="640"/>
    </row>
    <row r="117" spans="1:32" customHeight="1" ht="12.75">
      <c r="B117" s="4"/>
      <c r="C117" s="836" t="s">
        <v>230</v>
      </c>
      <c r="D117" s="4"/>
      <c r="E117" s="4"/>
      <c r="F117" s="4"/>
      <c r="G117" s="4"/>
      <c r="H117" s="836" t="s">
        <v>230</v>
      </c>
      <c r="I117" s="746">
        <v>0.0</v>
      </c>
      <c r="J117" s="746">
        <v>0.0</v>
      </c>
      <c r="K117" s="746">
        <v>0.0</v>
      </c>
      <c r="L117" s="746">
        <v>0.0</v>
      </c>
      <c r="M117" s="746">
        <v>0.0</v>
      </c>
      <c r="N117" s="746">
        <v>0.0</v>
      </c>
      <c r="O117" s="746">
        <v>0.0</v>
      </c>
      <c r="P117" s="746">
        <v>0.0</v>
      </c>
      <c r="Q117" s="746">
        <v>0.0</v>
      </c>
      <c r="R117" s="746">
        <v>0.0</v>
      </c>
      <c r="S117" s="746">
        <v>0.0</v>
      </c>
      <c r="T117" s="746">
        <v>0.0</v>
      </c>
      <c r="U117" s="746">
        <v>0.0</v>
      </c>
      <c r="V117" s="746">
        <v>0.0</v>
      </c>
      <c r="W117" s="746">
        <v>0.0</v>
      </c>
      <c r="X117" s="746">
        <v>0.0</v>
      </c>
      <c r="Y117" s="746">
        <v>0.0</v>
      </c>
      <c r="Z117" s="746">
        <v>0.0</v>
      </c>
      <c r="AA117" s="746">
        <v>0.0</v>
      </c>
      <c r="AB117" s="746">
        <v>0.0</v>
      </c>
      <c r="AC117" s="746">
        <v>0.0</v>
      </c>
      <c r="AD117" s="640"/>
      <c r="AE117" s="640"/>
    </row>
    <row r="118" spans="1:32" customHeight="1" ht="13.5">
      <c r="B118" s="4"/>
      <c r="C118" s="836"/>
      <c r="D118" s="4"/>
      <c r="E118" s="4"/>
      <c r="F118" s="4"/>
      <c r="G118" s="4"/>
      <c r="I118" s="746">
        <f>SUM(I115:I117)</f>
        <v>432</v>
      </c>
      <c r="J118" s="580">
        <f>SUM(J115:J117)</f>
        <v>4568</v>
      </c>
      <c r="K118" s="580">
        <f>SUM(K115:K117)</f>
        <v>4856</v>
      </c>
      <c r="L118" s="580">
        <f>SUM(L115:L117)</f>
        <v>720</v>
      </c>
      <c r="M118" s="580" t="e">
        <f>SUM(M115:M117)</f>
        <v>#REF!</v>
      </c>
      <c r="N118" s="580" t="e">
        <f>SUM(N115:N117)</f>
        <v>#REF!</v>
      </c>
      <c r="O118" s="7" t="e">
        <f>SUM(O115:O117)</f>
        <v>#REF!</v>
      </c>
      <c r="P118" s="580" t="e">
        <f>SUM(P115:P117)</f>
        <v>#REF!</v>
      </c>
      <c r="Q118" s="580" t="e">
        <f>SUM(Q115:Q117)</f>
        <v>#REF!</v>
      </c>
      <c r="R118" s="7" t="e">
        <f>SUM(R115:R117)</f>
        <v>#REF!</v>
      </c>
      <c r="S118" s="580" t="e">
        <f>SUM(S115:S117)</f>
        <v>#REF!</v>
      </c>
      <c r="T118" s="580" t="e">
        <f>SUM(T115:T117)</f>
        <v>#REF!</v>
      </c>
      <c r="U118" s="828" t="e">
        <f>SUM(U115:U117)</f>
        <v>#REF!</v>
      </c>
      <c r="V118" s="828" t="e">
        <f>SUM(V115:V117)</f>
        <v>#REF!</v>
      </c>
      <c r="W118" s="828" t="e">
        <f>SUM(W115:W117)</f>
        <v>#REF!</v>
      </c>
      <c r="X118" s="828" t="e">
        <f>SUM(X115:X117)</f>
        <v>#REF!</v>
      </c>
      <c r="Y118" s="1151" t="e">
        <f>SUM(Y115:Y117)</f>
        <v>#REF!</v>
      </c>
      <c r="Z118" s="1151" t="e">
        <f>SUM(Z115:Z117)</f>
        <v>#REF!</v>
      </c>
      <c r="AA118" s="828" t="e">
        <f>SUM(AA115:AA117)</f>
        <v>#REF!</v>
      </c>
      <c r="AB118" s="828" t="e">
        <f>SUM(AB115:AB117)</f>
        <v>#REF!</v>
      </c>
      <c r="AC118" s="579" t="e">
        <f>SUM(AC115:AC117)</f>
        <v>#REF!</v>
      </c>
    </row>
    <row r="119" spans="1:32" customHeight="1" ht="12">
      <c r="B119" s="4"/>
      <c r="C119" s="836" t="s">
        <v>231</v>
      </c>
      <c r="D119" s="4"/>
      <c r="E119" s="4"/>
      <c r="F119" s="4"/>
      <c r="G119" s="4"/>
      <c r="H119" s="580" t="s">
        <v>231</v>
      </c>
      <c r="I119" s="746">
        <f>SUM(I44:I47,I57:I60,I53:I56,I61:I64)</f>
        <v>744</v>
      </c>
      <c r="J119" s="746">
        <f>SUM(J44:J47,J57:J60,J53:J56,J61:J64)</f>
        <v>5640</v>
      </c>
      <c r="K119" s="746">
        <f>SUM(K44:K47,K57:K60,K53:K56,K61:K64)</f>
        <v>6100</v>
      </c>
      <c r="L119" s="746">
        <f>SUM(L44:L47,L57:L60,L53:L56,L61:L64)</f>
        <v>1204</v>
      </c>
      <c r="M119" s="746" t="e">
        <f>SUM(M44:M47,M57:M60,M53:M56,M61:M64)</f>
        <v>#REF!</v>
      </c>
      <c r="N119" s="746" t="e">
        <f>SUM(N44:N47,N57:N60,N53:N56,N61:N64)</f>
        <v>#REF!</v>
      </c>
      <c r="O119" s="746" t="e">
        <f>SUM(O44:O47,O57:O60,O53:O56,O61:O64)</f>
        <v>#REF!</v>
      </c>
      <c r="P119" s="746" t="e">
        <f>SUM(P44:P47,P57:P60,P53:P56,P61:P64)</f>
        <v>#REF!</v>
      </c>
      <c r="Q119" s="746" t="e">
        <f>SUM(Q44:Q47,Q57:Q60,Q53:Q56,Q61:Q64)</f>
        <v>#REF!</v>
      </c>
      <c r="R119" s="746" t="e">
        <f>SUM(R44:R47,R57:R60,R53:R56,R61:R64)</f>
        <v>#REF!</v>
      </c>
      <c r="S119" s="746" t="e">
        <f>SUM(S44:S47,S57:S60,S53:S56,S61:S64)</f>
        <v>#REF!</v>
      </c>
      <c r="T119" s="746" t="e">
        <f>SUM(T44:T47,T57:T60,T53:T56,T61:T64)</f>
        <v>#REF!</v>
      </c>
      <c r="U119" s="746" t="e">
        <f>SUM(U44:U47,U57:U60,U53:U56,U61:U64)</f>
        <v>#REF!</v>
      </c>
      <c r="V119" s="746" t="e">
        <f>SUM(V44:V47,V57:V60,V53:V56,V61:V64)</f>
        <v>#REF!</v>
      </c>
      <c r="W119" s="746" t="e">
        <f>SUM(W44:W47,W57:W60,W53:W56,W61:W64)</f>
        <v>#REF!</v>
      </c>
      <c r="X119" s="746" t="e">
        <f>SUM(X44:X47,X57:X60,X53:X56,X61:X64)</f>
        <v>#REF!</v>
      </c>
      <c r="Y119" s="746" t="e">
        <f>SUM(Y44:Y47,Y57:Y60,Y53:Y56,Y61:Y64)</f>
        <v>#REF!</v>
      </c>
      <c r="Z119" s="746" t="e">
        <f>SUM(Z44:Z47,Z57:Z60,Z53:Z56,Z61:Z64)</f>
        <v>#REF!</v>
      </c>
      <c r="AA119" s="746" t="e">
        <f>SUM(AA44:AA47,AA57:AA60,AA53:AA56,AA61:AA64)</f>
        <v>#REF!</v>
      </c>
      <c r="AB119" s="746" t="e">
        <f>SUM(AB44:AB47,AB57:AB60,AB53:AB56,AB61:AB64)</f>
        <v>#REF!</v>
      </c>
      <c r="AC119" s="746" t="e">
        <f>SUM(AC44:AC47,AC57:AC60,AC53:AC56,AC61:AC64)</f>
        <v>#REF!</v>
      </c>
    </row>
    <row r="120" spans="1:32" customHeight="1" ht="15.75">
      <c r="B120" s="4"/>
      <c r="C120" s="836" t="s">
        <v>232</v>
      </c>
      <c r="D120" s="4"/>
      <c r="E120" s="4"/>
      <c r="F120" s="4"/>
      <c r="G120" s="4"/>
      <c r="H120" s="580" t="s">
        <v>232</v>
      </c>
      <c r="I120" s="746">
        <v>0.0</v>
      </c>
      <c r="J120" s="746">
        <v>0.0</v>
      </c>
      <c r="K120" s="746">
        <v>0.0</v>
      </c>
      <c r="L120" s="746">
        <v>0.0</v>
      </c>
      <c r="M120" s="746">
        <v>0.0</v>
      </c>
      <c r="N120" s="746">
        <v>0.0</v>
      </c>
      <c r="O120" s="746">
        <v>0.0</v>
      </c>
      <c r="P120" s="746">
        <v>0.0</v>
      </c>
      <c r="Q120" s="746">
        <v>0.0</v>
      </c>
      <c r="R120" s="746">
        <v>0.0</v>
      </c>
      <c r="S120" s="746">
        <v>0.0</v>
      </c>
      <c r="T120" s="746">
        <v>0.0</v>
      </c>
      <c r="U120" s="746">
        <v>0.0</v>
      </c>
      <c r="V120" s="746">
        <v>0.0</v>
      </c>
      <c r="W120" s="746">
        <v>0.0</v>
      </c>
      <c r="X120" s="746">
        <v>0.0</v>
      </c>
      <c r="Y120" s="746">
        <v>0.0</v>
      </c>
      <c r="Z120" s="746">
        <v>0.0</v>
      </c>
      <c r="AA120" s="746">
        <v>0.0</v>
      </c>
      <c r="AB120" s="746">
        <v>0.0</v>
      </c>
      <c r="AC120" s="746">
        <v>0.0</v>
      </c>
      <c r="AD120" s="4"/>
    </row>
    <row r="121" spans="1:32" customHeight="1" ht="15.75">
      <c r="B121" s="4"/>
      <c r="C121" s="836" t="s">
        <v>233</v>
      </c>
      <c r="D121" s="4"/>
      <c r="E121" s="4"/>
      <c r="F121" s="4"/>
      <c r="G121" s="4"/>
      <c r="H121" s="836" t="s">
        <v>233</v>
      </c>
      <c r="I121" s="746">
        <f>SUM(I65:I97)</f>
        <v>848</v>
      </c>
      <c r="J121" s="746">
        <f>SUM(J65:J97)</f>
        <v>4900</v>
      </c>
      <c r="K121" s="746">
        <f>SUM(K65:K97)</f>
        <v>4668</v>
      </c>
      <c r="L121" s="746">
        <f>SUM(L65:L97)</f>
        <v>616</v>
      </c>
      <c r="M121" s="746" t="e">
        <f>SUM(M65:M97)</f>
        <v>#REF!</v>
      </c>
      <c r="N121" s="746" t="e">
        <f>SUM(N65:N97)</f>
        <v>#REF!</v>
      </c>
      <c r="O121" s="746" t="e">
        <f>SUM(O65:O97)</f>
        <v>#REF!</v>
      </c>
      <c r="P121" s="746" t="e">
        <f>SUM(P65:P97)</f>
        <v>#REF!</v>
      </c>
      <c r="Q121" s="746" t="e">
        <f>SUM(Q65:Q97)</f>
        <v>#REF!</v>
      </c>
      <c r="R121" s="746" t="e">
        <f>SUM(R65:R97)</f>
        <v>#REF!</v>
      </c>
      <c r="S121" s="746" t="e">
        <f>SUM(S65:S97)</f>
        <v>#REF!</v>
      </c>
      <c r="T121" s="746" t="e">
        <f>SUM(T65:T97)</f>
        <v>#REF!</v>
      </c>
      <c r="U121" s="746" t="e">
        <f>SUM(U65:U97)</f>
        <v>#REF!</v>
      </c>
      <c r="V121" s="746" t="e">
        <f>SUM(V65:V97)</f>
        <v>#REF!</v>
      </c>
      <c r="W121" s="746" t="e">
        <f>SUM(W65:W97)</f>
        <v>#REF!</v>
      </c>
      <c r="X121" s="746" t="e">
        <f>SUM(X65:X97)</f>
        <v>#REF!</v>
      </c>
      <c r="Y121" s="746" t="e">
        <f>SUM(Y65:Y97)</f>
        <v>#REF!</v>
      </c>
      <c r="Z121" s="746" t="e">
        <f>SUM(Z65:Z97)</f>
        <v>#REF!</v>
      </c>
      <c r="AA121" s="746" t="e">
        <f>SUM(AA65:AA97)</f>
        <v>#REF!</v>
      </c>
      <c r="AB121" s="746" t="e">
        <f>SUM(AB65:AB97)</f>
        <v>#REF!</v>
      </c>
      <c r="AC121" s="746" t="e">
        <f>SUM(AC65:AC97)</f>
        <v>#REF!</v>
      </c>
      <c r="AD121" s="4"/>
    </row>
    <row r="122" spans="1:32" customHeight="1" ht="14.25">
      <c r="B122" s="593" t="s">
        <v>7</v>
      </c>
      <c r="C122" s="594">
        <f>NOW()</f>
        <v>46195.104537037</v>
      </c>
      <c r="D122" s="595"/>
      <c r="E122" s="595"/>
      <c r="F122" s="596"/>
      <c r="G122" s="596"/>
      <c r="H122" s="597"/>
      <c r="I122" s="746">
        <f>SUM(I119:I121)</f>
        <v>1592</v>
      </c>
      <c r="J122" s="580">
        <f>SUM(J119:J121)</f>
        <v>10540</v>
      </c>
      <c r="K122" s="580">
        <f>SUM(K119:K121)</f>
        <v>10768</v>
      </c>
      <c r="L122" s="580">
        <f>SUM(L119:L121)</f>
        <v>1820</v>
      </c>
      <c r="M122" s="598" t="e">
        <f>SUM(M119:M121)</f>
        <v>#REF!</v>
      </c>
      <c r="N122" s="598" t="e">
        <f>SUM(N119:N121)</f>
        <v>#REF!</v>
      </c>
      <c r="O122" s="598" t="e">
        <f>SUM(O119:O121)</f>
        <v>#REF!</v>
      </c>
      <c r="P122" s="599" t="e">
        <f>SUM(P119:P121)</f>
        <v>#REF!</v>
      </c>
      <c r="Q122" s="580" t="e">
        <f>SUM(Q119:Q121)</f>
        <v>#REF!</v>
      </c>
      <c r="R122" s="580" t="e">
        <f>SUM(R119:R121)</f>
        <v>#REF!</v>
      </c>
      <c r="S122" s="600" t="e">
        <f>SUM(S119:S121)</f>
        <v>#REF!</v>
      </c>
      <c r="T122" s="580" t="e">
        <f>SUM(T119:T121)</f>
        <v>#REF!</v>
      </c>
      <c r="U122" s="580" t="e">
        <f>SUM(U119:U121)</f>
        <v>#REF!</v>
      </c>
      <c r="V122" s="600" t="e">
        <f>SUM(V119:V121)</f>
        <v>#REF!</v>
      </c>
      <c r="W122" s="580" t="e">
        <f>SUM(W119:W121)</f>
        <v>#REF!</v>
      </c>
      <c r="X122" s="580" t="e">
        <f>SUM(X119:X121)</f>
        <v>#REF!</v>
      </c>
      <c r="Y122" s="600" t="e">
        <f>SUM(Y119:Y121)</f>
        <v>#REF!</v>
      </c>
      <c r="Z122" s="580" t="e">
        <f>SUM(Z119:Z121)</f>
        <v>#REF!</v>
      </c>
      <c r="AA122" s="4" t="e">
        <f>SUM(AA119:AA121)</f>
        <v>#REF!</v>
      </c>
      <c r="AB122" s="579" t="e">
        <f>SUM(AB119:AB121)</f>
        <v>#REF!</v>
      </c>
      <c r="AC122" s="579" t="e">
        <f>SUM(AC119:AC121)</f>
        <v>#REF!</v>
      </c>
    </row>
    <row r="123" spans="1:32" customHeight="1" ht="15.95">
      <c r="A123" s="643"/>
      <c r="B123" s="1111" t="s">
        <v>8</v>
      </c>
      <c r="C123" s="1095" t="s">
        <v>9</v>
      </c>
      <c r="D123" s="1105" t="s">
        <v>10</v>
      </c>
      <c r="E123" s="1100" t="s">
        <v>11</v>
      </c>
      <c r="F123" s="1095" t="s">
        <v>12</v>
      </c>
      <c r="G123" s="1100" t="s">
        <v>13</v>
      </c>
      <c r="H123" s="454"/>
      <c r="I123" s="1092" t="str">
        <f>I11</f>
        <v>FEB</v>
      </c>
      <c r="J123" s="1093"/>
      <c r="K123" s="1094"/>
      <c r="L123" s="1092" t="str">
        <f>L11</f>
        <v>MAR</v>
      </c>
      <c r="M123" s="1093"/>
      <c r="N123" s="1094"/>
      <c r="O123" s="1092" t="str">
        <f>O11</f>
        <v>APR</v>
      </c>
      <c r="P123" s="1093"/>
      <c r="Q123" s="1094"/>
      <c r="R123" s="1092" t="str">
        <f>R11</f>
        <v>MAY</v>
      </c>
      <c r="S123" s="1093"/>
      <c r="T123" s="1094"/>
      <c r="U123" s="1092" t="str">
        <f>U11</f>
        <v>JUN</v>
      </c>
      <c r="V123" s="1093"/>
      <c r="W123" s="1094"/>
      <c r="X123" s="1092" t="str">
        <f>X11</f>
        <v>JUL</v>
      </c>
      <c r="Y123" s="1093"/>
      <c r="Z123" s="1094"/>
      <c r="AA123" s="1092" t="str">
        <f>AA11</f>
        <v>AUG</v>
      </c>
      <c r="AB123" s="1093"/>
      <c r="AC123" s="1094"/>
      <c r="AD123" s="1095" t="s">
        <v>22</v>
      </c>
    </row>
    <row r="124" spans="1:32" customHeight="1" ht="15.95" s="601" customFormat="1">
      <c r="A124" s="644"/>
      <c r="B124" s="1112"/>
      <c r="C124" s="1096"/>
      <c r="D124" s="1106"/>
      <c r="E124" s="1101"/>
      <c r="F124" s="1096"/>
      <c r="G124" s="1101"/>
      <c r="H124" s="78" t="str">
        <f>H12</f>
        <v>UMH</v>
      </c>
      <c r="I124" s="1102" t="str">
        <f>I12</f>
        <v>02/FEB ~ 27/FEB</v>
      </c>
      <c r="J124" s="1103"/>
      <c r="K124" s="1104"/>
      <c r="L124" s="1102" t="str">
        <f>L12</f>
        <v>02/MAR ~ 31/MAR</v>
      </c>
      <c r="M124" s="1103"/>
      <c r="N124" s="1104"/>
      <c r="O124" s="1102" t="str">
        <f>O12</f>
        <v>01/APR ~ 30/APR</v>
      </c>
      <c r="P124" s="1103"/>
      <c r="Q124" s="1104"/>
      <c r="R124" s="1102" t="str">
        <f>R12</f>
        <v>02/MAY ~ 30/MAY</v>
      </c>
      <c r="S124" s="1103"/>
      <c r="T124" s="1104"/>
      <c r="U124" s="1102" t="str">
        <f>U12</f>
        <v>02/JUN ~ 30/JUN</v>
      </c>
      <c r="V124" s="1103"/>
      <c r="W124" s="1104"/>
      <c r="X124" s="1102" t="str">
        <f>X12</f>
        <v>01/JUL ~ 31/JUL</v>
      </c>
      <c r="Y124" s="1103"/>
      <c r="Z124" s="1104"/>
      <c r="AA124" s="1102" t="str">
        <f>AA12</f>
        <v>03/AUG ~ 31/AUG</v>
      </c>
      <c r="AB124" s="1103"/>
      <c r="AC124" s="1104"/>
      <c r="AD124" s="1096"/>
      <c r="AE124" s="579"/>
    </row>
    <row r="125" spans="1:32" customHeight="1" ht="15.95">
      <c r="A125" s="645"/>
      <c r="B125" s="1113"/>
      <c r="C125" s="1097"/>
      <c r="D125" s="1107"/>
      <c r="E125" s="1099"/>
      <c r="F125" s="1097"/>
      <c r="G125" s="1099"/>
      <c r="H125" s="79">
        <f>H13</f>
        <v/>
      </c>
      <c r="I125" s="602" t="s">
        <v>22</v>
      </c>
      <c r="J125" s="603" t="s">
        <v>24</v>
      </c>
      <c r="K125" s="604" t="s">
        <v>25</v>
      </c>
      <c r="L125" s="602" t="s">
        <v>22</v>
      </c>
      <c r="M125" s="603" t="s">
        <v>24</v>
      </c>
      <c r="N125" s="604" t="s">
        <v>25</v>
      </c>
      <c r="O125" s="602" t="s">
        <v>22</v>
      </c>
      <c r="P125" s="603" t="s">
        <v>24</v>
      </c>
      <c r="Q125" s="604" t="s">
        <v>25</v>
      </c>
      <c r="R125" s="602" t="s">
        <v>22</v>
      </c>
      <c r="S125" s="603" t="s">
        <v>24</v>
      </c>
      <c r="T125" s="604" t="s">
        <v>25</v>
      </c>
      <c r="U125" s="602" t="s">
        <v>22</v>
      </c>
      <c r="V125" s="603" t="s">
        <v>24</v>
      </c>
      <c r="W125" s="604" t="s">
        <v>25</v>
      </c>
      <c r="X125" s="602" t="s">
        <v>22</v>
      </c>
      <c r="Y125" s="603" t="s">
        <v>24</v>
      </c>
      <c r="Z125" s="604" t="s">
        <v>25</v>
      </c>
      <c r="AA125" s="602" t="s">
        <v>22</v>
      </c>
      <c r="AB125" s="603" t="s">
        <v>24</v>
      </c>
      <c r="AC125" s="604" t="s">
        <v>25</v>
      </c>
      <c r="AD125" s="1097"/>
    </row>
    <row r="126" spans="1:32" customHeight="1" ht="20.1" hidden="true" s="612" customFormat="1">
      <c r="A126" s="1074" t="s">
        <v>26</v>
      </c>
      <c r="B126" s="1084" t="s">
        <v>27</v>
      </c>
      <c r="C126" s="777" t="str">
        <f>C14</f>
        <v>82115-0E470</v>
      </c>
      <c r="D126" s="778" t="str">
        <f>D14</f>
        <v>H 0001</v>
      </c>
      <c r="E126" s="778" t="str">
        <f>E14</f>
        <v>DS72</v>
      </c>
      <c r="F126" s="702"/>
      <c r="G126" s="703">
        <f>G14</f>
        <v>4</v>
      </c>
      <c r="H126" s="779">
        <v>0.0</v>
      </c>
      <c r="I126" s="609">
        <f>$H14*I14</f>
        <v>0</v>
      </c>
      <c r="J126" s="649">
        <f>$H14*J14</f>
        <v>0</v>
      </c>
      <c r="K126" s="608">
        <f>$H14*K14</f>
        <v>0</v>
      </c>
      <c r="L126" s="609">
        <f>$H14*L14</f>
        <v>0</v>
      </c>
      <c r="M126" s="649">
        <f>$H14*M14</f>
        <v>0</v>
      </c>
      <c r="N126" s="608">
        <f>$H14*N14</f>
        <v>0</v>
      </c>
      <c r="O126" s="609">
        <f>$H14*O14</f>
        <v>0</v>
      </c>
      <c r="P126" s="649">
        <f>$H14*P14</f>
        <v>0</v>
      </c>
      <c r="Q126" s="608">
        <f>$H14*Q14</f>
        <v>0</v>
      </c>
      <c r="R126" s="609">
        <f>$H14*R14</f>
        <v>0</v>
      </c>
      <c r="S126" s="649">
        <f>$H14*S14</f>
        <v>0</v>
      </c>
      <c r="T126" s="608">
        <f>$H14*T14</f>
        <v>0</v>
      </c>
      <c r="U126" s="609">
        <f>$H14*U14</f>
        <v>0</v>
      </c>
      <c r="V126" s="649">
        <f>$H14*V14</f>
        <v>0</v>
      </c>
      <c r="W126" s="608">
        <f>$H14*W14</f>
        <v>0</v>
      </c>
      <c r="X126" s="609">
        <f>$H14*X14</f>
        <v>0</v>
      </c>
      <c r="Y126" s="649">
        <f>$H14*Y14</f>
        <v>0</v>
      </c>
      <c r="Z126" s="608">
        <f>$H14*Z14</f>
        <v>0</v>
      </c>
      <c r="AA126" s="609">
        <f>$H14*AA14</f>
        <v>0</v>
      </c>
      <c r="AB126" s="650">
        <f>$H14*AB14</f>
        <v>0</v>
      </c>
      <c r="AC126" s="610">
        <f>$H14*AC14</f>
        <v>0</v>
      </c>
      <c r="AD126" s="780">
        <f>$H14*AD14</f>
        <v>0</v>
      </c>
    </row>
    <row r="127" spans="1:32" customHeight="1" ht="20.1" hidden="true" s="612" customFormat="1">
      <c r="A127" s="1075"/>
      <c r="B127" s="1085"/>
      <c r="C127" s="732" t="str">
        <f>C15</f>
        <v>82115-0E480 G</v>
      </c>
      <c r="D127" s="302" t="str">
        <f>D15</f>
        <v>G 0101</v>
      </c>
      <c r="E127" s="302" t="str">
        <f>E15</f>
        <v>DS04</v>
      </c>
      <c r="F127" s="728"/>
      <c r="G127" s="729">
        <f>G15</f>
        <v>4</v>
      </c>
      <c r="H127" s="730">
        <f>+VLOOKUP($C127,C15:H98,6,0)</f>
        <v>4.7863716666667</v>
      </c>
      <c r="I127" s="624">
        <f>$H15*I15</f>
        <v>0</v>
      </c>
      <c r="J127" s="652">
        <f>$H15*J15</f>
        <v>0</v>
      </c>
      <c r="K127" s="623">
        <f>$H15*K15</f>
        <v>0</v>
      </c>
      <c r="L127" s="624">
        <f>$H15*L15</f>
        <v>0</v>
      </c>
      <c r="M127" s="652">
        <f>$H15*M15</f>
        <v>0</v>
      </c>
      <c r="N127" s="623">
        <f>$H15*N15</f>
        <v>0</v>
      </c>
      <c r="O127" s="624">
        <f>$H15*O15</f>
        <v>0</v>
      </c>
      <c r="P127" s="652">
        <f>$H15*P15</f>
        <v>0</v>
      </c>
      <c r="Q127" s="623">
        <f>$H15*Q15</f>
        <v>0</v>
      </c>
      <c r="R127" s="624">
        <f>$H15*R15</f>
        <v>0</v>
      </c>
      <c r="S127" s="652">
        <f>$H15*S15</f>
        <v>0</v>
      </c>
      <c r="T127" s="623">
        <f>$H15*T15</f>
        <v>0</v>
      </c>
      <c r="U127" s="624">
        <f>$H15*U15</f>
        <v>0</v>
      </c>
      <c r="V127" s="652">
        <f>$H15*V15</f>
        <v>0</v>
      </c>
      <c r="W127" s="623">
        <f>$H15*W15</f>
        <v>0</v>
      </c>
      <c r="X127" s="624">
        <f>$H15*X15</f>
        <v>0</v>
      </c>
      <c r="Y127" s="652">
        <f>$H15*Y15</f>
        <v>0</v>
      </c>
      <c r="Z127" s="623">
        <f>$H15*Z15</f>
        <v>0</v>
      </c>
      <c r="AA127" s="624">
        <f>$H15*AA15</f>
        <v>0</v>
      </c>
      <c r="AB127" s="653">
        <f>$H15*AB15</f>
        <v>0</v>
      </c>
      <c r="AC127" s="625">
        <f>$H15*AC15</f>
        <v>0</v>
      </c>
      <c r="AD127" s="654">
        <f>$H15*AD15</f>
        <v>0</v>
      </c>
    </row>
    <row r="128" spans="1:32" customHeight="1" ht="20.1" hidden="true" s="612" customFormat="1">
      <c r="A128" s="1075"/>
      <c r="B128" s="1085"/>
      <c r="C128" s="651" t="str">
        <f>C16</f>
        <v>82115-0E490 H</v>
      </c>
      <c r="D128" s="302" t="str">
        <f>D16</f>
        <v>H 0001</v>
      </c>
      <c r="E128" s="302" t="str">
        <f>E16</f>
        <v>DS74</v>
      </c>
      <c r="F128" s="452"/>
      <c r="G128" s="647">
        <f>G16</f>
        <v>4</v>
      </c>
      <c r="H128" s="648" t="e">
        <f>+VLOOKUP($C128,C16:H99,6,0)</f>
        <v>#REF!</v>
      </c>
      <c r="I128" s="624" t="e">
        <f>$H16*I16</f>
        <v>#REF!</v>
      </c>
      <c r="J128" s="652" t="e">
        <f>$H16*J16</f>
        <v>#REF!</v>
      </c>
      <c r="K128" s="623" t="e">
        <f>$H16*K16</f>
        <v>#REF!</v>
      </c>
      <c r="L128" s="624" t="e">
        <f>$H16*L16</f>
        <v>#REF!</v>
      </c>
      <c r="M128" s="652" t="e">
        <f>$H16*M16</f>
        <v>#REF!</v>
      </c>
      <c r="N128" s="623" t="e">
        <f>$H16*N16</f>
        <v>#REF!</v>
      </c>
      <c r="O128" s="624" t="e">
        <f>$H16*O16</f>
        <v>#REF!</v>
      </c>
      <c r="P128" s="652" t="e">
        <f>$H16*P16</f>
        <v>#REF!</v>
      </c>
      <c r="Q128" s="623" t="e">
        <f>$H16*Q16</f>
        <v>#REF!</v>
      </c>
      <c r="R128" s="624" t="e">
        <f>$H16*R16</f>
        <v>#REF!</v>
      </c>
      <c r="S128" s="652" t="e">
        <f>$H16*S16</f>
        <v>#REF!</v>
      </c>
      <c r="T128" s="623" t="e">
        <f>$H16*T16</f>
        <v>#REF!</v>
      </c>
      <c r="U128" s="624" t="e">
        <f>$H16*U16</f>
        <v>#REF!</v>
      </c>
      <c r="V128" s="652" t="e">
        <f>$H16*V16</f>
        <v>#REF!</v>
      </c>
      <c r="W128" s="623" t="e">
        <f>$H16*W16</f>
        <v>#REF!</v>
      </c>
      <c r="X128" s="624" t="e">
        <f>$H16*X16</f>
        <v>#REF!</v>
      </c>
      <c r="Y128" s="652" t="e">
        <f>$H16*Y16</f>
        <v>#REF!</v>
      </c>
      <c r="Z128" s="623" t="e">
        <f>$H16*Z16</f>
        <v>#REF!</v>
      </c>
      <c r="AA128" s="624" t="e">
        <f>$H16*AA16</f>
        <v>#REF!</v>
      </c>
      <c r="AB128" s="653" t="e">
        <f>$H16*AB16</f>
        <v>#REF!</v>
      </c>
      <c r="AC128" s="625" t="e">
        <f>$H16*AC16</f>
        <v>#REF!</v>
      </c>
      <c r="AD128" s="654" t="e">
        <f>$H16*AD16</f>
        <v>#REF!</v>
      </c>
    </row>
    <row r="129" spans="1:32" customHeight="1" ht="20.1" hidden="true" s="612" customFormat="1">
      <c r="A129" s="1075"/>
      <c r="B129" s="1086"/>
      <c r="C129" s="781" t="str">
        <f>C17</f>
        <v>82115-0EA10 H</v>
      </c>
      <c r="D129" s="782" t="str">
        <f>D17</f>
        <v>H 0001</v>
      </c>
      <c r="E129" s="782" t="str">
        <f>E17</f>
        <v>DS75</v>
      </c>
      <c r="F129" s="783"/>
      <c r="G129" s="784">
        <f>G17</f>
        <v>4</v>
      </c>
      <c r="H129" s="785" t="e">
        <f>+VLOOKUP($C129,C17:C100,6,0)</f>
        <v>#REF!</v>
      </c>
      <c r="I129" s="786" t="e">
        <f>$H17*I17</f>
        <v>#REF!</v>
      </c>
      <c r="J129" s="787" t="e">
        <f>$H17*J17</f>
        <v>#REF!</v>
      </c>
      <c r="K129" s="788" t="e">
        <f>$H17*K17</f>
        <v>#REF!</v>
      </c>
      <c r="L129" s="786" t="e">
        <f>$H17*L17</f>
        <v>#REF!</v>
      </c>
      <c r="M129" s="787" t="e">
        <f>$H17*M17</f>
        <v>#REF!</v>
      </c>
      <c r="N129" s="788" t="e">
        <f>$H17*N17</f>
        <v>#REF!</v>
      </c>
      <c r="O129" s="786" t="e">
        <f>$H17*O17</f>
        <v>#REF!</v>
      </c>
      <c r="P129" s="787" t="e">
        <f>$H17*P17</f>
        <v>#REF!</v>
      </c>
      <c r="Q129" s="788" t="e">
        <f>$H17*Q17</f>
        <v>#REF!</v>
      </c>
      <c r="R129" s="786" t="e">
        <f>$H17*R17</f>
        <v>#REF!</v>
      </c>
      <c r="S129" s="787" t="e">
        <f>$H17*S17</f>
        <v>#REF!</v>
      </c>
      <c r="T129" s="788" t="e">
        <f>$H17*T17</f>
        <v>#REF!</v>
      </c>
      <c r="U129" s="786" t="e">
        <f>$H17*U17</f>
        <v>#REF!</v>
      </c>
      <c r="V129" s="787" t="e">
        <f>$H17*V17</f>
        <v>#REF!</v>
      </c>
      <c r="W129" s="788" t="e">
        <f>$H17*W17</f>
        <v>#REF!</v>
      </c>
      <c r="X129" s="786" t="e">
        <f>$H17*X17</f>
        <v>#REF!</v>
      </c>
      <c r="Y129" s="787" t="e">
        <f>$H17*Y17</f>
        <v>#REF!</v>
      </c>
      <c r="Z129" s="788" t="e">
        <f>$H17*Z17</f>
        <v>#REF!</v>
      </c>
      <c r="AA129" s="786" t="e">
        <f>$H17*AA17</f>
        <v>#REF!</v>
      </c>
      <c r="AB129" s="789" t="e">
        <f>$H17*AB17</f>
        <v>#REF!</v>
      </c>
      <c r="AC129" s="790" t="e">
        <f>$H17*AC17</f>
        <v>#REF!</v>
      </c>
      <c r="AD129" s="791" t="e">
        <f>$H17*AD17</f>
        <v>#REF!</v>
      </c>
    </row>
    <row r="130" spans="1:32" customHeight="1" ht="20.1" hidden="true" s="612" customFormat="1">
      <c r="A130" s="1075"/>
      <c r="B130" s="1087" t="s">
        <v>38</v>
      </c>
      <c r="C130" s="776" t="str">
        <f>C18</f>
        <v>82115-0E480</v>
      </c>
      <c r="D130" s="302" t="str">
        <f>D18</f>
        <v>J 0101</v>
      </c>
      <c r="E130" s="302" t="str">
        <f>E18</f>
        <v>DSY3</v>
      </c>
      <c r="F130" s="728"/>
      <c r="G130" s="729">
        <f>G18</f>
        <v>4</v>
      </c>
      <c r="H130" s="730" t="e">
        <f>+VLOOKUP($C130,C18:C101,6,0)</f>
        <v>#REF!</v>
      </c>
      <c r="I130" s="624" t="e">
        <f>$H18*I18</f>
        <v>#REF!</v>
      </c>
      <c r="J130" s="652" t="e">
        <f>$H18*J18</f>
        <v>#REF!</v>
      </c>
      <c r="K130" s="623" t="e">
        <f>$H18*K18</f>
        <v>#REF!</v>
      </c>
      <c r="L130" s="624" t="e">
        <f>$H18*L18</f>
        <v>#REF!</v>
      </c>
      <c r="M130" s="652" t="e">
        <f>$H18*M18</f>
        <v>#REF!</v>
      </c>
      <c r="N130" s="623" t="e">
        <f>$H18*N18</f>
        <v>#REF!</v>
      </c>
      <c r="O130" s="624" t="e">
        <f>$H18*O18</f>
        <v>#REF!</v>
      </c>
      <c r="P130" s="652" t="e">
        <f>$H18*P18</f>
        <v>#REF!</v>
      </c>
      <c r="Q130" s="623" t="e">
        <f>$H18*Q18</f>
        <v>#REF!</v>
      </c>
      <c r="R130" s="624" t="e">
        <f>$H18*R18</f>
        <v>#REF!</v>
      </c>
      <c r="S130" s="652" t="e">
        <f>$H18*S18</f>
        <v>#REF!</v>
      </c>
      <c r="T130" s="623" t="e">
        <f>$H18*T18</f>
        <v>#REF!</v>
      </c>
      <c r="U130" s="624" t="e">
        <f>$H18*U18</f>
        <v>#REF!</v>
      </c>
      <c r="V130" s="652" t="e">
        <f>$H18*V18</f>
        <v>#REF!</v>
      </c>
      <c r="W130" s="623" t="e">
        <f>$H18*W18</f>
        <v>#REF!</v>
      </c>
      <c r="X130" s="624" t="e">
        <f>$H18*X18</f>
        <v>#REF!</v>
      </c>
      <c r="Y130" s="652" t="e">
        <f>$H18*Y18</f>
        <v>#REF!</v>
      </c>
      <c r="Z130" s="623" t="e">
        <f>$H18*Z18</f>
        <v>#REF!</v>
      </c>
      <c r="AA130" s="624" t="e">
        <f>$H18*AA18</f>
        <v>#REF!</v>
      </c>
      <c r="AB130" s="653" t="e">
        <f>$H18*AB18</f>
        <v>#REF!</v>
      </c>
      <c r="AC130" s="625" t="e">
        <f>$H18*AC18</f>
        <v>#REF!</v>
      </c>
      <c r="AD130" s="654" t="e">
        <f>$H18*AD18</f>
        <v>#REF!</v>
      </c>
    </row>
    <row r="131" spans="1:32" customHeight="1" ht="20.1" s="612" customFormat="1">
      <c r="A131" s="1075"/>
      <c r="B131" s="1085"/>
      <c r="C131" s="651" t="str">
        <f>C19</f>
        <v>82115-0E490 K</v>
      </c>
      <c r="D131" s="302" t="str">
        <f>D19</f>
        <v>K 0001</v>
      </c>
      <c r="E131" s="302" t="str">
        <f>E19</f>
        <v>DZ01</v>
      </c>
      <c r="F131" s="452"/>
      <c r="G131" s="647">
        <f>G19</f>
        <v>4</v>
      </c>
      <c r="H131" s="648" t="e">
        <f>+VLOOKUP($C131,C19:C102,6,0)</f>
        <v>#REF!</v>
      </c>
      <c r="I131" s="624" t="e">
        <f>$H19*I19</f>
        <v>#REF!</v>
      </c>
      <c r="J131" s="652" t="e">
        <f>$H19*J19</f>
        <v>#REF!</v>
      </c>
      <c r="K131" s="623" t="e">
        <f>$H19*K19</f>
        <v>#REF!</v>
      </c>
      <c r="L131" s="624" t="e">
        <f>$H19*L19</f>
        <v>#REF!</v>
      </c>
      <c r="M131" s="652" t="e">
        <f>$H19*M19</f>
        <v>#REF!</v>
      </c>
      <c r="N131" s="623" t="e">
        <f>$H19*N19</f>
        <v>#REF!</v>
      </c>
      <c r="O131" s="624" t="e">
        <f>$H19*O19</f>
        <v>#REF!</v>
      </c>
      <c r="P131" s="652" t="e">
        <f>$H19*P19</f>
        <v>#REF!</v>
      </c>
      <c r="Q131" s="623" t="e">
        <f>$H19*Q19</f>
        <v>#REF!</v>
      </c>
      <c r="R131" s="624" t="e">
        <f>$H19*R19</f>
        <v>#REF!</v>
      </c>
      <c r="S131" s="652" t="e">
        <f>$H19*S19</f>
        <v>#REF!</v>
      </c>
      <c r="T131" s="623" t="e">
        <f>$H19*T19</f>
        <v>#REF!</v>
      </c>
      <c r="U131" s="624" t="e">
        <f>$H19*U19</f>
        <v>#REF!</v>
      </c>
      <c r="V131" s="652" t="e">
        <f>$H19*V19</f>
        <v>#REF!</v>
      </c>
      <c r="W131" s="623" t="e">
        <f>$H19*W19</f>
        <v>#REF!</v>
      </c>
      <c r="X131" s="624" t="e">
        <f>$H19*X19</f>
        <v>#REF!</v>
      </c>
      <c r="Y131" s="652" t="e">
        <f>$H19*Y19</f>
        <v>#REF!</v>
      </c>
      <c r="Z131" s="623" t="e">
        <f>$H19*Z19</f>
        <v>#REF!</v>
      </c>
      <c r="AA131" s="624" t="e">
        <f>$H19*AA19</f>
        <v>#REF!</v>
      </c>
      <c r="AB131" s="653" t="e">
        <f>$H19*AB19</f>
        <v>#REF!</v>
      </c>
      <c r="AC131" s="625" t="e">
        <f>$H19*AC19</f>
        <v>#REF!</v>
      </c>
      <c r="AD131" s="654" t="e">
        <f>$H19*AD19</f>
        <v>#REF!</v>
      </c>
    </row>
    <row r="132" spans="1:32" customHeight="1" ht="20.1" s="628" customFormat="1">
      <c r="A132" s="1075"/>
      <c r="B132" s="1085"/>
      <c r="C132" s="781" t="str">
        <f>C20</f>
        <v>82115-0EA10 K</v>
      </c>
      <c r="D132" s="782" t="str">
        <f>D20</f>
        <v>K 0001</v>
      </c>
      <c r="E132" s="782" t="str">
        <f>E20</f>
        <v>DZ02</v>
      </c>
      <c r="F132" s="783"/>
      <c r="G132" s="784">
        <f>G20</f>
        <v>4</v>
      </c>
      <c r="H132" s="785" t="e">
        <f>+VLOOKUP($C132,C20:C103,6,0)</f>
        <v>#REF!</v>
      </c>
      <c r="I132" s="769" t="e">
        <f>$H20*I20</f>
        <v>#REF!</v>
      </c>
      <c r="J132" s="794" t="e">
        <f>$H20*J20</f>
        <v>#REF!</v>
      </c>
      <c r="K132" s="794" t="e">
        <f>$H20*K20</f>
        <v>#REF!</v>
      </c>
      <c r="L132" s="769" t="e">
        <f>$H20*L20</f>
        <v>#REF!</v>
      </c>
      <c r="M132" s="794" t="e">
        <f>$H20*M20</f>
        <v>#REF!</v>
      </c>
      <c r="N132" s="768" t="e">
        <f>$H20*N20</f>
        <v>#REF!</v>
      </c>
      <c r="O132" s="769" t="e">
        <f>$H20*O20</f>
        <v>#REF!</v>
      </c>
      <c r="P132" s="794" t="e">
        <f>$H20*P20</f>
        <v>#REF!</v>
      </c>
      <c r="Q132" s="768" t="e">
        <f>$H20*Q20</f>
        <v>#REF!</v>
      </c>
      <c r="R132" s="769" t="e">
        <f>$H20*R20</f>
        <v>#REF!</v>
      </c>
      <c r="S132" s="794" t="e">
        <f>$H20*S20</f>
        <v>#REF!</v>
      </c>
      <c r="T132" s="768" t="e">
        <f>$H20*T20</f>
        <v>#REF!</v>
      </c>
      <c r="U132" s="769" t="e">
        <f>$H20*U20</f>
        <v>#REF!</v>
      </c>
      <c r="V132" s="794" t="e">
        <f>$H20*V20</f>
        <v>#REF!</v>
      </c>
      <c r="W132" s="768" t="e">
        <f>$H20*W20</f>
        <v>#REF!</v>
      </c>
      <c r="X132" s="769" t="e">
        <f>$H20*X20</f>
        <v>#REF!</v>
      </c>
      <c r="Y132" s="794" t="e">
        <f>$H20*Y20</f>
        <v>#REF!</v>
      </c>
      <c r="Z132" s="768" t="e">
        <f>$H20*Z20</f>
        <v>#REF!</v>
      </c>
      <c r="AA132" s="769" t="e">
        <f>$H20*AA20</f>
        <v>#REF!</v>
      </c>
      <c r="AB132" s="795" t="e">
        <f>$H20*AB20</f>
        <v>#REF!</v>
      </c>
      <c r="AC132" s="770" t="e">
        <f>$H20*AC20</f>
        <v>#REF!</v>
      </c>
      <c r="AD132" s="796" t="e">
        <f>$H20*AD20</f>
        <v>#REF!</v>
      </c>
    </row>
    <row r="133" spans="1:32" customHeight="1" ht="20.1" hidden="true" s="612" customFormat="1">
      <c r="A133" s="1075"/>
      <c r="B133" s="1085"/>
      <c r="C133" s="732" t="str">
        <f>C21</f>
        <v>82115-0E600</v>
      </c>
      <c r="D133" s="302" t="str">
        <f>D21</f>
        <v>H 0201</v>
      </c>
      <c r="E133" s="302" t="str">
        <f>E21</f>
        <v>DS10</v>
      </c>
      <c r="F133" s="728"/>
      <c r="G133" s="729">
        <f>G21</f>
        <v>4</v>
      </c>
      <c r="H133" s="730" t="e">
        <f>+VLOOKUP($C133,C21:C104,6,0)</f>
        <v>#REF!</v>
      </c>
      <c r="I133" s="624">
        <f>$H21*I21</f>
        <v>0</v>
      </c>
      <c r="J133" s="652">
        <f>$H21*J21</f>
        <v>0</v>
      </c>
      <c r="K133" s="623">
        <f>$H21*K21</f>
        <v>0</v>
      </c>
      <c r="L133" s="624">
        <f>$H21*L21</f>
        <v>0</v>
      </c>
      <c r="M133" s="652">
        <f>$H21*M21</f>
        <v>0</v>
      </c>
      <c r="N133" s="623">
        <f>$H21*N21</f>
        <v>0</v>
      </c>
      <c r="O133" s="624">
        <f>$H21*O21</f>
        <v>0</v>
      </c>
      <c r="P133" s="652">
        <f>$H21*P21</f>
        <v>0</v>
      </c>
      <c r="Q133" s="623">
        <f>$H21*Q21</f>
        <v>0</v>
      </c>
      <c r="R133" s="624">
        <f>$H21*R21</f>
        <v>0</v>
      </c>
      <c r="S133" s="652">
        <f>$H21*S21</f>
        <v>0</v>
      </c>
      <c r="T133" s="623">
        <f>$H21*T21</f>
        <v>0</v>
      </c>
      <c r="U133" s="624">
        <f>$H21*U21</f>
        <v>0</v>
      </c>
      <c r="V133" s="652">
        <f>$H21*V21</f>
        <v>0</v>
      </c>
      <c r="W133" s="623">
        <f>$H21*W21</f>
        <v>0</v>
      </c>
      <c r="X133" s="624">
        <f>$H21*X21</f>
        <v>0</v>
      </c>
      <c r="Y133" s="652">
        <f>$H21*Y21</f>
        <v>0</v>
      </c>
      <c r="Z133" s="623">
        <f>$H21*Z21</f>
        <v>0</v>
      </c>
      <c r="AA133" s="624">
        <f>$H21*AA21</f>
        <v>0</v>
      </c>
      <c r="AB133" s="653">
        <f>$H21*AB21</f>
        <v>0</v>
      </c>
      <c r="AC133" s="625">
        <f>$H21*AC21</f>
        <v>0</v>
      </c>
      <c r="AD133" s="654">
        <f>$H21*AD21</f>
        <v>0</v>
      </c>
    </row>
    <row r="134" spans="1:32" customHeight="1" ht="20.1" hidden="true" s="612" customFormat="1">
      <c r="A134" s="1075"/>
      <c r="B134" s="1085"/>
      <c r="C134" s="651" t="str">
        <f>C22</f>
        <v>82115-0E610</v>
      </c>
      <c r="D134" s="302" t="str">
        <f>D22</f>
        <v>H 0201</v>
      </c>
      <c r="E134" s="302" t="str">
        <f>E22</f>
        <v>DS11</v>
      </c>
      <c r="F134" s="452"/>
      <c r="G134" s="647">
        <f>G22</f>
        <v>4</v>
      </c>
      <c r="H134" s="648" t="e">
        <f>+VLOOKUP($C134,C22:C105,6,0)</f>
        <v>#REF!</v>
      </c>
      <c r="I134" s="624">
        <f>$H22*I22</f>
        <v>0</v>
      </c>
      <c r="J134" s="652">
        <f>$H22*J22</f>
        <v>0</v>
      </c>
      <c r="K134" s="623">
        <f>$H22*K22</f>
        <v>0</v>
      </c>
      <c r="L134" s="624">
        <f>$H22*L22</f>
        <v>0</v>
      </c>
      <c r="M134" s="652">
        <f>$H22*M22</f>
        <v>0</v>
      </c>
      <c r="N134" s="623">
        <f>$H22*N22</f>
        <v>0</v>
      </c>
      <c r="O134" s="624">
        <f>$H22*O22</f>
        <v>0</v>
      </c>
      <c r="P134" s="652">
        <f>$H22*P22</f>
        <v>0</v>
      </c>
      <c r="Q134" s="623">
        <f>$H22*Q22</f>
        <v>0</v>
      </c>
      <c r="R134" s="624">
        <f>$H22*R22</f>
        <v>0</v>
      </c>
      <c r="S134" s="652">
        <f>$H22*S22</f>
        <v>0</v>
      </c>
      <c r="T134" s="623">
        <f>$H22*T22</f>
        <v>0</v>
      </c>
      <c r="U134" s="624">
        <f>$H22*U22</f>
        <v>0</v>
      </c>
      <c r="V134" s="652">
        <f>$H22*V22</f>
        <v>0</v>
      </c>
      <c r="W134" s="623">
        <f>$H22*W22</f>
        <v>0</v>
      </c>
      <c r="X134" s="624">
        <f>$H22*X22</f>
        <v>0</v>
      </c>
      <c r="Y134" s="652">
        <f>$H22*Y22</f>
        <v>0</v>
      </c>
      <c r="Z134" s="623">
        <f>$H22*Z22</f>
        <v>0</v>
      </c>
      <c r="AA134" s="624">
        <f>$H22*AA22</f>
        <v>0</v>
      </c>
      <c r="AB134" s="653">
        <f>$H22*AB22</f>
        <v>0</v>
      </c>
      <c r="AC134" s="625">
        <f>$H22*AC22</f>
        <v>0</v>
      </c>
      <c r="AD134" s="654">
        <f>$H22*AD22</f>
        <v>0</v>
      </c>
    </row>
    <row r="135" spans="1:32" customHeight="1" ht="20.1" hidden="true" s="612" customFormat="1">
      <c r="A135" s="1075"/>
      <c r="B135" s="1085"/>
      <c r="C135" s="651" t="str">
        <f>C23</f>
        <v>82115-0E620</v>
      </c>
      <c r="D135" s="302" t="str">
        <f>D23</f>
        <v>H 0201</v>
      </c>
      <c r="E135" s="302" t="str">
        <f>E23</f>
        <v>DS12</v>
      </c>
      <c r="F135" s="452"/>
      <c r="G135" s="647">
        <f>G23</f>
        <v>4</v>
      </c>
      <c r="H135" s="648" t="e">
        <f>+VLOOKUP($C135,C23:C106,6,0)</f>
        <v>#REF!</v>
      </c>
      <c r="I135" s="624">
        <f>$H23*I23</f>
        <v>0</v>
      </c>
      <c r="J135" s="652">
        <f>$H23*J23</f>
        <v>0</v>
      </c>
      <c r="K135" s="623">
        <f>$H23*K23</f>
        <v>0</v>
      </c>
      <c r="L135" s="624">
        <f>$H23*L23</f>
        <v>0</v>
      </c>
      <c r="M135" s="652">
        <f>$H23*M23</f>
        <v>0</v>
      </c>
      <c r="N135" s="623">
        <f>$H23*N23</f>
        <v>0</v>
      </c>
      <c r="O135" s="624">
        <f>$H23*O23</f>
        <v>0</v>
      </c>
      <c r="P135" s="652">
        <f>$H23*P23</f>
        <v>0</v>
      </c>
      <c r="Q135" s="623">
        <f>$H23*Q23</f>
        <v>0</v>
      </c>
      <c r="R135" s="624">
        <f>$H23*R23</f>
        <v>0</v>
      </c>
      <c r="S135" s="652">
        <f>$H23*S23</f>
        <v>0</v>
      </c>
      <c r="T135" s="623">
        <f>$H23*T23</f>
        <v>0</v>
      </c>
      <c r="U135" s="624">
        <f>$H23*U23</f>
        <v>0</v>
      </c>
      <c r="V135" s="652">
        <f>$H23*V23</f>
        <v>0</v>
      </c>
      <c r="W135" s="623">
        <f>$H23*W23</f>
        <v>0</v>
      </c>
      <c r="X135" s="624">
        <f>$H23*X23</f>
        <v>0</v>
      </c>
      <c r="Y135" s="652">
        <f>$H23*Y23</f>
        <v>0</v>
      </c>
      <c r="Z135" s="623">
        <f>$H23*Z23</f>
        <v>0</v>
      </c>
      <c r="AA135" s="624">
        <f>$H23*AA23</f>
        <v>0</v>
      </c>
      <c r="AB135" s="653">
        <f>$H23*AB23</f>
        <v>0</v>
      </c>
      <c r="AC135" s="625">
        <f>$H23*AC23</f>
        <v>0</v>
      </c>
      <c r="AD135" s="654">
        <f>$H23*AD23</f>
        <v>0</v>
      </c>
    </row>
    <row r="136" spans="1:32" customHeight="1" ht="20.1" hidden="true" s="612" customFormat="1">
      <c r="A136" s="1075"/>
      <c r="B136" s="1085"/>
      <c r="C136" s="646" t="str">
        <f>C24</f>
        <v>82115-0EA40</v>
      </c>
      <c r="D136" s="302" t="str">
        <f>D24</f>
        <v>H 0201</v>
      </c>
      <c r="E136" s="302" t="str">
        <f>E24</f>
        <v>DS13</v>
      </c>
      <c r="F136" s="452"/>
      <c r="G136" s="647">
        <f>G24</f>
        <v>4</v>
      </c>
      <c r="H136" s="648" t="e">
        <f>+VLOOKUP($C136,C24:C107,6,0)</f>
        <v>#REF!</v>
      </c>
      <c r="I136" s="616">
        <f>$H24*I24</f>
        <v>0</v>
      </c>
      <c r="J136" s="655">
        <f>$H24*J24</f>
        <v>0</v>
      </c>
      <c r="K136" s="615">
        <f>$H24*K24</f>
        <v>0</v>
      </c>
      <c r="L136" s="616">
        <f>$H24*L24</f>
        <v>0</v>
      </c>
      <c r="M136" s="655">
        <f>$H24*M24</f>
        <v>0</v>
      </c>
      <c r="N136" s="615">
        <f>$H24*N24</f>
        <v>0</v>
      </c>
      <c r="O136" s="616">
        <f>$H24*O24</f>
        <v>0</v>
      </c>
      <c r="P136" s="655">
        <f>$H24*P24</f>
        <v>0</v>
      </c>
      <c r="Q136" s="615">
        <f>$H24*Q24</f>
        <v>0</v>
      </c>
      <c r="R136" s="616">
        <f>$H24*R24</f>
        <v>0</v>
      </c>
      <c r="S136" s="655">
        <f>$H24*S24</f>
        <v>0</v>
      </c>
      <c r="T136" s="615">
        <f>$H24*T24</f>
        <v>0</v>
      </c>
      <c r="U136" s="616">
        <f>$H24*U24</f>
        <v>0</v>
      </c>
      <c r="V136" s="655">
        <f>$H24*V24</f>
        <v>0</v>
      </c>
      <c r="W136" s="615">
        <f>$H24*W24</f>
        <v>0</v>
      </c>
      <c r="X136" s="616">
        <f>$H24*X24</f>
        <v>0</v>
      </c>
      <c r="Y136" s="655">
        <f>$H24*Y24</f>
        <v>0</v>
      </c>
      <c r="Z136" s="615">
        <f>$H24*Z24</f>
        <v>0</v>
      </c>
      <c r="AA136" s="616">
        <f>$H24*AA24</f>
        <v>0</v>
      </c>
      <c r="AB136" s="656">
        <f>$H24*AB24</f>
        <v>0</v>
      </c>
      <c r="AC136" s="617">
        <f>$H24*AC24</f>
        <v>0</v>
      </c>
      <c r="AD136" s="657">
        <f>$H24*AD24</f>
        <v>0</v>
      </c>
    </row>
    <row r="137" spans="1:32" customHeight="1" ht="20.1" hidden="true" s="612" customFormat="1">
      <c r="A137" s="1075"/>
      <c r="B137" s="1085"/>
      <c r="C137" s="651" t="str">
        <f>C25</f>
        <v>82115-0EA50</v>
      </c>
      <c r="D137" s="302" t="str">
        <f>D25</f>
        <v>H 0201</v>
      </c>
      <c r="E137" s="302" t="str">
        <f>E25</f>
        <v>DS14</v>
      </c>
      <c r="F137" s="452"/>
      <c r="G137" s="647">
        <f>G25</f>
        <v>4</v>
      </c>
      <c r="H137" s="648" t="e">
        <f>+VLOOKUP($C137,C25:C108,6,0)</f>
        <v>#REF!</v>
      </c>
      <c r="I137" s="624">
        <f>$H25*I25</f>
        <v>0</v>
      </c>
      <c r="J137" s="652">
        <f>$H25*J25</f>
        <v>0</v>
      </c>
      <c r="K137" s="623">
        <f>$H25*K25</f>
        <v>0</v>
      </c>
      <c r="L137" s="624">
        <f>$H25*L25</f>
        <v>0</v>
      </c>
      <c r="M137" s="652">
        <f>$H25*M25</f>
        <v>0</v>
      </c>
      <c r="N137" s="623">
        <f>$H25*N25</f>
        <v>0</v>
      </c>
      <c r="O137" s="624">
        <f>$H25*O25</f>
        <v>0</v>
      </c>
      <c r="P137" s="652">
        <f>$H25*P25</f>
        <v>0</v>
      </c>
      <c r="Q137" s="623">
        <f>$H25*Q25</f>
        <v>0</v>
      </c>
      <c r="R137" s="624">
        <f>$H25*R25</f>
        <v>0</v>
      </c>
      <c r="S137" s="652">
        <f>$H25*S25</f>
        <v>0</v>
      </c>
      <c r="T137" s="623">
        <f>$H25*T25</f>
        <v>0</v>
      </c>
      <c r="U137" s="624">
        <f>$H25*U25</f>
        <v>0</v>
      </c>
      <c r="V137" s="652">
        <f>$H25*V25</f>
        <v>0</v>
      </c>
      <c r="W137" s="623">
        <f>$H25*W25</f>
        <v>0</v>
      </c>
      <c r="X137" s="624">
        <f>$H25*X25</f>
        <v>0</v>
      </c>
      <c r="Y137" s="652">
        <f>$H25*Y25</f>
        <v>0</v>
      </c>
      <c r="Z137" s="623">
        <f>$H25*Z25</f>
        <v>0</v>
      </c>
      <c r="AA137" s="624">
        <f>$H25*AA25</f>
        <v>0</v>
      </c>
      <c r="AB137" s="653">
        <f>$H25*AB25</f>
        <v>0</v>
      </c>
      <c r="AC137" s="625">
        <f>$H25*AC25</f>
        <v>0</v>
      </c>
      <c r="AD137" s="654">
        <f>$H25*AD25</f>
        <v>0</v>
      </c>
    </row>
    <row r="138" spans="1:32" customHeight="1" ht="20.1" hidden="true" s="659" customFormat="1">
      <c r="A138" s="1075"/>
      <c r="B138" s="1085"/>
      <c r="C138" s="651" t="str">
        <f>C26</f>
        <v>82115-0EA60</v>
      </c>
      <c r="D138" s="302" t="str">
        <f>D26</f>
        <v>H 0201</v>
      </c>
      <c r="E138" s="302" t="str">
        <f>E26</f>
        <v>DS15</v>
      </c>
      <c r="F138" s="452"/>
      <c r="G138" s="647">
        <f>G26</f>
        <v>4</v>
      </c>
      <c r="H138" s="648" t="e">
        <f>+VLOOKUP($C138,C26:C109,6,0)</f>
        <v>#REF!</v>
      </c>
      <c r="I138" s="616">
        <f>$H26*I26</f>
        <v>0</v>
      </c>
      <c r="J138" s="655">
        <f>$H26*J26</f>
        <v>0</v>
      </c>
      <c r="K138" s="655">
        <f>$H26*K26</f>
        <v>0</v>
      </c>
      <c r="L138" s="616">
        <f>$H26*L26</f>
        <v>0</v>
      </c>
      <c r="M138" s="655">
        <f>$H26*M26</f>
        <v>0</v>
      </c>
      <c r="N138" s="615">
        <f>$H26*N26</f>
        <v>0</v>
      </c>
      <c r="O138" s="616">
        <f>$H26*O26</f>
        <v>0</v>
      </c>
      <c r="P138" s="655">
        <f>$H26*P26</f>
        <v>0</v>
      </c>
      <c r="Q138" s="615">
        <f>$H26*Q26</f>
        <v>0</v>
      </c>
      <c r="R138" s="616">
        <f>$H26*R26</f>
        <v>0</v>
      </c>
      <c r="S138" s="655">
        <f>$H26*S26</f>
        <v>0</v>
      </c>
      <c r="T138" s="615">
        <f>$H26*T26</f>
        <v>0</v>
      </c>
      <c r="U138" s="616">
        <f>$H26*U26</f>
        <v>0</v>
      </c>
      <c r="V138" s="655">
        <f>$H26*V26</f>
        <v>0</v>
      </c>
      <c r="W138" s="615">
        <f>$H26*W26</f>
        <v>0</v>
      </c>
      <c r="X138" s="616">
        <f>$H26*X26</f>
        <v>0</v>
      </c>
      <c r="Y138" s="655">
        <f>$H26*Y26</f>
        <v>0</v>
      </c>
      <c r="Z138" s="615">
        <f>$H26*Z26</f>
        <v>0</v>
      </c>
      <c r="AA138" s="616">
        <f>$H26*AA26</f>
        <v>0</v>
      </c>
      <c r="AB138" s="656">
        <f>$H26*AB26</f>
        <v>0</v>
      </c>
      <c r="AC138" s="617">
        <f>$H26*AC26</f>
        <v>0</v>
      </c>
      <c r="AD138" s="658">
        <f>$H26*AD26</f>
        <v>0</v>
      </c>
    </row>
    <row r="139" spans="1:32" customHeight="1" ht="20.1" hidden="true" s="659" customFormat="1">
      <c r="A139" s="1075"/>
      <c r="B139" s="1085"/>
      <c r="C139" s="651" t="str">
        <f>C27</f>
        <v>82115-0EA70</v>
      </c>
      <c r="D139" s="302" t="str">
        <f>D27</f>
        <v>H 0201</v>
      </c>
      <c r="E139" s="302" t="str">
        <f>E27</f>
        <v>DS16</v>
      </c>
      <c r="F139" s="452"/>
      <c r="G139" s="647">
        <f>G27</f>
        <v>4</v>
      </c>
      <c r="H139" s="648" t="e">
        <f>+VLOOKUP($C139,C27:C110,6,0)</f>
        <v>#REF!</v>
      </c>
      <c r="I139" s="616">
        <f>$H27*I27</f>
        <v>0</v>
      </c>
      <c r="J139" s="655">
        <f>$H27*J27</f>
        <v>0</v>
      </c>
      <c r="K139" s="655">
        <f>$H27*K27</f>
        <v>0</v>
      </c>
      <c r="L139" s="616">
        <f>$H27*L27</f>
        <v>0</v>
      </c>
      <c r="M139" s="655">
        <f>$H27*M27</f>
        <v>0</v>
      </c>
      <c r="N139" s="615">
        <f>$H27*N27</f>
        <v>0</v>
      </c>
      <c r="O139" s="616">
        <f>$H27*O27</f>
        <v>0</v>
      </c>
      <c r="P139" s="655">
        <f>$H27*P27</f>
        <v>0</v>
      </c>
      <c r="Q139" s="615">
        <f>$H27*Q27</f>
        <v>0</v>
      </c>
      <c r="R139" s="616">
        <f>$H27*R27</f>
        <v>0</v>
      </c>
      <c r="S139" s="655">
        <f>$H27*S27</f>
        <v>0</v>
      </c>
      <c r="T139" s="615">
        <f>$H27*T27</f>
        <v>0</v>
      </c>
      <c r="U139" s="616">
        <f>$H27*U27</f>
        <v>0</v>
      </c>
      <c r="V139" s="655">
        <f>$H27*V27</f>
        <v>0</v>
      </c>
      <c r="W139" s="615">
        <f>$H27*W27</f>
        <v>0</v>
      </c>
      <c r="X139" s="616">
        <f>$H27*X27</f>
        <v>0</v>
      </c>
      <c r="Y139" s="655">
        <f>$H27*Y27</f>
        <v>0</v>
      </c>
      <c r="Z139" s="615">
        <f>$H27*Z27</f>
        <v>0</v>
      </c>
      <c r="AA139" s="616">
        <f>$H27*AA27</f>
        <v>0</v>
      </c>
      <c r="AB139" s="656">
        <f>$H27*AB27</f>
        <v>0</v>
      </c>
      <c r="AC139" s="617">
        <f>$H27*AC27</f>
        <v>0</v>
      </c>
      <c r="AD139" s="658">
        <f>$H27*AD27</f>
        <v>0</v>
      </c>
    </row>
    <row r="140" spans="1:32" customHeight="1" ht="20.1" hidden="true" s="612" customFormat="1">
      <c r="A140" s="1075"/>
      <c r="B140" s="1085"/>
      <c r="C140" s="704" t="str">
        <f>C28</f>
        <v>82115-0EG40</v>
      </c>
      <c r="D140" s="705" t="str">
        <f>D28</f>
        <v>H 0201</v>
      </c>
      <c r="E140" s="705" t="str">
        <f>E28</f>
        <v>DS17</v>
      </c>
      <c r="F140" s="706"/>
      <c r="G140" s="707">
        <f>G28</f>
        <v>4</v>
      </c>
      <c r="H140" s="708" t="e">
        <f>+VLOOKUP($C140,C28:C111,6,0)</f>
        <v>#REF!</v>
      </c>
      <c r="I140" s="709">
        <f>$H28*I28</f>
        <v>0</v>
      </c>
      <c r="J140" s="710">
        <f>$H28*J28</f>
        <v>0</v>
      </c>
      <c r="K140" s="711">
        <f>$H28*K28</f>
        <v>0</v>
      </c>
      <c r="L140" s="709">
        <f>$H28*L28</f>
        <v>0</v>
      </c>
      <c r="M140" s="710">
        <f>$H28*M28</f>
        <v>0</v>
      </c>
      <c r="N140" s="711">
        <f>$H28*N28</f>
        <v>0</v>
      </c>
      <c r="O140" s="709">
        <f>$H28*O28</f>
        <v>0</v>
      </c>
      <c r="P140" s="710">
        <f>$H28*P28</f>
        <v>0</v>
      </c>
      <c r="Q140" s="711">
        <f>$H28*Q28</f>
        <v>0</v>
      </c>
      <c r="R140" s="709">
        <f>$H28*R28</f>
        <v>0</v>
      </c>
      <c r="S140" s="710">
        <f>$H28*S28</f>
        <v>0</v>
      </c>
      <c r="T140" s="711">
        <f>$H28*T28</f>
        <v>0</v>
      </c>
      <c r="U140" s="709">
        <f>$H28*U28</f>
        <v>0</v>
      </c>
      <c r="V140" s="710">
        <f>$H28*V28</f>
        <v>0</v>
      </c>
      <c r="W140" s="711">
        <f>$H28*W28</f>
        <v>0</v>
      </c>
      <c r="X140" s="709">
        <f>$H28*X28</f>
        <v>0</v>
      </c>
      <c r="Y140" s="710">
        <f>$H28*Y28</f>
        <v>0</v>
      </c>
      <c r="Z140" s="711">
        <f>$H28*Z28</f>
        <v>0</v>
      </c>
      <c r="AA140" s="709">
        <f>$H28*AA28</f>
        <v>0</v>
      </c>
      <c r="AB140" s="712">
        <f>$H28*AB28</f>
        <v>0</v>
      </c>
      <c r="AC140" s="713">
        <f>$H28*AC28</f>
        <v>0</v>
      </c>
      <c r="AD140" s="714">
        <f>$H28*AD28</f>
        <v>0</v>
      </c>
    </row>
    <row r="141" spans="1:32" customHeight="1" ht="20.1" hidden="true" s="612" customFormat="1">
      <c r="A141" s="1075"/>
      <c r="B141" s="1085"/>
      <c r="C141" s="777" t="str">
        <f>C29</f>
        <v>82115-0E470 F</v>
      </c>
      <c r="D141" s="778" t="str">
        <f>D29</f>
        <v>G 0001</v>
      </c>
      <c r="E141" s="778" t="str">
        <f>E29</f>
        <v>DOI4</v>
      </c>
      <c r="F141" s="702"/>
      <c r="G141" s="703">
        <f>G29</f>
        <v>4</v>
      </c>
      <c r="H141" s="779" t="e">
        <f>+VLOOKUP($C141,C29:C112,6,0)</f>
        <v>#REF!</v>
      </c>
      <c r="I141" s="609">
        <f>$H29*I29</f>
        <v>0</v>
      </c>
      <c r="J141" s="649">
        <f>$H29*J29</f>
        <v>0</v>
      </c>
      <c r="K141" s="608">
        <f>$H29*K29</f>
        <v>0</v>
      </c>
      <c r="L141" s="609">
        <f>$H29*L29</f>
        <v>0</v>
      </c>
      <c r="M141" s="649">
        <f>$H29*M29</f>
        <v>0</v>
      </c>
      <c r="N141" s="608">
        <f>$H29*N29</f>
        <v>0</v>
      </c>
      <c r="O141" s="609">
        <f>$H29*O29</f>
        <v>0</v>
      </c>
      <c r="P141" s="649">
        <f>$H29*P29</f>
        <v>0</v>
      </c>
      <c r="Q141" s="608">
        <f>$H29*Q29</f>
        <v>0</v>
      </c>
      <c r="R141" s="609">
        <f>$H29*R29</f>
        <v>0</v>
      </c>
      <c r="S141" s="649">
        <f>$H29*S29</f>
        <v>0</v>
      </c>
      <c r="T141" s="608">
        <f>$H29*T29</f>
        <v>0</v>
      </c>
      <c r="U141" s="609">
        <f>$H29*U29</f>
        <v>0</v>
      </c>
      <c r="V141" s="649">
        <f>$H29*V29</f>
        <v>0</v>
      </c>
      <c r="W141" s="608">
        <f>$H29*W29</f>
        <v>0</v>
      </c>
      <c r="X141" s="609">
        <f>$H29*X29</f>
        <v>0</v>
      </c>
      <c r="Y141" s="649">
        <f>$H29*Y29</f>
        <v>0</v>
      </c>
      <c r="Z141" s="608">
        <f>$H29*Z29</f>
        <v>0</v>
      </c>
      <c r="AA141" s="609">
        <f>$H29*AA29</f>
        <v>0</v>
      </c>
      <c r="AB141" s="650">
        <f>$H29*AB29</f>
        <v>0</v>
      </c>
      <c r="AC141" s="610">
        <f>$H29*AC29</f>
        <v>0</v>
      </c>
      <c r="AD141" s="780">
        <f>$H29*AD29</f>
        <v>0</v>
      </c>
    </row>
    <row r="142" spans="1:32" customHeight="1" ht="20.1" s="612" customFormat="1">
      <c r="A142" s="1075"/>
      <c r="B142" s="1085"/>
      <c r="C142" s="732" t="str">
        <f>C30</f>
        <v>82115-0E480 K</v>
      </c>
      <c r="D142" s="302" t="str">
        <f>D30</f>
        <v>K 0301</v>
      </c>
      <c r="E142" s="302" t="str">
        <f>E30</f>
        <v>DVB1</v>
      </c>
      <c r="F142" s="728"/>
      <c r="G142" s="729">
        <f>G30</f>
        <v>4</v>
      </c>
      <c r="H142" s="730" t="e">
        <f>+VLOOKUP($C142,C30:C113,6,0)</f>
        <v>#REF!</v>
      </c>
      <c r="I142" s="624" t="e">
        <f>$H30*I30</f>
        <v>#REF!</v>
      </c>
      <c r="J142" s="652" t="e">
        <f>$H30*J30</f>
        <v>#REF!</v>
      </c>
      <c r="K142" s="623" t="e">
        <f>$H30*K30</f>
        <v>#REF!</v>
      </c>
      <c r="L142" s="624" t="e">
        <f>$H30*L30</f>
        <v>#REF!</v>
      </c>
      <c r="M142" s="652" t="e">
        <f>$H30*M30</f>
        <v>#REF!</v>
      </c>
      <c r="N142" s="623" t="e">
        <f>$H30*N30</f>
        <v>#REF!</v>
      </c>
      <c r="O142" s="624" t="e">
        <f>$H30*O30</f>
        <v>#REF!</v>
      </c>
      <c r="P142" s="652" t="e">
        <f>$H30*P30</f>
        <v>#REF!</v>
      </c>
      <c r="Q142" s="623" t="e">
        <f>$H30*Q30</f>
        <v>#REF!</v>
      </c>
      <c r="R142" s="624" t="e">
        <f>$H30*R30</f>
        <v>#REF!</v>
      </c>
      <c r="S142" s="652" t="e">
        <f>$H30*S30</f>
        <v>#REF!</v>
      </c>
      <c r="T142" s="623" t="e">
        <f>$H30*T30</f>
        <v>#REF!</v>
      </c>
      <c r="U142" s="624" t="e">
        <f>$H30*U30</f>
        <v>#REF!</v>
      </c>
      <c r="V142" s="652" t="e">
        <f>$H30*V30</f>
        <v>#REF!</v>
      </c>
      <c r="W142" s="623" t="e">
        <f>$H30*W30</f>
        <v>#REF!</v>
      </c>
      <c r="X142" s="624" t="e">
        <f>$H30*X30</f>
        <v>#REF!</v>
      </c>
      <c r="Y142" s="652" t="e">
        <f>$H30*Y30</f>
        <v>#REF!</v>
      </c>
      <c r="Z142" s="623" t="e">
        <f>$H30*Z30</f>
        <v>#REF!</v>
      </c>
      <c r="AA142" s="624" t="e">
        <f>$H30*AA30</f>
        <v>#REF!</v>
      </c>
      <c r="AB142" s="653" t="e">
        <f>$H30*AB30</f>
        <v>#REF!</v>
      </c>
      <c r="AC142" s="625" t="e">
        <f>$H30*AC30</f>
        <v>#REF!</v>
      </c>
      <c r="AD142" s="654" t="e">
        <f>$H30*AD30</f>
        <v>#REF!</v>
      </c>
    </row>
    <row r="143" spans="1:32" customHeight="1" ht="20.1" s="612" customFormat="1">
      <c r="A143" s="1075"/>
      <c r="B143" s="1085"/>
      <c r="C143" s="651" t="str">
        <f>C31</f>
        <v>82115-0E490 J</v>
      </c>
      <c r="D143" s="302" t="str">
        <f>D31</f>
        <v>J 1101</v>
      </c>
      <c r="E143" s="302" t="str">
        <f>E31</f>
        <v>DVB2</v>
      </c>
      <c r="F143" s="452"/>
      <c r="G143" s="647">
        <f>G31</f>
        <v>4</v>
      </c>
      <c r="H143" s="648" t="e">
        <f>+VLOOKUP($C143,C31:C114,6,0)</f>
        <v>#REF!</v>
      </c>
      <c r="I143" s="624" t="e">
        <f>$H31*I31</f>
        <v>#REF!</v>
      </c>
      <c r="J143" s="652" t="e">
        <f>$H31*J31</f>
        <v>#REF!</v>
      </c>
      <c r="K143" s="623" t="e">
        <f>$H31*K31</f>
        <v>#REF!</v>
      </c>
      <c r="L143" s="624" t="e">
        <f>$H31*L31</f>
        <v>#REF!</v>
      </c>
      <c r="M143" s="652" t="e">
        <f>$H31*M31</f>
        <v>#REF!</v>
      </c>
      <c r="N143" s="623" t="e">
        <f>$H31*N31</f>
        <v>#REF!</v>
      </c>
      <c r="O143" s="624" t="e">
        <f>$H31*O31</f>
        <v>#REF!</v>
      </c>
      <c r="P143" s="652" t="e">
        <f>$H31*P31</f>
        <v>#REF!</v>
      </c>
      <c r="Q143" s="623" t="e">
        <f>$H31*Q31</f>
        <v>#REF!</v>
      </c>
      <c r="R143" s="624" t="e">
        <f>$H31*R31</f>
        <v>#REF!</v>
      </c>
      <c r="S143" s="652" t="e">
        <f>$H31*S31</f>
        <v>#REF!</v>
      </c>
      <c r="T143" s="623" t="e">
        <f>$H31*T31</f>
        <v>#REF!</v>
      </c>
      <c r="U143" s="624" t="e">
        <f>$H31*U31</f>
        <v>#REF!</v>
      </c>
      <c r="V143" s="652" t="e">
        <f>$H31*V31</f>
        <v>#REF!</v>
      </c>
      <c r="W143" s="623" t="e">
        <f>$H31*W31</f>
        <v>#REF!</v>
      </c>
      <c r="X143" s="624" t="e">
        <f>$H31*X31</f>
        <v>#REF!</v>
      </c>
      <c r="Y143" s="652" t="e">
        <f>$H31*Y31</f>
        <v>#REF!</v>
      </c>
      <c r="Z143" s="623" t="e">
        <f>$H31*Z31</f>
        <v>#REF!</v>
      </c>
      <c r="AA143" s="624" t="e">
        <f>$H31*AA31</f>
        <v>#REF!</v>
      </c>
      <c r="AB143" s="653" t="e">
        <f>$H31*AB31</f>
        <v>#REF!</v>
      </c>
      <c r="AC143" s="625" t="e">
        <f>$H31*AC31</f>
        <v>#REF!</v>
      </c>
      <c r="AD143" s="654" t="e">
        <f>$H31*AD31</f>
        <v>#REF!</v>
      </c>
    </row>
    <row r="144" spans="1:32" customHeight="1" ht="20.1" s="855" customFormat="1">
      <c r="A144" s="1075"/>
      <c r="B144" s="1085"/>
      <c r="C144" s="704" t="str">
        <f>C32</f>
        <v>82115-0EA10 J</v>
      </c>
      <c r="D144" s="705" t="str">
        <f>D32</f>
        <v>J 1101</v>
      </c>
      <c r="E144" s="705" t="str">
        <f>E32</f>
        <v>DVB3</v>
      </c>
      <c r="F144" s="706"/>
      <c r="G144" s="707">
        <f>G32</f>
        <v>4</v>
      </c>
      <c r="H144" s="708" t="e">
        <f>+VLOOKUP($C144,C32:C115,6,0)</f>
        <v>#REF!</v>
      </c>
      <c r="I144" s="709" t="e">
        <f>$H32*I32</f>
        <v>#REF!</v>
      </c>
      <c r="J144" s="710" t="e">
        <f>$H32*J32</f>
        <v>#REF!</v>
      </c>
      <c r="K144" s="711" t="e">
        <f>$H32*K32</f>
        <v>#REF!</v>
      </c>
      <c r="L144" s="709" t="e">
        <f>$H32*L32</f>
        <v>#REF!</v>
      </c>
      <c r="M144" s="710" t="e">
        <f>$H32*M32</f>
        <v>#REF!</v>
      </c>
      <c r="N144" s="711" t="e">
        <f>$H32*N32</f>
        <v>#REF!</v>
      </c>
      <c r="O144" s="709" t="e">
        <f>$H32*O32</f>
        <v>#REF!</v>
      </c>
      <c r="P144" s="710" t="e">
        <f>$H32*P32</f>
        <v>#REF!</v>
      </c>
      <c r="Q144" s="711" t="e">
        <f>$H32*Q32</f>
        <v>#REF!</v>
      </c>
      <c r="R144" s="709" t="e">
        <f>$H32*R32</f>
        <v>#REF!</v>
      </c>
      <c r="S144" s="710" t="e">
        <f>$H32*S32</f>
        <v>#REF!</v>
      </c>
      <c r="T144" s="711" t="e">
        <f>$H32*T32</f>
        <v>#REF!</v>
      </c>
      <c r="U144" s="709" t="e">
        <f>$H32*U32</f>
        <v>#REF!</v>
      </c>
      <c r="V144" s="710" t="e">
        <f>$H32*V32</f>
        <v>#REF!</v>
      </c>
      <c r="W144" s="711" t="e">
        <f>$H32*W32</f>
        <v>#REF!</v>
      </c>
      <c r="X144" s="709" t="e">
        <f>$H32*X32</f>
        <v>#REF!</v>
      </c>
      <c r="Y144" s="710" t="e">
        <f>$H32*Y32</f>
        <v>#REF!</v>
      </c>
      <c r="Z144" s="711" t="e">
        <f>$H32*Z32</f>
        <v>#REF!</v>
      </c>
      <c r="AA144" s="709" t="e">
        <f>$H32*AA32</f>
        <v>#REF!</v>
      </c>
      <c r="AB144" s="712" t="e">
        <f>$H32*AB32</f>
        <v>#REF!</v>
      </c>
      <c r="AC144" s="713" t="e">
        <f>$H32*AC32</f>
        <v>#REF!</v>
      </c>
      <c r="AD144" s="714" t="e">
        <f>$H32*AD32</f>
        <v>#REF!</v>
      </c>
    </row>
    <row r="145" spans="1:32" customHeight="1" ht="20.1" hidden="true" s="612" customFormat="1">
      <c r="A145" s="1075"/>
      <c r="B145" s="1085"/>
      <c r="C145" s="776" t="str">
        <f>C33</f>
        <v>82115-0E570 G</v>
      </c>
      <c r="D145" s="302" t="str">
        <f>D33</f>
        <v>G 1001</v>
      </c>
      <c r="E145" s="302" t="str">
        <f>E33</f>
        <v>DOJ8</v>
      </c>
      <c r="F145" s="728"/>
      <c r="G145" s="729">
        <f>G33</f>
        <v>4</v>
      </c>
      <c r="H145" s="730" t="e">
        <f>+VLOOKUP($C145,C33:C116,6,0)</f>
        <v>#REF!</v>
      </c>
      <c r="I145" s="624">
        <f>$H33*I33</f>
        <v>0</v>
      </c>
      <c r="J145" s="652">
        <f>$H33*J33</f>
        <v>0</v>
      </c>
      <c r="K145" s="623">
        <f>$H33*K33</f>
        <v>0</v>
      </c>
      <c r="L145" s="624">
        <f>$H33*L33</f>
        <v>0</v>
      </c>
      <c r="M145" s="652">
        <f>$H33*M33</f>
        <v>0</v>
      </c>
      <c r="N145" s="623">
        <f>$H33*N33</f>
        <v>0</v>
      </c>
      <c r="O145" s="624">
        <f>$H33*O33</f>
        <v>0</v>
      </c>
      <c r="P145" s="652">
        <f>$H33*P33</f>
        <v>0</v>
      </c>
      <c r="Q145" s="623">
        <f>$H33*Q33</f>
        <v>0</v>
      </c>
      <c r="R145" s="624">
        <f>$H33*R33</f>
        <v>0</v>
      </c>
      <c r="S145" s="652">
        <f>$H33*S33</f>
        <v>0</v>
      </c>
      <c r="T145" s="623">
        <f>$H33*T33</f>
        <v>0</v>
      </c>
      <c r="U145" s="624">
        <f>$H33*U33</f>
        <v>0</v>
      </c>
      <c r="V145" s="652">
        <f>$H33*V33</f>
        <v>0</v>
      </c>
      <c r="W145" s="623">
        <f>$H33*W33</f>
        <v>0</v>
      </c>
      <c r="X145" s="624">
        <f>$H33*X33</f>
        <v>0</v>
      </c>
      <c r="Y145" s="652">
        <f>$H33*Y33</f>
        <v>0</v>
      </c>
      <c r="Z145" s="623">
        <f>$H33*Z33</f>
        <v>0</v>
      </c>
      <c r="AA145" s="624">
        <f>$H33*AA33</f>
        <v>0</v>
      </c>
      <c r="AB145" s="653">
        <f>$H33*AB33</f>
        <v>0</v>
      </c>
      <c r="AC145" s="625">
        <f>$H33*AC33</f>
        <v>0</v>
      </c>
      <c r="AD145" s="654">
        <f>$H33*AD33</f>
        <v>0</v>
      </c>
    </row>
    <row r="146" spans="1:32" customHeight="1" ht="20.1" hidden="true" s="612" customFormat="1">
      <c r="A146" s="1075"/>
      <c r="B146" s="1085"/>
      <c r="C146" s="651" t="str">
        <f>C34</f>
        <v>82115-0E580 G</v>
      </c>
      <c r="D146" s="302" t="str">
        <f>D34</f>
        <v>G 1001</v>
      </c>
      <c r="E146" s="302" t="str">
        <f>E34</f>
        <v>DOJ9</v>
      </c>
      <c r="F146" s="452"/>
      <c r="G146" s="647">
        <f>G34</f>
        <v>4</v>
      </c>
      <c r="H146" s="648" t="e">
        <f>+VLOOKUP($C146,C34:C117,6,0)</f>
        <v>#REF!</v>
      </c>
      <c r="I146" s="624">
        <f>$H34*I34</f>
        <v>0</v>
      </c>
      <c r="J146" s="652">
        <f>$H34*J34</f>
        <v>0</v>
      </c>
      <c r="K146" s="623">
        <f>$H34*K34</f>
        <v>0</v>
      </c>
      <c r="L146" s="624">
        <f>$H34*L34</f>
        <v>0</v>
      </c>
      <c r="M146" s="652">
        <f>$H34*M34</f>
        <v>0</v>
      </c>
      <c r="N146" s="623">
        <f>$H34*N34</f>
        <v>0</v>
      </c>
      <c r="O146" s="624">
        <f>$H34*O34</f>
        <v>0</v>
      </c>
      <c r="P146" s="652">
        <f>$H34*P34</f>
        <v>0</v>
      </c>
      <c r="Q146" s="623">
        <f>$H34*Q34</f>
        <v>0</v>
      </c>
      <c r="R146" s="624">
        <f>$H34*R34</f>
        <v>0</v>
      </c>
      <c r="S146" s="652">
        <f>$H34*S34</f>
        <v>0</v>
      </c>
      <c r="T146" s="623">
        <f>$H34*T34</f>
        <v>0</v>
      </c>
      <c r="U146" s="624">
        <f>$H34*U34</f>
        <v>0</v>
      </c>
      <c r="V146" s="652">
        <f>$H34*V34</f>
        <v>0</v>
      </c>
      <c r="W146" s="623">
        <f>$H34*W34</f>
        <v>0</v>
      </c>
      <c r="X146" s="624">
        <f>$H34*X34</f>
        <v>0</v>
      </c>
      <c r="Y146" s="652">
        <f>$H34*Y34</f>
        <v>0</v>
      </c>
      <c r="Z146" s="623">
        <f>$H34*Z34</f>
        <v>0</v>
      </c>
      <c r="AA146" s="624">
        <f>$H34*AA34</f>
        <v>0</v>
      </c>
      <c r="AB146" s="653">
        <f>$H34*AB34</f>
        <v>0</v>
      </c>
      <c r="AC146" s="625">
        <f>$H34*AC34</f>
        <v>0</v>
      </c>
      <c r="AD146" s="654">
        <f>$H34*AD34</f>
        <v>0</v>
      </c>
    </row>
    <row r="147" spans="1:32" customHeight="1" ht="20.1" hidden="true" s="659" customFormat="1">
      <c r="A147" s="1075"/>
      <c r="B147" s="1085"/>
      <c r="C147" s="651" t="str">
        <f>C35</f>
        <v>82115-0E590 G</v>
      </c>
      <c r="D147" s="302" t="str">
        <f>D35</f>
        <v>G 1001</v>
      </c>
      <c r="E147" s="302" t="str">
        <f>E35</f>
        <v>DOK1</v>
      </c>
      <c r="F147" s="452"/>
      <c r="G147" s="647">
        <f>G35</f>
        <v>4</v>
      </c>
      <c r="H147" s="648" t="e">
        <f>+VLOOKUP($C147,C35:C118,6,0)</f>
        <v>#REF!</v>
      </c>
      <c r="I147" s="616">
        <f>$H35*I35</f>
        <v>0</v>
      </c>
      <c r="J147" s="655">
        <f>$H35*J35</f>
        <v>0</v>
      </c>
      <c r="K147" s="655">
        <f>$H35*K35</f>
        <v>0</v>
      </c>
      <c r="L147" s="616">
        <f>$H35*L35</f>
        <v>0</v>
      </c>
      <c r="M147" s="655">
        <f>$H35*M35</f>
        <v>0</v>
      </c>
      <c r="N147" s="615">
        <f>$H35*N35</f>
        <v>0</v>
      </c>
      <c r="O147" s="616">
        <f>$H35*O35</f>
        <v>0</v>
      </c>
      <c r="P147" s="655">
        <f>$H35*P35</f>
        <v>0</v>
      </c>
      <c r="Q147" s="615">
        <f>$H35*Q35</f>
        <v>0</v>
      </c>
      <c r="R147" s="616">
        <f>$H35*R35</f>
        <v>0</v>
      </c>
      <c r="S147" s="655">
        <f>$H35*S35</f>
        <v>0</v>
      </c>
      <c r="T147" s="615">
        <f>$H35*T35</f>
        <v>0</v>
      </c>
      <c r="U147" s="616">
        <f>$H35*U35</f>
        <v>0</v>
      </c>
      <c r="V147" s="655">
        <f>$H35*V35</f>
        <v>0</v>
      </c>
      <c r="W147" s="615">
        <f>$H35*W35</f>
        <v>0</v>
      </c>
      <c r="X147" s="616">
        <f>$H35*X35</f>
        <v>0</v>
      </c>
      <c r="Y147" s="655">
        <f>$H35*Y35</f>
        <v>0</v>
      </c>
      <c r="Z147" s="615">
        <f>$H35*Z35</f>
        <v>0</v>
      </c>
      <c r="AA147" s="616">
        <f>$H35*AA35</f>
        <v>0</v>
      </c>
      <c r="AB147" s="656">
        <f>$H35*AB35</f>
        <v>0</v>
      </c>
      <c r="AC147" s="617">
        <f>$H35*AC35</f>
        <v>0</v>
      </c>
      <c r="AD147" s="658">
        <f>$H35*AD35</f>
        <v>0</v>
      </c>
    </row>
    <row r="148" spans="1:32" customHeight="1" ht="20.1" hidden="true" s="612" customFormat="1">
      <c r="A148" s="1075"/>
      <c r="B148" s="1085"/>
      <c r="C148" s="732" t="str">
        <f>C36</f>
        <v>82115-0E600 G</v>
      </c>
      <c r="D148" s="302" t="str">
        <f>D36</f>
        <v>G 1001</v>
      </c>
      <c r="E148" s="302" t="str">
        <f>E36</f>
        <v>DOK2</v>
      </c>
      <c r="F148" s="452"/>
      <c r="G148" s="647">
        <f>G36</f>
        <v>4</v>
      </c>
      <c r="H148" s="648" t="e">
        <f>+VLOOKUP($C148,C36:C119,6,0)</f>
        <v>#REF!</v>
      </c>
      <c r="I148" s="624">
        <f>$H36*I36</f>
        <v>0</v>
      </c>
      <c r="J148" s="652">
        <f>$H36*J36</f>
        <v>0</v>
      </c>
      <c r="K148" s="623">
        <f>$H36*K36</f>
        <v>0</v>
      </c>
      <c r="L148" s="624">
        <f>$H36*L36</f>
        <v>0</v>
      </c>
      <c r="M148" s="652">
        <f>$H36*M36</f>
        <v>0</v>
      </c>
      <c r="N148" s="623">
        <f>$H36*N36</f>
        <v>0</v>
      </c>
      <c r="O148" s="624">
        <f>$H36*O36</f>
        <v>0</v>
      </c>
      <c r="P148" s="652">
        <f>$H36*P36</f>
        <v>0</v>
      </c>
      <c r="Q148" s="623">
        <f>$H36*Q36</f>
        <v>0</v>
      </c>
      <c r="R148" s="624">
        <f>$H36*R36</f>
        <v>0</v>
      </c>
      <c r="S148" s="652">
        <f>$H36*S36</f>
        <v>0</v>
      </c>
      <c r="T148" s="623">
        <f>$H36*T36</f>
        <v>0</v>
      </c>
      <c r="U148" s="624">
        <f>$H36*U36</f>
        <v>0</v>
      </c>
      <c r="V148" s="652">
        <f>$H36*V36</f>
        <v>0</v>
      </c>
      <c r="W148" s="623">
        <f>$H36*W36</f>
        <v>0</v>
      </c>
      <c r="X148" s="624">
        <f>$H36*X36</f>
        <v>0</v>
      </c>
      <c r="Y148" s="652">
        <f>$H36*Y36</f>
        <v>0</v>
      </c>
      <c r="Z148" s="623">
        <f>$H36*Z36</f>
        <v>0</v>
      </c>
      <c r="AA148" s="624">
        <f>$H36*AA36</f>
        <v>0</v>
      </c>
      <c r="AB148" s="653">
        <f>$H36*AB36</f>
        <v>0</v>
      </c>
      <c r="AC148" s="625">
        <f>$H36*AC36</f>
        <v>0</v>
      </c>
      <c r="AD148" s="654">
        <f>$H36*AD36</f>
        <v>0</v>
      </c>
    </row>
    <row r="149" spans="1:32" customHeight="1" ht="20.1" hidden="true" s="612" customFormat="1">
      <c r="A149" s="1075"/>
      <c r="B149" s="1085"/>
      <c r="C149" s="651" t="str">
        <f>C37</f>
        <v>82115-0E610 G</v>
      </c>
      <c r="D149" s="302" t="str">
        <f>D37</f>
        <v>G 1001</v>
      </c>
      <c r="E149" s="302" t="str">
        <f>E37</f>
        <v>DOK3</v>
      </c>
      <c r="F149" s="452"/>
      <c r="G149" s="647">
        <f>G37</f>
        <v>4</v>
      </c>
      <c r="H149" s="648" t="e">
        <f>+VLOOKUP($C149,C37:C120,6,0)</f>
        <v>#REF!</v>
      </c>
      <c r="I149" s="624">
        <f>$H37*I37</f>
        <v>0</v>
      </c>
      <c r="J149" s="652">
        <f>$H37*J37</f>
        <v>0</v>
      </c>
      <c r="K149" s="623">
        <f>$H37*K37</f>
        <v>0</v>
      </c>
      <c r="L149" s="624">
        <f>$H37*L37</f>
        <v>0</v>
      </c>
      <c r="M149" s="652">
        <f>$H37*M37</f>
        <v>0</v>
      </c>
      <c r="N149" s="623">
        <f>$H37*N37</f>
        <v>0</v>
      </c>
      <c r="O149" s="624">
        <f>$H37*O37</f>
        <v>0</v>
      </c>
      <c r="P149" s="652">
        <f>$H37*P37</f>
        <v>0</v>
      </c>
      <c r="Q149" s="623">
        <f>$H37*Q37</f>
        <v>0</v>
      </c>
      <c r="R149" s="624">
        <f>$H37*R37</f>
        <v>0</v>
      </c>
      <c r="S149" s="652">
        <f>$H37*S37</f>
        <v>0</v>
      </c>
      <c r="T149" s="623">
        <f>$H37*T37</f>
        <v>0</v>
      </c>
      <c r="U149" s="624">
        <f>$H37*U37</f>
        <v>0</v>
      </c>
      <c r="V149" s="652">
        <f>$H37*V37</f>
        <v>0</v>
      </c>
      <c r="W149" s="623">
        <f>$H37*W37</f>
        <v>0</v>
      </c>
      <c r="X149" s="624">
        <f>$H37*X37</f>
        <v>0</v>
      </c>
      <c r="Y149" s="652">
        <f>$H37*Y37</f>
        <v>0</v>
      </c>
      <c r="Z149" s="623">
        <f>$H37*Z37</f>
        <v>0</v>
      </c>
      <c r="AA149" s="624">
        <f>$H37*AA37</f>
        <v>0</v>
      </c>
      <c r="AB149" s="653">
        <f>$H37*AB37</f>
        <v>0</v>
      </c>
      <c r="AC149" s="625">
        <f>$H37*AC37</f>
        <v>0</v>
      </c>
      <c r="AD149" s="654">
        <f>$H37*AD37</f>
        <v>0</v>
      </c>
    </row>
    <row r="150" spans="1:32" customHeight="1" ht="20.1" hidden="true" s="612" customFormat="1">
      <c r="A150" s="1075"/>
      <c r="B150" s="1085"/>
      <c r="C150" s="651" t="str">
        <f>C38</f>
        <v>82115-0E620 G</v>
      </c>
      <c r="D150" s="302" t="str">
        <f>D38</f>
        <v>G 1001</v>
      </c>
      <c r="E150" s="302" t="str">
        <f>E38</f>
        <v>DOK4</v>
      </c>
      <c r="F150" s="452"/>
      <c r="G150" s="647">
        <f>G38</f>
        <v>4</v>
      </c>
      <c r="H150" s="648" t="e">
        <f>+VLOOKUP($C150,C38:C121,6,0)</f>
        <v>#REF!</v>
      </c>
      <c r="I150" s="624">
        <f>$H38*I38</f>
        <v>0</v>
      </c>
      <c r="J150" s="652">
        <f>$H38*J38</f>
        <v>0</v>
      </c>
      <c r="K150" s="623">
        <f>$H38*K38</f>
        <v>0</v>
      </c>
      <c r="L150" s="624">
        <f>$H38*L38</f>
        <v>0</v>
      </c>
      <c r="M150" s="652">
        <f>$H38*M38</f>
        <v>0</v>
      </c>
      <c r="N150" s="623">
        <f>$H38*N38</f>
        <v>0</v>
      </c>
      <c r="O150" s="624">
        <f>$H38*O38</f>
        <v>0</v>
      </c>
      <c r="P150" s="652">
        <f>$H38*P38</f>
        <v>0</v>
      </c>
      <c r="Q150" s="623">
        <f>$H38*Q38</f>
        <v>0</v>
      </c>
      <c r="R150" s="624">
        <f>$H38*R38</f>
        <v>0</v>
      </c>
      <c r="S150" s="652">
        <f>$H38*S38</f>
        <v>0</v>
      </c>
      <c r="T150" s="623">
        <f>$H38*T38</f>
        <v>0</v>
      </c>
      <c r="U150" s="624">
        <f>$H38*U38</f>
        <v>0</v>
      </c>
      <c r="V150" s="652">
        <f>$H38*V38</f>
        <v>0</v>
      </c>
      <c r="W150" s="623">
        <f>$H38*W38</f>
        <v>0</v>
      </c>
      <c r="X150" s="624">
        <f>$H38*X38</f>
        <v>0</v>
      </c>
      <c r="Y150" s="652">
        <f>$H38*Y38</f>
        <v>0</v>
      </c>
      <c r="Z150" s="623">
        <f>$H38*Z38</f>
        <v>0</v>
      </c>
      <c r="AA150" s="624">
        <f>$H38*AA38</f>
        <v>0</v>
      </c>
      <c r="AB150" s="653">
        <f>$H38*AB38</f>
        <v>0</v>
      </c>
      <c r="AC150" s="625">
        <f>$H38*AC38</f>
        <v>0</v>
      </c>
      <c r="AD150" s="654">
        <f>$H38*AD38</f>
        <v>0</v>
      </c>
    </row>
    <row r="151" spans="1:32" customHeight="1" ht="20.1" hidden="true" s="612" customFormat="1">
      <c r="A151" s="1075"/>
      <c r="B151" s="1085"/>
      <c r="C151" s="646" t="str">
        <f>C39</f>
        <v>82115-0EA40 G</v>
      </c>
      <c r="D151" s="302" t="str">
        <f>D39</f>
        <v>G 1001</v>
      </c>
      <c r="E151" s="302" t="str">
        <f>E39</f>
        <v>DOK5</v>
      </c>
      <c r="F151" s="452"/>
      <c r="G151" s="647">
        <f>G39</f>
        <v>4</v>
      </c>
      <c r="H151" s="648" t="e">
        <f>+VLOOKUP($C151,C39:C122,6,0)</f>
        <v>#REF!</v>
      </c>
      <c r="I151" s="616">
        <f>$H39*I39</f>
        <v>0</v>
      </c>
      <c r="J151" s="655">
        <f>$H39*J39</f>
        <v>0</v>
      </c>
      <c r="K151" s="615">
        <f>$H39*K39</f>
        <v>0</v>
      </c>
      <c r="L151" s="616">
        <f>$H39*L39</f>
        <v>0</v>
      </c>
      <c r="M151" s="655">
        <f>$H39*M39</f>
        <v>0</v>
      </c>
      <c r="N151" s="615">
        <f>$H39*N39</f>
        <v>0</v>
      </c>
      <c r="O151" s="616">
        <f>$H39*O39</f>
        <v>0</v>
      </c>
      <c r="P151" s="655">
        <f>$H39*P39</f>
        <v>0</v>
      </c>
      <c r="Q151" s="615">
        <f>$H39*Q39</f>
        <v>0</v>
      </c>
      <c r="R151" s="616">
        <f>$H39*R39</f>
        <v>0</v>
      </c>
      <c r="S151" s="655">
        <f>$H39*S39</f>
        <v>0</v>
      </c>
      <c r="T151" s="615">
        <f>$H39*T39</f>
        <v>0</v>
      </c>
      <c r="U151" s="616">
        <f>$H39*U39</f>
        <v>0</v>
      </c>
      <c r="V151" s="655">
        <f>$H39*V39</f>
        <v>0</v>
      </c>
      <c r="W151" s="615">
        <f>$H39*W39</f>
        <v>0</v>
      </c>
      <c r="X151" s="616">
        <f>$H39*X39</f>
        <v>0</v>
      </c>
      <c r="Y151" s="655">
        <f>$H39*Y39</f>
        <v>0</v>
      </c>
      <c r="Z151" s="615">
        <f>$H39*Z39</f>
        <v>0</v>
      </c>
      <c r="AA151" s="616">
        <f>$H39*AA39</f>
        <v>0</v>
      </c>
      <c r="AB151" s="656">
        <f>$H39*AB39</f>
        <v>0</v>
      </c>
      <c r="AC151" s="617">
        <f>$H39*AC39</f>
        <v>0</v>
      </c>
      <c r="AD151" s="657">
        <f>$H39*AD39</f>
        <v>0</v>
      </c>
    </row>
    <row r="152" spans="1:32" customHeight="1" ht="20.1" hidden="true" s="612" customFormat="1">
      <c r="A152" s="1075"/>
      <c r="B152" s="1085"/>
      <c r="C152" s="651" t="str">
        <f>C40</f>
        <v>82115-0EA50 G</v>
      </c>
      <c r="D152" s="302" t="str">
        <f>D40</f>
        <v>G 1001</v>
      </c>
      <c r="E152" s="302" t="str">
        <f>E40</f>
        <v>DOK6</v>
      </c>
      <c r="F152" s="452"/>
      <c r="G152" s="647">
        <f>G40</f>
        <v>4</v>
      </c>
      <c r="H152" s="648" t="e">
        <f>+VLOOKUP($C152,C40:C123,6,0)</f>
        <v>#REF!</v>
      </c>
      <c r="I152" s="624">
        <f>$H40*I40</f>
        <v>0</v>
      </c>
      <c r="J152" s="652">
        <f>$H40*J40</f>
        <v>0</v>
      </c>
      <c r="K152" s="623">
        <f>$H40*K40</f>
        <v>0</v>
      </c>
      <c r="L152" s="624">
        <f>$H40*L40</f>
        <v>0</v>
      </c>
      <c r="M152" s="652">
        <f>$H40*M40</f>
        <v>0</v>
      </c>
      <c r="N152" s="623">
        <f>$H40*N40</f>
        <v>0</v>
      </c>
      <c r="O152" s="624">
        <f>$H40*O40</f>
        <v>0</v>
      </c>
      <c r="P152" s="652">
        <f>$H40*P40</f>
        <v>0</v>
      </c>
      <c r="Q152" s="623">
        <f>$H40*Q40</f>
        <v>0</v>
      </c>
      <c r="R152" s="624">
        <f>$H40*R40</f>
        <v>0</v>
      </c>
      <c r="S152" s="652">
        <f>$H40*S40</f>
        <v>0</v>
      </c>
      <c r="T152" s="623">
        <f>$H40*T40</f>
        <v>0</v>
      </c>
      <c r="U152" s="624">
        <f>$H40*U40</f>
        <v>0</v>
      </c>
      <c r="V152" s="652">
        <f>$H40*V40</f>
        <v>0</v>
      </c>
      <c r="W152" s="623">
        <f>$H40*W40</f>
        <v>0</v>
      </c>
      <c r="X152" s="624">
        <f>$H40*X40</f>
        <v>0</v>
      </c>
      <c r="Y152" s="652">
        <f>$H40*Y40</f>
        <v>0</v>
      </c>
      <c r="Z152" s="623">
        <f>$H40*Z40</f>
        <v>0</v>
      </c>
      <c r="AA152" s="624">
        <f>$H40*AA40</f>
        <v>0</v>
      </c>
      <c r="AB152" s="653">
        <f>$H40*AB40</f>
        <v>0</v>
      </c>
      <c r="AC152" s="625">
        <f>$H40*AC40</f>
        <v>0</v>
      </c>
      <c r="AD152" s="654">
        <f>$H40*AD40</f>
        <v>0</v>
      </c>
    </row>
    <row r="153" spans="1:32" customHeight="1" ht="20.1" hidden="true" s="659" customFormat="1">
      <c r="A153" s="1075"/>
      <c r="B153" s="1085"/>
      <c r="C153" s="651" t="str">
        <f>C41</f>
        <v>82115-0EA60 G</v>
      </c>
      <c r="D153" s="302" t="str">
        <f>D41</f>
        <v>G 1001</v>
      </c>
      <c r="E153" s="302" t="str">
        <f>E41</f>
        <v>DOK7</v>
      </c>
      <c r="F153" s="452"/>
      <c r="G153" s="647">
        <f>G41</f>
        <v>4</v>
      </c>
      <c r="H153" s="648" t="e">
        <f>+VLOOKUP($C153,C41:C124,6,0)</f>
        <v>#REF!</v>
      </c>
      <c r="I153" s="616">
        <f>$H41*I41</f>
        <v>0</v>
      </c>
      <c r="J153" s="655">
        <f>$H41*J41</f>
        <v>0</v>
      </c>
      <c r="K153" s="655">
        <f>$H41*K41</f>
        <v>0</v>
      </c>
      <c r="L153" s="616">
        <f>$H41*L41</f>
        <v>0</v>
      </c>
      <c r="M153" s="655">
        <f>$H41*M41</f>
        <v>0</v>
      </c>
      <c r="N153" s="615">
        <f>$H41*N41</f>
        <v>0</v>
      </c>
      <c r="O153" s="616">
        <f>$H41*O41</f>
        <v>0</v>
      </c>
      <c r="P153" s="655">
        <f>$H41*P41</f>
        <v>0</v>
      </c>
      <c r="Q153" s="615">
        <f>$H41*Q41</f>
        <v>0</v>
      </c>
      <c r="R153" s="616">
        <f>$H41*R41</f>
        <v>0</v>
      </c>
      <c r="S153" s="655">
        <f>$H41*S41</f>
        <v>0</v>
      </c>
      <c r="T153" s="615">
        <f>$H41*T41</f>
        <v>0</v>
      </c>
      <c r="U153" s="616">
        <f>$H41*U41</f>
        <v>0</v>
      </c>
      <c r="V153" s="655">
        <f>$H41*V41</f>
        <v>0</v>
      </c>
      <c r="W153" s="615">
        <f>$H41*W41</f>
        <v>0</v>
      </c>
      <c r="X153" s="616">
        <f>$H41*X41</f>
        <v>0</v>
      </c>
      <c r="Y153" s="655">
        <f>$H41*Y41</f>
        <v>0</v>
      </c>
      <c r="Z153" s="615">
        <f>$H41*Z41</f>
        <v>0</v>
      </c>
      <c r="AA153" s="616">
        <f>$H41*AA41</f>
        <v>0</v>
      </c>
      <c r="AB153" s="656">
        <f>$H41*AB41</f>
        <v>0</v>
      </c>
      <c r="AC153" s="617">
        <f>$H41*AC41</f>
        <v>0</v>
      </c>
      <c r="AD153" s="658">
        <f>$H41*AD41</f>
        <v>0</v>
      </c>
    </row>
    <row r="154" spans="1:32" customHeight="1" ht="20.1" hidden="true" s="659" customFormat="1">
      <c r="A154" s="1075"/>
      <c r="B154" s="1085"/>
      <c r="C154" s="651" t="str">
        <f>C42</f>
        <v>82115-0EA70 G</v>
      </c>
      <c r="D154" s="302" t="str">
        <f>D42</f>
        <v>G 1001</v>
      </c>
      <c r="E154" s="302" t="str">
        <f>E42</f>
        <v>DOK8</v>
      </c>
      <c r="F154" s="452"/>
      <c r="G154" s="647">
        <f>G42</f>
        <v>4</v>
      </c>
      <c r="H154" s="648" t="e">
        <f>+VLOOKUP($C154,C42:C125,6,0)</f>
        <v>#REF!</v>
      </c>
      <c r="I154" s="616">
        <f>$H42*I42</f>
        <v>0</v>
      </c>
      <c r="J154" s="655">
        <f>$H42*J42</f>
        <v>0</v>
      </c>
      <c r="K154" s="655">
        <f>$H42*K42</f>
        <v>0</v>
      </c>
      <c r="L154" s="616">
        <f>$H42*L42</f>
        <v>0</v>
      </c>
      <c r="M154" s="655">
        <f>$H42*M42</f>
        <v>0</v>
      </c>
      <c r="N154" s="615">
        <f>$H42*N42</f>
        <v>0</v>
      </c>
      <c r="O154" s="616">
        <f>$H42*O42</f>
        <v>0</v>
      </c>
      <c r="P154" s="655">
        <f>$H42*P42</f>
        <v>0</v>
      </c>
      <c r="Q154" s="615">
        <f>$H42*Q42</f>
        <v>0</v>
      </c>
      <c r="R154" s="616">
        <f>$H42*R42</f>
        <v>0</v>
      </c>
      <c r="S154" s="655">
        <f>$H42*S42</f>
        <v>0</v>
      </c>
      <c r="T154" s="615">
        <f>$H42*T42</f>
        <v>0</v>
      </c>
      <c r="U154" s="616">
        <f>$H42*U42</f>
        <v>0</v>
      </c>
      <c r="V154" s="655">
        <f>$H42*V42</f>
        <v>0</v>
      </c>
      <c r="W154" s="615">
        <f>$H42*W42</f>
        <v>0</v>
      </c>
      <c r="X154" s="616">
        <f>$H42*X42</f>
        <v>0</v>
      </c>
      <c r="Y154" s="655">
        <f>$H42*Y42</f>
        <v>0</v>
      </c>
      <c r="Z154" s="615">
        <f>$H42*Z42</f>
        <v>0</v>
      </c>
      <c r="AA154" s="616">
        <f>$H42*AA42</f>
        <v>0</v>
      </c>
      <c r="AB154" s="656">
        <f>$H42*AB42</f>
        <v>0</v>
      </c>
      <c r="AC154" s="617">
        <f>$H42*AC42</f>
        <v>0</v>
      </c>
      <c r="AD154" s="658">
        <f>$H42*AD42</f>
        <v>0</v>
      </c>
    </row>
    <row r="155" spans="1:32" customHeight="1" ht="20.1" hidden="true" s="612" customFormat="1">
      <c r="A155" s="1076"/>
      <c r="B155" s="1085"/>
      <c r="C155" s="704" t="str">
        <f>C43</f>
        <v>82115-0EG40 G</v>
      </c>
      <c r="D155" s="705" t="str">
        <f>D43</f>
        <v>G 1001</v>
      </c>
      <c r="E155" s="705" t="str">
        <f>E43</f>
        <v>DOK9</v>
      </c>
      <c r="F155" s="706"/>
      <c r="G155" s="707">
        <f>G43</f>
        <v>4</v>
      </c>
      <c r="H155" s="708" t="e">
        <f>+VLOOKUP($C155,C43:C126,6,0)</f>
        <v>#REF!</v>
      </c>
      <c r="I155" s="709">
        <f>$H43*I43</f>
        <v>0</v>
      </c>
      <c r="J155" s="710">
        <f>$H43*J43</f>
        <v>0</v>
      </c>
      <c r="K155" s="711">
        <f>$H43*K43</f>
        <v>0</v>
      </c>
      <c r="L155" s="709">
        <f>$H43*L43</f>
        <v>0</v>
      </c>
      <c r="M155" s="710">
        <f>$H43*M43</f>
        <v>0</v>
      </c>
      <c r="N155" s="711">
        <f>$H43*N43</f>
        <v>0</v>
      </c>
      <c r="O155" s="709">
        <f>$H43*O43</f>
        <v>0</v>
      </c>
      <c r="P155" s="710">
        <f>$H43*P43</f>
        <v>0</v>
      </c>
      <c r="Q155" s="711">
        <f>$H43*Q43</f>
        <v>0</v>
      </c>
      <c r="R155" s="709">
        <f>$H43*R43</f>
        <v>0</v>
      </c>
      <c r="S155" s="710">
        <f>$H43*S43</f>
        <v>0</v>
      </c>
      <c r="T155" s="711">
        <f>$H43*T43</f>
        <v>0</v>
      </c>
      <c r="U155" s="709">
        <f>$H43*U43</f>
        <v>0</v>
      </c>
      <c r="V155" s="710">
        <f>$H43*V43</f>
        <v>0</v>
      </c>
      <c r="W155" s="711">
        <f>$H43*W43</f>
        <v>0</v>
      </c>
      <c r="X155" s="709">
        <f>$H43*X43</f>
        <v>0</v>
      </c>
      <c r="Y155" s="710">
        <f>$H43*Y43</f>
        <v>0</v>
      </c>
      <c r="Z155" s="711">
        <f>$H43*Z43</f>
        <v>0</v>
      </c>
      <c r="AA155" s="709">
        <f>$H43*AA43</f>
        <v>0</v>
      </c>
      <c r="AB155" s="712">
        <f>$H43*AB43</f>
        <v>0</v>
      </c>
      <c r="AC155" s="713">
        <f>$H43*AC43</f>
        <v>0</v>
      </c>
      <c r="AD155" s="714">
        <f>$H43*AD43</f>
        <v>0</v>
      </c>
    </row>
    <row r="156" spans="1:32" customHeight="1" ht="20.1" hidden="true" s="659" customFormat="1">
      <c r="A156" s="1163" t="s">
        <v>99</v>
      </c>
      <c r="B156" s="1085"/>
      <c r="C156" s="715" t="str">
        <f>C44</f>
        <v>82115-0E440 H</v>
      </c>
      <c r="D156" s="778" t="str">
        <f>D44</f>
        <v>H 0001</v>
      </c>
      <c r="E156" s="778" t="str">
        <f>E44</f>
        <v>DS68</v>
      </c>
      <c r="F156" s="702"/>
      <c r="G156" s="703">
        <f>G44</f>
        <v>4</v>
      </c>
      <c r="H156" s="779" t="e">
        <f>+VLOOKUP($C156,C44:C127,6,0)</f>
        <v>#REF!</v>
      </c>
      <c r="I156" s="609" t="e">
        <f>$H44*I44</f>
        <v>#REF!</v>
      </c>
      <c r="J156" s="649" t="e">
        <f>$H44*J44</f>
        <v>#REF!</v>
      </c>
      <c r="K156" s="608" t="e">
        <f>$H44*K44</f>
        <v>#REF!</v>
      </c>
      <c r="L156" s="609" t="e">
        <f>$H44*L44</f>
        <v>#REF!</v>
      </c>
      <c r="M156" s="649" t="e">
        <f>$H44*M44</f>
        <v>#REF!</v>
      </c>
      <c r="N156" s="608" t="e">
        <f>$H44*N44</f>
        <v>#REF!</v>
      </c>
      <c r="O156" s="609" t="e">
        <f>$H44*O44</f>
        <v>#REF!</v>
      </c>
      <c r="P156" s="649" t="e">
        <f>$H44*P44</f>
        <v>#REF!</v>
      </c>
      <c r="Q156" s="608" t="e">
        <f>$H44*Q44</f>
        <v>#REF!</v>
      </c>
      <c r="R156" s="609" t="e">
        <f>$H44*R44</f>
        <v>#REF!</v>
      </c>
      <c r="S156" s="649" t="e">
        <f>$H44*S44</f>
        <v>#REF!</v>
      </c>
      <c r="T156" s="608" t="e">
        <f>$H44*T44</f>
        <v>#REF!</v>
      </c>
      <c r="U156" s="609" t="e">
        <f>$H44*U44</f>
        <v>#REF!</v>
      </c>
      <c r="V156" s="649" t="e">
        <f>$H44*V44</f>
        <v>#REF!</v>
      </c>
      <c r="W156" s="608" t="e">
        <f>$H44*W44</f>
        <v>#REF!</v>
      </c>
      <c r="X156" s="609" t="e">
        <f>$H44*X44</f>
        <v>#REF!</v>
      </c>
      <c r="Y156" s="649" t="e">
        <f>$H44*Y44</f>
        <v>#REF!</v>
      </c>
      <c r="Z156" s="608" t="e">
        <f>$H44*Z44</f>
        <v>#REF!</v>
      </c>
      <c r="AA156" s="609" t="e">
        <f>$H44*AA44</f>
        <v>#REF!</v>
      </c>
      <c r="AB156" s="650" t="e">
        <f>$H44*AB44</f>
        <v>#REF!</v>
      </c>
      <c r="AC156" s="610" t="e">
        <f>$H44*AC44</f>
        <v>#REF!</v>
      </c>
      <c r="AD156" s="731" t="e">
        <f>$H44*AD44</f>
        <v>#REF!</v>
      </c>
    </row>
    <row r="157" spans="1:32" customHeight="1" ht="20.1" hidden="true" s="659" customFormat="1">
      <c r="A157" s="1164"/>
      <c r="B157" s="1085"/>
      <c r="C157" s="716" t="str">
        <f>C45</f>
        <v>82115-0E450 H</v>
      </c>
      <c r="D157" s="302" t="str">
        <f>D45</f>
        <v>H 0001</v>
      </c>
      <c r="E157" s="302" t="str">
        <f>E45</f>
        <v>DS69</v>
      </c>
      <c r="F157" s="452"/>
      <c r="G157" s="647">
        <f>G45</f>
        <v>4</v>
      </c>
      <c r="H157" s="648" t="e">
        <f>+VLOOKUP($C157,C45:C128,6,0)</f>
        <v>#REF!</v>
      </c>
      <c r="I157" s="616" t="e">
        <f>$H45*I45</f>
        <v>#REF!</v>
      </c>
      <c r="J157" s="655" t="e">
        <f>$H45*J45</f>
        <v>#REF!</v>
      </c>
      <c r="K157" s="615" t="e">
        <f>$H45*K45</f>
        <v>#REF!</v>
      </c>
      <c r="L157" s="616" t="e">
        <f>$H45*L45</f>
        <v>#REF!</v>
      </c>
      <c r="M157" s="655" t="e">
        <f>$H45*M45</f>
        <v>#REF!</v>
      </c>
      <c r="N157" s="615" t="e">
        <f>$H45*N45</f>
        <v>#REF!</v>
      </c>
      <c r="O157" s="616" t="e">
        <f>$H45*O45</f>
        <v>#REF!</v>
      </c>
      <c r="P157" s="655" t="e">
        <f>$H45*P45</f>
        <v>#REF!</v>
      </c>
      <c r="Q157" s="615" t="e">
        <f>$H45*Q45</f>
        <v>#REF!</v>
      </c>
      <c r="R157" s="616" t="e">
        <f>$H45*R45</f>
        <v>#REF!</v>
      </c>
      <c r="S157" s="655" t="e">
        <f>$H45*S45</f>
        <v>#REF!</v>
      </c>
      <c r="T157" s="615" t="e">
        <f>$H45*T45</f>
        <v>#REF!</v>
      </c>
      <c r="U157" s="616" t="e">
        <f>$H45*U45</f>
        <v>#REF!</v>
      </c>
      <c r="V157" s="655" t="e">
        <f>$H45*V45</f>
        <v>#REF!</v>
      </c>
      <c r="W157" s="615" t="e">
        <f>$H45*W45</f>
        <v>#REF!</v>
      </c>
      <c r="X157" s="616" t="e">
        <f>$H45*X45</f>
        <v>#REF!</v>
      </c>
      <c r="Y157" s="655" t="e">
        <f>$H45*Y45</f>
        <v>#REF!</v>
      </c>
      <c r="Z157" s="615" t="e">
        <f>$H45*Z45</f>
        <v>#REF!</v>
      </c>
      <c r="AA157" s="616" t="e">
        <f>$H45*AA45</f>
        <v>#REF!</v>
      </c>
      <c r="AB157" s="656" t="e">
        <f>$H45*AB45</f>
        <v>#REF!</v>
      </c>
      <c r="AC157" s="617" t="e">
        <f>$H45*AC45</f>
        <v>#REF!</v>
      </c>
      <c r="AD157" s="658" t="e">
        <f>$H45*AD45</f>
        <v>#REF!</v>
      </c>
    </row>
    <row r="158" spans="1:32" customHeight="1" ht="20.1" hidden="true" s="612" customFormat="1">
      <c r="A158" s="1164"/>
      <c r="B158" s="1085"/>
      <c r="C158" s="651" t="str">
        <f>C46</f>
        <v>82115-0E460 H</v>
      </c>
      <c r="D158" s="302" t="str">
        <f>D46</f>
        <v>H 0001</v>
      </c>
      <c r="E158" s="302" t="str">
        <f>E46</f>
        <v>DS70</v>
      </c>
      <c r="F158" s="452"/>
      <c r="G158" s="647">
        <f>G46</f>
        <v>4</v>
      </c>
      <c r="H158" s="648" t="e">
        <f>+VLOOKUP($C158,C46:C129,6,0)</f>
        <v>#REF!</v>
      </c>
      <c r="I158" s="624" t="e">
        <f>$H46*I46</f>
        <v>#REF!</v>
      </c>
      <c r="J158" s="652" t="e">
        <f>$H46*J46</f>
        <v>#REF!</v>
      </c>
      <c r="K158" s="623" t="e">
        <f>$H46*K46</f>
        <v>#REF!</v>
      </c>
      <c r="L158" s="624" t="e">
        <f>$H46*L46</f>
        <v>#REF!</v>
      </c>
      <c r="M158" s="652" t="e">
        <f>$H46*M46</f>
        <v>#REF!</v>
      </c>
      <c r="N158" s="623" t="e">
        <f>$H46*N46</f>
        <v>#REF!</v>
      </c>
      <c r="O158" s="624" t="e">
        <f>$H46*O46</f>
        <v>#REF!</v>
      </c>
      <c r="P158" s="652" t="e">
        <f>$H46*P46</f>
        <v>#REF!</v>
      </c>
      <c r="Q158" s="623" t="e">
        <f>$H46*Q46</f>
        <v>#REF!</v>
      </c>
      <c r="R158" s="624" t="e">
        <f>$H46*R46</f>
        <v>#REF!</v>
      </c>
      <c r="S158" s="652" t="e">
        <f>$H46*S46</f>
        <v>#REF!</v>
      </c>
      <c r="T158" s="623" t="e">
        <f>$H46*T46</f>
        <v>#REF!</v>
      </c>
      <c r="U158" s="624" t="e">
        <f>$H46*U46</f>
        <v>#REF!</v>
      </c>
      <c r="V158" s="652" t="e">
        <f>$H46*V46</f>
        <v>#REF!</v>
      </c>
      <c r="W158" s="623" t="e">
        <f>$H46*W46</f>
        <v>#REF!</v>
      </c>
      <c r="X158" s="624" t="e">
        <f>$H46*X46</f>
        <v>#REF!</v>
      </c>
      <c r="Y158" s="652" t="e">
        <f>$H46*Y46</f>
        <v>#REF!</v>
      </c>
      <c r="Z158" s="623" t="e">
        <f>$H46*Z46</f>
        <v>#REF!</v>
      </c>
      <c r="AA158" s="624" t="e">
        <f>$H46*AA46</f>
        <v>#REF!</v>
      </c>
      <c r="AB158" s="653" t="e">
        <f>$H46*AB46</f>
        <v>#REF!</v>
      </c>
      <c r="AC158" s="625" t="e">
        <f>$H46*AC46</f>
        <v>#REF!</v>
      </c>
      <c r="AD158" s="654" t="e">
        <f>$H46*AD46</f>
        <v>#REF!</v>
      </c>
    </row>
    <row r="159" spans="1:32" customHeight="1" ht="20.1" hidden="true" s="659" customFormat="1">
      <c r="A159" s="1164"/>
      <c r="B159" s="1085"/>
      <c r="C159" s="793" t="str">
        <f>C47</f>
        <v>82115-0EA00 H</v>
      </c>
      <c r="D159" s="782" t="str">
        <f>D47</f>
        <v>H 0001</v>
      </c>
      <c r="E159" s="782" t="str">
        <f>E47</f>
        <v>DS71</v>
      </c>
      <c r="F159" s="783"/>
      <c r="G159" s="784">
        <f>G47</f>
        <v>4</v>
      </c>
      <c r="H159" s="785" t="e">
        <f>+VLOOKUP($C159,C47:C130,6,0)</f>
        <v>#REF!</v>
      </c>
      <c r="I159" s="769" t="e">
        <f>$H47*I47</f>
        <v>#REF!</v>
      </c>
      <c r="J159" s="794" t="e">
        <f>$H47*J47</f>
        <v>#REF!</v>
      </c>
      <c r="K159" s="768" t="e">
        <f>$H47*K47</f>
        <v>#REF!</v>
      </c>
      <c r="L159" s="769" t="e">
        <f>$H47*L47</f>
        <v>#REF!</v>
      </c>
      <c r="M159" s="794" t="e">
        <f>$H47*M47</f>
        <v>#REF!</v>
      </c>
      <c r="N159" s="768" t="e">
        <f>$H47*N47</f>
        <v>#REF!</v>
      </c>
      <c r="O159" s="769" t="e">
        <f>$H47*O47</f>
        <v>#REF!</v>
      </c>
      <c r="P159" s="794" t="e">
        <f>$H47*P47</f>
        <v>#REF!</v>
      </c>
      <c r="Q159" s="768" t="e">
        <f>$H47*Q47</f>
        <v>#REF!</v>
      </c>
      <c r="R159" s="769" t="e">
        <f>$H47*R47</f>
        <v>#REF!</v>
      </c>
      <c r="S159" s="794" t="e">
        <f>$H47*S47</f>
        <v>#REF!</v>
      </c>
      <c r="T159" s="768" t="e">
        <f>$H47*T47</f>
        <v>#REF!</v>
      </c>
      <c r="U159" s="769" t="e">
        <f>$H47*U47</f>
        <v>#REF!</v>
      </c>
      <c r="V159" s="794" t="e">
        <f>$H47*V47</f>
        <v>#REF!</v>
      </c>
      <c r="W159" s="768" t="e">
        <f>$H47*W47</f>
        <v>#REF!</v>
      </c>
      <c r="X159" s="769" t="e">
        <f>$H47*X47</f>
        <v>#REF!</v>
      </c>
      <c r="Y159" s="794" t="e">
        <f>$H47*Y47</f>
        <v>#REF!</v>
      </c>
      <c r="Z159" s="768" t="e">
        <f>$H47*Z47</f>
        <v>#REF!</v>
      </c>
      <c r="AA159" s="769" t="e">
        <f>$H47*AA47</f>
        <v>#REF!</v>
      </c>
      <c r="AB159" s="795" t="e">
        <f>$H47*AB47</f>
        <v>#REF!</v>
      </c>
      <c r="AC159" s="770" t="e">
        <f>$H47*AC47</f>
        <v>#REF!</v>
      </c>
      <c r="AD159" s="796" t="e">
        <f>$H47*AD47</f>
        <v>#REF!</v>
      </c>
    </row>
    <row r="160" spans="1:32" customHeight="1" ht="20.1" hidden="true" s="612" customFormat="1">
      <c r="A160" s="1164"/>
      <c r="B160" s="1085"/>
      <c r="C160" s="792" t="str">
        <f>C48</f>
        <v>82115-0E500</v>
      </c>
      <c r="D160" s="302" t="str">
        <f>D48</f>
        <v>J 0001</v>
      </c>
      <c r="E160" s="302" t="str">
        <f>E48</f>
        <v>DRX2</v>
      </c>
      <c r="F160" s="728"/>
      <c r="G160" s="729">
        <f>G48</f>
        <v>4</v>
      </c>
      <c r="H160" s="730" t="e">
        <f>+VLOOKUP($C160,C48:C131,6,0)</f>
        <v>#REF!</v>
      </c>
      <c r="I160" s="624">
        <f>$H48*I48</f>
        <v>0</v>
      </c>
      <c r="J160" s="652">
        <f>$H48*J48</f>
        <v>0</v>
      </c>
      <c r="K160" s="623">
        <f>$H48*K48</f>
        <v>0</v>
      </c>
      <c r="L160" s="624">
        <f>$H48*L48</f>
        <v>0</v>
      </c>
      <c r="M160" s="652">
        <f>$H48*M48</f>
        <v>0</v>
      </c>
      <c r="N160" s="623">
        <f>$H48*N48</f>
        <v>0</v>
      </c>
      <c r="O160" s="624">
        <f>$H48*O48</f>
        <v>0</v>
      </c>
      <c r="P160" s="652">
        <f>$H48*P48</f>
        <v>0</v>
      </c>
      <c r="Q160" s="623">
        <f>$H48*Q48</f>
        <v>0</v>
      </c>
      <c r="R160" s="624">
        <f>$H48*R48</f>
        <v>0</v>
      </c>
      <c r="S160" s="652">
        <f>$H48*S48</f>
        <v>0</v>
      </c>
      <c r="T160" s="623">
        <f>$H48*T48</f>
        <v>0</v>
      </c>
      <c r="U160" s="624">
        <f>$H48*U48</f>
        <v>0</v>
      </c>
      <c r="V160" s="652">
        <f>$H48*V48</f>
        <v>0</v>
      </c>
      <c r="W160" s="623">
        <f>$H48*W48</f>
        <v>0</v>
      </c>
      <c r="X160" s="624">
        <f>$H48*X48</f>
        <v>0</v>
      </c>
      <c r="Y160" s="652">
        <f>$H48*Y48</f>
        <v>0</v>
      </c>
      <c r="Z160" s="623">
        <f>$H48*Z48</f>
        <v>0</v>
      </c>
      <c r="AA160" s="624">
        <f>$H48*AA48</f>
        <v>0</v>
      </c>
      <c r="AB160" s="653">
        <f>$H48*AB48</f>
        <v>0</v>
      </c>
      <c r="AC160" s="625">
        <f>$H48*AC48</f>
        <v>0</v>
      </c>
      <c r="AD160" s="654">
        <f>$H48*AD48</f>
        <v>0</v>
      </c>
    </row>
    <row r="161" spans="1:32" customHeight="1" ht="20.1" hidden="true" s="661" customFormat="1">
      <c r="A161" s="1164"/>
      <c r="B161" s="1085"/>
      <c r="C161" s="651" t="str">
        <f>C49</f>
        <v>82115-0E510</v>
      </c>
      <c r="D161" s="302" t="str">
        <f>D49</f>
        <v>H 0001</v>
      </c>
      <c r="E161" s="302" t="str">
        <f>E49</f>
        <v>DR54</v>
      </c>
      <c r="F161" s="452"/>
      <c r="G161" s="647">
        <f>G49</f>
        <v>4</v>
      </c>
      <c r="H161" s="648" t="e">
        <f>+VLOOKUP($C161,C49:C132,6,0)</f>
        <v>#REF!</v>
      </c>
      <c r="I161" s="624" t="e">
        <f>$H49*I49</f>
        <v>#REF!</v>
      </c>
      <c r="J161" s="652" t="e">
        <f>$H49*J49</f>
        <v>#REF!</v>
      </c>
      <c r="K161" s="623" t="e">
        <f>$H49*K49</f>
        <v>#REF!</v>
      </c>
      <c r="L161" s="624" t="e">
        <f>$H49*L49</f>
        <v>#REF!</v>
      </c>
      <c r="M161" s="652" t="e">
        <f>$H49*M49</f>
        <v>#REF!</v>
      </c>
      <c r="N161" s="623" t="e">
        <f>$H49*N49</f>
        <v>#REF!</v>
      </c>
      <c r="O161" s="624" t="e">
        <f>$H49*O49</f>
        <v>#REF!</v>
      </c>
      <c r="P161" s="652" t="e">
        <f>$H49*P49</f>
        <v>#REF!</v>
      </c>
      <c r="Q161" s="623" t="e">
        <f>$H49*Q49</f>
        <v>#REF!</v>
      </c>
      <c r="R161" s="624" t="e">
        <f>$H49*R49</f>
        <v>#REF!</v>
      </c>
      <c r="S161" s="652" t="e">
        <f>$H49*S49</f>
        <v>#REF!</v>
      </c>
      <c r="T161" s="623" t="e">
        <f>$H49*T49</f>
        <v>#REF!</v>
      </c>
      <c r="U161" s="624" t="e">
        <f>$H49*U49</f>
        <v>#REF!</v>
      </c>
      <c r="V161" s="652" t="e">
        <f>$H49*V49</f>
        <v>#REF!</v>
      </c>
      <c r="W161" s="623" t="e">
        <f>$H49*W49</f>
        <v>#REF!</v>
      </c>
      <c r="X161" s="624" t="e">
        <f>$H49*X49</f>
        <v>#REF!</v>
      </c>
      <c r="Y161" s="652" t="e">
        <f>$H49*Y49</f>
        <v>#REF!</v>
      </c>
      <c r="Z161" s="623" t="e">
        <f>$H49*Z49</f>
        <v>#REF!</v>
      </c>
      <c r="AA161" s="624" t="e">
        <f>$H49*AA49</f>
        <v>#REF!</v>
      </c>
      <c r="AB161" s="653" t="e">
        <f>$H49*AB49</f>
        <v>#REF!</v>
      </c>
      <c r="AC161" s="625" t="e">
        <f>$H49*AC49</f>
        <v>#REF!</v>
      </c>
      <c r="AD161" s="660" t="e">
        <f>$H49*AD49</f>
        <v>#REF!</v>
      </c>
    </row>
    <row r="162" spans="1:32" customHeight="1" ht="20.1" hidden="true" s="612" customFormat="1">
      <c r="A162" s="1164"/>
      <c r="B162" s="1085"/>
      <c r="C162" s="732" t="str">
        <f>C50</f>
        <v>82115-0E510 J</v>
      </c>
      <c r="D162" s="302" t="str">
        <f>D50</f>
        <v>J 0001</v>
      </c>
      <c r="E162" s="302" t="str">
        <f>E50</f>
        <v>DRX3</v>
      </c>
      <c r="F162" s="728"/>
      <c r="G162" s="729">
        <f>G28</f>
        <v>4</v>
      </c>
      <c r="H162" s="730" t="e">
        <f>+VLOOKUP($C162,C50:C133,6,0)</f>
        <v>#REF!</v>
      </c>
      <c r="I162" s="624">
        <f>$H50*I50</f>
        <v>0</v>
      </c>
      <c r="J162" s="652">
        <f>$H50*J50</f>
        <v>0</v>
      </c>
      <c r="K162" s="623">
        <f>$H50*K50</f>
        <v>0</v>
      </c>
      <c r="L162" s="624">
        <f>$H50*L50</f>
        <v>0</v>
      </c>
      <c r="M162" s="652">
        <f>$H50*M50</f>
        <v>0</v>
      </c>
      <c r="N162" s="623">
        <f>$H50*N50</f>
        <v>0</v>
      </c>
      <c r="O162" s="624">
        <f>$H50*O50</f>
        <v>0</v>
      </c>
      <c r="P162" s="652">
        <f>$H50*P50</f>
        <v>0</v>
      </c>
      <c r="Q162" s="623">
        <f>$H50*Q50</f>
        <v>0</v>
      </c>
      <c r="R162" s="624">
        <f>$H50*R50</f>
        <v>0</v>
      </c>
      <c r="S162" s="652">
        <f>$H50*S50</f>
        <v>0</v>
      </c>
      <c r="T162" s="623">
        <f>$H50*T50</f>
        <v>0</v>
      </c>
      <c r="U162" s="624">
        <f>$H50*U50</f>
        <v>0</v>
      </c>
      <c r="V162" s="652">
        <f>$H50*V50</f>
        <v>0</v>
      </c>
      <c r="W162" s="623">
        <f>$H50*W50</f>
        <v>0</v>
      </c>
      <c r="X162" s="624">
        <f>$H50*X50</f>
        <v>0</v>
      </c>
      <c r="Y162" s="652">
        <f>$H50*Y50</f>
        <v>0</v>
      </c>
      <c r="Z162" s="623">
        <f>$H50*Z50</f>
        <v>0</v>
      </c>
      <c r="AA162" s="624">
        <f>$H50*AA50</f>
        <v>0</v>
      </c>
      <c r="AB162" s="653">
        <f>$H50*AB50</f>
        <v>0</v>
      </c>
      <c r="AC162" s="625">
        <f>$H50*AC50</f>
        <v>0</v>
      </c>
      <c r="AD162" s="654">
        <f>$H50*AD50</f>
        <v>0</v>
      </c>
    </row>
    <row r="163" spans="1:32" customHeight="1" ht="20.1" hidden="true" s="612" customFormat="1">
      <c r="A163" s="1164"/>
      <c r="B163" s="1085"/>
      <c r="C163" s="651" t="str">
        <f>C51</f>
        <v>82115-0E530</v>
      </c>
      <c r="D163" s="302" t="str">
        <f>D51</f>
        <v>H 0001</v>
      </c>
      <c r="E163" s="302" t="str">
        <f>E51</f>
        <v>DR56</v>
      </c>
      <c r="F163" s="452"/>
      <c r="G163" s="647">
        <f>G44</f>
        <v>4</v>
      </c>
      <c r="H163" s="648" t="e">
        <f>+VLOOKUP($C163,C51:C134,6,0)</f>
        <v>#REF!</v>
      </c>
      <c r="I163" s="624" t="e">
        <f>$H51*I51</f>
        <v>#REF!</v>
      </c>
      <c r="J163" s="652" t="e">
        <f>$H51*J51</f>
        <v>#REF!</v>
      </c>
      <c r="K163" s="623" t="e">
        <f>$H51*K51</f>
        <v>#REF!</v>
      </c>
      <c r="L163" s="624" t="e">
        <f>$H51*L51</f>
        <v>#REF!</v>
      </c>
      <c r="M163" s="652" t="e">
        <f>$H51*M51</f>
        <v>#REF!</v>
      </c>
      <c r="N163" s="623" t="e">
        <f>$H51*N51</f>
        <v>#REF!</v>
      </c>
      <c r="O163" s="624" t="e">
        <f>$H51*O51</f>
        <v>#REF!</v>
      </c>
      <c r="P163" s="652" t="e">
        <f>$H51*P51</f>
        <v>#REF!</v>
      </c>
      <c r="Q163" s="623" t="e">
        <f>$H51*Q51</f>
        <v>#REF!</v>
      </c>
      <c r="R163" s="624" t="e">
        <f>$H51*R51</f>
        <v>#REF!</v>
      </c>
      <c r="S163" s="652" t="e">
        <f>$H51*S51</f>
        <v>#REF!</v>
      </c>
      <c r="T163" s="623" t="e">
        <f>$H51*T51</f>
        <v>#REF!</v>
      </c>
      <c r="U163" s="624" t="e">
        <f>$H51*U51</f>
        <v>#REF!</v>
      </c>
      <c r="V163" s="652" t="e">
        <f>$H51*V51</f>
        <v>#REF!</v>
      </c>
      <c r="W163" s="623" t="e">
        <f>$H51*W51</f>
        <v>#REF!</v>
      </c>
      <c r="X163" s="624" t="e">
        <f>$H51*X51</f>
        <v>#REF!</v>
      </c>
      <c r="Y163" s="652" t="e">
        <f>$H51*Y51</f>
        <v>#REF!</v>
      </c>
      <c r="Z163" s="623" t="e">
        <f>$H51*Z51</f>
        <v>#REF!</v>
      </c>
      <c r="AA163" s="624" t="e">
        <f>$H51*AA51</f>
        <v>#REF!</v>
      </c>
      <c r="AB163" s="653" t="e">
        <f>$H51*AB51</f>
        <v>#REF!</v>
      </c>
      <c r="AC163" s="625" t="e">
        <f>$H51*AC51</f>
        <v>#REF!</v>
      </c>
      <c r="AD163" s="654" t="e">
        <f>$H51*AD51</f>
        <v>#REF!</v>
      </c>
    </row>
    <row r="164" spans="1:32" customHeight="1" ht="20.1" hidden="true" s="612" customFormat="1">
      <c r="A164" s="1164"/>
      <c r="B164" s="1085"/>
      <c r="C164" s="651" t="str">
        <f>C52</f>
        <v>82115-0E530 J</v>
      </c>
      <c r="D164" s="302" t="str">
        <f>D52</f>
        <v>J 0001</v>
      </c>
      <c r="E164" s="302" t="str">
        <f>E52</f>
        <v>DRX5</v>
      </c>
      <c r="F164" s="452"/>
      <c r="G164" s="647">
        <f>G45</f>
        <v>4</v>
      </c>
      <c r="H164" s="648" t="e">
        <f>+VLOOKUP($C164,C52:C135,6,0)</f>
        <v>#REF!</v>
      </c>
      <c r="I164" s="624">
        <f>$H52*I52</f>
        <v>0</v>
      </c>
      <c r="J164" s="652">
        <f>$H52*J52</f>
        <v>0</v>
      </c>
      <c r="K164" s="623">
        <f>$H52*K52</f>
        <v>0</v>
      </c>
      <c r="L164" s="624">
        <f>$H52*L52</f>
        <v>0</v>
      </c>
      <c r="M164" s="652">
        <f>$H52*M52</f>
        <v>0</v>
      </c>
      <c r="N164" s="623">
        <f>$H52*N52</f>
        <v>0</v>
      </c>
      <c r="O164" s="624">
        <f>$H52*O52</f>
        <v>0</v>
      </c>
      <c r="P164" s="652">
        <f>$H52*P52</f>
        <v>0</v>
      </c>
      <c r="Q164" s="623">
        <f>$H52*Q52</f>
        <v>0</v>
      </c>
      <c r="R164" s="624">
        <f>$H52*R52</f>
        <v>0</v>
      </c>
      <c r="S164" s="652">
        <f>$H52*S52</f>
        <v>0</v>
      </c>
      <c r="T164" s="623">
        <f>$H52*T52</f>
        <v>0</v>
      </c>
      <c r="U164" s="624">
        <f>$H52*U52</f>
        <v>0</v>
      </c>
      <c r="V164" s="652">
        <f>$H52*V52</f>
        <v>0</v>
      </c>
      <c r="W164" s="623">
        <f>$H52*W52</f>
        <v>0</v>
      </c>
      <c r="X164" s="624">
        <f>$H52*X52</f>
        <v>0</v>
      </c>
      <c r="Y164" s="652">
        <f>$H52*Y52</f>
        <v>0</v>
      </c>
      <c r="Z164" s="623">
        <f>$H52*Z52</f>
        <v>0</v>
      </c>
      <c r="AA164" s="624">
        <f>$H52*AA52</f>
        <v>0</v>
      </c>
      <c r="AB164" s="653">
        <f>$H52*AB52</f>
        <v>0</v>
      </c>
      <c r="AC164" s="625">
        <f>$H52*AC52</f>
        <v>0</v>
      </c>
      <c r="AD164" s="654">
        <f>$H52*AD52</f>
        <v>0</v>
      </c>
    </row>
    <row r="165" spans="1:32" customHeight="1" ht="20.1" s="612" customFormat="1">
      <c r="A165" s="1164"/>
      <c r="B165" s="1085"/>
      <c r="C165" s="646" t="str">
        <f>C53</f>
        <v>82115-0E440.</v>
      </c>
      <c r="D165" s="290" t="str">
        <f>D53</f>
        <v>K 0001</v>
      </c>
      <c r="E165" s="290" t="str">
        <f>E53</f>
        <v>DVC5</v>
      </c>
      <c r="F165" s="452"/>
      <c r="G165" s="647">
        <f>G46</f>
        <v>4</v>
      </c>
      <c r="H165" s="453" t="e">
        <f>+VLOOKUP($C165,C53:C136,6,0)</f>
        <v>#REF!</v>
      </c>
      <c r="I165" s="616" t="e">
        <f>$H53*I53</f>
        <v>#REF!</v>
      </c>
      <c r="J165" s="655" t="e">
        <f>$H53*J53</f>
        <v>#REF!</v>
      </c>
      <c r="K165" s="615" t="e">
        <f>$H53*K53</f>
        <v>#REF!</v>
      </c>
      <c r="L165" s="616" t="e">
        <f>$H53*L53</f>
        <v>#REF!</v>
      </c>
      <c r="M165" s="655" t="e">
        <f>$H53*M53</f>
        <v>#REF!</v>
      </c>
      <c r="N165" s="615" t="e">
        <f>$H53*N53</f>
        <v>#REF!</v>
      </c>
      <c r="O165" s="616" t="e">
        <f>$H53*O53</f>
        <v>#REF!</v>
      </c>
      <c r="P165" s="655" t="e">
        <f>$H53*P53</f>
        <v>#REF!</v>
      </c>
      <c r="Q165" s="615" t="e">
        <f>$H53*Q53</f>
        <v>#REF!</v>
      </c>
      <c r="R165" s="616" t="e">
        <f>$H53*R53</f>
        <v>#REF!</v>
      </c>
      <c r="S165" s="655" t="e">
        <f>$H53*S53</f>
        <v>#REF!</v>
      </c>
      <c r="T165" s="615" t="e">
        <f>$H53*T53</f>
        <v>#REF!</v>
      </c>
      <c r="U165" s="616" t="e">
        <f>$H53*U53</f>
        <v>#REF!</v>
      </c>
      <c r="V165" s="655" t="e">
        <f>$H53*V53</f>
        <v>#REF!</v>
      </c>
      <c r="W165" s="615" t="e">
        <f>$H53*W53</f>
        <v>#REF!</v>
      </c>
      <c r="X165" s="616" t="e">
        <f>$H53*X53</f>
        <v>#REF!</v>
      </c>
      <c r="Y165" s="655" t="e">
        <f>$H53*Y53</f>
        <v>#REF!</v>
      </c>
      <c r="Z165" s="615" t="e">
        <f>$H53*Z53</f>
        <v>#REF!</v>
      </c>
      <c r="AA165" s="616" t="e">
        <f>$H53*AA53</f>
        <v>#REF!</v>
      </c>
      <c r="AB165" s="656" t="e">
        <f>$H53*AB53</f>
        <v>#REF!</v>
      </c>
      <c r="AC165" s="617" t="e">
        <f>$H53*AC53</f>
        <v>#REF!</v>
      </c>
      <c r="AD165" s="657" t="e">
        <f>$H53*AD53</f>
        <v>#REF!</v>
      </c>
    </row>
    <row r="166" spans="1:32" customHeight="1" ht="20.1" s="612" customFormat="1">
      <c r="A166" s="1164"/>
      <c r="B166" s="1085"/>
      <c r="C166" s="651" t="str">
        <f>C54</f>
        <v>82115-0E450.</v>
      </c>
      <c r="D166" s="302" t="str">
        <f>D54</f>
        <v>K 0001</v>
      </c>
      <c r="E166" s="302" t="str">
        <f>E54</f>
        <v>DVC6</v>
      </c>
      <c r="F166" s="452"/>
      <c r="G166" s="647">
        <f>G47</f>
        <v>4</v>
      </c>
      <c r="H166" s="648" t="e">
        <f>+VLOOKUP($C166,C54:C137,6,0)</f>
        <v>#REF!</v>
      </c>
      <c r="I166" s="624" t="e">
        <f>$H54*I54</f>
        <v>#REF!</v>
      </c>
      <c r="J166" s="652" t="e">
        <f>$H54*J54</f>
        <v>#REF!</v>
      </c>
      <c r="K166" s="623" t="e">
        <f>$H54*K54</f>
        <v>#REF!</v>
      </c>
      <c r="L166" s="624" t="e">
        <f>$H54*L54</f>
        <v>#REF!</v>
      </c>
      <c r="M166" s="652" t="e">
        <f>$H54*M54</f>
        <v>#REF!</v>
      </c>
      <c r="N166" s="623" t="e">
        <f>$H54*N54</f>
        <v>#REF!</v>
      </c>
      <c r="O166" s="624" t="e">
        <f>$H54*O54</f>
        <v>#REF!</v>
      </c>
      <c r="P166" s="652" t="e">
        <f>$H54*P54</f>
        <v>#REF!</v>
      </c>
      <c r="Q166" s="623" t="e">
        <f>$H54*Q54</f>
        <v>#REF!</v>
      </c>
      <c r="R166" s="624" t="e">
        <f>$H54*R54</f>
        <v>#REF!</v>
      </c>
      <c r="S166" s="652" t="e">
        <f>$H54*S54</f>
        <v>#REF!</v>
      </c>
      <c r="T166" s="623" t="e">
        <f>$H54*T54</f>
        <v>#REF!</v>
      </c>
      <c r="U166" s="624" t="e">
        <f>$H54*U54</f>
        <v>#REF!</v>
      </c>
      <c r="V166" s="652" t="e">
        <f>$H54*V54</f>
        <v>#REF!</v>
      </c>
      <c r="W166" s="623" t="e">
        <f>$H54*W54</f>
        <v>#REF!</v>
      </c>
      <c r="X166" s="624" t="e">
        <f>$H54*X54</f>
        <v>#REF!</v>
      </c>
      <c r="Y166" s="652" t="e">
        <f>$H54*Y54</f>
        <v>#REF!</v>
      </c>
      <c r="Z166" s="623" t="e">
        <f>$H54*Z54</f>
        <v>#REF!</v>
      </c>
      <c r="AA166" s="624" t="e">
        <f>$H54*AA54</f>
        <v>#REF!</v>
      </c>
      <c r="AB166" s="653" t="e">
        <f>$H54*AB54</f>
        <v>#REF!</v>
      </c>
      <c r="AC166" s="625" t="e">
        <f>$H54*AC54</f>
        <v>#REF!</v>
      </c>
      <c r="AD166" s="654" t="e">
        <f>$H54*AD54</f>
        <v>#REF!</v>
      </c>
    </row>
    <row r="167" spans="1:32" customHeight="1" ht="20.1" s="659" customFormat="1">
      <c r="A167" s="1164"/>
      <c r="B167" s="1085"/>
      <c r="C167" s="651" t="str">
        <f>C55</f>
        <v>82115-0E460.</v>
      </c>
      <c r="D167" s="302" t="str">
        <f>D55</f>
        <v>K 0001</v>
      </c>
      <c r="E167" s="302" t="str">
        <f>E55</f>
        <v>DVC7</v>
      </c>
      <c r="F167" s="452"/>
      <c r="G167" s="647">
        <f>G48</f>
        <v>4</v>
      </c>
      <c r="H167" s="648" t="e">
        <f>+VLOOKUP($C167,C55:C138,6,0)</f>
        <v>#REF!</v>
      </c>
      <c r="I167" s="616" t="e">
        <f>$H55*I55</f>
        <v>#REF!</v>
      </c>
      <c r="J167" s="655" t="e">
        <f>$H55*J55</f>
        <v>#REF!</v>
      </c>
      <c r="K167" s="655" t="e">
        <f>$H55*K55</f>
        <v>#REF!</v>
      </c>
      <c r="L167" s="616" t="e">
        <f>$H55*L55</f>
        <v>#REF!</v>
      </c>
      <c r="M167" s="655" t="e">
        <f>$H55*M55</f>
        <v>#REF!</v>
      </c>
      <c r="N167" s="615" t="e">
        <f>$H55*N55</f>
        <v>#REF!</v>
      </c>
      <c r="O167" s="616" t="e">
        <f>$H55*O55</f>
        <v>#REF!</v>
      </c>
      <c r="P167" s="655" t="e">
        <f>$H55*P55</f>
        <v>#REF!</v>
      </c>
      <c r="Q167" s="615" t="e">
        <f>$H55*Q55</f>
        <v>#REF!</v>
      </c>
      <c r="R167" s="616" t="e">
        <f>$H55*R55</f>
        <v>#REF!</v>
      </c>
      <c r="S167" s="655" t="e">
        <f>$H55*S55</f>
        <v>#REF!</v>
      </c>
      <c r="T167" s="615" t="e">
        <f>$H55*T55</f>
        <v>#REF!</v>
      </c>
      <c r="U167" s="616" t="e">
        <f>$H55*U55</f>
        <v>#REF!</v>
      </c>
      <c r="V167" s="655" t="e">
        <f>$H55*V55</f>
        <v>#REF!</v>
      </c>
      <c r="W167" s="615" t="e">
        <f>$H55*W55</f>
        <v>#REF!</v>
      </c>
      <c r="X167" s="616" t="e">
        <f>$H55*X55</f>
        <v>#REF!</v>
      </c>
      <c r="Y167" s="655" t="e">
        <f>$H55*Y55</f>
        <v>#REF!</v>
      </c>
      <c r="Z167" s="615" t="e">
        <f>$H55*Z55</f>
        <v>#REF!</v>
      </c>
      <c r="AA167" s="616" t="e">
        <f>$H55*AA55</f>
        <v>#REF!</v>
      </c>
      <c r="AB167" s="656" t="e">
        <f>$H55*AB55</f>
        <v>#REF!</v>
      </c>
      <c r="AC167" s="617" t="e">
        <f>$H55*AC55</f>
        <v>#REF!</v>
      </c>
      <c r="AD167" s="658" t="e">
        <f>$H55*AD55</f>
        <v>#REF!</v>
      </c>
    </row>
    <row r="168" spans="1:32" customHeight="1" ht="20.1" s="612" customFormat="1">
      <c r="A168" s="1164"/>
      <c r="B168" s="1085"/>
      <c r="C168" s="781" t="str">
        <f>C56</f>
        <v>82115-0EA00.</v>
      </c>
      <c r="D168" s="782" t="str">
        <f>D56</f>
        <v>K 0001</v>
      </c>
      <c r="E168" s="782" t="str">
        <f>E56</f>
        <v>DVC8</v>
      </c>
      <c r="F168" s="783"/>
      <c r="G168" s="784">
        <f>G56</f>
        <v>4</v>
      </c>
      <c r="H168" s="785" t="e">
        <f>+VLOOKUP($C168,C56:C139,6,0)</f>
        <v>#REF!</v>
      </c>
      <c r="I168" s="786" t="e">
        <f>$H56*I56</f>
        <v>#REF!</v>
      </c>
      <c r="J168" s="787" t="e">
        <f>$H56*J56</f>
        <v>#REF!</v>
      </c>
      <c r="K168" s="788" t="e">
        <f>$H56*K56</f>
        <v>#REF!</v>
      </c>
      <c r="L168" s="786" t="e">
        <f>$H56*L56</f>
        <v>#REF!</v>
      </c>
      <c r="M168" s="787" t="e">
        <f>$H56*M56</f>
        <v>#REF!</v>
      </c>
      <c r="N168" s="788" t="e">
        <f>$H56*N56</f>
        <v>#REF!</v>
      </c>
      <c r="O168" s="786" t="e">
        <f>$H56*O56</f>
        <v>#REF!</v>
      </c>
      <c r="P168" s="787" t="e">
        <f>$H56*P56</f>
        <v>#REF!</v>
      </c>
      <c r="Q168" s="788" t="e">
        <f>$H56*Q56</f>
        <v>#REF!</v>
      </c>
      <c r="R168" s="786" t="e">
        <f>$H56*R56</f>
        <v>#REF!</v>
      </c>
      <c r="S168" s="787" t="e">
        <f>$H56*S56</f>
        <v>#REF!</v>
      </c>
      <c r="T168" s="788" t="e">
        <f>$H56*T56</f>
        <v>#REF!</v>
      </c>
      <c r="U168" s="786" t="e">
        <f>$H56*U56</f>
        <v>#REF!</v>
      </c>
      <c r="V168" s="787" t="e">
        <f>$H56*V56</f>
        <v>#REF!</v>
      </c>
      <c r="W168" s="788" t="e">
        <f>$H56*W56</f>
        <v>#REF!</v>
      </c>
      <c r="X168" s="786" t="e">
        <f>$H56*X56</f>
        <v>#REF!</v>
      </c>
      <c r="Y168" s="787" t="e">
        <f>$H56*Y56</f>
        <v>#REF!</v>
      </c>
      <c r="Z168" s="788" t="e">
        <f>$H56*Z56</f>
        <v>#REF!</v>
      </c>
      <c r="AA168" s="786" t="e">
        <f>$H56*AA56</f>
        <v>#REF!</v>
      </c>
      <c r="AB168" s="789" t="e">
        <f>$H56*AB56</f>
        <v>#REF!</v>
      </c>
      <c r="AC168" s="790" t="e">
        <f>$H56*AC56</f>
        <v>#REF!</v>
      </c>
      <c r="AD168" s="791" t="e">
        <f>$H56*AD56</f>
        <v>#REF!</v>
      </c>
      <c r="AE168" s="628"/>
    </row>
    <row r="169" spans="1:32" customHeight="1" ht="20.1" s="659" customFormat="1">
      <c r="A169" s="1164"/>
      <c r="B169" s="1085"/>
      <c r="C169" s="857" t="str">
        <f>C57</f>
        <v>82115-0E440 L</v>
      </c>
      <c r="D169" s="302" t="str">
        <f>D57</f>
        <v>L 0001</v>
      </c>
      <c r="E169" s="302" t="str">
        <f>E57</f>
        <v>DZ66</v>
      </c>
      <c r="F169" s="728"/>
      <c r="G169" s="729">
        <f>G57</f>
        <v>4</v>
      </c>
      <c r="H169" s="730" t="e">
        <f>+VLOOKUP($C169,C57:C140,6,0)</f>
        <v>#REF!</v>
      </c>
      <c r="I169" s="624" t="e">
        <f>$H57*I57</f>
        <v>#REF!</v>
      </c>
      <c r="J169" s="652" t="e">
        <f>$H57*J57</f>
        <v>#REF!</v>
      </c>
      <c r="K169" s="623" t="e">
        <f>$H57*K57</f>
        <v>#REF!</v>
      </c>
      <c r="L169" s="624" t="e">
        <f>$H57*L57</f>
        <v>#REF!</v>
      </c>
      <c r="M169" s="652" t="e">
        <f>$H57*M57</f>
        <v>#REF!</v>
      </c>
      <c r="N169" s="623" t="e">
        <f>$H57*N57</f>
        <v>#REF!</v>
      </c>
      <c r="O169" s="624" t="e">
        <f>$H57*O57</f>
        <v>#REF!</v>
      </c>
      <c r="P169" s="652" t="e">
        <f>$H57*P57</f>
        <v>#REF!</v>
      </c>
      <c r="Q169" s="623" t="e">
        <f>$H57*Q57</f>
        <v>#REF!</v>
      </c>
      <c r="R169" s="624" t="e">
        <f>$H57*R57</f>
        <v>#REF!</v>
      </c>
      <c r="S169" s="652" t="e">
        <f>$H57*S57</f>
        <v>#REF!</v>
      </c>
      <c r="T169" s="623" t="e">
        <f>$H57*T57</f>
        <v>#REF!</v>
      </c>
      <c r="U169" s="624" t="e">
        <f>$H57*U57</f>
        <v>#REF!</v>
      </c>
      <c r="V169" s="652" t="e">
        <f>$H57*V57</f>
        <v>#REF!</v>
      </c>
      <c r="W169" s="623" t="e">
        <f>$H57*W57</f>
        <v>#REF!</v>
      </c>
      <c r="X169" s="624" t="e">
        <f>$H57*X57</f>
        <v>#REF!</v>
      </c>
      <c r="Y169" s="652" t="e">
        <f>$H57*Y57</f>
        <v>#REF!</v>
      </c>
      <c r="Z169" s="623" t="e">
        <f>$H57*Z57</f>
        <v>#REF!</v>
      </c>
      <c r="AA169" s="624" t="e">
        <f>$H57*AA57</f>
        <v>#REF!</v>
      </c>
      <c r="AB169" s="653" t="e">
        <f>$H57*AB57</f>
        <v>#REF!</v>
      </c>
      <c r="AC169" s="625" t="e">
        <f>$H57*AC57</f>
        <v>#REF!</v>
      </c>
      <c r="AD169" s="858" t="e">
        <f>$H57*AD57</f>
        <v>#REF!</v>
      </c>
    </row>
    <row r="170" spans="1:32" customHeight="1" ht="20.1" s="659" customFormat="1">
      <c r="A170" s="1164"/>
      <c r="B170" s="1085"/>
      <c r="C170" s="716" t="str">
        <f>C58</f>
        <v>82115-0E450 L</v>
      </c>
      <c r="D170" s="302" t="str">
        <f>D58</f>
        <v>L 0001</v>
      </c>
      <c r="E170" s="302" t="str">
        <f>E58</f>
        <v>DZ67</v>
      </c>
      <c r="F170" s="452"/>
      <c r="G170" s="647">
        <f>G58</f>
        <v>4</v>
      </c>
      <c r="H170" s="648" t="e">
        <f>+VLOOKUP($C170,C58:C141,6,0)</f>
        <v>#REF!</v>
      </c>
      <c r="I170" s="616" t="e">
        <f>$H58*I58</f>
        <v>#REF!</v>
      </c>
      <c r="J170" s="655" t="e">
        <f>$H58*J58</f>
        <v>#REF!</v>
      </c>
      <c r="K170" s="615" t="e">
        <f>$H58*K58</f>
        <v>#REF!</v>
      </c>
      <c r="L170" s="616" t="e">
        <f>$H58*L58</f>
        <v>#REF!</v>
      </c>
      <c r="M170" s="655" t="e">
        <f>$H58*M58</f>
        <v>#REF!</v>
      </c>
      <c r="N170" s="615" t="e">
        <f>$H58*N58</f>
        <v>#REF!</v>
      </c>
      <c r="O170" s="616" t="e">
        <f>$H58*O58</f>
        <v>#REF!</v>
      </c>
      <c r="P170" s="655" t="e">
        <f>$H58*P58</f>
        <v>#REF!</v>
      </c>
      <c r="Q170" s="615" t="e">
        <f>$H58*Q58</f>
        <v>#REF!</v>
      </c>
      <c r="R170" s="616" t="e">
        <f>$H58*R58</f>
        <v>#REF!</v>
      </c>
      <c r="S170" s="655" t="e">
        <f>$H58*S58</f>
        <v>#REF!</v>
      </c>
      <c r="T170" s="615" t="e">
        <f>$H58*T58</f>
        <v>#REF!</v>
      </c>
      <c r="U170" s="616" t="e">
        <f>$H58*U58</f>
        <v>#REF!</v>
      </c>
      <c r="V170" s="655" t="e">
        <f>$H58*V58</f>
        <v>#REF!</v>
      </c>
      <c r="W170" s="615" t="e">
        <f>$H58*W58</f>
        <v>#REF!</v>
      </c>
      <c r="X170" s="616" t="e">
        <f>$H58*X58</f>
        <v>#REF!</v>
      </c>
      <c r="Y170" s="655" t="e">
        <f>$H58*Y58</f>
        <v>#REF!</v>
      </c>
      <c r="Z170" s="615" t="e">
        <f>$H58*Z58</f>
        <v>#REF!</v>
      </c>
      <c r="AA170" s="616" t="e">
        <f>$H58*AA58</f>
        <v>#REF!</v>
      </c>
      <c r="AB170" s="656" t="e">
        <f>$H58*AB58</f>
        <v>#REF!</v>
      </c>
      <c r="AC170" s="617" t="e">
        <f>$H58*AC58</f>
        <v>#REF!</v>
      </c>
      <c r="AD170" s="658" t="e">
        <f>$H58*AD58</f>
        <v>#REF!</v>
      </c>
    </row>
    <row r="171" spans="1:32" customHeight="1" ht="20.1" s="612" customFormat="1">
      <c r="A171" s="1164"/>
      <c r="B171" s="1085"/>
      <c r="C171" s="651" t="str">
        <f>C59</f>
        <v>82115-0E460 L</v>
      </c>
      <c r="D171" s="302" t="str">
        <f>D59</f>
        <v>L 0001</v>
      </c>
      <c r="E171" s="302" t="str">
        <f>E59</f>
        <v>DZ68</v>
      </c>
      <c r="F171" s="452"/>
      <c r="G171" s="647">
        <f>G59</f>
        <v>4</v>
      </c>
      <c r="H171" s="648" t="e">
        <f>+VLOOKUP($C171,C59:C142,6,0)</f>
        <v>#REF!</v>
      </c>
      <c r="I171" s="624" t="e">
        <f>$H59*I59</f>
        <v>#REF!</v>
      </c>
      <c r="J171" s="652" t="e">
        <f>$H59*J59</f>
        <v>#REF!</v>
      </c>
      <c r="K171" s="623" t="e">
        <f>$H59*K59</f>
        <v>#REF!</v>
      </c>
      <c r="L171" s="624" t="e">
        <f>$H59*L59</f>
        <v>#REF!</v>
      </c>
      <c r="M171" s="652" t="e">
        <f>$H59*M59</f>
        <v>#REF!</v>
      </c>
      <c r="N171" s="623" t="e">
        <f>$H59*N59</f>
        <v>#REF!</v>
      </c>
      <c r="O171" s="624" t="e">
        <f>$H59*O59</f>
        <v>#REF!</v>
      </c>
      <c r="P171" s="652" t="e">
        <f>$H59*P59</f>
        <v>#REF!</v>
      </c>
      <c r="Q171" s="623" t="e">
        <f>$H59*Q59</f>
        <v>#REF!</v>
      </c>
      <c r="R171" s="624" t="e">
        <f>$H59*R59</f>
        <v>#REF!</v>
      </c>
      <c r="S171" s="652" t="e">
        <f>$H59*S59</f>
        <v>#REF!</v>
      </c>
      <c r="T171" s="623" t="e">
        <f>$H59*T59</f>
        <v>#REF!</v>
      </c>
      <c r="U171" s="624" t="e">
        <f>$H59*U59</f>
        <v>#REF!</v>
      </c>
      <c r="V171" s="652" t="e">
        <f>$H59*V59</f>
        <v>#REF!</v>
      </c>
      <c r="W171" s="623" t="e">
        <f>$H59*W59</f>
        <v>#REF!</v>
      </c>
      <c r="X171" s="624" t="e">
        <f>$H59*X59</f>
        <v>#REF!</v>
      </c>
      <c r="Y171" s="652" t="e">
        <f>$H59*Y59</f>
        <v>#REF!</v>
      </c>
      <c r="Z171" s="623" t="e">
        <f>$H59*Z59</f>
        <v>#REF!</v>
      </c>
      <c r="AA171" s="624" t="e">
        <f>$H59*AA59</f>
        <v>#REF!</v>
      </c>
      <c r="AB171" s="653" t="e">
        <f>$H59*AB59</f>
        <v>#REF!</v>
      </c>
      <c r="AC171" s="625" t="e">
        <f>$H59*AC59</f>
        <v>#REF!</v>
      </c>
      <c r="AD171" s="654" t="e">
        <f>$H59*AD59</f>
        <v>#REF!</v>
      </c>
    </row>
    <row r="172" spans="1:32" customHeight="1" ht="20.1" s="628" customFormat="1">
      <c r="A172" s="1164"/>
      <c r="B172" s="1085"/>
      <c r="C172" s="793" t="str">
        <f>C60</f>
        <v>82115-0EA00 L</v>
      </c>
      <c r="D172" s="782" t="str">
        <f>D60</f>
        <v>L 0001</v>
      </c>
      <c r="E172" s="782" t="str">
        <f>E60</f>
        <v>DZ69</v>
      </c>
      <c r="F172" s="783"/>
      <c r="G172" s="784">
        <f>G60</f>
        <v>4</v>
      </c>
      <c r="H172" s="785" t="e">
        <f>+VLOOKUP($C172,C60:C143,6,0)</f>
        <v>#REF!</v>
      </c>
      <c r="I172" s="769" t="e">
        <f>$H60*I60</f>
        <v>#REF!</v>
      </c>
      <c r="J172" s="794" t="e">
        <f>$H60*J60</f>
        <v>#REF!</v>
      </c>
      <c r="K172" s="768" t="e">
        <f>$H60*K60</f>
        <v>#REF!</v>
      </c>
      <c r="L172" s="769" t="e">
        <f>$H60*L60</f>
        <v>#REF!</v>
      </c>
      <c r="M172" s="794" t="e">
        <f>$H60*M60</f>
        <v>#REF!</v>
      </c>
      <c r="N172" s="768" t="e">
        <f>$H60*N60</f>
        <v>#REF!</v>
      </c>
      <c r="O172" s="769" t="e">
        <f>$H60*O60</f>
        <v>#REF!</v>
      </c>
      <c r="P172" s="794" t="e">
        <f>$H60*P60</f>
        <v>#REF!</v>
      </c>
      <c r="Q172" s="768" t="e">
        <f>$H60*Q60</f>
        <v>#REF!</v>
      </c>
      <c r="R172" s="769" t="e">
        <f>$H60*R60</f>
        <v>#REF!</v>
      </c>
      <c r="S172" s="794" t="e">
        <f>$H60*S60</f>
        <v>#REF!</v>
      </c>
      <c r="T172" s="768" t="e">
        <f>$H60*T60</f>
        <v>#REF!</v>
      </c>
      <c r="U172" s="769" t="e">
        <f>$H60*U60</f>
        <v>#REF!</v>
      </c>
      <c r="V172" s="794" t="e">
        <f>$H60*V60</f>
        <v>#REF!</v>
      </c>
      <c r="W172" s="768" t="e">
        <f>$H60*W60</f>
        <v>#REF!</v>
      </c>
      <c r="X172" s="769" t="e">
        <f>$H60*X60</f>
        <v>#REF!</v>
      </c>
      <c r="Y172" s="794" t="e">
        <f>$H60*Y60</f>
        <v>#REF!</v>
      </c>
      <c r="Z172" s="768" t="e">
        <f>$H60*Z60</f>
        <v>#REF!</v>
      </c>
      <c r="AA172" s="769" t="e">
        <f>$H60*AA60</f>
        <v>#REF!</v>
      </c>
      <c r="AB172" s="795" t="e">
        <f>$H60*AB60</f>
        <v>#REF!</v>
      </c>
      <c r="AC172" s="770" t="e">
        <f>$H60*AC60</f>
        <v>#REF!</v>
      </c>
      <c r="AD172" s="796" t="e">
        <f>$H60*AD60</f>
        <v>#REF!</v>
      </c>
    </row>
    <row r="173" spans="1:32" customHeight="1" ht="20.1" s="612" customFormat="1">
      <c r="A173" s="1164"/>
      <c r="B173" s="1085"/>
      <c r="C173" s="792" t="str">
        <f>C61</f>
        <v>82115-0E440 M</v>
      </c>
      <c r="D173" s="302" t="str">
        <f>D61</f>
        <v>M 0001</v>
      </c>
      <c r="E173" s="302" t="str">
        <f>E61</f>
        <v>DYB9</v>
      </c>
      <c r="F173" s="728"/>
      <c r="G173" s="729">
        <f>G61</f>
        <v>4</v>
      </c>
      <c r="H173" s="730" t="e">
        <f>+VLOOKUP($C173,C61:C144,6,0)</f>
        <v>#REF!</v>
      </c>
      <c r="I173" s="624" t="e">
        <f>$H61*I61</f>
        <v>#REF!</v>
      </c>
      <c r="J173" s="652" t="e">
        <f>$H61*J61</f>
        <v>#REF!</v>
      </c>
      <c r="K173" s="623" t="e">
        <f>$H61*K61</f>
        <v>#REF!</v>
      </c>
      <c r="L173" s="624" t="e">
        <f>$H61*L61</f>
        <v>#REF!</v>
      </c>
      <c r="M173" s="652" t="e">
        <f>$H61*M61</f>
        <v>#REF!</v>
      </c>
      <c r="N173" s="623" t="e">
        <f>$H61*N61</f>
        <v>#REF!</v>
      </c>
      <c r="O173" s="624" t="e">
        <f>$H61*O61</f>
        <v>#REF!</v>
      </c>
      <c r="P173" s="652" t="e">
        <f>$H61*P61</f>
        <v>#REF!</v>
      </c>
      <c r="Q173" s="623" t="e">
        <f>$H61*Q61</f>
        <v>#REF!</v>
      </c>
      <c r="R173" s="624" t="e">
        <f>$H61*R61</f>
        <v>#REF!</v>
      </c>
      <c r="S173" s="652" t="e">
        <f>$H61*S61</f>
        <v>#REF!</v>
      </c>
      <c r="T173" s="623" t="e">
        <f>$H61*T61</f>
        <v>#REF!</v>
      </c>
      <c r="U173" s="624" t="e">
        <f>$H61*U61</f>
        <v>#REF!</v>
      </c>
      <c r="V173" s="652" t="e">
        <f>$H61*V61</f>
        <v>#REF!</v>
      </c>
      <c r="W173" s="623" t="e">
        <f>$H61*W61</f>
        <v>#REF!</v>
      </c>
      <c r="X173" s="624" t="e">
        <f>$H61*X61</f>
        <v>#REF!</v>
      </c>
      <c r="Y173" s="652" t="e">
        <f>$H61*Y61</f>
        <v>#REF!</v>
      </c>
      <c r="Z173" s="623" t="e">
        <f>$H61*Z61</f>
        <v>#REF!</v>
      </c>
      <c r="AA173" s="624" t="e">
        <f>$H61*AA61</f>
        <v>#REF!</v>
      </c>
      <c r="AB173" s="653" t="e">
        <f>$H61*AB61</f>
        <v>#REF!</v>
      </c>
      <c r="AC173" s="625" t="e">
        <f>$H61*AC61</f>
        <v>#REF!</v>
      </c>
      <c r="AD173" s="654" t="e">
        <f>$H61*AD61</f>
        <v>#REF!</v>
      </c>
    </row>
    <row r="174" spans="1:32" customHeight="1" ht="20.1" s="661" customFormat="1">
      <c r="A174" s="1164"/>
      <c r="B174" s="1085"/>
      <c r="C174" s="651" t="str">
        <f>C62</f>
        <v>82115-0E450 M</v>
      </c>
      <c r="D174" s="302" t="str">
        <f>D62</f>
        <v>M 0001</v>
      </c>
      <c r="E174" s="302" t="str">
        <f>E62</f>
        <v>DYC1</v>
      </c>
      <c r="F174" s="452"/>
      <c r="G174" s="647">
        <f>G62</f>
        <v>4</v>
      </c>
      <c r="H174" s="648" t="e">
        <f>+VLOOKUP($C174,C62:C145,6,0)</f>
        <v>#REF!</v>
      </c>
      <c r="I174" s="624" t="e">
        <f>$H62*I62</f>
        <v>#REF!</v>
      </c>
      <c r="J174" s="652" t="e">
        <f>$H62*J62</f>
        <v>#REF!</v>
      </c>
      <c r="K174" s="623" t="e">
        <f>$H62*K62</f>
        <v>#REF!</v>
      </c>
      <c r="L174" s="624" t="e">
        <f>$H62*L62</f>
        <v>#REF!</v>
      </c>
      <c r="M174" s="652" t="e">
        <f>$H62*M62</f>
        <v>#REF!</v>
      </c>
      <c r="N174" s="623" t="e">
        <f>$H62*N62</f>
        <v>#REF!</v>
      </c>
      <c r="O174" s="624" t="e">
        <f>$H62*O62</f>
        <v>#REF!</v>
      </c>
      <c r="P174" s="652" t="e">
        <f>$H62*P62</f>
        <v>#REF!</v>
      </c>
      <c r="Q174" s="623" t="e">
        <f>$H62*Q62</f>
        <v>#REF!</v>
      </c>
      <c r="R174" s="624" t="e">
        <f>$H62*R62</f>
        <v>#REF!</v>
      </c>
      <c r="S174" s="652" t="e">
        <f>$H62*S62</f>
        <v>#REF!</v>
      </c>
      <c r="T174" s="623" t="e">
        <f>$H62*T62</f>
        <v>#REF!</v>
      </c>
      <c r="U174" s="624" t="e">
        <f>$H62*U62</f>
        <v>#REF!</v>
      </c>
      <c r="V174" s="652" t="e">
        <f>$H62*V62</f>
        <v>#REF!</v>
      </c>
      <c r="W174" s="623" t="e">
        <f>$H62*W62</f>
        <v>#REF!</v>
      </c>
      <c r="X174" s="624" t="e">
        <f>$H62*X62</f>
        <v>#REF!</v>
      </c>
      <c r="Y174" s="652" t="e">
        <f>$H62*Y62</f>
        <v>#REF!</v>
      </c>
      <c r="Z174" s="623" t="e">
        <f>$H62*Z62</f>
        <v>#REF!</v>
      </c>
      <c r="AA174" s="624" t="e">
        <f>$H62*AA62</f>
        <v>#REF!</v>
      </c>
      <c r="AB174" s="653" t="e">
        <f>$H62*AB62</f>
        <v>#REF!</v>
      </c>
      <c r="AC174" s="625" t="e">
        <f>$H62*AC62</f>
        <v>#REF!</v>
      </c>
      <c r="AD174" s="660" t="e">
        <f>$H62*AD62</f>
        <v>#REF!</v>
      </c>
    </row>
    <row r="175" spans="1:32" customHeight="1" ht="20.1" s="612" customFormat="1">
      <c r="A175" s="1164"/>
      <c r="B175" s="1085"/>
      <c r="C175" s="732" t="str">
        <f>C63</f>
        <v>82115-0E460 M</v>
      </c>
      <c r="D175" s="302" t="str">
        <f>D63</f>
        <v>M 0001</v>
      </c>
      <c r="E175" s="302" t="str">
        <f>E63</f>
        <v>DYC2</v>
      </c>
      <c r="F175" s="728"/>
      <c r="G175" s="729">
        <f>G41</f>
        <v>4</v>
      </c>
      <c r="H175" s="730" t="e">
        <f>+VLOOKUP($C175,C63:C146,6,0)</f>
        <v>#REF!</v>
      </c>
      <c r="I175" s="624" t="e">
        <f>$H63*I63</f>
        <v>#REF!</v>
      </c>
      <c r="J175" s="652" t="e">
        <f>$H63*J63</f>
        <v>#REF!</v>
      </c>
      <c r="K175" s="623" t="e">
        <f>$H63*K63</f>
        <v>#REF!</v>
      </c>
      <c r="L175" s="624" t="e">
        <f>$H63*L63</f>
        <v>#REF!</v>
      </c>
      <c r="M175" s="652" t="e">
        <f>$H63*M63</f>
        <v>#REF!</v>
      </c>
      <c r="N175" s="623" t="e">
        <f>$H63*N63</f>
        <v>#REF!</v>
      </c>
      <c r="O175" s="624" t="e">
        <f>$H63*O63</f>
        <v>#REF!</v>
      </c>
      <c r="P175" s="652" t="e">
        <f>$H63*P63</f>
        <v>#REF!</v>
      </c>
      <c r="Q175" s="623" t="e">
        <f>$H63*Q63</f>
        <v>#REF!</v>
      </c>
      <c r="R175" s="624" t="e">
        <f>$H63*R63</f>
        <v>#REF!</v>
      </c>
      <c r="S175" s="652" t="e">
        <f>$H63*S63</f>
        <v>#REF!</v>
      </c>
      <c r="T175" s="623" t="e">
        <f>$H63*T63</f>
        <v>#REF!</v>
      </c>
      <c r="U175" s="624" t="e">
        <f>$H63*U63</f>
        <v>#REF!</v>
      </c>
      <c r="V175" s="652" t="e">
        <f>$H63*V63</f>
        <v>#REF!</v>
      </c>
      <c r="W175" s="623" t="e">
        <f>$H63*W63</f>
        <v>#REF!</v>
      </c>
      <c r="X175" s="624" t="e">
        <f>$H63*X63</f>
        <v>#REF!</v>
      </c>
      <c r="Y175" s="652" t="e">
        <f>$H63*Y63</f>
        <v>#REF!</v>
      </c>
      <c r="Z175" s="623" t="e">
        <f>$H63*Z63</f>
        <v>#REF!</v>
      </c>
      <c r="AA175" s="624" t="e">
        <f>$H63*AA63</f>
        <v>#REF!</v>
      </c>
      <c r="AB175" s="653" t="e">
        <f>$H63*AB63</f>
        <v>#REF!</v>
      </c>
      <c r="AC175" s="625" t="e">
        <f>$H63*AC63</f>
        <v>#REF!</v>
      </c>
      <c r="AD175" s="654" t="e">
        <f>$H63*AD63</f>
        <v>#REF!</v>
      </c>
    </row>
    <row r="176" spans="1:32" customHeight="1" ht="20.1" s="855" customFormat="1">
      <c r="A176" s="1165"/>
      <c r="B176" s="1088"/>
      <c r="C176" s="704" t="str">
        <f>C64</f>
        <v>82115-0EA00 M</v>
      </c>
      <c r="D176" s="705" t="str">
        <f>D64</f>
        <v>M 0001</v>
      </c>
      <c r="E176" s="705" t="str">
        <f>E64</f>
        <v>DYC3</v>
      </c>
      <c r="F176" s="706"/>
      <c r="G176" s="707">
        <f>G57</f>
        <v>4</v>
      </c>
      <c r="H176" s="708" t="e">
        <f>+VLOOKUP($C176,C64:C147,6,0)</f>
        <v>#REF!</v>
      </c>
      <c r="I176" s="709" t="e">
        <f>$H64*I64</f>
        <v>#REF!</v>
      </c>
      <c r="J176" s="710" t="e">
        <f>$H64*J64</f>
        <v>#REF!</v>
      </c>
      <c r="K176" s="711" t="e">
        <f>$H64*K64</f>
        <v>#REF!</v>
      </c>
      <c r="L176" s="709" t="e">
        <f>$H64*L64</f>
        <v>#REF!</v>
      </c>
      <c r="M176" s="710" t="e">
        <f>$H64*M64</f>
        <v>#REF!</v>
      </c>
      <c r="N176" s="711" t="e">
        <f>$H64*N64</f>
        <v>#REF!</v>
      </c>
      <c r="O176" s="709" t="e">
        <f>$H64*O64</f>
        <v>#REF!</v>
      </c>
      <c r="P176" s="710" t="e">
        <f>$H64*P64</f>
        <v>#REF!</v>
      </c>
      <c r="Q176" s="711" t="e">
        <f>$H64*Q64</f>
        <v>#REF!</v>
      </c>
      <c r="R176" s="709" t="e">
        <f>$H64*R64</f>
        <v>#REF!</v>
      </c>
      <c r="S176" s="710" t="e">
        <f>$H64*S64</f>
        <v>#REF!</v>
      </c>
      <c r="T176" s="711" t="e">
        <f>$H64*T64</f>
        <v>#REF!</v>
      </c>
      <c r="U176" s="709" t="e">
        <f>$H64*U64</f>
        <v>#REF!</v>
      </c>
      <c r="V176" s="710" t="e">
        <f>$H64*V64</f>
        <v>#REF!</v>
      </c>
      <c r="W176" s="711" t="e">
        <f>$H64*W64</f>
        <v>#REF!</v>
      </c>
      <c r="X176" s="709" t="e">
        <f>$H64*X64</f>
        <v>#REF!</v>
      </c>
      <c r="Y176" s="710" t="e">
        <f>$H64*Y64</f>
        <v>#REF!</v>
      </c>
      <c r="Z176" s="711" t="e">
        <f>$H64*Z64</f>
        <v>#REF!</v>
      </c>
      <c r="AA176" s="709" t="e">
        <f>$H64*AA64</f>
        <v>#REF!</v>
      </c>
      <c r="AB176" s="712" t="e">
        <f>$H64*AB64</f>
        <v>#REF!</v>
      </c>
      <c r="AC176" s="713" t="e">
        <f>$H64*AC64</f>
        <v>#REF!</v>
      </c>
      <c r="AD176" s="714" t="e">
        <f>$H64*AD64</f>
        <v>#REF!</v>
      </c>
    </row>
    <row r="177" spans="1:32" customHeight="1" ht="20.1" s="612" customFormat="1">
      <c r="A177" s="1163" t="s">
        <v>99</v>
      </c>
      <c r="B177" s="1084" t="s">
        <v>145</v>
      </c>
      <c r="C177" s="792" t="str">
        <f>C65</f>
        <v>82115-0E501</v>
      </c>
      <c r="D177" s="302" t="str">
        <f>D65</f>
        <v>A 0401</v>
      </c>
      <c r="E177" s="302" t="str">
        <f>E65</f>
        <v>DV25</v>
      </c>
      <c r="F177" s="728"/>
      <c r="G177" s="729">
        <f>G58</f>
        <v>4</v>
      </c>
      <c r="H177" s="730" t="e">
        <f>+VLOOKUP($C177,C65:C148,6,0)</f>
        <v>#REF!</v>
      </c>
      <c r="I177" s="624" t="e">
        <f>$H65*I65</f>
        <v>#REF!</v>
      </c>
      <c r="J177" s="652" t="e">
        <f>$H65*J65</f>
        <v>#REF!</v>
      </c>
      <c r="K177" s="623" t="e">
        <f>$H65*K65</f>
        <v>#REF!</v>
      </c>
      <c r="L177" s="624" t="e">
        <f>$H65*L65</f>
        <v>#REF!</v>
      </c>
      <c r="M177" s="652" t="e">
        <f>$H65*M65</f>
        <v>#REF!</v>
      </c>
      <c r="N177" s="623" t="e">
        <f>$H65*N65</f>
        <v>#REF!</v>
      </c>
      <c r="O177" s="624" t="e">
        <f>$H65*O65</f>
        <v>#REF!</v>
      </c>
      <c r="P177" s="652" t="e">
        <f>$H65*P65</f>
        <v>#REF!</v>
      </c>
      <c r="Q177" s="623" t="e">
        <f>$H65*Q65</f>
        <v>#REF!</v>
      </c>
      <c r="R177" s="624" t="e">
        <f>$H65*R65</f>
        <v>#REF!</v>
      </c>
      <c r="S177" s="652" t="e">
        <f>$H65*S65</f>
        <v>#REF!</v>
      </c>
      <c r="T177" s="623" t="e">
        <f>$H65*T65</f>
        <v>#REF!</v>
      </c>
      <c r="U177" s="624" t="e">
        <f>$H65*U65</f>
        <v>#REF!</v>
      </c>
      <c r="V177" s="652" t="e">
        <f>$H65*V65</f>
        <v>#REF!</v>
      </c>
      <c r="W177" s="623" t="e">
        <f>$H65*W65</f>
        <v>#REF!</v>
      </c>
      <c r="X177" s="624" t="e">
        <f>$H65*X65</f>
        <v>#REF!</v>
      </c>
      <c r="Y177" s="652" t="e">
        <f>$H65*Y65</f>
        <v>#REF!</v>
      </c>
      <c r="Z177" s="623" t="e">
        <f>$H65*Z65</f>
        <v>#REF!</v>
      </c>
      <c r="AA177" s="624" t="e">
        <f>$H65*AA65</f>
        <v>#REF!</v>
      </c>
      <c r="AB177" s="653" t="e">
        <f>$H65*AB65</f>
        <v>#REF!</v>
      </c>
      <c r="AC177" s="625" t="e">
        <f>$H65*AC65</f>
        <v>#REF!</v>
      </c>
      <c r="AD177" s="654" t="e">
        <f>$H65*AD65</f>
        <v>#REF!</v>
      </c>
    </row>
    <row r="178" spans="1:32" customHeight="1" ht="20.1" s="612" customFormat="1">
      <c r="A178" s="1164"/>
      <c r="B178" s="1085"/>
      <c r="C178" s="646" t="str">
        <f>C66</f>
        <v>82115-0E511</v>
      </c>
      <c r="D178" s="290" t="str">
        <f>D66</f>
        <v>A 0401</v>
      </c>
      <c r="E178" s="290" t="str">
        <f>E66</f>
        <v>DV26</v>
      </c>
      <c r="F178" s="452"/>
      <c r="G178" s="647">
        <f>G59</f>
        <v>4</v>
      </c>
      <c r="H178" s="453" t="e">
        <f>+VLOOKUP($C178,C66:C149,6,0)</f>
        <v>#REF!</v>
      </c>
      <c r="I178" s="616" t="e">
        <f>$H66*I66</f>
        <v>#REF!</v>
      </c>
      <c r="J178" s="655" t="e">
        <f>$H66*J66</f>
        <v>#REF!</v>
      </c>
      <c r="K178" s="615" t="e">
        <f>$H66*K66</f>
        <v>#REF!</v>
      </c>
      <c r="L178" s="616" t="e">
        <f>$H66*L66</f>
        <v>#REF!</v>
      </c>
      <c r="M178" s="655" t="e">
        <f>$H66*M66</f>
        <v>#REF!</v>
      </c>
      <c r="N178" s="615" t="e">
        <f>$H66*N66</f>
        <v>#REF!</v>
      </c>
      <c r="O178" s="616" t="e">
        <f>$H66*O66</f>
        <v>#REF!</v>
      </c>
      <c r="P178" s="655" t="e">
        <f>$H66*P66</f>
        <v>#REF!</v>
      </c>
      <c r="Q178" s="615" t="e">
        <f>$H66*Q66</f>
        <v>#REF!</v>
      </c>
      <c r="R178" s="616" t="e">
        <f>$H66*R66</f>
        <v>#REF!</v>
      </c>
      <c r="S178" s="655" t="e">
        <f>$H66*S66</f>
        <v>#REF!</v>
      </c>
      <c r="T178" s="615" t="e">
        <f>$H66*T66</f>
        <v>#REF!</v>
      </c>
      <c r="U178" s="616" t="e">
        <f>$H66*U66</f>
        <v>#REF!</v>
      </c>
      <c r="V178" s="655" t="e">
        <f>$H66*V66</f>
        <v>#REF!</v>
      </c>
      <c r="W178" s="615" t="e">
        <f>$H66*W66</f>
        <v>#REF!</v>
      </c>
      <c r="X178" s="616" t="e">
        <f>$H66*X66</f>
        <v>#REF!</v>
      </c>
      <c r="Y178" s="655" t="e">
        <f>$H66*Y66</f>
        <v>#REF!</v>
      </c>
      <c r="Z178" s="615" t="e">
        <f>$H66*Z66</f>
        <v>#REF!</v>
      </c>
      <c r="AA178" s="616" t="e">
        <f>$H66*AA66</f>
        <v>#REF!</v>
      </c>
      <c r="AB178" s="656" t="e">
        <f>$H66*AB66</f>
        <v>#REF!</v>
      </c>
      <c r="AC178" s="617" t="e">
        <f>$H66*AC66</f>
        <v>#REF!</v>
      </c>
      <c r="AD178" s="657" t="e">
        <f>$H66*AD66</f>
        <v>#REF!</v>
      </c>
    </row>
    <row r="179" spans="1:32" customHeight="1" ht="20.1" s="612" customFormat="1">
      <c r="A179" s="1164"/>
      <c r="B179" s="1085"/>
      <c r="C179" s="651" t="str">
        <f>C67</f>
        <v>82115-0E521</v>
      </c>
      <c r="D179" s="302" t="str">
        <f>D67</f>
        <v>A 0401</v>
      </c>
      <c r="E179" s="302" t="str">
        <f>E67</f>
        <v>DV27</v>
      </c>
      <c r="F179" s="452"/>
      <c r="G179" s="647">
        <f>G60</f>
        <v>4</v>
      </c>
      <c r="H179" s="648" t="e">
        <f>+VLOOKUP($C179,C67:C150,6,0)</f>
        <v>#REF!</v>
      </c>
      <c r="I179" s="624" t="e">
        <f>$H67*I67</f>
        <v>#REF!</v>
      </c>
      <c r="J179" s="652" t="e">
        <f>$H67*J67</f>
        <v>#REF!</v>
      </c>
      <c r="K179" s="623" t="e">
        <f>$H67*K67</f>
        <v>#REF!</v>
      </c>
      <c r="L179" s="624" t="e">
        <f>$H67*L67</f>
        <v>#REF!</v>
      </c>
      <c r="M179" s="652" t="e">
        <f>$H67*M67</f>
        <v>#REF!</v>
      </c>
      <c r="N179" s="623" t="e">
        <f>$H67*N67</f>
        <v>#REF!</v>
      </c>
      <c r="O179" s="624" t="e">
        <f>$H67*O67</f>
        <v>#REF!</v>
      </c>
      <c r="P179" s="652" t="e">
        <f>$H67*P67</f>
        <v>#REF!</v>
      </c>
      <c r="Q179" s="623" t="e">
        <f>$H67*Q67</f>
        <v>#REF!</v>
      </c>
      <c r="R179" s="624" t="e">
        <f>$H67*R67</f>
        <v>#REF!</v>
      </c>
      <c r="S179" s="652" t="e">
        <f>$H67*S67</f>
        <v>#REF!</v>
      </c>
      <c r="T179" s="623" t="e">
        <f>$H67*T67</f>
        <v>#REF!</v>
      </c>
      <c r="U179" s="624" t="e">
        <f>$H67*U67</f>
        <v>#REF!</v>
      </c>
      <c r="V179" s="652" t="e">
        <f>$H67*V67</f>
        <v>#REF!</v>
      </c>
      <c r="W179" s="623" t="e">
        <f>$H67*W67</f>
        <v>#REF!</v>
      </c>
      <c r="X179" s="624" t="e">
        <f>$H67*X67</f>
        <v>#REF!</v>
      </c>
      <c r="Y179" s="652" t="e">
        <f>$H67*Y67</f>
        <v>#REF!</v>
      </c>
      <c r="Z179" s="623" t="e">
        <f>$H67*Z67</f>
        <v>#REF!</v>
      </c>
      <c r="AA179" s="624" t="e">
        <f>$H67*AA67</f>
        <v>#REF!</v>
      </c>
      <c r="AB179" s="653" t="e">
        <f>$H67*AB67</f>
        <v>#REF!</v>
      </c>
      <c r="AC179" s="625" t="e">
        <f>$H67*AC67</f>
        <v>#REF!</v>
      </c>
      <c r="AD179" s="654" t="e">
        <f>$H67*AD67</f>
        <v>#REF!</v>
      </c>
    </row>
    <row r="180" spans="1:32" customHeight="1" ht="20.1" s="659" customFormat="1">
      <c r="A180" s="1164"/>
      <c r="B180" s="1085"/>
      <c r="C180" s="651" t="str">
        <f>C68</f>
        <v>82115-0E531</v>
      </c>
      <c r="D180" s="302" t="str">
        <f>D68</f>
        <v>A 0501</v>
      </c>
      <c r="E180" s="302" t="str">
        <f>E68</f>
        <v>DV28</v>
      </c>
      <c r="F180" s="452"/>
      <c r="G180" s="647">
        <f>G61</f>
        <v>4</v>
      </c>
      <c r="H180" s="648" t="e">
        <f>+VLOOKUP($C180,C68:C151,6,0)</f>
        <v>#REF!</v>
      </c>
      <c r="I180" s="616" t="e">
        <f>$H68*I68</f>
        <v>#REF!</v>
      </c>
      <c r="J180" s="655" t="e">
        <f>$H68*J68</f>
        <v>#REF!</v>
      </c>
      <c r="K180" s="655" t="e">
        <f>$H68*K68</f>
        <v>#REF!</v>
      </c>
      <c r="L180" s="616" t="e">
        <f>$H68*L68</f>
        <v>#REF!</v>
      </c>
      <c r="M180" s="655" t="e">
        <f>$H68*M68</f>
        <v>#REF!</v>
      </c>
      <c r="N180" s="615" t="e">
        <f>$H68*N68</f>
        <v>#REF!</v>
      </c>
      <c r="O180" s="616" t="e">
        <f>$H68*O68</f>
        <v>#REF!</v>
      </c>
      <c r="P180" s="655" t="e">
        <f>$H68*P68</f>
        <v>#REF!</v>
      </c>
      <c r="Q180" s="615" t="e">
        <f>$H68*Q68</f>
        <v>#REF!</v>
      </c>
      <c r="R180" s="616" t="e">
        <f>$H68*R68</f>
        <v>#REF!</v>
      </c>
      <c r="S180" s="655" t="e">
        <f>$H68*S68</f>
        <v>#REF!</v>
      </c>
      <c r="T180" s="615" t="e">
        <f>$H68*T68</f>
        <v>#REF!</v>
      </c>
      <c r="U180" s="616" t="e">
        <f>$H68*U68</f>
        <v>#REF!</v>
      </c>
      <c r="V180" s="655" t="e">
        <f>$H68*V68</f>
        <v>#REF!</v>
      </c>
      <c r="W180" s="615" t="e">
        <f>$H68*W68</f>
        <v>#REF!</v>
      </c>
      <c r="X180" s="616" t="e">
        <f>$H68*X68</f>
        <v>#REF!</v>
      </c>
      <c r="Y180" s="655" t="e">
        <f>$H68*Y68</f>
        <v>#REF!</v>
      </c>
      <c r="Z180" s="615" t="e">
        <f>$H68*Z68</f>
        <v>#REF!</v>
      </c>
      <c r="AA180" s="616" t="e">
        <f>$H68*AA68</f>
        <v>#REF!</v>
      </c>
      <c r="AB180" s="656" t="e">
        <f>$H68*AB68</f>
        <v>#REF!</v>
      </c>
      <c r="AC180" s="617" t="e">
        <f>$H68*AC68</f>
        <v>#REF!</v>
      </c>
      <c r="AD180" s="658" t="e">
        <f>$H68*AD68</f>
        <v>#REF!</v>
      </c>
    </row>
    <row r="181" spans="1:32" customHeight="1" ht="20.1" s="845" customFormat="1">
      <c r="A181" s="1164"/>
      <c r="B181" s="1085"/>
      <c r="C181" s="651" t="str">
        <f>C69</f>
        <v>82115-0E541</v>
      </c>
      <c r="D181" s="302" t="str">
        <f>D69</f>
        <v>A 0401</v>
      </c>
      <c r="E181" s="302" t="str">
        <f>E69</f>
        <v>DV29</v>
      </c>
      <c r="F181" s="452"/>
      <c r="G181" s="647">
        <f>G69</f>
        <v>4</v>
      </c>
      <c r="H181" s="648" t="e">
        <f>+VLOOKUP($C181,C69:C152,6,0)</f>
        <v>#REF!</v>
      </c>
      <c r="I181" s="624" t="e">
        <f>$H69*I69</f>
        <v>#REF!</v>
      </c>
      <c r="J181" s="652" t="e">
        <f>$H69*J69</f>
        <v>#REF!</v>
      </c>
      <c r="K181" s="623" t="e">
        <f>$H69*K69</f>
        <v>#REF!</v>
      </c>
      <c r="L181" s="624" t="e">
        <f>$H69*L69</f>
        <v>#REF!</v>
      </c>
      <c r="M181" s="652" t="e">
        <f>$H69*M69</f>
        <v>#REF!</v>
      </c>
      <c r="N181" s="623" t="e">
        <f>$H69*N69</f>
        <v>#REF!</v>
      </c>
      <c r="O181" s="624" t="e">
        <f>$H69*O69</f>
        <v>#REF!</v>
      </c>
      <c r="P181" s="652" t="e">
        <f>$H69*P69</f>
        <v>#REF!</v>
      </c>
      <c r="Q181" s="623" t="e">
        <f>$H69*Q69</f>
        <v>#REF!</v>
      </c>
      <c r="R181" s="624" t="e">
        <f>$H69*R69</f>
        <v>#REF!</v>
      </c>
      <c r="S181" s="652" t="e">
        <f>$H69*S69</f>
        <v>#REF!</v>
      </c>
      <c r="T181" s="623" t="e">
        <f>$H69*T69</f>
        <v>#REF!</v>
      </c>
      <c r="U181" s="624" t="e">
        <f>$H69*U69</f>
        <v>#REF!</v>
      </c>
      <c r="V181" s="652" t="e">
        <f>$H69*V69</f>
        <v>#REF!</v>
      </c>
      <c r="W181" s="623" t="e">
        <f>$H69*W69</f>
        <v>#REF!</v>
      </c>
      <c r="X181" s="624" t="e">
        <f>$H69*X69</f>
        <v>#REF!</v>
      </c>
      <c r="Y181" s="652" t="e">
        <f>$H69*Y69</f>
        <v>#REF!</v>
      </c>
      <c r="Z181" s="623" t="e">
        <f>$H69*Z69</f>
        <v>#REF!</v>
      </c>
      <c r="AA181" s="624" t="e">
        <f>$H69*AA69</f>
        <v>#REF!</v>
      </c>
      <c r="AB181" s="653" t="e">
        <f>$H69*AB69</f>
        <v>#REF!</v>
      </c>
      <c r="AC181" s="625" t="e">
        <f>$H69*AC69</f>
        <v>#REF!</v>
      </c>
      <c r="AD181" s="654" t="e">
        <f>$H69*AD69</f>
        <v>#REF!</v>
      </c>
    </row>
    <row r="182" spans="1:32" customHeight="1" ht="20.1" s="612" customFormat="1">
      <c r="A182" s="1164"/>
      <c r="B182" s="1085"/>
      <c r="C182" s="776" t="str">
        <f>C70</f>
        <v>82115-0E551</v>
      </c>
      <c r="D182" s="302" t="str">
        <f>D70</f>
        <v>A 0401</v>
      </c>
      <c r="E182" s="302" t="str">
        <f>E70</f>
        <v>DV30</v>
      </c>
      <c r="F182" s="728"/>
      <c r="G182" s="729">
        <f>G70</f>
        <v>4</v>
      </c>
      <c r="H182" s="730" t="e">
        <f>+VLOOKUP($C182,C70:C153,6,0)</f>
        <v>#REF!</v>
      </c>
      <c r="I182" s="624" t="e">
        <f>$H70*I70</f>
        <v>#REF!</v>
      </c>
      <c r="J182" s="652" t="e">
        <f>$H70*J70</f>
        <v>#REF!</v>
      </c>
      <c r="K182" s="623" t="e">
        <f>$H70*K70</f>
        <v>#REF!</v>
      </c>
      <c r="L182" s="624" t="e">
        <f>$H70*L70</f>
        <v>#REF!</v>
      </c>
      <c r="M182" s="652" t="e">
        <f>$H70*M70</f>
        <v>#REF!</v>
      </c>
      <c r="N182" s="623" t="e">
        <f>$H70*N70</f>
        <v>#REF!</v>
      </c>
      <c r="O182" s="624" t="e">
        <f>$H70*O70</f>
        <v>#REF!</v>
      </c>
      <c r="P182" s="652" t="e">
        <f>$H70*P70</f>
        <v>#REF!</v>
      </c>
      <c r="Q182" s="623" t="e">
        <f>$H70*Q70</f>
        <v>#REF!</v>
      </c>
      <c r="R182" s="624" t="e">
        <f>$H70*R70</f>
        <v>#REF!</v>
      </c>
      <c r="S182" s="652" t="e">
        <f>$H70*S70</f>
        <v>#REF!</v>
      </c>
      <c r="T182" s="623" t="e">
        <f>$H70*T70</f>
        <v>#REF!</v>
      </c>
      <c r="U182" s="624" t="e">
        <f>$H70*U70</f>
        <v>#REF!</v>
      </c>
      <c r="V182" s="652" t="e">
        <f>$H70*V70</f>
        <v>#REF!</v>
      </c>
      <c r="W182" s="623" t="e">
        <f>$H70*W70</f>
        <v>#REF!</v>
      </c>
      <c r="X182" s="624" t="e">
        <f>$H70*X70</f>
        <v>#REF!</v>
      </c>
      <c r="Y182" s="652" t="e">
        <f>$H70*Y70</f>
        <v>#REF!</v>
      </c>
      <c r="Z182" s="623" t="e">
        <f>$H70*Z70</f>
        <v>#REF!</v>
      </c>
      <c r="AA182" s="624" t="e">
        <f>$H70*AA70</f>
        <v>#REF!</v>
      </c>
      <c r="AB182" s="653" t="e">
        <f>$H70*AB70</f>
        <v>#REF!</v>
      </c>
      <c r="AC182" s="625" t="e">
        <f>$H70*AC70</f>
        <v>#REF!</v>
      </c>
      <c r="AD182" s="654" t="e">
        <f>$H70*AD70</f>
        <v>#REF!</v>
      </c>
    </row>
    <row r="183" spans="1:32" customHeight="1" ht="20.1" s="612" customFormat="1">
      <c r="A183" s="1164"/>
      <c r="B183" s="1085"/>
      <c r="C183" s="732" t="str">
        <f>C71</f>
        <v>82115-0E561</v>
      </c>
      <c r="D183" s="302" t="str">
        <f>D71</f>
        <v>A 0501</v>
      </c>
      <c r="E183" s="302" t="str">
        <f>E71</f>
        <v>DV31</v>
      </c>
      <c r="F183" s="728"/>
      <c r="G183" s="729">
        <f>G71</f>
        <v>4</v>
      </c>
      <c r="H183" s="730" t="e">
        <f>+VLOOKUP($C183,C71:C154,6,0)</f>
        <v>#REF!</v>
      </c>
      <c r="I183" s="624" t="e">
        <f>$H71*I71</f>
        <v>#REF!</v>
      </c>
      <c r="J183" s="652" t="e">
        <f>$H71*J71</f>
        <v>#REF!</v>
      </c>
      <c r="K183" s="623" t="e">
        <f>$H71*K71</f>
        <v>#REF!</v>
      </c>
      <c r="L183" s="624" t="e">
        <f>$H71*L71</f>
        <v>#REF!</v>
      </c>
      <c r="M183" s="652" t="e">
        <f>$H71*M71</f>
        <v>#REF!</v>
      </c>
      <c r="N183" s="623" t="e">
        <f>$H71*N71</f>
        <v>#REF!</v>
      </c>
      <c r="O183" s="624" t="e">
        <f>$H71*O71</f>
        <v>#REF!</v>
      </c>
      <c r="P183" s="652" t="e">
        <f>$H71*P71</f>
        <v>#REF!</v>
      </c>
      <c r="Q183" s="623" t="e">
        <f>$H71*Q71</f>
        <v>#REF!</v>
      </c>
      <c r="R183" s="624" t="e">
        <f>$H71*R71</f>
        <v>#REF!</v>
      </c>
      <c r="S183" s="652" t="e">
        <f>$H71*S71</f>
        <v>#REF!</v>
      </c>
      <c r="T183" s="623" t="e">
        <f>$H71*T71</f>
        <v>#REF!</v>
      </c>
      <c r="U183" s="624" t="e">
        <f>$H71*U71</f>
        <v>#REF!</v>
      </c>
      <c r="V183" s="652" t="e">
        <f>$H71*V71</f>
        <v>#REF!</v>
      </c>
      <c r="W183" s="623" t="e">
        <f>$H71*W71</f>
        <v>#REF!</v>
      </c>
      <c r="X183" s="624" t="e">
        <f>$H71*X71</f>
        <v>#REF!</v>
      </c>
      <c r="Y183" s="652" t="e">
        <f>$H71*Y71</f>
        <v>#REF!</v>
      </c>
      <c r="Z183" s="623" t="e">
        <f>$H71*Z71</f>
        <v>#REF!</v>
      </c>
      <c r="AA183" s="624" t="e">
        <f>$H71*AA71</f>
        <v>#REF!</v>
      </c>
      <c r="AB183" s="653" t="e">
        <f>$H71*AB71</f>
        <v>#REF!</v>
      </c>
      <c r="AC183" s="625" t="e">
        <f>$H71*AC71</f>
        <v>#REF!</v>
      </c>
      <c r="AD183" s="654" t="e">
        <f>$H71*AD71</f>
        <v>#REF!</v>
      </c>
    </row>
    <row r="184" spans="1:32" customHeight="1" ht="20.1" s="612" customFormat="1">
      <c r="A184" s="1164"/>
      <c r="B184" s="1085"/>
      <c r="C184" s="651" t="str">
        <f>C72</f>
        <v>82115-0EA21</v>
      </c>
      <c r="D184" s="302" t="str">
        <f>D72</f>
        <v>A 0501</v>
      </c>
      <c r="E184" s="302" t="str">
        <f>E72</f>
        <v>DV32</v>
      </c>
      <c r="F184" s="452"/>
      <c r="G184" s="647">
        <f>G72</f>
        <v>4</v>
      </c>
      <c r="H184" s="648" t="e">
        <f>+VLOOKUP($C184,C72:C155,6,0)</f>
        <v>#REF!</v>
      </c>
      <c r="I184" s="624" t="e">
        <f>$H72*I72</f>
        <v>#REF!</v>
      </c>
      <c r="J184" s="652" t="e">
        <f>$H72*J72</f>
        <v>#REF!</v>
      </c>
      <c r="K184" s="623" t="e">
        <f>$H72*K72</f>
        <v>#REF!</v>
      </c>
      <c r="L184" s="624" t="e">
        <f>$H72*L72</f>
        <v>#REF!</v>
      </c>
      <c r="M184" s="652" t="e">
        <f>$H72*M72</f>
        <v>#REF!</v>
      </c>
      <c r="N184" s="623" t="e">
        <f>$H72*N72</f>
        <v>#REF!</v>
      </c>
      <c r="O184" s="624" t="e">
        <f>$H72*O72</f>
        <v>#REF!</v>
      </c>
      <c r="P184" s="652" t="e">
        <f>$H72*P72</f>
        <v>#REF!</v>
      </c>
      <c r="Q184" s="623" t="e">
        <f>$H72*Q72</f>
        <v>#REF!</v>
      </c>
      <c r="R184" s="624" t="e">
        <f>$H72*R72</f>
        <v>#REF!</v>
      </c>
      <c r="S184" s="652" t="e">
        <f>$H72*S72</f>
        <v>#REF!</v>
      </c>
      <c r="T184" s="623" t="e">
        <f>$H72*T72</f>
        <v>#REF!</v>
      </c>
      <c r="U184" s="624" t="e">
        <f>$H72*U72</f>
        <v>#REF!</v>
      </c>
      <c r="V184" s="652" t="e">
        <f>$H72*V72</f>
        <v>#REF!</v>
      </c>
      <c r="W184" s="623" t="e">
        <f>$H72*W72</f>
        <v>#REF!</v>
      </c>
      <c r="X184" s="624" t="e">
        <f>$H72*X72</f>
        <v>#REF!</v>
      </c>
      <c r="Y184" s="652" t="e">
        <f>$H72*Y72</f>
        <v>#REF!</v>
      </c>
      <c r="Z184" s="623" t="e">
        <f>$H72*Z72</f>
        <v>#REF!</v>
      </c>
      <c r="AA184" s="624" t="e">
        <f>$H72*AA72</f>
        <v>#REF!</v>
      </c>
      <c r="AB184" s="653" t="e">
        <f>$H72*AB72</f>
        <v>#REF!</v>
      </c>
      <c r="AC184" s="625" t="e">
        <f>$H72*AC72</f>
        <v>#REF!</v>
      </c>
      <c r="AD184" s="654" t="e">
        <f>$H72*AD72</f>
        <v>#REF!</v>
      </c>
    </row>
    <row r="185" spans="1:32" customHeight="1" ht="20.1" s="845" customFormat="1">
      <c r="A185" s="1164"/>
      <c r="B185" s="1085"/>
      <c r="C185" s="651" t="str">
        <f>C73</f>
        <v>82115-0EA31</v>
      </c>
      <c r="D185" s="302" t="str">
        <f>D73</f>
        <v>A 0501</v>
      </c>
      <c r="E185" s="302" t="str">
        <f>E73</f>
        <v>DV33</v>
      </c>
      <c r="F185" s="452"/>
      <c r="G185" s="647">
        <f>G73</f>
        <v>4</v>
      </c>
      <c r="H185" s="648" t="e">
        <f>+VLOOKUP($C185,C73:C156,6,0)</f>
        <v>#REF!</v>
      </c>
      <c r="I185" s="624" t="e">
        <f>$H73*I73</f>
        <v>#REF!</v>
      </c>
      <c r="J185" s="652" t="e">
        <f>$H73*J73</f>
        <v>#REF!</v>
      </c>
      <c r="K185" s="623" t="e">
        <f>$H73*K73</f>
        <v>#REF!</v>
      </c>
      <c r="L185" s="624" t="e">
        <f>$H73*L73</f>
        <v>#REF!</v>
      </c>
      <c r="M185" s="652" t="e">
        <f>$H73*M73</f>
        <v>#REF!</v>
      </c>
      <c r="N185" s="623" t="e">
        <f>$H73*N73</f>
        <v>#REF!</v>
      </c>
      <c r="O185" s="624" t="e">
        <f>$H73*O73</f>
        <v>#REF!</v>
      </c>
      <c r="P185" s="652" t="e">
        <f>$H73*P73</f>
        <v>#REF!</v>
      </c>
      <c r="Q185" s="623" t="e">
        <f>$H73*Q73</f>
        <v>#REF!</v>
      </c>
      <c r="R185" s="624" t="e">
        <f>$H73*R73</f>
        <v>#REF!</v>
      </c>
      <c r="S185" s="652" t="e">
        <f>$H73*S73</f>
        <v>#REF!</v>
      </c>
      <c r="T185" s="623" t="e">
        <f>$H73*T73</f>
        <v>#REF!</v>
      </c>
      <c r="U185" s="624" t="e">
        <f>$H73*U73</f>
        <v>#REF!</v>
      </c>
      <c r="V185" s="652" t="e">
        <f>$H73*V73</f>
        <v>#REF!</v>
      </c>
      <c r="W185" s="623" t="e">
        <f>$H73*W73</f>
        <v>#REF!</v>
      </c>
      <c r="X185" s="624" t="e">
        <f>$H73*X73</f>
        <v>#REF!</v>
      </c>
      <c r="Y185" s="652" t="e">
        <f>$H73*Y73</f>
        <v>#REF!</v>
      </c>
      <c r="Z185" s="623" t="e">
        <f>$H73*Z73</f>
        <v>#REF!</v>
      </c>
      <c r="AA185" s="624" t="e">
        <f>$H73*AA73</f>
        <v>#REF!</v>
      </c>
      <c r="AB185" s="653" t="e">
        <f>$H73*AB73</f>
        <v>#REF!</v>
      </c>
      <c r="AC185" s="625" t="e">
        <f>$H73*AC73</f>
        <v>#REF!</v>
      </c>
      <c r="AD185" s="654" t="e">
        <f>$H73*AD73</f>
        <v>#REF!</v>
      </c>
    </row>
    <row r="186" spans="1:32" customHeight="1" ht="20.1" s="612" customFormat="1">
      <c r="A186" s="1164"/>
      <c r="B186" s="1085"/>
      <c r="C186" s="776" t="str">
        <f>C74</f>
        <v>82115-0E310 B</v>
      </c>
      <c r="D186" s="302" t="str">
        <f>D74</f>
        <v>B 1001</v>
      </c>
      <c r="E186" s="302" t="str">
        <f>E74</f>
        <v>DV34</v>
      </c>
      <c r="F186" s="728"/>
      <c r="G186" s="729">
        <f>G74</f>
        <v>4</v>
      </c>
      <c r="H186" s="730" t="e">
        <f>+VLOOKUP($C186,C74:C157,6,0)</f>
        <v>#REF!</v>
      </c>
      <c r="I186" s="624" t="e">
        <f>$H74*I74</f>
        <v>#REF!</v>
      </c>
      <c r="J186" s="652" t="e">
        <f>$H74*J74</f>
        <v>#REF!</v>
      </c>
      <c r="K186" s="623" t="e">
        <f>$H74*K74</f>
        <v>#REF!</v>
      </c>
      <c r="L186" s="624" t="e">
        <f>$H74*L74</f>
        <v>#REF!</v>
      </c>
      <c r="M186" s="652" t="e">
        <f>$H74*M74</f>
        <v>#REF!</v>
      </c>
      <c r="N186" s="623" t="e">
        <f>$H74*N74</f>
        <v>#REF!</v>
      </c>
      <c r="O186" s="624" t="e">
        <f>$H74*O74</f>
        <v>#REF!</v>
      </c>
      <c r="P186" s="652" t="e">
        <f>$H74*P74</f>
        <v>#REF!</v>
      </c>
      <c r="Q186" s="623" t="e">
        <f>$H74*Q74</f>
        <v>#REF!</v>
      </c>
      <c r="R186" s="624" t="e">
        <f>$H74*R74</f>
        <v>#REF!</v>
      </c>
      <c r="S186" s="652" t="e">
        <f>$H74*S74</f>
        <v>#REF!</v>
      </c>
      <c r="T186" s="623" t="e">
        <f>$H74*T74</f>
        <v>#REF!</v>
      </c>
      <c r="U186" s="624" t="e">
        <f>$H74*U74</f>
        <v>#REF!</v>
      </c>
      <c r="V186" s="652" t="e">
        <f>$H74*V74</f>
        <v>#REF!</v>
      </c>
      <c r="W186" s="623" t="e">
        <f>$H74*W74</f>
        <v>#REF!</v>
      </c>
      <c r="X186" s="624" t="e">
        <f>$H74*X74</f>
        <v>#REF!</v>
      </c>
      <c r="Y186" s="652" t="e">
        <f>$H74*Y74</f>
        <v>#REF!</v>
      </c>
      <c r="Z186" s="623" t="e">
        <f>$H74*Z74</f>
        <v>#REF!</v>
      </c>
      <c r="AA186" s="624" t="e">
        <f>$H74*AA74</f>
        <v>#REF!</v>
      </c>
      <c r="AB186" s="653" t="e">
        <f>$H74*AB74</f>
        <v>#REF!</v>
      </c>
      <c r="AC186" s="625" t="e">
        <f>$H74*AC74</f>
        <v>#REF!</v>
      </c>
      <c r="AD186" s="654" t="e">
        <f>$H74*AD74</f>
        <v>#REF!</v>
      </c>
    </row>
    <row r="187" spans="1:32" customHeight="1" ht="20.1" s="612" customFormat="1">
      <c r="A187" s="1164"/>
      <c r="B187" s="1085"/>
      <c r="C187" s="651" t="str">
        <f>C75</f>
        <v>82115-0EZ30</v>
      </c>
      <c r="D187" s="302" t="str">
        <f>D75</f>
        <v>A 0501</v>
      </c>
      <c r="E187" s="302" t="str">
        <f>E75</f>
        <v>DV35</v>
      </c>
      <c r="F187" s="452"/>
      <c r="G187" s="647">
        <f>G75</f>
        <v>4</v>
      </c>
      <c r="H187" s="648" t="e">
        <f>+VLOOKUP($C187,C75:C158,6,0)</f>
        <v>#REF!</v>
      </c>
      <c r="I187" s="624" t="e">
        <f>$H75*I75</f>
        <v>#REF!</v>
      </c>
      <c r="J187" s="652" t="e">
        <f>$H75*J75</f>
        <v>#REF!</v>
      </c>
      <c r="K187" s="623" t="e">
        <f>$H75*K75</f>
        <v>#REF!</v>
      </c>
      <c r="L187" s="624" t="e">
        <f>$H75*L75</f>
        <v>#REF!</v>
      </c>
      <c r="M187" s="652" t="e">
        <f>$H75*M75</f>
        <v>#REF!</v>
      </c>
      <c r="N187" s="623" t="e">
        <f>$H75*N75</f>
        <v>#REF!</v>
      </c>
      <c r="O187" s="624" t="e">
        <f>$H75*O75</f>
        <v>#REF!</v>
      </c>
      <c r="P187" s="652" t="e">
        <f>$H75*P75</f>
        <v>#REF!</v>
      </c>
      <c r="Q187" s="623" t="e">
        <f>$H75*Q75</f>
        <v>#REF!</v>
      </c>
      <c r="R187" s="624" t="e">
        <f>$H75*R75</f>
        <v>#REF!</v>
      </c>
      <c r="S187" s="652" t="e">
        <f>$H75*S75</f>
        <v>#REF!</v>
      </c>
      <c r="T187" s="623" t="e">
        <f>$H75*T75</f>
        <v>#REF!</v>
      </c>
      <c r="U187" s="624" t="e">
        <f>$H75*U75</f>
        <v>#REF!</v>
      </c>
      <c r="V187" s="652" t="e">
        <f>$H75*V75</f>
        <v>#REF!</v>
      </c>
      <c r="W187" s="623" t="e">
        <f>$H75*W75</f>
        <v>#REF!</v>
      </c>
      <c r="X187" s="624" t="e">
        <f>$H75*X75</f>
        <v>#REF!</v>
      </c>
      <c r="Y187" s="652" t="e">
        <f>$H75*Y75</f>
        <v>#REF!</v>
      </c>
      <c r="Z187" s="623" t="e">
        <f>$H75*Z75</f>
        <v>#REF!</v>
      </c>
      <c r="AA187" s="624" t="e">
        <f>$H75*AA75</f>
        <v>#REF!</v>
      </c>
      <c r="AB187" s="653" t="e">
        <f>$H75*AB75</f>
        <v>#REF!</v>
      </c>
      <c r="AC187" s="625" t="e">
        <f>$H75*AC75</f>
        <v>#REF!</v>
      </c>
      <c r="AD187" s="654" t="e">
        <f>$H75*AD75</f>
        <v>#REF!</v>
      </c>
    </row>
    <row r="188" spans="1:32" customHeight="1" ht="20.1" s="659" customFormat="1">
      <c r="A188" s="1164"/>
      <c r="B188" s="1085"/>
      <c r="C188" s="651" t="str">
        <f>C76</f>
        <v>82115-0EZ40</v>
      </c>
      <c r="D188" s="302" t="str">
        <f>D76</f>
        <v>A 0501</v>
      </c>
      <c r="E188" s="302" t="str">
        <f>E76</f>
        <v>DV36</v>
      </c>
      <c r="F188" s="452"/>
      <c r="G188" s="647">
        <f>G76</f>
        <v>4</v>
      </c>
      <c r="H188" s="648" t="e">
        <f>+VLOOKUP($C188,C76:C159,6,0)</f>
        <v>#REF!</v>
      </c>
      <c r="I188" s="616" t="e">
        <f>$H76*I76</f>
        <v>#REF!</v>
      </c>
      <c r="J188" s="655" t="e">
        <f>$H76*J76</f>
        <v>#REF!</v>
      </c>
      <c r="K188" s="655" t="e">
        <f>$H76*K76</f>
        <v>#REF!</v>
      </c>
      <c r="L188" s="616" t="e">
        <f>$H76*L76</f>
        <v>#REF!</v>
      </c>
      <c r="M188" s="655" t="e">
        <f>$H76*M76</f>
        <v>#REF!</v>
      </c>
      <c r="N188" s="615" t="e">
        <f>$H76*N76</f>
        <v>#REF!</v>
      </c>
      <c r="O188" s="616" t="e">
        <f>$H76*O76</f>
        <v>#REF!</v>
      </c>
      <c r="P188" s="655" t="e">
        <f>$H76*P76</f>
        <v>#REF!</v>
      </c>
      <c r="Q188" s="615" t="e">
        <f>$H76*Q76</f>
        <v>#REF!</v>
      </c>
      <c r="R188" s="616" t="e">
        <f>$H76*R76</f>
        <v>#REF!</v>
      </c>
      <c r="S188" s="655" t="e">
        <f>$H76*S76</f>
        <v>#REF!</v>
      </c>
      <c r="T188" s="615" t="e">
        <f>$H76*T76</f>
        <v>#REF!</v>
      </c>
      <c r="U188" s="616" t="e">
        <f>$H76*U76</f>
        <v>#REF!</v>
      </c>
      <c r="V188" s="655" t="e">
        <f>$H76*V76</f>
        <v>#REF!</v>
      </c>
      <c r="W188" s="615" t="e">
        <f>$H76*W76</f>
        <v>#REF!</v>
      </c>
      <c r="X188" s="616" t="e">
        <f>$H76*X76</f>
        <v>#REF!</v>
      </c>
      <c r="Y188" s="655" t="e">
        <f>$H76*Y76</f>
        <v>#REF!</v>
      </c>
      <c r="Z188" s="615" t="e">
        <f>$H76*Z76</f>
        <v>#REF!</v>
      </c>
      <c r="AA188" s="616" t="e">
        <f>$H76*AA76</f>
        <v>#REF!</v>
      </c>
      <c r="AB188" s="656" t="e">
        <f>$H76*AB76</f>
        <v>#REF!</v>
      </c>
      <c r="AC188" s="617" t="e">
        <f>$H76*AC76</f>
        <v>#REF!</v>
      </c>
      <c r="AD188" s="658" t="e">
        <f>$H76*AD76</f>
        <v>#REF!</v>
      </c>
    </row>
    <row r="189" spans="1:32" customHeight="1" ht="20.1" s="612" customFormat="1">
      <c r="A189" s="1164"/>
      <c r="B189" s="1085"/>
      <c r="C189" s="732" t="str">
        <f>C77</f>
        <v>82115-0EZ50</v>
      </c>
      <c r="D189" s="302" t="str">
        <f>D77</f>
        <v>A 0501</v>
      </c>
      <c r="E189" s="302" t="str">
        <f>E77</f>
        <v>DV37</v>
      </c>
      <c r="F189" s="452"/>
      <c r="G189" s="647">
        <f>G77</f>
        <v>4</v>
      </c>
      <c r="H189" s="648" t="e">
        <f>+VLOOKUP($C189,C77:C160,6,0)</f>
        <v>#REF!</v>
      </c>
      <c r="I189" s="624" t="e">
        <f>$H77*I77</f>
        <v>#REF!</v>
      </c>
      <c r="J189" s="652" t="e">
        <f>$H77*J77</f>
        <v>#REF!</v>
      </c>
      <c r="K189" s="623" t="e">
        <f>$H77*K77</f>
        <v>#REF!</v>
      </c>
      <c r="L189" s="624" t="e">
        <f>$H77*L77</f>
        <v>#REF!</v>
      </c>
      <c r="M189" s="652" t="e">
        <f>$H77*M77</f>
        <v>#REF!</v>
      </c>
      <c r="N189" s="623" t="e">
        <f>$H77*N77</f>
        <v>#REF!</v>
      </c>
      <c r="O189" s="624" t="e">
        <f>$H77*O77</f>
        <v>#REF!</v>
      </c>
      <c r="P189" s="652" t="e">
        <f>$H77*P77</f>
        <v>#REF!</v>
      </c>
      <c r="Q189" s="623" t="e">
        <f>$H77*Q77</f>
        <v>#REF!</v>
      </c>
      <c r="R189" s="624" t="e">
        <f>$H77*R77</f>
        <v>#REF!</v>
      </c>
      <c r="S189" s="652" t="e">
        <f>$H77*S77</f>
        <v>#REF!</v>
      </c>
      <c r="T189" s="623" t="e">
        <f>$H77*T77</f>
        <v>#REF!</v>
      </c>
      <c r="U189" s="624" t="e">
        <f>$H77*U77</f>
        <v>#REF!</v>
      </c>
      <c r="V189" s="652" t="e">
        <f>$H77*V77</f>
        <v>#REF!</v>
      </c>
      <c r="W189" s="623" t="e">
        <f>$H77*W77</f>
        <v>#REF!</v>
      </c>
      <c r="X189" s="624" t="e">
        <f>$H77*X77</f>
        <v>#REF!</v>
      </c>
      <c r="Y189" s="652" t="e">
        <f>$H77*Y77</f>
        <v>#REF!</v>
      </c>
      <c r="Z189" s="623" t="e">
        <f>$H77*Z77</f>
        <v>#REF!</v>
      </c>
      <c r="AA189" s="624" t="e">
        <f>$H77*AA77</f>
        <v>#REF!</v>
      </c>
      <c r="AB189" s="653" t="e">
        <f>$H77*AB77</f>
        <v>#REF!</v>
      </c>
      <c r="AC189" s="625" t="e">
        <f>$H77*AC77</f>
        <v>#REF!</v>
      </c>
      <c r="AD189" s="654" t="e">
        <f>$H77*AD77</f>
        <v>#REF!</v>
      </c>
    </row>
    <row r="190" spans="1:32" customHeight="1" ht="20.1" s="612" customFormat="1">
      <c r="A190" s="1164"/>
      <c r="B190" s="1085"/>
      <c r="C190" s="651" t="str">
        <f>C78</f>
        <v>82115-0EZ60</v>
      </c>
      <c r="D190" s="302" t="str">
        <f>D78</f>
        <v>A 0501</v>
      </c>
      <c r="E190" s="302" t="str">
        <f>E78</f>
        <v>DV38</v>
      </c>
      <c r="F190" s="452"/>
      <c r="G190" s="647">
        <f>G78</f>
        <v>4</v>
      </c>
      <c r="H190" s="648" t="e">
        <f>+VLOOKUP($C190,C78:C161,6,0)</f>
        <v>#REF!</v>
      </c>
      <c r="I190" s="624" t="e">
        <f>$H78*I78</f>
        <v>#REF!</v>
      </c>
      <c r="J190" s="652" t="e">
        <f>$H78*J78</f>
        <v>#REF!</v>
      </c>
      <c r="K190" s="623" t="e">
        <f>$H78*K78</f>
        <v>#REF!</v>
      </c>
      <c r="L190" s="624" t="e">
        <f>$H78*L78</f>
        <v>#REF!</v>
      </c>
      <c r="M190" s="652" t="e">
        <f>$H78*M78</f>
        <v>#REF!</v>
      </c>
      <c r="N190" s="623" t="e">
        <f>$H78*N78</f>
        <v>#REF!</v>
      </c>
      <c r="O190" s="624" t="e">
        <f>$H78*O78</f>
        <v>#REF!</v>
      </c>
      <c r="P190" s="652" t="e">
        <f>$H78*P78</f>
        <v>#REF!</v>
      </c>
      <c r="Q190" s="623" t="e">
        <f>$H78*Q78</f>
        <v>#REF!</v>
      </c>
      <c r="R190" s="624" t="e">
        <f>$H78*R78</f>
        <v>#REF!</v>
      </c>
      <c r="S190" s="652" t="e">
        <f>$H78*S78</f>
        <v>#REF!</v>
      </c>
      <c r="T190" s="623" t="e">
        <f>$H78*T78</f>
        <v>#REF!</v>
      </c>
      <c r="U190" s="624" t="e">
        <f>$H78*U78</f>
        <v>#REF!</v>
      </c>
      <c r="V190" s="652" t="e">
        <f>$H78*V78</f>
        <v>#REF!</v>
      </c>
      <c r="W190" s="623" t="e">
        <f>$H78*W78</f>
        <v>#REF!</v>
      </c>
      <c r="X190" s="624" t="e">
        <f>$H78*X78</f>
        <v>#REF!</v>
      </c>
      <c r="Y190" s="652" t="e">
        <f>$H78*Y78</f>
        <v>#REF!</v>
      </c>
      <c r="Z190" s="623" t="e">
        <f>$H78*Z78</f>
        <v>#REF!</v>
      </c>
      <c r="AA190" s="624" t="e">
        <f>$H78*AA78</f>
        <v>#REF!</v>
      </c>
      <c r="AB190" s="653" t="e">
        <f>$H78*AB78</f>
        <v>#REF!</v>
      </c>
      <c r="AC190" s="625" t="e">
        <f>$H78*AC78</f>
        <v>#REF!</v>
      </c>
      <c r="AD190" s="654" t="e">
        <f>$H78*AD78</f>
        <v>#REF!</v>
      </c>
    </row>
    <row r="191" spans="1:32" customHeight="1" ht="20.1" s="612" customFormat="1">
      <c r="A191" s="1164"/>
      <c r="B191" s="1085"/>
      <c r="C191" s="651" t="str">
        <f>C79</f>
        <v>82115-0EZ70</v>
      </c>
      <c r="D191" s="302" t="str">
        <f>D79</f>
        <v>A 0501</v>
      </c>
      <c r="E191" s="302" t="str">
        <f>E79</f>
        <v>DV39</v>
      </c>
      <c r="F191" s="452"/>
      <c r="G191" s="647">
        <f>G79</f>
        <v>4</v>
      </c>
      <c r="H191" s="648" t="e">
        <f>+VLOOKUP($C191,C79:C162,6,0)</f>
        <v>#REF!</v>
      </c>
      <c r="I191" s="624" t="e">
        <f>$H79*I79</f>
        <v>#REF!</v>
      </c>
      <c r="J191" s="652" t="e">
        <f>$H79*J79</f>
        <v>#REF!</v>
      </c>
      <c r="K191" s="623" t="e">
        <f>$H79*K79</f>
        <v>#REF!</v>
      </c>
      <c r="L191" s="624" t="e">
        <f>$H79*L79</f>
        <v>#REF!</v>
      </c>
      <c r="M191" s="652" t="e">
        <f>$H79*M79</f>
        <v>#REF!</v>
      </c>
      <c r="N191" s="623" t="e">
        <f>$H79*N79</f>
        <v>#REF!</v>
      </c>
      <c r="O191" s="624" t="e">
        <f>$H79*O79</f>
        <v>#REF!</v>
      </c>
      <c r="P191" s="652" t="e">
        <f>$H79*P79</f>
        <v>#REF!</v>
      </c>
      <c r="Q191" s="623" t="e">
        <f>$H79*Q79</f>
        <v>#REF!</v>
      </c>
      <c r="R191" s="624" t="e">
        <f>$H79*R79</f>
        <v>#REF!</v>
      </c>
      <c r="S191" s="652" t="e">
        <f>$H79*S79</f>
        <v>#REF!</v>
      </c>
      <c r="T191" s="623" t="e">
        <f>$H79*T79</f>
        <v>#REF!</v>
      </c>
      <c r="U191" s="624" t="e">
        <f>$H79*U79</f>
        <v>#REF!</v>
      </c>
      <c r="V191" s="652" t="e">
        <f>$H79*V79</f>
        <v>#REF!</v>
      </c>
      <c r="W191" s="623" t="e">
        <f>$H79*W79</f>
        <v>#REF!</v>
      </c>
      <c r="X191" s="624" t="e">
        <f>$H79*X79</f>
        <v>#REF!</v>
      </c>
      <c r="Y191" s="652" t="e">
        <f>$H79*Y79</f>
        <v>#REF!</v>
      </c>
      <c r="Z191" s="623" t="e">
        <f>$H79*Z79</f>
        <v>#REF!</v>
      </c>
      <c r="AA191" s="624" t="e">
        <f>$H79*AA79</f>
        <v>#REF!</v>
      </c>
      <c r="AB191" s="653" t="e">
        <f>$H79*AB79</f>
        <v>#REF!</v>
      </c>
      <c r="AC191" s="625" t="e">
        <f>$H79*AC79</f>
        <v>#REF!</v>
      </c>
      <c r="AD191" s="654" t="e">
        <f>$H79*AD79</f>
        <v>#REF!</v>
      </c>
    </row>
    <row r="192" spans="1:32" customHeight="1" ht="20.1" s="612" customFormat="1">
      <c r="A192" s="1164"/>
      <c r="B192" s="1085"/>
      <c r="C192" s="646" t="str">
        <f>C80</f>
        <v>82115-0EZ80</v>
      </c>
      <c r="D192" s="302" t="str">
        <f>D80</f>
        <v>A 0501</v>
      </c>
      <c r="E192" s="302" t="str">
        <f>E80</f>
        <v>DV40</v>
      </c>
      <c r="F192" s="452"/>
      <c r="G192" s="647">
        <f>G80</f>
        <v>4</v>
      </c>
      <c r="H192" s="648" t="e">
        <f>+VLOOKUP($C192,C80:C163,6,0)</f>
        <v>#REF!</v>
      </c>
      <c r="I192" s="616" t="e">
        <f>$H80*I80</f>
        <v>#REF!</v>
      </c>
      <c r="J192" s="655" t="e">
        <f>$H80*J80</f>
        <v>#REF!</v>
      </c>
      <c r="K192" s="615" t="e">
        <f>$H80*K80</f>
        <v>#REF!</v>
      </c>
      <c r="L192" s="616" t="e">
        <f>$H80*L80</f>
        <v>#REF!</v>
      </c>
      <c r="M192" s="655" t="e">
        <f>$H80*M80</f>
        <v>#REF!</v>
      </c>
      <c r="N192" s="615" t="e">
        <f>$H80*N80</f>
        <v>#REF!</v>
      </c>
      <c r="O192" s="616" t="e">
        <f>$H80*O80</f>
        <v>#REF!</v>
      </c>
      <c r="P192" s="655" t="e">
        <f>$H80*P80</f>
        <v>#REF!</v>
      </c>
      <c r="Q192" s="615" t="e">
        <f>$H80*Q80</f>
        <v>#REF!</v>
      </c>
      <c r="R192" s="616" t="e">
        <f>$H80*R80</f>
        <v>#REF!</v>
      </c>
      <c r="S192" s="655" t="e">
        <f>$H80*S80</f>
        <v>#REF!</v>
      </c>
      <c r="T192" s="615" t="e">
        <f>$H80*T80</f>
        <v>#REF!</v>
      </c>
      <c r="U192" s="616" t="e">
        <f>$H80*U80</f>
        <v>#REF!</v>
      </c>
      <c r="V192" s="655" t="e">
        <f>$H80*V80</f>
        <v>#REF!</v>
      </c>
      <c r="W192" s="615" t="e">
        <f>$H80*W80</f>
        <v>#REF!</v>
      </c>
      <c r="X192" s="616" t="e">
        <f>$H80*X80</f>
        <v>#REF!</v>
      </c>
      <c r="Y192" s="655" t="e">
        <f>$H80*Y80</f>
        <v>#REF!</v>
      </c>
      <c r="Z192" s="615" t="e">
        <f>$H80*Z80</f>
        <v>#REF!</v>
      </c>
      <c r="AA192" s="616" t="e">
        <f>$H80*AA80</f>
        <v>#REF!</v>
      </c>
      <c r="AB192" s="656" t="e">
        <f>$H80*AB80</f>
        <v>#REF!</v>
      </c>
      <c r="AC192" s="617" t="e">
        <f>$H80*AC80</f>
        <v>#REF!</v>
      </c>
      <c r="AD192" s="657" t="e">
        <f>$H80*AD80</f>
        <v>#REF!</v>
      </c>
    </row>
    <row r="193" spans="1:32" customHeight="1" ht="20.1" s="628" customFormat="1">
      <c r="A193" s="1164"/>
      <c r="B193" s="1085"/>
      <c r="C193" s="781" t="str">
        <f>C81</f>
        <v>82115-0EZ90</v>
      </c>
      <c r="D193" s="782" t="str">
        <f>D81</f>
        <v>A 0501</v>
      </c>
      <c r="E193" s="782" t="str">
        <f>E81</f>
        <v>DV41</v>
      </c>
      <c r="F193" s="783"/>
      <c r="G193" s="784">
        <f>G81</f>
        <v>4</v>
      </c>
      <c r="H193" s="785" t="e">
        <f>+VLOOKUP($C193,C81:C164,6,0)</f>
        <v>#REF!</v>
      </c>
      <c r="I193" s="786" t="e">
        <f>$H81*I81</f>
        <v>#REF!</v>
      </c>
      <c r="J193" s="787" t="e">
        <f>$H81*J81</f>
        <v>#REF!</v>
      </c>
      <c r="K193" s="788" t="e">
        <f>$H81*K81</f>
        <v>#REF!</v>
      </c>
      <c r="L193" s="786" t="e">
        <f>$H81*L81</f>
        <v>#REF!</v>
      </c>
      <c r="M193" s="787" t="e">
        <f>$H81*M81</f>
        <v>#REF!</v>
      </c>
      <c r="N193" s="788" t="e">
        <f>$H81*N81</f>
        <v>#REF!</v>
      </c>
      <c r="O193" s="786" t="e">
        <f>$H81*O81</f>
        <v>#REF!</v>
      </c>
      <c r="P193" s="787" t="e">
        <f>$H81*P81</f>
        <v>#REF!</v>
      </c>
      <c r="Q193" s="788" t="e">
        <f>$H81*Q81</f>
        <v>#REF!</v>
      </c>
      <c r="R193" s="786" t="e">
        <f>$H81*R81</f>
        <v>#REF!</v>
      </c>
      <c r="S193" s="787" t="e">
        <f>$H81*S81</f>
        <v>#REF!</v>
      </c>
      <c r="T193" s="788" t="e">
        <f>$H81*T81</f>
        <v>#REF!</v>
      </c>
      <c r="U193" s="786" t="e">
        <f>$H81*U81</f>
        <v>#REF!</v>
      </c>
      <c r="V193" s="787" t="e">
        <f>$H81*V81</f>
        <v>#REF!</v>
      </c>
      <c r="W193" s="788" t="e">
        <f>$H81*W81</f>
        <v>#REF!</v>
      </c>
      <c r="X193" s="786" t="e">
        <f>$H81*X81</f>
        <v>#REF!</v>
      </c>
      <c r="Y193" s="787" t="e">
        <f>$H81*Y81</f>
        <v>#REF!</v>
      </c>
      <c r="Z193" s="788" t="e">
        <f>$H81*Z81</f>
        <v>#REF!</v>
      </c>
      <c r="AA193" s="786" t="e">
        <f>$H81*AA81</f>
        <v>#REF!</v>
      </c>
      <c r="AB193" s="789" t="e">
        <f>$H81*AB81</f>
        <v>#REF!</v>
      </c>
      <c r="AC193" s="790" t="e">
        <f>$H81*AC81</f>
        <v>#REF!</v>
      </c>
      <c r="AD193" s="791" t="e">
        <f>$H81*AD81</f>
        <v>#REF!</v>
      </c>
    </row>
    <row r="194" spans="1:32" customHeight="1" ht="20.1" s="659" customFormat="1">
      <c r="A194" s="1164"/>
      <c r="B194" s="1085"/>
      <c r="C194" s="792" t="str">
        <f>C82</f>
        <v>82115-0E501 B</v>
      </c>
      <c r="D194" s="302" t="str">
        <f>D82</f>
        <v>B 1001</v>
      </c>
      <c r="E194" s="302" t="str">
        <f>E82</f>
        <v>DW83</v>
      </c>
      <c r="F194" s="728"/>
      <c r="G194" s="729">
        <f>G82</f>
        <v>4</v>
      </c>
      <c r="H194" s="730" t="e">
        <f>+VLOOKUP($C194,C82:C165,6,0)</f>
        <v>#REF!</v>
      </c>
      <c r="I194" s="624" t="e">
        <f>$H82*I82</f>
        <v>#REF!</v>
      </c>
      <c r="J194" s="652" t="e">
        <f>$H82*J82</f>
        <v>#REF!</v>
      </c>
      <c r="K194" s="652" t="e">
        <f>$H82*K82</f>
        <v>#REF!</v>
      </c>
      <c r="L194" s="624" t="e">
        <f>$H82*L82</f>
        <v>#REF!</v>
      </c>
      <c r="M194" s="652" t="e">
        <f>$H82*M82</f>
        <v>#REF!</v>
      </c>
      <c r="N194" s="623" t="e">
        <f>$H82*N82</f>
        <v>#REF!</v>
      </c>
      <c r="O194" s="624" t="e">
        <f>$H82*O82</f>
        <v>#REF!</v>
      </c>
      <c r="P194" s="652" t="e">
        <f>$H82*P82</f>
        <v>#REF!</v>
      </c>
      <c r="Q194" s="623" t="e">
        <f>$H82*Q82</f>
        <v>#REF!</v>
      </c>
      <c r="R194" s="624" t="e">
        <f>$H82*R82</f>
        <v>#REF!</v>
      </c>
      <c r="S194" s="652" t="e">
        <f>$H82*S82</f>
        <v>#REF!</v>
      </c>
      <c r="T194" s="623" t="e">
        <f>$H82*T82</f>
        <v>#REF!</v>
      </c>
      <c r="U194" s="624" t="e">
        <f>$H82*U82</f>
        <v>#REF!</v>
      </c>
      <c r="V194" s="652" t="e">
        <f>$H82*V82</f>
        <v>#REF!</v>
      </c>
      <c r="W194" s="623" t="e">
        <f>$H82*W82</f>
        <v>#REF!</v>
      </c>
      <c r="X194" s="624" t="e">
        <f>$H82*X82</f>
        <v>#REF!</v>
      </c>
      <c r="Y194" s="652" t="e">
        <f>$H82*Y82</f>
        <v>#REF!</v>
      </c>
      <c r="Z194" s="623" t="e">
        <f>$H82*Z82</f>
        <v>#REF!</v>
      </c>
      <c r="AA194" s="624" t="e">
        <f>$H82*AA82</f>
        <v>#REF!</v>
      </c>
      <c r="AB194" s="653" t="e">
        <f>$H82*AB82</f>
        <v>#REF!</v>
      </c>
      <c r="AC194" s="625" t="e">
        <f>$H82*AC82</f>
        <v>#REF!</v>
      </c>
      <c r="AD194" s="858" t="e">
        <f>$H82*AD82</f>
        <v>#REF!</v>
      </c>
    </row>
    <row r="195" spans="1:32" customHeight="1" ht="20.1" s="659" customFormat="1">
      <c r="A195" s="1164"/>
      <c r="B195" s="1085"/>
      <c r="C195" s="651" t="str">
        <f>C83</f>
        <v>82115-0E511 B</v>
      </c>
      <c r="D195" s="302" t="str">
        <f>D83</f>
        <v>B 1001</v>
      </c>
      <c r="E195" s="302" t="str">
        <f>E83</f>
        <v>DW84</v>
      </c>
      <c r="F195" s="452"/>
      <c r="G195" s="647">
        <f>G83</f>
        <v>4</v>
      </c>
      <c r="H195" s="648" t="e">
        <f>+VLOOKUP($C195,C83:C166,6,0)</f>
        <v>#REF!</v>
      </c>
      <c r="I195" s="616" t="e">
        <f>$H83*I83</f>
        <v>#REF!</v>
      </c>
      <c r="J195" s="655" t="e">
        <f>$H83*J83</f>
        <v>#REF!</v>
      </c>
      <c r="K195" s="655" t="e">
        <f>$H83*K83</f>
        <v>#REF!</v>
      </c>
      <c r="L195" s="616" t="e">
        <f>$H83*L83</f>
        <v>#REF!</v>
      </c>
      <c r="M195" s="655" t="e">
        <f>$H83*M83</f>
        <v>#REF!</v>
      </c>
      <c r="N195" s="615" t="e">
        <f>$H83*N83</f>
        <v>#REF!</v>
      </c>
      <c r="O195" s="616" t="e">
        <f>$H83*O83</f>
        <v>#REF!</v>
      </c>
      <c r="P195" s="655" t="e">
        <f>$H83*P83</f>
        <v>#REF!</v>
      </c>
      <c r="Q195" s="615" t="e">
        <f>$H83*Q83</f>
        <v>#REF!</v>
      </c>
      <c r="R195" s="616" t="e">
        <f>$H83*R83</f>
        <v>#REF!</v>
      </c>
      <c r="S195" s="655" t="e">
        <f>$H83*S83</f>
        <v>#REF!</v>
      </c>
      <c r="T195" s="615" t="e">
        <f>$H83*T83</f>
        <v>#REF!</v>
      </c>
      <c r="U195" s="616" t="e">
        <f>$H83*U83</f>
        <v>#REF!</v>
      </c>
      <c r="V195" s="655" t="e">
        <f>$H83*V83</f>
        <v>#REF!</v>
      </c>
      <c r="W195" s="615" t="e">
        <f>$H83*W83</f>
        <v>#REF!</v>
      </c>
      <c r="X195" s="616" t="e">
        <f>$H83*X83</f>
        <v>#REF!</v>
      </c>
      <c r="Y195" s="655" t="e">
        <f>$H83*Y83</f>
        <v>#REF!</v>
      </c>
      <c r="Z195" s="615" t="e">
        <f>$H83*Z83</f>
        <v>#REF!</v>
      </c>
      <c r="AA195" s="616" t="e">
        <f>$H83*AA83</f>
        <v>#REF!</v>
      </c>
      <c r="AB195" s="656" t="e">
        <f>$H83*AB83</f>
        <v>#REF!</v>
      </c>
      <c r="AC195" s="617" t="e">
        <f>$H83*AC83</f>
        <v>#REF!</v>
      </c>
      <c r="AD195" s="658" t="e">
        <f>$H83*AD83</f>
        <v>#REF!</v>
      </c>
    </row>
    <row r="196" spans="1:32" customHeight="1" ht="20.1" s="845" customFormat="1">
      <c r="A196" s="1164"/>
      <c r="B196" s="1085"/>
      <c r="C196" s="651" t="str">
        <f>C84</f>
        <v>82115-0E521 B</v>
      </c>
      <c r="D196" s="302" t="str">
        <f>D84</f>
        <v>B 1001</v>
      </c>
      <c r="E196" s="302" t="str">
        <f>E84</f>
        <v>DW85</v>
      </c>
      <c r="F196" s="452"/>
      <c r="G196" s="647">
        <f>G84</f>
        <v>4</v>
      </c>
      <c r="H196" s="648" t="e">
        <f>+VLOOKUP($C196,C84:C167,6,0)</f>
        <v>#REF!</v>
      </c>
      <c r="I196" s="624" t="e">
        <f>$H84*I84</f>
        <v>#REF!</v>
      </c>
      <c r="J196" s="652" t="e">
        <f>$H84*J84</f>
        <v>#REF!</v>
      </c>
      <c r="K196" s="623" t="e">
        <f>$H84*K84</f>
        <v>#REF!</v>
      </c>
      <c r="L196" s="624" t="e">
        <f>$H84*L84</f>
        <v>#REF!</v>
      </c>
      <c r="M196" s="652" t="e">
        <f>$H84*M84</f>
        <v>#REF!</v>
      </c>
      <c r="N196" s="623" t="e">
        <f>$H84*N84</f>
        <v>#REF!</v>
      </c>
      <c r="O196" s="624" t="e">
        <f>$H84*O84</f>
        <v>#REF!</v>
      </c>
      <c r="P196" s="652" t="e">
        <f>$H84*P84</f>
        <v>#REF!</v>
      </c>
      <c r="Q196" s="623" t="e">
        <f>$H84*Q84</f>
        <v>#REF!</v>
      </c>
      <c r="R196" s="624" t="e">
        <f>$H84*R84</f>
        <v>#REF!</v>
      </c>
      <c r="S196" s="652" t="e">
        <f>$H84*S84</f>
        <v>#REF!</v>
      </c>
      <c r="T196" s="623" t="e">
        <f>$H84*T84</f>
        <v>#REF!</v>
      </c>
      <c r="U196" s="624" t="e">
        <f>$H84*U84</f>
        <v>#REF!</v>
      </c>
      <c r="V196" s="652" t="e">
        <f>$H84*V84</f>
        <v>#REF!</v>
      </c>
      <c r="W196" s="623" t="e">
        <f>$H84*W84</f>
        <v>#REF!</v>
      </c>
      <c r="X196" s="624" t="e">
        <f>$H84*X84</f>
        <v>#REF!</v>
      </c>
      <c r="Y196" s="652" t="e">
        <f>$H84*Y84</f>
        <v>#REF!</v>
      </c>
      <c r="Z196" s="623" t="e">
        <f>$H84*Z84</f>
        <v>#REF!</v>
      </c>
      <c r="AA196" s="624" t="e">
        <f>$H84*AA84</f>
        <v>#REF!</v>
      </c>
      <c r="AB196" s="653" t="e">
        <f>$H84*AB84</f>
        <v>#REF!</v>
      </c>
      <c r="AC196" s="625" t="e">
        <f>$H84*AC84</f>
        <v>#REF!</v>
      </c>
      <c r="AD196" s="654" t="e">
        <f>$H84*AD84</f>
        <v>#REF!</v>
      </c>
    </row>
    <row r="197" spans="1:32" customHeight="1" ht="20.1" s="659" customFormat="1">
      <c r="A197" s="1164"/>
      <c r="B197" s="1085"/>
      <c r="C197" s="857" t="str">
        <f>C85</f>
        <v>82115-0E531 B</v>
      </c>
      <c r="D197" s="302" t="str">
        <f>D85</f>
        <v>B 1001</v>
      </c>
      <c r="E197" s="302" t="str">
        <f>E85</f>
        <v>DW86</v>
      </c>
      <c r="F197" s="728"/>
      <c r="G197" s="729">
        <f>G85</f>
        <v>4</v>
      </c>
      <c r="H197" s="730" t="e">
        <f>+VLOOKUP($C197,C85:C168,6,0)</f>
        <v>#REF!</v>
      </c>
      <c r="I197" s="624" t="e">
        <f>$H85*I85</f>
        <v>#REF!</v>
      </c>
      <c r="J197" s="652" t="e">
        <f>$H85*J85</f>
        <v>#REF!</v>
      </c>
      <c r="K197" s="623" t="e">
        <f>$H85*K85</f>
        <v>#REF!</v>
      </c>
      <c r="L197" s="624" t="e">
        <f>$H85*L85</f>
        <v>#REF!</v>
      </c>
      <c r="M197" s="652" t="e">
        <f>$H85*M85</f>
        <v>#REF!</v>
      </c>
      <c r="N197" s="623" t="e">
        <f>$H85*N85</f>
        <v>#REF!</v>
      </c>
      <c r="O197" s="624" t="e">
        <f>$H85*O85</f>
        <v>#REF!</v>
      </c>
      <c r="P197" s="652" t="e">
        <f>$H85*P85</f>
        <v>#REF!</v>
      </c>
      <c r="Q197" s="623" t="e">
        <f>$H85*Q85</f>
        <v>#REF!</v>
      </c>
      <c r="R197" s="624" t="e">
        <f>$H85*R85</f>
        <v>#REF!</v>
      </c>
      <c r="S197" s="652" t="e">
        <f>$H85*S85</f>
        <v>#REF!</v>
      </c>
      <c r="T197" s="623" t="e">
        <f>$H85*T85</f>
        <v>#REF!</v>
      </c>
      <c r="U197" s="624" t="e">
        <f>$H85*U85</f>
        <v>#REF!</v>
      </c>
      <c r="V197" s="652" t="e">
        <f>$H85*V85</f>
        <v>#REF!</v>
      </c>
      <c r="W197" s="623" t="e">
        <f>$H85*W85</f>
        <v>#REF!</v>
      </c>
      <c r="X197" s="624" t="e">
        <f>$H85*X85</f>
        <v>#REF!</v>
      </c>
      <c r="Y197" s="652" t="e">
        <f>$H85*Y85</f>
        <v>#REF!</v>
      </c>
      <c r="Z197" s="623" t="e">
        <f>$H85*Z85</f>
        <v>#REF!</v>
      </c>
      <c r="AA197" s="624" t="e">
        <f>$H85*AA85</f>
        <v>#REF!</v>
      </c>
      <c r="AB197" s="653" t="e">
        <f>$H85*AB85</f>
        <v>#REF!</v>
      </c>
      <c r="AC197" s="625" t="e">
        <f>$H85*AC85</f>
        <v>#REF!</v>
      </c>
      <c r="AD197" s="858" t="e">
        <f>$H85*AD85</f>
        <v>#REF!</v>
      </c>
    </row>
    <row r="198" spans="1:32" customHeight="1" ht="20.1" s="845" customFormat="1">
      <c r="A198" s="1164"/>
      <c r="B198" s="1085"/>
      <c r="C198" s="716" t="str">
        <f>C86</f>
        <v>82115-0E541 B</v>
      </c>
      <c r="D198" s="302" t="str">
        <f>D86</f>
        <v>B 1001</v>
      </c>
      <c r="E198" s="302" t="str">
        <f>E86</f>
        <v>DW87</v>
      </c>
      <c r="F198" s="452"/>
      <c r="G198" s="647">
        <f>G86</f>
        <v>4</v>
      </c>
      <c r="H198" s="648" t="e">
        <f>+VLOOKUP($C198,C86:C169,6,0)</f>
        <v>#REF!</v>
      </c>
      <c r="I198" s="616" t="e">
        <f>$H86*I86</f>
        <v>#REF!</v>
      </c>
      <c r="J198" s="655" t="e">
        <f>$H86*J86</f>
        <v>#REF!</v>
      </c>
      <c r="K198" s="615" t="e">
        <f>$H86*K86</f>
        <v>#REF!</v>
      </c>
      <c r="L198" s="616" t="e">
        <f>$H86*L86</f>
        <v>#REF!</v>
      </c>
      <c r="M198" s="655" t="e">
        <f>$H86*M86</f>
        <v>#REF!</v>
      </c>
      <c r="N198" s="615" t="e">
        <f>$H86*N86</f>
        <v>#REF!</v>
      </c>
      <c r="O198" s="616" t="e">
        <f>$H86*O86</f>
        <v>#REF!</v>
      </c>
      <c r="P198" s="655" t="e">
        <f>$H86*P86</f>
        <v>#REF!</v>
      </c>
      <c r="Q198" s="615" t="e">
        <f>$H86*Q86</f>
        <v>#REF!</v>
      </c>
      <c r="R198" s="616" t="e">
        <f>$H86*R86</f>
        <v>#REF!</v>
      </c>
      <c r="S198" s="655" t="e">
        <f>$H86*S86</f>
        <v>#REF!</v>
      </c>
      <c r="T198" s="615" t="e">
        <f>$H86*T86</f>
        <v>#REF!</v>
      </c>
      <c r="U198" s="616" t="e">
        <f>$H86*U86</f>
        <v>#REF!</v>
      </c>
      <c r="V198" s="655" t="e">
        <f>$H86*V86</f>
        <v>#REF!</v>
      </c>
      <c r="W198" s="615" t="e">
        <f>$H86*W86</f>
        <v>#REF!</v>
      </c>
      <c r="X198" s="616" t="e">
        <f>$H86*X86</f>
        <v>#REF!</v>
      </c>
      <c r="Y198" s="655" t="e">
        <f>$H86*Y86</f>
        <v>#REF!</v>
      </c>
      <c r="Z198" s="615" t="e">
        <f>$H86*Z86</f>
        <v>#REF!</v>
      </c>
      <c r="AA198" s="616" t="e">
        <f>$H86*AA86</f>
        <v>#REF!</v>
      </c>
      <c r="AB198" s="656" t="e">
        <f>$H86*AB86</f>
        <v>#REF!</v>
      </c>
      <c r="AC198" s="617" t="e">
        <f>$H86*AC86</f>
        <v>#REF!</v>
      </c>
      <c r="AD198" s="657" t="e">
        <f>$H86*AD86</f>
        <v>#REF!</v>
      </c>
    </row>
    <row r="199" spans="1:32" customHeight="1" ht="20.1" s="612" customFormat="1">
      <c r="A199" s="1164"/>
      <c r="B199" s="1085"/>
      <c r="C199" s="792" t="str">
        <f>C87</f>
        <v>82115-0E551 B</v>
      </c>
      <c r="D199" s="302" t="str">
        <f>D87</f>
        <v>B 1001</v>
      </c>
      <c r="E199" s="302" t="str">
        <f>E87</f>
        <v>DW88</v>
      </c>
      <c r="F199" s="728"/>
      <c r="G199" s="729">
        <f>G87</f>
        <v>4</v>
      </c>
      <c r="H199" s="730" t="e">
        <f>+VLOOKUP($C199,C87:C170,6,0)</f>
        <v>#REF!</v>
      </c>
      <c r="I199" s="624" t="e">
        <f>$H87*I87</f>
        <v>#REF!</v>
      </c>
      <c r="J199" s="652" t="e">
        <f>$H87*J87</f>
        <v>#REF!</v>
      </c>
      <c r="K199" s="623" t="e">
        <f>$H87*K87</f>
        <v>#REF!</v>
      </c>
      <c r="L199" s="624" t="e">
        <f>$H87*L87</f>
        <v>#REF!</v>
      </c>
      <c r="M199" s="652" t="e">
        <f>$H87*M87</f>
        <v>#REF!</v>
      </c>
      <c r="N199" s="623" t="e">
        <f>$H87*N87</f>
        <v>#REF!</v>
      </c>
      <c r="O199" s="624" t="e">
        <f>$H87*O87</f>
        <v>#REF!</v>
      </c>
      <c r="P199" s="652" t="e">
        <f>$H87*P87</f>
        <v>#REF!</v>
      </c>
      <c r="Q199" s="623" t="e">
        <f>$H87*Q87</f>
        <v>#REF!</v>
      </c>
      <c r="R199" s="624" t="e">
        <f>$H87*R87</f>
        <v>#REF!</v>
      </c>
      <c r="S199" s="652" t="e">
        <f>$H87*S87</f>
        <v>#REF!</v>
      </c>
      <c r="T199" s="623" t="e">
        <f>$H87*T87</f>
        <v>#REF!</v>
      </c>
      <c r="U199" s="624" t="e">
        <f>$H87*U87</f>
        <v>#REF!</v>
      </c>
      <c r="V199" s="652" t="e">
        <f>$H87*V87</f>
        <v>#REF!</v>
      </c>
      <c r="W199" s="623" t="e">
        <f>$H87*W87</f>
        <v>#REF!</v>
      </c>
      <c r="X199" s="624" t="e">
        <f>$H87*X87</f>
        <v>#REF!</v>
      </c>
      <c r="Y199" s="652" t="e">
        <f>$H87*Y87</f>
        <v>#REF!</v>
      </c>
      <c r="Z199" s="623" t="e">
        <f>$H87*Z87</f>
        <v>#REF!</v>
      </c>
      <c r="AA199" s="624" t="e">
        <f>$H87*AA87</f>
        <v>#REF!</v>
      </c>
      <c r="AB199" s="653" t="e">
        <f>$H87*AB87</f>
        <v>#REF!</v>
      </c>
      <c r="AC199" s="625" t="e">
        <f>$H87*AC87</f>
        <v>#REF!</v>
      </c>
      <c r="AD199" s="654" t="e">
        <f>$H87*AD87</f>
        <v>#REF!</v>
      </c>
    </row>
    <row r="200" spans="1:32" customHeight="1" ht="20.1" s="845" customFormat="1">
      <c r="A200" s="1164"/>
      <c r="B200" s="1085"/>
      <c r="C200" s="716" t="str">
        <f>C88</f>
        <v>82115-0E561 B</v>
      </c>
      <c r="D200" s="302" t="str">
        <f>D88</f>
        <v>B 1001</v>
      </c>
      <c r="E200" s="302" t="str">
        <f>E88</f>
        <v>DW89</v>
      </c>
      <c r="F200" s="452"/>
      <c r="G200" s="647">
        <f>G88</f>
        <v>4</v>
      </c>
      <c r="H200" s="648" t="e">
        <f>+VLOOKUP($C200,C88:C171,6,0)</f>
        <v>#REF!</v>
      </c>
      <c r="I200" s="616" t="e">
        <f>$H88*I88</f>
        <v>#REF!</v>
      </c>
      <c r="J200" s="655" t="e">
        <f>$H88*J88</f>
        <v>#REF!</v>
      </c>
      <c r="K200" s="615" t="e">
        <f>$H88*K88</f>
        <v>#REF!</v>
      </c>
      <c r="L200" s="616" t="e">
        <f>$H88*L88</f>
        <v>#REF!</v>
      </c>
      <c r="M200" s="655" t="e">
        <f>$H88*M88</f>
        <v>#REF!</v>
      </c>
      <c r="N200" s="615" t="e">
        <f>$H88*N88</f>
        <v>#REF!</v>
      </c>
      <c r="O200" s="616" t="e">
        <f>$H88*O88</f>
        <v>#REF!</v>
      </c>
      <c r="P200" s="655" t="e">
        <f>$H88*P88</f>
        <v>#REF!</v>
      </c>
      <c r="Q200" s="615" t="e">
        <f>$H88*Q88</f>
        <v>#REF!</v>
      </c>
      <c r="R200" s="616" t="e">
        <f>$H88*R88</f>
        <v>#REF!</v>
      </c>
      <c r="S200" s="655" t="e">
        <f>$H88*S88</f>
        <v>#REF!</v>
      </c>
      <c r="T200" s="615" t="e">
        <f>$H88*T88</f>
        <v>#REF!</v>
      </c>
      <c r="U200" s="616" t="e">
        <f>$H88*U88</f>
        <v>#REF!</v>
      </c>
      <c r="V200" s="655" t="e">
        <f>$H88*V88</f>
        <v>#REF!</v>
      </c>
      <c r="W200" s="615" t="e">
        <f>$H88*W88</f>
        <v>#REF!</v>
      </c>
      <c r="X200" s="616" t="e">
        <f>$H88*X88</f>
        <v>#REF!</v>
      </c>
      <c r="Y200" s="655" t="e">
        <f>$H88*Y88</f>
        <v>#REF!</v>
      </c>
      <c r="Z200" s="615" t="e">
        <f>$H88*Z88</f>
        <v>#REF!</v>
      </c>
      <c r="AA200" s="616" t="e">
        <f>$H88*AA88</f>
        <v>#REF!</v>
      </c>
      <c r="AB200" s="656" t="e">
        <f>$H88*AB88</f>
        <v>#REF!</v>
      </c>
      <c r="AC200" s="617" t="e">
        <f>$H88*AC88</f>
        <v>#REF!</v>
      </c>
      <c r="AD200" s="657" t="e">
        <f>$H88*AD88</f>
        <v>#REF!</v>
      </c>
    </row>
    <row r="201" spans="1:32" customHeight="1" ht="20.1" s="612" customFormat="1">
      <c r="A201" s="1164"/>
      <c r="B201" s="1085"/>
      <c r="C201" s="792" t="str">
        <f>C89</f>
        <v>82115-0EA21 B</v>
      </c>
      <c r="D201" s="302" t="str">
        <f>D89</f>
        <v>B 1001</v>
      </c>
      <c r="E201" s="302" t="str">
        <f>E89</f>
        <v>DW90</v>
      </c>
      <c r="F201" s="728"/>
      <c r="G201" s="729">
        <f>G89</f>
        <v>4</v>
      </c>
      <c r="H201" s="730" t="e">
        <f>+VLOOKUP($C201,C89:C172,6,0)</f>
        <v>#REF!</v>
      </c>
      <c r="I201" s="624" t="e">
        <f>$H89*I89</f>
        <v>#REF!</v>
      </c>
      <c r="J201" s="652" t="e">
        <f>$H89*J89</f>
        <v>#REF!</v>
      </c>
      <c r="K201" s="623" t="e">
        <f>$H89*K89</f>
        <v>#REF!</v>
      </c>
      <c r="L201" s="624" t="e">
        <f>$H89*L89</f>
        <v>#REF!</v>
      </c>
      <c r="M201" s="652" t="e">
        <f>$H89*M89</f>
        <v>#REF!</v>
      </c>
      <c r="N201" s="623" t="e">
        <f>$H89*N89</f>
        <v>#REF!</v>
      </c>
      <c r="O201" s="624" t="e">
        <f>$H89*O89</f>
        <v>#REF!</v>
      </c>
      <c r="P201" s="652" t="e">
        <f>$H89*P89</f>
        <v>#REF!</v>
      </c>
      <c r="Q201" s="623" t="e">
        <f>$H89*Q89</f>
        <v>#REF!</v>
      </c>
      <c r="R201" s="624" t="e">
        <f>$H89*R89</f>
        <v>#REF!</v>
      </c>
      <c r="S201" s="652" t="e">
        <f>$H89*S89</f>
        <v>#REF!</v>
      </c>
      <c r="T201" s="623" t="e">
        <f>$H89*T89</f>
        <v>#REF!</v>
      </c>
      <c r="U201" s="624" t="e">
        <f>$H89*U89</f>
        <v>#REF!</v>
      </c>
      <c r="V201" s="652" t="e">
        <f>$H89*V89</f>
        <v>#REF!</v>
      </c>
      <c r="W201" s="623" t="e">
        <f>$H89*W89</f>
        <v>#REF!</v>
      </c>
      <c r="X201" s="624" t="e">
        <f>$H89*X89</f>
        <v>#REF!</v>
      </c>
      <c r="Y201" s="652" t="e">
        <f>$H89*Y89</f>
        <v>#REF!</v>
      </c>
      <c r="Z201" s="623" t="e">
        <f>$H89*Z89</f>
        <v>#REF!</v>
      </c>
      <c r="AA201" s="624" t="e">
        <f>$H89*AA89</f>
        <v>#REF!</v>
      </c>
      <c r="AB201" s="653" t="e">
        <f>$H89*AB89</f>
        <v>#REF!</v>
      </c>
      <c r="AC201" s="625" t="e">
        <f>$H89*AC89</f>
        <v>#REF!</v>
      </c>
      <c r="AD201" s="654" t="e">
        <f>$H89*AD89</f>
        <v>#REF!</v>
      </c>
    </row>
    <row r="202" spans="1:32" customHeight="1" ht="20.1" s="661" customFormat="1">
      <c r="A202" s="1164"/>
      <c r="B202" s="1085"/>
      <c r="C202" s="651" t="str">
        <f>C90</f>
        <v>82115-0EA31 B</v>
      </c>
      <c r="D202" s="302" t="str">
        <f>D90</f>
        <v>B 1001</v>
      </c>
      <c r="E202" s="302" t="str">
        <f>E90</f>
        <v>DW91</v>
      </c>
      <c r="F202" s="452"/>
      <c r="G202" s="647">
        <f>G90</f>
        <v>4</v>
      </c>
      <c r="H202" s="648" t="e">
        <f>+VLOOKUP($C202,C90:C173,6,0)</f>
        <v>#REF!</v>
      </c>
      <c r="I202" s="624" t="e">
        <f>$H90*I90</f>
        <v>#REF!</v>
      </c>
      <c r="J202" s="652" t="e">
        <f>$H90*J90</f>
        <v>#REF!</v>
      </c>
      <c r="K202" s="623" t="e">
        <f>$H90*K90</f>
        <v>#REF!</v>
      </c>
      <c r="L202" s="624" t="e">
        <f>$H90*L90</f>
        <v>#REF!</v>
      </c>
      <c r="M202" s="652" t="e">
        <f>$H90*M90</f>
        <v>#REF!</v>
      </c>
      <c r="N202" s="623" t="e">
        <f>$H90*N90</f>
        <v>#REF!</v>
      </c>
      <c r="O202" s="624" t="e">
        <f>$H90*O90</f>
        <v>#REF!</v>
      </c>
      <c r="P202" s="652" t="e">
        <f>$H90*P90</f>
        <v>#REF!</v>
      </c>
      <c r="Q202" s="623" t="e">
        <f>$H90*Q90</f>
        <v>#REF!</v>
      </c>
      <c r="R202" s="624" t="e">
        <f>$H90*R90</f>
        <v>#REF!</v>
      </c>
      <c r="S202" s="652" t="e">
        <f>$H90*S90</f>
        <v>#REF!</v>
      </c>
      <c r="T202" s="623" t="e">
        <f>$H90*T90</f>
        <v>#REF!</v>
      </c>
      <c r="U202" s="624" t="e">
        <f>$H90*U90</f>
        <v>#REF!</v>
      </c>
      <c r="V202" s="652" t="e">
        <f>$H90*V90</f>
        <v>#REF!</v>
      </c>
      <c r="W202" s="623" t="e">
        <f>$H90*W90</f>
        <v>#REF!</v>
      </c>
      <c r="X202" s="624" t="e">
        <f>$H90*X90</f>
        <v>#REF!</v>
      </c>
      <c r="Y202" s="652" t="e">
        <f>$H90*Y90</f>
        <v>#REF!</v>
      </c>
      <c r="Z202" s="623" t="e">
        <f>$H90*Z90</f>
        <v>#REF!</v>
      </c>
      <c r="AA202" s="624" t="e">
        <f>$H90*AA90</f>
        <v>#REF!</v>
      </c>
      <c r="AB202" s="653" t="e">
        <f>$H90*AB90</f>
        <v>#REF!</v>
      </c>
      <c r="AC202" s="625" t="e">
        <f>$H90*AC90</f>
        <v>#REF!</v>
      </c>
      <c r="AD202" s="660" t="e">
        <f>$H90*AD90</f>
        <v>#REF!</v>
      </c>
    </row>
    <row r="203" spans="1:32" customHeight="1" ht="20.1" s="612" customFormat="1">
      <c r="A203" s="1164"/>
      <c r="B203" s="1085"/>
      <c r="C203" s="732" t="str">
        <f>C91</f>
        <v>82115-0EZ30 B</v>
      </c>
      <c r="D203" s="302" t="str">
        <f>D91</f>
        <v>B 1001</v>
      </c>
      <c r="E203" s="302" t="str">
        <f>E91</f>
        <v>DW93</v>
      </c>
      <c r="F203" s="728"/>
      <c r="G203" s="729">
        <f>G69</f>
        <v>4</v>
      </c>
      <c r="H203" s="730" t="e">
        <f>+VLOOKUP($C203,C91:C174,6,0)</f>
        <v>#REF!</v>
      </c>
      <c r="I203" s="624" t="e">
        <f>$H91*I91</f>
        <v>#REF!</v>
      </c>
      <c r="J203" s="652" t="e">
        <f>$H91*J91</f>
        <v>#REF!</v>
      </c>
      <c r="K203" s="623" t="e">
        <f>$H91*K91</f>
        <v>#REF!</v>
      </c>
      <c r="L203" s="624" t="e">
        <f>$H91*L91</f>
        <v>#REF!</v>
      </c>
      <c r="M203" s="652" t="e">
        <f>$H91*M91</f>
        <v>#REF!</v>
      </c>
      <c r="N203" s="623" t="e">
        <f>$H91*N91</f>
        <v>#REF!</v>
      </c>
      <c r="O203" s="624" t="e">
        <f>$H91*O91</f>
        <v>#REF!</v>
      </c>
      <c r="P203" s="652" t="e">
        <f>$H91*P91</f>
        <v>#REF!</v>
      </c>
      <c r="Q203" s="623" t="e">
        <f>$H91*Q91</f>
        <v>#REF!</v>
      </c>
      <c r="R203" s="624" t="e">
        <f>$H91*R91</f>
        <v>#REF!</v>
      </c>
      <c r="S203" s="652" t="e">
        <f>$H91*S91</f>
        <v>#REF!</v>
      </c>
      <c r="T203" s="623" t="e">
        <f>$H91*T91</f>
        <v>#REF!</v>
      </c>
      <c r="U203" s="624" t="e">
        <f>$H91*U91</f>
        <v>#REF!</v>
      </c>
      <c r="V203" s="652" t="e">
        <f>$H91*V91</f>
        <v>#REF!</v>
      </c>
      <c r="W203" s="623" t="e">
        <f>$H91*W91</f>
        <v>#REF!</v>
      </c>
      <c r="X203" s="624" t="e">
        <f>$H91*X91</f>
        <v>#REF!</v>
      </c>
      <c r="Y203" s="652" t="e">
        <f>$H91*Y91</f>
        <v>#REF!</v>
      </c>
      <c r="Z203" s="623" t="e">
        <f>$H91*Z91</f>
        <v>#REF!</v>
      </c>
      <c r="AA203" s="624" t="e">
        <f>$H91*AA91</f>
        <v>#REF!</v>
      </c>
      <c r="AB203" s="653" t="e">
        <f>$H91*AB91</f>
        <v>#REF!</v>
      </c>
      <c r="AC203" s="625" t="e">
        <f>$H91*AC91</f>
        <v>#REF!</v>
      </c>
      <c r="AD203" s="654" t="e">
        <f>$H91*AD91</f>
        <v>#REF!</v>
      </c>
    </row>
    <row r="204" spans="1:32" customHeight="1" ht="20.1" s="612" customFormat="1">
      <c r="A204" s="1164"/>
      <c r="B204" s="1085"/>
      <c r="C204" s="651" t="str">
        <f>C92</f>
        <v>82115-0EZ40 B</v>
      </c>
      <c r="D204" s="302" t="str">
        <f>D92</f>
        <v>B 1001</v>
      </c>
      <c r="E204" s="302" t="str">
        <f>E92</f>
        <v>DW94</v>
      </c>
      <c r="F204" s="452"/>
      <c r="G204" s="647">
        <f>G85</f>
        <v>4</v>
      </c>
      <c r="H204" s="648" t="e">
        <f>+VLOOKUP($C204,C92:C175,6,0)</f>
        <v>#REF!</v>
      </c>
      <c r="I204" s="624" t="e">
        <f>$H92*I92</f>
        <v>#REF!</v>
      </c>
      <c r="J204" s="652" t="e">
        <f>$H92*J92</f>
        <v>#REF!</v>
      </c>
      <c r="K204" s="623" t="e">
        <f>$H92*K92</f>
        <v>#REF!</v>
      </c>
      <c r="L204" s="624" t="e">
        <f>$H92*L92</f>
        <v>#REF!</v>
      </c>
      <c r="M204" s="652" t="e">
        <f>$H92*M92</f>
        <v>#REF!</v>
      </c>
      <c r="N204" s="623" t="e">
        <f>$H92*N92</f>
        <v>#REF!</v>
      </c>
      <c r="O204" s="624" t="e">
        <f>$H92*O92</f>
        <v>#REF!</v>
      </c>
      <c r="P204" s="652" t="e">
        <f>$H92*P92</f>
        <v>#REF!</v>
      </c>
      <c r="Q204" s="623" t="e">
        <f>$H92*Q92</f>
        <v>#REF!</v>
      </c>
      <c r="R204" s="624" t="e">
        <f>$H92*R92</f>
        <v>#REF!</v>
      </c>
      <c r="S204" s="652" t="e">
        <f>$H92*S92</f>
        <v>#REF!</v>
      </c>
      <c r="T204" s="623" t="e">
        <f>$H92*T92</f>
        <v>#REF!</v>
      </c>
      <c r="U204" s="624" t="e">
        <f>$H92*U92</f>
        <v>#REF!</v>
      </c>
      <c r="V204" s="652" t="e">
        <f>$H92*V92</f>
        <v>#REF!</v>
      </c>
      <c r="W204" s="623" t="e">
        <f>$H92*W92</f>
        <v>#REF!</v>
      </c>
      <c r="X204" s="624" t="e">
        <f>$H92*X92</f>
        <v>#REF!</v>
      </c>
      <c r="Y204" s="652" t="e">
        <f>$H92*Y92</f>
        <v>#REF!</v>
      </c>
      <c r="Z204" s="623" t="e">
        <f>$H92*Z92</f>
        <v>#REF!</v>
      </c>
      <c r="AA204" s="624" t="e">
        <f>$H92*AA92</f>
        <v>#REF!</v>
      </c>
      <c r="AB204" s="653" t="e">
        <f>$H92*AB92</f>
        <v>#REF!</v>
      </c>
      <c r="AC204" s="625" t="e">
        <f>$H92*AC92</f>
        <v>#REF!</v>
      </c>
      <c r="AD204" s="654" t="e">
        <f>$H92*AD92</f>
        <v>#REF!</v>
      </c>
    </row>
    <row r="205" spans="1:32" customHeight="1" ht="20.1" s="612" customFormat="1">
      <c r="A205" s="1164"/>
      <c r="B205" s="1085"/>
      <c r="C205" s="651" t="str">
        <f>C93</f>
        <v>82115-0EZ50 B</v>
      </c>
      <c r="D205" s="302" t="str">
        <f>D93</f>
        <v>B 1001</v>
      </c>
      <c r="E205" s="302" t="str">
        <f>E93</f>
        <v>DW95</v>
      </c>
      <c r="F205" s="452"/>
      <c r="G205" s="647">
        <f>G86</f>
        <v>4</v>
      </c>
      <c r="H205" s="648" t="e">
        <f>+VLOOKUP($C205,C93:C176,6,0)</f>
        <v>#REF!</v>
      </c>
      <c r="I205" s="624" t="e">
        <f>$H93*I93</f>
        <v>#REF!</v>
      </c>
      <c r="J205" s="652" t="e">
        <f>$H93*J93</f>
        <v>#REF!</v>
      </c>
      <c r="K205" s="623" t="e">
        <f>$H93*K93</f>
        <v>#REF!</v>
      </c>
      <c r="L205" s="624" t="e">
        <f>$H93*L93</f>
        <v>#REF!</v>
      </c>
      <c r="M205" s="652" t="e">
        <f>$H93*M93</f>
        <v>#REF!</v>
      </c>
      <c r="N205" s="623" t="e">
        <f>$H93*N93</f>
        <v>#REF!</v>
      </c>
      <c r="O205" s="624" t="e">
        <f>$H93*O93</f>
        <v>#REF!</v>
      </c>
      <c r="P205" s="652" t="e">
        <f>$H93*P93</f>
        <v>#REF!</v>
      </c>
      <c r="Q205" s="623" t="e">
        <f>$H93*Q93</f>
        <v>#REF!</v>
      </c>
      <c r="R205" s="624" t="e">
        <f>$H93*R93</f>
        <v>#REF!</v>
      </c>
      <c r="S205" s="652" t="e">
        <f>$H93*S93</f>
        <v>#REF!</v>
      </c>
      <c r="T205" s="623" t="e">
        <f>$H93*T93</f>
        <v>#REF!</v>
      </c>
      <c r="U205" s="624" t="e">
        <f>$H93*U93</f>
        <v>#REF!</v>
      </c>
      <c r="V205" s="652" t="e">
        <f>$H93*V93</f>
        <v>#REF!</v>
      </c>
      <c r="W205" s="623" t="e">
        <f>$H93*W93</f>
        <v>#REF!</v>
      </c>
      <c r="X205" s="624" t="e">
        <f>$H93*X93</f>
        <v>#REF!</v>
      </c>
      <c r="Y205" s="652" t="e">
        <f>$H93*Y93</f>
        <v>#REF!</v>
      </c>
      <c r="Z205" s="623" t="e">
        <f>$H93*Z93</f>
        <v>#REF!</v>
      </c>
      <c r="AA205" s="624" t="e">
        <f>$H93*AA93</f>
        <v>#REF!</v>
      </c>
      <c r="AB205" s="653" t="e">
        <f>$H93*AB93</f>
        <v>#REF!</v>
      </c>
      <c r="AC205" s="625" t="e">
        <f>$H93*AC93</f>
        <v>#REF!</v>
      </c>
      <c r="AD205" s="654" t="e">
        <f>$H93*AD93</f>
        <v>#REF!</v>
      </c>
    </row>
    <row r="206" spans="1:32" customHeight="1" ht="20.1" s="612" customFormat="1">
      <c r="A206" s="1164"/>
      <c r="B206" s="1085"/>
      <c r="C206" s="646" t="str">
        <f>C94</f>
        <v>82115-0EZ60 B</v>
      </c>
      <c r="D206" s="290" t="str">
        <f>D94</f>
        <v>B 1001</v>
      </c>
      <c r="E206" s="290" t="str">
        <f>E94</f>
        <v>DW96</v>
      </c>
      <c r="F206" s="452"/>
      <c r="G206" s="647">
        <f>G87</f>
        <v>4</v>
      </c>
      <c r="H206" s="453" t="e">
        <f>+VLOOKUP($C206,C94:C177,6,0)</f>
        <v>#REF!</v>
      </c>
      <c r="I206" s="616" t="e">
        <f>$H94*I94</f>
        <v>#REF!</v>
      </c>
      <c r="J206" s="655" t="e">
        <f>$H94*J94</f>
        <v>#REF!</v>
      </c>
      <c r="K206" s="615" t="e">
        <f>$H94*K94</f>
        <v>#REF!</v>
      </c>
      <c r="L206" s="616" t="e">
        <f>$H94*L94</f>
        <v>#REF!</v>
      </c>
      <c r="M206" s="655" t="e">
        <f>$H94*M94</f>
        <v>#REF!</v>
      </c>
      <c r="N206" s="615" t="e">
        <f>$H94*N94</f>
        <v>#REF!</v>
      </c>
      <c r="O206" s="616" t="e">
        <f>$H94*O94</f>
        <v>#REF!</v>
      </c>
      <c r="P206" s="655" t="e">
        <f>$H94*P94</f>
        <v>#REF!</v>
      </c>
      <c r="Q206" s="615" t="e">
        <f>$H94*Q94</f>
        <v>#REF!</v>
      </c>
      <c r="R206" s="616" t="e">
        <f>$H94*R94</f>
        <v>#REF!</v>
      </c>
      <c r="S206" s="655" t="e">
        <f>$H94*S94</f>
        <v>#REF!</v>
      </c>
      <c r="T206" s="615" t="e">
        <f>$H94*T94</f>
        <v>#REF!</v>
      </c>
      <c r="U206" s="616" t="e">
        <f>$H94*U94</f>
        <v>#REF!</v>
      </c>
      <c r="V206" s="655" t="e">
        <f>$H94*V94</f>
        <v>#REF!</v>
      </c>
      <c r="W206" s="615" t="e">
        <f>$H94*W94</f>
        <v>#REF!</v>
      </c>
      <c r="X206" s="616" t="e">
        <f>$H94*X94</f>
        <v>#REF!</v>
      </c>
      <c r="Y206" s="655" t="e">
        <f>$H94*Y94</f>
        <v>#REF!</v>
      </c>
      <c r="Z206" s="615" t="e">
        <f>$H94*Z94</f>
        <v>#REF!</v>
      </c>
      <c r="AA206" s="616" t="e">
        <f>$H94*AA94</f>
        <v>#REF!</v>
      </c>
      <c r="AB206" s="656" t="e">
        <f>$H94*AB94</f>
        <v>#REF!</v>
      </c>
      <c r="AC206" s="617" t="e">
        <f>$H94*AC94</f>
        <v>#REF!</v>
      </c>
      <c r="AD206" s="657" t="e">
        <f>$H94*AD94</f>
        <v>#REF!</v>
      </c>
    </row>
    <row r="207" spans="1:32" customHeight="1" ht="20.1" s="612" customFormat="1">
      <c r="A207" s="1164"/>
      <c r="B207" s="1085"/>
      <c r="C207" s="651" t="str">
        <f>C95</f>
        <v>82115-0EZ70 B</v>
      </c>
      <c r="D207" s="302" t="str">
        <f>D95</f>
        <v>B 1001</v>
      </c>
      <c r="E207" s="302" t="str">
        <f>E95</f>
        <v>DW97</v>
      </c>
      <c r="F207" s="452"/>
      <c r="G207" s="647">
        <f>G88</f>
        <v>4</v>
      </c>
      <c r="H207" s="648" t="e">
        <f>+VLOOKUP($C207,C95:C178,6,0)</f>
        <v>#REF!</v>
      </c>
      <c r="I207" s="624" t="e">
        <f>$H95*I95</f>
        <v>#REF!</v>
      </c>
      <c r="J207" s="652" t="e">
        <f>$H95*J95</f>
        <v>#REF!</v>
      </c>
      <c r="K207" s="623" t="e">
        <f>$H95*K95</f>
        <v>#REF!</v>
      </c>
      <c r="L207" s="624" t="e">
        <f>$H95*L95</f>
        <v>#REF!</v>
      </c>
      <c r="M207" s="652" t="e">
        <f>$H95*M95</f>
        <v>#REF!</v>
      </c>
      <c r="N207" s="623" t="e">
        <f>$H95*N95</f>
        <v>#REF!</v>
      </c>
      <c r="O207" s="624" t="e">
        <f>$H95*O95</f>
        <v>#REF!</v>
      </c>
      <c r="P207" s="652" t="e">
        <f>$H95*P95</f>
        <v>#REF!</v>
      </c>
      <c r="Q207" s="623" t="e">
        <f>$H95*Q95</f>
        <v>#REF!</v>
      </c>
      <c r="R207" s="624" t="e">
        <f>$H95*R95</f>
        <v>#REF!</v>
      </c>
      <c r="S207" s="652" t="e">
        <f>$H95*S95</f>
        <v>#REF!</v>
      </c>
      <c r="T207" s="623" t="e">
        <f>$H95*T95</f>
        <v>#REF!</v>
      </c>
      <c r="U207" s="624" t="e">
        <f>$H95*U95</f>
        <v>#REF!</v>
      </c>
      <c r="V207" s="652" t="e">
        <f>$H95*V95</f>
        <v>#REF!</v>
      </c>
      <c r="W207" s="623" t="e">
        <f>$H95*W95</f>
        <v>#REF!</v>
      </c>
      <c r="X207" s="624" t="e">
        <f>$H95*X95</f>
        <v>#REF!</v>
      </c>
      <c r="Y207" s="652" t="e">
        <f>$H95*Y95</f>
        <v>#REF!</v>
      </c>
      <c r="Z207" s="623" t="e">
        <f>$H95*Z95</f>
        <v>#REF!</v>
      </c>
      <c r="AA207" s="624" t="e">
        <f>$H95*AA95</f>
        <v>#REF!</v>
      </c>
      <c r="AB207" s="653" t="e">
        <f>$H95*AB95</f>
        <v>#REF!</v>
      </c>
      <c r="AC207" s="625" t="e">
        <f>$H95*AC95</f>
        <v>#REF!</v>
      </c>
      <c r="AD207" s="654" t="e">
        <f>$H95*AD95</f>
        <v>#REF!</v>
      </c>
    </row>
    <row r="208" spans="1:32" customHeight="1" ht="20.1" s="659" customFormat="1">
      <c r="A208" s="1164"/>
      <c r="B208" s="1085"/>
      <c r="C208" s="651" t="str">
        <f>C96</f>
        <v>82115-0EZ80 B</v>
      </c>
      <c r="D208" s="302" t="str">
        <f>D96</f>
        <v>B 1001</v>
      </c>
      <c r="E208" s="302" t="str">
        <f>E96</f>
        <v>DW98</v>
      </c>
      <c r="F208" s="452"/>
      <c r="G208" s="647">
        <f>G89</f>
        <v>4</v>
      </c>
      <c r="H208" s="648" t="e">
        <f>+VLOOKUP($C208,C96:C179,6,0)</f>
        <v>#REF!</v>
      </c>
      <c r="I208" s="616" t="e">
        <f>$H96*I96</f>
        <v>#REF!</v>
      </c>
      <c r="J208" s="655" t="e">
        <f>$H96*J96</f>
        <v>#REF!</v>
      </c>
      <c r="K208" s="655" t="e">
        <f>$H96*K96</f>
        <v>#REF!</v>
      </c>
      <c r="L208" s="616" t="e">
        <f>$H96*L96</f>
        <v>#REF!</v>
      </c>
      <c r="M208" s="655" t="e">
        <f>$H96*M96</f>
        <v>#REF!</v>
      </c>
      <c r="N208" s="615" t="e">
        <f>$H96*N96</f>
        <v>#REF!</v>
      </c>
      <c r="O208" s="616" t="e">
        <f>$H96*O96</f>
        <v>#REF!</v>
      </c>
      <c r="P208" s="655" t="e">
        <f>$H96*P96</f>
        <v>#REF!</v>
      </c>
      <c r="Q208" s="615" t="e">
        <f>$H96*Q96</f>
        <v>#REF!</v>
      </c>
      <c r="R208" s="616" t="e">
        <f>$H96*R96</f>
        <v>#REF!</v>
      </c>
      <c r="S208" s="655" t="e">
        <f>$H96*S96</f>
        <v>#REF!</v>
      </c>
      <c r="T208" s="615" t="e">
        <f>$H96*T96</f>
        <v>#REF!</v>
      </c>
      <c r="U208" s="616" t="e">
        <f>$H96*U96</f>
        <v>#REF!</v>
      </c>
      <c r="V208" s="655" t="e">
        <f>$H96*V96</f>
        <v>#REF!</v>
      </c>
      <c r="W208" s="615" t="e">
        <f>$H96*W96</f>
        <v>#REF!</v>
      </c>
      <c r="X208" s="616" t="e">
        <f>$H96*X96</f>
        <v>#REF!</v>
      </c>
      <c r="Y208" s="655" t="e">
        <f>$H96*Y96</f>
        <v>#REF!</v>
      </c>
      <c r="Z208" s="615" t="e">
        <f>$H96*Z96</f>
        <v>#REF!</v>
      </c>
      <c r="AA208" s="616" t="e">
        <f>$H96*AA96</f>
        <v>#REF!</v>
      </c>
      <c r="AB208" s="656" t="e">
        <f>$H96*AB96</f>
        <v>#REF!</v>
      </c>
      <c r="AC208" s="617" t="e">
        <f>$H96*AC96</f>
        <v>#REF!</v>
      </c>
      <c r="AD208" s="658" t="e">
        <f>$H96*AD96</f>
        <v>#REF!</v>
      </c>
    </row>
    <row r="209" spans="1:32" customHeight="1" ht="20.1" s="612" customFormat="1">
      <c r="A209" s="1164"/>
      <c r="B209" s="1088"/>
      <c r="C209" s="704" t="str">
        <f>C97</f>
        <v>82115-0EZ90 B</v>
      </c>
      <c r="D209" s="705" t="str">
        <f>D97</f>
        <v>B 1001</v>
      </c>
      <c r="E209" s="705" t="str">
        <f>E97</f>
        <v>DW99</v>
      </c>
      <c r="F209" s="706"/>
      <c r="G209" s="707">
        <f>G97</f>
        <v>4</v>
      </c>
      <c r="H209" s="708" t="e">
        <f>+VLOOKUP($C209,C97:C180,6,0)</f>
        <v>#REF!</v>
      </c>
      <c r="I209" s="709" t="e">
        <f>$H97*I97</f>
        <v>#REF!</v>
      </c>
      <c r="J209" s="710" t="e">
        <f>$H97*J97</f>
        <v>#REF!</v>
      </c>
      <c r="K209" s="711" t="e">
        <f>$H97*K97</f>
        <v>#REF!</v>
      </c>
      <c r="L209" s="709" t="e">
        <f>$H97*L97</f>
        <v>#REF!</v>
      </c>
      <c r="M209" s="710" t="e">
        <f>$H97*M97</f>
        <v>#REF!</v>
      </c>
      <c r="N209" s="711" t="e">
        <f>$H97*N97</f>
        <v>#REF!</v>
      </c>
      <c r="O209" s="709" t="e">
        <f>$H97*O97</f>
        <v>#REF!</v>
      </c>
      <c r="P209" s="710" t="e">
        <f>$H97*P97</f>
        <v>#REF!</v>
      </c>
      <c r="Q209" s="711" t="e">
        <f>$H97*Q97</f>
        <v>#REF!</v>
      </c>
      <c r="R209" s="709" t="e">
        <f>$H97*R97</f>
        <v>#REF!</v>
      </c>
      <c r="S209" s="710" t="e">
        <f>$H97*S97</f>
        <v>#REF!</v>
      </c>
      <c r="T209" s="711" t="e">
        <f>$H97*T97</f>
        <v>#REF!</v>
      </c>
      <c r="U209" s="709" t="e">
        <f>$H97*U97</f>
        <v>#REF!</v>
      </c>
      <c r="V209" s="710" t="e">
        <f>$H97*V97</f>
        <v>#REF!</v>
      </c>
      <c r="W209" s="711" t="e">
        <f>$H97*W97</f>
        <v>#REF!</v>
      </c>
      <c r="X209" s="709" t="e">
        <f>$H97*X97</f>
        <v>#REF!</v>
      </c>
      <c r="Y209" s="710" t="e">
        <f>$H97*Y97</f>
        <v>#REF!</v>
      </c>
      <c r="Z209" s="711" t="e">
        <f>$H97*Z97</f>
        <v>#REF!</v>
      </c>
      <c r="AA209" s="709" t="e">
        <f>$H97*AA97</f>
        <v>#REF!</v>
      </c>
      <c r="AB209" s="712" t="e">
        <f>$H97*AB97</f>
        <v>#REF!</v>
      </c>
      <c r="AC209" s="713" t="e">
        <f>$H97*AC97</f>
        <v>#REF!</v>
      </c>
      <c r="AD209" s="714" t="e">
        <f>$H97*AD97</f>
        <v>#REF!</v>
      </c>
    </row>
    <row r="210" spans="1:32" customHeight="1" ht="20.1">
      <c r="A210" s="1165"/>
      <c r="B210" s="1108" t="s">
        <v>219</v>
      </c>
      <c r="C210" s="1109"/>
      <c r="D210" s="1109"/>
      <c r="E210" s="1109"/>
      <c r="F210" s="1109"/>
      <c r="G210" s="1109"/>
      <c r="H210" s="1110"/>
      <c r="I210" s="663" t="e">
        <f>SUM(I126:I209)</f>
        <v>#REF!</v>
      </c>
      <c r="J210" s="663" t="e">
        <f>SUM(J126:J209)</f>
        <v>#REF!</v>
      </c>
      <c r="K210" s="663" t="e">
        <f>SUM(K126:K209)</f>
        <v>#REF!</v>
      </c>
      <c r="L210" s="663" t="e">
        <f>SUM(L126:L209)</f>
        <v>#REF!</v>
      </c>
      <c r="M210" s="663" t="e">
        <f>SUM(M126:M209)</f>
        <v>#REF!</v>
      </c>
      <c r="N210" s="663" t="e">
        <f>SUM(N126:N209)</f>
        <v>#REF!</v>
      </c>
      <c r="O210" s="663" t="e">
        <f>SUM(O126:O209)</f>
        <v>#REF!</v>
      </c>
      <c r="P210" s="663" t="e">
        <f>SUM(P126:P209)</f>
        <v>#REF!</v>
      </c>
      <c r="Q210" s="663" t="e">
        <f>SUM(Q126:Q209)</f>
        <v>#REF!</v>
      </c>
      <c r="R210" s="663" t="e">
        <f>SUM(R126:R209)</f>
        <v>#REF!</v>
      </c>
      <c r="S210" s="663" t="e">
        <f>SUM(S126:S209)</f>
        <v>#REF!</v>
      </c>
      <c r="T210" s="663" t="e">
        <f>SUM(T126:T209)</f>
        <v>#REF!</v>
      </c>
      <c r="U210" s="663" t="e">
        <f>SUM(U126:U209)</f>
        <v>#REF!</v>
      </c>
      <c r="V210" s="663" t="e">
        <f>SUM(V126:V209)</f>
        <v>#REF!</v>
      </c>
      <c r="W210" s="663" t="e">
        <f>SUM(W126:W209)</f>
        <v>#REF!</v>
      </c>
      <c r="X210" s="663" t="e">
        <f>SUM(X126:X209)</f>
        <v>#REF!</v>
      </c>
      <c r="Y210" s="663" t="e">
        <f>SUM(Y126:Y209)</f>
        <v>#REF!</v>
      </c>
      <c r="Z210" s="663" t="e">
        <f>SUM(Z126:Z209)</f>
        <v>#REF!</v>
      </c>
      <c r="AA210" s="663" t="e">
        <f>SUM(AA126:AA209)</f>
        <v>#REF!</v>
      </c>
      <c r="AB210" s="663" t="e">
        <f>SUM(AB126:AB209)</f>
        <v>#REF!</v>
      </c>
      <c r="AC210" s="663" t="e">
        <f>SUM(AC126:AC209)</f>
        <v>#REF!</v>
      </c>
      <c r="AD210" s="663" t="e">
        <f>SUM(AD126:AD209)</f>
        <v>#REF!</v>
      </c>
    </row>
    <row r="211" spans="1:32" customHeight="1" ht="20.1">
      <c r="B211" s="4"/>
      <c r="C211" s="632"/>
      <c r="D211" s="632"/>
      <c r="E211" s="632"/>
      <c r="F211" s="632"/>
      <c r="G211" s="632"/>
      <c r="H211" s="632"/>
      <c r="I211" s="633"/>
      <c r="J211" s="633"/>
      <c r="K211" s="633"/>
      <c r="L211" s="633"/>
      <c r="O211" s="633"/>
      <c r="P211" s="633"/>
      <c r="Q211" s="633"/>
      <c r="R211" s="633"/>
      <c r="U211" s="4"/>
      <c r="V211" s="4"/>
      <c r="W211" s="4"/>
      <c r="X211" s="4"/>
      <c r="Y211" s="4"/>
      <c r="Z211" s="4"/>
      <c r="AC211" s="759"/>
    </row>
    <row r="212" spans="1:32" customHeight="1" ht="20.1">
      <c r="B212" s="637" t="s">
        <v>234</v>
      </c>
      <c r="C212" s="638"/>
      <c r="D212" s="638"/>
      <c r="E212" s="638"/>
      <c r="F212" s="638"/>
      <c r="G212" s="638"/>
      <c r="H212" s="638"/>
      <c r="I212" s="639"/>
      <c r="J212" s="642"/>
      <c r="K212" s="641"/>
      <c r="L212" s="639"/>
      <c r="M212" s="640"/>
      <c r="O212" s="639"/>
      <c r="Q212" s="640"/>
      <c r="T212" s="640"/>
    </row>
    <row r="213" spans="1:32" customHeight="1" ht="20.1">
      <c r="B213" s="4" t="s">
        <v>223</v>
      </c>
      <c r="C213" s="638"/>
      <c r="D213" s="638"/>
      <c r="E213" s="638"/>
      <c r="F213" s="638"/>
      <c r="G213" s="638"/>
      <c r="H213" s="638"/>
      <c r="I213" s="746" t="e">
        <f>+SUM(I126:I129,I141:I144,I156:I159,I169:I172)</f>
        <v>#REF!</v>
      </c>
      <c r="J213" s="746" t="e">
        <f>+SUM(J126:J129,J141:J144,J156:J159,J169:J172)</f>
        <v>#REF!</v>
      </c>
      <c r="K213" s="746" t="e">
        <f>+SUM(K126:K129,K141:K144,K156:K159,K169:K172)</f>
        <v>#REF!</v>
      </c>
      <c r="L213" s="746" t="e">
        <f>+SUM(L126:L129,L141:L144,L156:L159,L169:L172)</f>
        <v>#REF!</v>
      </c>
      <c r="M213" s="746" t="e">
        <f>+SUM(M126:M129,M141:M144,M156:M159,M169:M172)</f>
        <v>#REF!</v>
      </c>
      <c r="N213" s="746" t="e">
        <f>+SUM(N126:N129,N141:N144,N156:N159,N169:N172)</f>
        <v>#REF!</v>
      </c>
      <c r="O213" s="746" t="e">
        <f>+SUM(O126:O129,O141:O144,O156:O159,O169:O172)</f>
        <v>#REF!</v>
      </c>
      <c r="P213" s="746" t="e">
        <f>+SUM(P126:P129,P141:P144,P156:P159,P169:P172)</f>
        <v>#REF!</v>
      </c>
      <c r="Q213" s="746" t="e">
        <f>+SUM(Q126:Q129,Q141:Q144,Q156:Q159,Q169:Q172)</f>
        <v>#REF!</v>
      </c>
      <c r="R213" s="746" t="e">
        <f>+SUM(R126:R129,R141:R144,R156:R159,R169:R172)</f>
        <v>#REF!</v>
      </c>
      <c r="S213" s="746" t="e">
        <f>+SUM(S126:S129,S141:S144,S156:S159,S169:S172)</f>
        <v>#REF!</v>
      </c>
      <c r="T213" s="746" t="e">
        <f>+SUM(T126:T129,T141:T144,T156:T159,T169:T172)</f>
        <v>#REF!</v>
      </c>
      <c r="U213" s="746" t="e">
        <f>+SUM(U126:U129,U141:U144,U156:U159,U169:U172)</f>
        <v>#REF!</v>
      </c>
      <c r="V213" s="746" t="e">
        <f>+SUM(V126:V129,V141:V144,V156:V159,V169:V172)</f>
        <v>#REF!</v>
      </c>
      <c r="W213" s="746" t="e">
        <f>+SUM(W126:W129,W141:W144,W156:W159,W169:W172)</f>
        <v>#REF!</v>
      </c>
      <c r="X213" s="746" t="e">
        <f>+SUM(X126:X129,X141:X144,X156:X159,X169:X172)</f>
        <v>#REF!</v>
      </c>
      <c r="Y213" s="746" t="e">
        <f>+SUM(Y126:Y129,Y141:Y144,Y156:Y159,Y169:Y172)</f>
        <v>#REF!</v>
      </c>
      <c r="Z213" s="746" t="e">
        <f>+SUM(Z126:Z129,Z141:Z144,Z156:Z159,Z169:Z172)</f>
        <v>#REF!</v>
      </c>
      <c r="AA213" s="746" t="e">
        <f>+SUM(AA126:AA129,AA141:AA144,AA156:AA159,AA169:AA172)</f>
        <v>#REF!</v>
      </c>
      <c r="AB213" s="746" t="e">
        <f>+SUM(AB126:AB129,AB141:AB144,AB156:AB159,AB169:AB172)</f>
        <v>#REF!</v>
      </c>
      <c r="AC213" s="746" t="e">
        <f>+SUM(AC126:AC129,AC141:AC144,AC156:AC159,AC169:AC172)</f>
        <v>#REF!</v>
      </c>
      <c r="AD213" s="746" t="e">
        <f>+SUM(AD126:AD129,AD141:AD144,AD156:AD159,AD169:AD172)</f>
        <v>#REF!</v>
      </c>
    </row>
    <row r="214" spans="1:32" customHeight="1" ht="15.75">
      <c r="B214" s="635" t="s">
        <v>224</v>
      </c>
      <c r="I214" s="746" t="e">
        <f>+SUM(I130:I140,I145:I155,I160:I168,I173:I181)</f>
        <v>#REF!</v>
      </c>
      <c r="J214" s="746" t="e">
        <f>+SUM(J130:J140,J145:J155,J160:J168,J173:J181)</f>
        <v>#REF!</v>
      </c>
      <c r="K214" s="746" t="e">
        <f>+SUM(K130:K140,K145:K155,K160:K168,K173:K181)</f>
        <v>#REF!</v>
      </c>
      <c r="L214" s="746" t="e">
        <f>+SUM(L130:L140,L145:L155,L160:L168,L173:L181)</f>
        <v>#REF!</v>
      </c>
      <c r="M214" s="746" t="e">
        <f>+SUM(M130:M140,M145:M155,M160:M168,M173:M181)</f>
        <v>#REF!</v>
      </c>
      <c r="N214" s="746" t="e">
        <f>+SUM(N130:N140,N145:N155,N160:N168,N173:N181)</f>
        <v>#REF!</v>
      </c>
      <c r="O214" s="746" t="e">
        <f>+SUM(O130:O140,O145:O155,O160:O168,O173:O181)</f>
        <v>#REF!</v>
      </c>
      <c r="P214" s="746" t="e">
        <f>+SUM(P130:P140,P145:P155,P160:P168,P173:P181)</f>
        <v>#REF!</v>
      </c>
      <c r="Q214" s="746" t="e">
        <f>+SUM(Q130:Q140,Q145:Q155,Q160:Q168,Q173:Q181)</f>
        <v>#REF!</v>
      </c>
      <c r="R214" s="746" t="e">
        <f>+SUM(R130:R140,R145:R155,R160:R168,R173:R181)</f>
        <v>#REF!</v>
      </c>
      <c r="S214" s="746" t="e">
        <f>+SUM(S130:S140,S145:S155,S160:S168,S173:S181)</f>
        <v>#REF!</v>
      </c>
      <c r="T214" s="746" t="e">
        <f>+SUM(T130:T140,T145:T155,T160:T168,T173:T181)</f>
        <v>#REF!</v>
      </c>
      <c r="U214" s="746" t="e">
        <f>+SUM(U130:U140,U145:U155,U160:U168,U173:U181)</f>
        <v>#REF!</v>
      </c>
      <c r="V214" s="746" t="e">
        <f>+SUM(V130:V140,V145:V155,V160:V168,V173:V181)</f>
        <v>#REF!</v>
      </c>
      <c r="W214" s="746" t="e">
        <f>+SUM(W130:W140,W145:W155,W160:W168,W173:W181)</f>
        <v>#REF!</v>
      </c>
      <c r="X214" s="746" t="e">
        <f>+SUM(X130:X140,X145:X155,X160:X168,X173:X181)</f>
        <v>#REF!</v>
      </c>
      <c r="Y214" s="746" t="e">
        <f>+SUM(Y130:Y140,Y145:Y155,Y160:Y168,Y173:Y181)</f>
        <v>#REF!</v>
      </c>
      <c r="Z214" s="746" t="e">
        <f>+SUM(Z130:Z140,Z145:Z155,Z160:Z168,Z173:Z181)</f>
        <v>#REF!</v>
      </c>
      <c r="AA214" s="746" t="e">
        <f>+SUM(AA130:AA140,AA145:AA155,AA160:AA168,AA173:AA181)</f>
        <v>#REF!</v>
      </c>
      <c r="AB214" s="746" t="e">
        <f>+SUM(AB130:AB140,AB145:AB155,AB160:AB168,AB173:AB181)</f>
        <v>#REF!</v>
      </c>
      <c r="AC214" s="746" t="e">
        <f>+SUM(AC130:AC140,AC145:AC155,AC160:AC168,AC173:AC181)</f>
        <v>#REF!</v>
      </c>
      <c r="AD214" s="746" t="e">
        <f>+SUM(AD130:AD140,AD145:AD155,AD160:AD168,AD173:AD181)</f>
        <v>#REF!</v>
      </c>
    </row>
    <row r="215" spans="1:32" customHeight="1" ht="17.1" s="665" customFormat="1">
      <c r="B215" s="664"/>
      <c r="C215" s="664"/>
      <c r="D215" s="664"/>
      <c r="E215" s="664"/>
      <c r="F215" s="1116"/>
      <c r="G215" s="1116"/>
      <c r="H215" s="1117"/>
      <c r="I215" s="1127" t="str">
        <f>I102</f>
        <v>FEB</v>
      </c>
      <c r="J215" s="1128"/>
      <c r="K215" s="1129"/>
      <c r="L215" s="1127" t="str">
        <f>L102</f>
        <v>MAR</v>
      </c>
      <c r="M215" s="1128"/>
      <c r="N215" s="1129"/>
      <c r="O215" s="1127" t="str">
        <f>O102</f>
        <v>APR</v>
      </c>
      <c r="P215" s="1128"/>
      <c r="Q215" s="1129"/>
      <c r="R215" s="1127" t="str">
        <f>R102</f>
        <v>MAY</v>
      </c>
      <c r="S215" s="1128"/>
      <c r="T215" s="1129"/>
      <c r="U215" s="1127" t="str">
        <f>U102</f>
        <v>JUN</v>
      </c>
      <c r="V215" s="1128"/>
      <c r="W215" s="1140"/>
      <c r="X215" s="1127" t="str">
        <f>X102</f>
        <v>JUL</v>
      </c>
      <c r="Y215" s="1128"/>
      <c r="Z215" s="1140"/>
      <c r="AA215" s="1127" t="str">
        <f>AA102</f>
        <v>AUG</v>
      </c>
      <c r="AB215" s="1128"/>
      <c r="AC215" s="1140"/>
    </row>
    <row r="216" spans="1:32" customHeight="1" ht="17.1" s="665" customFormat="1">
      <c r="B216" s="664"/>
      <c r="C216" s="664"/>
      <c r="D216" s="664"/>
      <c r="E216" s="664"/>
      <c r="F216" s="1116"/>
      <c r="G216" s="1116"/>
      <c r="H216" s="1117"/>
      <c r="I216" s="1127" t="e">
        <f>#REF!/2</f>
        <v>#REF!</v>
      </c>
      <c r="J216" s="1128"/>
      <c r="K216" s="1129"/>
      <c r="L216" s="1127" t="e">
        <f>#REF!/2</f>
        <v>#REF!</v>
      </c>
      <c r="M216" s="1128"/>
      <c r="N216" s="1129"/>
      <c r="O216" s="1127" t="e">
        <f>#REF!/2</f>
        <v>#REF!</v>
      </c>
      <c r="P216" s="1128"/>
      <c r="Q216" s="1129"/>
      <c r="R216" s="1127" t="e">
        <f>#REF!/2</f>
        <v>#REF!</v>
      </c>
      <c r="S216" s="1128"/>
      <c r="T216" s="1129"/>
      <c r="U216" s="1127" t="e">
        <f>#REF!/2</f>
        <v>#REF!</v>
      </c>
      <c r="V216" s="1128"/>
      <c r="W216" s="1129"/>
      <c r="X216" s="1127" t="e">
        <f>#REF!/2</f>
        <v>#REF!</v>
      </c>
      <c r="Y216" s="1128"/>
      <c r="Z216" s="1129"/>
      <c r="AA216" s="1127" t="e">
        <f>#REF!/2</f>
        <v>#REF!</v>
      </c>
      <c r="AB216" s="1128"/>
      <c r="AC216" s="1129"/>
    </row>
    <row r="217" spans="1:32" customHeight="1" ht="18" s="670" customFormat="1">
      <c r="B217" s="666"/>
      <c r="C217" s="666"/>
      <c r="D217" s="666"/>
      <c r="E217" s="666"/>
      <c r="F217" s="1133"/>
      <c r="G217" s="1133"/>
      <c r="H217" s="1134"/>
      <c r="I217" s="667"/>
      <c r="J217" s="668" t="e">
        <f>J101/I216</f>
        <v>#REF!</v>
      </c>
      <c r="K217" s="668" t="e">
        <f>K101/I216</f>
        <v>#REF!</v>
      </c>
      <c r="L217" s="667"/>
      <c r="M217" s="667" t="e">
        <f>M101/L216</f>
        <v>#REF!</v>
      </c>
      <c r="N217" s="667" t="e">
        <f>N101/L216</f>
        <v>#REF!</v>
      </c>
      <c r="O217" s="667"/>
      <c r="P217" s="667" t="e">
        <f>P101/O216</f>
        <v>#REF!</v>
      </c>
      <c r="Q217" s="667" t="e">
        <f>Q101/O216</f>
        <v>#REF!</v>
      </c>
      <c r="R217" s="667"/>
      <c r="S217" s="667" t="e">
        <f>S101/R216</f>
        <v>#REF!</v>
      </c>
      <c r="T217" s="667" t="e">
        <f>T101/R216</f>
        <v>#REF!</v>
      </c>
      <c r="U217" s="667"/>
      <c r="V217" s="667" t="e">
        <f>V101/U216</f>
        <v>#REF!</v>
      </c>
      <c r="W217" s="669" t="e">
        <f>W101/U216</f>
        <v>#REF!</v>
      </c>
      <c r="X217" s="667"/>
      <c r="Y217" s="667" t="e">
        <f>Y101/X216</f>
        <v>#REF!</v>
      </c>
      <c r="Z217" s="669" t="e">
        <f>Z101/X216</f>
        <v>#REF!</v>
      </c>
      <c r="AA217" s="667"/>
      <c r="AB217" s="667" t="e">
        <f>AB101/AA216</f>
        <v>#REF!</v>
      </c>
      <c r="AC217" s="669" t="e">
        <f>AC101/AA216</f>
        <v>#REF!</v>
      </c>
    </row>
    <row r="218" spans="1:32" customHeight="1" ht="6.75" s="96" customFormat="1">
      <c r="D218" s="671"/>
      <c r="E218" s="671"/>
      <c r="F218" s="672"/>
      <c r="G218" s="672"/>
      <c r="H218" s="672"/>
      <c r="I218" s="673"/>
      <c r="J218" s="673"/>
      <c r="K218" s="673"/>
      <c r="L218" s="673"/>
      <c r="M218" s="673"/>
      <c r="N218" s="673"/>
      <c r="O218" s="673"/>
      <c r="P218" s="673"/>
      <c r="Q218" s="673"/>
      <c r="R218" s="673"/>
      <c r="S218" s="673"/>
      <c r="T218" s="673"/>
      <c r="U218" s="673"/>
      <c r="V218" s="673"/>
      <c r="W218" s="673"/>
      <c r="X218" s="673"/>
      <c r="Y218" s="673"/>
      <c r="Z218" s="673"/>
      <c r="AA218" s="673"/>
      <c r="AB218" s="673"/>
      <c r="AC218" s="673"/>
    </row>
    <row r="219" spans="1:32" customHeight="1" ht="17.1" s="96" customFormat="1">
      <c r="D219" s="671"/>
      <c r="E219" s="671"/>
      <c r="F219" s="672"/>
      <c r="G219" s="672"/>
      <c r="H219" s="672"/>
      <c r="I219" s="1130" t="str">
        <f>I215</f>
        <v>FEB</v>
      </c>
      <c r="J219" s="1131"/>
      <c r="K219" s="1132"/>
      <c r="L219" s="1130" t="str">
        <f>L215</f>
        <v>MAR</v>
      </c>
      <c r="M219" s="1131"/>
      <c r="N219" s="1132"/>
      <c r="O219" s="1130" t="str">
        <f>O215</f>
        <v>APR</v>
      </c>
      <c r="P219" s="1131"/>
      <c r="Q219" s="1132"/>
      <c r="R219" s="1130" t="str">
        <f>R215</f>
        <v>MAY</v>
      </c>
      <c r="S219" s="1131"/>
      <c r="T219" s="1132"/>
      <c r="U219" s="1130" t="str">
        <f>U215</f>
        <v>JUN</v>
      </c>
      <c r="V219" s="1131"/>
      <c r="W219" s="1139"/>
      <c r="X219" s="1130" t="str">
        <f>X215</f>
        <v>JUL</v>
      </c>
      <c r="Y219" s="1131"/>
      <c r="Z219" s="1139"/>
      <c r="AA219" s="1130" t="str">
        <f>AA215</f>
        <v>AUG</v>
      </c>
      <c r="AB219" s="1131"/>
      <c r="AC219" s="1139"/>
    </row>
    <row r="220" spans="1:32" customHeight="1" ht="17.1" s="665" customFormat="1">
      <c r="F220" s="1116"/>
      <c r="G220" s="1116"/>
      <c r="H220" s="1124"/>
      <c r="I220" s="674"/>
      <c r="J220" s="675" t="s">
        <v>235</v>
      </c>
      <c r="K220" s="675" t="s">
        <v>236</v>
      </c>
      <c r="L220" s="674"/>
      <c r="M220" s="675" t="s">
        <v>235</v>
      </c>
      <c r="N220" s="675" t="s">
        <v>236</v>
      </c>
      <c r="O220" s="674"/>
      <c r="P220" s="675" t="s">
        <v>235</v>
      </c>
      <c r="Q220" s="675" t="s">
        <v>236</v>
      </c>
      <c r="R220" s="674"/>
      <c r="S220" s="675" t="s">
        <v>235</v>
      </c>
      <c r="T220" s="675" t="s">
        <v>236</v>
      </c>
      <c r="U220" s="674"/>
      <c r="V220" s="675" t="s">
        <v>235</v>
      </c>
      <c r="W220" s="676" t="s">
        <v>236</v>
      </c>
      <c r="X220" s="674"/>
      <c r="Y220" s="675" t="s">
        <v>235</v>
      </c>
      <c r="Z220" s="676" t="s">
        <v>236</v>
      </c>
      <c r="AA220" s="674"/>
      <c r="AB220" s="675" t="s">
        <v>235</v>
      </c>
      <c r="AC220" s="676" t="s">
        <v>236</v>
      </c>
    </row>
    <row r="221" spans="1:32" customHeight="1" ht="18" s="670" customFormat="1">
      <c r="D221" s="677"/>
      <c r="E221" s="677"/>
      <c r="F221" s="1135"/>
      <c r="G221" s="1135"/>
      <c r="H221" s="1136"/>
      <c r="I221" s="678"/>
      <c r="J221" s="679" t="e">
        <f>+K217/I103</f>
        <v>#REF!</v>
      </c>
      <c r="K221" s="680" t="e">
        <f>+K217/(I103+I104)</f>
        <v>#REF!</v>
      </c>
      <c r="L221" s="678"/>
      <c r="M221" s="679" t="e">
        <f>+N217/L103</f>
        <v>#REF!</v>
      </c>
      <c r="N221" s="680" t="e">
        <f>+N217/(L103+L104)</f>
        <v>#REF!</v>
      </c>
      <c r="O221" s="678"/>
      <c r="P221" s="679" t="e">
        <f>+Q217/O103</f>
        <v>#REF!</v>
      </c>
      <c r="Q221" s="680" t="e">
        <f>+Q217/(O103+O104)</f>
        <v>#REF!</v>
      </c>
      <c r="R221" s="678"/>
      <c r="S221" s="679" t="e">
        <f>+T217/R103</f>
        <v>#REF!</v>
      </c>
      <c r="T221" s="680" t="e">
        <f>+T217/(R103+R104)</f>
        <v>#REF!</v>
      </c>
      <c r="U221" s="678"/>
      <c r="V221" s="679" t="e">
        <f>+W217/U103</f>
        <v>#REF!</v>
      </c>
      <c r="W221" s="681" t="e">
        <f>+W217/(U103+U104)</f>
        <v>#REF!</v>
      </c>
      <c r="X221" s="678"/>
      <c r="Y221" s="679" t="e">
        <f>+Z217/X103</f>
        <v>#REF!</v>
      </c>
      <c r="Z221" s="681" t="e">
        <f>+Z217/(X103+X104)</f>
        <v>#REF!</v>
      </c>
      <c r="AA221" s="678"/>
      <c r="AB221" s="679" t="e">
        <f>+AC217/AA103</f>
        <v>#REF!</v>
      </c>
      <c r="AC221" s="681" t="e">
        <f>+AC217/(AA103+AA104)</f>
        <v>#REF!</v>
      </c>
    </row>
    <row r="222" spans="1:32" customHeight="1" ht="18" s="670" customFormat="1">
      <c r="I222" s="682"/>
      <c r="J222" s="682" t="e">
        <f>SUM(J221:J221)</f>
        <v>#REF!</v>
      </c>
      <c r="K222" s="682" t="e">
        <f>SUM(K221:K221)</f>
        <v>#REF!</v>
      </c>
      <c r="L222" s="682"/>
      <c r="M222" s="682" t="e">
        <f>SUM(M221:M221)</f>
        <v>#REF!</v>
      </c>
      <c r="N222" s="682" t="e">
        <f>SUM(N221:N221)</f>
        <v>#REF!</v>
      </c>
      <c r="O222" s="682"/>
      <c r="P222" s="682" t="e">
        <f>SUM(P221:P221)</f>
        <v>#REF!</v>
      </c>
      <c r="Q222" s="682" t="e">
        <f>SUM(Q221:Q221)</f>
        <v>#REF!</v>
      </c>
      <c r="R222" s="682"/>
      <c r="S222" s="682" t="e">
        <f>SUM(S221:S221)</f>
        <v>#REF!</v>
      </c>
      <c r="T222" s="682" t="e">
        <f>SUM(T221:T221)</f>
        <v>#REF!</v>
      </c>
      <c r="U222" s="682"/>
      <c r="V222" s="682" t="e">
        <f>SUM(V221:V221)</f>
        <v>#REF!</v>
      </c>
      <c r="W222" s="683" t="e">
        <f>SUM(W221:W221)</f>
        <v>#REF!</v>
      </c>
      <c r="X222" s="682"/>
      <c r="Y222" s="682" t="e">
        <f>SUM(Y221:Y221)</f>
        <v>#REF!</v>
      </c>
      <c r="Z222" s="683" t="e">
        <f>SUM(Z221:Z221)</f>
        <v>#REF!</v>
      </c>
      <c r="AA222" s="682"/>
      <c r="AB222" s="682" t="e">
        <f>SUM(AB221:AB221)</f>
        <v>#REF!</v>
      </c>
      <c r="AC222" s="683" t="e">
        <f>SUM(AC221:AC221)</f>
        <v>#REF!</v>
      </c>
    </row>
    <row r="223" spans="1:32" customHeight="1" ht="24.75">
      <c r="B223" s="4"/>
      <c r="F223" s="1118"/>
      <c r="G223" s="1119"/>
      <c r="H223" s="56"/>
      <c r="I223" s="57" t="s">
        <v>237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579"/>
      <c r="W223" s="579"/>
      <c r="X223" s="4"/>
      <c r="Y223" s="579"/>
      <c r="Z223" s="579"/>
      <c r="AA223" s="579"/>
    </row>
    <row r="224" spans="1:32" customHeight="1" ht="13.5">
      <c r="B224" s="4"/>
      <c r="C224" s="1122" t="s">
        <v>238</v>
      </c>
      <c r="D224" s="1123"/>
      <c r="E224" s="7"/>
      <c r="F224" s="1115"/>
      <c r="G224" s="1115"/>
      <c r="H224" s="684"/>
      <c r="I224" s="59" t="e">
        <v>#REF!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579"/>
      <c r="W224" s="579"/>
      <c r="X224" s="4"/>
      <c r="Y224" s="579"/>
      <c r="Z224" s="579"/>
      <c r="AA224" s="579"/>
    </row>
    <row r="225" spans="1:32" customHeight="1" ht="13.5">
      <c r="B225" s="4"/>
      <c r="C225" s="1122"/>
      <c r="D225" s="1123"/>
      <c r="E225" s="7"/>
      <c r="F225" s="1120"/>
      <c r="G225" s="1120"/>
      <c r="H225" s="684"/>
      <c r="I225" s="60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579"/>
      <c r="W225" s="579"/>
      <c r="X225" s="4"/>
      <c r="Y225" s="579"/>
      <c r="Z225" s="579"/>
      <c r="AA225" s="579"/>
    </row>
    <row r="226" spans="1:32" customHeight="1" ht="13.5">
      <c r="B226" s="4"/>
      <c r="C226" s="1122"/>
      <c r="D226" s="1123"/>
      <c r="E226" s="7"/>
      <c r="F226" s="1120"/>
      <c r="G226" s="1120"/>
      <c r="H226" s="685"/>
      <c r="I226" s="6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579"/>
      <c r="W226" s="579"/>
      <c r="X226" s="4"/>
      <c r="Y226" s="579"/>
      <c r="Z226" s="579"/>
      <c r="AA226" s="579"/>
    </row>
    <row r="227" spans="1:32" customHeight="1" ht="13.5">
      <c r="B227" s="4"/>
      <c r="C227" s="1122"/>
      <c r="D227" s="1123"/>
      <c r="E227" s="304"/>
      <c r="F227" s="1121"/>
      <c r="G227" s="1121"/>
      <c r="H227" s="686"/>
      <c r="I227" s="6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579"/>
      <c r="W227" s="579"/>
      <c r="X227" s="4"/>
      <c r="Y227" s="579"/>
      <c r="Z227" s="579"/>
      <c r="AA227" s="579"/>
    </row>
    <row r="228" spans="1:32" customHeight="1" ht="13.5">
      <c r="C228" s="1122" t="s">
        <v>239</v>
      </c>
      <c r="D228" s="1123"/>
      <c r="E228" s="7"/>
      <c r="F228" s="1115"/>
      <c r="G228" s="1115"/>
      <c r="H228" s="684"/>
      <c r="I228" s="59" t="e">
        <v>#REF!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579"/>
      <c r="W228" s="579"/>
      <c r="X228" s="4"/>
      <c r="Y228" s="579"/>
      <c r="Z228" s="579"/>
      <c r="AA228" s="579"/>
    </row>
    <row r="229" spans="1:32" customHeight="1" ht="13.5">
      <c r="C229" s="1122"/>
      <c r="D229" s="1123"/>
      <c r="E229" s="7"/>
      <c r="F229" s="1120"/>
      <c r="G229" s="1120"/>
      <c r="H229" s="684"/>
      <c r="I229" s="60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579"/>
      <c r="W229" s="579"/>
      <c r="X229" s="4"/>
      <c r="Y229" s="579"/>
      <c r="Z229" s="579"/>
      <c r="AA229" s="579"/>
    </row>
    <row r="230" spans="1:32" customHeight="1" ht="13.5">
      <c r="C230" s="1122"/>
      <c r="D230" s="1123"/>
      <c r="E230" s="7"/>
      <c r="F230" s="1120"/>
      <c r="G230" s="1120"/>
      <c r="H230" s="685"/>
      <c r="I230" s="6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579"/>
      <c r="W230" s="579"/>
      <c r="X230" s="4"/>
      <c r="Y230" s="579"/>
      <c r="Z230" s="579"/>
      <c r="AA230" s="579"/>
    </row>
    <row r="231" spans="1:32" customHeight="1" ht="13.5">
      <c r="C231" s="1122"/>
      <c r="D231" s="1123"/>
      <c r="E231" s="304"/>
      <c r="F231" s="1121"/>
      <c r="G231" s="1121"/>
      <c r="H231" s="686"/>
      <c r="I231" s="6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579"/>
      <c r="W231" s="579"/>
      <c r="X231" s="4"/>
      <c r="Y231" s="579"/>
      <c r="Z231" s="579"/>
      <c r="AA231" s="579"/>
    </row>
    <row r="232" spans="1:32" customHeight="1" ht="13.5">
      <c r="C232" s="1122" t="s">
        <v>240</v>
      </c>
      <c r="D232" s="1123"/>
      <c r="E232" s="7"/>
      <c r="F232" s="1115"/>
      <c r="G232" s="1115"/>
      <c r="H232" s="684"/>
      <c r="I232" s="59" t="e">
        <v>#REF!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579"/>
      <c r="W232" s="579"/>
      <c r="X232" s="4"/>
      <c r="Y232" s="579"/>
      <c r="Z232" s="579"/>
      <c r="AA232" s="579"/>
    </row>
    <row r="233" spans="1:32" customHeight="1" ht="13.5">
      <c r="C233" s="1122"/>
      <c r="D233" s="1123"/>
      <c r="E233" s="7"/>
      <c r="F233" s="1120"/>
      <c r="G233" s="1120"/>
      <c r="H233" s="684"/>
      <c r="I233" s="60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579"/>
      <c r="W233" s="579"/>
      <c r="X233" s="4"/>
      <c r="Y233" s="579"/>
      <c r="Z233" s="579"/>
      <c r="AA233" s="579"/>
    </row>
    <row r="234" spans="1:32" customHeight="1" ht="13.5">
      <c r="C234" s="1122"/>
      <c r="D234" s="1123"/>
      <c r="E234" s="7"/>
      <c r="F234" s="1120"/>
      <c r="G234" s="1120"/>
      <c r="H234" s="685"/>
      <c r="I234" s="6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579"/>
      <c r="W234" s="579"/>
      <c r="X234" s="4"/>
      <c r="Y234" s="579"/>
      <c r="Z234" s="579"/>
      <c r="AA234" s="579"/>
    </row>
    <row r="235" spans="1:32" customHeight="1" ht="13.5">
      <c r="C235" s="1122"/>
      <c r="D235" s="1123"/>
      <c r="E235" s="304"/>
      <c r="F235" s="1121"/>
      <c r="G235" s="1121"/>
      <c r="H235" s="686"/>
      <c r="I235" s="6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579"/>
      <c r="W235" s="579"/>
      <c r="X235" s="4"/>
      <c r="Y235" s="579"/>
      <c r="Z235" s="579"/>
      <c r="AA235" s="579"/>
    </row>
    <row r="236" spans="1:32" customHeight="1" ht="15"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579"/>
      <c r="W236" s="579"/>
      <c r="X236" s="4"/>
      <c r="Y236" s="579"/>
      <c r="Z236" s="579"/>
      <c r="AA236" s="579"/>
    </row>
    <row r="237" spans="1:32" customHeight="1" ht="15"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579"/>
      <c r="W237" s="579"/>
      <c r="X237" s="4"/>
      <c r="Y237" s="579"/>
      <c r="Z237" s="579"/>
      <c r="AA237" s="579"/>
    </row>
    <row r="238" spans="1:32" customHeight="1" ht="15"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579"/>
      <c r="W238" s="579"/>
      <c r="X238" s="4"/>
      <c r="Y238" s="579"/>
      <c r="Z238" s="579"/>
      <c r="AA238" s="579"/>
    </row>
    <row r="239" spans="1:32" customHeight="1" ht="12.75">
      <c r="C239" s="1114" t="s">
        <v>241</v>
      </c>
      <c r="D239" s="81"/>
      <c r="E239" s="305"/>
      <c r="F239" s="1126" t="s">
        <v>242</v>
      </c>
      <c r="G239" s="1126"/>
      <c r="H239" s="6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579"/>
      <c r="W239" s="579"/>
      <c r="X239" s="4"/>
      <c r="Y239" s="579"/>
      <c r="Z239" s="579"/>
      <c r="AA239" s="579"/>
    </row>
    <row r="240" spans="1:32" customHeight="1" ht="12.75">
      <c r="C240" s="1114"/>
      <c r="D240" s="81"/>
      <c r="E240" s="305"/>
      <c r="F240" s="1126"/>
      <c r="G240" s="1126"/>
      <c r="H240" s="65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579"/>
      <c r="W240" s="579"/>
      <c r="X240" s="4"/>
      <c r="Y240" s="579"/>
      <c r="Z240" s="579"/>
      <c r="AA240" s="579"/>
    </row>
    <row r="241" spans="1:32" customHeight="1" ht="12.75">
      <c r="C241" s="687" t="s">
        <v>243</v>
      </c>
      <c r="D241" s="586"/>
      <c r="E241" s="590"/>
      <c r="F241" s="1125" t="e">
        <v>#REF!</v>
      </c>
      <c r="G241" s="1125"/>
      <c r="H241" s="7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579"/>
      <c r="W241" s="579"/>
      <c r="X241" s="4"/>
      <c r="Y241" s="579"/>
      <c r="Z241" s="579"/>
      <c r="AA241" s="579"/>
    </row>
    <row r="242" spans="1:32" customHeight="1" ht="12.75">
      <c r="C242" s="687" t="s">
        <v>244</v>
      </c>
      <c r="D242" s="586"/>
      <c r="E242" s="590"/>
      <c r="F242" s="1125" t="e">
        <v>#REF!</v>
      </c>
      <c r="G242" s="1125"/>
      <c r="H242" s="7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579"/>
      <c r="W242" s="579"/>
      <c r="X242" s="4"/>
      <c r="Y242" s="579"/>
      <c r="Z242" s="579"/>
      <c r="AA242" s="579"/>
    </row>
    <row r="243" spans="1:32" customHeight="1" ht="12.75">
      <c r="C243" s="687" t="s">
        <v>245</v>
      </c>
      <c r="D243" s="586"/>
      <c r="E243" s="590"/>
      <c r="F243" s="1125" t="e">
        <v>#REF!</v>
      </c>
      <c r="G243" s="1125"/>
      <c r="H243" s="7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579"/>
      <c r="W243" s="579"/>
      <c r="X243" s="4"/>
      <c r="Y243" s="579"/>
      <c r="Z243" s="579"/>
      <c r="AA243" s="579"/>
    </row>
    <row r="244" spans="1:32" customHeight="1" ht="15"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579"/>
      <c r="W244" s="579"/>
      <c r="X244" s="4"/>
      <c r="Y244" s="579"/>
      <c r="Z244" s="579"/>
      <c r="AA244" s="579"/>
    </row>
    <row r="245" spans="1:32" customHeight="1" ht="15"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579"/>
      <c r="W245" s="579"/>
      <c r="X245" s="4"/>
      <c r="Y245" s="579"/>
      <c r="Z245" s="579"/>
      <c r="AA245" s="579"/>
    </row>
    <row r="246" spans="1:32" customHeight="1" ht="15"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579"/>
      <c r="W246" s="579"/>
      <c r="X246" s="4"/>
      <c r="Y246" s="579"/>
      <c r="Z246" s="579"/>
      <c r="AA246" s="579"/>
    </row>
    <row r="247" spans="1:32" customHeight="1" ht="15"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579"/>
      <c r="W247" s="579"/>
      <c r="X247" s="4"/>
      <c r="Y247" s="579"/>
      <c r="Z247" s="579"/>
      <c r="AA247" s="579"/>
    </row>
    <row r="248" spans="1:32" customHeight="1" ht="15"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579"/>
      <c r="W248" s="579"/>
      <c r="X248" s="4"/>
      <c r="Y248" s="579"/>
      <c r="Z248" s="579"/>
      <c r="AA248" s="579"/>
    </row>
    <row r="249" spans="1:32" customHeight="1" ht="15"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579"/>
      <c r="W249" s="579"/>
      <c r="X249" s="4"/>
      <c r="Y249" s="579"/>
      <c r="Z249" s="579"/>
      <c r="AA249" s="579"/>
    </row>
    <row r="250" spans="1:32" customHeight="1" ht="15">
      <c r="L250" s="4"/>
      <c r="M250" s="633"/>
      <c r="N250" s="633"/>
      <c r="O250" s="4"/>
      <c r="P250" s="4"/>
      <c r="Q250" s="4"/>
      <c r="R250" s="4"/>
      <c r="S250" s="4"/>
      <c r="T250" s="4"/>
      <c r="U250" s="4"/>
      <c r="V250" s="579"/>
      <c r="W250" s="579"/>
      <c r="X250" s="4"/>
      <c r="Y250" s="579"/>
      <c r="Z250" s="579"/>
      <c r="AA250" s="579"/>
    </row>
    <row r="251" spans="1:32" customHeight="1" ht="15">
      <c r="L251" s="4"/>
      <c r="M251" s="642"/>
      <c r="N251" s="641"/>
      <c r="O251" s="688"/>
      <c r="P251" s="688"/>
      <c r="Q251" s="688"/>
      <c r="R251" s="688"/>
      <c r="S251" s="688"/>
      <c r="T251" s="4"/>
      <c r="U251" s="4"/>
      <c r="V251" s="579"/>
      <c r="W251" s="579"/>
      <c r="X251" s="4"/>
      <c r="Y251" s="579"/>
      <c r="Z251" s="579"/>
      <c r="AA251" s="579"/>
    </row>
    <row r="252" spans="1:32" customHeight="1" ht="15">
      <c r="L252" s="4"/>
      <c r="M252" s="642"/>
      <c r="N252" s="641"/>
      <c r="O252" s="4"/>
      <c r="P252" s="4"/>
      <c r="Q252" s="4"/>
      <c r="R252" s="4"/>
      <c r="S252" s="4"/>
      <c r="T252" s="4"/>
      <c r="U252" s="4"/>
      <c r="V252" s="579"/>
      <c r="W252" s="579"/>
      <c r="X252" s="4"/>
      <c r="Y252" s="579"/>
      <c r="Z252" s="579"/>
      <c r="AA252" s="579"/>
    </row>
    <row r="253" spans="1:32" customHeight="1" ht="15">
      <c r="L253" s="4"/>
      <c r="O253" s="4"/>
      <c r="P253" s="4"/>
      <c r="Q253" s="4"/>
      <c r="R253" s="4"/>
      <c r="S253" s="4"/>
      <c r="T253" s="4"/>
      <c r="U253" s="4"/>
      <c r="V253" s="579"/>
      <c r="W253" s="579"/>
      <c r="X253" s="4"/>
      <c r="Y253" s="579"/>
      <c r="Z253" s="579"/>
      <c r="AA253" s="579"/>
    </row>
    <row r="254" spans="1:32" customHeight="1" ht="15"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579"/>
      <c r="W254" s="579"/>
      <c r="X254" s="4"/>
      <c r="Y254" s="579"/>
      <c r="Z254" s="579"/>
      <c r="AA254" s="579"/>
    </row>
    <row r="255" spans="1:32" customHeight="1" ht="15"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579"/>
      <c r="W255" s="579"/>
      <c r="X255" s="4"/>
      <c r="Y255" s="579"/>
      <c r="Z255" s="579"/>
      <c r="AA255" s="579"/>
    </row>
    <row r="256" spans="1:32" customHeight="1" ht="15"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579"/>
      <c r="W256" s="579"/>
      <c r="X256" s="4"/>
      <c r="Y256" s="579"/>
      <c r="Z256" s="579"/>
      <c r="AA256" s="579"/>
    </row>
    <row r="257" spans="1:32" customHeight="1" ht="15"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579"/>
      <c r="W257" s="579"/>
      <c r="X257" s="4"/>
      <c r="Y257" s="579"/>
      <c r="Z257" s="579"/>
      <c r="AA257" s="579"/>
    </row>
    <row r="258" spans="1:32" customHeight="1" ht="15">
      <c r="L258" s="4"/>
      <c r="M258" s="4"/>
      <c r="N258" s="4"/>
      <c r="O258" s="4"/>
      <c r="P258" s="4"/>
      <c r="Q258" s="642"/>
      <c r="R258" s="641"/>
      <c r="S258" s="639"/>
      <c r="V258" s="4"/>
      <c r="W258" s="4"/>
      <c r="X258" s="4"/>
      <c r="Y258" s="4"/>
      <c r="Z258" s="4"/>
    </row>
    <row r="259" spans="1:32" customHeight="1" ht="15">
      <c r="L259" s="4"/>
      <c r="M259" s="4"/>
      <c r="N259" s="4"/>
      <c r="O259" s="4"/>
      <c r="P259" s="4"/>
      <c r="Q259" s="642"/>
      <c r="R259" s="641"/>
      <c r="S259" s="639"/>
      <c r="V259" s="4"/>
      <c r="W259" s="4"/>
      <c r="X259" s="4"/>
      <c r="Y259" s="4"/>
      <c r="Z259" s="4"/>
    </row>
    <row r="260" spans="1:32" customHeight="1" ht="15">
      <c r="L260" s="4"/>
      <c r="M260" s="4"/>
      <c r="N260" s="4"/>
      <c r="O260" s="4"/>
      <c r="P260" s="4"/>
      <c r="AA260" s="580"/>
    </row>
    <row r="261" spans="1:32" customHeight="1" ht="15">
      <c r="V261" s="579"/>
      <c r="W261" s="579"/>
      <c r="Y261" s="579"/>
      <c r="Z261" s="579"/>
      <c r="AA261" s="579"/>
    </row>
    <row r="262" spans="1:32" customHeight="1" ht="15">
      <c r="V262" s="579"/>
      <c r="W262" s="579"/>
      <c r="Y262" s="579"/>
      <c r="Z262" s="579"/>
      <c r="AA262" s="579"/>
    </row>
    <row r="263" spans="1:32" customHeight="1" ht="15">
      <c r="V263" s="579"/>
      <c r="W263" s="579"/>
      <c r="Y263" s="579"/>
      <c r="Z263" s="579"/>
      <c r="AA263" s="579"/>
    </row>
    <row r="264" spans="1:32" customHeight="1" ht="15">
      <c r="V264" s="579"/>
      <c r="W264" s="579"/>
      <c r="Y264" s="579"/>
      <c r="Z264" s="579"/>
      <c r="AA264" s="579"/>
    </row>
    <row r="265" spans="1:32" customHeight="1" ht="15">
      <c r="V265" s="579"/>
      <c r="W265" s="579"/>
      <c r="Y265" s="579"/>
      <c r="Z265" s="579"/>
      <c r="AA265" s="579"/>
    </row>
    <row r="266" spans="1:32" customHeight="1" ht="15">
      <c r="V266" s="579"/>
      <c r="W266" s="579"/>
      <c r="Y266" s="579"/>
      <c r="Z266" s="579"/>
      <c r="AA266" s="579"/>
    </row>
    <row r="267" spans="1:32" customHeight="1" ht="15">
      <c r="V267" s="579"/>
      <c r="W267" s="579"/>
      <c r="Y267" s="579"/>
      <c r="Z267" s="579"/>
      <c r="AA267" s="579"/>
    </row>
    <row r="268" spans="1:32" customHeight="1" ht="15">
      <c r="V268" s="579"/>
      <c r="W268" s="579"/>
      <c r="Y268" s="579"/>
      <c r="Z268" s="579"/>
      <c r="AA268" s="579"/>
    </row>
    <row r="269" spans="1:32" customHeight="1" ht="15">
      <c r="V269" s="579"/>
      <c r="W269" s="579"/>
      <c r="Y269" s="579"/>
      <c r="Z269" s="579"/>
      <c r="AA269" s="579"/>
    </row>
    <row r="270" spans="1:32" customHeight="1" ht="15">
      <c r="V270" s="579"/>
      <c r="W270" s="579"/>
      <c r="Y270" s="579"/>
      <c r="Z270" s="579"/>
      <c r="AA270" s="579"/>
    </row>
    <row r="271" spans="1:32" customHeight="1" ht="15">
      <c r="V271" s="579"/>
      <c r="W271" s="579"/>
      <c r="Y271" s="579"/>
      <c r="Z271" s="579"/>
      <c r="AA271" s="579"/>
    </row>
    <row r="272" spans="1:32" customHeight="1" ht="15">
      <c r="V272" s="579"/>
      <c r="W272" s="579"/>
      <c r="Y272" s="579"/>
      <c r="Z272" s="579"/>
      <c r="AA272" s="579"/>
    </row>
    <row r="273" spans="1:32" customHeight="1" ht="15">
      <c r="V273" s="579"/>
      <c r="W273" s="579"/>
      <c r="Y273" s="579"/>
      <c r="Z273" s="579"/>
      <c r="AA273" s="579"/>
    </row>
    <row r="274" spans="1:32" customHeight="1" ht="15">
      <c r="V274" s="579"/>
      <c r="W274" s="579"/>
      <c r="Y274" s="579"/>
      <c r="Z274" s="579"/>
      <c r="AA274" s="579"/>
    </row>
    <row r="275" spans="1:32" customHeight="1" ht="15">
      <c r="V275" s="579"/>
      <c r="W275" s="579"/>
      <c r="Y275" s="579"/>
      <c r="Z275" s="579"/>
      <c r="AA275" s="579"/>
    </row>
    <row r="276" spans="1:32" customHeight="1" ht="15">
      <c r="V276" s="579"/>
      <c r="W276" s="579"/>
      <c r="Y276" s="579"/>
      <c r="Z276" s="579"/>
      <c r="AA276" s="579"/>
    </row>
    <row r="277" spans="1:32" customHeight="1" ht="15">
      <c r="V277" s="579"/>
      <c r="W277" s="579"/>
      <c r="Y277" s="579"/>
      <c r="Z277" s="579"/>
      <c r="AA277" s="579"/>
    </row>
    <row r="278" spans="1:32" customHeight="1" ht="15">
      <c r="V278" s="579"/>
      <c r="W278" s="579"/>
      <c r="Y278" s="579"/>
      <c r="Z278" s="579"/>
      <c r="AA278" s="579"/>
    </row>
    <row r="279" spans="1:32" customHeight="1" ht="15">
      <c r="V279" s="579"/>
      <c r="W279" s="579"/>
      <c r="Y279" s="579"/>
      <c r="Z279" s="579"/>
      <c r="AA279" s="579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B18:B64"/>
    <mergeCell ref="B65:B97"/>
    <mergeCell ref="B177:B209"/>
    <mergeCell ref="A177:A210"/>
    <mergeCell ref="A156:A176"/>
    <mergeCell ref="O123:Q123"/>
    <mergeCell ref="B104:H104"/>
    <mergeCell ref="O104:Q104"/>
    <mergeCell ref="B100:H100"/>
    <mergeCell ref="B102:H102"/>
    <mergeCell ref="B101:H101"/>
    <mergeCell ref="E123:E125"/>
    <mergeCell ref="L104:N104"/>
    <mergeCell ref="L112:Q112"/>
    <mergeCell ref="I103:K103"/>
    <mergeCell ref="I104:K104"/>
    <mergeCell ref="L103:N103"/>
    <mergeCell ref="L111:Q111"/>
    <mergeCell ref="O103:Q103"/>
    <mergeCell ref="R124:T124"/>
    <mergeCell ref="R123:T123"/>
    <mergeCell ref="L123:N123"/>
    <mergeCell ref="O124:Q124"/>
    <mergeCell ref="L124:N124"/>
    <mergeCell ref="R102:T102"/>
    <mergeCell ref="O102:Q102"/>
    <mergeCell ref="R104:T104"/>
    <mergeCell ref="L113:Q113"/>
    <mergeCell ref="R103:T103"/>
    <mergeCell ref="AD123:AD125"/>
    <mergeCell ref="U12:W12"/>
    <mergeCell ref="AA112:AB112"/>
    <mergeCell ref="Y118:Z118"/>
    <mergeCell ref="AC112:AD112"/>
    <mergeCell ref="X103:Z103"/>
    <mergeCell ref="X104:Z104"/>
    <mergeCell ref="U123:W123"/>
    <mergeCell ref="U103:W103"/>
    <mergeCell ref="AA104:AC104"/>
    <mergeCell ref="X11:Z11"/>
    <mergeCell ref="AA102:AC102"/>
    <mergeCell ref="AA103:AC103"/>
    <mergeCell ref="U102:W102"/>
    <mergeCell ref="AA12:AC12"/>
    <mergeCell ref="U104:W104"/>
    <mergeCell ref="U11:W11"/>
    <mergeCell ref="AC2:AD2"/>
    <mergeCell ref="X102:Z102"/>
    <mergeCell ref="Y7:Z7"/>
    <mergeCell ref="AA2:AB2"/>
    <mergeCell ref="U8:V8"/>
    <mergeCell ref="X12:Z12"/>
    <mergeCell ref="AD11:AD13"/>
    <mergeCell ref="U7:V7"/>
    <mergeCell ref="AA11:AC11"/>
    <mergeCell ref="AA3:AB4"/>
    <mergeCell ref="K1:Q1"/>
    <mergeCell ref="K3:Q3"/>
    <mergeCell ref="K2:Q2"/>
    <mergeCell ref="I102:K102"/>
    <mergeCell ref="I12:K12"/>
    <mergeCell ref="L11:N11"/>
    <mergeCell ref="O12:Q12"/>
    <mergeCell ref="L102:N102"/>
    <mergeCell ref="I11:K11"/>
    <mergeCell ref="L12:N12"/>
    <mergeCell ref="X216:Z216"/>
    <mergeCell ref="AA216:AC216"/>
    <mergeCell ref="AA124:AC124"/>
    <mergeCell ref="U219:W219"/>
    <mergeCell ref="X123:Z123"/>
    <mergeCell ref="U124:W124"/>
    <mergeCell ref="AA123:AC123"/>
    <mergeCell ref="X124:Z124"/>
    <mergeCell ref="X219:Z219"/>
    <mergeCell ref="U215:W215"/>
    <mergeCell ref="AA5:AB5"/>
    <mergeCell ref="L219:N219"/>
    <mergeCell ref="U216:W216"/>
    <mergeCell ref="AA219:AC219"/>
    <mergeCell ref="X215:Z215"/>
    <mergeCell ref="AA215:AC215"/>
    <mergeCell ref="L215:N215"/>
    <mergeCell ref="R215:T215"/>
    <mergeCell ref="O215:Q215"/>
    <mergeCell ref="R219:T219"/>
    <mergeCell ref="I215:K215"/>
    <mergeCell ref="F215:H215"/>
    <mergeCell ref="I216:K216"/>
    <mergeCell ref="L216:N216"/>
    <mergeCell ref="O216:Q216"/>
    <mergeCell ref="I219:K219"/>
    <mergeCell ref="F243:G243"/>
    <mergeCell ref="F242:G242"/>
    <mergeCell ref="F241:G241"/>
    <mergeCell ref="F229:G229"/>
    <mergeCell ref="F239:G240"/>
    <mergeCell ref="R216:T216"/>
    <mergeCell ref="O219:Q219"/>
    <mergeCell ref="F217:H217"/>
    <mergeCell ref="F221:H221"/>
    <mergeCell ref="F234:G234"/>
    <mergeCell ref="C224:D227"/>
    <mergeCell ref="C232:D235"/>
    <mergeCell ref="F233:G233"/>
    <mergeCell ref="F224:G224"/>
    <mergeCell ref="F232:G232"/>
    <mergeCell ref="F235:G235"/>
    <mergeCell ref="F231:G231"/>
    <mergeCell ref="C239:C240"/>
    <mergeCell ref="F228:G228"/>
    <mergeCell ref="F216:H216"/>
    <mergeCell ref="F223:G223"/>
    <mergeCell ref="F230:G230"/>
    <mergeCell ref="F227:G227"/>
    <mergeCell ref="F226:G226"/>
    <mergeCell ref="C228:D231"/>
    <mergeCell ref="F225:G225"/>
    <mergeCell ref="F220:H220"/>
    <mergeCell ref="B210:H210"/>
    <mergeCell ref="C123:C125"/>
    <mergeCell ref="D123:D125"/>
    <mergeCell ref="F123:F125"/>
    <mergeCell ref="B123:B125"/>
    <mergeCell ref="I124:K124"/>
    <mergeCell ref="I123:K123"/>
    <mergeCell ref="G123:G125"/>
    <mergeCell ref="B14:B17"/>
    <mergeCell ref="R11:T11"/>
    <mergeCell ref="O11:Q11"/>
    <mergeCell ref="F11:F13"/>
    <mergeCell ref="C11:C13"/>
    <mergeCell ref="H12:H13"/>
    <mergeCell ref="G11:G13"/>
    <mergeCell ref="E11:E13"/>
    <mergeCell ref="R12:T12"/>
    <mergeCell ref="D11:D13"/>
    <mergeCell ref="A11:B13"/>
    <mergeCell ref="A14:A43"/>
    <mergeCell ref="A126:A155"/>
    <mergeCell ref="B99:H99"/>
    <mergeCell ref="A98:A104"/>
    <mergeCell ref="B103:H103"/>
    <mergeCell ref="B126:B129"/>
    <mergeCell ref="B98:H98"/>
    <mergeCell ref="B130:B176"/>
    <mergeCell ref="A44:A97"/>
  </mergeCells>
  <conditionalFormatting sqref="I234:I235">
    <cfRule type="cellIs" dxfId="0" priority="1" operator="greaterThan">
      <formula>0</formula>
    </cfRule>
  </conditionalFormatting>
  <conditionalFormatting sqref="I230:I231">
    <cfRule type="cellIs" dxfId="0" priority="2" operator="greaterThan">
      <formula>0</formula>
    </cfRule>
  </conditionalFormatting>
  <conditionalFormatting sqref="I226:I227">
    <cfRule type="cellIs" dxfId="0" priority="3" operator="greaterThan">
      <formula>0</formula>
    </cfRule>
  </conditionalFormatting>
  <conditionalFormatting sqref="L28">
    <cfRule type="cellIs" dxfId="1" priority="4" operator="lessThan">
      <formula>0</formula>
    </cfRule>
  </conditionalFormatting>
  <conditionalFormatting sqref="L14:AC15">
    <cfRule type="cellIs" dxfId="1" priority="5" operator="lessThan">
      <formula>0</formula>
    </cfRule>
  </conditionalFormatting>
  <conditionalFormatting sqref="L16:L17">
    <cfRule type="cellIs" dxfId="1" priority="6" operator="lessThan">
      <formula>0</formula>
    </cfRule>
  </conditionalFormatting>
  <conditionalFormatting sqref="AC16:AC17">
    <cfRule type="cellIs" dxfId="1" priority="7" operator="lessThan">
      <formula>0</formula>
    </cfRule>
  </conditionalFormatting>
  <conditionalFormatting sqref="AC28">
    <cfRule type="cellIs" dxfId="1" priority="8" operator="lessThan">
      <formula>0</formula>
    </cfRule>
  </conditionalFormatting>
  <conditionalFormatting sqref="Z16:AA17">
    <cfRule type="cellIs" dxfId="1" priority="9" operator="lessThan">
      <formula>0</formula>
    </cfRule>
  </conditionalFormatting>
  <conditionalFormatting sqref="Z28:AA28">
    <cfRule type="cellIs" dxfId="1" priority="10" operator="lessThan">
      <formula>0</formula>
    </cfRule>
  </conditionalFormatting>
  <conditionalFormatting sqref="W16:X17">
    <cfRule type="cellIs" dxfId="1" priority="11" operator="lessThan">
      <formula>0</formula>
    </cfRule>
  </conditionalFormatting>
  <conditionalFormatting sqref="W28:X28">
    <cfRule type="cellIs" dxfId="1" priority="12" operator="lessThan">
      <formula>0</formula>
    </cfRule>
  </conditionalFormatting>
  <conditionalFormatting sqref="T16:U17">
    <cfRule type="cellIs" dxfId="1" priority="13" operator="lessThan">
      <formula>0</formula>
    </cfRule>
  </conditionalFormatting>
  <conditionalFormatting sqref="T28:U28">
    <cfRule type="cellIs" dxfId="1" priority="14" operator="lessThan">
      <formula>0</formula>
    </cfRule>
  </conditionalFormatting>
  <conditionalFormatting sqref="Q16:R17">
    <cfRule type="cellIs" dxfId="1" priority="15" operator="lessThan">
      <formula>0</formula>
    </cfRule>
  </conditionalFormatting>
  <conditionalFormatting sqref="Q28:R28">
    <cfRule type="cellIs" dxfId="1" priority="16" operator="lessThan">
      <formula>0</formula>
    </cfRule>
  </conditionalFormatting>
  <conditionalFormatting sqref="N16:O17">
    <cfRule type="cellIs" dxfId="1" priority="17" operator="lessThan">
      <formula>0</formula>
    </cfRule>
  </conditionalFormatting>
  <conditionalFormatting sqref="N28:O28">
    <cfRule type="cellIs" dxfId="1" priority="18" operator="lessThan">
      <formula>0</formula>
    </cfRule>
  </conditionalFormatting>
  <conditionalFormatting sqref="L21:L25">
    <cfRule type="cellIs" dxfId="1" priority="19" operator="lessThan">
      <formula>0</formula>
    </cfRule>
  </conditionalFormatting>
  <conditionalFormatting sqref="AC21:AC25">
    <cfRule type="cellIs" dxfId="1" priority="20" operator="lessThan">
      <formula>0</formula>
    </cfRule>
  </conditionalFormatting>
  <conditionalFormatting sqref="Z21:AA25">
    <cfRule type="cellIs" dxfId="1" priority="21" operator="lessThan">
      <formula>0</formula>
    </cfRule>
  </conditionalFormatting>
  <conditionalFormatting sqref="W21:X25">
    <cfRule type="cellIs" dxfId="1" priority="22" operator="lessThan">
      <formula>0</formula>
    </cfRule>
  </conditionalFormatting>
  <conditionalFormatting sqref="T21:U25">
    <cfRule type="cellIs" dxfId="1" priority="23" operator="lessThan">
      <formula>0</formula>
    </cfRule>
  </conditionalFormatting>
  <conditionalFormatting sqref="Q21:R25">
    <cfRule type="cellIs" dxfId="1" priority="24" operator="lessThan">
      <formula>0</formula>
    </cfRule>
  </conditionalFormatting>
  <conditionalFormatting sqref="N21:O25">
    <cfRule type="cellIs" dxfId="1" priority="25" operator="lessThan">
      <formula>0</formula>
    </cfRule>
  </conditionalFormatting>
  <conditionalFormatting sqref="L27">
    <cfRule type="cellIs" dxfId="1" priority="26" operator="lessThan">
      <formula>0</formula>
    </cfRule>
  </conditionalFormatting>
  <conditionalFormatting sqref="AC27">
    <cfRule type="cellIs" dxfId="1" priority="27" operator="lessThan">
      <formula>0</formula>
    </cfRule>
  </conditionalFormatting>
  <conditionalFormatting sqref="Z27:AA27">
    <cfRule type="cellIs" dxfId="1" priority="28" operator="lessThan">
      <formula>0</formula>
    </cfRule>
  </conditionalFormatting>
  <conditionalFormatting sqref="W27:X27">
    <cfRule type="cellIs" dxfId="1" priority="29" operator="lessThan">
      <formula>0</formula>
    </cfRule>
  </conditionalFormatting>
  <conditionalFormatting sqref="T27:U27">
    <cfRule type="cellIs" dxfId="1" priority="30" operator="lessThan">
      <formula>0</formula>
    </cfRule>
  </conditionalFormatting>
  <conditionalFormatting sqref="Q27:R27">
    <cfRule type="cellIs" dxfId="1" priority="31" operator="lessThan">
      <formula>0</formula>
    </cfRule>
  </conditionalFormatting>
  <conditionalFormatting sqref="N27:O27">
    <cfRule type="cellIs" dxfId="1" priority="32" operator="lessThan">
      <formula>0</formula>
    </cfRule>
  </conditionalFormatting>
  <conditionalFormatting sqref="L26">
    <cfRule type="cellIs" dxfId="1" priority="33" operator="lessThan">
      <formula>0</formula>
    </cfRule>
  </conditionalFormatting>
  <conditionalFormatting sqref="N26:O26">
    <cfRule type="cellIs" dxfId="1" priority="34" operator="lessThan">
      <formula>0</formula>
    </cfRule>
  </conditionalFormatting>
  <conditionalFormatting sqref="AC26">
    <cfRule type="cellIs" dxfId="1" priority="35" operator="lessThan">
      <formula>0</formula>
    </cfRule>
  </conditionalFormatting>
  <conditionalFormatting sqref="Z26:AA26">
    <cfRule type="cellIs" dxfId="1" priority="36" operator="lessThan">
      <formula>0</formula>
    </cfRule>
  </conditionalFormatting>
  <conditionalFormatting sqref="W26:X26">
    <cfRule type="cellIs" dxfId="1" priority="37" operator="lessThan">
      <formula>0</formula>
    </cfRule>
  </conditionalFormatting>
  <conditionalFormatting sqref="T26:U26">
    <cfRule type="cellIs" dxfId="1" priority="38" operator="lessThan">
      <formula>0</formula>
    </cfRule>
  </conditionalFormatting>
  <conditionalFormatting sqref="Q26:R26">
    <cfRule type="cellIs" dxfId="1" priority="39" operator="lessThan">
      <formula>0</formula>
    </cfRule>
  </conditionalFormatting>
  <conditionalFormatting sqref="L43">
    <cfRule type="cellIs" dxfId="1" priority="40" operator="lessThan">
      <formula>0</formula>
    </cfRule>
  </conditionalFormatting>
  <conditionalFormatting sqref="L29:L34">
    <cfRule type="cellIs" dxfId="1" priority="41" operator="lessThan">
      <formula>0</formula>
    </cfRule>
  </conditionalFormatting>
  <conditionalFormatting sqref="N43:O43">
    <cfRule type="cellIs" dxfId="1" priority="42" operator="lessThan">
      <formula>0</formula>
    </cfRule>
  </conditionalFormatting>
  <conditionalFormatting sqref="AC43">
    <cfRule type="cellIs" dxfId="1" priority="43" operator="lessThan">
      <formula>0</formula>
    </cfRule>
  </conditionalFormatting>
  <conditionalFormatting sqref="AC29:AC34">
    <cfRule type="cellIs" dxfId="1" priority="44" operator="lessThan">
      <formula>0</formula>
    </cfRule>
  </conditionalFormatting>
  <conditionalFormatting sqref="Z43:AA43">
    <cfRule type="cellIs" dxfId="1" priority="45" operator="lessThan">
      <formula>0</formula>
    </cfRule>
  </conditionalFormatting>
  <conditionalFormatting sqref="Z29:AA34">
    <cfRule type="cellIs" dxfId="1" priority="46" operator="lessThan">
      <formula>0</formula>
    </cfRule>
  </conditionalFormatting>
  <conditionalFormatting sqref="W43:X43">
    <cfRule type="cellIs" dxfId="1" priority="47" operator="lessThan">
      <formula>0</formula>
    </cfRule>
  </conditionalFormatting>
  <conditionalFormatting sqref="W29:X34">
    <cfRule type="cellIs" dxfId="1" priority="48" operator="lessThan">
      <formula>0</formula>
    </cfRule>
  </conditionalFormatting>
  <conditionalFormatting sqref="T43:U43">
    <cfRule type="cellIs" dxfId="1" priority="49" operator="lessThan">
      <formula>0</formula>
    </cfRule>
  </conditionalFormatting>
  <conditionalFormatting sqref="T29:U34">
    <cfRule type="cellIs" dxfId="1" priority="50" operator="lessThan">
      <formula>0</formula>
    </cfRule>
  </conditionalFormatting>
  <conditionalFormatting sqref="Q43:R43">
    <cfRule type="cellIs" dxfId="1" priority="51" operator="lessThan">
      <formula>0</formula>
    </cfRule>
  </conditionalFormatting>
  <conditionalFormatting sqref="Q29:R34">
    <cfRule type="cellIs" dxfId="1" priority="52" operator="lessThan">
      <formula>0</formula>
    </cfRule>
  </conditionalFormatting>
  <conditionalFormatting sqref="N29:O34">
    <cfRule type="cellIs" dxfId="1" priority="53" operator="lessThan">
      <formula>0</formula>
    </cfRule>
  </conditionalFormatting>
  <conditionalFormatting sqref="L35">
    <cfRule type="cellIs" dxfId="1" priority="54" operator="lessThan">
      <formula>0</formula>
    </cfRule>
  </conditionalFormatting>
  <conditionalFormatting sqref="N35:O35">
    <cfRule type="cellIs" dxfId="1" priority="55" operator="lessThan">
      <formula>0</formula>
    </cfRule>
  </conditionalFormatting>
  <conditionalFormatting sqref="AC35">
    <cfRule type="cellIs" dxfId="1" priority="56" operator="lessThan">
      <formula>0</formula>
    </cfRule>
  </conditionalFormatting>
  <conditionalFormatting sqref="Z35:AA35">
    <cfRule type="cellIs" dxfId="1" priority="57" operator="lessThan">
      <formula>0</formula>
    </cfRule>
  </conditionalFormatting>
  <conditionalFormatting sqref="W35:X35">
    <cfRule type="cellIs" dxfId="1" priority="58" operator="lessThan">
      <formula>0</formula>
    </cfRule>
  </conditionalFormatting>
  <conditionalFormatting sqref="T35:U35">
    <cfRule type="cellIs" dxfId="1" priority="59" operator="lessThan">
      <formula>0</formula>
    </cfRule>
  </conditionalFormatting>
  <conditionalFormatting sqref="Q35:R35">
    <cfRule type="cellIs" dxfId="1" priority="60" operator="lessThan">
      <formula>0</formula>
    </cfRule>
  </conditionalFormatting>
  <conditionalFormatting sqref="L36:L40">
    <cfRule type="cellIs" dxfId="1" priority="61" operator="lessThan">
      <formula>0</formula>
    </cfRule>
  </conditionalFormatting>
  <conditionalFormatting sqref="N36:O40">
    <cfRule type="cellIs" dxfId="1" priority="62" operator="lessThan">
      <formula>0</formula>
    </cfRule>
  </conditionalFormatting>
  <conditionalFormatting sqref="AC36:AC40">
    <cfRule type="cellIs" dxfId="1" priority="63" operator="lessThan">
      <formula>0</formula>
    </cfRule>
  </conditionalFormatting>
  <conditionalFormatting sqref="Z36:AA40">
    <cfRule type="cellIs" dxfId="1" priority="64" operator="lessThan">
      <formula>0</formula>
    </cfRule>
  </conditionalFormatting>
  <conditionalFormatting sqref="W36:X40">
    <cfRule type="cellIs" dxfId="1" priority="65" operator="lessThan">
      <formula>0</formula>
    </cfRule>
  </conditionalFormatting>
  <conditionalFormatting sqref="T36:U40">
    <cfRule type="cellIs" dxfId="1" priority="66" operator="lessThan">
      <formula>0</formula>
    </cfRule>
  </conditionalFormatting>
  <conditionalFormatting sqref="Q36:R40">
    <cfRule type="cellIs" dxfId="1" priority="67" operator="lessThan">
      <formula>0</formula>
    </cfRule>
  </conditionalFormatting>
  <conditionalFormatting sqref="L42">
    <cfRule type="cellIs" dxfId="1" priority="68" operator="lessThan">
      <formula>0</formula>
    </cfRule>
  </conditionalFormatting>
  <conditionalFormatting sqref="N42:O42">
    <cfRule type="cellIs" dxfId="1" priority="69" operator="lessThan">
      <formula>0</formula>
    </cfRule>
  </conditionalFormatting>
  <conditionalFormatting sqref="AC42">
    <cfRule type="cellIs" dxfId="1" priority="70" operator="lessThan">
      <formula>0</formula>
    </cfRule>
  </conditionalFormatting>
  <conditionalFormatting sqref="Z42:AA42">
    <cfRule type="cellIs" dxfId="1" priority="71" operator="lessThan">
      <formula>0</formula>
    </cfRule>
  </conditionalFormatting>
  <conditionalFormatting sqref="W42:X42">
    <cfRule type="cellIs" dxfId="1" priority="72" operator="lessThan">
      <formula>0</formula>
    </cfRule>
  </conditionalFormatting>
  <conditionalFormatting sqref="T42:U42">
    <cfRule type="cellIs" dxfId="1" priority="73" operator="lessThan">
      <formula>0</formula>
    </cfRule>
  </conditionalFormatting>
  <conditionalFormatting sqref="Q42:R42">
    <cfRule type="cellIs" dxfId="1" priority="74" operator="lessThan">
      <formula>0</formula>
    </cfRule>
  </conditionalFormatting>
  <conditionalFormatting sqref="N41:O41">
    <cfRule type="cellIs" dxfId="1" priority="75" operator="lessThan">
      <formula>0</formula>
    </cfRule>
  </conditionalFormatting>
  <conditionalFormatting sqref="L41">
    <cfRule type="cellIs" dxfId="1" priority="76" operator="lessThan">
      <formula>0</formula>
    </cfRule>
  </conditionalFormatting>
  <conditionalFormatting sqref="AC41">
    <cfRule type="cellIs" dxfId="1" priority="77" operator="lessThan">
      <formula>0</formula>
    </cfRule>
  </conditionalFormatting>
  <conditionalFormatting sqref="Z41:AA41">
    <cfRule type="cellIs" dxfId="1" priority="78" operator="lessThan">
      <formula>0</formula>
    </cfRule>
  </conditionalFormatting>
  <conditionalFormatting sqref="W41:X41">
    <cfRule type="cellIs" dxfId="1" priority="79" operator="lessThan">
      <formula>0</formula>
    </cfRule>
  </conditionalFormatting>
  <conditionalFormatting sqref="T41:U41">
    <cfRule type="cellIs" dxfId="1" priority="80" operator="lessThan">
      <formula>0</formula>
    </cfRule>
  </conditionalFormatting>
  <conditionalFormatting sqref="Q41:R41">
    <cfRule type="cellIs" dxfId="1" priority="81" operator="lessThan">
      <formula>0</formula>
    </cfRule>
  </conditionalFormatting>
  <conditionalFormatting sqref="L69">
    <cfRule type="cellIs" dxfId="1" priority="82" operator="lessThan">
      <formula>0</formula>
    </cfRule>
  </conditionalFormatting>
  <conditionalFormatting sqref="N69:O69">
    <cfRule type="cellIs" dxfId="1" priority="83" operator="lessThan">
      <formula>0</formula>
    </cfRule>
  </conditionalFormatting>
  <conditionalFormatting sqref="Q69:R69">
    <cfRule type="cellIs" dxfId="1" priority="84" operator="lessThan">
      <formula>0</formula>
    </cfRule>
  </conditionalFormatting>
  <conditionalFormatting sqref="AC69">
    <cfRule type="cellIs" dxfId="1" priority="85" operator="lessThan">
      <formula>0</formula>
    </cfRule>
  </conditionalFormatting>
  <conditionalFormatting sqref="Z69:AA69">
    <cfRule type="cellIs" dxfId="1" priority="86" operator="lessThan">
      <formula>0</formula>
    </cfRule>
  </conditionalFormatting>
  <conditionalFormatting sqref="W69:X69">
    <cfRule type="cellIs" dxfId="1" priority="87" operator="lessThan">
      <formula>0</formula>
    </cfRule>
  </conditionalFormatting>
  <conditionalFormatting sqref="T69:U69">
    <cfRule type="cellIs" dxfId="1" priority="88" operator="lessThan">
      <formula>0</formula>
    </cfRule>
  </conditionalFormatting>
  <conditionalFormatting sqref="L61">
    <cfRule type="cellIs" dxfId="1" priority="89" operator="lessThan">
      <formula>0</formula>
    </cfRule>
  </conditionalFormatting>
  <conditionalFormatting sqref="N61:O61">
    <cfRule type="cellIs" dxfId="1" priority="90" operator="lessThan">
      <formula>0</formula>
    </cfRule>
  </conditionalFormatting>
  <conditionalFormatting sqref="AC61">
    <cfRule type="cellIs" dxfId="1" priority="91" operator="lessThan">
      <formula>0</formula>
    </cfRule>
  </conditionalFormatting>
  <conditionalFormatting sqref="Z61:AA61">
    <cfRule type="cellIs" dxfId="1" priority="92" operator="lessThan">
      <formula>0</formula>
    </cfRule>
  </conditionalFormatting>
  <conditionalFormatting sqref="W61:X61">
    <cfRule type="cellIs" dxfId="1" priority="93" operator="lessThan">
      <formula>0</formula>
    </cfRule>
  </conditionalFormatting>
  <conditionalFormatting sqref="T61:U61">
    <cfRule type="cellIs" dxfId="1" priority="94" operator="lessThan">
      <formula>0</formula>
    </cfRule>
  </conditionalFormatting>
  <conditionalFormatting sqref="Q61:R61">
    <cfRule type="cellIs" dxfId="1" priority="95" operator="lessThan">
      <formula>0</formula>
    </cfRule>
  </conditionalFormatting>
  <conditionalFormatting sqref="N62:O62">
    <cfRule type="cellIs" dxfId="1" priority="96" operator="lessThan">
      <formula>0</formula>
    </cfRule>
  </conditionalFormatting>
  <conditionalFormatting sqref="L62">
    <cfRule type="cellIs" dxfId="1" priority="97" operator="lessThan">
      <formula>0</formula>
    </cfRule>
  </conditionalFormatting>
  <conditionalFormatting sqref="AC62">
    <cfRule type="cellIs" dxfId="1" priority="98" operator="lessThan">
      <formula>0</formula>
    </cfRule>
  </conditionalFormatting>
  <conditionalFormatting sqref="Z62:AA62">
    <cfRule type="cellIs" dxfId="1" priority="99" operator="lessThan">
      <formula>0</formula>
    </cfRule>
  </conditionalFormatting>
  <conditionalFormatting sqref="W62:X62">
    <cfRule type="cellIs" dxfId="1" priority="100" operator="lessThan">
      <formula>0</formula>
    </cfRule>
  </conditionalFormatting>
  <conditionalFormatting sqref="T62:U62">
    <cfRule type="cellIs" dxfId="1" priority="101" operator="lessThan">
      <formula>0</formula>
    </cfRule>
  </conditionalFormatting>
  <conditionalFormatting sqref="Q62:R62">
    <cfRule type="cellIs" dxfId="1" priority="102" operator="lessThan">
      <formula>0</formula>
    </cfRule>
  </conditionalFormatting>
  <conditionalFormatting sqref="L63:L65">
    <cfRule type="cellIs" dxfId="1" priority="103" operator="lessThan">
      <formula>0</formula>
    </cfRule>
  </conditionalFormatting>
  <conditionalFormatting sqref="N63:O65">
    <cfRule type="cellIs" dxfId="1" priority="104" operator="lessThan">
      <formula>0</formula>
    </cfRule>
  </conditionalFormatting>
  <conditionalFormatting sqref="AC63:AC65">
    <cfRule type="cellIs" dxfId="1" priority="105" operator="lessThan">
      <formula>0</formula>
    </cfRule>
  </conditionalFormatting>
  <conditionalFormatting sqref="Z63:AA65">
    <cfRule type="cellIs" dxfId="1" priority="106" operator="lessThan">
      <formula>0</formula>
    </cfRule>
  </conditionalFormatting>
  <conditionalFormatting sqref="W63:X65">
    <cfRule type="cellIs" dxfId="1" priority="107" operator="lessThan">
      <formula>0</formula>
    </cfRule>
  </conditionalFormatting>
  <conditionalFormatting sqref="T63:U65">
    <cfRule type="cellIs" dxfId="1" priority="108" operator="lessThan">
      <formula>0</formula>
    </cfRule>
  </conditionalFormatting>
  <conditionalFormatting sqref="Q63:R65">
    <cfRule type="cellIs" dxfId="1" priority="109" operator="lessThan">
      <formula>0</formula>
    </cfRule>
  </conditionalFormatting>
  <conditionalFormatting sqref="I14:K14">
    <cfRule type="cellIs" dxfId="1" priority="110" operator="lessThan">
      <formula>0</formula>
    </cfRule>
  </conditionalFormatting>
  <conditionalFormatting sqref="L84">
    <cfRule type="cellIs" dxfId="1" priority="111" operator="lessThan">
      <formula>0</formula>
    </cfRule>
  </conditionalFormatting>
  <conditionalFormatting sqref="L72:L75">
    <cfRule type="cellIs" dxfId="1" priority="112" operator="lessThan">
      <formula>0</formula>
    </cfRule>
  </conditionalFormatting>
  <conditionalFormatting sqref="L70">
    <cfRule type="cellIs" dxfId="1" priority="113" operator="lessThan">
      <formula>0</formula>
    </cfRule>
  </conditionalFormatting>
  <conditionalFormatting sqref="Q70:R70">
    <cfRule type="cellIs" dxfId="1" priority="114" operator="lessThan">
      <formula>0</formula>
    </cfRule>
  </conditionalFormatting>
  <conditionalFormatting sqref="AC70">
    <cfRule type="cellIs" dxfId="1" priority="115" operator="lessThan">
      <formula>0</formula>
    </cfRule>
  </conditionalFormatting>
  <conditionalFormatting sqref="AC72:AC75">
    <cfRule type="cellIs" dxfId="1" priority="116" operator="lessThan">
      <formula>0</formula>
    </cfRule>
  </conditionalFormatting>
  <conditionalFormatting sqref="AC84">
    <cfRule type="cellIs" dxfId="1" priority="117" operator="lessThan">
      <formula>0</formula>
    </cfRule>
  </conditionalFormatting>
  <conditionalFormatting sqref="Z70:AA70">
    <cfRule type="cellIs" dxfId="1" priority="118" operator="lessThan">
      <formula>0</formula>
    </cfRule>
  </conditionalFormatting>
  <conditionalFormatting sqref="Z72:AA75">
    <cfRule type="cellIs" dxfId="1" priority="119" operator="lessThan">
      <formula>0</formula>
    </cfRule>
  </conditionalFormatting>
  <conditionalFormatting sqref="Z84:AA84">
    <cfRule type="cellIs" dxfId="1" priority="120" operator="lessThan">
      <formula>0</formula>
    </cfRule>
  </conditionalFormatting>
  <conditionalFormatting sqref="W70:X70">
    <cfRule type="cellIs" dxfId="1" priority="121" operator="lessThan">
      <formula>0</formula>
    </cfRule>
  </conditionalFormatting>
  <conditionalFormatting sqref="W72:X75">
    <cfRule type="cellIs" dxfId="1" priority="122" operator="lessThan">
      <formula>0</formula>
    </cfRule>
  </conditionalFormatting>
  <conditionalFormatting sqref="W84:X84">
    <cfRule type="cellIs" dxfId="1" priority="123" operator="lessThan">
      <formula>0</formula>
    </cfRule>
  </conditionalFormatting>
  <conditionalFormatting sqref="T70:U70">
    <cfRule type="cellIs" dxfId="1" priority="124" operator="lessThan">
      <formula>0</formula>
    </cfRule>
  </conditionalFormatting>
  <conditionalFormatting sqref="T72:U75">
    <cfRule type="cellIs" dxfId="1" priority="125" operator="lessThan">
      <formula>0</formula>
    </cfRule>
  </conditionalFormatting>
  <conditionalFormatting sqref="T84:U84">
    <cfRule type="cellIs" dxfId="1" priority="126" operator="lessThan">
      <formula>0</formula>
    </cfRule>
  </conditionalFormatting>
  <conditionalFormatting sqref="Q72:R75">
    <cfRule type="cellIs" dxfId="1" priority="127" operator="lessThan">
      <formula>0</formula>
    </cfRule>
  </conditionalFormatting>
  <conditionalFormatting sqref="Q84:R84">
    <cfRule type="cellIs" dxfId="1" priority="128" operator="lessThan">
      <formula>0</formula>
    </cfRule>
  </conditionalFormatting>
  <conditionalFormatting sqref="N70:O70">
    <cfRule type="cellIs" dxfId="1" priority="129" operator="lessThan">
      <formula>0</formula>
    </cfRule>
  </conditionalFormatting>
  <conditionalFormatting sqref="N72:O75">
    <cfRule type="cellIs" dxfId="1" priority="130" operator="lessThan">
      <formula>0</formula>
    </cfRule>
  </conditionalFormatting>
  <conditionalFormatting sqref="O84">
    <cfRule type="cellIs" dxfId="1" priority="131" operator="lessThan">
      <formula>0</formula>
    </cfRule>
  </conditionalFormatting>
  <conditionalFormatting sqref="L76">
    <cfRule type="cellIs" dxfId="1" priority="132" operator="lessThan">
      <formula>0</formula>
    </cfRule>
  </conditionalFormatting>
  <conditionalFormatting sqref="N76:O76">
    <cfRule type="cellIs" dxfId="1" priority="133" operator="lessThan">
      <formula>0</formula>
    </cfRule>
  </conditionalFormatting>
  <conditionalFormatting sqref="AC76">
    <cfRule type="cellIs" dxfId="1" priority="134" operator="lessThan">
      <formula>0</formula>
    </cfRule>
  </conditionalFormatting>
  <conditionalFormatting sqref="Z76:AA76">
    <cfRule type="cellIs" dxfId="1" priority="135" operator="lessThan">
      <formula>0</formula>
    </cfRule>
  </conditionalFormatting>
  <conditionalFormatting sqref="W76:X76">
    <cfRule type="cellIs" dxfId="1" priority="136" operator="lessThan">
      <formula>0</formula>
    </cfRule>
  </conditionalFormatting>
  <conditionalFormatting sqref="T76:U76">
    <cfRule type="cellIs" dxfId="1" priority="137" operator="lessThan">
      <formula>0</formula>
    </cfRule>
  </conditionalFormatting>
  <conditionalFormatting sqref="Q76:R76">
    <cfRule type="cellIs" dxfId="1" priority="138" operator="lessThan">
      <formula>0</formula>
    </cfRule>
  </conditionalFormatting>
  <conditionalFormatting sqref="L79:L80">
    <cfRule type="cellIs" dxfId="1" priority="139" operator="lessThan">
      <formula>0</formula>
    </cfRule>
  </conditionalFormatting>
  <conditionalFormatting sqref="L77">
    <cfRule type="cellIs" dxfId="1" priority="140" operator="lessThan">
      <formula>0</formula>
    </cfRule>
  </conditionalFormatting>
  <conditionalFormatting sqref="N77:O77">
    <cfRule type="cellIs" dxfId="1" priority="141" operator="lessThan">
      <formula>0</formula>
    </cfRule>
  </conditionalFormatting>
  <conditionalFormatting sqref="AC77">
    <cfRule type="cellIs" dxfId="1" priority="142" operator="lessThan">
      <formula>0</formula>
    </cfRule>
  </conditionalFormatting>
  <conditionalFormatting sqref="AC79:AC80">
    <cfRule type="cellIs" dxfId="1" priority="143" operator="lessThan">
      <formula>0</formula>
    </cfRule>
  </conditionalFormatting>
  <conditionalFormatting sqref="Z77:AA77">
    <cfRule type="cellIs" dxfId="1" priority="144" operator="lessThan">
      <formula>0</formula>
    </cfRule>
  </conditionalFormatting>
  <conditionalFormatting sqref="Z79:AA80">
    <cfRule type="cellIs" dxfId="1" priority="145" operator="lessThan">
      <formula>0</formula>
    </cfRule>
  </conditionalFormatting>
  <conditionalFormatting sqref="W77:X77">
    <cfRule type="cellIs" dxfId="1" priority="146" operator="lessThan">
      <formula>0</formula>
    </cfRule>
  </conditionalFormatting>
  <conditionalFormatting sqref="W79:X80">
    <cfRule type="cellIs" dxfId="1" priority="147" operator="lessThan">
      <formula>0</formula>
    </cfRule>
  </conditionalFormatting>
  <conditionalFormatting sqref="T77:U77">
    <cfRule type="cellIs" dxfId="1" priority="148" operator="lessThan">
      <formula>0</formula>
    </cfRule>
  </conditionalFormatting>
  <conditionalFormatting sqref="T79:U80">
    <cfRule type="cellIs" dxfId="1" priority="149" operator="lessThan">
      <formula>0</formula>
    </cfRule>
  </conditionalFormatting>
  <conditionalFormatting sqref="Q77:R77">
    <cfRule type="cellIs" dxfId="1" priority="150" operator="lessThan">
      <formula>0</formula>
    </cfRule>
  </conditionalFormatting>
  <conditionalFormatting sqref="Q79:R80">
    <cfRule type="cellIs" dxfId="1" priority="151" operator="lessThan">
      <formula>0</formula>
    </cfRule>
  </conditionalFormatting>
  <conditionalFormatting sqref="N79:O80">
    <cfRule type="cellIs" dxfId="1" priority="152" operator="lessThan">
      <formula>0</formula>
    </cfRule>
  </conditionalFormatting>
  <conditionalFormatting sqref="L83">
    <cfRule type="cellIs" dxfId="1" priority="153" operator="lessThan">
      <formula>0</formula>
    </cfRule>
  </conditionalFormatting>
  <conditionalFormatting sqref="AC83">
    <cfRule type="cellIs" dxfId="1" priority="154" operator="lessThan">
      <formula>0</formula>
    </cfRule>
  </conditionalFormatting>
  <conditionalFormatting sqref="Z83:AA83">
    <cfRule type="cellIs" dxfId="1" priority="155" operator="lessThan">
      <formula>0</formula>
    </cfRule>
  </conditionalFormatting>
  <conditionalFormatting sqref="W83:X83">
    <cfRule type="cellIs" dxfId="1" priority="156" operator="lessThan">
      <formula>0</formula>
    </cfRule>
  </conditionalFormatting>
  <conditionalFormatting sqref="T83:U83">
    <cfRule type="cellIs" dxfId="1" priority="157" operator="lessThan">
      <formula>0</formula>
    </cfRule>
  </conditionalFormatting>
  <conditionalFormatting sqref="Q83:R83">
    <cfRule type="cellIs" dxfId="1" priority="158" operator="lessThan">
      <formula>0</formula>
    </cfRule>
  </conditionalFormatting>
  <conditionalFormatting sqref="O83">
    <cfRule type="cellIs" dxfId="1" priority="159" operator="lessThan">
      <formula>0</formula>
    </cfRule>
  </conditionalFormatting>
  <conditionalFormatting sqref="L82">
    <cfRule type="cellIs" dxfId="1" priority="160" operator="lessThan">
      <formula>0</formula>
    </cfRule>
  </conditionalFormatting>
  <conditionalFormatting sqref="N82:O82">
    <cfRule type="cellIs" dxfId="1" priority="161" operator="lessThan">
      <formula>0</formula>
    </cfRule>
  </conditionalFormatting>
  <conditionalFormatting sqref="AC82">
    <cfRule type="cellIs" dxfId="1" priority="162" operator="lessThan">
      <formula>0</formula>
    </cfRule>
  </conditionalFormatting>
  <conditionalFormatting sqref="Z82:AA82">
    <cfRule type="cellIs" dxfId="1" priority="163" operator="lessThan">
      <formula>0</formula>
    </cfRule>
  </conditionalFormatting>
  <conditionalFormatting sqref="W82:X82">
    <cfRule type="cellIs" dxfId="1" priority="164" operator="lessThan">
      <formula>0</formula>
    </cfRule>
  </conditionalFormatting>
  <conditionalFormatting sqref="T82:U82">
    <cfRule type="cellIs" dxfId="1" priority="165" operator="lessThan">
      <formula>0</formula>
    </cfRule>
  </conditionalFormatting>
  <conditionalFormatting sqref="Q82:R82">
    <cfRule type="cellIs" dxfId="1" priority="166" operator="lessThan">
      <formula>0</formula>
    </cfRule>
  </conditionalFormatting>
  <conditionalFormatting sqref="L97">
    <cfRule type="cellIs" dxfId="1" priority="167" operator="lessThan">
      <formula>0</formula>
    </cfRule>
  </conditionalFormatting>
  <conditionalFormatting sqref="L85:L88">
    <cfRule type="cellIs" dxfId="1" priority="168" operator="lessThan">
      <formula>0</formula>
    </cfRule>
  </conditionalFormatting>
  <conditionalFormatting sqref="R85">
    <cfRule type="cellIs" dxfId="1" priority="169" operator="lessThan">
      <formula>0</formula>
    </cfRule>
  </conditionalFormatting>
  <conditionalFormatting sqref="AC85:AC88">
    <cfRule type="cellIs" dxfId="1" priority="170" operator="lessThan">
      <formula>0</formula>
    </cfRule>
  </conditionalFormatting>
  <conditionalFormatting sqref="AC97">
    <cfRule type="cellIs" dxfId="1" priority="171" operator="lessThan">
      <formula>0</formula>
    </cfRule>
  </conditionalFormatting>
  <conditionalFormatting sqref="Z85:AA88">
    <cfRule type="cellIs" dxfId="1" priority="172" operator="lessThan">
      <formula>0</formula>
    </cfRule>
  </conditionalFormatting>
  <conditionalFormatting sqref="Z97:AA97">
    <cfRule type="cellIs" dxfId="1" priority="173" operator="lessThan">
      <formula>0</formula>
    </cfRule>
  </conditionalFormatting>
  <conditionalFormatting sqref="W85:X88">
    <cfRule type="cellIs" dxfId="1" priority="174" operator="lessThan">
      <formula>0</formula>
    </cfRule>
  </conditionalFormatting>
  <conditionalFormatting sqref="W97:X97">
    <cfRule type="cellIs" dxfId="1" priority="175" operator="lessThan">
      <formula>0</formula>
    </cfRule>
  </conditionalFormatting>
  <conditionalFormatting sqref="T85:U88">
    <cfRule type="cellIs" dxfId="1" priority="176" operator="lessThan">
      <formula>0</formula>
    </cfRule>
  </conditionalFormatting>
  <conditionalFormatting sqref="T97:U97">
    <cfRule type="cellIs" dxfId="1" priority="177" operator="lessThan">
      <formula>0</formula>
    </cfRule>
  </conditionalFormatting>
  <conditionalFormatting sqref="Q86:R88">
    <cfRule type="cellIs" dxfId="1" priority="178" operator="lessThan">
      <formula>0</formula>
    </cfRule>
  </conditionalFormatting>
  <conditionalFormatting sqref="Q97:R97">
    <cfRule type="cellIs" dxfId="1" priority="179" operator="lessThan">
      <formula>0</formula>
    </cfRule>
  </conditionalFormatting>
  <conditionalFormatting sqref="O85:O88">
    <cfRule type="cellIs" dxfId="1" priority="180" operator="lessThan">
      <formula>0</formula>
    </cfRule>
  </conditionalFormatting>
  <conditionalFormatting sqref="N97:O97">
    <cfRule type="cellIs" dxfId="1" priority="181" operator="lessThan">
      <formula>0</formula>
    </cfRule>
  </conditionalFormatting>
  <conditionalFormatting sqref="L89">
    <cfRule type="cellIs" dxfId="1" priority="182" operator="lessThan">
      <formula>0</formula>
    </cfRule>
  </conditionalFormatting>
  <conditionalFormatting sqref="AC89">
    <cfRule type="cellIs" dxfId="1" priority="183" operator="lessThan">
      <formula>0</formula>
    </cfRule>
  </conditionalFormatting>
  <conditionalFormatting sqref="Z89:AA89">
    <cfRule type="cellIs" dxfId="1" priority="184" operator="lessThan">
      <formula>0</formula>
    </cfRule>
  </conditionalFormatting>
  <conditionalFormatting sqref="W89:X89">
    <cfRule type="cellIs" dxfId="1" priority="185" operator="lessThan">
      <formula>0</formula>
    </cfRule>
  </conditionalFormatting>
  <conditionalFormatting sqref="T89:U89">
    <cfRule type="cellIs" dxfId="1" priority="186" operator="lessThan">
      <formula>0</formula>
    </cfRule>
  </conditionalFormatting>
  <conditionalFormatting sqref="Q89:R89">
    <cfRule type="cellIs" dxfId="1" priority="187" operator="lessThan">
      <formula>0</formula>
    </cfRule>
  </conditionalFormatting>
  <conditionalFormatting sqref="N89:O89">
    <cfRule type="cellIs" dxfId="1" priority="188" operator="lessThan">
      <formula>0</formula>
    </cfRule>
  </conditionalFormatting>
  <conditionalFormatting sqref="L90">
    <cfRule type="cellIs" dxfId="1" priority="189" operator="lessThan">
      <formula>0</formula>
    </cfRule>
  </conditionalFormatting>
  <conditionalFormatting sqref="AC90">
    <cfRule type="cellIs" dxfId="1" priority="190" operator="lessThan">
      <formula>0</formula>
    </cfRule>
  </conditionalFormatting>
  <conditionalFormatting sqref="Z90:AA90">
    <cfRule type="cellIs" dxfId="1" priority="191" operator="lessThan">
      <formula>0</formula>
    </cfRule>
  </conditionalFormatting>
  <conditionalFormatting sqref="W90:X90">
    <cfRule type="cellIs" dxfId="1" priority="192" operator="lessThan">
      <formula>0</formula>
    </cfRule>
  </conditionalFormatting>
  <conditionalFormatting sqref="T90:U90">
    <cfRule type="cellIs" dxfId="1" priority="193" operator="lessThan">
      <formula>0</formula>
    </cfRule>
  </conditionalFormatting>
  <conditionalFormatting sqref="Q90:R90">
    <cfRule type="cellIs" dxfId="1" priority="194" operator="lessThan">
      <formula>0</formula>
    </cfRule>
  </conditionalFormatting>
  <conditionalFormatting sqref="N90:O90">
    <cfRule type="cellIs" dxfId="1" priority="195" operator="lessThan">
      <formula>0</formula>
    </cfRule>
  </conditionalFormatting>
  <conditionalFormatting sqref="L91:L93">
    <cfRule type="cellIs" dxfId="1" priority="196" operator="lessThan">
      <formula>0</formula>
    </cfRule>
  </conditionalFormatting>
  <conditionalFormatting sqref="AC91:AC93">
    <cfRule type="cellIs" dxfId="1" priority="197" operator="lessThan">
      <formula>0</formula>
    </cfRule>
  </conditionalFormatting>
  <conditionalFormatting sqref="Z91:AA93">
    <cfRule type="cellIs" dxfId="1" priority="198" operator="lessThan">
      <formula>0</formula>
    </cfRule>
  </conditionalFormatting>
  <conditionalFormatting sqref="W91:X93">
    <cfRule type="cellIs" dxfId="1" priority="199" operator="lessThan">
      <formula>0</formula>
    </cfRule>
  </conditionalFormatting>
  <conditionalFormatting sqref="T91:U93">
    <cfRule type="cellIs" dxfId="1" priority="200" operator="lessThan">
      <formula>0</formula>
    </cfRule>
  </conditionalFormatting>
  <conditionalFormatting sqref="Q91:R93">
    <cfRule type="cellIs" dxfId="1" priority="201" operator="lessThan">
      <formula>0</formula>
    </cfRule>
  </conditionalFormatting>
  <conditionalFormatting sqref="N91:O93">
    <cfRule type="cellIs" dxfId="1" priority="202" operator="lessThan">
      <formula>0</formula>
    </cfRule>
  </conditionalFormatting>
  <conditionalFormatting sqref="L96">
    <cfRule type="cellIs" dxfId="1" priority="203" operator="lessThan">
      <formula>0</formula>
    </cfRule>
  </conditionalFormatting>
  <conditionalFormatting sqref="AC96">
    <cfRule type="cellIs" dxfId="1" priority="204" operator="lessThan">
      <formula>0</formula>
    </cfRule>
  </conditionalFormatting>
  <conditionalFormatting sqref="Z96:AA96">
    <cfRule type="cellIs" dxfId="1" priority="205" operator="lessThan">
      <formula>0</formula>
    </cfRule>
  </conditionalFormatting>
  <conditionalFormatting sqref="W96:X96">
    <cfRule type="cellIs" dxfId="1" priority="206" operator="lessThan">
      <formula>0</formula>
    </cfRule>
  </conditionalFormatting>
  <conditionalFormatting sqref="T96:U96">
    <cfRule type="cellIs" dxfId="1" priority="207" operator="lessThan">
      <formula>0</formula>
    </cfRule>
  </conditionalFormatting>
  <conditionalFormatting sqref="Q96:R96">
    <cfRule type="cellIs" dxfId="1" priority="208" operator="lessThan">
      <formula>0</formula>
    </cfRule>
  </conditionalFormatting>
  <conditionalFormatting sqref="N96:O96">
    <cfRule type="cellIs" dxfId="1" priority="209" operator="lessThan">
      <formula>0</formula>
    </cfRule>
  </conditionalFormatting>
  <conditionalFormatting sqref="L95">
    <cfRule type="cellIs" dxfId="1" priority="210" operator="lessThan">
      <formula>0</formula>
    </cfRule>
  </conditionalFormatting>
  <conditionalFormatting sqref="AC95">
    <cfRule type="cellIs" dxfId="1" priority="211" operator="lessThan">
      <formula>0</formula>
    </cfRule>
  </conditionalFormatting>
  <conditionalFormatting sqref="Z95:AA95">
    <cfRule type="cellIs" dxfId="1" priority="212" operator="lessThan">
      <formula>0</formula>
    </cfRule>
  </conditionalFormatting>
  <conditionalFormatting sqref="W95:X95">
    <cfRule type="cellIs" dxfId="1" priority="213" operator="lessThan">
      <formula>0</formula>
    </cfRule>
  </conditionalFormatting>
  <conditionalFormatting sqref="T95:U95">
    <cfRule type="cellIs" dxfId="1" priority="214" operator="lessThan">
      <formula>0</formula>
    </cfRule>
  </conditionalFormatting>
  <conditionalFormatting sqref="Q95:R95">
    <cfRule type="cellIs" dxfId="1" priority="215" operator="lessThan">
      <formula>0</formula>
    </cfRule>
  </conditionalFormatting>
  <conditionalFormatting sqref="N95:O95">
    <cfRule type="cellIs" dxfId="1" priority="216" operator="lessThan">
      <formula>0</formula>
    </cfRule>
  </conditionalFormatting>
  <conditionalFormatting sqref="L94">
    <cfRule type="cellIs" dxfId="1" priority="217" operator="lessThan">
      <formula>0</formula>
    </cfRule>
  </conditionalFormatting>
  <conditionalFormatting sqref="AC94">
    <cfRule type="cellIs" dxfId="1" priority="218" operator="lessThan">
      <formula>0</formula>
    </cfRule>
  </conditionalFormatting>
  <conditionalFormatting sqref="Z94:AA94">
    <cfRule type="cellIs" dxfId="1" priority="219" operator="lessThan">
      <formula>0</formula>
    </cfRule>
  </conditionalFormatting>
  <conditionalFormatting sqref="W94:X94">
    <cfRule type="cellIs" dxfId="1" priority="220" operator="lessThan">
      <formula>0</formula>
    </cfRule>
  </conditionalFormatting>
  <conditionalFormatting sqref="T94:U94">
    <cfRule type="cellIs" dxfId="1" priority="221" operator="lessThan">
      <formula>0</formula>
    </cfRule>
  </conditionalFormatting>
  <conditionalFormatting sqref="Q94:R94">
    <cfRule type="cellIs" dxfId="1" priority="222" operator="lessThan">
      <formula>0</formula>
    </cfRule>
  </conditionalFormatting>
  <conditionalFormatting sqref="N94:O94">
    <cfRule type="cellIs" dxfId="1" priority="223" operator="lessThan">
      <formula>0</formula>
    </cfRule>
  </conditionalFormatting>
  <conditionalFormatting sqref="I97:K97">
    <cfRule type="cellIs" dxfId="1" priority="224" operator="lessThan">
      <formula>0</formula>
    </cfRule>
  </conditionalFormatting>
  <conditionalFormatting sqref="I87:K88">
    <cfRule type="cellIs" dxfId="1" priority="225" operator="lessThan">
      <formula>0</formula>
    </cfRule>
  </conditionalFormatting>
  <conditionalFormatting sqref="J89:J93">
    <cfRule type="cellIs" dxfId="1" priority="226" operator="lessThan">
      <formula>0</formula>
    </cfRule>
  </conditionalFormatting>
  <conditionalFormatting sqref="I89">
    <cfRule type="cellIs" dxfId="1" priority="227" operator="lessThan">
      <formula>0</formula>
    </cfRule>
  </conditionalFormatting>
  <conditionalFormatting sqref="K89">
    <cfRule type="cellIs" dxfId="1" priority="228" operator="lessThan">
      <formula>0</formula>
    </cfRule>
  </conditionalFormatting>
  <conditionalFormatting sqref="I90">
    <cfRule type="cellIs" dxfId="1" priority="229" operator="lessThan">
      <formula>0</formula>
    </cfRule>
  </conditionalFormatting>
  <conditionalFormatting sqref="K90">
    <cfRule type="cellIs" dxfId="1" priority="230" operator="lessThan">
      <formula>0</formula>
    </cfRule>
  </conditionalFormatting>
  <conditionalFormatting sqref="I91:I93">
    <cfRule type="cellIs" dxfId="1" priority="231" operator="lessThan">
      <formula>0</formula>
    </cfRule>
  </conditionalFormatting>
  <conditionalFormatting sqref="K91:K93">
    <cfRule type="cellIs" dxfId="1" priority="232" operator="lessThan">
      <formula>0</formula>
    </cfRule>
  </conditionalFormatting>
  <conditionalFormatting sqref="I96:K96">
    <cfRule type="cellIs" dxfId="1" priority="233" operator="lessThan">
      <formula>0</formula>
    </cfRule>
  </conditionalFormatting>
  <conditionalFormatting sqref="I95:K95">
    <cfRule type="cellIs" dxfId="1" priority="234" operator="lessThan">
      <formula>0</formula>
    </cfRule>
  </conditionalFormatting>
  <conditionalFormatting sqref="I94:K94">
    <cfRule type="cellIs" dxfId="1" priority="235" operator="lessThan">
      <formula>0</formula>
    </cfRule>
  </conditionalFormatting>
  <conditionalFormatting sqref="I28:K28">
    <cfRule type="cellIs" dxfId="1" priority="236" operator="lessThan">
      <formula>0</formula>
    </cfRule>
  </conditionalFormatting>
  <conditionalFormatting sqref="J21:J22">
    <cfRule type="cellIs" dxfId="1" priority="237" operator="lessThan">
      <formula>0</formula>
    </cfRule>
  </conditionalFormatting>
  <conditionalFormatting sqref="I15:K17">
    <cfRule type="cellIs" dxfId="1" priority="238" operator="lessThan">
      <formula>0</formula>
    </cfRule>
  </conditionalFormatting>
  <conditionalFormatting sqref="I23:K24">
    <cfRule type="cellIs" dxfId="1" priority="239" operator="lessThan">
      <formula>0</formula>
    </cfRule>
  </conditionalFormatting>
  <conditionalFormatting sqref="I21:I22">
    <cfRule type="cellIs" dxfId="1" priority="240" operator="lessThan">
      <formula>0</formula>
    </cfRule>
  </conditionalFormatting>
  <conditionalFormatting sqref="K21:K22">
    <cfRule type="cellIs" dxfId="1" priority="241" operator="lessThan">
      <formula>0</formula>
    </cfRule>
  </conditionalFormatting>
  <conditionalFormatting sqref="I25">
    <cfRule type="cellIs" dxfId="1" priority="242" operator="lessThan">
      <formula>0</formula>
    </cfRule>
  </conditionalFormatting>
  <conditionalFormatting sqref="K25">
    <cfRule type="cellIs" dxfId="1" priority="243" operator="lessThan">
      <formula>0</formula>
    </cfRule>
  </conditionalFormatting>
  <conditionalFormatting sqref="J25:J26">
    <cfRule type="cellIs" dxfId="1" priority="244" operator="lessThan">
      <formula>0</formula>
    </cfRule>
  </conditionalFormatting>
  <conditionalFormatting sqref="I27:K27">
    <cfRule type="cellIs" dxfId="1" priority="245" operator="lessThan">
      <formula>0</formula>
    </cfRule>
  </conditionalFormatting>
  <conditionalFormatting sqref="I26">
    <cfRule type="cellIs" dxfId="1" priority="246" operator="lessThan">
      <formula>0</formula>
    </cfRule>
  </conditionalFormatting>
  <conditionalFormatting sqref="K26">
    <cfRule type="cellIs" dxfId="1" priority="247" operator="lessThan">
      <formula>0</formula>
    </cfRule>
  </conditionalFormatting>
  <conditionalFormatting sqref="I43">
    <cfRule type="cellIs" dxfId="1" priority="248" operator="lessThan">
      <formula>0</formula>
    </cfRule>
  </conditionalFormatting>
  <conditionalFormatting sqref="I29:K33">
    <cfRule type="cellIs" dxfId="1" priority="249" operator="lessThan">
      <formula>0</formula>
    </cfRule>
  </conditionalFormatting>
  <conditionalFormatting sqref="I34">
    <cfRule type="cellIs" dxfId="1" priority="250" operator="lessThan">
      <formula>0</formula>
    </cfRule>
  </conditionalFormatting>
  <conditionalFormatting sqref="K34">
    <cfRule type="cellIs" dxfId="1" priority="251" operator="lessThan">
      <formula>0</formula>
    </cfRule>
  </conditionalFormatting>
  <conditionalFormatting sqref="K43">
    <cfRule type="cellIs" dxfId="1" priority="252" operator="lessThan">
      <formula>0</formula>
    </cfRule>
  </conditionalFormatting>
  <conditionalFormatting sqref="I35">
    <cfRule type="cellIs" dxfId="1" priority="253" operator="lessThan">
      <formula>0</formula>
    </cfRule>
  </conditionalFormatting>
  <conditionalFormatting sqref="K35">
    <cfRule type="cellIs" dxfId="1" priority="254" operator="lessThan">
      <formula>0</formula>
    </cfRule>
  </conditionalFormatting>
  <conditionalFormatting sqref="I36:I40">
    <cfRule type="cellIs" dxfId="1" priority="255" operator="lessThan">
      <formula>0</formula>
    </cfRule>
  </conditionalFormatting>
  <conditionalFormatting sqref="K36:K40">
    <cfRule type="cellIs" dxfId="1" priority="256" operator="lessThan">
      <formula>0</formula>
    </cfRule>
  </conditionalFormatting>
  <conditionalFormatting sqref="I42">
    <cfRule type="cellIs" dxfId="1" priority="257" operator="lessThan">
      <formula>0</formula>
    </cfRule>
  </conditionalFormatting>
  <conditionalFormatting sqref="K42">
    <cfRule type="cellIs" dxfId="1" priority="258" operator="lessThan">
      <formula>0</formula>
    </cfRule>
  </conditionalFormatting>
  <conditionalFormatting sqref="K41">
    <cfRule type="cellIs" dxfId="1" priority="259" operator="lessThan">
      <formula>0</formula>
    </cfRule>
  </conditionalFormatting>
  <conditionalFormatting sqref="I41">
    <cfRule type="cellIs" dxfId="1" priority="260" operator="lessThan">
      <formula>0</formula>
    </cfRule>
  </conditionalFormatting>
  <conditionalFormatting sqref="I69">
    <cfRule type="cellIs" dxfId="1" priority="261" operator="lessThan">
      <formula>0</formula>
    </cfRule>
  </conditionalFormatting>
  <conditionalFormatting sqref="K69">
    <cfRule type="cellIs" dxfId="1" priority="262" operator="lessThan">
      <formula>0</formula>
    </cfRule>
  </conditionalFormatting>
  <conditionalFormatting sqref="I61">
    <cfRule type="cellIs" dxfId="1" priority="263" operator="lessThan">
      <formula>0</formula>
    </cfRule>
  </conditionalFormatting>
  <conditionalFormatting sqref="K61">
    <cfRule type="cellIs" dxfId="1" priority="264" operator="lessThan">
      <formula>0</formula>
    </cfRule>
  </conditionalFormatting>
  <conditionalFormatting sqref="K62">
    <cfRule type="cellIs" dxfId="1" priority="265" operator="lessThan">
      <formula>0</formula>
    </cfRule>
  </conditionalFormatting>
  <conditionalFormatting sqref="I62">
    <cfRule type="cellIs" dxfId="1" priority="266" operator="lessThan">
      <formula>0</formula>
    </cfRule>
  </conditionalFormatting>
  <conditionalFormatting sqref="I63:I65">
    <cfRule type="cellIs" dxfId="1" priority="267" operator="lessThan">
      <formula>0</formula>
    </cfRule>
  </conditionalFormatting>
  <conditionalFormatting sqref="K63:K65">
    <cfRule type="cellIs" dxfId="1" priority="268" operator="lessThan">
      <formula>0</formula>
    </cfRule>
  </conditionalFormatting>
  <conditionalFormatting sqref="J34:J43">
    <cfRule type="cellIs" dxfId="1" priority="269" operator="lessThan">
      <formula>0</formula>
    </cfRule>
  </conditionalFormatting>
  <conditionalFormatting sqref="J61:J65">
    <cfRule type="cellIs" dxfId="1" priority="270" operator="lessThan">
      <formula>0</formula>
    </cfRule>
  </conditionalFormatting>
  <conditionalFormatting sqref="J69">
    <cfRule type="cellIs" dxfId="1" priority="271" operator="lessThan">
      <formula>0</formula>
    </cfRule>
  </conditionalFormatting>
  <conditionalFormatting sqref="I84:K84">
    <cfRule type="cellIs" dxfId="1" priority="272" operator="lessThan">
      <formula>0</formula>
    </cfRule>
  </conditionalFormatting>
  <conditionalFormatting sqref="J76:J77">
    <cfRule type="cellIs" dxfId="1" priority="273" operator="lessThan">
      <formula>0</formula>
    </cfRule>
    <cfRule type="cellIs" dxfId="1" priority="274" operator="lessThan">
      <formula>0</formula>
    </cfRule>
  </conditionalFormatting>
  <conditionalFormatting sqref="I79:K79">
    <cfRule type="cellIs" dxfId="1" priority="275" operator="lessThan">
      <formula>0</formula>
    </cfRule>
  </conditionalFormatting>
  <conditionalFormatting sqref="I65:K65">
    <cfRule type="cellIs" dxfId="1" priority="276" operator="lessThan">
      <formula>0</formula>
    </cfRule>
    <cfRule type="cellIs" dxfId="1" priority="277" operator="lessThan">
      <formula>0</formula>
    </cfRule>
  </conditionalFormatting>
  <conditionalFormatting sqref="I69:K70">
    <cfRule type="cellIs" dxfId="1" priority="278" operator="lessThan">
      <formula>0</formula>
    </cfRule>
    <cfRule type="cellIs" dxfId="1" priority="279" operator="lessThan">
      <formula>0</formula>
    </cfRule>
  </conditionalFormatting>
  <conditionalFormatting sqref="I72:K75">
    <cfRule type="cellIs" dxfId="1" priority="280" operator="lessThan">
      <formula>0</formula>
    </cfRule>
  </conditionalFormatting>
  <conditionalFormatting sqref="I76">
    <cfRule type="cellIs" dxfId="1" priority="281" operator="lessThan">
      <formula>0</formula>
    </cfRule>
    <cfRule type="cellIs" dxfId="1" priority="282" operator="lessThan">
      <formula>0</formula>
    </cfRule>
  </conditionalFormatting>
  <conditionalFormatting sqref="K76">
    <cfRule type="cellIs" dxfId="1" priority="283" operator="lessThan">
      <formula>0</formula>
    </cfRule>
    <cfRule type="cellIs" dxfId="1" priority="284" operator="lessThan">
      <formula>0</formula>
    </cfRule>
  </conditionalFormatting>
  <conditionalFormatting sqref="I79:K80">
    <cfRule type="cellIs" dxfId="1" priority="285" operator="lessThan">
      <formula>0</formula>
    </cfRule>
    <cfRule type="cellIs" dxfId="1" priority="286" operator="lessThan">
      <formula>0</formula>
    </cfRule>
  </conditionalFormatting>
  <conditionalFormatting sqref="I77">
    <cfRule type="cellIs" dxfId="1" priority="287" operator="lessThan">
      <formula>0</formula>
    </cfRule>
    <cfRule type="cellIs" dxfId="1" priority="288" operator="lessThan">
      <formula>0</formula>
    </cfRule>
  </conditionalFormatting>
  <conditionalFormatting sqref="K77">
    <cfRule type="cellIs" dxfId="1" priority="289" operator="lessThan">
      <formula>0</formula>
    </cfRule>
    <cfRule type="cellIs" dxfId="1" priority="290" operator="lessThan">
      <formula>0</formula>
    </cfRule>
  </conditionalFormatting>
  <conditionalFormatting sqref="J82">
    <cfRule type="cellIs" dxfId="1" priority="291" operator="lessThan">
      <formula>0</formula>
    </cfRule>
  </conditionalFormatting>
  <conditionalFormatting sqref="I83:K83">
    <cfRule type="cellIs" dxfId="1" priority="292" operator="lessThan">
      <formula>0</formula>
    </cfRule>
  </conditionalFormatting>
  <conditionalFormatting sqref="I82">
    <cfRule type="cellIs" dxfId="1" priority="293" operator="lessThan">
      <formula>0</formula>
    </cfRule>
  </conditionalFormatting>
  <conditionalFormatting sqref="K82">
    <cfRule type="cellIs" dxfId="1" priority="294" operator="lessThan">
      <formula>0</formula>
    </cfRule>
  </conditionalFormatting>
  <conditionalFormatting sqref="I85:K86">
    <cfRule type="cellIs" dxfId="1" priority="295" operator="lessThan">
      <formula>0</formula>
    </cfRule>
  </conditionalFormatting>
  <conditionalFormatting sqref="I74:K75">
    <cfRule type="cellIs" dxfId="1" priority="296" operator="lessThan">
      <formula>0</formula>
    </cfRule>
    <cfRule type="cellIs" dxfId="1" priority="297" operator="lessThan">
      <formula>0</formula>
    </cfRule>
  </conditionalFormatting>
  <conditionalFormatting sqref="I72:I73">
    <cfRule type="cellIs" dxfId="1" priority="298" operator="lessThan">
      <formula>0</formula>
    </cfRule>
    <cfRule type="cellIs" dxfId="1" priority="299" operator="lessThan">
      <formula>0</formula>
    </cfRule>
  </conditionalFormatting>
  <conditionalFormatting sqref="K72:K73">
    <cfRule type="cellIs" dxfId="1" priority="300" operator="lessThan">
      <formula>0</formula>
    </cfRule>
    <cfRule type="cellIs" dxfId="1" priority="301" operator="lessThan">
      <formula>0</formula>
    </cfRule>
  </conditionalFormatting>
  <conditionalFormatting sqref="I80:K80">
    <cfRule type="cellIs" dxfId="1" priority="302" operator="lessThan">
      <formula>0</formula>
    </cfRule>
    <cfRule type="cellIs" dxfId="1" priority="303" operator="lessThan">
      <formula>0</formula>
    </cfRule>
    <cfRule type="cellIs" dxfId="1" priority="304" operator="lessThan">
      <formula>0</formula>
    </cfRule>
  </conditionalFormatting>
  <conditionalFormatting sqref="Q85">
    <cfRule type="cellIs" dxfId="1" priority="305" operator="lessThan">
      <formula>0</formula>
    </cfRule>
  </conditionalFormatting>
  <conditionalFormatting sqref="L18:L20">
    <cfRule type="cellIs" dxfId="1" priority="306" operator="lessThan">
      <formula>0</formula>
    </cfRule>
  </conditionalFormatting>
  <conditionalFormatting sqref="AC18:AC20">
    <cfRule type="cellIs" dxfId="1" priority="307" operator="lessThan">
      <formula>0</formula>
    </cfRule>
  </conditionalFormatting>
  <conditionalFormatting sqref="Z18:AA20">
    <cfRule type="cellIs" dxfId="1" priority="308" operator="lessThan">
      <formula>0</formula>
    </cfRule>
  </conditionalFormatting>
  <conditionalFormatting sqref="W18:X20">
    <cfRule type="cellIs" dxfId="1" priority="309" operator="lessThan">
      <formula>0</formula>
    </cfRule>
  </conditionalFormatting>
  <conditionalFormatting sqref="T18:U20">
    <cfRule type="cellIs" dxfId="1" priority="310" operator="lessThan">
      <formula>0</formula>
    </cfRule>
  </conditionalFormatting>
  <conditionalFormatting sqref="Q18:R20">
    <cfRule type="cellIs" dxfId="1" priority="311" operator="lessThan">
      <formula>0</formula>
    </cfRule>
  </conditionalFormatting>
  <conditionalFormatting sqref="N18:O20">
    <cfRule type="cellIs" dxfId="1" priority="312" operator="lessThan">
      <formula>0</formula>
    </cfRule>
  </conditionalFormatting>
  <conditionalFormatting sqref="I18:K20">
    <cfRule type="cellIs" dxfId="1" priority="313" operator="lessThan">
      <formula>0</formula>
    </cfRule>
  </conditionalFormatting>
  <conditionalFormatting sqref="L44:L52">
    <cfRule type="cellIs" dxfId="1" priority="314" operator="lessThan">
      <formula>0</formula>
    </cfRule>
  </conditionalFormatting>
  <conditionalFormatting sqref="AC44:AC52">
    <cfRule type="cellIs" dxfId="1" priority="315" operator="lessThan">
      <formula>0</formula>
    </cfRule>
  </conditionalFormatting>
  <conditionalFormatting sqref="Z44:AA52">
    <cfRule type="cellIs" dxfId="1" priority="316" operator="lessThan">
      <formula>0</formula>
    </cfRule>
  </conditionalFormatting>
  <conditionalFormatting sqref="W44:X52">
    <cfRule type="cellIs" dxfId="1" priority="317" operator="lessThan">
      <formula>0</formula>
    </cfRule>
  </conditionalFormatting>
  <conditionalFormatting sqref="T44:U52">
    <cfRule type="cellIs" dxfId="1" priority="318" operator="lessThan">
      <formula>0</formula>
    </cfRule>
  </conditionalFormatting>
  <conditionalFormatting sqref="Q44:R52">
    <cfRule type="cellIs" dxfId="1" priority="319" operator="lessThan">
      <formula>0</formula>
    </cfRule>
  </conditionalFormatting>
  <conditionalFormatting sqref="N44:O52">
    <cfRule type="cellIs" dxfId="1" priority="320" operator="lessThan">
      <formula>0</formula>
    </cfRule>
  </conditionalFormatting>
  <conditionalFormatting sqref="I44:K52">
    <cfRule type="cellIs" dxfId="1" priority="321" operator="lessThan">
      <formula>0</formula>
    </cfRule>
  </conditionalFormatting>
  <conditionalFormatting sqref="L81">
    <cfRule type="cellIs" dxfId="1" priority="322" operator="lessThan">
      <formula>0</formula>
    </cfRule>
  </conditionalFormatting>
  <conditionalFormatting sqref="L78">
    <cfRule type="cellIs" dxfId="1" priority="323" operator="lessThan">
      <formula>0</formula>
    </cfRule>
  </conditionalFormatting>
  <conditionalFormatting sqref="L71">
    <cfRule type="cellIs" dxfId="1" priority="324" operator="lessThan">
      <formula>0</formula>
    </cfRule>
  </conditionalFormatting>
  <conditionalFormatting sqref="L66:L68">
    <cfRule type="cellIs" dxfId="1" priority="325" operator="lessThan">
      <formula>0</formula>
    </cfRule>
  </conditionalFormatting>
  <conditionalFormatting sqref="AC66:AC68">
    <cfRule type="cellIs" dxfId="1" priority="326" operator="lessThan">
      <formula>0</formula>
    </cfRule>
  </conditionalFormatting>
  <conditionalFormatting sqref="AC71">
    <cfRule type="cellIs" dxfId="1" priority="327" operator="lessThan">
      <formula>0</formula>
    </cfRule>
  </conditionalFormatting>
  <conditionalFormatting sqref="AC78">
    <cfRule type="cellIs" dxfId="1" priority="328" operator="lessThan">
      <formula>0</formula>
    </cfRule>
  </conditionalFormatting>
  <conditionalFormatting sqref="AC81">
    <cfRule type="cellIs" dxfId="1" priority="329" operator="lessThan">
      <formula>0</formula>
    </cfRule>
  </conditionalFormatting>
  <conditionalFormatting sqref="Z66:AA68">
    <cfRule type="cellIs" dxfId="1" priority="330" operator="lessThan">
      <formula>0</formula>
    </cfRule>
  </conditionalFormatting>
  <conditionalFormatting sqref="Z71:AA71">
    <cfRule type="cellIs" dxfId="1" priority="331" operator="lessThan">
      <formula>0</formula>
    </cfRule>
  </conditionalFormatting>
  <conditionalFormatting sqref="Z78:AA78">
    <cfRule type="cellIs" dxfId="1" priority="332" operator="lessThan">
      <formula>0</formula>
    </cfRule>
  </conditionalFormatting>
  <conditionalFormatting sqref="Z81:AA81">
    <cfRule type="cellIs" dxfId="1" priority="333" operator="lessThan">
      <formula>0</formula>
    </cfRule>
  </conditionalFormatting>
  <conditionalFormatting sqref="W66:X68">
    <cfRule type="cellIs" dxfId="1" priority="334" operator="lessThan">
      <formula>0</formula>
    </cfRule>
  </conditionalFormatting>
  <conditionalFormatting sqref="W71:X71">
    <cfRule type="cellIs" dxfId="1" priority="335" operator="lessThan">
      <formula>0</formula>
    </cfRule>
  </conditionalFormatting>
  <conditionalFormatting sqref="W78:X78">
    <cfRule type="cellIs" dxfId="1" priority="336" operator="lessThan">
      <formula>0</formula>
    </cfRule>
  </conditionalFormatting>
  <conditionalFormatting sqref="W81:X81">
    <cfRule type="cellIs" dxfId="1" priority="337" operator="lessThan">
      <formula>0</formula>
    </cfRule>
  </conditionalFormatting>
  <conditionalFormatting sqref="T66:U68">
    <cfRule type="cellIs" dxfId="1" priority="338" operator="lessThan">
      <formula>0</formula>
    </cfRule>
  </conditionalFormatting>
  <conditionalFormatting sqref="T71:U71">
    <cfRule type="cellIs" dxfId="1" priority="339" operator="lessThan">
      <formula>0</formula>
    </cfRule>
  </conditionalFormatting>
  <conditionalFormatting sqref="T78:U78">
    <cfRule type="cellIs" dxfId="1" priority="340" operator="lessThan">
      <formula>0</formula>
    </cfRule>
  </conditionalFormatting>
  <conditionalFormatting sqref="T81:U81">
    <cfRule type="cellIs" dxfId="1" priority="341" operator="lessThan">
      <formula>0</formula>
    </cfRule>
  </conditionalFormatting>
  <conditionalFormatting sqref="Q66:R68">
    <cfRule type="cellIs" dxfId="1" priority="342" operator="lessThan">
      <formula>0</formula>
    </cfRule>
  </conditionalFormatting>
  <conditionalFormatting sqref="Q71:R71">
    <cfRule type="cellIs" dxfId="1" priority="343" operator="lessThan">
      <formula>0</formula>
    </cfRule>
  </conditionalFormatting>
  <conditionalFormatting sqref="Q78:R78">
    <cfRule type="cellIs" dxfId="1" priority="344" operator="lessThan">
      <formula>0</formula>
    </cfRule>
  </conditionalFormatting>
  <conditionalFormatting sqref="Q81:R81">
    <cfRule type="cellIs" dxfId="1" priority="345" operator="lessThan">
      <formula>0</formula>
    </cfRule>
  </conditionalFormatting>
  <conditionalFormatting sqref="N66:O68">
    <cfRule type="cellIs" dxfId="1" priority="346" operator="lessThan">
      <formula>0</formula>
    </cfRule>
  </conditionalFormatting>
  <conditionalFormatting sqref="N71:O71">
    <cfRule type="cellIs" dxfId="1" priority="347" operator="lessThan">
      <formula>0</formula>
    </cfRule>
  </conditionalFormatting>
  <conditionalFormatting sqref="N78:O78">
    <cfRule type="cellIs" dxfId="1" priority="348" operator="lessThan">
      <formula>0</formula>
    </cfRule>
  </conditionalFormatting>
  <conditionalFormatting sqref="N81:O81">
    <cfRule type="cellIs" dxfId="1" priority="349" operator="lessThan">
      <formula>0</formula>
    </cfRule>
  </conditionalFormatting>
  <conditionalFormatting sqref="I81:K81">
    <cfRule type="cellIs" dxfId="1" priority="350" operator="lessThan">
      <formula>0</formula>
    </cfRule>
  </conditionalFormatting>
  <conditionalFormatting sqref="I78:K78">
    <cfRule type="cellIs" dxfId="1" priority="351" operator="lessThan">
      <formula>0</formula>
    </cfRule>
  </conditionalFormatting>
  <conditionalFormatting sqref="I71:K71">
    <cfRule type="cellIs" dxfId="1" priority="352" operator="lessThan">
      <formula>0</formula>
    </cfRule>
  </conditionalFormatting>
  <conditionalFormatting sqref="I66:K68">
    <cfRule type="cellIs" dxfId="1" priority="353" operator="lessThan">
      <formula>0</formula>
    </cfRule>
  </conditionalFormatting>
  <conditionalFormatting sqref="AB28">
    <cfRule type="cellIs" dxfId="1" priority="354" operator="lessThan">
      <formula>0</formula>
    </cfRule>
  </conditionalFormatting>
  <conditionalFormatting sqref="AB16:AB17">
    <cfRule type="cellIs" dxfId="1" priority="355" operator="lessThan">
      <formula>0</formula>
    </cfRule>
  </conditionalFormatting>
  <conditionalFormatting sqref="AB21:AB25">
    <cfRule type="cellIs" dxfId="1" priority="356" operator="lessThan">
      <formula>0</formula>
    </cfRule>
  </conditionalFormatting>
  <conditionalFormatting sqref="AB27">
    <cfRule type="cellIs" dxfId="1" priority="357" operator="lessThan">
      <formula>0</formula>
    </cfRule>
  </conditionalFormatting>
  <conditionalFormatting sqref="AB26">
    <cfRule type="cellIs" dxfId="1" priority="358" operator="lessThan">
      <formula>0</formula>
    </cfRule>
  </conditionalFormatting>
  <conditionalFormatting sqref="AB29:AB34">
    <cfRule type="cellIs" dxfId="1" priority="359" operator="lessThan">
      <formula>0</formula>
    </cfRule>
  </conditionalFormatting>
  <conditionalFormatting sqref="AB43">
    <cfRule type="cellIs" dxfId="1" priority="360" operator="lessThan">
      <formula>0</formula>
    </cfRule>
  </conditionalFormatting>
  <conditionalFormatting sqref="AB35">
    <cfRule type="cellIs" dxfId="1" priority="361" operator="lessThan">
      <formula>0</formula>
    </cfRule>
  </conditionalFormatting>
  <conditionalFormatting sqref="AB36:AB40">
    <cfRule type="cellIs" dxfId="1" priority="362" operator="lessThan">
      <formula>0</formula>
    </cfRule>
  </conditionalFormatting>
  <conditionalFormatting sqref="AB42">
    <cfRule type="cellIs" dxfId="1" priority="363" operator="lessThan">
      <formula>0</formula>
    </cfRule>
  </conditionalFormatting>
  <conditionalFormatting sqref="AB41">
    <cfRule type="cellIs" dxfId="1" priority="364" operator="lessThan">
      <formula>0</formula>
    </cfRule>
  </conditionalFormatting>
  <conditionalFormatting sqref="AB69">
    <cfRule type="cellIs" dxfId="1" priority="365" operator="lessThan">
      <formula>0</formula>
    </cfRule>
  </conditionalFormatting>
  <conditionalFormatting sqref="AB61">
    <cfRule type="cellIs" dxfId="1" priority="366" operator="lessThan">
      <formula>0</formula>
    </cfRule>
  </conditionalFormatting>
  <conditionalFormatting sqref="AB62">
    <cfRule type="cellIs" dxfId="1" priority="367" operator="lessThan">
      <formula>0</formula>
    </cfRule>
  </conditionalFormatting>
  <conditionalFormatting sqref="AB63:AB65">
    <cfRule type="cellIs" dxfId="1" priority="368" operator="lessThan">
      <formula>0</formula>
    </cfRule>
  </conditionalFormatting>
  <conditionalFormatting sqref="AB84">
    <cfRule type="cellIs" dxfId="1" priority="369" operator="lessThan">
      <formula>0</formula>
    </cfRule>
  </conditionalFormatting>
  <conditionalFormatting sqref="AB72:AB75">
    <cfRule type="cellIs" dxfId="1" priority="370" operator="lessThan">
      <formula>0</formula>
    </cfRule>
  </conditionalFormatting>
  <conditionalFormatting sqref="AB70">
    <cfRule type="cellIs" dxfId="1" priority="371" operator="lessThan">
      <formula>0</formula>
    </cfRule>
  </conditionalFormatting>
  <conditionalFormatting sqref="AB76">
    <cfRule type="cellIs" dxfId="1" priority="372" operator="lessThan">
      <formula>0</formula>
    </cfRule>
  </conditionalFormatting>
  <conditionalFormatting sqref="AB79:AB80">
    <cfRule type="cellIs" dxfId="1" priority="373" operator="lessThan">
      <formula>0</formula>
    </cfRule>
  </conditionalFormatting>
  <conditionalFormatting sqref="AB77">
    <cfRule type="cellIs" dxfId="1" priority="374" operator="lessThan">
      <formula>0</formula>
    </cfRule>
  </conditionalFormatting>
  <conditionalFormatting sqref="AB83">
    <cfRule type="cellIs" dxfId="1" priority="375" operator="lessThan">
      <formula>0</formula>
    </cfRule>
  </conditionalFormatting>
  <conditionalFormatting sqref="AB82">
    <cfRule type="cellIs" dxfId="1" priority="376" operator="lessThan">
      <formula>0</formula>
    </cfRule>
  </conditionalFormatting>
  <conditionalFormatting sqref="AB97">
    <cfRule type="cellIs" dxfId="1" priority="377" operator="lessThan">
      <formula>0</formula>
    </cfRule>
  </conditionalFormatting>
  <conditionalFormatting sqref="AB85:AB88">
    <cfRule type="cellIs" dxfId="1" priority="378" operator="lessThan">
      <formula>0</formula>
    </cfRule>
  </conditionalFormatting>
  <conditionalFormatting sqref="AB89">
    <cfRule type="cellIs" dxfId="1" priority="379" operator="lessThan">
      <formula>0</formula>
    </cfRule>
  </conditionalFormatting>
  <conditionalFormatting sqref="AB90">
    <cfRule type="cellIs" dxfId="1" priority="380" operator="lessThan">
      <formula>0</formula>
    </cfRule>
  </conditionalFormatting>
  <conditionalFormatting sqref="AB91:AB93">
    <cfRule type="cellIs" dxfId="1" priority="381" operator="lessThan">
      <formula>0</formula>
    </cfRule>
  </conditionalFormatting>
  <conditionalFormatting sqref="AB96">
    <cfRule type="cellIs" dxfId="1" priority="382" operator="lessThan">
      <formula>0</formula>
    </cfRule>
  </conditionalFormatting>
  <conditionalFormatting sqref="AB95">
    <cfRule type="cellIs" dxfId="1" priority="383" operator="lessThan">
      <formula>0</formula>
    </cfRule>
  </conditionalFormatting>
  <conditionalFormatting sqref="AB94">
    <cfRule type="cellIs" dxfId="1" priority="384" operator="lessThan">
      <formula>0</formula>
    </cfRule>
  </conditionalFormatting>
  <conditionalFormatting sqref="AB18:AB20">
    <cfRule type="cellIs" dxfId="1" priority="385" operator="lessThan">
      <formula>0</formula>
    </cfRule>
  </conditionalFormatting>
  <conditionalFormatting sqref="AB44:AB52">
    <cfRule type="cellIs" dxfId="1" priority="386" operator="lessThan">
      <formula>0</formula>
    </cfRule>
  </conditionalFormatting>
  <conditionalFormatting sqref="AB81">
    <cfRule type="cellIs" dxfId="1" priority="387" operator="lessThan">
      <formula>0</formula>
    </cfRule>
  </conditionalFormatting>
  <conditionalFormatting sqref="AB78">
    <cfRule type="cellIs" dxfId="1" priority="388" operator="lessThan">
      <formula>0</formula>
    </cfRule>
  </conditionalFormatting>
  <conditionalFormatting sqref="AB71">
    <cfRule type="cellIs" dxfId="1" priority="389" operator="lessThan">
      <formula>0</formula>
    </cfRule>
  </conditionalFormatting>
  <conditionalFormatting sqref="AB66:AB68">
    <cfRule type="cellIs" dxfId="1" priority="390" operator="lessThan">
      <formula>0</formula>
    </cfRule>
  </conditionalFormatting>
  <conditionalFormatting sqref="M28">
    <cfRule type="cellIs" dxfId="1" priority="391" operator="lessThan">
      <formula>0</formula>
    </cfRule>
  </conditionalFormatting>
  <conditionalFormatting sqref="M21:M22">
    <cfRule type="cellIs" dxfId="1" priority="392" operator="lessThan">
      <formula>0</formula>
    </cfRule>
  </conditionalFormatting>
  <conditionalFormatting sqref="M16:M17">
    <cfRule type="cellIs" dxfId="1" priority="393" operator="lessThan">
      <formula>0</formula>
    </cfRule>
  </conditionalFormatting>
  <conditionalFormatting sqref="M23:M26">
    <cfRule type="cellIs" dxfId="1" priority="394" operator="lessThan">
      <formula>0</formula>
    </cfRule>
  </conditionalFormatting>
  <conditionalFormatting sqref="M27">
    <cfRule type="cellIs" dxfId="1" priority="395" operator="lessThan">
      <formula>0</formula>
    </cfRule>
  </conditionalFormatting>
  <conditionalFormatting sqref="M29:M33">
    <cfRule type="cellIs" dxfId="1" priority="396" operator="lessThan">
      <formula>0</formula>
    </cfRule>
  </conditionalFormatting>
  <conditionalFormatting sqref="M34:M43">
    <cfRule type="cellIs" dxfId="1" priority="397" operator="lessThan">
      <formula>0</formula>
    </cfRule>
  </conditionalFormatting>
  <conditionalFormatting sqref="M61:M65">
    <cfRule type="cellIs" dxfId="1" priority="398" operator="lessThan">
      <formula>0</formula>
    </cfRule>
  </conditionalFormatting>
  <conditionalFormatting sqref="M69">
    <cfRule type="cellIs" dxfId="1" priority="399" operator="lessThan">
      <formula>0</formula>
    </cfRule>
  </conditionalFormatting>
  <conditionalFormatting sqref="M72:M77">
    <cfRule type="cellIs" dxfId="1" priority="400" operator="lessThan">
      <formula>0</formula>
    </cfRule>
  </conditionalFormatting>
  <conditionalFormatting sqref="M70">
    <cfRule type="cellIs" dxfId="1" priority="401" operator="lessThan">
      <formula>0</formula>
    </cfRule>
  </conditionalFormatting>
  <conditionalFormatting sqref="M84:M87">
    <cfRule type="cellIs" dxfId="1" priority="402" operator="lessThan">
      <formula>0</formula>
    </cfRule>
  </conditionalFormatting>
  <conditionalFormatting sqref="M79:M80">
    <cfRule type="cellIs" dxfId="1" priority="403" operator="lessThan">
      <formula>0</formula>
    </cfRule>
  </conditionalFormatting>
  <conditionalFormatting sqref="M82">
    <cfRule type="cellIs" dxfId="1" priority="404" operator="lessThan">
      <formula>0</formula>
    </cfRule>
  </conditionalFormatting>
  <conditionalFormatting sqref="M83">
    <cfRule type="cellIs" dxfId="1" priority="405" operator="lessThan">
      <formula>0</formula>
    </cfRule>
  </conditionalFormatting>
  <conditionalFormatting sqref="M97">
    <cfRule type="cellIs" dxfId="1" priority="406" operator="lessThan">
      <formula>0</formula>
    </cfRule>
  </conditionalFormatting>
  <conditionalFormatting sqref="M88">
    <cfRule type="cellIs" dxfId="1" priority="407" operator="lessThan">
      <formula>0</formula>
    </cfRule>
  </conditionalFormatting>
  <conditionalFormatting sqref="M89">
    <cfRule type="cellIs" dxfId="1" priority="408" operator="lessThan">
      <formula>0</formula>
    </cfRule>
  </conditionalFormatting>
  <conditionalFormatting sqref="M90">
    <cfRule type="cellIs" dxfId="1" priority="409" operator="lessThan">
      <formula>0</formula>
    </cfRule>
  </conditionalFormatting>
  <conditionalFormatting sqref="M91:M93">
    <cfRule type="cellIs" dxfId="1" priority="410" operator="lessThan">
      <formula>0</formula>
    </cfRule>
  </conditionalFormatting>
  <conditionalFormatting sqref="M96">
    <cfRule type="cellIs" dxfId="1" priority="411" operator="lessThan">
      <formula>0</formula>
    </cfRule>
  </conditionalFormatting>
  <conditionalFormatting sqref="M95">
    <cfRule type="cellIs" dxfId="1" priority="412" operator="lessThan">
      <formula>0</formula>
    </cfRule>
  </conditionalFormatting>
  <conditionalFormatting sqref="M94">
    <cfRule type="cellIs" dxfId="1" priority="413" operator="lessThan">
      <formula>0</formula>
    </cfRule>
  </conditionalFormatting>
  <conditionalFormatting sqref="M18:M20">
    <cfRule type="cellIs" dxfId="1" priority="414" operator="lessThan">
      <formula>0</formula>
    </cfRule>
  </conditionalFormatting>
  <conditionalFormatting sqref="M44:M52">
    <cfRule type="cellIs" dxfId="1" priority="415" operator="lessThan">
      <formula>0</formula>
    </cfRule>
  </conditionalFormatting>
  <conditionalFormatting sqref="M81">
    <cfRule type="cellIs" dxfId="1" priority="416" operator="lessThan">
      <formula>0</formula>
    </cfRule>
  </conditionalFormatting>
  <conditionalFormatting sqref="M78">
    <cfRule type="cellIs" dxfId="1" priority="417" operator="lessThan">
      <formula>0</formula>
    </cfRule>
  </conditionalFormatting>
  <conditionalFormatting sqref="M71">
    <cfRule type="cellIs" dxfId="1" priority="418" operator="lessThan">
      <formula>0</formula>
    </cfRule>
  </conditionalFormatting>
  <conditionalFormatting sqref="M66:M68">
    <cfRule type="cellIs" dxfId="1" priority="419" operator="lessThan">
      <formula>0</formula>
    </cfRule>
  </conditionalFormatting>
  <conditionalFormatting sqref="P28">
    <cfRule type="cellIs" dxfId="1" priority="420" operator="lessThan">
      <formula>0</formula>
    </cfRule>
  </conditionalFormatting>
  <conditionalFormatting sqref="P16:P17">
    <cfRule type="cellIs" dxfId="1" priority="421" operator="lessThan">
      <formula>0</formula>
    </cfRule>
  </conditionalFormatting>
  <conditionalFormatting sqref="P21:P25">
    <cfRule type="cellIs" dxfId="1" priority="422" operator="lessThan">
      <formula>0</formula>
    </cfRule>
  </conditionalFormatting>
  <conditionalFormatting sqref="P27">
    <cfRule type="cellIs" dxfId="1" priority="423" operator="lessThan">
      <formula>0</formula>
    </cfRule>
  </conditionalFormatting>
  <conditionalFormatting sqref="P26">
    <cfRule type="cellIs" dxfId="1" priority="424" operator="lessThan">
      <formula>0</formula>
    </cfRule>
  </conditionalFormatting>
  <conditionalFormatting sqref="P29:P34">
    <cfRule type="cellIs" dxfId="1" priority="425" operator="lessThan">
      <formula>0</formula>
    </cfRule>
  </conditionalFormatting>
  <conditionalFormatting sqref="P43">
    <cfRule type="cellIs" dxfId="1" priority="426" operator="lessThan">
      <formula>0</formula>
    </cfRule>
  </conditionalFormatting>
  <conditionalFormatting sqref="P35">
    <cfRule type="cellIs" dxfId="1" priority="427" operator="lessThan">
      <formula>0</formula>
    </cfRule>
  </conditionalFormatting>
  <conditionalFormatting sqref="P36:P40">
    <cfRule type="cellIs" dxfId="1" priority="428" operator="lessThan">
      <formula>0</formula>
    </cfRule>
  </conditionalFormatting>
  <conditionalFormatting sqref="P42">
    <cfRule type="cellIs" dxfId="1" priority="429" operator="lessThan">
      <formula>0</formula>
    </cfRule>
  </conditionalFormatting>
  <conditionalFormatting sqref="P41">
    <cfRule type="cellIs" dxfId="1" priority="430" operator="lessThan">
      <formula>0</formula>
    </cfRule>
  </conditionalFormatting>
  <conditionalFormatting sqref="P61">
    <cfRule type="cellIs" dxfId="1" priority="431" operator="lessThan">
      <formula>0</formula>
    </cfRule>
  </conditionalFormatting>
  <conditionalFormatting sqref="P62">
    <cfRule type="cellIs" dxfId="1" priority="432" operator="lessThan">
      <formula>0</formula>
    </cfRule>
  </conditionalFormatting>
  <conditionalFormatting sqref="P63:P65">
    <cfRule type="cellIs" dxfId="1" priority="433" operator="lessThan">
      <formula>0</formula>
    </cfRule>
  </conditionalFormatting>
  <conditionalFormatting sqref="P69:P70">
    <cfRule type="cellIs" dxfId="1" priority="434" operator="lessThan">
      <formula>0</formula>
    </cfRule>
  </conditionalFormatting>
  <conditionalFormatting sqref="P72:P75">
    <cfRule type="cellIs" dxfId="1" priority="435" operator="lessThan">
      <formula>0</formula>
    </cfRule>
  </conditionalFormatting>
  <conditionalFormatting sqref="P84:P87">
    <cfRule type="cellIs" dxfId="1" priority="436" operator="lessThan">
      <formula>0</formula>
    </cfRule>
  </conditionalFormatting>
  <conditionalFormatting sqref="P76">
    <cfRule type="cellIs" dxfId="1" priority="437" operator="lessThan">
      <formula>0</formula>
    </cfRule>
  </conditionalFormatting>
  <conditionalFormatting sqref="P79:P80">
    <cfRule type="cellIs" dxfId="1" priority="438" operator="lessThan">
      <formula>0</formula>
    </cfRule>
  </conditionalFormatting>
  <conditionalFormatting sqref="P77">
    <cfRule type="cellIs" dxfId="1" priority="439" operator="lessThan">
      <formula>0</formula>
    </cfRule>
  </conditionalFormatting>
  <conditionalFormatting sqref="P83">
    <cfRule type="cellIs" dxfId="1" priority="440" operator="lessThan">
      <formula>0</formula>
    </cfRule>
  </conditionalFormatting>
  <conditionalFormatting sqref="P82">
    <cfRule type="cellIs" dxfId="1" priority="441" operator="lessThan">
      <formula>0</formula>
    </cfRule>
  </conditionalFormatting>
  <conditionalFormatting sqref="P97">
    <cfRule type="cellIs" dxfId="1" priority="442" operator="lessThan">
      <formula>0</formula>
    </cfRule>
  </conditionalFormatting>
  <conditionalFormatting sqref="P88">
    <cfRule type="cellIs" dxfId="1" priority="443" operator="lessThan">
      <formula>0</formula>
    </cfRule>
  </conditionalFormatting>
  <conditionalFormatting sqref="P89">
    <cfRule type="cellIs" dxfId="1" priority="444" operator="lessThan">
      <formula>0</formula>
    </cfRule>
  </conditionalFormatting>
  <conditionalFormatting sqref="P90">
    <cfRule type="cellIs" dxfId="1" priority="445" operator="lessThan">
      <formula>0</formula>
    </cfRule>
  </conditionalFormatting>
  <conditionalFormatting sqref="P91:P93">
    <cfRule type="cellIs" dxfId="1" priority="446" operator="lessThan">
      <formula>0</formula>
    </cfRule>
  </conditionalFormatting>
  <conditionalFormatting sqref="P96">
    <cfRule type="cellIs" dxfId="1" priority="447" operator="lessThan">
      <formula>0</formula>
    </cfRule>
  </conditionalFormatting>
  <conditionalFormatting sqref="P95">
    <cfRule type="cellIs" dxfId="1" priority="448" operator="lessThan">
      <formula>0</formula>
    </cfRule>
  </conditionalFormatting>
  <conditionalFormatting sqref="P94">
    <cfRule type="cellIs" dxfId="1" priority="449" operator="lessThan">
      <formula>0</formula>
    </cfRule>
  </conditionalFormatting>
  <conditionalFormatting sqref="P18:P20">
    <cfRule type="cellIs" dxfId="1" priority="450" operator="lessThan">
      <formula>0</formula>
    </cfRule>
  </conditionalFormatting>
  <conditionalFormatting sqref="P44:P52">
    <cfRule type="cellIs" dxfId="1" priority="451" operator="lessThan">
      <formula>0</formula>
    </cfRule>
  </conditionalFormatting>
  <conditionalFormatting sqref="P81">
    <cfRule type="cellIs" dxfId="1" priority="452" operator="lessThan">
      <formula>0</formula>
    </cfRule>
  </conditionalFormatting>
  <conditionalFormatting sqref="P78">
    <cfRule type="cellIs" dxfId="1" priority="453" operator="lessThan">
      <formula>0</formula>
    </cfRule>
  </conditionalFormatting>
  <conditionalFormatting sqref="P71">
    <cfRule type="cellIs" dxfId="1" priority="454" operator="lessThan">
      <formula>0</formula>
    </cfRule>
  </conditionalFormatting>
  <conditionalFormatting sqref="P66:P68">
    <cfRule type="cellIs" dxfId="1" priority="455" operator="lessThan">
      <formula>0</formula>
    </cfRule>
  </conditionalFormatting>
  <conditionalFormatting sqref="S28">
    <cfRule type="cellIs" dxfId="1" priority="456" operator="lessThan">
      <formula>0</formula>
    </cfRule>
  </conditionalFormatting>
  <conditionalFormatting sqref="S16:S17">
    <cfRule type="cellIs" dxfId="1" priority="457" operator="lessThan">
      <formula>0</formula>
    </cfRule>
  </conditionalFormatting>
  <conditionalFormatting sqref="S21:S25">
    <cfRule type="cellIs" dxfId="1" priority="458" operator="lessThan">
      <formula>0</formula>
    </cfRule>
  </conditionalFormatting>
  <conditionalFormatting sqref="S27">
    <cfRule type="cellIs" dxfId="1" priority="459" operator="lessThan">
      <formula>0</formula>
    </cfRule>
  </conditionalFormatting>
  <conditionalFormatting sqref="S26">
    <cfRule type="cellIs" dxfId="1" priority="460" operator="lessThan">
      <formula>0</formula>
    </cfRule>
  </conditionalFormatting>
  <conditionalFormatting sqref="S29:S34">
    <cfRule type="cellIs" dxfId="1" priority="461" operator="lessThan">
      <formula>0</formula>
    </cfRule>
  </conditionalFormatting>
  <conditionalFormatting sqref="S43">
    <cfRule type="cellIs" dxfId="1" priority="462" operator="lessThan">
      <formula>0</formula>
    </cfRule>
  </conditionalFormatting>
  <conditionalFormatting sqref="S35">
    <cfRule type="cellIs" dxfId="1" priority="463" operator="lessThan">
      <formula>0</formula>
    </cfRule>
  </conditionalFormatting>
  <conditionalFormatting sqref="S36:S40">
    <cfRule type="cellIs" dxfId="1" priority="464" operator="lessThan">
      <formula>0</formula>
    </cfRule>
  </conditionalFormatting>
  <conditionalFormatting sqref="S42">
    <cfRule type="cellIs" dxfId="1" priority="465" operator="lessThan">
      <formula>0</formula>
    </cfRule>
  </conditionalFormatting>
  <conditionalFormatting sqref="S41">
    <cfRule type="cellIs" dxfId="1" priority="466" operator="lessThan">
      <formula>0</formula>
    </cfRule>
  </conditionalFormatting>
  <conditionalFormatting sqref="S69">
    <cfRule type="cellIs" dxfId="1" priority="467" operator="lessThan">
      <formula>0</formula>
    </cfRule>
  </conditionalFormatting>
  <conditionalFormatting sqref="S61">
    <cfRule type="cellIs" dxfId="1" priority="468" operator="lessThan">
      <formula>0</formula>
    </cfRule>
  </conditionalFormatting>
  <conditionalFormatting sqref="S62">
    <cfRule type="cellIs" dxfId="1" priority="469" operator="lessThan">
      <formula>0</formula>
    </cfRule>
  </conditionalFormatting>
  <conditionalFormatting sqref="S63:S65">
    <cfRule type="cellIs" dxfId="1" priority="470" operator="lessThan">
      <formula>0</formula>
    </cfRule>
  </conditionalFormatting>
  <conditionalFormatting sqref="S84">
    <cfRule type="cellIs" dxfId="1" priority="471" operator="lessThan">
      <formula>0</formula>
    </cfRule>
  </conditionalFormatting>
  <conditionalFormatting sqref="S72:S75">
    <cfRule type="cellIs" dxfId="1" priority="472" operator="lessThan">
      <formula>0</formula>
    </cfRule>
  </conditionalFormatting>
  <conditionalFormatting sqref="S70">
    <cfRule type="cellIs" dxfId="1" priority="473" operator="lessThan">
      <formula>0</formula>
    </cfRule>
  </conditionalFormatting>
  <conditionalFormatting sqref="S76">
    <cfRule type="cellIs" dxfId="1" priority="474" operator="lessThan">
      <formula>0</formula>
    </cfRule>
  </conditionalFormatting>
  <conditionalFormatting sqref="S79:S80">
    <cfRule type="cellIs" dxfId="1" priority="475" operator="lessThan">
      <formula>0</formula>
    </cfRule>
  </conditionalFormatting>
  <conditionalFormatting sqref="S77">
    <cfRule type="cellIs" dxfId="1" priority="476" operator="lessThan">
      <formula>0</formula>
    </cfRule>
  </conditionalFormatting>
  <conditionalFormatting sqref="S83">
    <cfRule type="cellIs" dxfId="1" priority="477" operator="lessThan">
      <formula>0</formula>
    </cfRule>
  </conditionalFormatting>
  <conditionalFormatting sqref="S82">
    <cfRule type="cellIs" dxfId="1" priority="478" operator="lessThan">
      <formula>0</formula>
    </cfRule>
  </conditionalFormatting>
  <conditionalFormatting sqref="S97">
    <cfRule type="cellIs" dxfId="1" priority="479" operator="lessThan">
      <formula>0</formula>
    </cfRule>
  </conditionalFormatting>
  <conditionalFormatting sqref="S85:S88">
    <cfRule type="cellIs" dxfId="1" priority="480" operator="lessThan">
      <formula>0</formula>
    </cfRule>
  </conditionalFormatting>
  <conditionalFormatting sqref="S89">
    <cfRule type="cellIs" dxfId="1" priority="481" operator="lessThan">
      <formula>0</formula>
    </cfRule>
  </conditionalFormatting>
  <conditionalFormatting sqref="S90">
    <cfRule type="cellIs" dxfId="1" priority="482" operator="lessThan">
      <formula>0</formula>
    </cfRule>
  </conditionalFormatting>
  <conditionalFormatting sqref="S91:S93">
    <cfRule type="cellIs" dxfId="1" priority="483" operator="lessThan">
      <formula>0</formula>
    </cfRule>
  </conditionalFormatting>
  <conditionalFormatting sqref="S96">
    <cfRule type="cellIs" dxfId="1" priority="484" operator="lessThan">
      <formula>0</formula>
    </cfRule>
  </conditionalFormatting>
  <conditionalFormatting sqref="S95">
    <cfRule type="cellIs" dxfId="1" priority="485" operator="lessThan">
      <formula>0</formula>
    </cfRule>
  </conditionalFormatting>
  <conditionalFormatting sqref="S94">
    <cfRule type="cellIs" dxfId="1" priority="486" operator="lessThan">
      <formula>0</formula>
    </cfRule>
  </conditionalFormatting>
  <conditionalFormatting sqref="S18:S20">
    <cfRule type="cellIs" dxfId="1" priority="487" operator="lessThan">
      <formula>0</formula>
    </cfRule>
  </conditionalFormatting>
  <conditionalFormatting sqref="S44:S52">
    <cfRule type="cellIs" dxfId="1" priority="488" operator="lessThan">
      <formula>0</formula>
    </cfRule>
  </conditionalFormatting>
  <conditionalFormatting sqref="S81">
    <cfRule type="cellIs" dxfId="1" priority="489" operator="lessThan">
      <formula>0</formula>
    </cfRule>
  </conditionalFormatting>
  <conditionalFormatting sqref="S78">
    <cfRule type="cellIs" dxfId="1" priority="490" operator="lessThan">
      <formula>0</formula>
    </cfRule>
  </conditionalFormatting>
  <conditionalFormatting sqref="S71">
    <cfRule type="cellIs" dxfId="1" priority="491" operator="lessThan">
      <formula>0</formula>
    </cfRule>
  </conditionalFormatting>
  <conditionalFormatting sqref="S66:S68">
    <cfRule type="cellIs" dxfId="1" priority="492" operator="lessThan">
      <formula>0</formula>
    </cfRule>
  </conditionalFormatting>
  <conditionalFormatting sqref="V28">
    <cfRule type="cellIs" dxfId="1" priority="493" operator="lessThan">
      <formula>0</formula>
    </cfRule>
  </conditionalFormatting>
  <conditionalFormatting sqref="V16:V17">
    <cfRule type="cellIs" dxfId="1" priority="494" operator="lessThan">
      <formula>0</formula>
    </cfRule>
  </conditionalFormatting>
  <conditionalFormatting sqref="V21:V25">
    <cfRule type="cellIs" dxfId="1" priority="495" operator="lessThan">
      <formula>0</formula>
    </cfRule>
  </conditionalFormatting>
  <conditionalFormatting sqref="V27">
    <cfRule type="cellIs" dxfId="1" priority="496" operator="lessThan">
      <formula>0</formula>
    </cfRule>
  </conditionalFormatting>
  <conditionalFormatting sqref="V26">
    <cfRule type="cellIs" dxfId="1" priority="497" operator="lessThan">
      <formula>0</formula>
    </cfRule>
  </conditionalFormatting>
  <conditionalFormatting sqref="V29:V34">
    <cfRule type="cellIs" dxfId="1" priority="498" operator="lessThan">
      <formula>0</formula>
    </cfRule>
  </conditionalFormatting>
  <conditionalFormatting sqref="V43">
    <cfRule type="cellIs" dxfId="1" priority="499" operator="lessThan">
      <formula>0</formula>
    </cfRule>
  </conditionalFormatting>
  <conditionalFormatting sqref="V35">
    <cfRule type="cellIs" dxfId="1" priority="500" operator="lessThan">
      <formula>0</formula>
    </cfRule>
  </conditionalFormatting>
  <conditionalFormatting sqref="V36:V40">
    <cfRule type="cellIs" dxfId="1" priority="501" operator="lessThan">
      <formula>0</formula>
    </cfRule>
  </conditionalFormatting>
  <conditionalFormatting sqref="V42">
    <cfRule type="cellIs" dxfId="1" priority="502" operator="lessThan">
      <formula>0</formula>
    </cfRule>
  </conditionalFormatting>
  <conditionalFormatting sqref="V41">
    <cfRule type="cellIs" dxfId="1" priority="503" operator="lessThan">
      <formula>0</formula>
    </cfRule>
  </conditionalFormatting>
  <conditionalFormatting sqref="V69">
    <cfRule type="cellIs" dxfId="1" priority="504" operator="lessThan">
      <formula>0</formula>
    </cfRule>
  </conditionalFormatting>
  <conditionalFormatting sqref="V61">
    <cfRule type="cellIs" dxfId="1" priority="505" operator="lessThan">
      <formula>0</formula>
    </cfRule>
  </conditionalFormatting>
  <conditionalFormatting sqref="V62">
    <cfRule type="cellIs" dxfId="1" priority="506" operator="lessThan">
      <formula>0</formula>
    </cfRule>
  </conditionalFormatting>
  <conditionalFormatting sqref="V63:V65">
    <cfRule type="cellIs" dxfId="1" priority="507" operator="lessThan">
      <formula>0</formula>
    </cfRule>
  </conditionalFormatting>
  <conditionalFormatting sqref="V84">
    <cfRule type="cellIs" dxfId="1" priority="508" operator="lessThan">
      <formula>0</formula>
    </cfRule>
  </conditionalFormatting>
  <conditionalFormatting sqref="V72:V75">
    <cfRule type="cellIs" dxfId="1" priority="509" operator="lessThan">
      <formula>0</formula>
    </cfRule>
  </conditionalFormatting>
  <conditionalFormatting sqref="V70">
    <cfRule type="cellIs" dxfId="1" priority="510" operator="lessThan">
      <formula>0</formula>
    </cfRule>
  </conditionalFormatting>
  <conditionalFormatting sqref="V76">
    <cfRule type="cellIs" dxfId="1" priority="511" operator="lessThan">
      <formula>0</formula>
    </cfRule>
  </conditionalFormatting>
  <conditionalFormatting sqref="V79:V80">
    <cfRule type="cellIs" dxfId="1" priority="512" operator="lessThan">
      <formula>0</formula>
    </cfRule>
  </conditionalFormatting>
  <conditionalFormatting sqref="V77">
    <cfRule type="cellIs" dxfId="1" priority="513" operator="lessThan">
      <formula>0</formula>
    </cfRule>
  </conditionalFormatting>
  <conditionalFormatting sqref="V83">
    <cfRule type="cellIs" dxfId="1" priority="514" operator="lessThan">
      <formula>0</formula>
    </cfRule>
  </conditionalFormatting>
  <conditionalFormatting sqref="V82">
    <cfRule type="cellIs" dxfId="1" priority="515" operator="lessThan">
      <formula>0</formula>
    </cfRule>
  </conditionalFormatting>
  <conditionalFormatting sqref="V97">
    <cfRule type="cellIs" dxfId="1" priority="516" operator="lessThan">
      <formula>0</formula>
    </cfRule>
  </conditionalFormatting>
  <conditionalFormatting sqref="V85:V88">
    <cfRule type="cellIs" dxfId="1" priority="517" operator="lessThan">
      <formula>0</formula>
    </cfRule>
  </conditionalFormatting>
  <conditionalFormatting sqref="V89">
    <cfRule type="cellIs" dxfId="1" priority="518" operator="lessThan">
      <formula>0</formula>
    </cfRule>
  </conditionalFormatting>
  <conditionalFormatting sqref="V90">
    <cfRule type="cellIs" dxfId="1" priority="519" operator="lessThan">
      <formula>0</formula>
    </cfRule>
  </conditionalFormatting>
  <conditionalFormatting sqref="V91:V93">
    <cfRule type="cellIs" dxfId="1" priority="520" operator="lessThan">
      <formula>0</formula>
    </cfRule>
  </conditionalFormatting>
  <conditionalFormatting sqref="V96">
    <cfRule type="cellIs" dxfId="1" priority="521" operator="lessThan">
      <formula>0</formula>
    </cfRule>
  </conditionalFormatting>
  <conditionalFormatting sqref="V95">
    <cfRule type="cellIs" dxfId="1" priority="522" operator="lessThan">
      <formula>0</formula>
    </cfRule>
  </conditionalFormatting>
  <conditionalFormatting sqref="V94">
    <cfRule type="cellIs" dxfId="1" priority="523" operator="lessThan">
      <formula>0</formula>
    </cfRule>
  </conditionalFormatting>
  <conditionalFormatting sqref="V18:V20">
    <cfRule type="cellIs" dxfId="1" priority="524" operator="lessThan">
      <formula>0</formula>
    </cfRule>
  </conditionalFormatting>
  <conditionalFormatting sqref="V44:V52">
    <cfRule type="cellIs" dxfId="1" priority="525" operator="lessThan">
      <formula>0</formula>
    </cfRule>
  </conditionalFormatting>
  <conditionalFormatting sqref="V81">
    <cfRule type="cellIs" dxfId="1" priority="526" operator="lessThan">
      <formula>0</formula>
    </cfRule>
  </conditionalFormatting>
  <conditionalFormatting sqref="V78">
    <cfRule type="cellIs" dxfId="1" priority="527" operator="lessThan">
      <formula>0</formula>
    </cfRule>
  </conditionalFormatting>
  <conditionalFormatting sqref="V71">
    <cfRule type="cellIs" dxfId="1" priority="528" operator="lessThan">
      <formula>0</formula>
    </cfRule>
  </conditionalFormatting>
  <conditionalFormatting sqref="V66:V68">
    <cfRule type="cellIs" dxfId="1" priority="529" operator="lessThan">
      <formula>0</formula>
    </cfRule>
  </conditionalFormatting>
  <conditionalFormatting sqref="Y28">
    <cfRule type="cellIs" dxfId="1" priority="530" operator="lessThan">
      <formula>0</formula>
    </cfRule>
  </conditionalFormatting>
  <conditionalFormatting sqref="Y16:Y17">
    <cfRule type="cellIs" dxfId="1" priority="531" operator="lessThan">
      <formula>0</formula>
    </cfRule>
  </conditionalFormatting>
  <conditionalFormatting sqref="Y21:Y25">
    <cfRule type="cellIs" dxfId="1" priority="532" operator="lessThan">
      <formula>0</formula>
    </cfRule>
  </conditionalFormatting>
  <conditionalFormatting sqref="Y27">
    <cfRule type="cellIs" dxfId="1" priority="533" operator="lessThan">
      <formula>0</formula>
    </cfRule>
  </conditionalFormatting>
  <conditionalFormatting sqref="Y26">
    <cfRule type="cellIs" dxfId="1" priority="534" operator="lessThan">
      <formula>0</formula>
    </cfRule>
  </conditionalFormatting>
  <conditionalFormatting sqref="Y29:Y34">
    <cfRule type="cellIs" dxfId="1" priority="535" operator="lessThan">
      <formula>0</formula>
    </cfRule>
  </conditionalFormatting>
  <conditionalFormatting sqref="Y43">
    <cfRule type="cellIs" dxfId="1" priority="536" operator="lessThan">
      <formula>0</formula>
    </cfRule>
  </conditionalFormatting>
  <conditionalFormatting sqref="Y35">
    <cfRule type="cellIs" dxfId="1" priority="537" operator="lessThan">
      <formula>0</formula>
    </cfRule>
  </conditionalFormatting>
  <conditionalFormatting sqref="Y36:Y40">
    <cfRule type="cellIs" dxfId="1" priority="538" operator="lessThan">
      <formula>0</formula>
    </cfRule>
  </conditionalFormatting>
  <conditionalFormatting sqref="Y42">
    <cfRule type="cellIs" dxfId="1" priority="539" operator="lessThan">
      <formula>0</formula>
    </cfRule>
  </conditionalFormatting>
  <conditionalFormatting sqref="Y41">
    <cfRule type="cellIs" dxfId="1" priority="540" operator="lessThan">
      <formula>0</formula>
    </cfRule>
  </conditionalFormatting>
  <conditionalFormatting sqref="Y69">
    <cfRule type="cellIs" dxfId="1" priority="541" operator="lessThan">
      <formula>0</formula>
    </cfRule>
  </conditionalFormatting>
  <conditionalFormatting sqref="Y61">
    <cfRule type="cellIs" dxfId="1" priority="542" operator="lessThan">
      <formula>0</formula>
    </cfRule>
  </conditionalFormatting>
  <conditionalFormatting sqref="Y62">
    <cfRule type="cellIs" dxfId="1" priority="543" operator="lessThan">
      <formula>0</formula>
    </cfRule>
  </conditionalFormatting>
  <conditionalFormatting sqref="Y63:Y65">
    <cfRule type="cellIs" dxfId="1" priority="544" operator="lessThan">
      <formula>0</formula>
    </cfRule>
  </conditionalFormatting>
  <conditionalFormatting sqref="Y84">
    <cfRule type="cellIs" dxfId="1" priority="545" operator="lessThan">
      <formula>0</formula>
    </cfRule>
  </conditionalFormatting>
  <conditionalFormatting sqref="Y72:Y75">
    <cfRule type="cellIs" dxfId="1" priority="546" operator="lessThan">
      <formula>0</formula>
    </cfRule>
  </conditionalFormatting>
  <conditionalFormatting sqref="Y70">
    <cfRule type="cellIs" dxfId="1" priority="547" operator="lessThan">
      <formula>0</formula>
    </cfRule>
  </conditionalFormatting>
  <conditionalFormatting sqref="Y76">
    <cfRule type="cellIs" dxfId="1" priority="548" operator="lessThan">
      <formula>0</formula>
    </cfRule>
  </conditionalFormatting>
  <conditionalFormatting sqref="Y79:Y80">
    <cfRule type="cellIs" dxfId="1" priority="549" operator="lessThan">
      <formula>0</formula>
    </cfRule>
  </conditionalFormatting>
  <conditionalFormatting sqref="Y77">
    <cfRule type="cellIs" dxfId="1" priority="550" operator="lessThan">
      <formula>0</formula>
    </cfRule>
  </conditionalFormatting>
  <conditionalFormatting sqref="Y83">
    <cfRule type="cellIs" dxfId="1" priority="551" operator="lessThan">
      <formula>0</formula>
    </cfRule>
  </conditionalFormatting>
  <conditionalFormatting sqref="Y82">
    <cfRule type="cellIs" dxfId="1" priority="552" operator="lessThan">
      <formula>0</formula>
    </cfRule>
  </conditionalFormatting>
  <conditionalFormatting sqref="Y97">
    <cfRule type="cellIs" dxfId="1" priority="553" operator="lessThan">
      <formula>0</formula>
    </cfRule>
  </conditionalFormatting>
  <conditionalFormatting sqref="Y85:Y88">
    <cfRule type="cellIs" dxfId="1" priority="554" operator="lessThan">
      <formula>0</formula>
    </cfRule>
  </conditionalFormatting>
  <conditionalFormatting sqref="Y89">
    <cfRule type="cellIs" dxfId="1" priority="555" operator="lessThan">
      <formula>0</formula>
    </cfRule>
  </conditionalFormatting>
  <conditionalFormatting sqref="Y90">
    <cfRule type="cellIs" dxfId="1" priority="556" operator="lessThan">
      <formula>0</formula>
    </cfRule>
  </conditionalFormatting>
  <conditionalFormatting sqref="Y91:Y93">
    <cfRule type="cellIs" dxfId="1" priority="557" operator="lessThan">
      <formula>0</formula>
    </cfRule>
  </conditionalFormatting>
  <conditionalFormatting sqref="Y96">
    <cfRule type="cellIs" dxfId="1" priority="558" operator="lessThan">
      <formula>0</formula>
    </cfRule>
  </conditionalFormatting>
  <conditionalFormatting sqref="Y95">
    <cfRule type="cellIs" dxfId="1" priority="559" operator="lessThan">
      <formula>0</formula>
    </cfRule>
  </conditionalFormatting>
  <conditionalFormatting sqref="Y94">
    <cfRule type="cellIs" dxfId="1" priority="560" operator="lessThan">
      <formula>0</formula>
    </cfRule>
  </conditionalFormatting>
  <conditionalFormatting sqref="Y18:Y20">
    <cfRule type="cellIs" dxfId="1" priority="561" operator="lessThan">
      <formula>0</formula>
    </cfRule>
  </conditionalFormatting>
  <conditionalFormatting sqref="Y44:Y52">
    <cfRule type="cellIs" dxfId="1" priority="562" operator="lessThan">
      <formula>0</formula>
    </cfRule>
  </conditionalFormatting>
  <conditionalFormatting sqref="Y81">
    <cfRule type="cellIs" dxfId="1" priority="563" operator="lessThan">
      <formula>0</formula>
    </cfRule>
  </conditionalFormatting>
  <conditionalFormatting sqref="Y78">
    <cfRule type="cellIs" dxfId="1" priority="564" operator="lessThan">
      <formula>0</formula>
    </cfRule>
  </conditionalFormatting>
  <conditionalFormatting sqref="Y71">
    <cfRule type="cellIs" dxfId="1" priority="565" operator="lessThan">
      <formula>0</formula>
    </cfRule>
  </conditionalFormatting>
  <conditionalFormatting sqref="Y66:Y68">
    <cfRule type="cellIs" dxfId="1" priority="566" operator="lessThan">
      <formula>0</formula>
    </cfRule>
  </conditionalFormatting>
  <conditionalFormatting sqref="N83:N88">
    <cfRule type="cellIs" dxfId="1" priority="567" operator="lessThan">
      <formula>0</formula>
    </cfRule>
  </conditionalFormatting>
  <conditionalFormatting sqref="L53:L56">
    <cfRule type="cellIs" dxfId="1" priority="568" operator="lessThan">
      <formula>0</formula>
    </cfRule>
  </conditionalFormatting>
  <conditionalFormatting sqref="N53:O56">
    <cfRule type="cellIs" dxfId="1" priority="569" operator="lessThan">
      <formula>0</formula>
    </cfRule>
  </conditionalFormatting>
  <conditionalFormatting sqref="AC53:AC56">
    <cfRule type="cellIs" dxfId="1" priority="570" operator="lessThan">
      <formula>0</formula>
    </cfRule>
  </conditionalFormatting>
  <conditionalFormatting sqref="Z53:AA56">
    <cfRule type="cellIs" dxfId="1" priority="571" operator="lessThan">
      <formula>0</formula>
    </cfRule>
  </conditionalFormatting>
  <conditionalFormatting sqref="W53:X56">
    <cfRule type="cellIs" dxfId="1" priority="572" operator="lessThan">
      <formula>0</formula>
    </cfRule>
  </conditionalFormatting>
  <conditionalFormatting sqref="T53:U56">
    <cfRule type="cellIs" dxfId="1" priority="573" operator="lessThan">
      <formula>0</formula>
    </cfRule>
  </conditionalFormatting>
  <conditionalFormatting sqref="Q53:R56">
    <cfRule type="cellIs" dxfId="1" priority="574" operator="lessThan">
      <formula>0</formula>
    </cfRule>
  </conditionalFormatting>
  <conditionalFormatting sqref="I53:I56">
    <cfRule type="cellIs" dxfId="1" priority="575" operator="lessThan">
      <formula>0</formula>
    </cfRule>
  </conditionalFormatting>
  <conditionalFormatting sqref="K53:K56">
    <cfRule type="cellIs" dxfId="1" priority="576" operator="lessThan">
      <formula>0</formula>
    </cfRule>
  </conditionalFormatting>
  <conditionalFormatting sqref="J53:J56">
    <cfRule type="cellIs" dxfId="1" priority="577" operator="lessThan">
      <formula>0</formula>
    </cfRule>
  </conditionalFormatting>
  <conditionalFormatting sqref="AB53:AB56">
    <cfRule type="cellIs" dxfId="1" priority="578" operator="lessThan">
      <formula>0</formula>
    </cfRule>
  </conditionalFormatting>
  <conditionalFormatting sqref="M53:M56">
    <cfRule type="cellIs" dxfId="1" priority="579" operator="lessThan">
      <formula>0</formula>
    </cfRule>
  </conditionalFormatting>
  <conditionalFormatting sqref="P53:P56">
    <cfRule type="cellIs" dxfId="1" priority="580" operator="lessThan">
      <formula>0</formula>
    </cfRule>
  </conditionalFormatting>
  <conditionalFormatting sqref="S53:S56">
    <cfRule type="cellIs" dxfId="1" priority="581" operator="lessThan">
      <formula>0</formula>
    </cfRule>
  </conditionalFormatting>
  <conditionalFormatting sqref="V53:V56">
    <cfRule type="cellIs" dxfId="1" priority="582" operator="lessThan">
      <formula>0</formula>
    </cfRule>
  </conditionalFormatting>
  <conditionalFormatting sqref="Y53:Y56">
    <cfRule type="cellIs" dxfId="1" priority="583" operator="lessThan">
      <formula>0</formula>
    </cfRule>
  </conditionalFormatting>
  <conditionalFormatting sqref="L57">
    <cfRule type="cellIs" dxfId="1" priority="584" operator="lessThan">
      <formula>0</formula>
    </cfRule>
  </conditionalFormatting>
  <conditionalFormatting sqref="N57:O57">
    <cfRule type="cellIs" dxfId="1" priority="585" operator="lessThan">
      <formula>0</formula>
    </cfRule>
  </conditionalFormatting>
  <conditionalFormatting sqref="AC57">
    <cfRule type="cellIs" dxfId="1" priority="586" operator="lessThan">
      <formula>0</formula>
    </cfRule>
  </conditionalFormatting>
  <conditionalFormatting sqref="Z57:AA57">
    <cfRule type="cellIs" dxfId="1" priority="587" operator="lessThan">
      <formula>0</formula>
    </cfRule>
  </conditionalFormatting>
  <conditionalFormatting sqref="W57:X57">
    <cfRule type="cellIs" dxfId="1" priority="588" operator="lessThan">
      <formula>0</formula>
    </cfRule>
  </conditionalFormatting>
  <conditionalFormatting sqref="T57:U57">
    <cfRule type="cellIs" dxfId="1" priority="589" operator="lessThan">
      <formula>0</formula>
    </cfRule>
  </conditionalFormatting>
  <conditionalFormatting sqref="Q57:R57">
    <cfRule type="cellIs" dxfId="1" priority="590" operator="lessThan">
      <formula>0</formula>
    </cfRule>
  </conditionalFormatting>
  <conditionalFormatting sqref="N58:O58">
    <cfRule type="cellIs" dxfId="1" priority="591" operator="lessThan">
      <formula>0</formula>
    </cfRule>
  </conditionalFormatting>
  <conditionalFormatting sqref="L58">
    <cfRule type="cellIs" dxfId="1" priority="592" operator="lessThan">
      <formula>0</formula>
    </cfRule>
  </conditionalFormatting>
  <conditionalFormatting sqref="AC58">
    <cfRule type="cellIs" dxfId="1" priority="593" operator="lessThan">
      <formula>0</formula>
    </cfRule>
  </conditionalFormatting>
  <conditionalFormatting sqref="Z58:AA58">
    <cfRule type="cellIs" dxfId="1" priority="594" operator="lessThan">
      <formula>0</formula>
    </cfRule>
  </conditionalFormatting>
  <conditionalFormatting sqref="W58:X58">
    <cfRule type="cellIs" dxfId="1" priority="595" operator="lessThan">
      <formula>0</formula>
    </cfRule>
  </conditionalFormatting>
  <conditionalFormatting sqref="T58:U58">
    <cfRule type="cellIs" dxfId="1" priority="596" operator="lessThan">
      <formula>0</formula>
    </cfRule>
  </conditionalFormatting>
  <conditionalFormatting sqref="Q58:R58">
    <cfRule type="cellIs" dxfId="1" priority="597" operator="lessThan">
      <formula>0</formula>
    </cfRule>
  </conditionalFormatting>
  <conditionalFormatting sqref="L59:L60">
    <cfRule type="cellIs" dxfId="1" priority="598" operator="lessThan">
      <formula>0</formula>
    </cfRule>
  </conditionalFormatting>
  <conditionalFormatting sqref="N59:O60">
    <cfRule type="cellIs" dxfId="1" priority="599" operator="lessThan">
      <formula>0</formula>
    </cfRule>
  </conditionalFormatting>
  <conditionalFormatting sqref="AC59:AC60">
    <cfRule type="cellIs" dxfId="1" priority="600" operator="lessThan">
      <formula>0</formula>
    </cfRule>
  </conditionalFormatting>
  <conditionalFormatting sqref="Z59:AA60">
    <cfRule type="cellIs" dxfId="1" priority="601" operator="lessThan">
      <formula>0</formula>
    </cfRule>
  </conditionalFormatting>
  <conditionalFormatting sqref="W59:X60">
    <cfRule type="cellIs" dxfId="1" priority="602" operator="lessThan">
      <formula>0</formula>
    </cfRule>
  </conditionalFormatting>
  <conditionalFormatting sqref="T59:U60">
    <cfRule type="cellIs" dxfId="1" priority="603" operator="lessThan">
      <formula>0</formula>
    </cfRule>
  </conditionalFormatting>
  <conditionalFormatting sqref="Q59:R60">
    <cfRule type="cellIs" dxfId="1" priority="604" operator="lessThan">
      <formula>0</formula>
    </cfRule>
  </conditionalFormatting>
  <conditionalFormatting sqref="I57">
    <cfRule type="cellIs" dxfId="1" priority="605" operator="lessThan">
      <formula>0</formula>
    </cfRule>
  </conditionalFormatting>
  <conditionalFormatting sqref="K57">
    <cfRule type="cellIs" dxfId="1" priority="606" operator="lessThan">
      <formula>0</formula>
    </cfRule>
  </conditionalFormatting>
  <conditionalFormatting sqref="K58">
    <cfRule type="cellIs" dxfId="1" priority="607" operator="lessThan">
      <formula>0</formula>
    </cfRule>
  </conditionalFormatting>
  <conditionalFormatting sqref="I58">
    <cfRule type="cellIs" dxfId="1" priority="608" operator="lessThan">
      <formula>0</formula>
    </cfRule>
  </conditionalFormatting>
  <conditionalFormatting sqref="I59:I60">
    <cfRule type="cellIs" dxfId="1" priority="609" operator="lessThan">
      <formula>0</formula>
    </cfRule>
  </conditionalFormatting>
  <conditionalFormatting sqref="K59:K60">
    <cfRule type="cellIs" dxfId="1" priority="610" operator="lessThan">
      <formula>0</formula>
    </cfRule>
  </conditionalFormatting>
  <conditionalFormatting sqref="J57:J60">
    <cfRule type="cellIs" dxfId="1" priority="611" operator="lessThan">
      <formula>0</formula>
    </cfRule>
  </conditionalFormatting>
  <conditionalFormatting sqref="AB57">
    <cfRule type="cellIs" dxfId="1" priority="612" operator="lessThan">
      <formula>0</formula>
    </cfRule>
  </conditionalFormatting>
  <conditionalFormatting sqref="AB58">
    <cfRule type="cellIs" dxfId="1" priority="613" operator="lessThan">
      <formula>0</formula>
    </cfRule>
  </conditionalFormatting>
  <conditionalFormatting sqref="AB59:AB60">
    <cfRule type="cellIs" dxfId="1" priority="614" operator="lessThan">
      <formula>0</formula>
    </cfRule>
  </conditionalFormatting>
  <conditionalFormatting sqref="M57:M60">
    <cfRule type="cellIs" dxfId="1" priority="615" operator="lessThan">
      <formula>0</formula>
    </cfRule>
  </conditionalFormatting>
  <conditionalFormatting sqref="P57">
    <cfRule type="cellIs" dxfId="1" priority="616" operator="lessThan">
      <formula>0</formula>
    </cfRule>
  </conditionalFormatting>
  <conditionalFormatting sqref="P58">
    <cfRule type="cellIs" dxfId="1" priority="617" operator="lessThan">
      <formula>0</formula>
    </cfRule>
  </conditionalFormatting>
  <conditionalFormatting sqref="P59:P60">
    <cfRule type="cellIs" dxfId="1" priority="618" operator="lessThan">
      <formula>0</formula>
    </cfRule>
  </conditionalFormatting>
  <conditionalFormatting sqref="S57">
    <cfRule type="cellIs" dxfId="1" priority="619" operator="lessThan">
      <formula>0</formula>
    </cfRule>
  </conditionalFormatting>
  <conditionalFormatting sqref="S58">
    <cfRule type="cellIs" dxfId="1" priority="620" operator="lessThan">
      <formula>0</formula>
    </cfRule>
  </conditionalFormatting>
  <conditionalFormatting sqref="S59:S60">
    <cfRule type="cellIs" dxfId="1" priority="621" operator="lessThan">
      <formula>0</formula>
    </cfRule>
  </conditionalFormatting>
  <conditionalFormatting sqref="V57">
    <cfRule type="cellIs" dxfId="1" priority="622" operator="lessThan">
      <formula>0</formula>
    </cfRule>
  </conditionalFormatting>
  <conditionalFormatting sqref="V58">
    <cfRule type="cellIs" dxfId="1" priority="623" operator="lessThan">
      <formula>0</formula>
    </cfRule>
  </conditionalFormatting>
  <conditionalFormatting sqref="V59:V60">
    <cfRule type="cellIs" dxfId="1" priority="624" operator="lessThan">
      <formula>0</formula>
    </cfRule>
  </conditionalFormatting>
  <conditionalFormatting sqref="Y57">
    <cfRule type="cellIs" dxfId="1" priority="625" operator="lessThan">
      <formula>0</formula>
    </cfRule>
  </conditionalFormatting>
  <conditionalFormatting sqref="Y58">
    <cfRule type="cellIs" dxfId="1" priority="626" operator="lessThan">
      <formula>0</formula>
    </cfRule>
  </conditionalFormatting>
  <conditionalFormatting sqref="Y59:Y60">
    <cfRule type="cellIs" dxfId="1" priority="627" operator="lessThan">
      <formula>0</formula>
    </cfRule>
  </conditionalFormatting>
  <printOptions gridLines="false" gridLinesSet="true" horizontalCentered="true"/>
  <pageMargins left="0" right="0" top="0.66929133858268" bottom="0.15748031496063" header="0.35433070866142" footer="0.15748031496063"/>
  <pageSetup paperSize="9" orientation="portrait" scale="52" fitToHeight="2" fitToWidth="1" pageOrder="downThenOver"/>
  <headerFooter differentOddEven="false" differentFirst="false" scaleWithDoc="true" alignWithMargins="true">
    <oddHeader>&amp;LPT. JATIM AUTOCOMP INDONESIA</oddHeader>
    <oddFooter>&amp;LSIX MONTH PRODUCTION PLAN.xls&amp;R&amp;"Times New Roman,Regular"&amp;9&amp;P/&amp;N</oddFooter>
    <evenHeader>&amp;LPT. JATIM AUTOCOMP INDONESIA</evenHeader>
    <evenFooter>&amp;LSIX MONTH PRODUCTION PLAN.xls&amp;R&amp;"Times New Roman,Regular"&amp;9&amp;P/&amp;N</evenFooter>
    <firstHeader/>
    <firstFooter/>
  </headerFooter>
  <colBreaks count="1" manualBreakCount="1">
    <brk id="-1" man="1"/>
  </colBreaks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I251"/>
  <sheetViews>
    <sheetView tabSelected="0" workbookViewId="0" zoomScale="60" zoomScaleNormal="60" showGridLines="true" showRowColHeaders="1">
      <pane xSplit="3" ySplit="13" topLeftCell="N14" activePane="bottomRight" state="frozen"/>
      <selection pane="topRight"/>
      <selection pane="bottomLeft"/>
      <selection pane="bottomRight" activeCell="J127" sqref="J127:J128"/>
    </sheetView>
  </sheetViews>
  <sheetFormatPr customHeight="true" defaultRowHeight="15" defaultColWidth="9.1328125" outlineLevelRow="0" outlineLevelCol="0"/>
  <cols>
    <col min="1" max="1" width="9.1328125" style="1"/>
    <col min="2" max="2" width="17.59765625" customWidth="true" style="3"/>
    <col min="3" max="3" width="30.59765625" customWidth="true" style="3"/>
    <col min="4" max="4" width="9.3984375" customWidth="true" style="3"/>
    <col min="5" max="5" width="9.3984375" hidden="true" customWidth="true" style="3"/>
    <col min="6" max="6" width="8.86328125" customWidth="true" style="3"/>
    <col min="7" max="7" width="8.86328125" customWidth="true" style="3"/>
    <col min="8" max="8" width="11.1328125" customWidth="true" style="3"/>
    <col min="9" max="9" width="13.1328125" customWidth="true" style="3"/>
    <col min="10" max="10" width="9.59765625" customWidth="true" style="3"/>
    <col min="11" max="11" width="10" customWidth="true" style="3"/>
    <col min="12" max="12" width="10" customWidth="true" style="3"/>
    <col min="13" max="13" width="10.59765625" customWidth="true" style="3"/>
    <col min="14" max="14" width="10" customWidth="true" style="3"/>
    <col min="15" max="15" width="10" customWidth="true" style="3"/>
    <col min="16" max="16" width="8.86328125" customWidth="true" style="3"/>
    <col min="17" max="17" width="10.73046875" customWidth="true" style="3"/>
    <col min="18" max="18" width="10" customWidth="true" style="3"/>
    <col min="19" max="19" width="10" customWidth="true" style="3"/>
    <col min="20" max="20" width="10" customWidth="true" style="3"/>
    <col min="21" max="21" width="10" customWidth="true" style="3"/>
    <col min="22" max="22" width="10" customWidth="true" style="3"/>
    <col min="23" max="23" width="10" customWidth="true" style="3"/>
    <col min="24" max="24" width="10" customWidth="true" style="3"/>
    <col min="25" max="25" width="10" customWidth="true" style="3"/>
    <col min="26" max="26" width="10" customWidth="true" style="3"/>
    <col min="27" max="27" width="10" customWidth="true" style="3"/>
    <col min="28" max="28" width="7.73046875" customWidth="true" style="2"/>
    <col min="29" max="29" width="9.3984375" customWidth="true" style="1"/>
    <col min="30" max="30" width="9.3984375" customWidth="true" style="1"/>
    <col min="31" max="31" width="9.1328125" style="1"/>
    <col min="32" max="32" width="9.1328125" style="1"/>
    <col min="33" max="33" width="9.59765625" customWidth="true" style="83"/>
    <col min="34" max="34" width="9.1328125" style="83"/>
    <col min="35" max="35" width="9.1328125" style="83"/>
    <col min="36" max="36" width="9.59765625" customWidth="true" style="83"/>
    <col min="37" max="37" width="9.1328125" style="83"/>
    <col min="38" max="38" width="9.1328125" style="83"/>
    <col min="39" max="39" width="9.59765625" customWidth="true" style="83"/>
    <col min="40" max="40" width="9.1328125" style="83"/>
    <col min="41" max="41" width="9.1328125" style="83"/>
    <col min="42" max="42" width="9.1328125" style="83"/>
    <col min="43" max="43" width="9.1328125" style="83"/>
    <col min="44" max="44" width="9.1328125" style="83"/>
    <col min="45" max="45" width="9.59765625" customWidth="true" style="83"/>
    <col min="46" max="46" width="9.1328125" style="83"/>
    <col min="47" max="47" width="9.1328125" style="83"/>
    <col min="48" max="48" width="9.1328125" style="83"/>
    <col min="49" max="49" width="9.1328125" style="83"/>
    <col min="50" max="50" width="9.1328125" style="83"/>
    <col min="51" max="51" width="9.59765625" customWidth="true" style="83"/>
    <col min="52" max="52" width="11.73046875" customWidth="true" style="83"/>
    <col min="53" max="53" width="10.1328125" customWidth="true" style="83"/>
    <col min="54" max="54" width="20.265625" customWidth="true" style="1"/>
  </cols>
  <sheetData>
    <row r="1" spans="1:61" customHeight="1" ht="17.25">
      <c r="B1" s="1181" t="s">
        <v>0</v>
      </c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  <c r="O1" s="1181"/>
      <c r="P1" s="1181"/>
      <c r="Q1" s="1181"/>
      <c r="R1" s="1181"/>
      <c r="S1" s="1181"/>
      <c r="T1" s="1181"/>
      <c r="U1" s="1181"/>
      <c r="V1" s="1181"/>
      <c r="W1" s="1181"/>
      <c r="X1" s="1181"/>
      <c r="Y1" s="1181"/>
      <c r="Z1" s="1181"/>
      <c r="AA1" s="1181"/>
      <c r="AB1" s="1181"/>
      <c r="AC1" s="1181"/>
      <c r="AD1" s="1181"/>
      <c r="AE1" s="1181"/>
    </row>
    <row r="2" spans="1:61" customHeight="1" ht="18.75">
      <c r="B2" s="2"/>
      <c r="C2" s="2"/>
      <c r="D2" s="2"/>
      <c r="E2" s="2"/>
      <c r="F2" s="74"/>
      <c r="G2" s="74"/>
      <c r="K2" s="75"/>
      <c r="L2" s="1142" t="s">
        <v>246</v>
      </c>
      <c r="M2" s="1142"/>
      <c r="N2" s="1142"/>
      <c r="O2" s="1142"/>
      <c r="P2" s="1142"/>
      <c r="Q2" s="1142"/>
      <c r="R2" s="1142"/>
      <c r="S2" s="75"/>
      <c r="T2" s="75"/>
      <c r="U2" s="75"/>
      <c r="V2" s="75"/>
      <c r="W2" s="71"/>
      <c r="X2" s="70"/>
      <c r="Y2" s="70"/>
      <c r="Z2" s="70"/>
      <c r="AA2" s="70"/>
      <c r="AB2" s="1182" t="s">
        <v>2</v>
      </c>
      <c r="AC2" s="1182"/>
      <c r="AD2" s="1183"/>
      <c r="AE2" s="1183"/>
    </row>
    <row r="3" spans="1:61" customHeight="1" ht="17.25">
      <c r="B3" s="2" t="s">
        <v>247</v>
      </c>
      <c r="C3" s="74"/>
      <c r="D3" s="74"/>
      <c r="E3" s="74"/>
      <c r="F3" s="74"/>
      <c r="G3" s="74"/>
      <c r="H3" s="74"/>
      <c r="I3" s="74"/>
      <c r="K3" s="76"/>
      <c r="L3" s="76"/>
      <c r="M3" s="76" t="s">
        <v>248</v>
      </c>
      <c r="N3" s="76"/>
      <c r="O3" s="76"/>
      <c r="P3" s="76"/>
      <c r="Q3" s="76"/>
      <c r="R3" s="76"/>
      <c r="S3" s="76"/>
      <c r="T3" s="76"/>
      <c r="U3" s="76"/>
      <c r="V3" s="76"/>
      <c r="W3" s="71"/>
      <c r="X3" s="70"/>
      <c r="Y3" s="70"/>
      <c r="Z3" s="70"/>
      <c r="AA3" s="70"/>
      <c r="AB3" s="1152"/>
      <c r="AC3" s="1153"/>
      <c r="AD3" s="72"/>
      <c r="AE3" s="69"/>
    </row>
    <row r="4" spans="1:61" customHeight="1" ht="14.1">
      <c r="B4" s="2" t="s">
        <v>5</v>
      </c>
      <c r="C4" s="2"/>
      <c r="D4" s="2"/>
      <c r="E4" s="2"/>
      <c r="F4" s="2"/>
      <c r="G4" s="2"/>
      <c r="K4" s="8"/>
      <c r="P4" s="7"/>
      <c r="S4" s="7"/>
      <c r="V4" s="2"/>
      <c r="W4" s="2"/>
      <c r="AB4" s="1154"/>
      <c r="AC4" s="1155"/>
      <c r="AD4" s="7"/>
      <c r="AE4" s="2"/>
    </row>
    <row r="5" spans="1:61" customHeight="1" ht="12.75">
      <c r="B5" s="2" t="s">
        <v>249</v>
      </c>
      <c r="C5" s="2"/>
      <c r="D5" s="2"/>
      <c r="E5" s="2"/>
      <c r="F5" s="2"/>
      <c r="G5" s="2"/>
      <c r="K5" s="85"/>
      <c r="L5" s="85"/>
      <c r="M5" s="85"/>
      <c r="N5" s="85"/>
      <c r="O5" s="85"/>
      <c r="P5" s="7"/>
      <c r="S5" s="7"/>
      <c r="V5" s="2"/>
      <c r="W5" s="2"/>
      <c r="AB5" s="1174" t="s">
        <v>250</v>
      </c>
      <c r="AC5" s="1184"/>
      <c r="AD5" s="2"/>
      <c r="AE5" s="2"/>
    </row>
    <row r="6" spans="1:61" customHeight="1" ht="12.95">
      <c r="B6" s="73"/>
      <c r="C6" s="73"/>
      <c r="D6" s="73"/>
      <c r="E6" s="73"/>
      <c r="F6" s="2"/>
      <c r="G6" s="2"/>
      <c r="P6" s="84"/>
      <c r="S6" s="7"/>
      <c r="V6" s="2"/>
      <c r="W6" s="2"/>
      <c r="AC6" s="2"/>
      <c r="AD6" s="2"/>
      <c r="AE6" s="2"/>
      <c r="BD6" s="1172" t="s">
        <v>251</v>
      </c>
      <c r="BE6" s="1172"/>
    </row>
    <row r="7" spans="1:61" customHeight="1" ht="3.75" hidden="true">
      <c r="B7" s="2"/>
      <c r="C7" s="2"/>
      <c r="D7" s="2"/>
      <c r="E7" s="2"/>
      <c r="F7" s="2"/>
      <c r="G7" s="2"/>
      <c r="P7" s="7"/>
      <c r="S7" s="7"/>
      <c r="V7" s="1173"/>
      <c r="W7" s="1173"/>
      <c r="X7" s="5"/>
      <c r="Y7" s="6"/>
      <c r="Z7" s="1174" t="s">
        <v>6</v>
      </c>
      <c r="AA7" s="1175"/>
      <c r="AB7" s="10"/>
      <c r="BD7" s="1172"/>
      <c r="BE7" s="1172"/>
    </row>
    <row r="8" spans="1:61" customHeight="1" ht="12">
      <c r="B8" s="2"/>
      <c r="C8" s="2"/>
      <c r="D8" s="2"/>
      <c r="E8" s="2"/>
      <c r="F8" s="2"/>
      <c r="G8" s="2"/>
      <c r="P8" s="7"/>
      <c r="S8" s="7"/>
      <c r="V8" s="1173"/>
      <c r="W8" s="1173"/>
      <c r="X8" s="11"/>
      <c r="Y8" s="11"/>
      <c r="Z8" s="11"/>
      <c r="AA8" s="11"/>
      <c r="AB8" s="11"/>
      <c r="BD8" s="1172"/>
      <c r="BE8" s="1172"/>
    </row>
    <row r="9" spans="1:61" customHeight="1" ht="15.75">
      <c r="B9" s="2"/>
      <c r="C9" s="2"/>
      <c r="D9" s="2"/>
      <c r="E9" s="2"/>
      <c r="F9" s="2"/>
      <c r="G9" s="2"/>
      <c r="H9" s="327"/>
      <c r="I9" s="3" t="s">
        <v>252</v>
      </c>
      <c r="P9" s="7"/>
      <c r="S9" s="7"/>
      <c r="V9" s="9"/>
      <c r="W9" s="9"/>
      <c r="X9" s="10"/>
      <c r="Y9" s="9"/>
      <c r="Z9" s="9"/>
      <c r="AA9" s="10"/>
      <c r="AB9" s="1176"/>
      <c r="AC9" s="1176"/>
      <c r="AD9" s="1177"/>
      <c r="AE9" s="1177"/>
      <c r="AG9" s="86" t="s">
        <v>253</v>
      </c>
      <c r="BD9" s="1172"/>
      <c r="BE9" s="1172"/>
    </row>
    <row r="10" spans="1:61" customHeight="1" ht="14.25">
      <c r="B10" s="12" t="s">
        <v>7</v>
      </c>
      <c r="C10" s="77">
        <f>NOW()</f>
        <v>46195.104537037</v>
      </c>
      <c r="D10" s="13"/>
      <c r="E10" s="13"/>
      <c r="F10" s="14"/>
      <c r="G10" s="14"/>
      <c r="H10" s="15"/>
      <c r="I10" s="15"/>
      <c r="N10" s="16"/>
      <c r="O10" s="16"/>
      <c r="P10" s="16"/>
      <c r="Q10" s="17"/>
      <c r="T10" s="18"/>
      <c r="W10" s="18"/>
      <c r="Z10" s="18"/>
    </row>
    <row r="11" spans="1:61" customHeight="1" ht="15.95">
      <c r="A11" s="1065" t="s">
        <v>8</v>
      </c>
      <c r="B11" s="1066"/>
      <c r="C11" s="1095" t="s">
        <v>9</v>
      </c>
      <c r="D11" s="1105" t="s">
        <v>10</v>
      </c>
      <c r="E11" s="1100" t="s">
        <v>11</v>
      </c>
      <c r="F11" s="1095" t="s">
        <v>254</v>
      </c>
      <c r="G11" s="1100" t="s">
        <v>13</v>
      </c>
      <c r="H11" s="1194" t="s">
        <v>255</v>
      </c>
      <c r="I11" s="1195"/>
      <c r="J11" s="448" t="str">
        <f>GUM!I11</f>
        <v>FEB</v>
      </c>
      <c r="K11" s="449"/>
      <c r="L11" s="450"/>
      <c r="M11" s="448" t="str">
        <f>GUM!L11</f>
        <v>MAR</v>
      </c>
      <c r="N11" s="449"/>
      <c r="O11" s="450"/>
      <c r="P11" s="448" t="str">
        <f>GUM!O11</f>
        <v>APR</v>
      </c>
      <c r="Q11" s="449"/>
      <c r="R11" s="450"/>
      <c r="S11" s="448" t="str">
        <f>GUM!R11</f>
        <v>MAY</v>
      </c>
      <c r="T11" s="449"/>
      <c r="U11" s="450"/>
      <c r="V11" s="448" t="str">
        <f>GUM!U11</f>
        <v>JUN</v>
      </c>
      <c r="W11" s="449"/>
      <c r="X11" s="450"/>
      <c r="Y11" s="1190" t="str">
        <f>GUM!X11</f>
        <v>JUL</v>
      </c>
      <c r="Z11" s="1191"/>
      <c r="AA11" s="1192"/>
      <c r="AB11" s="1190" t="str">
        <f>GUM!I11</f>
        <v>FEB</v>
      </c>
      <c r="AC11" s="1191"/>
      <c r="AD11" s="1192"/>
      <c r="AE11" s="1095" t="s">
        <v>22</v>
      </c>
      <c r="AG11" s="1178" t="str">
        <f>J11</f>
        <v>FEB</v>
      </c>
      <c r="AH11" s="1179"/>
      <c r="AI11" s="1180"/>
      <c r="AJ11" s="1178" t="str">
        <f>M11</f>
        <v>MAR</v>
      </c>
      <c r="AK11" s="1179"/>
      <c r="AL11" s="1180"/>
      <c r="AM11" s="1178" t="str">
        <f>P11</f>
        <v>APR</v>
      </c>
      <c r="AN11" s="1179"/>
      <c r="AO11" s="1180"/>
      <c r="AP11" s="1178" t="str">
        <f>S11</f>
        <v>MAY</v>
      </c>
      <c r="AQ11" s="1179"/>
      <c r="AR11" s="1180"/>
      <c r="AS11" s="1178" t="str">
        <f>V11</f>
        <v>JUN</v>
      </c>
      <c r="AT11" s="1179"/>
      <c r="AU11" s="1180"/>
      <c r="AV11" s="1178" t="str">
        <f>Y11</f>
        <v>JUL</v>
      </c>
      <c r="AW11" s="1179"/>
      <c r="AX11" s="1180"/>
      <c r="AY11" s="1178" t="str">
        <f>AB11</f>
        <v>FEB</v>
      </c>
      <c r="AZ11" s="1179"/>
      <c r="BA11" s="1180"/>
    </row>
    <row r="12" spans="1:61" customHeight="1" ht="15.95" s="19" customFormat="1">
      <c r="A12" s="1067"/>
      <c r="B12" s="1068"/>
      <c r="C12" s="1096"/>
      <c r="D12" s="1106"/>
      <c r="E12" s="1101"/>
      <c r="F12" s="1096"/>
      <c r="G12" s="1101"/>
      <c r="H12" s="97" t="s">
        <v>256</v>
      </c>
      <c r="I12" s="78" t="s">
        <v>257</v>
      </c>
      <c r="J12" s="1185" t="e">
        <f>VLOOKUP(J11,#REF!,9,0)</f>
        <v>#REF!</v>
      </c>
      <c r="K12" s="1175"/>
      <c r="L12" s="1186"/>
      <c r="M12" s="1185" t="e">
        <f>VLOOKUP(M11,#REF!,9,0)</f>
        <v>#REF!</v>
      </c>
      <c r="N12" s="1175"/>
      <c r="O12" s="1186"/>
      <c r="P12" s="1185" t="e">
        <f>VLOOKUP(P11,#REF!,9,0)</f>
        <v>#REF!</v>
      </c>
      <c r="Q12" s="1175"/>
      <c r="R12" s="1186"/>
      <c r="S12" s="1185" t="e">
        <f>VLOOKUP(S11,#REF!,9,0)</f>
        <v>#REF!</v>
      </c>
      <c r="T12" s="1175"/>
      <c r="U12" s="1186"/>
      <c r="V12" s="1185" t="e">
        <f>VLOOKUP(V11,#REF!,9,0)</f>
        <v>#REF!</v>
      </c>
      <c r="W12" s="1175"/>
      <c r="X12" s="1186"/>
      <c r="Y12" s="1185" t="e">
        <f>VLOOKUP(Y11,#REF!,9,0)</f>
        <v>#REF!</v>
      </c>
      <c r="Z12" s="1175"/>
      <c r="AA12" s="1186"/>
      <c r="AB12" s="1185" t="e">
        <f>VLOOKUP(AB11,#REF!,9,0)</f>
        <v>#REF!</v>
      </c>
      <c r="AC12" s="1175"/>
      <c r="AD12" s="1186"/>
      <c r="AE12" s="1096"/>
      <c r="AF12" s="1"/>
      <c r="AG12" s="1193" t="e">
        <f>J12</f>
        <v>#REF!</v>
      </c>
      <c r="AH12" s="1188"/>
      <c r="AI12" s="1189"/>
      <c r="AJ12" s="1187" t="e">
        <f>M12</f>
        <v>#REF!</v>
      </c>
      <c r="AK12" s="1188"/>
      <c r="AL12" s="1189"/>
      <c r="AM12" s="1187" t="e">
        <f>P12</f>
        <v>#REF!</v>
      </c>
      <c r="AN12" s="1188"/>
      <c r="AO12" s="1189"/>
      <c r="AP12" s="1187" t="e">
        <f>S12</f>
        <v>#REF!</v>
      </c>
      <c r="AQ12" s="1188"/>
      <c r="AR12" s="1189"/>
      <c r="AS12" s="1187" t="e">
        <f>V12</f>
        <v>#REF!</v>
      </c>
      <c r="AT12" s="1188"/>
      <c r="AU12" s="1189"/>
      <c r="AV12" s="1187" t="e">
        <f>Y12</f>
        <v>#REF!</v>
      </c>
      <c r="AW12" s="1188"/>
      <c r="AX12" s="1189"/>
      <c r="AY12" s="1187" t="e">
        <f>AB12</f>
        <v>#REF!</v>
      </c>
      <c r="AZ12" s="1188"/>
      <c r="BA12" s="1189"/>
      <c r="BC12" s="99" t="str">
        <f>M11</f>
        <v>MAR</v>
      </c>
      <c r="BD12" s="99" t="str">
        <f>P11</f>
        <v>APR</v>
      </c>
      <c r="BE12" s="99" t="str">
        <f>S11</f>
        <v>MAY</v>
      </c>
      <c r="BF12" s="99" t="str">
        <f>V11</f>
        <v>JUN</v>
      </c>
      <c r="BG12" s="100" t="str">
        <f>Y11</f>
        <v>JUL</v>
      </c>
      <c r="BH12" s="100" t="str">
        <f>AB11</f>
        <v>FEB</v>
      </c>
    </row>
    <row r="13" spans="1:61" customHeight="1" ht="15.95">
      <c r="A13" s="1069"/>
      <c r="B13" s="1070"/>
      <c r="C13" s="1097"/>
      <c r="D13" s="1107"/>
      <c r="E13" s="1099"/>
      <c r="F13" s="1097"/>
      <c r="G13" s="1099"/>
      <c r="H13" s="98">
        <v>2010</v>
      </c>
      <c r="I13" s="79">
        <v>2010</v>
      </c>
      <c r="J13" s="20" t="s">
        <v>22</v>
      </c>
      <c r="K13" s="21" t="s">
        <v>24</v>
      </c>
      <c r="L13" s="22" t="s">
        <v>25</v>
      </c>
      <c r="M13" s="20" t="s">
        <v>22</v>
      </c>
      <c r="N13" s="21" t="s">
        <v>24</v>
      </c>
      <c r="O13" s="22" t="s">
        <v>25</v>
      </c>
      <c r="P13" s="20" t="s">
        <v>22</v>
      </c>
      <c r="Q13" s="21" t="s">
        <v>24</v>
      </c>
      <c r="R13" s="22" t="s">
        <v>25</v>
      </c>
      <c r="S13" s="20" t="s">
        <v>22</v>
      </c>
      <c r="T13" s="21" t="s">
        <v>24</v>
      </c>
      <c r="U13" s="22" t="s">
        <v>25</v>
      </c>
      <c r="V13" s="20" t="s">
        <v>22</v>
      </c>
      <c r="W13" s="21" t="s">
        <v>24</v>
      </c>
      <c r="X13" s="22" t="s">
        <v>25</v>
      </c>
      <c r="Y13" s="20" t="s">
        <v>22</v>
      </c>
      <c r="Z13" s="21" t="s">
        <v>24</v>
      </c>
      <c r="AA13" s="22" t="s">
        <v>25</v>
      </c>
      <c r="AB13" s="20" t="s">
        <v>22</v>
      </c>
      <c r="AC13" s="21" t="s">
        <v>24</v>
      </c>
      <c r="AD13" s="22" t="s">
        <v>25</v>
      </c>
      <c r="AE13" s="1097"/>
      <c r="AG13" s="87" t="str">
        <f>J13</f>
        <v>BAL</v>
      </c>
      <c r="AH13" s="88" t="str">
        <f>K13</f>
        <v>DEL</v>
      </c>
      <c r="AI13" s="89" t="str">
        <f>L13</f>
        <v>PROD</v>
      </c>
      <c r="AJ13" s="90" t="str">
        <f>M13</f>
        <v>BAL</v>
      </c>
      <c r="AK13" s="88" t="str">
        <f>N13</f>
        <v>DEL</v>
      </c>
      <c r="AL13" s="91" t="str">
        <f>O13</f>
        <v>PROD</v>
      </c>
      <c r="AM13" s="87" t="str">
        <f>P13</f>
        <v>BAL</v>
      </c>
      <c r="AN13" s="88" t="str">
        <f>Q13</f>
        <v>DEL</v>
      </c>
      <c r="AO13" s="89" t="str">
        <f>R13</f>
        <v>PROD</v>
      </c>
      <c r="AP13" s="90" t="str">
        <f>S13</f>
        <v>BAL</v>
      </c>
      <c r="AQ13" s="88" t="str">
        <f>T13</f>
        <v>DEL</v>
      </c>
      <c r="AR13" s="91" t="str">
        <f>U13</f>
        <v>PROD</v>
      </c>
      <c r="AS13" s="87" t="str">
        <f>V13</f>
        <v>BAL</v>
      </c>
      <c r="AT13" s="88" t="str">
        <f>W13</f>
        <v>DEL</v>
      </c>
      <c r="AU13" s="89" t="str">
        <f>X13</f>
        <v>PROD</v>
      </c>
      <c r="AV13" s="90" t="str">
        <f>Y13</f>
        <v>BAL</v>
      </c>
      <c r="AW13" s="88" t="str">
        <f>Z13</f>
        <v>DEL</v>
      </c>
      <c r="AX13" s="91" t="str">
        <f>AA13</f>
        <v>PROD</v>
      </c>
      <c r="AY13" s="87" t="str">
        <f>AB13</f>
        <v>BAL</v>
      </c>
      <c r="AZ13" s="88" t="str">
        <f>AC13</f>
        <v>DEL</v>
      </c>
      <c r="BA13" s="89" t="str">
        <f>AD13</f>
        <v>PROD</v>
      </c>
      <c r="BB13" s="82"/>
      <c r="BC13" s="99">
        <v>5</v>
      </c>
      <c r="BD13" s="99">
        <v>4</v>
      </c>
      <c r="BE13" s="99">
        <v>4</v>
      </c>
      <c r="BF13" s="99">
        <v>5</v>
      </c>
      <c r="BG13" s="99">
        <v>4</v>
      </c>
      <c r="BH13" s="99">
        <v>4</v>
      </c>
      <c r="BI13" s="96"/>
    </row>
    <row r="14" spans="1:61" customHeight="1" ht="20.1" s="113" customFormat="1">
      <c r="A14" s="1221" t="s">
        <v>258</v>
      </c>
      <c r="B14" s="1223" t="s">
        <v>259</v>
      </c>
      <c r="C14" s="323" t="s">
        <v>260</v>
      </c>
      <c r="D14" s="104" t="e">
        <f>VLOOKUP(C14,#REF!,2,0)</f>
        <v>#REF!</v>
      </c>
      <c r="E14" s="104" t="e">
        <f>VLOOKUP(C14,#REF!,4,0)</f>
        <v>#REF!</v>
      </c>
      <c r="F14" s="105">
        <v>304</v>
      </c>
      <c r="G14" s="105">
        <v>6</v>
      </c>
      <c r="H14" s="106" t="e">
        <f>VLOOKUP(C14,#REF!,3,0)</f>
        <v>#REF!</v>
      </c>
      <c r="I14" s="107" t="e">
        <f>VLOOKUP(C14,#REF!,7,0)</f>
        <v>#REF!</v>
      </c>
      <c r="J14" s="108" t="e">
        <v>#REF!</v>
      </c>
      <c r="K14" s="109" t="e">
        <v>#REF!</v>
      </c>
      <c r="L14" s="110" t="e">
        <v>#REF!</v>
      </c>
      <c r="M14" s="108" t="e">
        <v>#REF!</v>
      </c>
      <c r="N14" s="109" t="e">
        <v>#REF!</v>
      </c>
      <c r="O14" s="110" t="e">
        <v>#REF!</v>
      </c>
      <c r="P14" s="108" t="e">
        <v>#REF!</v>
      </c>
      <c r="Q14" s="109" t="e">
        <v>#REF!</v>
      </c>
      <c r="R14" s="110" t="e">
        <v>#REF!</v>
      </c>
      <c r="S14" s="108" t="e">
        <v>#REF!</v>
      </c>
      <c r="T14" s="109" t="e">
        <v>#REF!</v>
      </c>
      <c r="U14" s="110" t="e">
        <v>#REF!</v>
      </c>
      <c r="V14" s="108" t="e">
        <v>#REF!</v>
      </c>
      <c r="W14" s="109" t="e">
        <v>#REF!</v>
      </c>
      <c r="X14" s="110" t="e">
        <v>#REF!</v>
      </c>
      <c r="Y14" s="108" t="e">
        <v>#REF!</v>
      </c>
      <c r="Z14" s="109" t="e">
        <v>#REF!</v>
      </c>
      <c r="AA14" s="110" t="e">
        <v>#REF!</v>
      </c>
      <c r="AB14" s="108" t="e">
        <v>#REF!</v>
      </c>
      <c r="AC14" s="111" t="e">
        <v>#REF!</v>
      </c>
      <c r="AD14" s="110" t="e">
        <v>#REF!</v>
      </c>
      <c r="AE14" s="112" t="e">
        <v>#REF!</v>
      </c>
      <c r="AF14" s="113">
        <v>1</v>
      </c>
      <c r="AG14" s="114" t="e">
        <f>J14*$F14</f>
        <v>#REF!</v>
      </c>
      <c r="AH14" s="115" t="e">
        <f>K14*$F14</f>
        <v>#REF!</v>
      </c>
      <c r="AI14" s="116" t="e">
        <f>L14*$F14</f>
        <v>#REF!</v>
      </c>
      <c r="AJ14" s="117" t="e">
        <f>M14*$F14</f>
        <v>#REF!</v>
      </c>
      <c r="AK14" s="115" t="e">
        <f>K14*$F14</f>
        <v>#REF!</v>
      </c>
      <c r="AL14" s="116" t="e">
        <f>O14*$F14</f>
        <v>#REF!</v>
      </c>
      <c r="AM14" s="117" t="e">
        <f>P14*$F14</f>
        <v>#REF!</v>
      </c>
      <c r="AN14" s="115" t="e">
        <f>N14*$F14</f>
        <v>#REF!</v>
      </c>
      <c r="AO14" s="116" t="e">
        <f>R14*$F14</f>
        <v>#REF!</v>
      </c>
      <c r="AP14" s="117" t="e">
        <f>S14*$F14</f>
        <v>#REF!</v>
      </c>
      <c r="AQ14" s="115" t="e">
        <f>Q14*$F14</f>
        <v>#REF!</v>
      </c>
      <c r="AR14" s="116" t="e">
        <f>U14*$F14</f>
        <v>#REF!</v>
      </c>
      <c r="AS14" s="117" t="e">
        <f>V14*$F14</f>
        <v>#REF!</v>
      </c>
      <c r="AT14" s="115" t="e">
        <f>T14*$F14</f>
        <v>#REF!</v>
      </c>
      <c r="AU14" s="116" t="e">
        <f>X14*$F14</f>
        <v>#REF!</v>
      </c>
      <c r="AV14" s="117" t="e">
        <f>Y14*$F14</f>
        <v>#REF!</v>
      </c>
      <c r="AW14" s="115" t="e">
        <f>W14*$F14</f>
        <v>#REF!</v>
      </c>
      <c r="AX14" s="116" t="e">
        <f>AA14*$F14</f>
        <v>#REF!</v>
      </c>
      <c r="AY14" s="117" t="e">
        <f>AB14*$F14</f>
        <v>#REF!</v>
      </c>
      <c r="AZ14" s="118" t="e">
        <f>Z14*$F14</f>
        <v>#REF!</v>
      </c>
      <c r="BA14" s="119" t="e">
        <f>AD14*$F14</f>
        <v>#REF!</v>
      </c>
      <c r="BB14" s="103" t="s">
        <v>261</v>
      </c>
      <c r="BC14" s="121" t="e">
        <f>ROUNDUP(O14/$BC$13,0)</f>
        <v>#REF!</v>
      </c>
      <c r="BD14" s="121" t="e">
        <f>ROUNDUP(R14/$BD$13,0)</f>
        <v>#REF!</v>
      </c>
      <c r="BE14" s="121" t="e">
        <f>ROUNDUP(U14/$BE$13,0)</f>
        <v>#REF!</v>
      </c>
      <c r="BF14" s="121" t="e">
        <f>ROUNDUP(X14/$BF$13,0)</f>
        <v>#REF!</v>
      </c>
      <c r="BG14" s="121" t="e">
        <f>ROUNDUP(AA14/$BG$13,0)</f>
        <v>#REF!</v>
      </c>
      <c r="BH14" s="121" t="e">
        <f>ROUNDUP(AD14/$BH$13,0)</f>
        <v>#REF!</v>
      </c>
      <c r="BI14" s="113">
        <v>1</v>
      </c>
    </row>
    <row r="15" spans="1:61" customHeight="1" ht="20.1" s="113" customFormat="1">
      <c r="A15" s="1222"/>
      <c r="B15" s="1213"/>
      <c r="C15" s="310" t="s">
        <v>262</v>
      </c>
      <c r="D15" s="123" t="e">
        <f>VLOOKUP(C15,#REF!,2,0)</f>
        <v>#REF!</v>
      </c>
      <c r="E15" s="123" t="e">
        <f>VLOOKUP(C15,#REF!,4,0)</f>
        <v>#REF!</v>
      </c>
      <c r="F15" s="124">
        <v>323</v>
      </c>
      <c r="G15" s="124">
        <v>6</v>
      </c>
      <c r="H15" s="328" t="e">
        <f>VLOOKUP(C15,#REF!,3,0)</f>
        <v>#REF!</v>
      </c>
      <c r="I15" s="107" t="e">
        <f>VLOOKUP(C15,#REF!,7,0)</f>
        <v>#REF!</v>
      </c>
      <c r="J15" s="126" t="e">
        <v>#REF!</v>
      </c>
      <c r="K15" s="127" t="e">
        <v>#REF!</v>
      </c>
      <c r="L15" s="128" t="e">
        <v>#REF!</v>
      </c>
      <c r="M15" s="126" t="e">
        <v>#REF!</v>
      </c>
      <c r="N15" s="127" t="e">
        <v>#REF!</v>
      </c>
      <c r="O15" s="128" t="e">
        <v>#REF!</v>
      </c>
      <c r="P15" s="126" t="e">
        <v>#REF!</v>
      </c>
      <c r="Q15" s="127" t="e">
        <v>#REF!</v>
      </c>
      <c r="R15" s="128" t="e">
        <v>#REF!</v>
      </c>
      <c r="S15" s="126" t="e">
        <v>#REF!</v>
      </c>
      <c r="T15" s="127" t="e">
        <v>#REF!</v>
      </c>
      <c r="U15" s="128" t="e">
        <v>#REF!</v>
      </c>
      <c r="V15" s="126" t="e">
        <v>#REF!</v>
      </c>
      <c r="W15" s="127" t="e">
        <v>#REF!</v>
      </c>
      <c r="X15" s="128" t="e">
        <v>#REF!</v>
      </c>
      <c r="Y15" s="126" t="e">
        <v>#REF!</v>
      </c>
      <c r="Z15" s="127" t="e">
        <v>#REF!</v>
      </c>
      <c r="AA15" s="128" t="e">
        <v>#REF!</v>
      </c>
      <c r="AB15" s="126" t="e">
        <v>#REF!</v>
      </c>
      <c r="AC15" s="129" t="e">
        <v>#REF!</v>
      </c>
      <c r="AD15" s="128" t="e">
        <v>#REF!</v>
      </c>
      <c r="AE15" s="130" t="e">
        <v>#REF!</v>
      </c>
      <c r="AF15" s="113">
        <f>AF14+1</f>
        <v>2</v>
      </c>
      <c r="AG15" s="114" t="e">
        <f>J15*$F15</f>
        <v>#REF!</v>
      </c>
      <c r="AH15" s="115" t="e">
        <f>K15*$F15</f>
        <v>#REF!</v>
      </c>
      <c r="AI15" s="116" t="e">
        <f>L15*$F15</f>
        <v>#REF!</v>
      </c>
      <c r="AJ15" s="117" t="e">
        <f>M15*$F15</f>
        <v>#REF!</v>
      </c>
      <c r="AK15" s="115" t="e">
        <f>K15*$F15</f>
        <v>#REF!</v>
      </c>
      <c r="AL15" s="116" t="e">
        <f>O15*$F15</f>
        <v>#REF!</v>
      </c>
      <c r="AM15" s="117" t="e">
        <f>P15*$F15</f>
        <v>#REF!</v>
      </c>
      <c r="AN15" s="115" t="e">
        <f>N15*$F15</f>
        <v>#REF!</v>
      </c>
      <c r="AO15" s="116" t="e">
        <f>R15*$F15</f>
        <v>#REF!</v>
      </c>
      <c r="AP15" s="117" t="e">
        <f>S15*$F15</f>
        <v>#REF!</v>
      </c>
      <c r="AQ15" s="115" t="e">
        <f>Q15*$F15</f>
        <v>#REF!</v>
      </c>
      <c r="AR15" s="116" t="e">
        <f>U15*$F15</f>
        <v>#REF!</v>
      </c>
      <c r="AS15" s="117" t="e">
        <f>V15*$F15</f>
        <v>#REF!</v>
      </c>
      <c r="AT15" s="115" t="e">
        <f>T15*$F15</f>
        <v>#REF!</v>
      </c>
      <c r="AU15" s="116" t="e">
        <f>X15*$F15</f>
        <v>#REF!</v>
      </c>
      <c r="AV15" s="117" t="e">
        <f>Y15*$F15</f>
        <v>#REF!</v>
      </c>
      <c r="AW15" s="115" t="e">
        <f>W15*$F15</f>
        <v>#REF!</v>
      </c>
      <c r="AX15" s="116" t="e">
        <f>AA15*$F15</f>
        <v>#REF!</v>
      </c>
      <c r="AY15" s="117" t="e">
        <f>AB15*$F15</f>
        <v>#REF!</v>
      </c>
      <c r="AZ15" s="118" t="e">
        <f>Z15*$F15</f>
        <v>#REF!</v>
      </c>
      <c r="BA15" s="119" t="e">
        <f>AD15*$F15</f>
        <v>#REF!</v>
      </c>
      <c r="BB15" s="122" t="s">
        <v>263</v>
      </c>
      <c r="BC15" s="121" t="e">
        <f>ROUNDUP(O15/$BC$13,0)</f>
        <v>#REF!</v>
      </c>
      <c r="BD15" s="121" t="e">
        <f>ROUNDUP(R15/$BD$13,0)</f>
        <v>#REF!</v>
      </c>
      <c r="BE15" s="121" t="e">
        <f>ROUNDUP(U15/$BE$13,0)</f>
        <v>#REF!</v>
      </c>
      <c r="BF15" s="121" t="e">
        <f>ROUNDUP(X15/$BF$13,0)</f>
        <v>#REF!</v>
      </c>
      <c r="BG15" s="121" t="e">
        <f>ROUNDUP(AA15/$BG$13,0)</f>
        <v>#REF!</v>
      </c>
      <c r="BH15" s="121" t="e">
        <f>ROUNDUP(AD15/$BH$13,0)</f>
        <v>#REF!</v>
      </c>
      <c r="BI15" s="113">
        <f>BI14+1</f>
        <v>2</v>
      </c>
    </row>
    <row r="16" spans="1:61" customHeight="1" ht="20.1" s="267" customFormat="1">
      <c r="A16" s="1222"/>
      <c r="B16" s="1224"/>
      <c r="C16" s="322" t="s">
        <v>264</v>
      </c>
      <c r="D16" s="123" t="e">
        <f>VLOOKUP(C16,#REF!,2,0)</f>
        <v>#REF!</v>
      </c>
      <c r="E16" s="275" t="e">
        <f>VLOOKUP(C16,#REF!,4,0)</f>
        <v>#REF!</v>
      </c>
      <c r="F16" s="260"/>
      <c r="G16" s="260">
        <v>6</v>
      </c>
      <c r="H16" s="182" t="e">
        <f>VLOOKUP(C16,#REF!,3,0)</f>
        <v>#REF!</v>
      </c>
      <c r="I16" s="329" t="e">
        <f>VLOOKUP(C16,#REF!,7,0)</f>
        <v>#REF!</v>
      </c>
      <c r="J16" s="262" t="e">
        <v>#REF!</v>
      </c>
      <c r="K16" s="263" t="e">
        <v>#REF!</v>
      </c>
      <c r="L16" s="264" t="e">
        <v>#REF!</v>
      </c>
      <c r="M16" s="262" t="e">
        <v>#REF!</v>
      </c>
      <c r="N16" s="263" t="e">
        <v>#REF!</v>
      </c>
      <c r="O16" s="264" t="e">
        <v>#REF!</v>
      </c>
      <c r="P16" s="262" t="e">
        <v>#REF!</v>
      </c>
      <c r="Q16" s="263" t="e">
        <v>#REF!</v>
      </c>
      <c r="R16" s="264" t="e">
        <v>#REF!</v>
      </c>
      <c r="S16" s="262" t="e">
        <v>#REF!</v>
      </c>
      <c r="T16" s="263" t="e">
        <v>#REF!</v>
      </c>
      <c r="U16" s="264" t="e">
        <v>#REF!</v>
      </c>
      <c r="V16" s="262" t="e">
        <v>#REF!</v>
      </c>
      <c r="W16" s="263" t="e">
        <v>#REF!</v>
      </c>
      <c r="X16" s="264" t="e">
        <v>#REF!</v>
      </c>
      <c r="Y16" s="262" t="e">
        <v>#REF!</v>
      </c>
      <c r="Z16" s="263" t="e">
        <v>#REF!</v>
      </c>
      <c r="AA16" s="264" t="e">
        <v>#REF!</v>
      </c>
      <c r="AB16" s="262" t="e">
        <v>#REF!</v>
      </c>
      <c r="AC16" s="265" t="e">
        <v>#REF!</v>
      </c>
      <c r="AD16" s="264" t="e">
        <v>#REF!</v>
      </c>
      <c r="AE16" s="266" t="e">
        <v>#REF!</v>
      </c>
      <c r="AF16" s="113">
        <f>AF15+1</f>
        <v>3</v>
      </c>
      <c r="AG16" s="268" t="e">
        <f>J16*$F16</f>
        <v>#REF!</v>
      </c>
      <c r="AH16" s="269" t="e">
        <f>K16*$F16</f>
        <v>#REF!</v>
      </c>
      <c r="AI16" s="270" t="e">
        <f>L16*$F16</f>
        <v>#REF!</v>
      </c>
      <c r="AJ16" s="271" t="e">
        <f>M16*$F16</f>
        <v>#REF!</v>
      </c>
      <c r="AK16" s="269" t="e">
        <f>K16*$F16</f>
        <v>#REF!</v>
      </c>
      <c r="AL16" s="270" t="e">
        <f>O16*$F16</f>
        <v>#REF!</v>
      </c>
      <c r="AM16" s="271" t="e">
        <f>P16*$F16</f>
        <v>#REF!</v>
      </c>
      <c r="AN16" s="269" t="e">
        <f>N16*$F16</f>
        <v>#REF!</v>
      </c>
      <c r="AO16" s="270" t="e">
        <f>R16*$F16</f>
        <v>#REF!</v>
      </c>
      <c r="AP16" s="271" t="e">
        <f>S16*$F16</f>
        <v>#REF!</v>
      </c>
      <c r="AQ16" s="269" t="e">
        <f>Q16*$F16</f>
        <v>#REF!</v>
      </c>
      <c r="AR16" s="270" t="e">
        <f>U16*$F16</f>
        <v>#REF!</v>
      </c>
      <c r="AS16" s="271" t="e">
        <f>V16*$F16</f>
        <v>#REF!</v>
      </c>
      <c r="AT16" s="269" t="e">
        <f>T16*$F16</f>
        <v>#REF!</v>
      </c>
      <c r="AU16" s="270" t="e">
        <f>X16*$F16</f>
        <v>#REF!</v>
      </c>
      <c r="AV16" s="271" t="e">
        <f>Y16*$F16</f>
        <v>#REF!</v>
      </c>
      <c r="AW16" s="269" t="e">
        <f>W16*$F16</f>
        <v>#REF!</v>
      </c>
      <c r="AX16" s="270" t="e">
        <f>AA16*$F16</f>
        <v>#REF!</v>
      </c>
      <c r="AY16" s="271" t="e">
        <f>AB16*$F16</f>
        <v>#REF!</v>
      </c>
      <c r="AZ16" s="272" t="e">
        <f>Z16*$F16</f>
        <v>#REF!</v>
      </c>
      <c r="BA16" s="273" t="e">
        <f>AD16*$F16</f>
        <v>#REF!</v>
      </c>
      <c r="BB16" s="259" t="s">
        <v>265</v>
      </c>
      <c r="BC16" s="274" t="e">
        <f>ROUNDUP(O16/$BC$13,0)</f>
        <v>#REF!</v>
      </c>
      <c r="BD16" s="274" t="e">
        <f>ROUNDUP(R16/$BD$13,0)</f>
        <v>#REF!</v>
      </c>
      <c r="BE16" s="274" t="e">
        <f>ROUNDUP(U16/$BE$13,0)</f>
        <v>#REF!</v>
      </c>
      <c r="BF16" s="274" t="e">
        <f>ROUNDUP(X16/$BF$13,0)</f>
        <v>#REF!</v>
      </c>
      <c r="BG16" s="274" t="e">
        <f>ROUNDUP(AA16/$BG$13,0)</f>
        <v>#REF!</v>
      </c>
      <c r="BH16" s="274" t="e">
        <f>ROUNDUP(AD16/$BH$13,0)</f>
        <v>#REF!</v>
      </c>
      <c r="BI16" s="113">
        <f>BI15+1</f>
        <v>3</v>
      </c>
    </row>
    <row r="17" spans="1:61" customHeight="1" ht="20.1" s="113" customFormat="1">
      <c r="A17" s="1222"/>
      <c r="B17" s="1225" t="s">
        <v>266</v>
      </c>
      <c r="C17" s="299" t="s">
        <v>267</v>
      </c>
      <c r="D17" s="123" t="e">
        <f>VLOOKUP(C17,#REF!,2,0)</f>
        <v>#REF!</v>
      </c>
      <c r="E17" s="301" t="e">
        <f>VLOOKUP(C17,#REF!,4,0)</f>
        <v>#REF!</v>
      </c>
      <c r="F17" s="243">
        <v>332</v>
      </c>
      <c r="G17" s="243">
        <v>6</v>
      </c>
      <c r="H17" s="278" t="e">
        <f>VLOOKUP(C17,#REF!,3,0)</f>
        <v>#REF!</v>
      </c>
      <c r="I17" s="244" t="e">
        <f>VLOOKUP(C17,#REF!,7,0)</f>
        <v>#REF!</v>
      </c>
      <c r="J17" s="245" t="e">
        <v>#REF!</v>
      </c>
      <c r="K17" s="246" t="e">
        <v>#REF!</v>
      </c>
      <c r="L17" s="247" t="e">
        <v>#REF!</v>
      </c>
      <c r="M17" s="245" t="e">
        <v>#REF!</v>
      </c>
      <c r="N17" s="246" t="e">
        <v>#REF!</v>
      </c>
      <c r="O17" s="247" t="e">
        <v>#REF!</v>
      </c>
      <c r="P17" s="245" t="e">
        <v>#REF!</v>
      </c>
      <c r="Q17" s="246" t="e">
        <v>#REF!</v>
      </c>
      <c r="R17" s="247" t="e">
        <v>#REF!</v>
      </c>
      <c r="S17" s="245" t="e">
        <v>#REF!</v>
      </c>
      <c r="T17" s="246" t="e">
        <v>#REF!</v>
      </c>
      <c r="U17" s="247" t="e">
        <v>#REF!</v>
      </c>
      <c r="V17" s="245" t="e">
        <v>#REF!</v>
      </c>
      <c r="W17" s="246" t="e">
        <v>#REF!</v>
      </c>
      <c r="X17" s="247" t="e">
        <v>#REF!</v>
      </c>
      <c r="Y17" s="245" t="e">
        <v>#REF!</v>
      </c>
      <c r="Z17" s="246" t="e">
        <v>#REF!</v>
      </c>
      <c r="AA17" s="247" t="e">
        <v>#REF!</v>
      </c>
      <c r="AB17" s="245" t="e">
        <v>#REF!</v>
      </c>
      <c r="AC17" s="248" t="e">
        <v>#REF!</v>
      </c>
      <c r="AD17" s="247" t="e">
        <v>#REF!</v>
      </c>
      <c r="AE17" s="249" t="e">
        <v>#REF!</v>
      </c>
      <c r="AF17" s="113">
        <f>AF16+1</f>
        <v>4</v>
      </c>
      <c r="AG17" s="131" t="e">
        <f>J17*$F17</f>
        <v>#REF!</v>
      </c>
      <c r="AH17" s="132" t="e">
        <f>K17*$F17</f>
        <v>#REF!</v>
      </c>
      <c r="AI17" s="133" t="e">
        <f>L17*$F17</f>
        <v>#REF!</v>
      </c>
      <c r="AJ17" s="134" t="e">
        <f>M17*$F17</f>
        <v>#REF!</v>
      </c>
      <c r="AK17" s="132" t="e">
        <f>K17*$F17</f>
        <v>#REF!</v>
      </c>
      <c r="AL17" s="133" t="e">
        <f>O17*$F17</f>
        <v>#REF!</v>
      </c>
      <c r="AM17" s="134" t="e">
        <f>P17*$F17</f>
        <v>#REF!</v>
      </c>
      <c r="AN17" s="132" t="e">
        <f>N17*$F17</f>
        <v>#REF!</v>
      </c>
      <c r="AO17" s="133" t="e">
        <f>R17*$F17</f>
        <v>#REF!</v>
      </c>
      <c r="AP17" s="134" t="e">
        <f>S17*$F17</f>
        <v>#REF!</v>
      </c>
      <c r="AQ17" s="132" t="e">
        <f>Q17*$F17</f>
        <v>#REF!</v>
      </c>
      <c r="AR17" s="133" t="e">
        <f>U17*$F17</f>
        <v>#REF!</v>
      </c>
      <c r="AS17" s="134" t="e">
        <f>V17*$F17</f>
        <v>#REF!</v>
      </c>
      <c r="AT17" s="132" t="e">
        <f>T17*$F17</f>
        <v>#REF!</v>
      </c>
      <c r="AU17" s="133" t="e">
        <f>X17*$F17</f>
        <v>#REF!</v>
      </c>
      <c r="AV17" s="134" t="e">
        <f>Y17*$F17</f>
        <v>#REF!</v>
      </c>
      <c r="AW17" s="132" t="e">
        <f>W17*$F17</f>
        <v>#REF!</v>
      </c>
      <c r="AX17" s="133" t="e">
        <f>AA17*$F17</f>
        <v>#REF!</v>
      </c>
      <c r="AY17" s="134" t="e">
        <f>AB17*$F17</f>
        <v>#REF!</v>
      </c>
      <c r="AZ17" s="135" t="e">
        <f>Z17*$F17</f>
        <v>#REF!</v>
      </c>
      <c r="BA17" s="136" t="e">
        <f>AD17*$F17</f>
        <v>#REF!</v>
      </c>
      <c r="BB17" s="242" t="s">
        <v>268</v>
      </c>
      <c r="BC17" s="250" t="e">
        <f>ROUNDUP(O17/$BC$13,0)</f>
        <v>#REF!</v>
      </c>
      <c r="BD17" s="250" t="e">
        <f>ROUNDUP(R17/$BD$13,0)</f>
        <v>#REF!</v>
      </c>
      <c r="BE17" s="250" t="e">
        <f>ROUNDUP(U17/$BE$13,0)</f>
        <v>#REF!</v>
      </c>
      <c r="BF17" s="250" t="e">
        <f>ROUNDUP(X17/$BF$13,0)</f>
        <v>#REF!</v>
      </c>
      <c r="BG17" s="250" t="e">
        <f>ROUNDUP(AA17/$BG$13,0)</f>
        <v>#REF!</v>
      </c>
      <c r="BH17" s="250" t="e">
        <f>ROUNDUP(AD17/$BH$13,0)</f>
        <v>#REF!</v>
      </c>
      <c r="BI17" s="113">
        <f>BI16+1</f>
        <v>4</v>
      </c>
    </row>
    <row r="18" spans="1:61" customHeight="1" ht="20.1" s="113" customFormat="1">
      <c r="A18" s="1222"/>
      <c r="B18" s="1226"/>
      <c r="C18" s="298" t="s">
        <v>269</v>
      </c>
      <c r="D18" s="123" t="e">
        <f>VLOOKUP(C18,#REF!,2,0)</f>
        <v>#REF!</v>
      </c>
      <c r="E18" s="123" t="e">
        <f>VLOOKUP(C18,#REF!,4,0)</f>
        <v>#REF!</v>
      </c>
      <c r="F18" s="124">
        <v>351</v>
      </c>
      <c r="G18" s="124">
        <v>6</v>
      </c>
      <c r="H18" s="328" t="e">
        <f>VLOOKUP(C18,#REF!,3,0)</f>
        <v>#REF!</v>
      </c>
      <c r="I18" s="328" t="e">
        <f>VLOOKUP(C18,#REF!,7,0)</f>
        <v>#REF!</v>
      </c>
      <c r="J18" s="126" t="e">
        <v>#REF!</v>
      </c>
      <c r="K18" s="127" t="e">
        <v>#REF!</v>
      </c>
      <c r="L18" s="128" t="e">
        <v>#REF!</v>
      </c>
      <c r="M18" s="126" t="e">
        <v>#REF!</v>
      </c>
      <c r="N18" s="127" t="e">
        <v>#REF!</v>
      </c>
      <c r="O18" s="128" t="e">
        <v>#REF!</v>
      </c>
      <c r="P18" s="126" t="e">
        <v>#REF!</v>
      </c>
      <c r="Q18" s="127" t="e">
        <v>#REF!</v>
      </c>
      <c r="R18" s="128" t="e">
        <v>#REF!</v>
      </c>
      <c r="S18" s="126" t="e">
        <v>#REF!</v>
      </c>
      <c r="T18" s="127" t="e">
        <v>#REF!</v>
      </c>
      <c r="U18" s="128" t="e">
        <v>#REF!</v>
      </c>
      <c r="V18" s="126" t="e">
        <v>#REF!</v>
      </c>
      <c r="W18" s="127" t="e">
        <v>#REF!</v>
      </c>
      <c r="X18" s="128" t="e">
        <v>#REF!</v>
      </c>
      <c r="Y18" s="126" t="e">
        <v>#REF!</v>
      </c>
      <c r="Z18" s="127" t="e">
        <v>#REF!</v>
      </c>
      <c r="AA18" s="128" t="e">
        <v>#REF!</v>
      </c>
      <c r="AB18" s="126" t="e">
        <v>#REF!</v>
      </c>
      <c r="AC18" s="248" t="e">
        <v>#REF!</v>
      </c>
      <c r="AD18" s="128" t="e">
        <v>#REF!</v>
      </c>
      <c r="AE18" s="130" t="e">
        <v>#REF!</v>
      </c>
      <c r="AF18" s="113">
        <f>AF17+1</f>
        <v>5</v>
      </c>
      <c r="AG18" s="131" t="e">
        <f>J18*$F18</f>
        <v>#REF!</v>
      </c>
      <c r="AH18" s="132" t="e">
        <f>K18*$F18</f>
        <v>#REF!</v>
      </c>
      <c r="AI18" s="133" t="e">
        <f>L18*$F18</f>
        <v>#REF!</v>
      </c>
      <c r="AJ18" s="134" t="e">
        <f>M18*$F18</f>
        <v>#REF!</v>
      </c>
      <c r="AK18" s="132" t="e">
        <f>K18*$F18</f>
        <v>#REF!</v>
      </c>
      <c r="AL18" s="133" t="e">
        <f>O18*$F18</f>
        <v>#REF!</v>
      </c>
      <c r="AM18" s="134" t="e">
        <f>P18*$F18</f>
        <v>#REF!</v>
      </c>
      <c r="AN18" s="132" t="e">
        <f>N18*$F18</f>
        <v>#REF!</v>
      </c>
      <c r="AO18" s="133" t="e">
        <f>R18*$F18</f>
        <v>#REF!</v>
      </c>
      <c r="AP18" s="134" t="e">
        <f>S18*$F18</f>
        <v>#REF!</v>
      </c>
      <c r="AQ18" s="132" t="e">
        <f>Q18*$F18</f>
        <v>#REF!</v>
      </c>
      <c r="AR18" s="133" t="e">
        <f>U18*$F18</f>
        <v>#REF!</v>
      </c>
      <c r="AS18" s="134" t="e">
        <f>V18*$F18</f>
        <v>#REF!</v>
      </c>
      <c r="AT18" s="132" t="e">
        <f>T18*$F18</f>
        <v>#REF!</v>
      </c>
      <c r="AU18" s="133" t="e">
        <f>X18*$F18</f>
        <v>#REF!</v>
      </c>
      <c r="AV18" s="134" t="e">
        <f>Y18*$F18</f>
        <v>#REF!</v>
      </c>
      <c r="AW18" s="132" t="e">
        <f>W18*$F18</f>
        <v>#REF!</v>
      </c>
      <c r="AX18" s="133" t="e">
        <f>AA18*$F18</f>
        <v>#REF!</v>
      </c>
      <c r="AY18" s="134" t="e">
        <f>AB18*$F18</f>
        <v>#REF!</v>
      </c>
      <c r="AZ18" s="135" t="e">
        <f>Z18*$F18</f>
        <v>#REF!</v>
      </c>
      <c r="BA18" s="136" t="e">
        <f>AD18*$F18</f>
        <v>#REF!</v>
      </c>
      <c r="BB18" s="137" t="s">
        <v>270</v>
      </c>
      <c r="BC18" s="121" t="e">
        <f>ROUNDUP(O18/$BC$13,0)</f>
        <v>#REF!</v>
      </c>
      <c r="BD18" s="121" t="e">
        <f>ROUNDUP(R18/$BD$13,0)</f>
        <v>#REF!</v>
      </c>
      <c r="BE18" s="121" t="e">
        <f>ROUNDUP(U18/$BE$13,0)</f>
        <v>#REF!</v>
      </c>
      <c r="BF18" s="121" t="e">
        <f>ROUNDUP(X18/$BF$13,0)</f>
        <v>#REF!</v>
      </c>
      <c r="BG18" s="121" t="e">
        <f>ROUNDUP(AA18/$BG$13,0)</f>
        <v>#REF!</v>
      </c>
      <c r="BH18" s="121" t="e">
        <f>ROUNDUP(AD18/$BH$13,0)</f>
        <v>#REF!</v>
      </c>
      <c r="BI18" s="113">
        <f>BI17+1</f>
        <v>5</v>
      </c>
    </row>
    <row r="19" spans="1:61" customHeight="1" ht="20.1" s="113" customFormat="1">
      <c r="A19" s="1222"/>
      <c r="B19" s="1227"/>
      <c r="C19" s="337" t="s">
        <v>271</v>
      </c>
      <c r="D19" s="338" t="e">
        <f>VLOOKUP(C19,#REF!,2,0)</f>
        <v>#REF!</v>
      </c>
      <c r="E19" s="339" t="e">
        <f>VLOOKUP(C19,#REF!,4,0)</f>
        <v>#REF!</v>
      </c>
      <c r="F19" s="340">
        <v>301</v>
      </c>
      <c r="G19" s="340">
        <v>6</v>
      </c>
      <c r="H19" s="341" t="e">
        <f>VLOOKUP(C19,#REF!,3,0)</f>
        <v>#REF!</v>
      </c>
      <c r="I19" s="342" t="e">
        <f>VLOOKUP(C19,#REF!,7,0)</f>
        <v>#REF!</v>
      </c>
      <c r="J19" s="331" t="e">
        <v>#REF!</v>
      </c>
      <c r="K19" s="332" t="e">
        <v>#REF!</v>
      </c>
      <c r="L19" s="333" t="e">
        <v>#REF!</v>
      </c>
      <c r="M19" s="331" t="e">
        <v>#REF!</v>
      </c>
      <c r="N19" s="332" t="e">
        <v>#REF!</v>
      </c>
      <c r="O19" s="333" t="e">
        <v>#REF!</v>
      </c>
      <c r="P19" s="331" t="e">
        <v>#REF!</v>
      </c>
      <c r="Q19" s="332" t="e">
        <v>#REF!</v>
      </c>
      <c r="R19" s="333" t="e">
        <v>#REF!</v>
      </c>
      <c r="S19" s="331" t="e">
        <v>#REF!</v>
      </c>
      <c r="T19" s="332" t="e">
        <v>#REF!</v>
      </c>
      <c r="U19" s="333" t="e">
        <v>#REF!</v>
      </c>
      <c r="V19" s="331" t="e">
        <v>#REF!</v>
      </c>
      <c r="W19" s="332" t="e">
        <v>#REF!</v>
      </c>
      <c r="X19" s="333" t="e">
        <v>#REF!</v>
      </c>
      <c r="Y19" s="331" t="e">
        <v>#REF!</v>
      </c>
      <c r="Z19" s="332" t="e">
        <v>#REF!</v>
      </c>
      <c r="AA19" s="333" t="e">
        <v>#REF!</v>
      </c>
      <c r="AB19" s="331" t="e">
        <v>#REF!</v>
      </c>
      <c r="AC19" s="343" t="e">
        <v>#REF!</v>
      </c>
      <c r="AD19" s="333" t="e">
        <v>#REF!</v>
      </c>
      <c r="AE19" s="334" t="e">
        <v>#REF!</v>
      </c>
      <c r="AF19" s="113">
        <f>AF18+1</f>
        <v>6</v>
      </c>
      <c r="AG19" s="131" t="e">
        <f>J19*$F19</f>
        <v>#REF!</v>
      </c>
      <c r="AH19" s="132" t="e">
        <f>K19*$F19</f>
        <v>#REF!</v>
      </c>
      <c r="AI19" s="133" t="e">
        <f>L19*$F19</f>
        <v>#REF!</v>
      </c>
      <c r="AJ19" s="134" t="e">
        <f>M19*$F19</f>
        <v>#REF!</v>
      </c>
      <c r="AK19" s="132" t="e">
        <f>K19*$F19</f>
        <v>#REF!</v>
      </c>
      <c r="AL19" s="133" t="e">
        <f>O19*$F19</f>
        <v>#REF!</v>
      </c>
      <c r="AM19" s="134" t="e">
        <f>P19*$F19</f>
        <v>#REF!</v>
      </c>
      <c r="AN19" s="132" t="e">
        <f>N19*$F19</f>
        <v>#REF!</v>
      </c>
      <c r="AO19" s="133" t="e">
        <f>R19*$F19</f>
        <v>#REF!</v>
      </c>
      <c r="AP19" s="134" t="e">
        <f>S19*$F19</f>
        <v>#REF!</v>
      </c>
      <c r="AQ19" s="132" t="e">
        <f>Q19*$F19</f>
        <v>#REF!</v>
      </c>
      <c r="AR19" s="133" t="e">
        <f>U19*$F19</f>
        <v>#REF!</v>
      </c>
      <c r="AS19" s="134" t="e">
        <f>V19*$F19</f>
        <v>#REF!</v>
      </c>
      <c r="AT19" s="132" t="e">
        <f>T19*$F19</f>
        <v>#REF!</v>
      </c>
      <c r="AU19" s="133" t="e">
        <f>X19*$F19</f>
        <v>#REF!</v>
      </c>
      <c r="AV19" s="134" t="e">
        <f>Y19*$F19</f>
        <v>#REF!</v>
      </c>
      <c r="AW19" s="132" t="e">
        <f>W19*$F19</f>
        <v>#REF!</v>
      </c>
      <c r="AX19" s="133" t="e">
        <f>AA19*$F19</f>
        <v>#REF!</v>
      </c>
      <c r="AY19" s="134" t="e">
        <f>AB19*$F19</f>
        <v>#REF!</v>
      </c>
      <c r="AZ19" s="135" t="e">
        <f>Z19*$F19</f>
        <v>#REF!</v>
      </c>
      <c r="BA19" s="136" t="e">
        <f>AD19*$F19</f>
        <v>#REF!</v>
      </c>
      <c r="BB19" s="137" t="s">
        <v>270</v>
      </c>
      <c r="BC19" s="121" t="e">
        <f>ROUNDUP(O19/$BC$13,0)</f>
        <v>#REF!</v>
      </c>
      <c r="BD19" s="121" t="e">
        <f>ROUNDUP(R19/$BD$13,0)</f>
        <v>#REF!</v>
      </c>
      <c r="BE19" s="121" t="e">
        <f>ROUNDUP(U19/$BE$13,0)</f>
        <v>#REF!</v>
      </c>
      <c r="BF19" s="121" t="e">
        <f>ROUNDUP(X19/$BF$13,0)</f>
        <v>#REF!</v>
      </c>
      <c r="BG19" s="121" t="e">
        <f>ROUNDUP(AA19/$BG$13,0)</f>
        <v>#REF!</v>
      </c>
      <c r="BH19" s="121" t="e">
        <f>ROUNDUP(AD19/$BH$13,0)</f>
        <v>#REF!</v>
      </c>
      <c r="BI19" s="113">
        <f>BI18+1</f>
        <v>6</v>
      </c>
    </row>
    <row r="20" spans="1:61" customHeight="1" ht="20.1" s="113" customFormat="1">
      <c r="A20" s="1222"/>
      <c r="B20" s="1228" t="s">
        <v>266</v>
      </c>
      <c r="C20" s="346" t="s">
        <v>272</v>
      </c>
      <c r="D20" s="347" t="e">
        <f>VLOOKUP(C20,#REF!,2,0)</f>
        <v>#REF!</v>
      </c>
      <c r="E20" s="347" t="e">
        <f>VLOOKUP(C20,#REF!,4,0)</f>
        <v>#REF!</v>
      </c>
      <c r="F20" s="348">
        <v>332</v>
      </c>
      <c r="G20" s="348">
        <v>6</v>
      </c>
      <c r="H20" s="349" t="e">
        <f>VLOOKUP(C20,#REF!,3,0)</f>
        <v>#REF!</v>
      </c>
      <c r="I20" s="349" t="e">
        <f>VLOOKUP(C20,#REF!,7,0)</f>
        <v>#REF!</v>
      </c>
      <c r="J20" s="350" t="e">
        <v>#REF!</v>
      </c>
      <c r="K20" s="350" t="e">
        <v>#REF!</v>
      </c>
      <c r="L20" s="350" t="e">
        <v>#REF!</v>
      </c>
      <c r="M20" s="350" t="e">
        <v>#REF!</v>
      </c>
      <c r="N20" s="350" t="e">
        <v>#REF!</v>
      </c>
      <c r="O20" s="350" t="e">
        <v>#REF!</v>
      </c>
      <c r="P20" s="350" t="e">
        <v>#REF!</v>
      </c>
      <c r="Q20" s="350" t="e">
        <v>#REF!</v>
      </c>
      <c r="R20" s="350" t="e">
        <v>#REF!</v>
      </c>
      <c r="S20" s="350" t="e">
        <v>#REF!</v>
      </c>
      <c r="T20" s="350" t="e">
        <v>#REF!</v>
      </c>
      <c r="U20" s="350" t="e">
        <v>#REF!</v>
      </c>
      <c r="V20" s="350" t="e">
        <v>#REF!</v>
      </c>
      <c r="W20" s="350" t="e">
        <v>#REF!</v>
      </c>
      <c r="X20" s="350" t="e">
        <v>#REF!</v>
      </c>
      <c r="Y20" s="350" t="e">
        <v>#REF!</v>
      </c>
      <c r="Z20" s="350" t="e">
        <v>#REF!</v>
      </c>
      <c r="AA20" s="350" t="e">
        <v>#REF!</v>
      </c>
      <c r="AB20" s="350" t="e">
        <v>#REF!</v>
      </c>
      <c r="AC20" s="351" t="e">
        <v>#REF!</v>
      </c>
      <c r="AD20" s="350" t="e">
        <v>#REF!</v>
      </c>
      <c r="AE20" s="352" t="e">
        <v>#REF!</v>
      </c>
      <c r="AF20" s="113">
        <f>AF19+1</f>
        <v>7</v>
      </c>
      <c r="AG20" s="131" t="e">
        <f>J20*$F20</f>
        <v>#REF!</v>
      </c>
      <c r="AH20" s="132" t="e">
        <f>K20*$F20</f>
        <v>#REF!</v>
      </c>
      <c r="AI20" s="133" t="e">
        <f>L20*$F20</f>
        <v>#REF!</v>
      </c>
      <c r="AJ20" s="134" t="e">
        <f>M20*$F20</f>
        <v>#REF!</v>
      </c>
      <c r="AK20" s="132" t="e">
        <f>K20*$F20</f>
        <v>#REF!</v>
      </c>
      <c r="AL20" s="133" t="e">
        <f>O20*$F20</f>
        <v>#REF!</v>
      </c>
      <c r="AM20" s="134" t="e">
        <f>P20*$F20</f>
        <v>#REF!</v>
      </c>
      <c r="AN20" s="132" t="e">
        <f>N20*$F20</f>
        <v>#REF!</v>
      </c>
      <c r="AO20" s="133" t="e">
        <f>R20*$F20</f>
        <v>#REF!</v>
      </c>
      <c r="AP20" s="134" t="e">
        <f>S20*$F20</f>
        <v>#REF!</v>
      </c>
      <c r="AQ20" s="132" t="e">
        <f>Q20*$F20</f>
        <v>#REF!</v>
      </c>
      <c r="AR20" s="133" t="e">
        <f>U20*$F20</f>
        <v>#REF!</v>
      </c>
      <c r="AS20" s="134" t="e">
        <f>V20*$F20</f>
        <v>#REF!</v>
      </c>
      <c r="AT20" s="132" t="e">
        <f>T20*$F20</f>
        <v>#REF!</v>
      </c>
      <c r="AU20" s="133" t="e">
        <f>X20*$F20</f>
        <v>#REF!</v>
      </c>
      <c r="AV20" s="134" t="e">
        <f>Y20*$F20</f>
        <v>#REF!</v>
      </c>
      <c r="AW20" s="132" t="e">
        <f>W20*$F20</f>
        <v>#REF!</v>
      </c>
      <c r="AX20" s="133" t="e">
        <f>AA20*$F20</f>
        <v>#REF!</v>
      </c>
      <c r="AY20" s="134" t="e">
        <f>AB20*$F20</f>
        <v>#REF!</v>
      </c>
      <c r="AZ20" s="135" t="e">
        <f>Z20*$F20</f>
        <v>#REF!</v>
      </c>
      <c r="BA20" s="136" t="e">
        <f>AD20*$F20</f>
        <v>#REF!</v>
      </c>
      <c r="BB20" s="242" t="s">
        <v>268</v>
      </c>
      <c r="BC20" s="250" t="e">
        <f>ROUNDUP(O20/$BC$13,0)</f>
        <v>#REF!</v>
      </c>
      <c r="BD20" s="250" t="e">
        <f>ROUNDUP(R20/$BD$13,0)</f>
        <v>#REF!</v>
      </c>
      <c r="BE20" s="250" t="e">
        <f>ROUNDUP(U20/$BE$13,0)</f>
        <v>#REF!</v>
      </c>
      <c r="BF20" s="250" t="e">
        <f>ROUNDUP(X20/$BF$13,0)</f>
        <v>#REF!</v>
      </c>
      <c r="BG20" s="250" t="e">
        <f>ROUNDUP(AA20/$BG$13,0)</f>
        <v>#REF!</v>
      </c>
      <c r="BH20" s="250" t="e">
        <f>ROUNDUP(AD20/$BH$13,0)</f>
        <v>#REF!</v>
      </c>
      <c r="BI20" s="113">
        <f>BI19+1</f>
        <v>7</v>
      </c>
    </row>
    <row r="21" spans="1:61" customHeight="1" ht="20.1" s="113" customFormat="1">
      <c r="A21" s="1222"/>
      <c r="B21" s="1199"/>
      <c r="C21" s="353" t="s">
        <v>273</v>
      </c>
      <c r="D21" s="354" t="e">
        <f>VLOOKUP(C21,#REF!,2,0)</f>
        <v>#REF!</v>
      </c>
      <c r="E21" s="354" t="e">
        <f>VLOOKUP(C21,#REF!,4,0)</f>
        <v>#REF!</v>
      </c>
      <c r="F21" s="355">
        <v>332</v>
      </c>
      <c r="G21" s="355">
        <v>6</v>
      </c>
      <c r="H21" s="356" t="e">
        <f>VLOOKUP(C21,#REF!,3,0)</f>
        <v>#REF!</v>
      </c>
      <c r="I21" s="356" t="e">
        <f>VLOOKUP(C21,#REF!,7,0)</f>
        <v>#REF!</v>
      </c>
      <c r="J21" s="127" t="e">
        <v>#REF!</v>
      </c>
      <c r="K21" s="127" t="e">
        <v>#REF!</v>
      </c>
      <c r="L21" s="127" t="e">
        <v>#REF!</v>
      </c>
      <c r="M21" s="127" t="e">
        <v>#REF!</v>
      </c>
      <c r="N21" s="127" t="e">
        <v>#REF!</v>
      </c>
      <c r="O21" s="127" t="e">
        <v>#REF!</v>
      </c>
      <c r="P21" s="127" t="e">
        <v>#REF!</v>
      </c>
      <c r="Q21" s="127" t="e">
        <v>#REF!</v>
      </c>
      <c r="R21" s="127" t="e">
        <v>#REF!</v>
      </c>
      <c r="S21" s="127" t="e">
        <v>#REF!</v>
      </c>
      <c r="T21" s="127" t="e">
        <v>#REF!</v>
      </c>
      <c r="U21" s="127" t="e">
        <v>#REF!</v>
      </c>
      <c r="V21" s="127" t="e">
        <v>#REF!</v>
      </c>
      <c r="W21" s="127" t="e">
        <v>#REF!</v>
      </c>
      <c r="X21" s="127" t="e">
        <v>#REF!</v>
      </c>
      <c r="Y21" s="127" t="e">
        <v>#REF!</v>
      </c>
      <c r="Z21" s="127" t="e">
        <v>#REF!</v>
      </c>
      <c r="AA21" s="127" t="e">
        <v>#REF!</v>
      </c>
      <c r="AB21" s="127" t="e">
        <v>#REF!</v>
      </c>
      <c r="AC21" s="357" t="e">
        <v>#REF!</v>
      </c>
      <c r="AD21" s="127" t="e">
        <v>#REF!</v>
      </c>
      <c r="AE21" s="358" t="e">
        <v>#REF!</v>
      </c>
      <c r="AF21" s="113">
        <f>AF20+1</f>
        <v>8</v>
      </c>
      <c r="AG21" s="131" t="e">
        <f>J21*$F21</f>
        <v>#REF!</v>
      </c>
      <c r="AH21" s="132" t="e">
        <f>K21*$F21</f>
        <v>#REF!</v>
      </c>
      <c r="AI21" s="133" t="e">
        <f>L21*$F21</f>
        <v>#REF!</v>
      </c>
      <c r="AJ21" s="134" t="e">
        <f>M21*$F21</f>
        <v>#REF!</v>
      </c>
      <c r="AK21" s="132" t="e">
        <f>K21*$F21</f>
        <v>#REF!</v>
      </c>
      <c r="AL21" s="133" t="e">
        <f>O21*$F21</f>
        <v>#REF!</v>
      </c>
      <c r="AM21" s="134" t="e">
        <f>P21*$F21</f>
        <v>#REF!</v>
      </c>
      <c r="AN21" s="132" t="e">
        <f>N21*$F21</f>
        <v>#REF!</v>
      </c>
      <c r="AO21" s="133" t="e">
        <f>R21*$F21</f>
        <v>#REF!</v>
      </c>
      <c r="AP21" s="134" t="e">
        <f>S21*$F21</f>
        <v>#REF!</v>
      </c>
      <c r="AQ21" s="132" t="e">
        <f>Q21*$F21</f>
        <v>#REF!</v>
      </c>
      <c r="AR21" s="133" t="e">
        <f>U21*$F21</f>
        <v>#REF!</v>
      </c>
      <c r="AS21" s="134" t="e">
        <f>V21*$F21</f>
        <v>#REF!</v>
      </c>
      <c r="AT21" s="132" t="e">
        <f>T21*$F21</f>
        <v>#REF!</v>
      </c>
      <c r="AU21" s="133" t="e">
        <f>X21*$F21</f>
        <v>#REF!</v>
      </c>
      <c r="AV21" s="134" t="e">
        <f>Y21*$F21</f>
        <v>#REF!</v>
      </c>
      <c r="AW21" s="132" t="e">
        <f>W21*$F21</f>
        <v>#REF!</v>
      </c>
      <c r="AX21" s="133" t="e">
        <f>AA21*$F21</f>
        <v>#REF!</v>
      </c>
      <c r="AY21" s="134" t="e">
        <f>AB21*$F21</f>
        <v>#REF!</v>
      </c>
      <c r="AZ21" s="135" t="e">
        <f>Z21*$F21</f>
        <v>#REF!</v>
      </c>
      <c r="BA21" s="136" t="e">
        <f>AD21*$F21</f>
        <v>#REF!</v>
      </c>
      <c r="BB21" s="242" t="s">
        <v>268</v>
      </c>
      <c r="BC21" s="250" t="e">
        <f>ROUNDUP(O21/$BC$13,0)</f>
        <v>#REF!</v>
      </c>
      <c r="BD21" s="250" t="e">
        <f>ROUNDUP(R21/$BD$13,0)</f>
        <v>#REF!</v>
      </c>
      <c r="BE21" s="250" t="e">
        <f>ROUNDUP(U21/$BE$13,0)</f>
        <v>#REF!</v>
      </c>
      <c r="BF21" s="250" t="e">
        <f>ROUNDUP(X21/$BF$13,0)</f>
        <v>#REF!</v>
      </c>
      <c r="BG21" s="250" t="e">
        <f>ROUNDUP(AA21/$BG$13,0)</f>
        <v>#REF!</v>
      </c>
      <c r="BH21" s="250" t="e">
        <f>ROUNDUP(AD21/$BH$13,0)</f>
        <v>#REF!</v>
      </c>
      <c r="BI21" s="113">
        <f>BI20+1</f>
        <v>8</v>
      </c>
    </row>
    <row r="22" spans="1:61" customHeight="1" ht="20.1" hidden="true" s="113" customFormat="1">
      <c r="A22" s="1222"/>
      <c r="B22" s="1199"/>
      <c r="C22" s="353" t="s">
        <v>274</v>
      </c>
      <c r="D22" s="354" t="e">
        <f>VLOOKUP(C22,#REF!,2,0)</f>
        <v>#REF!</v>
      </c>
      <c r="E22" s="354" t="e">
        <f>VLOOKUP(C22,#REF!,4,0)</f>
        <v>#REF!</v>
      </c>
      <c r="F22" s="355">
        <v>351</v>
      </c>
      <c r="G22" s="355">
        <v>6</v>
      </c>
      <c r="H22" s="359" t="e">
        <f>VLOOKUP(C22,#REF!,3,0)</f>
        <v>#REF!</v>
      </c>
      <c r="I22" s="359" t="e">
        <f>VLOOKUP(C22,#REF!,7,0)</f>
        <v>#REF!</v>
      </c>
      <c r="J22" s="127" t="e">
        <v>#REF!</v>
      </c>
      <c r="K22" s="127" t="e">
        <v>#REF!</v>
      </c>
      <c r="L22" s="127" t="e">
        <v>#REF!</v>
      </c>
      <c r="M22" s="127" t="e">
        <v>#REF!</v>
      </c>
      <c r="N22" s="127" t="e">
        <v>#REF!</v>
      </c>
      <c r="O22" s="127" t="e">
        <v>#REF!</v>
      </c>
      <c r="P22" s="127" t="e">
        <v>#REF!</v>
      </c>
      <c r="Q22" s="127" t="e">
        <v>#REF!</v>
      </c>
      <c r="R22" s="127" t="e">
        <v>#REF!</v>
      </c>
      <c r="S22" s="127" t="e">
        <v>#REF!</v>
      </c>
      <c r="T22" s="127" t="e">
        <v>#REF!</v>
      </c>
      <c r="U22" s="127" t="e">
        <v>#REF!</v>
      </c>
      <c r="V22" s="127" t="e">
        <v>#REF!</v>
      </c>
      <c r="W22" s="127" t="e">
        <v>#REF!</v>
      </c>
      <c r="X22" s="127" t="e">
        <v>#REF!</v>
      </c>
      <c r="Y22" s="127" t="e">
        <v>#REF!</v>
      </c>
      <c r="Z22" s="127" t="e">
        <v>#REF!</v>
      </c>
      <c r="AA22" s="127" t="e">
        <v>#REF!</v>
      </c>
      <c r="AB22" s="127" t="e">
        <v>#REF!</v>
      </c>
      <c r="AC22" s="357" t="e">
        <v>#REF!</v>
      </c>
      <c r="AD22" s="127" t="e">
        <v>#REF!</v>
      </c>
      <c r="AE22" s="358" t="e">
        <v>#REF!</v>
      </c>
      <c r="AF22" s="113">
        <f>AF21+1</f>
        <v>9</v>
      </c>
      <c r="AG22" s="131" t="e">
        <f>J22*$F22</f>
        <v>#REF!</v>
      </c>
      <c r="AH22" s="132" t="e">
        <f>K22*$F22</f>
        <v>#REF!</v>
      </c>
      <c r="AI22" s="133" t="e">
        <f>L22*$F22</f>
        <v>#REF!</v>
      </c>
      <c r="AJ22" s="134" t="e">
        <f>M22*$F22</f>
        <v>#REF!</v>
      </c>
      <c r="AK22" s="132" t="e">
        <f>K22*$F22</f>
        <v>#REF!</v>
      </c>
      <c r="AL22" s="133" t="e">
        <f>O22*$F22</f>
        <v>#REF!</v>
      </c>
      <c r="AM22" s="134" t="e">
        <f>P22*$F22</f>
        <v>#REF!</v>
      </c>
      <c r="AN22" s="132" t="e">
        <f>N22*$F22</f>
        <v>#REF!</v>
      </c>
      <c r="AO22" s="133" t="e">
        <f>R22*$F22</f>
        <v>#REF!</v>
      </c>
      <c r="AP22" s="134" t="e">
        <f>S22*$F22</f>
        <v>#REF!</v>
      </c>
      <c r="AQ22" s="132" t="e">
        <f>Q22*$F22</f>
        <v>#REF!</v>
      </c>
      <c r="AR22" s="133" t="e">
        <f>U22*$F22</f>
        <v>#REF!</v>
      </c>
      <c r="AS22" s="134" t="e">
        <f>V22*$F22</f>
        <v>#REF!</v>
      </c>
      <c r="AT22" s="132" t="e">
        <f>T22*$F22</f>
        <v>#REF!</v>
      </c>
      <c r="AU22" s="133" t="e">
        <f>X22*$F22</f>
        <v>#REF!</v>
      </c>
      <c r="AV22" s="134" t="e">
        <f>Y22*$F22</f>
        <v>#REF!</v>
      </c>
      <c r="AW22" s="132" t="e">
        <f>W22*$F22</f>
        <v>#REF!</v>
      </c>
      <c r="AX22" s="133" t="e">
        <f>AA22*$F22</f>
        <v>#REF!</v>
      </c>
      <c r="AY22" s="134" t="e">
        <f>AB22*$F22</f>
        <v>#REF!</v>
      </c>
      <c r="AZ22" s="135" t="e">
        <f>Z22*$F22</f>
        <v>#REF!</v>
      </c>
      <c r="BA22" s="136" t="e">
        <f>AD22*$F22</f>
        <v>#REF!</v>
      </c>
      <c r="BB22" s="137" t="s">
        <v>270</v>
      </c>
      <c r="BC22" s="121" t="e">
        <f>ROUNDUP(O22/$BC$13,0)</f>
        <v>#REF!</v>
      </c>
      <c r="BD22" s="121" t="e">
        <f>ROUNDUP(R22/$BD$13,0)</f>
        <v>#REF!</v>
      </c>
      <c r="BE22" s="121" t="e">
        <f>ROUNDUP(U22/$BE$13,0)</f>
        <v>#REF!</v>
      </c>
      <c r="BF22" s="121" t="e">
        <f>ROUNDUP(X22/$BF$13,0)</f>
        <v>#REF!</v>
      </c>
      <c r="BG22" s="121" t="e">
        <f>ROUNDUP(AA22/$BG$13,0)</f>
        <v>#REF!</v>
      </c>
      <c r="BH22" s="121" t="e">
        <f>ROUNDUP(AD22/$BH$13,0)</f>
        <v>#REF!</v>
      </c>
      <c r="BI22" s="113">
        <f>BI20+1</f>
        <v>8</v>
      </c>
    </row>
    <row r="23" spans="1:61" customHeight="1" ht="20.1" s="113" customFormat="1">
      <c r="A23" s="1222"/>
      <c r="B23" s="1199"/>
      <c r="C23" s="353" t="s">
        <v>275</v>
      </c>
      <c r="D23" s="354" t="e">
        <f>VLOOKUP(C23,#REF!,2,0)</f>
        <v>#REF!</v>
      </c>
      <c r="E23" s="354" t="e">
        <f>VLOOKUP(C23,#REF!,4,0)</f>
        <v>#REF!</v>
      </c>
      <c r="F23" s="355">
        <v>351</v>
      </c>
      <c r="G23" s="355">
        <v>6</v>
      </c>
      <c r="H23" s="359" t="e">
        <f>H22</f>
        <v>#REF!</v>
      </c>
      <c r="I23" s="359" t="e">
        <f>I22</f>
        <v>#REF!</v>
      </c>
      <c r="J23" s="127">
        <f>(GUM!I14-(GUM!I14*0.2))</f>
        <v>0</v>
      </c>
      <c r="K23" s="127">
        <f>(GUM!J14-(GUM!J14*0.2))</f>
        <v>0</v>
      </c>
      <c r="L23" s="127">
        <f>(GUM!K14-(GUM!K14*0.2))</f>
        <v>0</v>
      </c>
      <c r="M23" s="127">
        <f>(GUM!L14-(GUM!L14*0.2))</f>
        <v>0</v>
      </c>
      <c r="N23" s="127">
        <f>(GUM!M14-(GUM!M14*0.2))</f>
        <v>0</v>
      </c>
      <c r="O23" s="127">
        <f>(GUM!N14-(GUM!N14*0.2))</f>
        <v>0</v>
      </c>
      <c r="P23" s="127">
        <f>(GUM!O14-(GUM!O14*0.2))</f>
        <v>0</v>
      </c>
      <c r="Q23" s="127">
        <f>(GUM!P14-(GUM!P14*0.2))</f>
        <v>0</v>
      </c>
      <c r="R23" s="127">
        <f>(GUM!Q14-(GUM!Q14*0.2))</f>
        <v>0</v>
      </c>
      <c r="S23" s="127">
        <f>(GUM!R14-(GUM!R14*0.2))</f>
        <v>0</v>
      </c>
      <c r="T23" s="127">
        <f>(GUM!S14-(GUM!S14*0.2))</f>
        <v>0</v>
      </c>
      <c r="U23" s="127">
        <f>(GUM!T14-(GUM!T14*0.2))</f>
        <v>0</v>
      </c>
      <c r="V23" s="127">
        <f>(GUM!U14-(GUM!U14*0.2))</f>
        <v>0</v>
      </c>
      <c r="W23" s="127">
        <f>(GUM!V14-(GUM!V14*0.2))</f>
        <v>0</v>
      </c>
      <c r="X23" s="127">
        <f>(GUM!W14-(GUM!W14*0.2))</f>
        <v>0</v>
      </c>
      <c r="Y23" s="127">
        <f>(GUM!X14-(GUM!X14*0.2))</f>
        <v>0</v>
      </c>
      <c r="Z23" s="127">
        <f>(GUM!Y14-(GUM!Y14*0.2))</f>
        <v>0</v>
      </c>
      <c r="AA23" s="127">
        <f>(GUM!Z14-(GUM!Z14*0.2))</f>
        <v>0</v>
      </c>
      <c r="AB23" s="127">
        <f>(GUM!AA14-(GUM!AA14*0.2))</f>
        <v>0</v>
      </c>
      <c r="AC23" s="357">
        <f>(GUM!AB14-(GUM!AB14*0.2))</f>
        <v>0</v>
      </c>
      <c r="AD23" s="127">
        <f>(GUM!AC14-(GUM!AC14*0.2))</f>
        <v>0</v>
      </c>
      <c r="AE23" s="358">
        <f>(GUM!AD14-(GUM!AD14*0.2))</f>
        <v>0</v>
      </c>
      <c r="AF23" s="113">
        <f>AF22+1</f>
        <v>10</v>
      </c>
      <c r="AG23" s="131">
        <f>J23*$F23</f>
        <v>0</v>
      </c>
      <c r="AH23" s="132">
        <f>K23*$F23</f>
        <v>0</v>
      </c>
      <c r="AI23" s="133">
        <f>L23*$F23</f>
        <v>0</v>
      </c>
      <c r="AJ23" s="134">
        <f>M23*$F23</f>
        <v>0</v>
      </c>
      <c r="AK23" s="132">
        <f>K23*$F23</f>
        <v>0</v>
      </c>
      <c r="AL23" s="133">
        <f>O23*$F23</f>
        <v>0</v>
      </c>
      <c r="AM23" s="134">
        <f>P23*$F23</f>
        <v>0</v>
      </c>
      <c r="AN23" s="132">
        <f>N23*$F23</f>
        <v>0</v>
      </c>
      <c r="AO23" s="133">
        <f>R23*$F23</f>
        <v>0</v>
      </c>
      <c r="AP23" s="134">
        <f>S23*$F23</f>
        <v>0</v>
      </c>
      <c r="AQ23" s="132">
        <f>Q23*$F23</f>
        <v>0</v>
      </c>
      <c r="AR23" s="133">
        <f>U23*$F23</f>
        <v>0</v>
      </c>
      <c r="AS23" s="134">
        <f>V23*$F23</f>
        <v>0</v>
      </c>
      <c r="AT23" s="132">
        <f>T23*$F23</f>
        <v>0</v>
      </c>
      <c r="AU23" s="133">
        <f>X23*$F23</f>
        <v>0</v>
      </c>
      <c r="AV23" s="134">
        <f>Y23*$F23</f>
        <v>0</v>
      </c>
      <c r="AW23" s="132">
        <f>W23*$F23</f>
        <v>0</v>
      </c>
      <c r="AX23" s="133">
        <f>AA23*$F23</f>
        <v>0</v>
      </c>
      <c r="AY23" s="134">
        <f>AB23*$F23</f>
        <v>0</v>
      </c>
      <c r="AZ23" s="135">
        <f>Z23*$F23</f>
        <v>0</v>
      </c>
      <c r="BA23" s="136">
        <f>AD23*$F23</f>
        <v>0</v>
      </c>
      <c r="BB23" s="137" t="s">
        <v>270</v>
      </c>
      <c r="BC23" s="121">
        <f>ROUNDUP(O23/$BC$13,0)</f>
        <v>0</v>
      </c>
      <c r="BD23" s="121">
        <f>ROUNDUP(R23/$BD$13,0)</f>
        <v>0</v>
      </c>
      <c r="BE23" s="121">
        <f>ROUNDUP(U23/$BE$13,0)</f>
        <v>0</v>
      </c>
      <c r="BF23" s="121">
        <f>ROUNDUP(X23/$BF$13,0)</f>
        <v>0</v>
      </c>
      <c r="BG23" s="121">
        <f>ROUNDUP(AA23/$BG$13,0)</f>
        <v>0</v>
      </c>
      <c r="BH23" s="121">
        <f>ROUNDUP(AD23/$BH$13,0)</f>
        <v>0</v>
      </c>
      <c r="BI23" s="113">
        <f>BI21+1</f>
        <v>9</v>
      </c>
    </row>
    <row r="24" spans="1:61" customHeight="1" ht="20.1" hidden="true" s="113" customFormat="1">
      <c r="A24" s="1222"/>
      <c r="B24" s="1199"/>
      <c r="C24" s="353" t="s">
        <v>276</v>
      </c>
      <c r="D24" s="360" t="e">
        <f>VLOOKUP(C24,#REF!,2,0)</f>
        <v>#REF!</v>
      </c>
      <c r="E24" s="361" t="e">
        <f>VLOOKUP(C24,#REF!,4,0)</f>
        <v>#REF!</v>
      </c>
      <c r="F24" s="362">
        <v>301</v>
      </c>
      <c r="G24" s="362">
        <v>6</v>
      </c>
      <c r="H24" s="363" t="e">
        <f>VLOOKUP(C24,#REF!,3,0)</f>
        <v>#REF!</v>
      </c>
      <c r="I24" s="363" t="e">
        <f>VLOOKUP(C24,#REF!,7,0)</f>
        <v>#REF!</v>
      </c>
      <c r="J24" s="127" t="e">
        <v>#REF!</v>
      </c>
      <c r="K24" s="127" t="e">
        <v>#REF!</v>
      </c>
      <c r="L24" s="127" t="e">
        <v>#REF!</v>
      </c>
      <c r="M24" s="127" t="e">
        <v>#REF!</v>
      </c>
      <c r="N24" s="127" t="e">
        <v>#REF!</v>
      </c>
      <c r="O24" s="127" t="e">
        <v>#REF!</v>
      </c>
      <c r="P24" s="127" t="e">
        <v>#REF!</v>
      </c>
      <c r="Q24" s="127" t="e">
        <v>#REF!</v>
      </c>
      <c r="R24" s="127" t="e">
        <v>#REF!</v>
      </c>
      <c r="S24" s="127" t="e">
        <v>#REF!</v>
      </c>
      <c r="T24" s="127" t="e">
        <v>#REF!</v>
      </c>
      <c r="U24" s="127" t="e">
        <v>#REF!</v>
      </c>
      <c r="V24" s="127" t="e">
        <v>#REF!</v>
      </c>
      <c r="W24" s="127" t="e">
        <v>#REF!</v>
      </c>
      <c r="X24" s="127" t="e">
        <v>#REF!</v>
      </c>
      <c r="Y24" s="127" t="e">
        <v>#REF!</v>
      </c>
      <c r="Z24" s="127" t="e">
        <v>#REF!</v>
      </c>
      <c r="AA24" s="127" t="e">
        <v>#REF!</v>
      </c>
      <c r="AB24" s="127" t="e">
        <v>#REF!</v>
      </c>
      <c r="AC24" s="357" t="e">
        <v>#REF!</v>
      </c>
      <c r="AD24" s="127" t="e">
        <v>#REF!</v>
      </c>
      <c r="AE24" s="358" t="e">
        <v>#REF!</v>
      </c>
      <c r="AF24" s="113">
        <f>AF23+1</f>
        <v>11</v>
      </c>
      <c r="AG24" s="131" t="e">
        <f>J24*$F24</f>
        <v>#REF!</v>
      </c>
      <c r="AH24" s="132" t="e">
        <f>K24*$F24</f>
        <v>#REF!</v>
      </c>
      <c r="AI24" s="133" t="e">
        <f>L24*$F24</f>
        <v>#REF!</v>
      </c>
      <c r="AJ24" s="134" t="e">
        <f>M24*$F24</f>
        <v>#REF!</v>
      </c>
      <c r="AK24" s="132" t="e">
        <f>K24*$F24</f>
        <v>#REF!</v>
      </c>
      <c r="AL24" s="133" t="e">
        <f>O24*$F24</f>
        <v>#REF!</v>
      </c>
      <c r="AM24" s="134" t="e">
        <f>P24*$F24</f>
        <v>#REF!</v>
      </c>
      <c r="AN24" s="132" t="e">
        <f>N24*$F24</f>
        <v>#REF!</v>
      </c>
      <c r="AO24" s="133" t="e">
        <f>R24*$F24</f>
        <v>#REF!</v>
      </c>
      <c r="AP24" s="134" t="e">
        <f>S24*$F24</f>
        <v>#REF!</v>
      </c>
      <c r="AQ24" s="132" t="e">
        <f>Q24*$F24</f>
        <v>#REF!</v>
      </c>
      <c r="AR24" s="133" t="e">
        <f>U24*$F24</f>
        <v>#REF!</v>
      </c>
      <c r="AS24" s="134" t="e">
        <f>V24*$F24</f>
        <v>#REF!</v>
      </c>
      <c r="AT24" s="132" t="e">
        <f>T24*$F24</f>
        <v>#REF!</v>
      </c>
      <c r="AU24" s="133" t="e">
        <f>X24*$F24</f>
        <v>#REF!</v>
      </c>
      <c r="AV24" s="134" t="e">
        <f>Y24*$F24</f>
        <v>#REF!</v>
      </c>
      <c r="AW24" s="132" t="e">
        <f>W24*$F24</f>
        <v>#REF!</v>
      </c>
      <c r="AX24" s="133" t="e">
        <f>AA24*$F24</f>
        <v>#REF!</v>
      </c>
      <c r="AY24" s="134" t="e">
        <f>AB24*$F24</f>
        <v>#REF!</v>
      </c>
      <c r="AZ24" s="135" t="e">
        <f>Z24*$F24</f>
        <v>#REF!</v>
      </c>
      <c r="BA24" s="136" t="e">
        <f>AD24*$F24</f>
        <v>#REF!</v>
      </c>
      <c r="BB24" s="137" t="s">
        <v>270</v>
      </c>
      <c r="BC24" s="121" t="e">
        <f>ROUNDUP(O24/$BC$13,0)</f>
        <v>#REF!</v>
      </c>
      <c r="BD24" s="121" t="e">
        <f>ROUNDUP(R24/$BD$13,0)</f>
        <v>#REF!</v>
      </c>
      <c r="BE24" s="121" t="e">
        <f>ROUNDUP(U24/$BE$13,0)</f>
        <v>#REF!</v>
      </c>
      <c r="BF24" s="121" t="e">
        <f>ROUNDUP(X24/$BF$13,0)</f>
        <v>#REF!</v>
      </c>
      <c r="BG24" s="121" t="e">
        <f>ROUNDUP(AA24/$BG$13,0)</f>
        <v>#REF!</v>
      </c>
      <c r="BH24" s="121" t="e">
        <f>ROUNDUP(AD24/$BH$13,0)</f>
        <v>#REF!</v>
      </c>
      <c r="BI24" s="113">
        <f>BI22+1</f>
        <v>9</v>
      </c>
    </row>
    <row r="25" spans="1:61" customHeight="1" ht="20.1" hidden="true" s="206" customFormat="1">
      <c r="A25" s="1222"/>
      <c r="B25" s="1199"/>
      <c r="C25" s="364" t="s">
        <v>277</v>
      </c>
      <c r="D25" s="361">
        <v>0.0</v>
      </c>
      <c r="E25" s="361" t="e">
        <f>VLOOKUP(C25,#REF!,4,0)</f>
        <v>#REF!</v>
      </c>
      <c r="F25" s="362">
        <v>309</v>
      </c>
      <c r="G25" s="362">
        <v>6</v>
      </c>
      <c r="H25" s="365" t="e">
        <f>VLOOKUP(C25,#REF!,3,0)</f>
        <v>#REF!</v>
      </c>
      <c r="I25" s="365" t="e">
        <f>VLOOKUP(C25,#REF!,7,0)</f>
        <v>#REF!</v>
      </c>
      <c r="J25" s="149" t="e">
        <v>#REF!</v>
      </c>
      <c r="K25" s="149" t="e">
        <v>#REF!</v>
      </c>
      <c r="L25" s="149" t="e">
        <v>#REF!</v>
      </c>
      <c r="M25" s="149" t="e">
        <v>#REF!</v>
      </c>
      <c r="N25" s="149" t="e">
        <v>#REF!</v>
      </c>
      <c r="O25" s="149" t="e">
        <v>#REF!</v>
      </c>
      <c r="P25" s="149" t="e">
        <v>#REF!</v>
      </c>
      <c r="Q25" s="149" t="e">
        <v>#REF!</v>
      </c>
      <c r="R25" s="149" t="e">
        <v>#REF!</v>
      </c>
      <c r="S25" s="149" t="e">
        <v>#REF!</v>
      </c>
      <c r="T25" s="149" t="e">
        <v>#REF!</v>
      </c>
      <c r="U25" s="149" t="e">
        <v>#REF!</v>
      </c>
      <c r="V25" s="149" t="e">
        <v>#REF!</v>
      </c>
      <c r="W25" s="149" t="e">
        <v>#REF!</v>
      </c>
      <c r="X25" s="149" t="e">
        <v>#REF!</v>
      </c>
      <c r="Y25" s="149" t="e">
        <v>#REF!</v>
      </c>
      <c r="Z25" s="149" t="e">
        <v>#REF!</v>
      </c>
      <c r="AA25" s="149" t="e">
        <v>#REF!</v>
      </c>
      <c r="AB25" s="149" t="e">
        <v>#REF!</v>
      </c>
      <c r="AC25" s="162" t="e">
        <v>#REF!</v>
      </c>
      <c r="AD25" s="149" t="e">
        <v>#REF!</v>
      </c>
      <c r="AE25" s="366" t="e">
        <v>#REF!</v>
      </c>
      <c r="AF25" s="113">
        <f>AF24+1</f>
        <v>12</v>
      </c>
      <c r="AG25" s="207" t="e">
        <f>J25*$F25</f>
        <v>#REF!</v>
      </c>
      <c r="AH25" s="208" t="e">
        <f>K25*$F25</f>
        <v>#REF!</v>
      </c>
      <c r="AI25" s="209" t="e">
        <f>L25*$F25</f>
        <v>#REF!</v>
      </c>
      <c r="AJ25" s="210" t="e">
        <f>M25*$F25</f>
        <v>#REF!</v>
      </c>
      <c r="AK25" s="208" t="e">
        <f>K25*$F25</f>
        <v>#REF!</v>
      </c>
      <c r="AL25" s="209" t="e">
        <f>O25*$F25</f>
        <v>#REF!</v>
      </c>
      <c r="AM25" s="210" t="e">
        <f>P25*$F25</f>
        <v>#REF!</v>
      </c>
      <c r="AN25" s="208" t="e">
        <f>N25*$F25</f>
        <v>#REF!</v>
      </c>
      <c r="AO25" s="209" t="e">
        <f>R25*$F25</f>
        <v>#REF!</v>
      </c>
      <c r="AP25" s="210" t="e">
        <f>S25*$F25</f>
        <v>#REF!</v>
      </c>
      <c r="AQ25" s="208" t="e">
        <f>Q25*$F25</f>
        <v>#REF!</v>
      </c>
      <c r="AR25" s="209" t="e">
        <f>U25*$F25</f>
        <v>#REF!</v>
      </c>
      <c r="AS25" s="210" t="e">
        <f>V25*$F25</f>
        <v>#REF!</v>
      </c>
      <c r="AT25" s="208" t="e">
        <f>T25*$F25</f>
        <v>#REF!</v>
      </c>
      <c r="AU25" s="209" t="e">
        <f>X25*$F25</f>
        <v>#REF!</v>
      </c>
      <c r="AV25" s="210" t="e">
        <f>Y25*$F25</f>
        <v>#REF!</v>
      </c>
      <c r="AW25" s="208" t="e">
        <f>W25*$F25</f>
        <v>#REF!</v>
      </c>
      <c r="AX25" s="209" t="e">
        <f>AA25*$F25</f>
        <v>#REF!</v>
      </c>
      <c r="AY25" s="210" t="e">
        <f>AB25*$F25</f>
        <v>#REF!</v>
      </c>
      <c r="AZ25" s="211" t="e">
        <f>Z25*$F25</f>
        <v>#REF!</v>
      </c>
      <c r="BA25" s="212" t="e">
        <f>AD25*$F25</f>
        <v>#REF!</v>
      </c>
      <c r="BB25" s="196" t="s">
        <v>278</v>
      </c>
      <c r="BC25" s="160" t="e">
        <f>ROUNDUP(O25/$BC$13,0)</f>
        <v>#REF!</v>
      </c>
      <c r="BD25" s="160" t="e">
        <f>ROUNDUP(R25/$BD$13,0)</f>
        <v>#REF!</v>
      </c>
      <c r="BE25" s="160" t="e">
        <f>ROUNDUP(U25/$BE$13,0)</f>
        <v>#REF!</v>
      </c>
      <c r="BF25" s="160" t="e">
        <f>ROUNDUP(X25/$BF$13,0)</f>
        <v>#REF!</v>
      </c>
      <c r="BG25" s="160" t="e">
        <f>ROUNDUP(AA25/$BG$13,0)</f>
        <v>#REF!</v>
      </c>
      <c r="BH25" s="160" t="e">
        <f>ROUNDUP(AD25/$BH$13,0)</f>
        <v>#REF!</v>
      </c>
      <c r="BI25" s="113">
        <f>BI24+1</f>
        <v>10</v>
      </c>
    </row>
    <row r="26" spans="1:61" customHeight="1" ht="20.1" s="113" customFormat="1">
      <c r="A26" s="1222"/>
      <c r="B26" s="1199"/>
      <c r="C26" s="367" t="s">
        <v>279</v>
      </c>
      <c r="D26" s="368" t="e">
        <f>VLOOKUP(C26,#REF!,2,0)</f>
        <v>#REF!</v>
      </c>
      <c r="E26" s="369" t="e">
        <f>VLOOKUP(C26,#REF!,4,0)</f>
        <v>#REF!</v>
      </c>
      <c r="F26" s="370">
        <v>301</v>
      </c>
      <c r="G26" s="370">
        <v>6</v>
      </c>
      <c r="H26" s="371" t="e">
        <f>VLOOKUP(C26,#REF!,3,0)</f>
        <v>#REF!</v>
      </c>
      <c r="I26" s="371" t="e">
        <f>VLOOKUP(C26,#REF!,7,0)</f>
        <v>#REF!</v>
      </c>
      <c r="J26" s="184">
        <f>(GUM!I18-(GUM!I18*0.2))</f>
        <v>0</v>
      </c>
      <c r="K26" s="184">
        <f>(GUM!J18-(GUM!J18*0.2))</f>
        <v>0</v>
      </c>
      <c r="L26" s="184">
        <f>(GUM!K18-(GUM!K18*0.2))</f>
        <v>0</v>
      </c>
      <c r="M26" s="184">
        <f>(GUM!L18-(GUM!L18*0.2))</f>
        <v>0</v>
      </c>
      <c r="N26" s="184">
        <f>(GUM!M18-(GUM!M18*0.2))</f>
        <v>0</v>
      </c>
      <c r="O26" s="184">
        <f>(GUM!N18-(GUM!N18*0.2))</f>
        <v>0</v>
      </c>
      <c r="P26" s="184">
        <f>(GUM!O18-(GUM!O18*0.2))</f>
        <v>0</v>
      </c>
      <c r="Q26" s="184">
        <f>(GUM!P18-(GUM!P18*0.2))</f>
        <v>0</v>
      </c>
      <c r="R26" s="184">
        <f>(GUM!Q18-(GUM!Q18*0.2))</f>
        <v>0</v>
      </c>
      <c r="S26" s="184">
        <f>(GUM!R18-(GUM!R18*0.2))</f>
        <v>0</v>
      </c>
      <c r="T26" s="184">
        <f>(GUM!S18-(GUM!S18*0.2))</f>
        <v>0</v>
      </c>
      <c r="U26" s="184">
        <f>(GUM!T18-(GUM!T18*0.2))</f>
        <v>0</v>
      </c>
      <c r="V26" s="184">
        <f>(GUM!U18-(GUM!U18*0.2))</f>
        <v>0</v>
      </c>
      <c r="W26" s="184">
        <f>(GUM!V18-(GUM!V18*0.2))</f>
        <v>0</v>
      </c>
      <c r="X26" s="184">
        <f>(GUM!W18-(GUM!W18*0.2))</f>
        <v>0</v>
      </c>
      <c r="Y26" s="184">
        <f>(GUM!X18-(GUM!X18*0.2))</f>
        <v>0</v>
      </c>
      <c r="Z26" s="184">
        <f>(GUM!Y18-(GUM!Y18*0.2))</f>
        <v>0</v>
      </c>
      <c r="AA26" s="184">
        <f>(GUM!Z18-(GUM!Z18*0.2))</f>
        <v>0</v>
      </c>
      <c r="AB26" s="184">
        <f>(GUM!AA18-(GUM!AA18*0.2))</f>
        <v>0</v>
      </c>
      <c r="AC26" s="372">
        <f>(GUM!AB18-(GUM!AB18*0.2))</f>
        <v>0</v>
      </c>
      <c r="AD26" s="184">
        <f>(GUM!AC18-(GUM!AC18*0.2))</f>
        <v>0</v>
      </c>
      <c r="AE26" s="373">
        <f>(GUM!AD18-(GUM!AD18*0.2))</f>
        <v>0</v>
      </c>
      <c r="AF26" s="113">
        <f>AF25+1</f>
        <v>13</v>
      </c>
      <c r="AG26" s="131">
        <f>J26*$F26</f>
        <v>0</v>
      </c>
      <c r="AH26" s="132">
        <f>K26*$F26</f>
        <v>0</v>
      </c>
      <c r="AI26" s="133">
        <f>L26*$F26</f>
        <v>0</v>
      </c>
      <c r="AJ26" s="134">
        <f>M26*$F26</f>
        <v>0</v>
      </c>
      <c r="AK26" s="132">
        <f>K26*$F26</f>
        <v>0</v>
      </c>
      <c r="AL26" s="133">
        <f>O26*$F26</f>
        <v>0</v>
      </c>
      <c r="AM26" s="134">
        <f>P26*$F26</f>
        <v>0</v>
      </c>
      <c r="AN26" s="132">
        <f>N26*$F26</f>
        <v>0</v>
      </c>
      <c r="AO26" s="133">
        <f>R26*$F26</f>
        <v>0</v>
      </c>
      <c r="AP26" s="134">
        <f>S26*$F26</f>
        <v>0</v>
      </c>
      <c r="AQ26" s="132">
        <f>Q26*$F26</f>
        <v>0</v>
      </c>
      <c r="AR26" s="133">
        <f>U26*$F26</f>
        <v>0</v>
      </c>
      <c r="AS26" s="134">
        <f>V26*$F26</f>
        <v>0</v>
      </c>
      <c r="AT26" s="132">
        <f>T26*$F26</f>
        <v>0</v>
      </c>
      <c r="AU26" s="133">
        <f>X26*$F26</f>
        <v>0</v>
      </c>
      <c r="AV26" s="134">
        <f>Y26*$F26</f>
        <v>0</v>
      </c>
      <c r="AW26" s="132">
        <f>W26*$F26</f>
        <v>0</v>
      </c>
      <c r="AX26" s="133">
        <f>AA26*$F26</f>
        <v>0</v>
      </c>
      <c r="AY26" s="134">
        <f>AB26*$F26</f>
        <v>0</v>
      </c>
      <c r="AZ26" s="135">
        <f>Z26*$F26</f>
        <v>0</v>
      </c>
      <c r="BA26" s="136">
        <f>AD26*$F26</f>
        <v>0</v>
      </c>
      <c r="BB26" s="137" t="s">
        <v>270</v>
      </c>
      <c r="BC26" s="121">
        <f>ROUNDUP(O26/$BC$13,0)</f>
        <v>0</v>
      </c>
      <c r="BD26" s="121">
        <f>ROUNDUP(R26/$BD$13,0)</f>
        <v>0</v>
      </c>
      <c r="BE26" s="121">
        <f>ROUNDUP(U26/$BE$13,0)</f>
        <v>0</v>
      </c>
      <c r="BF26" s="121">
        <f>ROUNDUP(X26/$BF$13,0)</f>
        <v>0</v>
      </c>
      <c r="BG26" s="121">
        <f>ROUNDUP(AA26/$BG$13,0)</f>
        <v>0</v>
      </c>
      <c r="BH26" s="121">
        <f>ROUNDUP(AD26/$BH$13,0)</f>
        <v>0</v>
      </c>
      <c r="BI26" s="113">
        <f>BI24+1</f>
        <v>10</v>
      </c>
    </row>
    <row r="27" spans="1:61" customHeight="1" ht="20.1" hidden="true" s="152" customFormat="1">
      <c r="A27" s="1229" t="s">
        <v>280</v>
      </c>
      <c r="B27" s="1217" t="s">
        <v>281</v>
      </c>
      <c r="C27" s="344" t="s">
        <v>282</v>
      </c>
      <c r="D27" s="286" t="e">
        <f>VLOOKUP(C27,#REF!,2,0)</f>
        <v>#REF!</v>
      </c>
      <c r="E27" s="286" t="e">
        <f>VLOOKUP(C27,#REF!,4,0)</f>
        <v>#REF!</v>
      </c>
      <c r="F27" s="287">
        <v>315</v>
      </c>
      <c r="G27" s="287">
        <v>6</v>
      </c>
      <c r="H27" s="295" t="e">
        <f>VLOOKUP(C27,#REF!,3,0)</f>
        <v>#REF!</v>
      </c>
      <c r="I27" s="295" t="e">
        <f>VLOOKUP(C27,#REF!,7,0)</f>
        <v>#REF!</v>
      </c>
      <c r="J27" s="174">
        <f>(GUM!I44-(GUM!I44*0.2))</f>
        <v>0</v>
      </c>
      <c r="K27" s="175">
        <f>(GUM!J44-(GUM!J44*0.2))</f>
        <v>0</v>
      </c>
      <c r="L27" s="176">
        <f>(GUM!K44-(GUM!K44*0.2))</f>
        <v>0</v>
      </c>
      <c r="M27" s="174">
        <f>(GUM!L44-(GUM!L44*0.2))</f>
        <v>0</v>
      </c>
      <c r="N27" s="175">
        <f>(GUM!M44-(GUM!M44*0.2))</f>
        <v>0</v>
      </c>
      <c r="O27" s="176">
        <f>(GUM!N44-(GUM!N44*0.2))</f>
        <v>0</v>
      </c>
      <c r="P27" s="174">
        <f>(GUM!O44-(GUM!O44*0.2))</f>
        <v>0</v>
      </c>
      <c r="Q27" s="175">
        <f>(GUM!P44-(GUM!P44*0.2))</f>
        <v>0</v>
      </c>
      <c r="R27" s="176">
        <f>(GUM!Q44-(GUM!Q44*0.2))</f>
        <v>0</v>
      </c>
      <c r="S27" s="174">
        <f>(GUM!R44-(GUM!R44*0.2))</f>
        <v>0</v>
      </c>
      <c r="T27" s="175">
        <f>(GUM!S44-(GUM!S44*0.2))</f>
        <v>0</v>
      </c>
      <c r="U27" s="176">
        <f>(GUM!T44-(GUM!T44*0.2))</f>
        <v>0</v>
      </c>
      <c r="V27" s="174">
        <f>(GUM!U44-(GUM!U44*0.2))</f>
        <v>0</v>
      </c>
      <c r="W27" s="175">
        <f>(GUM!V44-(GUM!V44*0.2))</f>
        <v>0</v>
      </c>
      <c r="X27" s="176">
        <f>(GUM!W44-(GUM!W44*0.2))</f>
        <v>0</v>
      </c>
      <c r="Y27" s="174">
        <f>(GUM!X44-(GUM!X44*0.2))</f>
        <v>0</v>
      </c>
      <c r="Z27" s="175">
        <f>(GUM!Y44-(GUM!Y44*0.2))</f>
        <v>0</v>
      </c>
      <c r="AA27" s="176">
        <f>(GUM!Z44-(GUM!Z44*0.2))</f>
        <v>0</v>
      </c>
      <c r="AB27" s="174">
        <f>(GUM!AA44-(GUM!AA44*0.2))</f>
        <v>0</v>
      </c>
      <c r="AC27" s="345">
        <f>(GUM!AB44-(GUM!AB44*0.2))</f>
        <v>0</v>
      </c>
      <c r="AD27" s="176">
        <f>(GUM!AC44-(GUM!AC44*0.2))</f>
        <v>0</v>
      </c>
      <c r="AE27" s="177">
        <f>(GUM!AD44-(GUM!AD44*0.2))</f>
        <v>0</v>
      </c>
      <c r="AF27" s="113">
        <f>AF26+1</f>
        <v>14</v>
      </c>
      <c r="AG27" s="153">
        <f>J27*$F27</f>
        <v>0</v>
      </c>
      <c r="AH27" s="154">
        <f>K27*$F27</f>
        <v>0</v>
      </c>
      <c r="AI27" s="155">
        <f>L27*$F27</f>
        <v>0</v>
      </c>
      <c r="AJ27" s="156">
        <f>M27*$F27</f>
        <v>0</v>
      </c>
      <c r="AK27" s="154">
        <f>K27*$F27</f>
        <v>0</v>
      </c>
      <c r="AL27" s="155">
        <f>O27*$F27</f>
        <v>0</v>
      </c>
      <c r="AM27" s="156">
        <f>P27*$F27</f>
        <v>0</v>
      </c>
      <c r="AN27" s="154">
        <f>N27*$F27</f>
        <v>0</v>
      </c>
      <c r="AO27" s="155">
        <f>R27*$F27</f>
        <v>0</v>
      </c>
      <c r="AP27" s="156">
        <f>S27*$F27</f>
        <v>0</v>
      </c>
      <c r="AQ27" s="154">
        <f>Q27*$F27</f>
        <v>0</v>
      </c>
      <c r="AR27" s="155">
        <f>U27*$F27</f>
        <v>0</v>
      </c>
      <c r="AS27" s="156">
        <f>V27*$F27</f>
        <v>0</v>
      </c>
      <c r="AT27" s="154">
        <f>T27*$F27</f>
        <v>0</v>
      </c>
      <c r="AU27" s="155">
        <f>X27*$F27</f>
        <v>0</v>
      </c>
      <c r="AV27" s="156">
        <f>Y27*$F27</f>
        <v>0</v>
      </c>
      <c r="AW27" s="154">
        <f>W27*$F27</f>
        <v>0</v>
      </c>
      <c r="AX27" s="155">
        <f>AA27*$F27</f>
        <v>0</v>
      </c>
      <c r="AY27" s="156">
        <f>AB27*$F27</f>
        <v>0</v>
      </c>
      <c r="AZ27" s="157">
        <f>Z27*$F27</f>
        <v>0</v>
      </c>
      <c r="BA27" s="158">
        <f>AD27*$F27</f>
        <v>0</v>
      </c>
      <c r="BB27" s="144" t="s">
        <v>283</v>
      </c>
      <c r="BC27" s="160">
        <f>ROUNDUP(O27/$BC$13,0)</f>
        <v>0</v>
      </c>
      <c r="BD27" s="160">
        <f>ROUNDUP(R27/$BD$13,0)</f>
        <v>0</v>
      </c>
      <c r="BE27" s="160">
        <f>ROUNDUP(U27/$BE$13,0)</f>
        <v>0</v>
      </c>
      <c r="BF27" s="160">
        <f>ROUNDUP(X27/$BF$13,0)</f>
        <v>0</v>
      </c>
      <c r="BG27" s="160">
        <f>ROUNDUP(AA27/$BG$13,0)</f>
        <v>0</v>
      </c>
      <c r="BH27" s="160">
        <f>ROUNDUP(AD27/$BH$13,0)</f>
        <v>0</v>
      </c>
      <c r="BI27" s="113">
        <f>BI25+1</f>
        <v>11</v>
      </c>
    </row>
    <row r="28" spans="1:61" customHeight="1" ht="20.1" hidden="true" s="226" customFormat="1">
      <c r="A28" s="1230"/>
      <c r="B28" s="1233"/>
      <c r="C28" s="218" t="s">
        <v>284</v>
      </c>
      <c r="D28" s="283" t="e">
        <f>VLOOKUP(C28,#REF!,2,0)</f>
        <v>#REF!</v>
      </c>
      <c r="E28" s="283" t="e">
        <f>VLOOKUP(C28,#REF!,4,0)</f>
        <v>#REF!</v>
      </c>
      <c r="F28" s="284">
        <v>347</v>
      </c>
      <c r="G28" s="284">
        <v>6</v>
      </c>
      <c r="H28" s="285" t="e">
        <f>VLOOKUP(C28,#REF!,3,0)</f>
        <v>#REF!</v>
      </c>
      <c r="I28" s="220" t="e">
        <f>VLOOKUP(C28,#REF!,7,0)</f>
        <v>#REF!</v>
      </c>
      <c r="J28" s="221">
        <f>(GUM!I49-(GUM!I49*0.2))</f>
        <v>0</v>
      </c>
      <c r="K28" s="222">
        <f>(GUM!J49-(GUM!J49*0.2))</f>
        <v>0</v>
      </c>
      <c r="L28" s="223">
        <f>(GUM!K49-(GUM!K49*0.2))</f>
        <v>0</v>
      </c>
      <c r="M28" s="221">
        <f>(GUM!L49-(GUM!L49*0.2))</f>
        <v>0</v>
      </c>
      <c r="N28" s="222">
        <f>(GUM!M49-(GUM!M49*0.2))</f>
        <v>0</v>
      </c>
      <c r="O28" s="223">
        <f>(GUM!N49-(GUM!N49*0.2))</f>
        <v>0</v>
      </c>
      <c r="P28" s="221">
        <f>(GUM!O49-(GUM!O49*0.2))</f>
        <v>0</v>
      </c>
      <c r="Q28" s="222">
        <f>(GUM!P49-(GUM!P49*0.2))</f>
        <v>0</v>
      </c>
      <c r="R28" s="223">
        <f>(GUM!Q49-(GUM!Q49*0.2))</f>
        <v>0</v>
      </c>
      <c r="S28" s="221">
        <f>(GUM!R49-(GUM!R49*0.2))</f>
        <v>0</v>
      </c>
      <c r="T28" s="222">
        <f>(GUM!S49-(GUM!S49*0.2))</f>
        <v>0</v>
      </c>
      <c r="U28" s="223">
        <f>(GUM!T49-(GUM!T49*0.2))</f>
        <v>0</v>
      </c>
      <c r="V28" s="221">
        <f>(GUM!U49-(GUM!U49*0.2))</f>
        <v>0</v>
      </c>
      <c r="W28" s="222">
        <f>(GUM!V49-(GUM!V49*0.2))</f>
        <v>0</v>
      </c>
      <c r="X28" s="223">
        <f>(GUM!W49-(GUM!W49*0.2))</f>
        <v>0</v>
      </c>
      <c r="Y28" s="221">
        <f>(GUM!X49-(GUM!X49*0.2))</f>
        <v>0</v>
      </c>
      <c r="Z28" s="222">
        <f>(GUM!Y49-(GUM!Y49*0.2))</f>
        <v>0</v>
      </c>
      <c r="AA28" s="223">
        <f>(GUM!Z49-(GUM!Z49*0.2))</f>
        <v>0</v>
      </c>
      <c r="AB28" s="221">
        <f>(GUM!AA49-(GUM!AA49*0.2))</f>
        <v>0</v>
      </c>
      <c r="AC28" s="224">
        <f>(GUM!AB49-(GUM!AB49*0.2))</f>
        <v>0</v>
      </c>
      <c r="AD28" s="223">
        <f>(GUM!AC49-(GUM!AC49*0.2))</f>
        <v>0</v>
      </c>
      <c r="AE28" s="225">
        <f>(GUM!AD49-(GUM!AD49*0.2))</f>
        <v>0</v>
      </c>
      <c r="AF28" s="113">
        <f>AF27+1</f>
        <v>15</v>
      </c>
      <c r="AG28" s="227">
        <f>J28*$F28</f>
        <v>0</v>
      </c>
      <c r="AH28" s="228">
        <f>K28*$F28</f>
        <v>0</v>
      </c>
      <c r="AI28" s="229">
        <f>L28*$F28</f>
        <v>0</v>
      </c>
      <c r="AJ28" s="230">
        <f>M28*$F28</f>
        <v>0</v>
      </c>
      <c r="AK28" s="228">
        <f>K28*$F28</f>
        <v>0</v>
      </c>
      <c r="AL28" s="229">
        <f>O28*$F28</f>
        <v>0</v>
      </c>
      <c r="AM28" s="230">
        <f>P28*$F28</f>
        <v>0</v>
      </c>
      <c r="AN28" s="228">
        <f>N28*$F28</f>
        <v>0</v>
      </c>
      <c r="AO28" s="229">
        <f>R28*$F28</f>
        <v>0</v>
      </c>
      <c r="AP28" s="230">
        <f>S28*$F28</f>
        <v>0</v>
      </c>
      <c r="AQ28" s="228">
        <f>Q28*$F28</f>
        <v>0</v>
      </c>
      <c r="AR28" s="229">
        <f>U28*$F28</f>
        <v>0</v>
      </c>
      <c r="AS28" s="230">
        <f>V28*$F28</f>
        <v>0</v>
      </c>
      <c r="AT28" s="228">
        <f>T28*$F28</f>
        <v>0</v>
      </c>
      <c r="AU28" s="229">
        <f>X28*$F28</f>
        <v>0</v>
      </c>
      <c r="AV28" s="230">
        <f>Y28*$F28</f>
        <v>0</v>
      </c>
      <c r="AW28" s="228">
        <f>W28*$F28</f>
        <v>0</v>
      </c>
      <c r="AX28" s="229">
        <f>AA28*$F28</f>
        <v>0</v>
      </c>
      <c r="AY28" s="230">
        <f>AB28*$F28</f>
        <v>0</v>
      </c>
      <c r="AZ28" s="231">
        <f>Z28*$F28</f>
        <v>0</v>
      </c>
      <c r="BA28" s="232">
        <f>AD28*$F28</f>
        <v>0</v>
      </c>
      <c r="BB28" s="216" t="s">
        <v>285</v>
      </c>
      <c r="BC28" s="160">
        <f>ROUNDUP(O28/$BC$13,0)</f>
        <v>0</v>
      </c>
      <c r="BD28" s="160">
        <f>ROUNDUP(R28/$BD$13,0)</f>
        <v>0</v>
      </c>
      <c r="BE28" s="160">
        <f>ROUNDUP(U28/$BE$13,0)</f>
        <v>0</v>
      </c>
      <c r="BF28" s="160">
        <f>ROUNDUP(X28/$BF$13,0)</f>
        <v>0</v>
      </c>
      <c r="BG28" s="160">
        <f>ROUNDUP(AA28/$BG$13,0)</f>
        <v>0</v>
      </c>
      <c r="BH28" s="160">
        <f>ROUNDUP(AD28/$BH$13,0)</f>
        <v>0</v>
      </c>
      <c r="BI28" s="113">
        <f>BI27+1</f>
        <v>12</v>
      </c>
    </row>
    <row r="29" spans="1:61" customHeight="1" ht="20.1" hidden="true" s="152" customFormat="1">
      <c r="A29" s="1230"/>
      <c r="B29" s="1213" t="s">
        <v>286</v>
      </c>
      <c r="C29" s="318" t="s">
        <v>287</v>
      </c>
      <c r="D29" s="286" t="e">
        <f>VLOOKUP(C29,#REF!,2,0)</f>
        <v>#REF!</v>
      </c>
      <c r="E29" s="286" t="e">
        <f>VLOOKUP(C29,#REF!,4,0)</f>
        <v>#REF!</v>
      </c>
      <c r="F29" s="287">
        <v>321</v>
      </c>
      <c r="G29" s="287">
        <v>6</v>
      </c>
      <c r="H29" s="294" t="e">
        <f>VLOOKUP(C29,#REF!,3,0)</f>
        <v>#REF!</v>
      </c>
      <c r="I29" s="295" t="e">
        <f>VLOOKUP(C29,#REF!,7,0)</f>
        <v>#REF!</v>
      </c>
      <c r="J29" s="174" t="e">
        <v>#REF!</v>
      </c>
      <c r="K29" s="175" t="e">
        <v>#REF!</v>
      </c>
      <c r="L29" s="176" t="e">
        <v>#REF!</v>
      </c>
      <c r="M29" s="174" t="e">
        <v>#REF!</v>
      </c>
      <c r="N29" s="175" t="e">
        <v>#REF!</v>
      </c>
      <c r="O29" s="176" t="e">
        <v>#REF!</v>
      </c>
      <c r="P29" s="174" t="e">
        <v>#REF!</v>
      </c>
      <c r="Q29" s="175" t="e">
        <v>#REF!</v>
      </c>
      <c r="R29" s="176" t="e">
        <v>#REF!</v>
      </c>
      <c r="S29" s="174" t="e">
        <v>#REF!</v>
      </c>
      <c r="T29" s="175" t="e">
        <v>#REF!</v>
      </c>
      <c r="U29" s="176" t="e">
        <v>#REF!</v>
      </c>
      <c r="V29" s="174" t="e">
        <v>#REF!</v>
      </c>
      <c r="W29" s="175" t="e">
        <v>#REF!</v>
      </c>
      <c r="X29" s="176" t="e">
        <v>#REF!</v>
      </c>
      <c r="Y29" s="174" t="e">
        <v>#REF!</v>
      </c>
      <c r="Z29" s="175" t="e">
        <v>#REF!</v>
      </c>
      <c r="AA29" s="176" t="e">
        <v>#REF!</v>
      </c>
      <c r="AB29" s="174" t="e">
        <v>#REF!</v>
      </c>
      <c r="AC29" s="215" t="e">
        <v>#REF!</v>
      </c>
      <c r="AD29" s="176" t="e">
        <v>#REF!</v>
      </c>
      <c r="AE29" s="177" t="e">
        <v>#REF!</v>
      </c>
      <c r="AF29" s="113">
        <f>AF28+1</f>
        <v>16</v>
      </c>
      <c r="AG29" s="164" t="e">
        <f>J29*$F29</f>
        <v>#REF!</v>
      </c>
      <c r="AH29" s="165" t="e">
        <f>K29*$F29</f>
        <v>#REF!</v>
      </c>
      <c r="AI29" s="166" t="e">
        <f>L29*$F29</f>
        <v>#REF!</v>
      </c>
      <c r="AJ29" s="167" t="e">
        <f>M29*$F29</f>
        <v>#REF!</v>
      </c>
      <c r="AK29" s="165" t="e">
        <f>K29*$F29</f>
        <v>#REF!</v>
      </c>
      <c r="AL29" s="166" t="e">
        <f>O29*$F29</f>
        <v>#REF!</v>
      </c>
      <c r="AM29" s="167" t="e">
        <f>P29*$F29</f>
        <v>#REF!</v>
      </c>
      <c r="AN29" s="165" t="e">
        <f>N29*$F29</f>
        <v>#REF!</v>
      </c>
      <c r="AO29" s="166" t="e">
        <f>R29*$F29</f>
        <v>#REF!</v>
      </c>
      <c r="AP29" s="167" t="e">
        <f>S29*$F29</f>
        <v>#REF!</v>
      </c>
      <c r="AQ29" s="165" t="e">
        <f>Q29*$F29</f>
        <v>#REF!</v>
      </c>
      <c r="AR29" s="166" t="e">
        <f>U29*$F29</f>
        <v>#REF!</v>
      </c>
      <c r="AS29" s="167" t="e">
        <f>V29*$F29</f>
        <v>#REF!</v>
      </c>
      <c r="AT29" s="165" t="e">
        <f>T29*$F29</f>
        <v>#REF!</v>
      </c>
      <c r="AU29" s="166" t="e">
        <f>X29*$F29</f>
        <v>#REF!</v>
      </c>
      <c r="AV29" s="167" t="e">
        <f>Y29*$F29</f>
        <v>#REF!</v>
      </c>
      <c r="AW29" s="165" t="e">
        <f>W29*$F29</f>
        <v>#REF!</v>
      </c>
      <c r="AX29" s="166" t="e">
        <f>AA29*$F29</f>
        <v>#REF!</v>
      </c>
      <c r="AY29" s="167" t="e">
        <f>AB29*$F29</f>
        <v>#REF!</v>
      </c>
      <c r="AZ29" s="168" t="e">
        <f>Z29*$F29</f>
        <v>#REF!</v>
      </c>
      <c r="BA29" s="169" t="e">
        <f>AD29*$F29</f>
        <v>#REF!</v>
      </c>
      <c r="BB29" s="171" t="s">
        <v>288</v>
      </c>
      <c r="BC29" s="178" t="e">
        <f>ROUNDUP(O29/$BC$13,0)</f>
        <v>#REF!</v>
      </c>
      <c r="BD29" s="178" t="e">
        <f>ROUNDUP(R29/$BD$13,0)</f>
        <v>#REF!</v>
      </c>
      <c r="BE29" s="178" t="e">
        <f>ROUNDUP(U29/$BE$13,0)</f>
        <v>#REF!</v>
      </c>
      <c r="BF29" s="178" t="e">
        <f>ROUNDUP(X29/$BF$13,0)</f>
        <v>#REF!</v>
      </c>
      <c r="BG29" s="178" t="e">
        <f>ROUNDUP(AA29/$BG$13,0)</f>
        <v>#REF!</v>
      </c>
      <c r="BH29" s="178" t="e">
        <f>ROUNDUP(AD29/$BH$13,0)</f>
        <v>#REF!</v>
      </c>
      <c r="BI29" s="113">
        <f>BI28+1</f>
        <v>13</v>
      </c>
    </row>
    <row r="30" spans="1:61" customHeight="1" ht="20.1" hidden="true" s="152" customFormat="1">
      <c r="A30" s="1230"/>
      <c r="B30" s="1213"/>
      <c r="C30" s="436" t="s">
        <v>289</v>
      </c>
      <c r="D30" s="288" t="e">
        <f>VLOOKUP(C30,#REF!,2,0)</f>
        <v>#REF!</v>
      </c>
      <c r="E30" s="288" t="e">
        <f>VLOOKUP(C30,#REF!,4,0)</f>
        <v>#REF!</v>
      </c>
      <c r="F30" s="289">
        <v>347</v>
      </c>
      <c r="G30" s="289">
        <v>6</v>
      </c>
      <c r="H30" s="296" t="e">
        <f>VLOOKUP(C30,#REF!,3,0)</f>
        <v>#REF!</v>
      </c>
      <c r="I30" s="297" t="e">
        <f>VLOOKUP(C30,#REF!,7,0)</f>
        <v>#REF!</v>
      </c>
      <c r="J30" s="236" t="e">
        <v>#REF!</v>
      </c>
      <c r="K30" s="237" t="e">
        <v>#REF!</v>
      </c>
      <c r="L30" s="238" t="e">
        <v>#REF!</v>
      </c>
      <c r="M30" s="236" t="e">
        <v>#REF!</v>
      </c>
      <c r="N30" s="237" t="e">
        <v>#REF!</v>
      </c>
      <c r="O30" s="238" t="e">
        <v>#REF!</v>
      </c>
      <c r="P30" s="236" t="e">
        <v>#REF!</v>
      </c>
      <c r="Q30" s="237" t="e">
        <v>#REF!</v>
      </c>
      <c r="R30" s="238" t="e">
        <v>#REF!</v>
      </c>
      <c r="S30" s="236" t="e">
        <v>#REF!</v>
      </c>
      <c r="T30" s="237" t="e">
        <v>#REF!</v>
      </c>
      <c r="U30" s="238" t="e">
        <v>#REF!</v>
      </c>
      <c r="V30" s="236" t="e">
        <v>#REF!</v>
      </c>
      <c r="W30" s="237" t="e">
        <v>#REF!</v>
      </c>
      <c r="X30" s="238" t="e">
        <v>#REF!</v>
      </c>
      <c r="Y30" s="236" t="e">
        <v>#REF!</v>
      </c>
      <c r="Z30" s="237" t="e">
        <v>#REF!</v>
      </c>
      <c r="AA30" s="238" t="e">
        <v>#REF!</v>
      </c>
      <c r="AB30" s="236" t="e">
        <v>#REF!</v>
      </c>
      <c r="AC30" s="239" t="e">
        <v>#REF!</v>
      </c>
      <c r="AD30" s="238" t="e">
        <v>#REF!</v>
      </c>
      <c r="AE30" s="240" t="e">
        <v>#REF!</v>
      </c>
      <c r="AF30" s="113">
        <f>AF29+1</f>
        <v>17</v>
      </c>
      <c r="AG30" s="164" t="e">
        <f>J30*$F30</f>
        <v>#REF!</v>
      </c>
      <c r="AH30" s="165" t="e">
        <f>K30*$F30</f>
        <v>#REF!</v>
      </c>
      <c r="AI30" s="166" t="e">
        <f>L30*$F30</f>
        <v>#REF!</v>
      </c>
      <c r="AJ30" s="167" t="e">
        <f>M30*$F30</f>
        <v>#REF!</v>
      </c>
      <c r="AK30" s="165" t="e">
        <f>K30*$F30</f>
        <v>#REF!</v>
      </c>
      <c r="AL30" s="166" t="e">
        <f>O30*$F30</f>
        <v>#REF!</v>
      </c>
      <c r="AM30" s="167" t="e">
        <f>P30*$F30</f>
        <v>#REF!</v>
      </c>
      <c r="AN30" s="165" t="e">
        <f>N30*$F30</f>
        <v>#REF!</v>
      </c>
      <c r="AO30" s="166" t="e">
        <f>R30*$F30</f>
        <v>#REF!</v>
      </c>
      <c r="AP30" s="167" t="e">
        <f>S30*$F30</f>
        <v>#REF!</v>
      </c>
      <c r="AQ30" s="165" t="e">
        <f>Q30*$F30</f>
        <v>#REF!</v>
      </c>
      <c r="AR30" s="166" t="e">
        <f>U30*$F30</f>
        <v>#REF!</v>
      </c>
      <c r="AS30" s="167" t="e">
        <f>V30*$F30</f>
        <v>#REF!</v>
      </c>
      <c r="AT30" s="165" t="e">
        <f>T30*$F30</f>
        <v>#REF!</v>
      </c>
      <c r="AU30" s="166" t="e">
        <f>X30*$F30</f>
        <v>#REF!</v>
      </c>
      <c r="AV30" s="167" t="e">
        <f>Y30*$F30</f>
        <v>#REF!</v>
      </c>
      <c r="AW30" s="165" t="e">
        <f>W30*$F30</f>
        <v>#REF!</v>
      </c>
      <c r="AX30" s="166" t="e">
        <f>AA30*$F30</f>
        <v>#REF!</v>
      </c>
      <c r="AY30" s="167" t="e">
        <f>AB30*$F30</f>
        <v>#REF!</v>
      </c>
      <c r="AZ30" s="168" t="e">
        <f>Z30*$F30</f>
        <v>#REF!</v>
      </c>
      <c r="BA30" s="169" t="e">
        <f>AD30*$F30</f>
        <v>#REF!</v>
      </c>
      <c r="BB30" s="233" t="s">
        <v>290</v>
      </c>
      <c r="BC30" s="241" t="e">
        <f>ROUNDUP(O30/$BC$13,0)</f>
        <v>#REF!</v>
      </c>
      <c r="BD30" s="241" t="e">
        <f>ROUNDUP(R30/$BD$13,0)</f>
        <v>#REF!</v>
      </c>
      <c r="BE30" s="241" t="e">
        <f>ROUNDUP(U30/$BE$13,0)</f>
        <v>#REF!</v>
      </c>
      <c r="BF30" s="241" t="e">
        <f>ROUNDUP(X30/$BF$13,0)</f>
        <v>#REF!</v>
      </c>
      <c r="BG30" s="241" t="e">
        <f>ROUNDUP(AA30/$BG$13,0)</f>
        <v>#REF!</v>
      </c>
      <c r="BH30" s="241" t="e">
        <f>ROUNDUP(AD30/$BH$13,0)</f>
        <v>#REF!</v>
      </c>
      <c r="BI30" s="113">
        <f>BI29+1</f>
        <v>14</v>
      </c>
    </row>
    <row r="31" spans="1:61" customHeight="1" ht="20.1" hidden="true" s="206" customFormat="1">
      <c r="A31" s="1231"/>
      <c r="B31" s="1214" t="s">
        <v>266</v>
      </c>
      <c r="C31" s="416" t="s">
        <v>291</v>
      </c>
      <c r="D31" s="437">
        <v>0.0</v>
      </c>
      <c r="E31" s="437" t="e">
        <f>VLOOKUP(C31,#REF!,4,0)</f>
        <v>#REF!</v>
      </c>
      <c r="F31" s="418">
        <v>313</v>
      </c>
      <c r="G31" s="418">
        <v>6</v>
      </c>
      <c r="H31" s="438" t="e">
        <f>VLOOKUP(C31,#REF!,3,0)</f>
        <v>#REF!</v>
      </c>
      <c r="I31" s="439" t="e">
        <f>VLOOKUP(C31,#REF!,7,0)</f>
        <v>#REF!</v>
      </c>
      <c r="J31" s="202" t="e">
        <v>#REF!</v>
      </c>
      <c r="K31" s="202" t="e">
        <v>#REF!</v>
      </c>
      <c r="L31" s="202" t="e">
        <v>#REF!</v>
      </c>
      <c r="M31" s="202" t="e">
        <v>#REF!</v>
      </c>
      <c r="N31" s="202" t="e">
        <v>#REF!</v>
      </c>
      <c r="O31" s="202" t="e">
        <v>#REF!</v>
      </c>
      <c r="P31" s="202" t="e">
        <v>#REF!</v>
      </c>
      <c r="Q31" s="202" t="e">
        <v>#REF!</v>
      </c>
      <c r="R31" s="202" t="e">
        <v>#REF!</v>
      </c>
      <c r="S31" s="202" t="e">
        <v>#REF!</v>
      </c>
      <c r="T31" s="202" t="e">
        <v>#REF!</v>
      </c>
      <c r="U31" s="202" t="e">
        <v>#REF!</v>
      </c>
      <c r="V31" s="202" t="e">
        <v>#REF!</v>
      </c>
      <c r="W31" s="202" t="e">
        <v>#REF!</v>
      </c>
      <c r="X31" s="202" t="e">
        <v>#REF!</v>
      </c>
      <c r="Y31" s="202" t="e">
        <v>#REF!</v>
      </c>
      <c r="Z31" s="202" t="e">
        <v>#REF!</v>
      </c>
      <c r="AA31" s="202" t="e">
        <v>#REF!</v>
      </c>
      <c r="AB31" s="202" t="e">
        <v>#REF!</v>
      </c>
      <c r="AC31" s="421" t="e">
        <v>#REF!</v>
      </c>
      <c r="AD31" s="202" t="e">
        <v>#REF!</v>
      </c>
      <c r="AE31" s="422" t="e">
        <v>#REF!</v>
      </c>
      <c r="AF31" s="113">
        <f>AF30+1</f>
        <v>18</v>
      </c>
      <c r="AG31" s="207" t="e">
        <f>J31*$F31</f>
        <v>#REF!</v>
      </c>
      <c r="AH31" s="208" t="e">
        <f>K31*$F31</f>
        <v>#REF!</v>
      </c>
      <c r="AI31" s="209" t="e">
        <f>L31*$F31</f>
        <v>#REF!</v>
      </c>
      <c r="AJ31" s="210" t="e">
        <f>M31*$F31</f>
        <v>#REF!</v>
      </c>
      <c r="AK31" s="208" t="e">
        <f>K31*$F31</f>
        <v>#REF!</v>
      </c>
      <c r="AL31" s="209" t="e">
        <f>O31*$F31</f>
        <v>#REF!</v>
      </c>
      <c r="AM31" s="210" t="e">
        <f>P31*$F31</f>
        <v>#REF!</v>
      </c>
      <c r="AN31" s="208" t="e">
        <f>N31*$F31</f>
        <v>#REF!</v>
      </c>
      <c r="AO31" s="209" t="e">
        <f>R31*$F31</f>
        <v>#REF!</v>
      </c>
      <c r="AP31" s="210" t="e">
        <f>S31*$F31</f>
        <v>#REF!</v>
      </c>
      <c r="AQ31" s="208" t="e">
        <f>Q31*$F31</f>
        <v>#REF!</v>
      </c>
      <c r="AR31" s="209" t="e">
        <f>U31*$F31</f>
        <v>#REF!</v>
      </c>
      <c r="AS31" s="210" t="e">
        <f>V31*$F31</f>
        <v>#REF!</v>
      </c>
      <c r="AT31" s="208" t="e">
        <f>T31*$F31</f>
        <v>#REF!</v>
      </c>
      <c r="AU31" s="209" t="e">
        <f>X31*$F31</f>
        <v>#REF!</v>
      </c>
      <c r="AV31" s="210" t="e">
        <f>Y31*$F31</f>
        <v>#REF!</v>
      </c>
      <c r="AW31" s="208" t="e">
        <f>W31*$F31</f>
        <v>#REF!</v>
      </c>
      <c r="AX31" s="209" t="e">
        <f>AA31*$F31</f>
        <v>#REF!</v>
      </c>
      <c r="AY31" s="210" t="e">
        <f>AB31*$F31</f>
        <v>#REF!</v>
      </c>
      <c r="AZ31" s="211" t="e">
        <f>Z31*$F31</f>
        <v>#REF!</v>
      </c>
      <c r="BA31" s="212" t="e">
        <f>AD31*$F31</f>
        <v>#REF!</v>
      </c>
      <c r="BB31" s="196" t="s">
        <v>292</v>
      </c>
      <c r="BC31" s="160" t="e">
        <f>ROUNDUP(O31/$BC$13,0)</f>
        <v>#REF!</v>
      </c>
      <c r="BD31" s="160" t="e">
        <f>ROUNDUP(R31/$BD$13,0)</f>
        <v>#REF!</v>
      </c>
      <c r="BE31" s="160" t="e">
        <f>ROUNDUP(U31/$BE$13,0)</f>
        <v>#REF!</v>
      </c>
      <c r="BF31" s="160" t="e">
        <f>ROUNDUP(X31/$BF$13,0)</f>
        <v>#REF!</v>
      </c>
      <c r="BG31" s="160" t="e">
        <f>ROUNDUP(AA31/$BG$13,0)</f>
        <v>#REF!</v>
      </c>
      <c r="BH31" s="160" t="e">
        <f>ROUNDUP(AD31/$BH$13,0)</f>
        <v>#REF!</v>
      </c>
      <c r="BI31" s="113">
        <f>BI30+1</f>
        <v>15</v>
      </c>
    </row>
    <row r="32" spans="1:61" customHeight="1" ht="20.1" hidden="true" s="152" customFormat="1">
      <c r="A32" s="1231"/>
      <c r="B32" s="1215"/>
      <c r="C32" s="440" t="s">
        <v>293</v>
      </c>
      <c r="D32" s="428" t="e">
        <f>VLOOKUP(C32,#REF!,2,0)</f>
        <v>#REF!</v>
      </c>
      <c r="E32" s="428" t="e">
        <f>VLOOKUP(C32,#REF!,4,0)</f>
        <v>#REF!</v>
      </c>
      <c r="F32" s="429">
        <v>337</v>
      </c>
      <c r="G32" s="429">
        <v>6</v>
      </c>
      <c r="H32" s="441" t="e">
        <f>VLOOKUP(C32,#REF!,3,0)</f>
        <v>#REF!</v>
      </c>
      <c r="I32" s="442" t="e">
        <f>VLOOKUP(C32,#REF!,7,0)</f>
        <v>#REF!</v>
      </c>
      <c r="J32" s="149" t="e">
        <v>#REF!</v>
      </c>
      <c r="K32" s="149" t="e">
        <v>#REF!</v>
      </c>
      <c r="L32" s="149" t="e">
        <v>#REF!</v>
      </c>
      <c r="M32" s="149" t="e">
        <v>#REF!</v>
      </c>
      <c r="N32" s="149" t="e">
        <v>#REF!</v>
      </c>
      <c r="O32" s="149" t="e">
        <v>#REF!</v>
      </c>
      <c r="P32" s="149" t="e">
        <v>#REF!</v>
      </c>
      <c r="Q32" s="149" t="e">
        <v>#REF!</v>
      </c>
      <c r="R32" s="149" t="e">
        <v>#REF!</v>
      </c>
      <c r="S32" s="149" t="e">
        <v>#REF!</v>
      </c>
      <c r="T32" s="149" t="e">
        <v>#REF!</v>
      </c>
      <c r="U32" s="149" t="e">
        <v>#REF!</v>
      </c>
      <c r="V32" s="149" t="e">
        <v>#REF!</v>
      </c>
      <c r="W32" s="149" t="e">
        <v>#REF!</v>
      </c>
      <c r="X32" s="149" t="e">
        <v>#REF!</v>
      </c>
      <c r="Y32" s="149" t="e">
        <v>#REF!</v>
      </c>
      <c r="Z32" s="149" t="e">
        <v>#REF!</v>
      </c>
      <c r="AA32" s="149" t="e">
        <v>#REF!</v>
      </c>
      <c r="AB32" s="149" t="e">
        <v>#REF!</v>
      </c>
      <c r="AC32" s="163" t="e">
        <v>#REF!</v>
      </c>
      <c r="AD32" s="149" t="e">
        <v>#REF!</v>
      </c>
      <c r="AE32" s="366" t="e">
        <v>#REF!</v>
      </c>
      <c r="AF32" s="113">
        <f>AF31+1</f>
        <v>19</v>
      </c>
      <c r="AG32" s="164" t="e">
        <f>J32*$F32</f>
        <v>#REF!</v>
      </c>
      <c r="AH32" s="165" t="e">
        <f>K32*$F32</f>
        <v>#REF!</v>
      </c>
      <c r="AI32" s="166" t="e">
        <f>L32*$F32</f>
        <v>#REF!</v>
      </c>
      <c r="AJ32" s="167" t="e">
        <f>M32*$F32</f>
        <v>#REF!</v>
      </c>
      <c r="AK32" s="165" t="e">
        <f>K32*$F32</f>
        <v>#REF!</v>
      </c>
      <c r="AL32" s="166" t="e">
        <f>O32*$F32</f>
        <v>#REF!</v>
      </c>
      <c r="AM32" s="167" t="e">
        <f>P32*$F32</f>
        <v>#REF!</v>
      </c>
      <c r="AN32" s="165" t="e">
        <f>N32*$F32</f>
        <v>#REF!</v>
      </c>
      <c r="AO32" s="166" t="e">
        <f>R32*$F32</f>
        <v>#REF!</v>
      </c>
      <c r="AP32" s="167" t="e">
        <f>S32*$F32</f>
        <v>#REF!</v>
      </c>
      <c r="AQ32" s="165" t="e">
        <f>Q32*$F32</f>
        <v>#REF!</v>
      </c>
      <c r="AR32" s="166" t="e">
        <f>U32*$F32</f>
        <v>#REF!</v>
      </c>
      <c r="AS32" s="167" t="e">
        <f>V32*$F32</f>
        <v>#REF!</v>
      </c>
      <c r="AT32" s="165" t="e">
        <f>T32*$F32</f>
        <v>#REF!</v>
      </c>
      <c r="AU32" s="166" t="e">
        <f>X32*$F32</f>
        <v>#REF!</v>
      </c>
      <c r="AV32" s="167" t="e">
        <f>Y32*$F32</f>
        <v>#REF!</v>
      </c>
      <c r="AW32" s="165" t="e">
        <f>W32*$F32</f>
        <v>#REF!</v>
      </c>
      <c r="AX32" s="166" t="e">
        <f>AA32*$F32</f>
        <v>#REF!</v>
      </c>
      <c r="AY32" s="167" t="e">
        <f>AB32*$F32</f>
        <v>#REF!</v>
      </c>
      <c r="AZ32" s="168" t="e">
        <f>Z32*$F32</f>
        <v>#REF!</v>
      </c>
      <c r="BA32" s="169" t="e">
        <f>AD32*$F32</f>
        <v>#REF!</v>
      </c>
      <c r="BB32" s="144" t="s">
        <v>294</v>
      </c>
      <c r="BC32" s="160" t="e">
        <f>ROUNDUP(O32/$BC$13,0)</f>
        <v>#REF!</v>
      </c>
      <c r="BD32" s="160" t="e">
        <f>ROUNDUP(R32/$BD$13,0)</f>
        <v>#REF!</v>
      </c>
      <c r="BE32" s="160" t="e">
        <f>ROUNDUP(U32/$BE$13,0)</f>
        <v>#REF!</v>
      </c>
      <c r="BF32" s="160" t="e">
        <f>ROUNDUP(X32/$BF$13,0)</f>
        <v>#REF!</v>
      </c>
      <c r="BG32" s="160" t="e">
        <f>ROUNDUP(AA32/$BG$13,0)</f>
        <v>#REF!</v>
      </c>
      <c r="BH32" s="160" t="e">
        <f>ROUNDUP(AD32/$BH$13,0)</f>
        <v>#REF!</v>
      </c>
      <c r="BI32" s="113">
        <f>BI31+1</f>
        <v>16</v>
      </c>
    </row>
    <row r="33" spans="1:61" customHeight="1" ht="20.1" hidden="true" s="152" customFormat="1">
      <c r="A33" s="1231"/>
      <c r="B33" s="1215"/>
      <c r="C33" s="427" t="s">
        <v>295</v>
      </c>
      <c r="D33" s="428" t="e">
        <f>VLOOKUP(C33,#REF!,2,0)</f>
        <v>#REF!</v>
      </c>
      <c r="E33" s="428" t="e">
        <f>VLOOKUP(C33,#REF!,4,0)</f>
        <v>#REF!</v>
      </c>
      <c r="F33" s="429">
        <v>313</v>
      </c>
      <c r="G33" s="429">
        <v>6</v>
      </c>
      <c r="H33" s="443" t="e">
        <f>VLOOKUP(C33,#REF!,3,0)</f>
        <v>#REF!</v>
      </c>
      <c r="I33" s="442" t="e">
        <f>VLOOKUP(C33,#REF!,7,0)</f>
        <v>#REF!</v>
      </c>
      <c r="J33" s="149" t="e">
        <v>#REF!</v>
      </c>
      <c r="K33" s="149" t="e">
        <v>#REF!</v>
      </c>
      <c r="L33" s="149" t="e">
        <v>#REF!</v>
      </c>
      <c r="M33" s="149" t="e">
        <v>#REF!</v>
      </c>
      <c r="N33" s="149" t="e">
        <v>#REF!</v>
      </c>
      <c r="O33" s="149" t="e">
        <v>#REF!</v>
      </c>
      <c r="P33" s="149" t="e">
        <v>#REF!</v>
      </c>
      <c r="Q33" s="149" t="e">
        <v>#REF!</v>
      </c>
      <c r="R33" s="149" t="e">
        <v>#REF!</v>
      </c>
      <c r="S33" s="149" t="e">
        <v>#REF!</v>
      </c>
      <c r="T33" s="149" t="e">
        <v>#REF!</v>
      </c>
      <c r="U33" s="149" t="e">
        <v>#REF!</v>
      </c>
      <c r="V33" s="149" t="e">
        <v>#REF!</v>
      </c>
      <c r="W33" s="149" t="e">
        <v>#REF!</v>
      </c>
      <c r="X33" s="149" t="e">
        <v>#REF!</v>
      </c>
      <c r="Y33" s="149" t="e">
        <v>#REF!</v>
      </c>
      <c r="Z33" s="149" t="e">
        <v>#REF!</v>
      </c>
      <c r="AA33" s="149" t="e">
        <v>#REF!</v>
      </c>
      <c r="AB33" s="149" t="e">
        <v>#REF!</v>
      </c>
      <c r="AC33" s="163" t="e">
        <v>#REF!</v>
      </c>
      <c r="AD33" s="149" t="e">
        <v>#REF!</v>
      </c>
      <c r="AE33" s="366" t="e">
        <v>#REF!</v>
      </c>
      <c r="AF33" s="113">
        <f>AF32+1</f>
        <v>20</v>
      </c>
      <c r="AG33" s="164" t="e">
        <f>J33*$F33</f>
        <v>#REF!</v>
      </c>
      <c r="AH33" s="165" t="e">
        <f>K33*$F33</f>
        <v>#REF!</v>
      </c>
      <c r="AI33" s="166" t="e">
        <f>L33*$F33</f>
        <v>#REF!</v>
      </c>
      <c r="AJ33" s="167" t="e">
        <f>M33*$F33</f>
        <v>#REF!</v>
      </c>
      <c r="AK33" s="165" t="e">
        <f>K33*$F33</f>
        <v>#REF!</v>
      </c>
      <c r="AL33" s="166" t="e">
        <f>O33*$F33</f>
        <v>#REF!</v>
      </c>
      <c r="AM33" s="167" t="e">
        <f>P33*$F33</f>
        <v>#REF!</v>
      </c>
      <c r="AN33" s="165" t="e">
        <f>N33*$F33</f>
        <v>#REF!</v>
      </c>
      <c r="AO33" s="166" t="e">
        <f>R33*$F33</f>
        <v>#REF!</v>
      </c>
      <c r="AP33" s="167" t="e">
        <f>S33*$F33</f>
        <v>#REF!</v>
      </c>
      <c r="AQ33" s="165" t="e">
        <f>Q33*$F33</f>
        <v>#REF!</v>
      </c>
      <c r="AR33" s="166" t="e">
        <f>U33*$F33</f>
        <v>#REF!</v>
      </c>
      <c r="AS33" s="167" t="e">
        <f>V33*$F33</f>
        <v>#REF!</v>
      </c>
      <c r="AT33" s="165" t="e">
        <f>T33*$F33</f>
        <v>#REF!</v>
      </c>
      <c r="AU33" s="166" t="e">
        <f>X33*$F33</f>
        <v>#REF!</v>
      </c>
      <c r="AV33" s="167" t="e">
        <f>Y33*$F33</f>
        <v>#REF!</v>
      </c>
      <c r="AW33" s="165" t="e">
        <f>W33*$F33</f>
        <v>#REF!</v>
      </c>
      <c r="AX33" s="166" t="e">
        <f>AA33*$F33</f>
        <v>#REF!</v>
      </c>
      <c r="AY33" s="167" t="e">
        <f>AB33*$F33</f>
        <v>#REF!</v>
      </c>
      <c r="AZ33" s="168" t="e">
        <f>Z33*$F33</f>
        <v>#REF!</v>
      </c>
      <c r="BA33" s="169" t="e">
        <f>AD33*$F33</f>
        <v>#REF!</v>
      </c>
      <c r="BB33" s="144" t="s">
        <v>296</v>
      </c>
      <c r="BC33" s="160" t="e">
        <f>ROUNDUP(O33/$BC$13,0)</f>
        <v>#REF!</v>
      </c>
      <c r="BD33" s="160" t="e">
        <f>ROUNDUP(R33/$BD$13,0)</f>
        <v>#REF!</v>
      </c>
      <c r="BE33" s="160" t="e">
        <f>ROUNDUP(U33/$BE$13,0)</f>
        <v>#REF!</v>
      </c>
      <c r="BF33" s="160" t="e">
        <f>ROUNDUP(X33/$BF$13,0)</f>
        <v>#REF!</v>
      </c>
      <c r="BG33" s="160" t="e">
        <f>ROUNDUP(AA33/$BG$13,0)</f>
        <v>#REF!</v>
      </c>
      <c r="BH33" s="160" t="e">
        <f>ROUNDUP(AD33/$BH$13,0)</f>
        <v>#REF!</v>
      </c>
      <c r="BI33" s="113">
        <f>BI32+1</f>
        <v>17</v>
      </c>
    </row>
    <row r="34" spans="1:61" customHeight="1" ht="20.1" hidden="true" s="226" customFormat="1">
      <c r="A34" s="1231"/>
      <c r="B34" s="1216"/>
      <c r="C34" s="444" t="s">
        <v>297</v>
      </c>
      <c r="D34" s="445" t="e">
        <f>VLOOKUP(C34,#REF!,2,0)</f>
        <v>#REF!</v>
      </c>
      <c r="E34" s="445" t="e">
        <f>VLOOKUP(C34,#REF!,4,0)</f>
        <v>#REF!</v>
      </c>
      <c r="F34" s="446">
        <v>337</v>
      </c>
      <c r="G34" s="446">
        <v>6</v>
      </c>
      <c r="H34" s="447" t="e">
        <f>VLOOKUP(C34,#REF!,3,0)</f>
        <v>#REF!</v>
      </c>
      <c r="I34" s="447" t="e">
        <f>VLOOKUP(C34,#REF!,7,0)</f>
        <v>#REF!</v>
      </c>
      <c r="J34" s="222" t="e">
        <v>#REF!</v>
      </c>
      <c r="K34" s="222" t="e">
        <v>#REF!</v>
      </c>
      <c r="L34" s="222" t="e">
        <v>#REF!</v>
      </c>
      <c r="M34" s="222" t="e">
        <v>#REF!</v>
      </c>
      <c r="N34" s="222" t="e">
        <v>#REF!</v>
      </c>
      <c r="O34" s="222" t="e">
        <v>#REF!</v>
      </c>
      <c r="P34" s="222" t="e">
        <v>#REF!</v>
      </c>
      <c r="Q34" s="222" t="e">
        <v>#REF!</v>
      </c>
      <c r="R34" s="222" t="e">
        <v>#REF!</v>
      </c>
      <c r="S34" s="222" t="e">
        <v>#REF!</v>
      </c>
      <c r="T34" s="222" t="e">
        <v>#REF!</v>
      </c>
      <c r="U34" s="222" t="e">
        <v>#REF!</v>
      </c>
      <c r="V34" s="222" t="e">
        <v>#REF!</v>
      </c>
      <c r="W34" s="222" t="e">
        <v>#REF!</v>
      </c>
      <c r="X34" s="222" t="e">
        <v>#REF!</v>
      </c>
      <c r="Y34" s="222" t="e">
        <v>#REF!</v>
      </c>
      <c r="Z34" s="222" t="e">
        <v>#REF!</v>
      </c>
      <c r="AA34" s="222" t="e">
        <v>#REF!</v>
      </c>
      <c r="AB34" s="222" t="e">
        <v>#REF!</v>
      </c>
      <c r="AC34" s="224" t="e">
        <v>#REF!</v>
      </c>
      <c r="AD34" s="222" t="e">
        <v>#REF!</v>
      </c>
      <c r="AE34" s="435" t="e">
        <v>#REF!</v>
      </c>
      <c r="AF34" s="113">
        <f>AF33+1</f>
        <v>21</v>
      </c>
      <c r="AG34" s="227" t="e">
        <f>J34*$F34</f>
        <v>#REF!</v>
      </c>
      <c r="AH34" s="228" t="e">
        <f>K34*$F34</f>
        <v>#REF!</v>
      </c>
      <c r="AI34" s="229" t="e">
        <f>L34*$F34</f>
        <v>#REF!</v>
      </c>
      <c r="AJ34" s="230" t="e">
        <f>M34*$F34</f>
        <v>#REF!</v>
      </c>
      <c r="AK34" s="228" t="e">
        <f>K34*$F34</f>
        <v>#REF!</v>
      </c>
      <c r="AL34" s="229" t="e">
        <f>O34*$F34</f>
        <v>#REF!</v>
      </c>
      <c r="AM34" s="230" t="e">
        <f>P34*$F34</f>
        <v>#REF!</v>
      </c>
      <c r="AN34" s="228" t="e">
        <f>N34*$F34</f>
        <v>#REF!</v>
      </c>
      <c r="AO34" s="229" t="e">
        <f>R34*$F34</f>
        <v>#REF!</v>
      </c>
      <c r="AP34" s="230" t="e">
        <f>S34*$F34</f>
        <v>#REF!</v>
      </c>
      <c r="AQ34" s="228" t="e">
        <f>Q34*$F34</f>
        <v>#REF!</v>
      </c>
      <c r="AR34" s="229" t="e">
        <f>U34*$F34</f>
        <v>#REF!</v>
      </c>
      <c r="AS34" s="230" t="e">
        <f>V34*$F34</f>
        <v>#REF!</v>
      </c>
      <c r="AT34" s="228" t="e">
        <f>T34*$F34</f>
        <v>#REF!</v>
      </c>
      <c r="AU34" s="229" t="e">
        <f>X34*$F34</f>
        <v>#REF!</v>
      </c>
      <c r="AV34" s="230" t="e">
        <f>Y34*$F34</f>
        <v>#REF!</v>
      </c>
      <c r="AW34" s="228" t="e">
        <f>W34*$F34</f>
        <v>#REF!</v>
      </c>
      <c r="AX34" s="229" t="e">
        <f>AA34*$F34</f>
        <v>#REF!</v>
      </c>
      <c r="AY34" s="230" t="e">
        <f>AB34*$F34</f>
        <v>#REF!</v>
      </c>
      <c r="AZ34" s="231" t="e">
        <f>Z34*$F34</f>
        <v>#REF!</v>
      </c>
      <c r="BA34" s="232" t="e">
        <f>AD34*$F34</f>
        <v>#REF!</v>
      </c>
      <c r="BB34" s="216" t="s">
        <v>298</v>
      </c>
      <c r="BC34" s="160" t="e">
        <f>ROUNDUP(O34/$BC$13,0)</f>
        <v>#REF!</v>
      </c>
      <c r="BD34" s="160" t="e">
        <f>ROUNDUP(R34/$BD$13,0)</f>
        <v>#REF!</v>
      </c>
      <c r="BE34" s="160" t="e">
        <f>ROUNDUP(U34/$BE$13,0)</f>
        <v>#REF!</v>
      </c>
      <c r="BF34" s="160" t="e">
        <f>ROUNDUP(X34/$BF$13,0)</f>
        <v>#REF!</v>
      </c>
      <c r="BG34" s="160" t="e">
        <f>ROUNDUP(AA34/$BG$13,0)</f>
        <v>#REF!</v>
      </c>
      <c r="BH34" s="160" t="e">
        <f>ROUNDUP(AD34/$BH$13,0)</f>
        <v>#REF!</v>
      </c>
      <c r="BI34" s="113">
        <f>BI33+1</f>
        <v>18</v>
      </c>
    </row>
    <row r="35" spans="1:61" customHeight="1" ht="20.1" hidden="true" s="152" customFormat="1">
      <c r="A35" s="1230"/>
      <c r="B35" s="1217" t="s">
        <v>281</v>
      </c>
      <c r="C35" s="344" t="s">
        <v>299</v>
      </c>
      <c r="D35" s="286" t="e">
        <f>VLOOKUP(C35,#REF!,2,0)</f>
        <v>#REF!</v>
      </c>
      <c r="E35" s="286" t="e">
        <f>VLOOKUP(C35,#REF!,4,0)</f>
        <v>#REF!</v>
      </c>
      <c r="F35" s="287">
        <v>321</v>
      </c>
      <c r="G35" s="287">
        <v>6</v>
      </c>
      <c r="H35" s="324" t="e">
        <f>VLOOKUP(C35,#REF!,3,0)</f>
        <v>#REF!</v>
      </c>
      <c r="I35" s="325" t="e">
        <f>VLOOKUP(C35,#REF!,7,0)</f>
        <v>#REF!</v>
      </c>
      <c r="J35" s="174" t="e">
        <v>#REF!</v>
      </c>
      <c r="K35" s="175" t="e">
        <v>#REF!</v>
      </c>
      <c r="L35" s="176" t="e">
        <v>#REF!</v>
      </c>
      <c r="M35" s="174" t="e">
        <v>#REF!</v>
      </c>
      <c r="N35" s="175" t="e">
        <v>#REF!</v>
      </c>
      <c r="O35" s="176" t="e">
        <v>#REF!</v>
      </c>
      <c r="P35" s="174" t="e">
        <v>#REF!</v>
      </c>
      <c r="Q35" s="175" t="e">
        <v>#REF!</v>
      </c>
      <c r="R35" s="176" t="e">
        <v>#REF!</v>
      </c>
      <c r="S35" s="174" t="e">
        <v>#REF!</v>
      </c>
      <c r="T35" s="175" t="e">
        <v>#REF!</v>
      </c>
      <c r="U35" s="176" t="e">
        <v>#REF!</v>
      </c>
      <c r="V35" s="174" t="e">
        <v>#REF!</v>
      </c>
      <c r="W35" s="175" t="e">
        <v>#REF!</v>
      </c>
      <c r="X35" s="176" t="e">
        <v>#REF!</v>
      </c>
      <c r="Y35" s="174" t="e">
        <v>#REF!</v>
      </c>
      <c r="Z35" s="175" t="e">
        <v>#REF!</v>
      </c>
      <c r="AA35" s="176" t="e">
        <v>#REF!</v>
      </c>
      <c r="AB35" s="174" t="e">
        <v>#REF!</v>
      </c>
      <c r="AC35" s="215" t="e">
        <v>#REF!</v>
      </c>
      <c r="AD35" s="176" t="e">
        <v>#REF!</v>
      </c>
      <c r="AE35" s="177" t="e">
        <v>#REF!</v>
      </c>
      <c r="AF35" s="113">
        <f>AF34+1</f>
        <v>22</v>
      </c>
      <c r="AG35" s="164" t="e">
        <f>J35*$F35</f>
        <v>#REF!</v>
      </c>
      <c r="AH35" s="165" t="e">
        <f>K35*$F35</f>
        <v>#REF!</v>
      </c>
      <c r="AI35" s="166" t="e">
        <f>L35*$F35</f>
        <v>#REF!</v>
      </c>
      <c r="AJ35" s="167" t="e">
        <f>M35*$F35</f>
        <v>#REF!</v>
      </c>
      <c r="AK35" s="165" t="e">
        <f>K35*$F35</f>
        <v>#REF!</v>
      </c>
      <c r="AL35" s="166" t="e">
        <f>O35*$F35</f>
        <v>#REF!</v>
      </c>
      <c r="AM35" s="167" t="e">
        <f>P35*$F35</f>
        <v>#REF!</v>
      </c>
      <c r="AN35" s="165" t="e">
        <f>N35*$F35</f>
        <v>#REF!</v>
      </c>
      <c r="AO35" s="166" t="e">
        <f>R35*$F35</f>
        <v>#REF!</v>
      </c>
      <c r="AP35" s="167" t="e">
        <f>S35*$F35</f>
        <v>#REF!</v>
      </c>
      <c r="AQ35" s="165" t="e">
        <f>Q35*$F35</f>
        <v>#REF!</v>
      </c>
      <c r="AR35" s="166" t="e">
        <f>U35*$F35</f>
        <v>#REF!</v>
      </c>
      <c r="AS35" s="167" t="e">
        <f>V35*$F35</f>
        <v>#REF!</v>
      </c>
      <c r="AT35" s="165" t="e">
        <f>T35*$F35</f>
        <v>#REF!</v>
      </c>
      <c r="AU35" s="166" t="e">
        <f>X35*$F35</f>
        <v>#REF!</v>
      </c>
      <c r="AV35" s="167" t="e">
        <f>Y35*$F35</f>
        <v>#REF!</v>
      </c>
      <c r="AW35" s="165" t="e">
        <f>W35*$F35</f>
        <v>#REF!</v>
      </c>
      <c r="AX35" s="166" t="e">
        <f>AA35*$F35</f>
        <v>#REF!</v>
      </c>
      <c r="AY35" s="167" t="e">
        <f>AB35*$F35</f>
        <v>#REF!</v>
      </c>
      <c r="AZ35" s="168" t="e">
        <f>Z35*$F35</f>
        <v>#REF!</v>
      </c>
      <c r="BA35" s="169" t="e">
        <f>AD35*$F35</f>
        <v>#REF!</v>
      </c>
      <c r="BB35" s="171" t="s">
        <v>288</v>
      </c>
      <c r="BC35" s="178" t="e">
        <f>ROUNDUP(O35/$BC$13,0)</f>
        <v>#REF!</v>
      </c>
      <c r="BD35" s="178" t="e">
        <f>ROUNDUP(R35/$BD$13,0)</f>
        <v>#REF!</v>
      </c>
      <c r="BE35" s="178" t="e">
        <f>ROUNDUP(U35/$BE$13,0)</f>
        <v>#REF!</v>
      </c>
      <c r="BF35" s="178" t="e">
        <f>ROUNDUP(X35/$BF$13,0)</f>
        <v>#REF!</v>
      </c>
      <c r="BG35" s="178" t="e">
        <f>ROUNDUP(AA35/$BG$13,0)</f>
        <v>#REF!</v>
      </c>
      <c r="BH35" s="178" t="e">
        <f>ROUNDUP(AD35/$BH$13,0)</f>
        <v>#REF!</v>
      </c>
      <c r="BI35" s="113">
        <f>BI34+1</f>
        <v>19</v>
      </c>
    </row>
    <row r="36" spans="1:61" customHeight="1" ht="20.1" s="152" customFormat="1">
      <c r="A36" s="1230"/>
      <c r="B36" s="1217"/>
      <c r="C36" s="410" t="s">
        <v>300</v>
      </c>
      <c r="D36" s="411" t="e">
        <f>VLOOKUP(C36,#REF!,2,0)</f>
        <v>#REF!</v>
      </c>
      <c r="E36" s="411" t="e">
        <f>VLOOKUP(C36,#REF!,4,0)</f>
        <v>#REF!</v>
      </c>
      <c r="F36" s="412">
        <v>321</v>
      </c>
      <c r="G36" s="412">
        <v>6</v>
      </c>
      <c r="H36" s="413" t="e">
        <f>VLOOKUP(C36,#REF!,3,0)</f>
        <v>#REF!</v>
      </c>
      <c r="I36" s="414" t="e">
        <f>VLOOKUP(C36,#REF!,7,0)</f>
        <v>#REF!</v>
      </c>
      <c r="J36" s="374" t="e">
        <v>#REF!</v>
      </c>
      <c r="K36" s="375" t="e">
        <v>#REF!</v>
      </c>
      <c r="L36" s="376" t="e">
        <v>#REF!</v>
      </c>
      <c r="M36" s="374" t="e">
        <v>#REF!</v>
      </c>
      <c r="N36" s="375" t="e">
        <v>#REF!</v>
      </c>
      <c r="O36" s="376" t="e">
        <v>#REF!</v>
      </c>
      <c r="P36" s="374" t="e">
        <v>#REF!</v>
      </c>
      <c r="Q36" s="375" t="e">
        <v>#REF!</v>
      </c>
      <c r="R36" s="376" t="e">
        <v>#REF!</v>
      </c>
      <c r="S36" s="374" t="e">
        <v>#REF!</v>
      </c>
      <c r="T36" s="375" t="e">
        <v>#REF!</v>
      </c>
      <c r="U36" s="376" t="e">
        <v>#REF!</v>
      </c>
      <c r="V36" s="374" t="e">
        <v>#REF!</v>
      </c>
      <c r="W36" s="375" t="e">
        <v>#REF!</v>
      </c>
      <c r="X36" s="376" t="e">
        <v>#REF!</v>
      </c>
      <c r="Y36" s="374" t="e">
        <v>#REF!</v>
      </c>
      <c r="Z36" s="375" t="e">
        <v>#REF!</v>
      </c>
      <c r="AA36" s="376" t="e">
        <v>#REF!</v>
      </c>
      <c r="AB36" s="374" t="e">
        <v>#REF!</v>
      </c>
      <c r="AC36" s="415" t="e">
        <v>#REF!</v>
      </c>
      <c r="AD36" s="376" t="e">
        <v>#REF!</v>
      </c>
      <c r="AE36" s="377" t="e">
        <v>#REF!</v>
      </c>
      <c r="AF36" s="113">
        <f>AF35+1</f>
        <v>23</v>
      </c>
      <c r="AG36" s="164" t="e">
        <f>J36*$F36</f>
        <v>#REF!</v>
      </c>
      <c r="AH36" s="165" t="e">
        <f>K36*$F36</f>
        <v>#REF!</v>
      </c>
      <c r="AI36" s="166" t="e">
        <f>L36*$F36</f>
        <v>#REF!</v>
      </c>
      <c r="AJ36" s="167" t="e">
        <f>M36*$F36</f>
        <v>#REF!</v>
      </c>
      <c r="AK36" s="165" t="e">
        <f>K36*$F36</f>
        <v>#REF!</v>
      </c>
      <c r="AL36" s="166" t="e">
        <f>O36*$F36</f>
        <v>#REF!</v>
      </c>
      <c r="AM36" s="167" t="e">
        <f>P36*$F36</f>
        <v>#REF!</v>
      </c>
      <c r="AN36" s="165" t="e">
        <f>N36*$F36</f>
        <v>#REF!</v>
      </c>
      <c r="AO36" s="166" t="e">
        <f>R36*$F36</f>
        <v>#REF!</v>
      </c>
      <c r="AP36" s="167" t="e">
        <f>S36*$F36</f>
        <v>#REF!</v>
      </c>
      <c r="AQ36" s="165" t="e">
        <f>Q36*$F36</f>
        <v>#REF!</v>
      </c>
      <c r="AR36" s="166" t="e">
        <f>U36*$F36</f>
        <v>#REF!</v>
      </c>
      <c r="AS36" s="167" t="e">
        <f>V36*$F36</f>
        <v>#REF!</v>
      </c>
      <c r="AT36" s="165" t="e">
        <f>T36*$F36</f>
        <v>#REF!</v>
      </c>
      <c r="AU36" s="166" t="e">
        <f>X36*$F36</f>
        <v>#REF!</v>
      </c>
      <c r="AV36" s="167" t="e">
        <f>Y36*$F36</f>
        <v>#REF!</v>
      </c>
      <c r="AW36" s="165" t="e">
        <f>W36*$F36</f>
        <v>#REF!</v>
      </c>
      <c r="AX36" s="166" t="e">
        <f>AA36*$F36</f>
        <v>#REF!</v>
      </c>
      <c r="AY36" s="167" t="e">
        <f>AB36*$F36</f>
        <v>#REF!</v>
      </c>
      <c r="AZ36" s="168" t="e">
        <f>Z36*$F36</f>
        <v>#REF!</v>
      </c>
      <c r="BA36" s="169" t="e">
        <f>AD36*$F36</f>
        <v>#REF!</v>
      </c>
      <c r="BB36" s="171" t="s">
        <v>288</v>
      </c>
      <c r="BC36" s="178" t="e">
        <f>ROUNDUP(O36/$BC$13,0)</f>
        <v>#REF!</v>
      </c>
      <c r="BD36" s="178" t="e">
        <f>ROUNDUP(R36/$BD$13,0)</f>
        <v>#REF!</v>
      </c>
      <c r="BE36" s="178" t="e">
        <f>ROUNDUP(U36/$BE$13,0)</f>
        <v>#REF!</v>
      </c>
      <c r="BF36" s="178" t="e">
        <f>ROUNDUP(X36/$BF$13,0)</f>
        <v>#REF!</v>
      </c>
      <c r="BG36" s="178" t="e">
        <f>ROUNDUP(AA36/$BG$13,0)</f>
        <v>#REF!</v>
      </c>
      <c r="BH36" s="178" t="e">
        <f>ROUNDUP(AD36/$BH$13,0)</f>
        <v>#REF!</v>
      </c>
      <c r="BI36" s="113">
        <f>BI35+1</f>
        <v>20</v>
      </c>
    </row>
    <row r="37" spans="1:61" customHeight="1" ht="20.1" hidden="true" s="152" customFormat="1">
      <c r="A37" s="1230"/>
      <c r="B37" s="1218" t="s">
        <v>286</v>
      </c>
      <c r="C37" s="416" t="s">
        <v>301</v>
      </c>
      <c r="D37" s="417" t="e">
        <f>VLOOKUP(C37,#REF!,2,0)</f>
        <v>#REF!</v>
      </c>
      <c r="E37" s="417" t="e">
        <f>VLOOKUP(C37,#REF!,4,0)</f>
        <v>#REF!</v>
      </c>
      <c r="F37" s="418">
        <v>347</v>
      </c>
      <c r="G37" s="418">
        <v>6</v>
      </c>
      <c r="H37" s="419" t="e">
        <f>VLOOKUP(C37,#REF!,3,0)</f>
        <v>#REF!</v>
      </c>
      <c r="I37" s="420" t="e">
        <f>VLOOKUP(C37,#REF!,7,0)</f>
        <v>#REF!</v>
      </c>
      <c r="J37" s="202" t="e">
        <v>#REF!</v>
      </c>
      <c r="K37" s="202" t="e">
        <v>#REF!</v>
      </c>
      <c r="L37" s="202" t="e">
        <v>#REF!</v>
      </c>
      <c r="M37" s="202" t="e">
        <v>#REF!</v>
      </c>
      <c r="N37" s="202" t="e">
        <v>#REF!</v>
      </c>
      <c r="O37" s="202" t="e">
        <v>#REF!</v>
      </c>
      <c r="P37" s="202" t="e">
        <v>#REF!</v>
      </c>
      <c r="Q37" s="202" t="e">
        <v>#REF!</v>
      </c>
      <c r="R37" s="202" t="e">
        <v>#REF!</v>
      </c>
      <c r="S37" s="202" t="e">
        <v>#REF!</v>
      </c>
      <c r="T37" s="202" t="e">
        <v>#REF!</v>
      </c>
      <c r="U37" s="202" t="e">
        <v>#REF!</v>
      </c>
      <c r="V37" s="202" t="e">
        <v>#REF!</v>
      </c>
      <c r="W37" s="202" t="e">
        <v>#REF!</v>
      </c>
      <c r="X37" s="202" t="e">
        <v>#REF!</v>
      </c>
      <c r="Y37" s="202" t="e">
        <v>#REF!</v>
      </c>
      <c r="Z37" s="202" t="e">
        <v>#REF!</v>
      </c>
      <c r="AA37" s="202" t="e">
        <v>#REF!</v>
      </c>
      <c r="AB37" s="202" t="e">
        <v>#REF!</v>
      </c>
      <c r="AC37" s="421" t="e">
        <v>#REF!</v>
      </c>
      <c r="AD37" s="202" t="e">
        <v>#REF!</v>
      </c>
      <c r="AE37" s="422" t="e">
        <v>#REF!</v>
      </c>
      <c r="AF37" s="113">
        <f>AF36+1</f>
        <v>24</v>
      </c>
      <c r="AG37" s="164" t="e">
        <f>J37*$F37</f>
        <v>#REF!</v>
      </c>
      <c r="AH37" s="165" t="e">
        <f>K37*$F37</f>
        <v>#REF!</v>
      </c>
      <c r="AI37" s="166" t="e">
        <f>L37*$F37</f>
        <v>#REF!</v>
      </c>
      <c r="AJ37" s="167" t="e">
        <f>M37*$F37</f>
        <v>#REF!</v>
      </c>
      <c r="AK37" s="165" t="e">
        <f>K37*$F37</f>
        <v>#REF!</v>
      </c>
      <c r="AL37" s="166" t="e">
        <f>O37*$F37</f>
        <v>#REF!</v>
      </c>
      <c r="AM37" s="167" t="e">
        <f>P37*$F37</f>
        <v>#REF!</v>
      </c>
      <c r="AN37" s="165" t="e">
        <f>N37*$F37</f>
        <v>#REF!</v>
      </c>
      <c r="AO37" s="166" t="e">
        <f>R37*$F37</f>
        <v>#REF!</v>
      </c>
      <c r="AP37" s="167" t="e">
        <f>S37*$F37</f>
        <v>#REF!</v>
      </c>
      <c r="AQ37" s="165" t="e">
        <f>Q37*$F37</f>
        <v>#REF!</v>
      </c>
      <c r="AR37" s="166" t="e">
        <f>U37*$F37</f>
        <v>#REF!</v>
      </c>
      <c r="AS37" s="167" t="e">
        <f>V37*$F37</f>
        <v>#REF!</v>
      </c>
      <c r="AT37" s="165" t="e">
        <f>T37*$F37</f>
        <v>#REF!</v>
      </c>
      <c r="AU37" s="166" t="e">
        <f>X37*$F37</f>
        <v>#REF!</v>
      </c>
      <c r="AV37" s="167" t="e">
        <f>Y37*$F37</f>
        <v>#REF!</v>
      </c>
      <c r="AW37" s="165" t="e">
        <f>W37*$F37</f>
        <v>#REF!</v>
      </c>
      <c r="AX37" s="166" t="e">
        <f>AA37*$F37</f>
        <v>#REF!</v>
      </c>
      <c r="AY37" s="167" t="e">
        <f>AB37*$F37</f>
        <v>#REF!</v>
      </c>
      <c r="AZ37" s="168" t="e">
        <f>Z37*$F37</f>
        <v>#REF!</v>
      </c>
      <c r="BA37" s="169" t="e">
        <f>AD37*$F37</f>
        <v>#REF!</v>
      </c>
      <c r="BB37" s="233" t="s">
        <v>290</v>
      </c>
      <c r="BC37" s="241" t="e">
        <f>ROUNDUP(O37/$BC$13,0)</f>
        <v>#REF!</v>
      </c>
      <c r="BD37" s="241" t="e">
        <f>ROUNDUP(R37/$BD$13,0)</f>
        <v>#REF!</v>
      </c>
      <c r="BE37" s="241" t="e">
        <f>ROUNDUP(U37/$BE$13,0)</f>
        <v>#REF!</v>
      </c>
      <c r="BF37" s="241" t="e">
        <f>ROUNDUP(X37/$BF$13,0)</f>
        <v>#REF!</v>
      </c>
      <c r="BG37" s="241" t="e">
        <f>ROUNDUP(AA37/$BG$13,0)</f>
        <v>#REF!</v>
      </c>
      <c r="BH37" s="241" t="e">
        <f>ROUNDUP(AD37/$BH$13,0)</f>
        <v>#REF!</v>
      </c>
      <c r="BI37" s="113">
        <f>BI35+1</f>
        <v>20</v>
      </c>
    </row>
    <row r="38" spans="1:61" customHeight="1" ht="20.1" s="152" customFormat="1">
      <c r="A38" s="1230"/>
      <c r="B38" s="1219"/>
      <c r="C38" s="423" t="s">
        <v>302</v>
      </c>
      <c r="D38" s="424" t="e">
        <f>VLOOKUP(C38,#REF!,2,0)</f>
        <v>#REF!</v>
      </c>
      <c r="E38" s="424" t="e">
        <f>VLOOKUP(C38,#REF!,4,0)</f>
        <v>#REF!</v>
      </c>
      <c r="F38" s="425">
        <v>347</v>
      </c>
      <c r="G38" s="425">
        <v>6</v>
      </c>
      <c r="H38" s="426" t="e">
        <f>VLOOKUP(C38,#REF!,3,0)</f>
        <v>#REF!</v>
      </c>
      <c r="I38" s="365" t="e">
        <f>VLOOKUP(C38,#REF!,7,0)</f>
        <v>#REF!</v>
      </c>
      <c r="J38" s="149" t="e">
        <v>#REF!</v>
      </c>
      <c r="K38" s="149" t="e">
        <v>#REF!</v>
      </c>
      <c r="L38" s="149" t="e">
        <v>#REF!</v>
      </c>
      <c r="M38" s="149" t="e">
        <v>#REF!</v>
      </c>
      <c r="N38" s="149" t="e">
        <v>#REF!</v>
      </c>
      <c r="O38" s="149" t="e">
        <v>#REF!</v>
      </c>
      <c r="P38" s="149" t="e">
        <v>#REF!</v>
      </c>
      <c r="Q38" s="149" t="e">
        <v>#REF!</v>
      </c>
      <c r="R38" s="149" t="e">
        <v>#REF!</v>
      </c>
      <c r="S38" s="149" t="e">
        <v>#REF!</v>
      </c>
      <c r="T38" s="149" t="e">
        <v>#REF!</v>
      </c>
      <c r="U38" s="149" t="e">
        <v>#REF!</v>
      </c>
      <c r="V38" s="149" t="e">
        <v>#REF!</v>
      </c>
      <c r="W38" s="149" t="e">
        <v>#REF!</v>
      </c>
      <c r="X38" s="149" t="e">
        <v>#REF!</v>
      </c>
      <c r="Y38" s="149" t="e">
        <v>#REF!</v>
      </c>
      <c r="Z38" s="149" t="e">
        <v>#REF!</v>
      </c>
      <c r="AA38" s="149" t="e">
        <v>#REF!</v>
      </c>
      <c r="AB38" s="149" t="e">
        <v>#REF!</v>
      </c>
      <c r="AC38" s="163" t="e">
        <v>#REF!</v>
      </c>
      <c r="AD38" s="149" t="e">
        <v>#REF!</v>
      </c>
      <c r="AE38" s="366" t="e">
        <v>#REF!</v>
      </c>
      <c r="AF38" s="113">
        <f>AF37+1</f>
        <v>25</v>
      </c>
      <c r="AG38" s="164" t="e">
        <f>J38*$F38</f>
        <v>#REF!</v>
      </c>
      <c r="AH38" s="165" t="e">
        <f>K38*$F38</f>
        <v>#REF!</v>
      </c>
      <c r="AI38" s="166" t="e">
        <f>L38*$F38</f>
        <v>#REF!</v>
      </c>
      <c r="AJ38" s="167" t="e">
        <f>M38*$F38</f>
        <v>#REF!</v>
      </c>
      <c r="AK38" s="165" t="e">
        <f>K38*$F38</f>
        <v>#REF!</v>
      </c>
      <c r="AL38" s="166" t="e">
        <f>O38*$F38</f>
        <v>#REF!</v>
      </c>
      <c r="AM38" s="167" t="e">
        <f>P38*$F38</f>
        <v>#REF!</v>
      </c>
      <c r="AN38" s="165" t="e">
        <f>N38*$F38</f>
        <v>#REF!</v>
      </c>
      <c r="AO38" s="166" t="e">
        <f>R38*$F38</f>
        <v>#REF!</v>
      </c>
      <c r="AP38" s="167" t="e">
        <f>S38*$F38</f>
        <v>#REF!</v>
      </c>
      <c r="AQ38" s="165" t="e">
        <f>Q38*$F38</f>
        <v>#REF!</v>
      </c>
      <c r="AR38" s="166" t="e">
        <f>U38*$F38</f>
        <v>#REF!</v>
      </c>
      <c r="AS38" s="167" t="e">
        <f>V38*$F38</f>
        <v>#REF!</v>
      </c>
      <c r="AT38" s="165" t="e">
        <f>T38*$F38</f>
        <v>#REF!</v>
      </c>
      <c r="AU38" s="166" t="e">
        <f>X38*$F38</f>
        <v>#REF!</v>
      </c>
      <c r="AV38" s="167" t="e">
        <f>Y38*$F38</f>
        <v>#REF!</v>
      </c>
      <c r="AW38" s="165" t="e">
        <f>W38*$F38</f>
        <v>#REF!</v>
      </c>
      <c r="AX38" s="166" t="e">
        <f>AA38*$F38</f>
        <v>#REF!</v>
      </c>
      <c r="AY38" s="167" t="e">
        <f>AB38*$F38</f>
        <v>#REF!</v>
      </c>
      <c r="AZ38" s="168" t="e">
        <f>Z38*$F38</f>
        <v>#REF!</v>
      </c>
      <c r="BA38" s="169" t="e">
        <f>AD38*$F38</f>
        <v>#REF!</v>
      </c>
      <c r="BB38" s="233" t="s">
        <v>290</v>
      </c>
      <c r="BC38" s="241" t="e">
        <f>ROUNDUP(O38/$BC$13,0)</f>
        <v>#REF!</v>
      </c>
      <c r="BD38" s="241" t="e">
        <f>ROUNDUP(R38/$BD$13,0)</f>
        <v>#REF!</v>
      </c>
      <c r="BE38" s="241" t="e">
        <f>ROUNDUP(U38/$BE$13,0)</f>
        <v>#REF!</v>
      </c>
      <c r="BF38" s="241" t="e">
        <f>ROUNDUP(X38/$BF$13,0)</f>
        <v>#REF!</v>
      </c>
      <c r="BG38" s="241" t="e">
        <f>ROUNDUP(AA38/$BG$13,0)</f>
        <v>#REF!</v>
      </c>
      <c r="BH38" s="241" t="e">
        <f>ROUNDUP(AD38/$BH$13,0)</f>
        <v>#REF!</v>
      </c>
      <c r="BI38" s="113">
        <f>BI36+1</f>
        <v>21</v>
      </c>
    </row>
    <row r="39" spans="1:61" customHeight="1" ht="20.1" hidden="true" s="206" customFormat="1">
      <c r="A39" s="1230"/>
      <c r="B39" s="1219"/>
      <c r="C39" s="427" t="s">
        <v>303</v>
      </c>
      <c r="D39" s="428" t="e">
        <f>VLOOKUP(C39,#REF!,2,0)</f>
        <v>#REF!</v>
      </c>
      <c r="E39" s="428" t="e">
        <f>VLOOKUP(C39,#REF!,4,0)</f>
        <v>#REF!</v>
      </c>
      <c r="F39" s="429">
        <v>313</v>
      </c>
      <c r="G39" s="429">
        <v>6</v>
      </c>
      <c r="H39" s="363" t="e">
        <f>VLOOKUP(C39,#REF!,3,0)</f>
        <v>#REF!</v>
      </c>
      <c r="I39" s="359" t="e">
        <f>VLOOKUP(C39,#REF!,7,0)</f>
        <v>#REF!</v>
      </c>
      <c r="J39" s="149" t="e">
        <v>#REF!</v>
      </c>
      <c r="K39" s="149" t="e">
        <v>#REF!</v>
      </c>
      <c r="L39" s="149" t="e">
        <v>#REF!</v>
      </c>
      <c r="M39" s="149" t="e">
        <v>#REF!</v>
      </c>
      <c r="N39" s="149" t="e">
        <v>#REF!</v>
      </c>
      <c r="O39" s="149" t="e">
        <v>#REF!</v>
      </c>
      <c r="P39" s="149" t="e">
        <v>#REF!</v>
      </c>
      <c r="Q39" s="149" t="e">
        <v>#REF!</v>
      </c>
      <c r="R39" s="149" t="e">
        <v>#REF!</v>
      </c>
      <c r="S39" s="149" t="e">
        <v>#REF!</v>
      </c>
      <c r="T39" s="149" t="e">
        <v>#REF!</v>
      </c>
      <c r="U39" s="149" t="e">
        <v>#REF!</v>
      </c>
      <c r="V39" s="149" t="e">
        <v>#REF!</v>
      </c>
      <c r="W39" s="149" t="e">
        <v>#REF!</v>
      </c>
      <c r="X39" s="149" t="e">
        <v>#REF!</v>
      </c>
      <c r="Y39" s="149" t="e">
        <v>#REF!</v>
      </c>
      <c r="Z39" s="149" t="e">
        <v>#REF!</v>
      </c>
      <c r="AA39" s="149" t="e">
        <v>#REF!</v>
      </c>
      <c r="AB39" s="149" t="e">
        <v>#REF!</v>
      </c>
      <c r="AC39" s="163" t="e">
        <v>#REF!</v>
      </c>
      <c r="AD39" s="149" t="e">
        <v>#REF!</v>
      </c>
      <c r="AE39" s="366" t="e">
        <v>#REF!</v>
      </c>
      <c r="AF39" s="113">
        <f>AF38+1</f>
        <v>26</v>
      </c>
      <c r="AG39" s="207" t="e">
        <f>J39*$F39</f>
        <v>#REF!</v>
      </c>
      <c r="AH39" s="208" t="e">
        <f>K39*$F39</f>
        <v>#REF!</v>
      </c>
      <c r="AI39" s="209" t="e">
        <f>L39*$F39</f>
        <v>#REF!</v>
      </c>
      <c r="AJ39" s="210" t="e">
        <f>M39*$F39</f>
        <v>#REF!</v>
      </c>
      <c r="AK39" s="208" t="e">
        <f>K39*$F39</f>
        <v>#REF!</v>
      </c>
      <c r="AL39" s="209" t="e">
        <f>O39*$F39</f>
        <v>#REF!</v>
      </c>
      <c r="AM39" s="210" t="e">
        <f>P39*$F39</f>
        <v>#REF!</v>
      </c>
      <c r="AN39" s="208" t="e">
        <f>N39*$F39</f>
        <v>#REF!</v>
      </c>
      <c r="AO39" s="209" t="e">
        <f>R39*$F39</f>
        <v>#REF!</v>
      </c>
      <c r="AP39" s="210" t="e">
        <f>S39*$F39</f>
        <v>#REF!</v>
      </c>
      <c r="AQ39" s="208" t="e">
        <f>Q39*$F39</f>
        <v>#REF!</v>
      </c>
      <c r="AR39" s="209" t="e">
        <f>U39*$F39</f>
        <v>#REF!</v>
      </c>
      <c r="AS39" s="210" t="e">
        <f>V39*$F39</f>
        <v>#REF!</v>
      </c>
      <c r="AT39" s="208" t="e">
        <f>T39*$F39</f>
        <v>#REF!</v>
      </c>
      <c r="AU39" s="209" t="e">
        <f>X39*$F39</f>
        <v>#REF!</v>
      </c>
      <c r="AV39" s="210" t="e">
        <f>Y39*$F39</f>
        <v>#REF!</v>
      </c>
      <c r="AW39" s="208" t="e">
        <f>W39*$F39</f>
        <v>#REF!</v>
      </c>
      <c r="AX39" s="209" t="e">
        <f>AA39*$F39</f>
        <v>#REF!</v>
      </c>
      <c r="AY39" s="210" t="e">
        <f>AB39*$F39</f>
        <v>#REF!</v>
      </c>
      <c r="AZ39" s="211" t="e">
        <f>Z39*$F39</f>
        <v>#REF!</v>
      </c>
      <c r="BA39" s="212" t="e">
        <f>AD39*$F39</f>
        <v>#REF!</v>
      </c>
      <c r="BB39" s="196" t="s">
        <v>292</v>
      </c>
      <c r="BC39" s="160" t="e">
        <f>ROUNDUP(O39/$BC$13,0)</f>
        <v>#REF!</v>
      </c>
      <c r="BD39" s="160" t="e">
        <f>ROUNDUP(R39/$BD$13,0)</f>
        <v>#REF!</v>
      </c>
      <c r="BE39" s="160" t="e">
        <f>ROUNDUP(U39/$BE$13,0)</f>
        <v>#REF!</v>
      </c>
      <c r="BF39" s="160" t="e">
        <f>ROUNDUP(X39/$BF$13,0)</f>
        <v>#REF!</v>
      </c>
      <c r="BG39" s="160" t="e">
        <f>ROUNDUP(AA39/$BG$13,0)</f>
        <v>#REF!</v>
      </c>
      <c r="BH39" s="160" t="e">
        <f>ROUNDUP(AD39/$BH$13,0)</f>
        <v>#REF!</v>
      </c>
      <c r="BI39" s="113">
        <f>BI37+1</f>
        <v>21</v>
      </c>
    </row>
    <row r="40" spans="1:61" customHeight="1" ht="20.1" s="206" customFormat="1">
      <c r="A40" s="1230"/>
      <c r="B40" s="1220"/>
      <c r="C40" s="430" t="s">
        <v>304</v>
      </c>
      <c r="D40" s="431" t="e">
        <f>VLOOKUP(C40,#REF!,2,0)</f>
        <v>#REF!</v>
      </c>
      <c r="E40" s="431" t="e">
        <f>VLOOKUP(C40,#REF!,4,0)</f>
        <v>#REF!</v>
      </c>
      <c r="F40" s="432">
        <v>313</v>
      </c>
      <c r="G40" s="432">
        <v>6</v>
      </c>
      <c r="H40" s="433" t="e">
        <f>H39</f>
        <v>#REF!</v>
      </c>
      <c r="I40" s="434" t="e">
        <f>I39</f>
        <v>#REF!</v>
      </c>
      <c r="J40" s="222" t="e">
        <v>#REF!</v>
      </c>
      <c r="K40" s="222" t="e">
        <v>#REF!</v>
      </c>
      <c r="L40" s="222" t="e">
        <v>#REF!</v>
      </c>
      <c r="M40" s="222" t="e">
        <v>#REF!</v>
      </c>
      <c r="N40" s="222" t="e">
        <v>#REF!</v>
      </c>
      <c r="O40" s="222" t="e">
        <v>#REF!</v>
      </c>
      <c r="P40" s="222" t="e">
        <v>#REF!</v>
      </c>
      <c r="Q40" s="222" t="e">
        <v>#REF!</v>
      </c>
      <c r="R40" s="222" t="e">
        <v>#REF!</v>
      </c>
      <c r="S40" s="222" t="e">
        <v>#REF!</v>
      </c>
      <c r="T40" s="222" t="e">
        <v>#REF!</v>
      </c>
      <c r="U40" s="222" t="e">
        <v>#REF!</v>
      </c>
      <c r="V40" s="222" t="e">
        <v>#REF!</v>
      </c>
      <c r="W40" s="222" t="e">
        <v>#REF!</v>
      </c>
      <c r="X40" s="222" t="e">
        <v>#REF!</v>
      </c>
      <c r="Y40" s="222" t="e">
        <v>#REF!</v>
      </c>
      <c r="Z40" s="222" t="e">
        <v>#REF!</v>
      </c>
      <c r="AA40" s="222" t="e">
        <v>#REF!</v>
      </c>
      <c r="AB40" s="222" t="e">
        <v>#REF!</v>
      </c>
      <c r="AC40" s="224" t="e">
        <v>#REF!</v>
      </c>
      <c r="AD40" s="222" t="e">
        <v>#REF!</v>
      </c>
      <c r="AE40" s="435" t="e">
        <v>#REF!</v>
      </c>
      <c r="AF40" s="113">
        <f>AF39+1</f>
        <v>27</v>
      </c>
      <c r="AG40" s="207" t="e">
        <f>J40*$F40</f>
        <v>#REF!</v>
      </c>
      <c r="AH40" s="208" t="e">
        <f>K40*$F40</f>
        <v>#REF!</v>
      </c>
      <c r="AI40" s="209" t="e">
        <f>L40*$F40</f>
        <v>#REF!</v>
      </c>
      <c r="AJ40" s="210" t="e">
        <f>M40*$F40</f>
        <v>#REF!</v>
      </c>
      <c r="AK40" s="208" t="e">
        <f>K40*$F40</f>
        <v>#REF!</v>
      </c>
      <c r="AL40" s="209" t="e">
        <f>O40*$F40</f>
        <v>#REF!</v>
      </c>
      <c r="AM40" s="210" t="e">
        <f>P40*$F40</f>
        <v>#REF!</v>
      </c>
      <c r="AN40" s="208" t="e">
        <f>N40*$F40</f>
        <v>#REF!</v>
      </c>
      <c r="AO40" s="209" t="e">
        <f>R40*$F40</f>
        <v>#REF!</v>
      </c>
      <c r="AP40" s="210" t="e">
        <f>S40*$F40</f>
        <v>#REF!</v>
      </c>
      <c r="AQ40" s="208" t="e">
        <f>Q40*$F40</f>
        <v>#REF!</v>
      </c>
      <c r="AR40" s="209" t="e">
        <f>U40*$F40</f>
        <v>#REF!</v>
      </c>
      <c r="AS40" s="210" t="e">
        <f>V40*$F40</f>
        <v>#REF!</v>
      </c>
      <c r="AT40" s="208" t="e">
        <f>T40*$F40</f>
        <v>#REF!</v>
      </c>
      <c r="AU40" s="209" t="e">
        <f>X40*$F40</f>
        <v>#REF!</v>
      </c>
      <c r="AV40" s="210" t="e">
        <f>Y40*$F40</f>
        <v>#REF!</v>
      </c>
      <c r="AW40" s="208" t="e">
        <f>W40*$F40</f>
        <v>#REF!</v>
      </c>
      <c r="AX40" s="209" t="e">
        <f>AA40*$F40</f>
        <v>#REF!</v>
      </c>
      <c r="AY40" s="210" t="e">
        <f>AB40*$F40</f>
        <v>#REF!</v>
      </c>
      <c r="AZ40" s="211" t="e">
        <f>Z40*$F40</f>
        <v>#REF!</v>
      </c>
      <c r="BA40" s="212" t="e">
        <f>AD40*$F40</f>
        <v>#REF!</v>
      </c>
      <c r="BB40" s="196" t="s">
        <v>292</v>
      </c>
      <c r="BC40" s="160" t="e">
        <f>ROUNDUP(O40/$BC$13,0)</f>
        <v>#REF!</v>
      </c>
      <c r="BD40" s="160" t="e">
        <f>ROUNDUP(R40/$BD$13,0)</f>
        <v>#REF!</v>
      </c>
      <c r="BE40" s="160" t="e">
        <f>ROUNDUP(U40/$BE$13,0)</f>
        <v>#REF!</v>
      </c>
      <c r="BF40" s="160" t="e">
        <f>ROUNDUP(X40/$BF$13,0)</f>
        <v>#REF!</v>
      </c>
      <c r="BG40" s="160" t="e">
        <f>ROUNDUP(AA40/$BG$13,0)</f>
        <v>#REF!</v>
      </c>
      <c r="BH40" s="160" t="e">
        <f>ROUNDUP(AD40/$BH$13,0)</f>
        <v>#REF!</v>
      </c>
      <c r="BI40" s="113">
        <f>BI38+1</f>
        <v>22</v>
      </c>
    </row>
    <row r="41" spans="1:61" customHeight="1" ht="20.1" hidden="true" s="152" customFormat="1">
      <c r="A41" s="1230"/>
      <c r="B41" s="1199" t="s">
        <v>266</v>
      </c>
      <c r="C41" s="344" t="s">
        <v>305</v>
      </c>
      <c r="D41" s="302" t="e">
        <f>VLOOKUP(C41,#REF!,2,0)</f>
        <v>#REF!</v>
      </c>
      <c r="E41" s="302" t="e">
        <f>VLOOKUP(C41,#REF!,4,0)</f>
        <v>#REF!</v>
      </c>
      <c r="F41" s="287">
        <v>337</v>
      </c>
      <c r="G41" s="287">
        <v>6</v>
      </c>
      <c r="H41" s="324" t="e">
        <f>VLOOKUP(C41,#REF!,3,0)</f>
        <v>#REF!</v>
      </c>
      <c r="I41" s="325" t="e">
        <f>VLOOKUP(C41,#REF!,7,0)</f>
        <v>#REF!</v>
      </c>
      <c r="J41" s="174" t="e">
        <v>#REF!</v>
      </c>
      <c r="K41" s="175" t="e">
        <v>#REF!</v>
      </c>
      <c r="L41" s="176" t="e">
        <v>#REF!</v>
      </c>
      <c r="M41" s="174" t="e">
        <v>#REF!</v>
      </c>
      <c r="N41" s="175" t="e">
        <v>#REF!</v>
      </c>
      <c r="O41" s="176" t="e">
        <v>#REF!</v>
      </c>
      <c r="P41" s="174" t="e">
        <v>#REF!</v>
      </c>
      <c r="Q41" s="175" t="e">
        <v>#REF!</v>
      </c>
      <c r="R41" s="176" t="e">
        <v>#REF!</v>
      </c>
      <c r="S41" s="174" t="e">
        <v>#REF!</v>
      </c>
      <c r="T41" s="175" t="e">
        <v>#REF!</v>
      </c>
      <c r="U41" s="176" t="e">
        <v>#REF!</v>
      </c>
      <c r="V41" s="174" t="e">
        <v>#REF!</v>
      </c>
      <c r="W41" s="175" t="e">
        <v>#REF!</v>
      </c>
      <c r="X41" s="176" t="e">
        <v>#REF!</v>
      </c>
      <c r="Y41" s="174" t="e">
        <v>#REF!</v>
      </c>
      <c r="Z41" s="175" t="e">
        <v>#REF!</v>
      </c>
      <c r="AA41" s="176" t="e">
        <v>#REF!</v>
      </c>
      <c r="AB41" s="174" t="e">
        <v>#REF!</v>
      </c>
      <c r="AC41" s="215" t="e">
        <v>#REF!</v>
      </c>
      <c r="AD41" s="176" t="e">
        <v>#REF!</v>
      </c>
      <c r="AE41" s="177" t="e">
        <v>#REF!</v>
      </c>
      <c r="AF41" s="113">
        <f>AF40+1</f>
        <v>28</v>
      </c>
      <c r="AG41" s="164" t="e">
        <f>J41*$F41</f>
        <v>#REF!</v>
      </c>
      <c r="AH41" s="165" t="e">
        <f>K41*$F41</f>
        <v>#REF!</v>
      </c>
      <c r="AI41" s="166" t="e">
        <f>L41*$F41</f>
        <v>#REF!</v>
      </c>
      <c r="AJ41" s="167" t="e">
        <f>M41*$F41</f>
        <v>#REF!</v>
      </c>
      <c r="AK41" s="165" t="e">
        <f>K41*$F41</f>
        <v>#REF!</v>
      </c>
      <c r="AL41" s="166" t="e">
        <f>O41*$F41</f>
        <v>#REF!</v>
      </c>
      <c r="AM41" s="167" t="e">
        <f>P41*$F41</f>
        <v>#REF!</v>
      </c>
      <c r="AN41" s="165" t="e">
        <f>N41*$F41</f>
        <v>#REF!</v>
      </c>
      <c r="AO41" s="166" t="e">
        <f>R41*$F41</f>
        <v>#REF!</v>
      </c>
      <c r="AP41" s="167" t="e">
        <f>S41*$F41</f>
        <v>#REF!</v>
      </c>
      <c r="AQ41" s="165" t="e">
        <f>Q41*$F41</f>
        <v>#REF!</v>
      </c>
      <c r="AR41" s="166" t="e">
        <f>U41*$F41</f>
        <v>#REF!</v>
      </c>
      <c r="AS41" s="167" t="e">
        <f>V41*$F41</f>
        <v>#REF!</v>
      </c>
      <c r="AT41" s="165" t="e">
        <f>T41*$F41</f>
        <v>#REF!</v>
      </c>
      <c r="AU41" s="166" t="e">
        <f>X41*$F41</f>
        <v>#REF!</v>
      </c>
      <c r="AV41" s="167" t="e">
        <f>Y41*$F41</f>
        <v>#REF!</v>
      </c>
      <c r="AW41" s="165" t="e">
        <f>W41*$F41</f>
        <v>#REF!</v>
      </c>
      <c r="AX41" s="166" t="e">
        <f>AA41*$F41</f>
        <v>#REF!</v>
      </c>
      <c r="AY41" s="167" t="e">
        <f>AB41*$F41</f>
        <v>#REF!</v>
      </c>
      <c r="AZ41" s="168" t="e">
        <f>Z41*$F41</f>
        <v>#REF!</v>
      </c>
      <c r="BA41" s="169" t="e">
        <f>AD41*$F41</f>
        <v>#REF!</v>
      </c>
      <c r="BB41" s="144" t="s">
        <v>294</v>
      </c>
      <c r="BC41" s="160" t="e">
        <f>ROUNDUP(O41/$BC$13,0)</f>
        <v>#REF!</v>
      </c>
      <c r="BD41" s="160" t="e">
        <f>ROUNDUP(R41/$BD$13,0)</f>
        <v>#REF!</v>
      </c>
      <c r="BE41" s="160" t="e">
        <f>ROUNDUP(U41/$BE$13,0)</f>
        <v>#REF!</v>
      </c>
      <c r="BF41" s="160" t="e">
        <f>ROUNDUP(X41/$BF$13,0)</f>
        <v>#REF!</v>
      </c>
      <c r="BG41" s="160" t="e">
        <f>ROUNDUP(AA41/$BG$13,0)</f>
        <v>#REF!</v>
      </c>
      <c r="BH41" s="160" t="e">
        <f>ROUNDUP(AD41/$BH$13,0)</f>
        <v>#REF!</v>
      </c>
      <c r="BI41" s="113">
        <f>BI39+1</f>
        <v>22</v>
      </c>
    </row>
    <row r="42" spans="1:61" customHeight="1" ht="20.1" s="152" customFormat="1">
      <c r="A42" s="1230"/>
      <c r="B42" s="1199"/>
      <c r="C42" s="401" t="s">
        <v>306</v>
      </c>
      <c r="D42" s="402" t="e">
        <f>VLOOKUP(C42,#REF!,2,0)</f>
        <v>#REF!</v>
      </c>
      <c r="E42" s="402" t="e">
        <f>VLOOKUP(C42,#REF!,4,0)</f>
        <v>#REF!</v>
      </c>
      <c r="F42" s="403">
        <v>337</v>
      </c>
      <c r="G42" s="403">
        <v>6</v>
      </c>
      <c r="H42" s="404" t="e">
        <f>VLOOKUP(C42,#REF!,3,0)</f>
        <v>#REF!</v>
      </c>
      <c r="I42" s="405" t="e">
        <f>VLOOKUP(C42,#REF!,7,0)</f>
        <v>#REF!</v>
      </c>
      <c r="J42" s="148" t="e">
        <v>#REF!</v>
      </c>
      <c r="K42" s="149" t="e">
        <v>#REF!</v>
      </c>
      <c r="L42" s="150" t="e">
        <v>#REF!</v>
      </c>
      <c r="M42" s="148" t="e">
        <v>#REF!</v>
      </c>
      <c r="N42" s="149" t="e">
        <v>#REF!</v>
      </c>
      <c r="O42" s="150" t="e">
        <v>#REF!</v>
      </c>
      <c r="P42" s="148" t="e">
        <v>#REF!</v>
      </c>
      <c r="Q42" s="149" t="e">
        <v>#REF!</v>
      </c>
      <c r="R42" s="150" t="e">
        <v>#REF!</v>
      </c>
      <c r="S42" s="148" t="e">
        <v>#REF!</v>
      </c>
      <c r="T42" s="149" t="e">
        <v>#REF!</v>
      </c>
      <c r="U42" s="150" t="e">
        <v>#REF!</v>
      </c>
      <c r="V42" s="148" t="e">
        <v>#REF!</v>
      </c>
      <c r="W42" s="149" t="e">
        <v>#REF!</v>
      </c>
      <c r="X42" s="150" t="e">
        <v>#REF!</v>
      </c>
      <c r="Y42" s="148" t="e">
        <v>#REF!</v>
      </c>
      <c r="Z42" s="149" t="e">
        <v>#REF!</v>
      </c>
      <c r="AA42" s="150" t="e">
        <v>#REF!</v>
      </c>
      <c r="AB42" s="148" t="e">
        <v>#REF!</v>
      </c>
      <c r="AC42" s="163" t="e">
        <v>#REF!</v>
      </c>
      <c r="AD42" s="150" t="e">
        <v>#REF!</v>
      </c>
      <c r="AE42" s="151" t="e">
        <v>#REF!</v>
      </c>
      <c r="AF42" s="113">
        <f>AF41+1</f>
        <v>29</v>
      </c>
      <c r="AG42" s="164" t="e">
        <f>J42*$F42</f>
        <v>#REF!</v>
      </c>
      <c r="AH42" s="165" t="e">
        <f>K42*$F42</f>
        <v>#REF!</v>
      </c>
      <c r="AI42" s="166" t="e">
        <f>L42*$F42</f>
        <v>#REF!</v>
      </c>
      <c r="AJ42" s="167" t="e">
        <f>M42*$F42</f>
        <v>#REF!</v>
      </c>
      <c r="AK42" s="165" t="e">
        <f>K42*$F42</f>
        <v>#REF!</v>
      </c>
      <c r="AL42" s="166" t="e">
        <f>O42*$F42</f>
        <v>#REF!</v>
      </c>
      <c r="AM42" s="167" t="e">
        <f>P42*$F42</f>
        <v>#REF!</v>
      </c>
      <c r="AN42" s="165" t="e">
        <f>N42*$F42</f>
        <v>#REF!</v>
      </c>
      <c r="AO42" s="166" t="e">
        <f>R42*$F42</f>
        <v>#REF!</v>
      </c>
      <c r="AP42" s="167" t="e">
        <f>S42*$F42</f>
        <v>#REF!</v>
      </c>
      <c r="AQ42" s="165" t="e">
        <f>Q42*$F42</f>
        <v>#REF!</v>
      </c>
      <c r="AR42" s="166" t="e">
        <f>U42*$F42</f>
        <v>#REF!</v>
      </c>
      <c r="AS42" s="167" t="e">
        <f>V42*$F42</f>
        <v>#REF!</v>
      </c>
      <c r="AT42" s="165" t="e">
        <f>T42*$F42</f>
        <v>#REF!</v>
      </c>
      <c r="AU42" s="166" t="e">
        <f>X42*$F42</f>
        <v>#REF!</v>
      </c>
      <c r="AV42" s="167" t="e">
        <f>Y42*$F42</f>
        <v>#REF!</v>
      </c>
      <c r="AW42" s="165" t="e">
        <f>W42*$F42</f>
        <v>#REF!</v>
      </c>
      <c r="AX42" s="166" t="e">
        <f>AA42*$F42</f>
        <v>#REF!</v>
      </c>
      <c r="AY42" s="167" t="e">
        <f>AB42*$F42</f>
        <v>#REF!</v>
      </c>
      <c r="AZ42" s="168" t="e">
        <f>Z42*$F42</f>
        <v>#REF!</v>
      </c>
      <c r="BA42" s="169" t="e">
        <f>AD42*$F42</f>
        <v>#REF!</v>
      </c>
      <c r="BB42" s="144" t="s">
        <v>294</v>
      </c>
      <c r="BC42" s="160" t="e">
        <f>ROUNDUP(O42/$BC$13,0)</f>
        <v>#REF!</v>
      </c>
      <c r="BD42" s="160" t="e">
        <f>ROUNDUP(R42/$BD$13,0)</f>
        <v>#REF!</v>
      </c>
      <c r="BE42" s="160" t="e">
        <f>ROUNDUP(U42/$BE$13,0)</f>
        <v>#REF!</v>
      </c>
      <c r="BF42" s="160" t="e">
        <f>ROUNDUP(X42/$BF$13,0)</f>
        <v>#REF!</v>
      </c>
      <c r="BG42" s="160" t="e">
        <f>ROUNDUP(AA42/$BG$13,0)</f>
        <v>#REF!</v>
      </c>
      <c r="BH42" s="160" t="e">
        <f>ROUNDUP(AD42/$BH$13,0)</f>
        <v>#REF!</v>
      </c>
      <c r="BI42" s="113">
        <f>BI40+1</f>
        <v>23</v>
      </c>
    </row>
    <row r="43" spans="1:61" customHeight="1" ht="20.1" hidden="true" s="152" customFormat="1">
      <c r="A43" s="1230"/>
      <c r="B43" s="1199"/>
      <c r="C43" s="318" t="s">
        <v>307</v>
      </c>
      <c r="D43" s="290" t="e">
        <f>VLOOKUP(C43,#REF!,2,0)</f>
        <v>#REF!</v>
      </c>
      <c r="E43" s="290" t="e">
        <f>VLOOKUP(C43,#REF!,4,0)</f>
        <v>#REF!</v>
      </c>
      <c r="F43" s="282">
        <v>313</v>
      </c>
      <c r="G43" s="282">
        <v>6</v>
      </c>
      <c r="H43" s="326" t="e">
        <f>VLOOKUP(C43,#REF!,3,0)</f>
        <v>#REF!</v>
      </c>
      <c r="I43" s="277" t="e">
        <f>VLOOKUP(C43,#REF!,7,0)</f>
        <v>#REF!</v>
      </c>
      <c r="J43" s="148" t="e">
        <v>#REF!</v>
      </c>
      <c r="K43" s="149" t="e">
        <v>#REF!</v>
      </c>
      <c r="L43" s="150" t="e">
        <v>#REF!</v>
      </c>
      <c r="M43" s="148" t="e">
        <v>#REF!</v>
      </c>
      <c r="N43" s="149" t="e">
        <v>#REF!</v>
      </c>
      <c r="O43" s="150" t="e">
        <v>#REF!</v>
      </c>
      <c r="P43" s="148" t="e">
        <v>#REF!</v>
      </c>
      <c r="Q43" s="149" t="e">
        <v>#REF!</v>
      </c>
      <c r="R43" s="150" t="e">
        <v>#REF!</v>
      </c>
      <c r="S43" s="148" t="e">
        <v>#REF!</v>
      </c>
      <c r="T43" s="149" t="e">
        <v>#REF!</v>
      </c>
      <c r="U43" s="150" t="e">
        <v>#REF!</v>
      </c>
      <c r="V43" s="148" t="e">
        <v>#REF!</v>
      </c>
      <c r="W43" s="149" t="e">
        <v>#REF!</v>
      </c>
      <c r="X43" s="150" t="e">
        <v>#REF!</v>
      </c>
      <c r="Y43" s="148" t="e">
        <v>#REF!</v>
      </c>
      <c r="Z43" s="149" t="e">
        <v>#REF!</v>
      </c>
      <c r="AA43" s="150" t="e">
        <v>#REF!</v>
      </c>
      <c r="AB43" s="148" t="e">
        <v>#REF!</v>
      </c>
      <c r="AC43" s="170" t="e">
        <v>#REF!</v>
      </c>
      <c r="AD43" s="150" t="e">
        <v>#REF!</v>
      </c>
      <c r="AE43" s="151" t="e">
        <v>#REF!</v>
      </c>
      <c r="AF43" s="113">
        <f>AF42+1</f>
        <v>30</v>
      </c>
      <c r="AG43" s="164" t="e">
        <f>J43*$F43</f>
        <v>#REF!</v>
      </c>
      <c r="AH43" s="165" t="e">
        <f>K43*$F43</f>
        <v>#REF!</v>
      </c>
      <c r="AI43" s="166" t="e">
        <f>L43*$F43</f>
        <v>#REF!</v>
      </c>
      <c r="AJ43" s="167" t="e">
        <f>M43*$F43</f>
        <v>#REF!</v>
      </c>
      <c r="AK43" s="165" t="e">
        <f>K43*$F43</f>
        <v>#REF!</v>
      </c>
      <c r="AL43" s="166" t="e">
        <f>O43*$F43</f>
        <v>#REF!</v>
      </c>
      <c r="AM43" s="167" t="e">
        <f>P43*$F43</f>
        <v>#REF!</v>
      </c>
      <c r="AN43" s="165" t="e">
        <f>N43*$F43</f>
        <v>#REF!</v>
      </c>
      <c r="AO43" s="166" t="e">
        <f>R43*$F43</f>
        <v>#REF!</v>
      </c>
      <c r="AP43" s="167" t="e">
        <f>S43*$F43</f>
        <v>#REF!</v>
      </c>
      <c r="AQ43" s="165" t="e">
        <f>Q43*$F43</f>
        <v>#REF!</v>
      </c>
      <c r="AR43" s="166" t="e">
        <f>U43*$F43</f>
        <v>#REF!</v>
      </c>
      <c r="AS43" s="167" t="e">
        <f>V43*$F43</f>
        <v>#REF!</v>
      </c>
      <c r="AT43" s="165" t="e">
        <f>T43*$F43</f>
        <v>#REF!</v>
      </c>
      <c r="AU43" s="166" t="e">
        <f>X43*$F43</f>
        <v>#REF!</v>
      </c>
      <c r="AV43" s="167" t="e">
        <f>Y43*$F43</f>
        <v>#REF!</v>
      </c>
      <c r="AW43" s="165" t="e">
        <f>W43*$F43</f>
        <v>#REF!</v>
      </c>
      <c r="AX43" s="166" t="e">
        <f>AA43*$F43</f>
        <v>#REF!</v>
      </c>
      <c r="AY43" s="167" t="e">
        <f>AB43*$F43</f>
        <v>#REF!</v>
      </c>
      <c r="AZ43" s="168" t="e">
        <f>Z43*$F43</f>
        <v>#REF!</v>
      </c>
      <c r="BA43" s="169" t="e">
        <f>AD43*$F43</f>
        <v>#REF!</v>
      </c>
      <c r="BB43" s="144" t="s">
        <v>296</v>
      </c>
      <c r="BC43" s="160" t="e">
        <f>ROUNDUP(O43/$BC$13,0)</f>
        <v>#REF!</v>
      </c>
      <c r="BD43" s="160" t="e">
        <f>ROUNDUP(R43/$BD$13,0)</f>
        <v>#REF!</v>
      </c>
      <c r="BE43" s="160" t="e">
        <f>ROUNDUP(U43/$BE$13,0)</f>
        <v>#REF!</v>
      </c>
      <c r="BF43" s="160" t="e">
        <f>ROUNDUP(X43/$BF$13,0)</f>
        <v>#REF!</v>
      </c>
      <c r="BG43" s="160" t="e">
        <f>ROUNDUP(AA43/$BG$13,0)</f>
        <v>#REF!</v>
      </c>
      <c r="BH43" s="160" t="e">
        <f>ROUNDUP(AD43/$BH$13,0)</f>
        <v>#REF!</v>
      </c>
      <c r="BI43" s="113">
        <f>BI41+1</f>
        <v>23</v>
      </c>
    </row>
    <row r="44" spans="1:61" customHeight="1" ht="20.1" s="152" customFormat="1">
      <c r="A44" s="1230"/>
      <c r="B44" s="1199"/>
      <c r="C44" s="401" t="s">
        <v>308</v>
      </c>
      <c r="D44" s="402" t="e">
        <f>VLOOKUP(C44,#REF!,2,0)</f>
        <v>#REF!</v>
      </c>
      <c r="E44" s="402" t="e">
        <f>VLOOKUP(C44,#REF!,4,0)</f>
        <v>#REF!</v>
      </c>
      <c r="F44" s="403">
        <v>313</v>
      </c>
      <c r="G44" s="403">
        <v>6</v>
      </c>
      <c r="H44" s="406" t="e">
        <f>VLOOKUP(C44,#REF!,3,0)</f>
        <v>#REF!</v>
      </c>
      <c r="I44" s="405" t="e">
        <f>VLOOKUP(C44,#REF!,7,0)</f>
        <v>#REF!</v>
      </c>
      <c r="J44" s="148" t="e">
        <v>#REF!</v>
      </c>
      <c r="K44" s="149" t="e">
        <v>#REF!</v>
      </c>
      <c r="L44" s="150" t="e">
        <v>#REF!</v>
      </c>
      <c r="M44" s="148" t="e">
        <v>#REF!</v>
      </c>
      <c r="N44" s="149" t="e">
        <v>#REF!</v>
      </c>
      <c r="O44" s="150" t="e">
        <v>#REF!</v>
      </c>
      <c r="P44" s="148" t="e">
        <v>#REF!</v>
      </c>
      <c r="Q44" s="149" t="e">
        <v>#REF!</v>
      </c>
      <c r="R44" s="150" t="e">
        <v>#REF!</v>
      </c>
      <c r="S44" s="148" t="e">
        <v>#REF!</v>
      </c>
      <c r="T44" s="149" t="e">
        <v>#REF!</v>
      </c>
      <c r="U44" s="150" t="e">
        <v>#REF!</v>
      </c>
      <c r="V44" s="148" t="e">
        <v>#REF!</v>
      </c>
      <c r="W44" s="149" t="e">
        <v>#REF!</v>
      </c>
      <c r="X44" s="150" t="e">
        <v>#REF!</v>
      </c>
      <c r="Y44" s="148" t="e">
        <v>#REF!</v>
      </c>
      <c r="Z44" s="149" t="e">
        <v>#REF!</v>
      </c>
      <c r="AA44" s="150" t="e">
        <v>#REF!</v>
      </c>
      <c r="AB44" s="148" t="e">
        <v>#REF!</v>
      </c>
      <c r="AC44" s="170" t="e">
        <v>#REF!</v>
      </c>
      <c r="AD44" s="150" t="e">
        <v>#REF!</v>
      </c>
      <c r="AE44" s="151" t="e">
        <v>#REF!</v>
      </c>
      <c r="AF44" s="113">
        <f>AF43+1</f>
        <v>31</v>
      </c>
      <c r="AG44" s="164" t="e">
        <f>J44*$F44</f>
        <v>#REF!</v>
      </c>
      <c r="AH44" s="165" t="e">
        <f>K44*$F44</f>
        <v>#REF!</v>
      </c>
      <c r="AI44" s="166" t="e">
        <f>L44*$F44</f>
        <v>#REF!</v>
      </c>
      <c r="AJ44" s="167" t="e">
        <f>M44*$F44</f>
        <v>#REF!</v>
      </c>
      <c r="AK44" s="165" t="e">
        <f>K44*$F44</f>
        <v>#REF!</v>
      </c>
      <c r="AL44" s="166" t="e">
        <f>O44*$F44</f>
        <v>#REF!</v>
      </c>
      <c r="AM44" s="167" t="e">
        <f>P44*$F44</f>
        <v>#REF!</v>
      </c>
      <c r="AN44" s="165" t="e">
        <f>N44*$F44</f>
        <v>#REF!</v>
      </c>
      <c r="AO44" s="166" t="e">
        <f>R44*$F44</f>
        <v>#REF!</v>
      </c>
      <c r="AP44" s="167" t="e">
        <f>S44*$F44</f>
        <v>#REF!</v>
      </c>
      <c r="AQ44" s="165" t="e">
        <f>Q44*$F44</f>
        <v>#REF!</v>
      </c>
      <c r="AR44" s="166" t="e">
        <f>U44*$F44</f>
        <v>#REF!</v>
      </c>
      <c r="AS44" s="167" t="e">
        <f>V44*$F44</f>
        <v>#REF!</v>
      </c>
      <c r="AT44" s="165" t="e">
        <f>T44*$F44</f>
        <v>#REF!</v>
      </c>
      <c r="AU44" s="166" t="e">
        <f>X44*$F44</f>
        <v>#REF!</v>
      </c>
      <c r="AV44" s="167" t="e">
        <f>Y44*$F44</f>
        <v>#REF!</v>
      </c>
      <c r="AW44" s="165" t="e">
        <f>W44*$F44</f>
        <v>#REF!</v>
      </c>
      <c r="AX44" s="166" t="e">
        <f>AA44*$F44</f>
        <v>#REF!</v>
      </c>
      <c r="AY44" s="167" t="e">
        <f>AB44*$F44</f>
        <v>#REF!</v>
      </c>
      <c r="AZ44" s="168" t="e">
        <f>Z44*$F44</f>
        <v>#REF!</v>
      </c>
      <c r="BA44" s="169" t="e">
        <f>AD44*$F44</f>
        <v>#REF!</v>
      </c>
      <c r="BB44" s="144" t="s">
        <v>296</v>
      </c>
      <c r="BC44" s="160" t="e">
        <f>ROUNDUP(O44/$BC$13,0)</f>
        <v>#REF!</v>
      </c>
      <c r="BD44" s="160" t="e">
        <f>ROUNDUP(R44/$BD$13,0)</f>
        <v>#REF!</v>
      </c>
      <c r="BE44" s="160" t="e">
        <f>ROUNDUP(U44/$BE$13,0)</f>
        <v>#REF!</v>
      </c>
      <c r="BF44" s="160" t="e">
        <f>ROUNDUP(X44/$BF$13,0)</f>
        <v>#REF!</v>
      </c>
      <c r="BG44" s="160" t="e">
        <f>ROUNDUP(AA44/$BG$13,0)</f>
        <v>#REF!</v>
      </c>
      <c r="BH44" s="160" t="e">
        <f>ROUNDUP(AD44/$BH$13,0)</f>
        <v>#REF!</v>
      </c>
      <c r="BI44" s="113">
        <f>BI42+1</f>
        <v>24</v>
      </c>
    </row>
    <row r="45" spans="1:61" customHeight="1" ht="19.5" hidden="true" s="226" customFormat="1">
      <c r="A45" s="1230"/>
      <c r="B45" s="1199"/>
      <c r="C45" s="318" t="s">
        <v>309</v>
      </c>
      <c r="D45" s="290" t="e">
        <f>VLOOKUP(C45,#REF!,2,0)</f>
        <v>#REF!</v>
      </c>
      <c r="E45" s="303" t="e">
        <f>VLOOKUP(C45,#REF!,4,0)</f>
        <v>#REF!</v>
      </c>
      <c r="F45" s="284">
        <v>337</v>
      </c>
      <c r="G45" s="284">
        <v>6</v>
      </c>
      <c r="H45" s="261" t="e">
        <f>VLOOKUP(C45,#REF!,3,0)</f>
        <v>#REF!</v>
      </c>
      <c r="I45" s="261" t="e">
        <f>VLOOKUP(C45,#REF!,7,0)</f>
        <v>#REF!</v>
      </c>
      <c r="J45" s="221" t="e">
        <v>#REF!</v>
      </c>
      <c r="K45" s="222" t="e">
        <v>#REF!</v>
      </c>
      <c r="L45" s="223" t="e">
        <v>#REF!</v>
      </c>
      <c r="M45" s="221" t="e">
        <v>#REF!</v>
      </c>
      <c r="N45" s="222" t="e">
        <v>#REF!</v>
      </c>
      <c r="O45" s="223" t="e">
        <v>#REF!</v>
      </c>
      <c r="P45" s="221" t="e">
        <v>#REF!</v>
      </c>
      <c r="Q45" s="222" t="e">
        <v>#REF!</v>
      </c>
      <c r="R45" s="223" t="e">
        <v>#REF!</v>
      </c>
      <c r="S45" s="221" t="e">
        <v>#REF!</v>
      </c>
      <c r="T45" s="222" t="e">
        <v>#REF!</v>
      </c>
      <c r="U45" s="223" t="e">
        <v>#REF!</v>
      </c>
      <c r="V45" s="221" t="e">
        <v>#REF!</v>
      </c>
      <c r="W45" s="222" t="e">
        <v>#REF!</v>
      </c>
      <c r="X45" s="223" t="e">
        <v>#REF!</v>
      </c>
      <c r="Y45" s="221" t="e">
        <v>#REF!</v>
      </c>
      <c r="Z45" s="222" t="e">
        <v>#REF!</v>
      </c>
      <c r="AA45" s="223" t="e">
        <v>#REF!</v>
      </c>
      <c r="AB45" s="221" t="e">
        <v>#REF!</v>
      </c>
      <c r="AC45" s="253" t="e">
        <v>#REF!</v>
      </c>
      <c r="AD45" s="223" t="e">
        <v>#REF!</v>
      </c>
      <c r="AE45" s="225" t="e">
        <v>#REF!</v>
      </c>
      <c r="AF45" s="113">
        <f>AF44+1</f>
        <v>32</v>
      </c>
      <c r="AG45" s="227" t="e">
        <f>J45*$F45</f>
        <v>#REF!</v>
      </c>
      <c r="AH45" s="228" t="e">
        <f>K45*$F45</f>
        <v>#REF!</v>
      </c>
      <c r="AI45" s="229" t="e">
        <f>L45*$F45</f>
        <v>#REF!</v>
      </c>
      <c r="AJ45" s="230" t="e">
        <f>M45*$F45</f>
        <v>#REF!</v>
      </c>
      <c r="AK45" s="228" t="e">
        <f>K45*$F45</f>
        <v>#REF!</v>
      </c>
      <c r="AL45" s="229" t="e">
        <f>O45*$F45</f>
        <v>#REF!</v>
      </c>
      <c r="AM45" s="230" t="e">
        <f>P45*$F45</f>
        <v>#REF!</v>
      </c>
      <c r="AN45" s="228" t="e">
        <f>N45*$F45</f>
        <v>#REF!</v>
      </c>
      <c r="AO45" s="229" t="e">
        <f>R45*$F45</f>
        <v>#REF!</v>
      </c>
      <c r="AP45" s="230" t="e">
        <f>S45*$F45</f>
        <v>#REF!</v>
      </c>
      <c r="AQ45" s="228" t="e">
        <f>Q45*$F45</f>
        <v>#REF!</v>
      </c>
      <c r="AR45" s="229" t="e">
        <f>U45*$F45</f>
        <v>#REF!</v>
      </c>
      <c r="AS45" s="230" t="e">
        <f>V45*$F45</f>
        <v>#REF!</v>
      </c>
      <c r="AT45" s="228" t="e">
        <f>T45*$F45</f>
        <v>#REF!</v>
      </c>
      <c r="AU45" s="229" t="e">
        <f>X45*$F45</f>
        <v>#REF!</v>
      </c>
      <c r="AV45" s="230" t="e">
        <f>Y45*$F45</f>
        <v>#REF!</v>
      </c>
      <c r="AW45" s="228" t="e">
        <f>W45*$F45</f>
        <v>#REF!</v>
      </c>
      <c r="AX45" s="229" t="e">
        <f>AA45*$F45</f>
        <v>#REF!</v>
      </c>
      <c r="AY45" s="230" t="e">
        <f>AB45*$F45</f>
        <v>#REF!</v>
      </c>
      <c r="AZ45" s="231" t="e">
        <f>Z45*$F45</f>
        <v>#REF!</v>
      </c>
      <c r="BA45" s="232" t="e">
        <f>AD45*$F45</f>
        <v>#REF!</v>
      </c>
      <c r="BB45" s="216" t="s">
        <v>298</v>
      </c>
      <c r="BC45" s="160" t="e">
        <f>ROUNDUP(O45/$BC$13,0)</f>
        <v>#REF!</v>
      </c>
      <c r="BD45" s="160" t="e">
        <f>ROUNDUP(R45/$BD$13,0)</f>
        <v>#REF!</v>
      </c>
      <c r="BE45" s="160" t="e">
        <f>ROUNDUP(U45/$BE$13,0)</f>
        <v>#REF!</v>
      </c>
      <c r="BF45" s="160" t="e">
        <f>ROUNDUP(X45/$BF$13,0)</f>
        <v>#REF!</v>
      </c>
      <c r="BG45" s="160" t="e">
        <f>ROUNDUP(AA45/$BG$13,0)</f>
        <v>#REF!</v>
      </c>
      <c r="BH45" s="160" t="e">
        <f>ROUNDUP(AD45/$BH$13,0)</f>
        <v>#REF!</v>
      </c>
      <c r="BI45" s="113">
        <f>BI43+1</f>
        <v>24</v>
      </c>
    </row>
    <row r="46" spans="1:61" customHeight="1" ht="20.1" s="226" customFormat="1">
      <c r="A46" s="1232"/>
      <c r="B46" s="1200"/>
      <c r="C46" s="401" t="s">
        <v>310</v>
      </c>
      <c r="D46" s="402" t="e">
        <f>VLOOKUP(C46,#REF!,2,0)</f>
        <v>#REF!</v>
      </c>
      <c r="E46" s="407" t="e">
        <f>VLOOKUP(C46,#REF!,4,0)</f>
        <v>#REF!</v>
      </c>
      <c r="F46" s="408">
        <v>337</v>
      </c>
      <c r="G46" s="408">
        <v>6</v>
      </c>
      <c r="H46" s="409" t="e">
        <f>VLOOKUP(C46,#REF!,3,0)</f>
        <v>#REF!</v>
      </c>
      <c r="I46" s="409" t="e">
        <f>VLOOKUP(C46,#REF!,7,0)</f>
        <v>#REF!</v>
      </c>
      <c r="J46" s="221" t="e">
        <v>#REF!</v>
      </c>
      <c r="K46" s="222" t="e">
        <v>#REF!</v>
      </c>
      <c r="L46" s="223" t="e">
        <v>#REF!</v>
      </c>
      <c r="M46" s="221" t="e">
        <v>#REF!</v>
      </c>
      <c r="N46" s="222" t="e">
        <v>#REF!</v>
      </c>
      <c r="O46" s="223" t="e">
        <v>#REF!</v>
      </c>
      <c r="P46" s="221" t="e">
        <v>#REF!</v>
      </c>
      <c r="Q46" s="222" t="e">
        <v>#REF!</v>
      </c>
      <c r="R46" s="223" t="e">
        <v>#REF!</v>
      </c>
      <c r="S46" s="221" t="e">
        <v>#REF!</v>
      </c>
      <c r="T46" s="222" t="e">
        <v>#REF!</v>
      </c>
      <c r="U46" s="223" t="e">
        <v>#REF!</v>
      </c>
      <c r="V46" s="221" t="e">
        <v>#REF!</v>
      </c>
      <c r="W46" s="222" t="e">
        <v>#REF!</v>
      </c>
      <c r="X46" s="223" t="e">
        <v>#REF!</v>
      </c>
      <c r="Y46" s="221" t="e">
        <v>#REF!</v>
      </c>
      <c r="Z46" s="222" t="e">
        <v>#REF!</v>
      </c>
      <c r="AA46" s="223" t="e">
        <v>#REF!</v>
      </c>
      <c r="AB46" s="221" t="e">
        <v>#REF!</v>
      </c>
      <c r="AC46" s="253" t="e">
        <v>#REF!</v>
      </c>
      <c r="AD46" s="223" t="e">
        <v>#REF!</v>
      </c>
      <c r="AE46" s="225" t="e">
        <v>#REF!</v>
      </c>
      <c r="AF46" s="113">
        <f>AF45+1</f>
        <v>33</v>
      </c>
      <c r="AG46" s="227" t="e">
        <f>J46*$F46</f>
        <v>#REF!</v>
      </c>
      <c r="AH46" s="228" t="e">
        <f>K46*$F46</f>
        <v>#REF!</v>
      </c>
      <c r="AI46" s="229" t="e">
        <f>L46*$F46</f>
        <v>#REF!</v>
      </c>
      <c r="AJ46" s="230" t="e">
        <f>M46*$F46</f>
        <v>#REF!</v>
      </c>
      <c r="AK46" s="228" t="e">
        <f>K46*$F46</f>
        <v>#REF!</v>
      </c>
      <c r="AL46" s="229" t="e">
        <f>O46*$F46</f>
        <v>#REF!</v>
      </c>
      <c r="AM46" s="230" t="e">
        <f>P46*$F46</f>
        <v>#REF!</v>
      </c>
      <c r="AN46" s="228" t="e">
        <f>N46*$F46</f>
        <v>#REF!</v>
      </c>
      <c r="AO46" s="229" t="e">
        <f>R46*$F46</f>
        <v>#REF!</v>
      </c>
      <c r="AP46" s="230" t="e">
        <f>S46*$F46</f>
        <v>#REF!</v>
      </c>
      <c r="AQ46" s="228" t="e">
        <f>Q46*$F46</f>
        <v>#REF!</v>
      </c>
      <c r="AR46" s="229" t="e">
        <f>U46*$F46</f>
        <v>#REF!</v>
      </c>
      <c r="AS46" s="230" t="e">
        <f>V46*$F46</f>
        <v>#REF!</v>
      </c>
      <c r="AT46" s="228" t="e">
        <f>T46*$F46</f>
        <v>#REF!</v>
      </c>
      <c r="AU46" s="229" t="e">
        <f>X46*$F46</f>
        <v>#REF!</v>
      </c>
      <c r="AV46" s="230" t="e">
        <f>Y46*$F46</f>
        <v>#REF!</v>
      </c>
      <c r="AW46" s="228" t="e">
        <f>W46*$F46</f>
        <v>#REF!</v>
      </c>
      <c r="AX46" s="229" t="e">
        <f>AA46*$F46</f>
        <v>#REF!</v>
      </c>
      <c r="AY46" s="230" t="e">
        <f>AB46*$F46</f>
        <v>#REF!</v>
      </c>
      <c r="AZ46" s="231" t="e">
        <f>Z46*$F46</f>
        <v>#REF!</v>
      </c>
      <c r="BA46" s="232" t="e">
        <f>AD46*$F46</f>
        <v>#REF!</v>
      </c>
      <c r="BB46" s="216" t="s">
        <v>298</v>
      </c>
      <c r="BC46" s="160" t="e">
        <f>ROUNDUP(O46/$BC$13,0)</f>
        <v>#REF!</v>
      </c>
      <c r="BD46" s="160" t="e">
        <f>ROUNDUP(R46/$BD$13,0)</f>
        <v>#REF!</v>
      </c>
      <c r="BE46" s="160" t="e">
        <f>ROUNDUP(U46/$BE$13,0)</f>
        <v>#REF!</v>
      </c>
      <c r="BF46" s="160" t="e">
        <f>ROUNDUP(X46/$BF$13,0)</f>
        <v>#REF!</v>
      </c>
      <c r="BG46" s="160" t="e">
        <f>ROUNDUP(AA46/$BG$13,0)</f>
        <v>#REF!</v>
      </c>
      <c r="BH46" s="160" t="e">
        <f>ROUNDUP(AD46/$BH$13,0)</f>
        <v>#REF!</v>
      </c>
      <c r="BI46" s="113">
        <f>BI44+1</f>
        <v>25</v>
      </c>
    </row>
    <row r="47" spans="1:61" customHeight="1" ht="20.1" s="113" customFormat="1">
      <c r="A47" s="335"/>
      <c r="B47" s="1210" t="s">
        <v>311</v>
      </c>
      <c r="C47" s="105" t="s">
        <v>312</v>
      </c>
      <c r="D47" s="290" t="s">
        <v>313</v>
      </c>
      <c r="E47" s="302">
        <v>8251</v>
      </c>
      <c r="F47" s="291">
        <v>2</v>
      </c>
      <c r="G47" s="291"/>
      <c r="H47" s="279"/>
      <c r="I47" s="254"/>
      <c r="J47" s="108" t="e">
        <f>+J14+J15+J16+J17+J18+J19</f>
        <v>#REF!</v>
      </c>
      <c r="K47" s="109" t="e">
        <f>+K14+K15+K16+K17+K18+K19</f>
        <v>#REF!</v>
      </c>
      <c r="L47" s="110" t="e">
        <f>+L14+L15+L16+L17+L18+L19</f>
        <v>#REF!</v>
      </c>
      <c r="M47" s="108" t="e">
        <f>+M14+M15+M16+M17+M18+M19</f>
        <v>#REF!</v>
      </c>
      <c r="N47" s="109" t="e">
        <f>+N14+N15+N16+N17+N18+N19</f>
        <v>#REF!</v>
      </c>
      <c r="O47" s="110" t="e">
        <f>+O14+O15+O16+O17+O18+O19</f>
        <v>#REF!</v>
      </c>
      <c r="P47" s="108" t="e">
        <f>+P14+P15+P16+P17+P18+P19</f>
        <v>#REF!</v>
      </c>
      <c r="Q47" s="108" t="e">
        <f>+Q14+Q15+Q16+Q17+Q18+Q19</f>
        <v>#REF!</v>
      </c>
      <c r="R47" s="108" t="e">
        <f>+R14+R15+R16+R17+R18+R19</f>
        <v>#REF!</v>
      </c>
      <c r="S47" s="108" t="e">
        <f>+S14+S15+S16+S17+S18+S19</f>
        <v>#REF!</v>
      </c>
      <c r="T47" s="109" t="e">
        <f>+T14+T15+T16+T17+T18+T19</f>
        <v>#REF!</v>
      </c>
      <c r="U47" s="110" t="e">
        <f>+U14+U15+U16+U17+U18+U19</f>
        <v>#REF!</v>
      </c>
      <c r="V47" s="108" t="e">
        <f>+V14+V15+V16+V17+V18+V19</f>
        <v>#REF!</v>
      </c>
      <c r="W47" s="109" t="e">
        <f>+W14+W15+W16+W17+W18+W19</f>
        <v>#REF!</v>
      </c>
      <c r="X47" s="110" t="e">
        <f>+X14+X15+X16+X17+X18+X19</f>
        <v>#REF!</v>
      </c>
      <c r="Y47" s="108" t="e">
        <f>+Y14+Y15+Y16+Y17+Y18+Y19</f>
        <v>#REF!</v>
      </c>
      <c r="Z47" s="109" t="e">
        <f>+Z14+Z15+Z16+Z17+Z18+Z19</f>
        <v>#REF!</v>
      </c>
      <c r="AA47" s="110" t="e">
        <f>+AA14+AA15+AA16+AA17+AA18+AA19</f>
        <v>#REF!</v>
      </c>
      <c r="AB47" s="108" t="e">
        <f>+AB14+AB15+AB16+AB17+AB18+AB19</f>
        <v>#REF!</v>
      </c>
      <c r="AC47" s="111" t="e">
        <f>+AC14+AC15+AC16+AC17+AC18+AC19</f>
        <v>#REF!</v>
      </c>
      <c r="AD47" s="110" t="e">
        <f>+AD14+AD15+AD16+AD17+AD18+AD19</f>
        <v>#REF!</v>
      </c>
      <c r="AE47" s="112" t="e">
        <f>+AE14+AE15+AE16+AE17+AE18+AE19</f>
        <v>#REF!</v>
      </c>
      <c r="AF47" s="113">
        <f>AF46+1</f>
        <v>34</v>
      </c>
      <c r="AG47" s="131"/>
      <c r="AH47" s="132"/>
      <c r="AI47" s="133"/>
      <c r="AJ47" s="134"/>
      <c r="AK47" s="132"/>
      <c r="AL47" s="133"/>
      <c r="AM47" s="134"/>
      <c r="AN47" s="132"/>
      <c r="AO47" s="133"/>
      <c r="AP47" s="134"/>
      <c r="AQ47" s="132"/>
      <c r="AR47" s="133"/>
      <c r="AS47" s="134"/>
      <c r="AT47" s="132"/>
      <c r="AU47" s="133"/>
      <c r="AV47" s="134"/>
      <c r="AW47" s="132"/>
      <c r="AX47" s="133"/>
      <c r="AY47" s="134"/>
      <c r="AZ47" s="135"/>
      <c r="BA47" s="136"/>
      <c r="BB47" s="105" t="s">
        <v>314</v>
      </c>
      <c r="BC47" s="121" t="e">
        <f>ROUNDUP(O47/$BC$13,0)</f>
        <v>#REF!</v>
      </c>
      <c r="BD47" s="121" t="e">
        <f>ROUNDUP(R47/$BD$13,0)</f>
        <v>#REF!</v>
      </c>
      <c r="BE47" s="121" t="e">
        <f>ROUNDUP(U47/$BE$13,0)</f>
        <v>#REF!</v>
      </c>
      <c r="BF47" s="121" t="e">
        <f>ROUNDUP(X47/$BF$13,0)</f>
        <v>#REF!</v>
      </c>
      <c r="BG47" s="121" t="e">
        <f>ROUNDUP(AA47/$BG$13,0)</f>
        <v>#REF!</v>
      </c>
      <c r="BH47" s="121" t="e">
        <f>ROUNDUP(AD47/$BH$13,0)</f>
        <v>#REF!</v>
      </c>
    </row>
    <row r="48" spans="1:61" customHeight="1" ht="20.1" s="113" customFormat="1">
      <c r="A48" s="335"/>
      <c r="B48" s="1211"/>
      <c r="C48" s="124" t="s">
        <v>315</v>
      </c>
      <c r="D48" s="290" t="s">
        <v>313</v>
      </c>
      <c r="E48" s="290">
        <v>8252</v>
      </c>
      <c r="F48" s="292">
        <v>2</v>
      </c>
      <c r="G48" s="292"/>
      <c r="H48" s="280"/>
      <c r="I48" s="255"/>
      <c r="J48" s="126" t="e">
        <f>+J47</f>
        <v>#REF!</v>
      </c>
      <c r="K48" s="127" t="e">
        <f>+K47</f>
        <v>#REF!</v>
      </c>
      <c r="L48" s="128" t="e">
        <f>+L47</f>
        <v>#REF!</v>
      </c>
      <c r="M48" s="126" t="e">
        <f>+M47</f>
        <v>#REF!</v>
      </c>
      <c r="N48" s="127" t="e">
        <f>+N47</f>
        <v>#REF!</v>
      </c>
      <c r="O48" s="128" t="e">
        <f>+O47</f>
        <v>#REF!</v>
      </c>
      <c r="P48" s="126" t="e">
        <f>+P47</f>
        <v>#REF!</v>
      </c>
      <c r="Q48" s="127" t="e">
        <f>+Q47</f>
        <v>#REF!</v>
      </c>
      <c r="R48" s="128" t="e">
        <f>+R47</f>
        <v>#REF!</v>
      </c>
      <c r="S48" s="126" t="e">
        <f>+S47</f>
        <v>#REF!</v>
      </c>
      <c r="T48" s="127" t="e">
        <f>+T47</f>
        <v>#REF!</v>
      </c>
      <c r="U48" s="128" t="e">
        <f>+U47</f>
        <v>#REF!</v>
      </c>
      <c r="V48" s="126" t="e">
        <f>+V47</f>
        <v>#REF!</v>
      </c>
      <c r="W48" s="127" t="e">
        <f>+W47</f>
        <v>#REF!</v>
      </c>
      <c r="X48" s="128" t="e">
        <f>+X47</f>
        <v>#REF!</v>
      </c>
      <c r="Y48" s="126" t="e">
        <f>+Y47</f>
        <v>#REF!</v>
      </c>
      <c r="Z48" s="127" t="e">
        <f>+Z47</f>
        <v>#REF!</v>
      </c>
      <c r="AA48" s="128" t="e">
        <f>+AA47</f>
        <v>#REF!</v>
      </c>
      <c r="AB48" s="126" t="e">
        <f>+AB47</f>
        <v>#REF!</v>
      </c>
      <c r="AC48" s="257" t="e">
        <f>+AC47</f>
        <v>#REF!</v>
      </c>
      <c r="AD48" s="128" t="e">
        <f>+AD47</f>
        <v>#REF!</v>
      </c>
      <c r="AE48" s="130" t="e">
        <f>+AE47</f>
        <v>#REF!</v>
      </c>
      <c r="AF48" s="113">
        <f>AF47+1</f>
        <v>35</v>
      </c>
      <c r="AG48" s="131"/>
      <c r="AH48" s="132"/>
      <c r="AI48" s="133"/>
      <c r="AJ48" s="134"/>
      <c r="AK48" s="132"/>
      <c r="AL48" s="133"/>
      <c r="AM48" s="134"/>
      <c r="AN48" s="132"/>
      <c r="AO48" s="133"/>
      <c r="AP48" s="134"/>
      <c r="AQ48" s="132"/>
      <c r="AR48" s="133"/>
      <c r="AS48" s="134"/>
      <c r="AT48" s="132"/>
      <c r="AU48" s="133"/>
      <c r="AV48" s="134"/>
      <c r="AW48" s="132"/>
      <c r="AX48" s="133"/>
      <c r="AY48" s="134"/>
      <c r="AZ48" s="135"/>
      <c r="BA48" s="136"/>
      <c r="BB48" s="124" t="s">
        <v>316</v>
      </c>
      <c r="BC48" s="121" t="e">
        <f>ROUNDUP(O48/$BC$13,0)</f>
        <v>#REF!</v>
      </c>
      <c r="BD48" s="121" t="e">
        <f>ROUNDUP(R48/$BD$13,0)</f>
        <v>#REF!</v>
      </c>
      <c r="BE48" s="121" t="e">
        <f>ROUNDUP(U48/$BE$13,0)</f>
        <v>#REF!</v>
      </c>
      <c r="BF48" s="121" t="e">
        <f>ROUNDUP(X48/$BF$13,0)</f>
        <v>#REF!</v>
      </c>
      <c r="BG48" s="121" t="e">
        <f>ROUNDUP(AA48/$BG$13,0)</f>
        <v>#REF!</v>
      </c>
      <c r="BH48" s="121" t="e">
        <f>ROUNDUP(AD48/$BH$13,0)</f>
        <v>#REF!</v>
      </c>
    </row>
    <row r="49" spans="1:61" customHeight="1" ht="20.1" s="113" customFormat="1">
      <c r="A49" s="335"/>
      <c r="B49" s="1211"/>
      <c r="C49" s="124" t="s">
        <v>317</v>
      </c>
      <c r="D49" s="290">
        <v>1011</v>
      </c>
      <c r="E49" s="290">
        <v>9392</v>
      </c>
      <c r="F49" s="292">
        <v>2</v>
      </c>
      <c r="G49" s="292"/>
      <c r="H49" s="280"/>
      <c r="I49" s="255"/>
      <c r="J49" s="126" t="e">
        <f>SUM(J27:J34)</f>
        <v>#REF!</v>
      </c>
      <c r="K49" s="127" t="e">
        <f>SUM(K27:K34)</f>
        <v>#REF!</v>
      </c>
      <c r="L49" s="128" t="e">
        <f>SUM(L27:L34)</f>
        <v>#REF!</v>
      </c>
      <c r="M49" s="126" t="e">
        <f>SUM(M27:M34)</f>
        <v>#REF!</v>
      </c>
      <c r="N49" s="127" t="e">
        <f>SUM(N27:N34)</f>
        <v>#REF!</v>
      </c>
      <c r="O49" s="128" t="e">
        <f>SUM(O27:O34)</f>
        <v>#REF!</v>
      </c>
      <c r="P49" s="126" t="e">
        <f>SUM(P27:P34)</f>
        <v>#REF!</v>
      </c>
      <c r="Q49" s="127" t="e">
        <f>SUM(Q27:Q34)</f>
        <v>#REF!</v>
      </c>
      <c r="R49" s="128" t="e">
        <f>SUM(R27:R34)</f>
        <v>#REF!</v>
      </c>
      <c r="S49" s="126" t="e">
        <f>SUM(S27:S34)</f>
        <v>#REF!</v>
      </c>
      <c r="T49" s="127" t="e">
        <f>SUM(T27:T34)</f>
        <v>#REF!</v>
      </c>
      <c r="U49" s="128" t="e">
        <f>SUM(U27:U34)</f>
        <v>#REF!</v>
      </c>
      <c r="V49" s="126" t="e">
        <f>SUM(V27:V34)</f>
        <v>#REF!</v>
      </c>
      <c r="W49" s="127" t="e">
        <f>SUM(W27:W34)</f>
        <v>#REF!</v>
      </c>
      <c r="X49" s="128" t="e">
        <f>SUM(X27:X34)</f>
        <v>#REF!</v>
      </c>
      <c r="Y49" s="126" t="e">
        <f>SUM(Y27:Y34)</f>
        <v>#REF!</v>
      </c>
      <c r="Z49" s="127" t="e">
        <f>SUM(Z27:Z34)</f>
        <v>#REF!</v>
      </c>
      <c r="AA49" s="128" t="e">
        <f>SUM(AA27:AA34)</f>
        <v>#REF!</v>
      </c>
      <c r="AB49" s="126" t="e">
        <f>SUM(AB27:AB34)</f>
        <v>#REF!</v>
      </c>
      <c r="AC49" s="257" t="e">
        <f>SUM(AC27:AC34)</f>
        <v>#REF!</v>
      </c>
      <c r="AD49" s="128" t="e">
        <f>SUM(AD27:AD34)</f>
        <v>#REF!</v>
      </c>
      <c r="AE49" s="130" t="e">
        <f>SUM(AE27:AE34)</f>
        <v>#REF!</v>
      </c>
      <c r="AF49" s="113">
        <f>AF48+1</f>
        <v>36</v>
      </c>
      <c r="AG49" s="131"/>
      <c r="AH49" s="132"/>
      <c r="AI49" s="133"/>
      <c r="AJ49" s="134"/>
      <c r="AK49" s="132"/>
      <c r="AL49" s="133"/>
      <c r="AM49" s="134"/>
      <c r="AN49" s="132"/>
      <c r="AO49" s="133"/>
      <c r="AP49" s="134"/>
      <c r="AQ49" s="132"/>
      <c r="AR49" s="133"/>
      <c r="AS49" s="134"/>
      <c r="AT49" s="132"/>
      <c r="AU49" s="133"/>
      <c r="AV49" s="134"/>
      <c r="AW49" s="132"/>
      <c r="AX49" s="133"/>
      <c r="AY49" s="134"/>
      <c r="AZ49" s="135"/>
      <c r="BA49" s="136"/>
      <c r="BB49" s="124" t="s">
        <v>318</v>
      </c>
      <c r="BC49" s="121" t="e">
        <f>ROUNDUP(O49/$BC$13,0)</f>
        <v>#REF!</v>
      </c>
      <c r="BD49" s="121" t="e">
        <f>ROUNDUP(R49/$BD$13,0)</f>
        <v>#REF!</v>
      </c>
      <c r="BE49" s="121" t="e">
        <f>ROUNDUP(U49/$BE$13,0)</f>
        <v>#REF!</v>
      </c>
      <c r="BF49" s="121" t="e">
        <f>ROUNDUP(X49/$BF$13,0)</f>
        <v>#REF!</v>
      </c>
      <c r="BG49" s="121" t="e">
        <f>ROUNDUP(AA49/$BG$13,0)</f>
        <v>#REF!</v>
      </c>
      <c r="BH49" s="121" t="e">
        <f>ROUNDUP(AD49/$BH$13,0)</f>
        <v>#REF!</v>
      </c>
    </row>
    <row r="50" spans="1:61" customHeight="1" ht="20.1" s="113" customFormat="1">
      <c r="A50" s="336"/>
      <c r="B50" s="1212"/>
      <c r="C50" s="138" t="s">
        <v>319</v>
      </c>
      <c r="D50" s="290">
        <v>1011</v>
      </c>
      <c r="E50" s="303">
        <v>9393</v>
      </c>
      <c r="F50" s="293">
        <v>2</v>
      </c>
      <c r="G50" s="293"/>
      <c r="H50" s="281"/>
      <c r="I50" s="256"/>
      <c r="J50" s="139" t="e">
        <f>+J49</f>
        <v>#REF!</v>
      </c>
      <c r="K50" s="140" t="e">
        <f>+K49</f>
        <v>#REF!</v>
      </c>
      <c r="L50" s="141" t="e">
        <f>+L49</f>
        <v>#REF!</v>
      </c>
      <c r="M50" s="139" t="e">
        <f>+M49</f>
        <v>#REF!</v>
      </c>
      <c r="N50" s="140" t="e">
        <f>+N49</f>
        <v>#REF!</v>
      </c>
      <c r="O50" s="141" t="e">
        <f>+O49</f>
        <v>#REF!</v>
      </c>
      <c r="P50" s="139" t="e">
        <f>+P49</f>
        <v>#REF!</v>
      </c>
      <c r="Q50" s="140" t="e">
        <f>+Q49</f>
        <v>#REF!</v>
      </c>
      <c r="R50" s="141" t="e">
        <f>+R49</f>
        <v>#REF!</v>
      </c>
      <c r="S50" s="139" t="e">
        <f>+S49</f>
        <v>#REF!</v>
      </c>
      <c r="T50" s="140" t="e">
        <f>+T49</f>
        <v>#REF!</v>
      </c>
      <c r="U50" s="141" t="e">
        <f>+U49</f>
        <v>#REF!</v>
      </c>
      <c r="V50" s="139" t="e">
        <f>+V49</f>
        <v>#REF!</v>
      </c>
      <c r="W50" s="140" t="e">
        <f>+W49</f>
        <v>#REF!</v>
      </c>
      <c r="X50" s="141" t="e">
        <f>+X49</f>
        <v>#REF!</v>
      </c>
      <c r="Y50" s="139" t="e">
        <f>+Y49</f>
        <v>#REF!</v>
      </c>
      <c r="Z50" s="140" t="e">
        <f>+Z49</f>
        <v>#REF!</v>
      </c>
      <c r="AA50" s="141" t="e">
        <f>+AA49</f>
        <v>#REF!</v>
      </c>
      <c r="AB50" s="139" t="e">
        <f>+AB49</f>
        <v>#REF!</v>
      </c>
      <c r="AC50" s="142" t="e">
        <f>+AC49</f>
        <v>#REF!</v>
      </c>
      <c r="AD50" s="141" t="e">
        <f>+AD49</f>
        <v>#REF!</v>
      </c>
      <c r="AE50" s="143" t="e">
        <f>+AE49</f>
        <v>#REF!</v>
      </c>
      <c r="AF50" s="113">
        <f>AF49+1</f>
        <v>37</v>
      </c>
      <c r="AG50" s="131"/>
      <c r="AH50" s="132"/>
      <c r="AI50" s="133"/>
      <c r="AJ50" s="134"/>
      <c r="AK50" s="132"/>
      <c r="AL50" s="133"/>
      <c r="AM50" s="134"/>
      <c r="AN50" s="132"/>
      <c r="AO50" s="133"/>
      <c r="AP50" s="134"/>
      <c r="AQ50" s="132"/>
      <c r="AR50" s="133"/>
      <c r="AS50" s="134"/>
      <c r="AT50" s="132"/>
      <c r="AU50" s="133"/>
      <c r="AV50" s="134"/>
      <c r="AW50" s="132"/>
      <c r="AX50" s="133"/>
      <c r="AY50" s="134"/>
      <c r="AZ50" s="135"/>
      <c r="BA50" s="136"/>
      <c r="BB50" s="138" t="s">
        <v>320</v>
      </c>
      <c r="BC50" s="121" t="e">
        <f>ROUNDUP(O50/$BC$13,0)</f>
        <v>#REF!</v>
      </c>
      <c r="BD50" s="121" t="e">
        <f>ROUNDUP(R50/$BD$13,0)</f>
        <v>#REF!</v>
      </c>
      <c r="BE50" s="121" t="e">
        <f>ROUNDUP(U50/$BE$13,0)</f>
        <v>#REF!</v>
      </c>
      <c r="BF50" s="121" t="e">
        <f>ROUNDUP(X50/$BF$13,0)</f>
        <v>#REF!</v>
      </c>
      <c r="BG50" s="121" t="e">
        <f>ROUNDUP(AA50/$BG$13,0)</f>
        <v>#REF!</v>
      </c>
      <c r="BH50" s="121" t="e">
        <f>ROUNDUP(AD50/$BH$13,0)</f>
        <v>#REF!</v>
      </c>
    </row>
    <row r="51" spans="1:61" customHeight="1" ht="20.1" s="113" customFormat="1">
      <c r="A51" s="330"/>
      <c r="B51" s="1201" t="s">
        <v>321</v>
      </c>
      <c r="C51" s="378" t="s">
        <v>312</v>
      </c>
      <c r="D51" s="379" t="s">
        <v>322</v>
      </c>
      <c r="E51" s="380">
        <v>8251</v>
      </c>
      <c r="F51" s="381">
        <v>2</v>
      </c>
      <c r="G51" s="381"/>
      <c r="H51" s="382"/>
      <c r="I51" s="383"/>
      <c r="J51" s="384" t="e">
        <f>J20+J22+J24+J21+J23+J26</f>
        <v>#REF!</v>
      </c>
      <c r="K51" s="385" t="e">
        <f>K20+K22+K24+K21+K23+K26</f>
        <v>#REF!</v>
      </c>
      <c r="L51" s="386" t="e">
        <f>L20+L22+L24+L21+L23+L26</f>
        <v>#REF!</v>
      </c>
      <c r="M51" s="384" t="e">
        <f>M20+M22+M24+M21+M23+M26</f>
        <v>#REF!</v>
      </c>
      <c r="N51" s="385" t="e">
        <f>N20+N22+N24+N21+N23+N26</f>
        <v>#REF!</v>
      </c>
      <c r="O51" s="386" t="e">
        <f>O20+O22+O24+O21+O23+O26</f>
        <v>#REF!</v>
      </c>
      <c r="P51" s="384" t="e">
        <f>P20+P22+P24+P21+P23+P26</f>
        <v>#REF!</v>
      </c>
      <c r="Q51" s="384" t="e">
        <f>Q20+Q22+Q24+Q21+Q23+Q26</f>
        <v>#REF!</v>
      </c>
      <c r="R51" s="384" t="e">
        <f>R20+R22+R24+R21+R23+R26</f>
        <v>#REF!</v>
      </c>
      <c r="S51" s="384" t="e">
        <f>S20+S22+S24+S21+S23+S26</f>
        <v>#REF!</v>
      </c>
      <c r="T51" s="385" t="e">
        <f>T20+T22+T24+T21+T23+T26</f>
        <v>#REF!</v>
      </c>
      <c r="U51" s="386" t="e">
        <f>U20+U22+U24+U21+U23+U26</f>
        <v>#REF!</v>
      </c>
      <c r="V51" s="384" t="e">
        <f>V20+V22+V24+V21+V23+V26</f>
        <v>#REF!</v>
      </c>
      <c r="W51" s="385" t="e">
        <f>W20+W22+W24+W21+W23+W26</f>
        <v>#REF!</v>
      </c>
      <c r="X51" s="386" t="e">
        <f>X20+X22+X24+X21+X23+X26</f>
        <v>#REF!</v>
      </c>
      <c r="Y51" s="384" t="e">
        <f>Y20+Y22+Y24+Y21+Y23+Y26</f>
        <v>#REF!</v>
      </c>
      <c r="Z51" s="385" t="e">
        <f>Z20+Z22+Z24+Z21+Z23+Z26</f>
        <v>#REF!</v>
      </c>
      <c r="AA51" s="386" t="e">
        <f>AA20+AA22+AA24+AA21+AA23+AA26</f>
        <v>#REF!</v>
      </c>
      <c r="AB51" s="384" t="e">
        <f>AB20+AB22+AB24+AB21+AB23+AB26</f>
        <v>#REF!</v>
      </c>
      <c r="AC51" s="387" t="e">
        <f>AC20+AC22+AC24+AC21+AC23+AC26</f>
        <v>#REF!</v>
      </c>
      <c r="AD51" s="386" t="e">
        <f>AD20+AD22+AD24+AD21+AD23+AD26</f>
        <v>#REF!</v>
      </c>
      <c r="AE51" s="388" t="e">
        <f>AE20+AE22+AE24+AE21+AE23+AE26</f>
        <v>#REF!</v>
      </c>
      <c r="AF51" s="113">
        <f>AF50+1</f>
        <v>38</v>
      </c>
      <c r="AG51" s="131"/>
      <c r="AH51" s="132"/>
      <c r="AI51" s="133"/>
      <c r="AJ51" s="134"/>
      <c r="AK51" s="132"/>
      <c r="AL51" s="133"/>
      <c r="AM51" s="134"/>
      <c r="AN51" s="132"/>
      <c r="AO51" s="133"/>
      <c r="AP51" s="134"/>
      <c r="AQ51" s="132"/>
      <c r="AR51" s="133"/>
      <c r="AS51" s="134"/>
      <c r="AT51" s="132"/>
      <c r="AU51" s="133"/>
      <c r="AV51" s="134"/>
      <c r="AW51" s="132"/>
      <c r="AX51" s="133"/>
      <c r="AY51" s="134"/>
      <c r="AZ51" s="135"/>
      <c r="BA51" s="136"/>
      <c r="BB51" s="105" t="s">
        <v>314</v>
      </c>
      <c r="BC51" s="121" t="e">
        <f>ROUNDUP(O51/$BC$13,0)</f>
        <v>#REF!</v>
      </c>
      <c r="BD51" s="121" t="e">
        <f>ROUNDUP(R51/$BD$13,0)</f>
        <v>#REF!</v>
      </c>
      <c r="BE51" s="121" t="e">
        <f>ROUNDUP(U51/$BE$13,0)</f>
        <v>#REF!</v>
      </c>
      <c r="BF51" s="121" t="e">
        <f>ROUNDUP(X51/$BF$13,0)</f>
        <v>#REF!</v>
      </c>
      <c r="BG51" s="121" t="e">
        <f>ROUNDUP(AA51/$BG$13,0)</f>
        <v>#REF!</v>
      </c>
      <c r="BH51" s="121" t="e">
        <f>ROUNDUP(AD51/$BH$13,0)</f>
        <v>#REF!</v>
      </c>
    </row>
    <row r="52" spans="1:61" customHeight="1" ht="20.1" s="113" customFormat="1">
      <c r="A52" s="330"/>
      <c r="B52" s="1202"/>
      <c r="C52" s="145" t="s">
        <v>315</v>
      </c>
      <c r="D52" s="379" t="s">
        <v>323</v>
      </c>
      <c r="E52" s="379">
        <v>8252</v>
      </c>
      <c r="F52" s="282">
        <v>2</v>
      </c>
      <c r="G52" s="282"/>
      <c r="H52" s="389"/>
      <c r="I52" s="390"/>
      <c r="J52" s="148" t="e">
        <f>+J51</f>
        <v>#REF!</v>
      </c>
      <c r="K52" s="149" t="e">
        <f>+K51</f>
        <v>#REF!</v>
      </c>
      <c r="L52" s="150" t="e">
        <f>+L51</f>
        <v>#REF!</v>
      </c>
      <c r="M52" s="148" t="e">
        <f>+M51</f>
        <v>#REF!</v>
      </c>
      <c r="N52" s="149" t="e">
        <f>+N51</f>
        <v>#REF!</v>
      </c>
      <c r="O52" s="150" t="e">
        <f>+O51</f>
        <v>#REF!</v>
      </c>
      <c r="P52" s="148" t="e">
        <f>+P51</f>
        <v>#REF!</v>
      </c>
      <c r="Q52" s="149" t="e">
        <f>+Q51</f>
        <v>#REF!</v>
      </c>
      <c r="R52" s="150" t="e">
        <f>+R51</f>
        <v>#REF!</v>
      </c>
      <c r="S52" s="148" t="e">
        <f>+S51</f>
        <v>#REF!</v>
      </c>
      <c r="T52" s="149" t="e">
        <f>+T51</f>
        <v>#REF!</v>
      </c>
      <c r="U52" s="150" t="e">
        <f>+U51</f>
        <v>#REF!</v>
      </c>
      <c r="V52" s="148" t="e">
        <f>+V51</f>
        <v>#REF!</v>
      </c>
      <c r="W52" s="149" t="e">
        <f>+W51</f>
        <v>#REF!</v>
      </c>
      <c r="X52" s="150" t="e">
        <f>+X51</f>
        <v>#REF!</v>
      </c>
      <c r="Y52" s="148" t="e">
        <f>+Y51</f>
        <v>#REF!</v>
      </c>
      <c r="Z52" s="149" t="e">
        <f>+Z51</f>
        <v>#REF!</v>
      </c>
      <c r="AA52" s="150" t="e">
        <f>+AA51</f>
        <v>#REF!</v>
      </c>
      <c r="AB52" s="148" t="e">
        <f>+AB51</f>
        <v>#REF!</v>
      </c>
      <c r="AC52" s="170" t="e">
        <f>+AC51</f>
        <v>#REF!</v>
      </c>
      <c r="AD52" s="150" t="e">
        <f>+AD51</f>
        <v>#REF!</v>
      </c>
      <c r="AE52" s="151" t="e">
        <f>+AE51</f>
        <v>#REF!</v>
      </c>
      <c r="AF52" s="113">
        <f>AF51+1</f>
        <v>39</v>
      </c>
      <c r="AG52" s="131"/>
      <c r="AH52" s="132"/>
      <c r="AI52" s="133"/>
      <c r="AJ52" s="134"/>
      <c r="AK52" s="132"/>
      <c r="AL52" s="133"/>
      <c r="AM52" s="134"/>
      <c r="AN52" s="132"/>
      <c r="AO52" s="133"/>
      <c r="AP52" s="134"/>
      <c r="AQ52" s="132"/>
      <c r="AR52" s="133"/>
      <c r="AS52" s="134"/>
      <c r="AT52" s="132"/>
      <c r="AU52" s="133"/>
      <c r="AV52" s="134"/>
      <c r="AW52" s="132"/>
      <c r="AX52" s="133"/>
      <c r="AY52" s="134"/>
      <c r="AZ52" s="135"/>
      <c r="BA52" s="136"/>
      <c r="BB52" s="124" t="s">
        <v>316</v>
      </c>
      <c r="BC52" s="121" t="e">
        <f>ROUNDUP(O52/$BC$13,0)</f>
        <v>#REF!</v>
      </c>
      <c r="BD52" s="121" t="e">
        <f>ROUNDUP(R52/$BD$13,0)</f>
        <v>#REF!</v>
      </c>
      <c r="BE52" s="121" t="e">
        <f>ROUNDUP(U52/$BE$13,0)</f>
        <v>#REF!</v>
      </c>
      <c r="BF52" s="121" t="e">
        <f>ROUNDUP(X52/$BF$13,0)</f>
        <v>#REF!</v>
      </c>
      <c r="BG52" s="121" t="e">
        <f>ROUNDUP(AA52/$BG$13,0)</f>
        <v>#REF!</v>
      </c>
      <c r="BH52" s="121" t="e">
        <f>ROUNDUP(AD52/$BH$13,0)</f>
        <v>#REF!</v>
      </c>
    </row>
    <row r="53" spans="1:61" customHeight="1" ht="20.1" s="113" customFormat="1">
      <c r="A53" s="330"/>
      <c r="B53" s="1202"/>
      <c r="C53" s="145" t="s">
        <v>317</v>
      </c>
      <c r="D53" s="379" t="s">
        <v>324</v>
      </c>
      <c r="E53" s="379">
        <v>9392</v>
      </c>
      <c r="F53" s="282">
        <v>2</v>
      </c>
      <c r="G53" s="282"/>
      <c r="H53" s="389"/>
      <c r="I53" s="390"/>
      <c r="J53" s="148" t="e">
        <f>SUM(J35:J46)</f>
        <v>#REF!</v>
      </c>
      <c r="K53" s="149" t="e">
        <f>SUM(K35:K46)</f>
        <v>#REF!</v>
      </c>
      <c r="L53" s="150" t="e">
        <f>SUM(L35:L46)</f>
        <v>#REF!</v>
      </c>
      <c r="M53" s="148" t="e">
        <f>SUM(M35:M46)</f>
        <v>#REF!</v>
      </c>
      <c r="N53" s="149" t="e">
        <f>SUM(N35:N46)</f>
        <v>#REF!</v>
      </c>
      <c r="O53" s="150" t="e">
        <f>SUM(O35:O46)</f>
        <v>#REF!</v>
      </c>
      <c r="P53" s="148" t="e">
        <f>SUM(P35:P46)</f>
        <v>#REF!</v>
      </c>
      <c r="Q53" s="149" t="e">
        <f>SUM(Q35:Q46)</f>
        <v>#REF!</v>
      </c>
      <c r="R53" s="150" t="e">
        <f>SUM(R35:R46)</f>
        <v>#REF!</v>
      </c>
      <c r="S53" s="148" t="e">
        <f>SUM(S35:S46)</f>
        <v>#REF!</v>
      </c>
      <c r="T53" s="149" t="e">
        <f>SUM(T35:T46)</f>
        <v>#REF!</v>
      </c>
      <c r="U53" s="150" t="e">
        <f>SUM(U35:U46)</f>
        <v>#REF!</v>
      </c>
      <c r="V53" s="148" t="e">
        <f>SUM(V35:V46)</f>
        <v>#REF!</v>
      </c>
      <c r="W53" s="149" t="e">
        <f>SUM(W35:W46)</f>
        <v>#REF!</v>
      </c>
      <c r="X53" s="150" t="e">
        <f>SUM(X35:X46)</f>
        <v>#REF!</v>
      </c>
      <c r="Y53" s="148" t="e">
        <f>SUM(Y35:Y46)</f>
        <v>#REF!</v>
      </c>
      <c r="Z53" s="149" t="e">
        <f>SUM(Z35:Z46)</f>
        <v>#REF!</v>
      </c>
      <c r="AA53" s="150" t="e">
        <f>SUM(AA35:AA46)</f>
        <v>#REF!</v>
      </c>
      <c r="AB53" s="148" t="e">
        <f>SUM(AB35:AB46)</f>
        <v>#REF!</v>
      </c>
      <c r="AC53" s="170" t="e">
        <f>SUM(AC35:AC46)</f>
        <v>#REF!</v>
      </c>
      <c r="AD53" s="150" t="e">
        <f>SUM(AD35:AD46)</f>
        <v>#REF!</v>
      </c>
      <c r="AE53" s="151" t="e">
        <f>SUM(AE35:AE46)</f>
        <v>#REF!</v>
      </c>
      <c r="AF53" s="113">
        <f>AF52+1</f>
        <v>40</v>
      </c>
      <c r="AG53" s="131"/>
      <c r="AH53" s="132"/>
      <c r="AI53" s="133"/>
      <c r="AJ53" s="134"/>
      <c r="AK53" s="132"/>
      <c r="AL53" s="133"/>
      <c r="AM53" s="134"/>
      <c r="AN53" s="132"/>
      <c r="AO53" s="133"/>
      <c r="AP53" s="134"/>
      <c r="AQ53" s="132"/>
      <c r="AR53" s="133"/>
      <c r="AS53" s="134"/>
      <c r="AT53" s="132"/>
      <c r="AU53" s="133"/>
      <c r="AV53" s="134"/>
      <c r="AW53" s="132"/>
      <c r="AX53" s="133"/>
      <c r="AY53" s="134"/>
      <c r="AZ53" s="135"/>
      <c r="BA53" s="136"/>
      <c r="BB53" s="124" t="s">
        <v>318</v>
      </c>
      <c r="BC53" s="121" t="e">
        <f>ROUNDUP(O53/$BC$13,0)</f>
        <v>#REF!</v>
      </c>
      <c r="BD53" s="121" t="e">
        <f>ROUNDUP(R53/$BD$13,0)</f>
        <v>#REF!</v>
      </c>
      <c r="BE53" s="121" t="e">
        <f>ROUNDUP(U53/$BE$13,0)</f>
        <v>#REF!</v>
      </c>
      <c r="BF53" s="121" t="e">
        <f>ROUNDUP(X53/$BF$13,0)</f>
        <v>#REF!</v>
      </c>
      <c r="BG53" s="121" t="e">
        <f>ROUNDUP(AA53/$BG$13,0)</f>
        <v>#REF!</v>
      </c>
      <c r="BH53" s="121" t="e">
        <f>ROUNDUP(AD53/$BH$13,0)</f>
        <v>#REF!</v>
      </c>
    </row>
    <row r="54" spans="1:61" customHeight="1" ht="20.1" s="113" customFormat="1">
      <c r="A54" s="330"/>
      <c r="B54" s="1203"/>
      <c r="C54" s="391" t="s">
        <v>319</v>
      </c>
      <c r="D54" s="379" t="s">
        <v>324</v>
      </c>
      <c r="E54" s="392">
        <v>9393</v>
      </c>
      <c r="F54" s="393">
        <v>2</v>
      </c>
      <c r="G54" s="393"/>
      <c r="H54" s="394"/>
      <c r="I54" s="395"/>
      <c r="J54" s="396" t="e">
        <f>+J53</f>
        <v>#REF!</v>
      </c>
      <c r="K54" s="397" t="e">
        <f>+K53</f>
        <v>#REF!</v>
      </c>
      <c r="L54" s="398" t="e">
        <f>+L53</f>
        <v>#REF!</v>
      </c>
      <c r="M54" s="396" t="e">
        <f>+M53</f>
        <v>#REF!</v>
      </c>
      <c r="N54" s="397" t="e">
        <f>+N53</f>
        <v>#REF!</v>
      </c>
      <c r="O54" s="398" t="e">
        <f>+O53</f>
        <v>#REF!</v>
      </c>
      <c r="P54" s="396" t="e">
        <f>+P53</f>
        <v>#REF!</v>
      </c>
      <c r="Q54" s="397" t="e">
        <f>+Q53</f>
        <v>#REF!</v>
      </c>
      <c r="R54" s="398" t="e">
        <f>+R53</f>
        <v>#REF!</v>
      </c>
      <c r="S54" s="396" t="e">
        <f>+S53</f>
        <v>#REF!</v>
      </c>
      <c r="T54" s="397" t="e">
        <f>+T53</f>
        <v>#REF!</v>
      </c>
      <c r="U54" s="398" t="e">
        <f>+U53</f>
        <v>#REF!</v>
      </c>
      <c r="V54" s="396" t="e">
        <f>+V53</f>
        <v>#REF!</v>
      </c>
      <c r="W54" s="397" t="e">
        <f>+W53</f>
        <v>#REF!</v>
      </c>
      <c r="X54" s="398" t="e">
        <f>+X53</f>
        <v>#REF!</v>
      </c>
      <c r="Y54" s="396" t="e">
        <f>+Y53</f>
        <v>#REF!</v>
      </c>
      <c r="Z54" s="397" t="e">
        <f>+Z53</f>
        <v>#REF!</v>
      </c>
      <c r="AA54" s="398" t="e">
        <f>+AA53</f>
        <v>#REF!</v>
      </c>
      <c r="AB54" s="396" t="e">
        <f>+AB53</f>
        <v>#REF!</v>
      </c>
      <c r="AC54" s="399" t="e">
        <f>+AC53</f>
        <v>#REF!</v>
      </c>
      <c r="AD54" s="398" t="e">
        <f>+AD53</f>
        <v>#REF!</v>
      </c>
      <c r="AE54" s="400" t="e">
        <f>+AE53</f>
        <v>#REF!</v>
      </c>
      <c r="AF54" s="113">
        <f>AF53+1</f>
        <v>41</v>
      </c>
      <c r="AG54" s="131"/>
      <c r="AH54" s="132"/>
      <c r="AI54" s="133"/>
      <c r="AJ54" s="134"/>
      <c r="AK54" s="132"/>
      <c r="AL54" s="133"/>
      <c r="AM54" s="134"/>
      <c r="AN54" s="132"/>
      <c r="AO54" s="133"/>
      <c r="AP54" s="134"/>
      <c r="AQ54" s="132"/>
      <c r="AR54" s="133"/>
      <c r="AS54" s="134"/>
      <c r="AT54" s="132"/>
      <c r="AU54" s="133"/>
      <c r="AV54" s="134"/>
      <c r="AW54" s="132"/>
      <c r="AX54" s="133"/>
      <c r="AY54" s="134"/>
      <c r="AZ54" s="135"/>
      <c r="BA54" s="136"/>
      <c r="BB54" s="138" t="s">
        <v>320</v>
      </c>
      <c r="BC54" s="121" t="e">
        <f>ROUNDUP(O54/$BC$13,0)</f>
        <v>#REF!</v>
      </c>
      <c r="BD54" s="121" t="e">
        <f>ROUNDUP(R54/$BD$13,0)</f>
        <v>#REF!</v>
      </c>
      <c r="BE54" s="121" t="e">
        <f>ROUNDUP(U54/$BE$13,0)</f>
        <v>#REF!</v>
      </c>
      <c r="BF54" s="121" t="e">
        <f>ROUNDUP(X54/$BF$13,0)</f>
        <v>#REF!</v>
      </c>
      <c r="BG54" s="121" t="e">
        <f>ROUNDUP(AA54/$BG$13,0)</f>
        <v>#REF!</v>
      </c>
      <c r="BH54" s="121" t="e">
        <f>ROUNDUP(AD54/$BH$13,0)</f>
        <v>#REF!</v>
      </c>
    </row>
    <row r="55" spans="1:61" customHeight="1" ht="20.1">
      <c r="B55" s="1204" t="s">
        <v>219</v>
      </c>
      <c r="C55" s="1205"/>
      <c r="D55" s="1205"/>
      <c r="E55" s="1205"/>
      <c r="F55" s="1205"/>
      <c r="G55" s="1205"/>
      <c r="H55" s="1205"/>
      <c r="I55" s="1206"/>
      <c r="J55" s="23" t="e">
        <f>SUM(J21:J46)</f>
        <v>#REF!</v>
      </c>
      <c r="K55" s="23" t="e">
        <f>SUM(K21:K46)</f>
        <v>#REF!</v>
      </c>
      <c r="L55" s="23" t="e">
        <f>SUM(L21:L46)</f>
        <v>#REF!</v>
      </c>
      <c r="M55" s="23" t="e">
        <f>SUM(M21:M46)</f>
        <v>#REF!</v>
      </c>
      <c r="N55" s="23" t="e">
        <f>SUM(N21:N46)</f>
        <v>#REF!</v>
      </c>
      <c r="O55" s="23" t="e">
        <f>SUM(O21:O46)</f>
        <v>#REF!</v>
      </c>
      <c r="P55" s="23" t="e">
        <f>SUM(P21:P46)</f>
        <v>#REF!</v>
      </c>
      <c r="Q55" s="23" t="e">
        <f>SUM(Q21:Q46)</f>
        <v>#REF!</v>
      </c>
      <c r="R55" s="23" t="e">
        <f>SUM(R21:R46)</f>
        <v>#REF!</v>
      </c>
      <c r="S55" s="23" t="e">
        <f>SUM(S21:S46)</f>
        <v>#REF!</v>
      </c>
      <c r="T55" s="23" t="e">
        <f>SUM(T21:T46)</f>
        <v>#REF!</v>
      </c>
      <c r="U55" s="23" t="e">
        <f>SUM(U21:U46)</f>
        <v>#REF!</v>
      </c>
      <c r="V55" s="23" t="e">
        <f>SUM(V21:V46)</f>
        <v>#REF!</v>
      </c>
      <c r="W55" s="23" t="e">
        <f>SUM(W21:W46)</f>
        <v>#REF!</v>
      </c>
      <c r="X55" s="23" t="e">
        <f>SUM(X21:X46)</f>
        <v>#REF!</v>
      </c>
      <c r="Y55" s="23" t="e">
        <f>SUM(Y21:Y46)</f>
        <v>#REF!</v>
      </c>
      <c r="Z55" s="23" t="e">
        <f>SUM(Z21:Z46)</f>
        <v>#REF!</v>
      </c>
      <c r="AA55" s="23" t="e">
        <f>SUM(AA21:AA46)</f>
        <v>#REF!</v>
      </c>
      <c r="AB55" s="23" t="e">
        <f>SUM(AB21:AB46)</f>
        <v>#REF!</v>
      </c>
      <c r="AC55" s="23" t="e">
        <f>SUM(AC21:AC46)</f>
        <v>#REF!</v>
      </c>
      <c r="AD55" s="23" t="e">
        <f>SUM(AD21:AD46)</f>
        <v>#REF!</v>
      </c>
      <c r="AE55" s="27" t="e">
        <f>SUM(AE14:AE34)</f>
        <v>#REF!</v>
      </c>
      <c r="AG55" s="92" t="e">
        <f>SUM(AG25:AG28)</f>
        <v>#REF!</v>
      </c>
      <c r="AH55" s="93" t="e">
        <f>SUM(AH25:AH28)</f>
        <v>#REF!</v>
      </c>
      <c r="AI55" s="94" t="e">
        <f>SUM(AI25:AI28)</f>
        <v>#REF!</v>
      </c>
      <c r="AJ55" s="95" t="e">
        <f>SUM(AJ25:AJ28)</f>
        <v>#REF!</v>
      </c>
      <c r="AK55" s="93" t="e">
        <f>SUM(AK25:AK28)</f>
        <v>#REF!</v>
      </c>
      <c r="AL55" s="94" t="e">
        <f>SUM(AL25:AL28)</f>
        <v>#REF!</v>
      </c>
      <c r="AM55" s="92" t="e">
        <f>SUM(AM25:AM28)</f>
        <v>#REF!</v>
      </c>
      <c r="AN55" s="93" t="e">
        <f>SUM(AN25:AN28)</f>
        <v>#REF!</v>
      </c>
      <c r="AO55" s="94" t="e">
        <f>SUM(AO25:AO28)</f>
        <v>#REF!</v>
      </c>
      <c r="AP55" s="92" t="e">
        <f>SUM(AP25:AP28)</f>
        <v>#REF!</v>
      </c>
      <c r="AQ55" s="93" t="e">
        <f>SUM(AQ25:AQ28)</f>
        <v>#REF!</v>
      </c>
      <c r="AR55" s="94" t="e">
        <f>SUM(AR25:AR28)</f>
        <v>#REF!</v>
      </c>
      <c r="AS55" s="92" t="e">
        <f>SUM(AS25:AS28)</f>
        <v>#REF!</v>
      </c>
      <c r="AT55" s="93" t="e">
        <f>SUM(AT25:AT28)</f>
        <v>#REF!</v>
      </c>
      <c r="AU55" s="94" t="e">
        <f>SUM(AU25:AU28)</f>
        <v>#REF!</v>
      </c>
      <c r="AV55" s="92" t="e">
        <f>SUM(AV25:AV28)</f>
        <v>#REF!</v>
      </c>
      <c r="AW55" s="93" t="e">
        <f>SUM(AW25:AW28)</f>
        <v>#REF!</v>
      </c>
      <c r="AX55" s="94" t="e">
        <f>SUM(AX25:AX28)</f>
        <v>#REF!</v>
      </c>
      <c r="AY55" s="92" t="e">
        <f>SUM(AY25:AY28)</f>
        <v>#REF!</v>
      </c>
      <c r="AZ55" s="93" t="e">
        <f>SUM(AZ25:AZ28)</f>
        <v>#REF!</v>
      </c>
      <c r="BA55" s="94" t="e">
        <f>SUM(BA25:BA28)</f>
        <v>#REF!</v>
      </c>
      <c r="BB55" s="1" t="s">
        <v>325</v>
      </c>
      <c r="BC55" s="101" t="e">
        <f>ROUNDUP(O55/$BC$13,0)</f>
        <v>#REF!</v>
      </c>
      <c r="BD55" s="101" t="e">
        <f>ROUNDUP(R55/$BD$13,0)</f>
        <v>#REF!</v>
      </c>
      <c r="BE55" s="101" t="e">
        <f>ROUNDUP(U55/$BE$13,0)</f>
        <v>#REF!</v>
      </c>
      <c r="BF55" s="101" t="e">
        <f>ROUNDUP(X55/$BF$13,0)</f>
        <v>#REF!</v>
      </c>
      <c r="BG55" s="101" t="e">
        <f>ROUNDUP(AA55/$BG$13,0)</f>
        <v>#REF!</v>
      </c>
      <c r="BH55" s="101" t="e">
        <f>ROUNDUP(AD55/$BH$13,0)</f>
        <v>#REF!</v>
      </c>
    </row>
    <row r="56" spans="1:61" customHeight="1" ht="20.1">
      <c r="B56" s="1207" t="s">
        <v>220</v>
      </c>
      <c r="C56" s="1208"/>
      <c r="D56" s="1208"/>
      <c r="E56" s="1208"/>
      <c r="F56" s="1208"/>
      <c r="G56" s="1208"/>
      <c r="H56" s="1208"/>
      <c r="I56" s="1209"/>
      <c r="J56" s="1196" t="str">
        <f>J11</f>
        <v>FEB</v>
      </c>
      <c r="K56" s="1197"/>
      <c r="L56" s="1198"/>
      <c r="M56" s="1196" t="str">
        <f>M11</f>
        <v>MAR</v>
      </c>
      <c r="N56" s="1197"/>
      <c r="O56" s="1198"/>
      <c r="P56" s="1196" t="str">
        <f>P11</f>
        <v>APR</v>
      </c>
      <c r="Q56" s="1197"/>
      <c r="R56" s="1198"/>
      <c r="S56" s="1196" t="str">
        <f>S11</f>
        <v>MAY</v>
      </c>
      <c r="T56" s="1197"/>
      <c r="U56" s="1198"/>
      <c r="V56" s="1196" t="str">
        <f>V11</f>
        <v>JUN</v>
      </c>
      <c r="W56" s="1197"/>
      <c r="X56" s="1198"/>
      <c r="Y56" s="1196" t="str">
        <f>Y11</f>
        <v>JUL</v>
      </c>
      <c r="Z56" s="1197"/>
      <c r="AA56" s="1198"/>
      <c r="AB56" s="1196" t="str">
        <f>AB11</f>
        <v>FEB</v>
      </c>
      <c r="AC56" s="1197"/>
      <c r="AD56" s="1198"/>
      <c r="AE56" s="2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C56" s="258" t="e">
        <f>SUM(BC14:BC54)</f>
        <v>#REF!</v>
      </c>
      <c r="BD56" s="258" t="e">
        <f>SUM(BD14:BD54)</f>
        <v>#REF!</v>
      </c>
      <c r="BE56" s="258" t="e">
        <f>SUM(BE14:BE54)</f>
        <v>#REF!</v>
      </c>
      <c r="BF56" s="258" t="e">
        <f>SUM(BF14:BF54)</f>
        <v>#REF!</v>
      </c>
      <c r="BG56" s="258" t="e">
        <f>SUM(BG14:BG54)</f>
        <v>#REF!</v>
      </c>
      <c r="BH56" s="258" t="e">
        <f>SUM(BH14:BH54)</f>
        <v>#REF!</v>
      </c>
    </row>
    <row r="57" spans="1:61" customHeight="1" ht="20.1">
      <c r="B57" s="1234" t="s">
        <v>326</v>
      </c>
      <c r="C57" s="1235"/>
      <c r="D57" s="1235"/>
      <c r="E57" s="1235"/>
      <c r="F57" s="1235"/>
      <c r="G57" s="1235"/>
      <c r="H57" s="1235"/>
      <c r="I57" s="1236"/>
      <c r="J57" s="1237" t="e">
        <f>VLOOKUP(J56,#REF!,2,0)</f>
        <v>#REF!</v>
      </c>
      <c r="K57" s="1237"/>
      <c r="L57" s="1237"/>
      <c r="M57" s="1237" t="e">
        <f>VLOOKUP(M56,#REF!,2,0)</f>
        <v>#REF!</v>
      </c>
      <c r="N57" s="1237"/>
      <c r="O57" s="1237"/>
      <c r="P57" s="1237" t="e">
        <f>VLOOKUP(P56,#REF!,2,0)</f>
        <v>#REF!</v>
      </c>
      <c r="Q57" s="1237"/>
      <c r="R57" s="1237"/>
      <c r="S57" s="1237" t="e">
        <f>VLOOKUP(S56,#REF!,2,0)</f>
        <v>#REF!</v>
      </c>
      <c r="T57" s="1237"/>
      <c r="U57" s="1237"/>
      <c r="V57" s="1237" t="e">
        <f>VLOOKUP(V56,#REF!,2,0)</f>
        <v>#REF!</v>
      </c>
      <c r="W57" s="1237"/>
      <c r="X57" s="1237"/>
      <c r="Y57" s="1237" t="e">
        <f>VLOOKUP(Y56,#REF!,2,0)</f>
        <v>#REF!</v>
      </c>
      <c r="Z57" s="1237"/>
      <c r="AA57" s="1237"/>
      <c r="AB57" s="1237" t="e">
        <f>VLOOKUP(AB56,#REF!,2,0)</f>
        <v>#REF!</v>
      </c>
      <c r="AC57" s="1237"/>
      <c r="AD57" s="1237"/>
      <c r="AE57" s="2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61" customHeight="1" ht="20.1">
      <c r="B58" s="1241" t="s">
        <v>222</v>
      </c>
      <c r="C58" s="1242"/>
      <c r="D58" s="1242"/>
      <c r="E58" s="1242"/>
      <c r="F58" s="1242"/>
      <c r="G58" s="1242"/>
      <c r="H58" s="1242"/>
      <c r="I58" s="1243"/>
      <c r="J58" s="1238" t="e">
        <f>VLOOKUP(J56,#REF!,3,0)</f>
        <v>#REF!</v>
      </c>
      <c r="K58" s="1239"/>
      <c r="L58" s="1240"/>
      <c r="M58" s="1238" t="e">
        <f>VLOOKUP(M56,#REF!,3,0)</f>
        <v>#REF!</v>
      </c>
      <c r="N58" s="1239"/>
      <c r="O58" s="1240"/>
      <c r="P58" s="1238" t="e">
        <f>VLOOKUP(P56,#REF!,3,0)</f>
        <v>#REF!</v>
      </c>
      <c r="Q58" s="1239"/>
      <c r="R58" s="1240"/>
      <c r="S58" s="1238" t="e">
        <f>VLOOKUP(S56,#REF!,3,0)</f>
        <v>#REF!</v>
      </c>
      <c r="T58" s="1239"/>
      <c r="U58" s="1240"/>
      <c r="V58" s="1238" t="e">
        <f>VLOOKUP(V56,#REF!,3,0)</f>
        <v>#REF!</v>
      </c>
      <c r="W58" s="1239"/>
      <c r="X58" s="1240"/>
      <c r="Y58" s="1238" t="e">
        <f>VLOOKUP(Y56,#REF!,3,0)</f>
        <v>#REF!</v>
      </c>
      <c r="Z58" s="1239"/>
      <c r="AA58" s="1240"/>
      <c r="AB58" s="1238" t="e">
        <f>VLOOKUP(AB56,#REF!,3,0)</f>
        <v>#REF!</v>
      </c>
      <c r="AC58" s="1239"/>
      <c r="AD58" s="1240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61" customHeight="1" ht="20.1">
      <c r="B59" s="2"/>
      <c r="C59" s="28"/>
      <c r="D59" s="28"/>
      <c r="E59" s="28"/>
      <c r="F59" s="28"/>
      <c r="G59" s="28"/>
      <c r="H59" s="28"/>
      <c r="I59" s="28"/>
      <c r="J59" s="29"/>
      <c r="K59" s="29"/>
      <c r="L59" s="29"/>
      <c r="M59" s="29"/>
      <c r="P59" s="29"/>
      <c r="Q59" s="29"/>
      <c r="R59" s="29"/>
      <c r="S59" s="29"/>
      <c r="V59" s="2"/>
      <c r="W59" s="2"/>
      <c r="X59" s="2"/>
      <c r="Y59" s="2"/>
      <c r="Z59" s="2"/>
      <c r="AA59" s="2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61" customHeight="1" ht="20.1">
      <c r="B60" s="30" t="s">
        <v>234</v>
      </c>
      <c r="C60" s="31"/>
      <c r="D60" s="31"/>
      <c r="E60" s="31"/>
      <c r="F60" s="31"/>
      <c r="G60" s="31"/>
      <c r="H60" s="31"/>
      <c r="I60" s="31"/>
      <c r="J60" s="32"/>
      <c r="K60" s="33"/>
      <c r="L60" s="34"/>
      <c r="M60" s="32"/>
      <c r="N60" s="316" t="e">
        <f>(N55-#REF!)/N55</f>
        <v>#REF!</v>
      </c>
      <c r="P60" s="102"/>
      <c r="Q60" s="316" t="e">
        <f>(Q55-#REF!)/Q55</f>
        <v>#REF!</v>
      </c>
      <c r="R60" s="316"/>
      <c r="S60" s="316"/>
      <c r="T60" s="316" t="e">
        <f>(T55-#REF!)/T55</f>
        <v>#REF!</v>
      </c>
      <c r="U60" s="316"/>
      <c r="V60" s="316"/>
      <c r="W60" s="316" t="e">
        <f>(W55-#REF!)/W55</f>
        <v>#REF!</v>
      </c>
      <c r="X60" s="316"/>
      <c r="Y60" s="316"/>
      <c r="Z60" s="316" t="e">
        <f>(Z55-#REF!)/Z55</f>
        <v>#REF!</v>
      </c>
      <c r="AA60" s="316"/>
      <c r="AB60" s="317"/>
      <c r="AC60" s="317" t="e">
        <f>(AC55-#REF!)/AC55</f>
        <v>#REF!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61" customHeight="1" ht="20.1">
      <c r="B61" s="30"/>
      <c r="C61" s="31"/>
      <c r="D61" s="31"/>
      <c r="E61" s="31"/>
      <c r="F61" s="31"/>
      <c r="G61" s="31"/>
      <c r="H61" s="31"/>
      <c r="I61" s="31"/>
      <c r="J61" s="32"/>
      <c r="K61" s="33"/>
      <c r="L61" s="34"/>
      <c r="M61" s="32"/>
      <c r="N61" s="35"/>
      <c r="P61" s="32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61" customHeight="1" ht="20.1">
      <c r="B62" s="30"/>
      <c r="C62" s="31"/>
      <c r="D62" s="31"/>
      <c r="E62" s="31"/>
      <c r="F62" s="31"/>
      <c r="G62" s="31"/>
      <c r="H62" s="31"/>
      <c r="I62" s="31"/>
      <c r="J62" s="32"/>
      <c r="K62" s="33"/>
      <c r="L62" s="34"/>
      <c r="M62" s="32"/>
      <c r="N62" s="35"/>
      <c r="P62" s="32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61" customHeight="1" ht="20.1">
      <c r="B63" s="30"/>
      <c r="C63" s="31"/>
      <c r="D63" s="31"/>
      <c r="E63" s="31"/>
      <c r="F63" s="31"/>
      <c r="G63" s="31"/>
      <c r="H63" s="31"/>
      <c r="I63" s="31"/>
      <c r="J63" s="32"/>
      <c r="K63" s="33"/>
      <c r="L63" s="34"/>
      <c r="M63" s="32"/>
      <c r="N63" s="35"/>
      <c r="P63" s="32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61" customHeight="1" ht="17.25">
      <c r="B64" s="1181" t="s">
        <v>227</v>
      </c>
      <c r="C64" s="1181"/>
      <c r="D64" s="1181"/>
      <c r="E64" s="1181"/>
      <c r="F64" s="1181"/>
      <c r="G64" s="1181"/>
      <c r="H64" s="1181"/>
      <c r="I64" s="1181"/>
      <c r="J64" s="1181"/>
      <c r="K64" s="1181"/>
      <c r="L64" s="1181"/>
      <c r="M64" s="1181"/>
      <c r="N64" s="1181"/>
      <c r="O64" s="1181"/>
      <c r="P64" s="1181"/>
      <c r="Q64" s="1181"/>
      <c r="R64" s="1181"/>
      <c r="S64" s="1181"/>
      <c r="T64" s="1181"/>
      <c r="U64" s="1181"/>
      <c r="V64" s="1181"/>
      <c r="W64" s="1181"/>
      <c r="X64" s="1181"/>
      <c r="Y64" s="1181"/>
      <c r="Z64" s="1181"/>
      <c r="AA64" s="1181"/>
      <c r="AB64" s="1181"/>
      <c r="AC64" s="1181"/>
      <c r="AD64" s="1181"/>
      <c r="AE64" s="118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61" customHeight="1" ht="18.75">
      <c r="B65" s="2"/>
      <c r="C65" s="2"/>
      <c r="D65" s="2"/>
      <c r="E65" s="2"/>
      <c r="F65" s="74"/>
      <c r="G65" s="74"/>
      <c r="K65" s="75"/>
      <c r="L65" s="75"/>
      <c r="M65" s="1142" t="str">
        <f>L2</f>
        <v>TOYOTA PRIUS (433W )</v>
      </c>
      <c r="N65" s="1142"/>
      <c r="O65" s="1142"/>
      <c r="P65" s="1142"/>
      <c r="Q65" s="1142"/>
      <c r="R65" s="1142"/>
      <c r="S65" s="75"/>
      <c r="T65" s="75"/>
      <c r="U65" s="75"/>
      <c r="V65" s="75"/>
      <c r="W65" s="71"/>
      <c r="X65" s="70"/>
      <c r="Y65" s="70"/>
      <c r="Z65" s="70"/>
      <c r="AA65" s="70"/>
      <c r="AB65" s="1183"/>
      <c r="AC65" s="1183"/>
      <c r="AD65" s="1183"/>
      <c r="AE65" s="1183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61" customHeight="1" ht="17.25">
      <c r="B66" s="2" t="str">
        <f>B3</f>
        <v>S/R NO   : 14-DEC-'10(PRD_52023_32G7_201101_3)</v>
      </c>
      <c r="C66" s="74"/>
      <c r="D66" s="74"/>
      <c r="E66" s="74"/>
      <c r="F66" s="74"/>
      <c r="G66" s="74"/>
      <c r="H66" s="74"/>
      <c r="I66" s="74"/>
      <c r="K66" s="76"/>
      <c r="L66" s="76"/>
      <c r="M66" s="1244" t="str">
        <f>M3</f>
        <v>Periode : DEC PROD  2010 (ACTUAL)</v>
      </c>
      <c r="N66" s="1244"/>
      <c r="O66" s="1244"/>
      <c r="P66" s="1244"/>
      <c r="Q66" s="1244"/>
      <c r="R66" s="1244"/>
      <c r="S66" s="76"/>
      <c r="T66" s="76"/>
      <c r="U66" s="76"/>
      <c r="V66" s="76"/>
      <c r="W66" s="71"/>
      <c r="X66" s="70"/>
      <c r="Y66" s="70"/>
      <c r="Z66" s="70"/>
      <c r="AA66" s="70"/>
      <c r="AB66" s="71"/>
      <c r="AC66" s="71"/>
      <c r="AD66" s="72"/>
      <c r="AE66" s="69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61" customHeight="1" ht="14.1">
      <c r="B67" s="2" t="str">
        <f>B4</f>
        <v>FAX NO   : EMAIL</v>
      </c>
      <c r="C67" s="2"/>
      <c r="D67" s="2"/>
      <c r="E67" s="2"/>
      <c r="F67" s="2"/>
      <c r="G67" s="2"/>
      <c r="K67" s="8"/>
      <c r="P67" s="7"/>
      <c r="S67" s="7"/>
      <c r="V67" s="2"/>
      <c r="W67" s="2"/>
      <c r="AB67" s="4"/>
      <c r="AC67" s="4"/>
      <c r="AD67" s="7"/>
      <c r="AE67" s="2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61" customHeight="1" ht="12.75">
      <c r="B68" s="2" t="str">
        <f>B5</f>
        <v>DATE       :14-DEC-10</v>
      </c>
      <c r="C68" s="2"/>
      <c r="D68" s="2"/>
      <c r="E68" s="2"/>
      <c r="F68" s="2"/>
      <c r="G68" s="2"/>
      <c r="P68" s="7"/>
      <c r="S68" s="7"/>
      <c r="V68" s="2"/>
      <c r="W68" s="2"/>
      <c r="AC68" s="2"/>
      <c r="AD68" s="2"/>
      <c r="AE68" s="2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61" customHeight="1" ht="12.95">
      <c r="B69" s="73"/>
      <c r="C69" s="73"/>
      <c r="D69" s="73"/>
      <c r="E69" s="73"/>
      <c r="F69" s="2"/>
      <c r="G69" s="2"/>
      <c r="P69" s="7"/>
      <c r="S69" s="7"/>
      <c r="V69" s="2"/>
      <c r="W69" s="2"/>
      <c r="AC69" s="2"/>
      <c r="AD69" s="2"/>
      <c r="AE69" s="2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61" customHeight="1" ht="3.75" hidden="true">
      <c r="B70" s="2"/>
      <c r="C70" s="2"/>
      <c r="D70" s="2"/>
      <c r="E70" s="2"/>
      <c r="F70" s="2"/>
      <c r="G70" s="2"/>
      <c r="P70" s="7"/>
      <c r="S70" s="7"/>
      <c r="V70" s="1173"/>
      <c r="W70" s="1173"/>
      <c r="X70" s="5"/>
      <c r="Y70" s="6"/>
      <c r="Z70" s="1174" t="s">
        <v>6</v>
      </c>
      <c r="AA70" s="1175"/>
      <c r="AB70" s="10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61" customHeight="1" ht="12">
      <c r="B71" s="2"/>
      <c r="C71" s="2"/>
      <c r="D71" s="2"/>
      <c r="E71" s="2"/>
      <c r="F71" s="2"/>
      <c r="G71" s="2"/>
      <c r="P71" s="7"/>
      <c r="S71" s="7"/>
      <c r="V71" s="1173"/>
      <c r="W71" s="1173"/>
      <c r="X71" s="11"/>
      <c r="Y71" s="11"/>
      <c r="Z71" s="11"/>
      <c r="AA71" s="11"/>
      <c r="AB71" s="1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61" customHeight="1" ht="15.75">
      <c r="B72" s="2"/>
      <c r="C72" s="2"/>
      <c r="D72" s="2"/>
      <c r="E72" s="2"/>
      <c r="F72" s="2"/>
      <c r="G72" s="2"/>
      <c r="P72" s="7"/>
      <c r="S72" s="7"/>
      <c r="V72" s="9"/>
      <c r="W72" s="9"/>
      <c r="X72" s="10"/>
      <c r="Y72" s="9"/>
      <c r="Z72" s="9"/>
      <c r="AA72" s="10"/>
      <c r="AB72" s="1176"/>
      <c r="AC72" s="1176"/>
      <c r="AD72" s="1177"/>
      <c r="AE72" s="1177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61" customHeight="1" ht="14.25">
      <c r="B73" s="12" t="s">
        <v>7</v>
      </c>
      <c r="C73" s="77">
        <f>NOW()</f>
        <v>46195.104548611</v>
      </c>
      <c r="D73" s="13"/>
      <c r="E73" s="13"/>
      <c r="F73" s="14"/>
      <c r="G73" s="14"/>
      <c r="H73" s="15"/>
      <c r="I73" s="15"/>
      <c r="N73" s="16"/>
      <c r="O73" s="16"/>
      <c r="P73" s="16"/>
      <c r="Q73" s="17"/>
      <c r="T73" s="18"/>
      <c r="W73" s="18"/>
      <c r="Z73" s="18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61" customHeight="1" ht="15.95">
      <c r="A74" s="311"/>
      <c r="B74" s="1111" t="s">
        <v>8</v>
      </c>
      <c r="C74" s="1095" t="s">
        <v>9</v>
      </c>
      <c r="D74" s="1105" t="s">
        <v>10</v>
      </c>
      <c r="E74" s="1100" t="s">
        <v>11</v>
      </c>
      <c r="F74" s="1095" t="s">
        <v>254</v>
      </c>
      <c r="G74" s="1100" t="s">
        <v>13</v>
      </c>
      <c r="H74" s="1194" t="s">
        <v>255</v>
      </c>
      <c r="I74" s="1195"/>
      <c r="J74" s="1190" t="str">
        <f>J11</f>
        <v>FEB</v>
      </c>
      <c r="K74" s="1191"/>
      <c r="L74" s="1192"/>
      <c r="M74" s="1190" t="str">
        <f>M11</f>
        <v>MAR</v>
      </c>
      <c r="N74" s="1191"/>
      <c r="O74" s="1192"/>
      <c r="P74" s="1190" t="str">
        <f>P11</f>
        <v>APR</v>
      </c>
      <c r="Q74" s="1191"/>
      <c r="R74" s="1192"/>
      <c r="S74" s="1190" t="str">
        <f>S11</f>
        <v>MAY</v>
      </c>
      <c r="T74" s="1191"/>
      <c r="U74" s="1192"/>
      <c r="V74" s="1190" t="str">
        <f>V11</f>
        <v>JUN</v>
      </c>
      <c r="W74" s="1191"/>
      <c r="X74" s="1192"/>
      <c r="Y74" s="1190" t="str">
        <f>Y11</f>
        <v>JUL</v>
      </c>
      <c r="Z74" s="1191"/>
      <c r="AA74" s="1192"/>
      <c r="AB74" s="1190" t="str">
        <f>AB11</f>
        <v>FEB</v>
      </c>
      <c r="AC74" s="1191"/>
      <c r="AD74" s="1192"/>
      <c r="AE74" s="1095" t="s">
        <v>22</v>
      </c>
      <c r="AG74" s="1178" t="str">
        <f>J74</f>
        <v>FEB</v>
      </c>
      <c r="AH74" s="1179"/>
      <c r="AI74" s="1180"/>
      <c r="AJ74" s="1178" t="str">
        <f>M74</f>
        <v>MAR</v>
      </c>
      <c r="AK74" s="1179"/>
      <c r="AL74" s="1180"/>
      <c r="AM74" s="1178" t="str">
        <f>P74</f>
        <v>APR</v>
      </c>
      <c r="AN74" s="1179"/>
      <c r="AO74" s="1180"/>
      <c r="AP74" s="1178" t="str">
        <f>S74</f>
        <v>MAY</v>
      </c>
      <c r="AQ74" s="1179"/>
      <c r="AR74" s="1180"/>
      <c r="AS74" s="1178" t="str">
        <f>V74</f>
        <v>JUN</v>
      </c>
      <c r="AT74" s="1179"/>
      <c r="AU74" s="1180"/>
      <c r="AV74" s="1178" t="str">
        <f>Y74</f>
        <v>JUL</v>
      </c>
      <c r="AW74" s="1179"/>
      <c r="AX74" s="1180"/>
      <c r="AY74" s="1178" t="str">
        <f>AB74</f>
        <v>FEB</v>
      </c>
      <c r="AZ74" s="1179"/>
      <c r="BA74" s="1180"/>
    </row>
    <row r="75" spans="1:61" customHeight="1" ht="15.95" s="19" customFormat="1">
      <c r="A75" s="312"/>
      <c r="B75" s="1112"/>
      <c r="C75" s="1096"/>
      <c r="D75" s="1106"/>
      <c r="E75" s="1101"/>
      <c r="F75" s="1096"/>
      <c r="G75" s="1101"/>
      <c r="H75" s="97" t="s">
        <v>256</v>
      </c>
      <c r="I75" s="78" t="s">
        <v>257</v>
      </c>
      <c r="J75" s="1185" t="e">
        <f>J12</f>
        <v>#REF!</v>
      </c>
      <c r="K75" s="1175"/>
      <c r="L75" s="1186"/>
      <c r="M75" s="1185" t="e">
        <f>M12</f>
        <v>#REF!</v>
      </c>
      <c r="N75" s="1175"/>
      <c r="O75" s="1186"/>
      <c r="P75" s="1185" t="e">
        <f>P12</f>
        <v>#REF!</v>
      </c>
      <c r="Q75" s="1175"/>
      <c r="R75" s="1186"/>
      <c r="S75" s="1185" t="e">
        <f>S12</f>
        <v>#REF!</v>
      </c>
      <c r="T75" s="1175"/>
      <c r="U75" s="1186"/>
      <c r="V75" s="1185" t="e">
        <f>V12</f>
        <v>#REF!</v>
      </c>
      <c r="W75" s="1175"/>
      <c r="X75" s="1186"/>
      <c r="Y75" s="1185" t="e">
        <f>Y12</f>
        <v>#REF!</v>
      </c>
      <c r="Z75" s="1175"/>
      <c r="AA75" s="1186"/>
      <c r="AB75" s="1185" t="e">
        <f>AB12</f>
        <v>#REF!</v>
      </c>
      <c r="AC75" s="1175"/>
      <c r="AD75" s="1186"/>
      <c r="AE75" s="1096"/>
      <c r="AF75" s="1"/>
      <c r="AG75" s="1193" t="e">
        <f>J75</f>
        <v>#REF!</v>
      </c>
      <c r="AH75" s="1188"/>
      <c r="AI75" s="1189"/>
      <c r="AJ75" s="1187" t="e">
        <f>M75</f>
        <v>#REF!</v>
      </c>
      <c r="AK75" s="1188"/>
      <c r="AL75" s="1189"/>
      <c r="AM75" s="1187" t="e">
        <f>P75</f>
        <v>#REF!</v>
      </c>
      <c r="AN75" s="1188"/>
      <c r="AO75" s="1189"/>
      <c r="AP75" s="1187" t="e">
        <f>S75</f>
        <v>#REF!</v>
      </c>
      <c r="AQ75" s="1188"/>
      <c r="AR75" s="1189"/>
      <c r="AS75" s="1187" t="e">
        <f>V75</f>
        <v>#REF!</v>
      </c>
      <c r="AT75" s="1188"/>
      <c r="AU75" s="1189"/>
      <c r="AV75" s="1187" t="e">
        <f>Y75</f>
        <v>#REF!</v>
      </c>
      <c r="AW75" s="1188"/>
      <c r="AX75" s="1189"/>
      <c r="AY75" s="1187" t="e">
        <f>AB75</f>
        <v>#REF!</v>
      </c>
      <c r="AZ75" s="1188"/>
      <c r="BA75" s="1189"/>
      <c r="BC75" s="99" t="str">
        <f>M74</f>
        <v>MAR</v>
      </c>
      <c r="BD75" s="100" t="str">
        <f>P74</f>
        <v>APR</v>
      </c>
      <c r="BE75" s="100" t="str">
        <f>S74</f>
        <v>MAY</v>
      </c>
      <c r="BF75" s="100" t="str">
        <f>V74</f>
        <v>JUN</v>
      </c>
      <c r="BG75" s="100" t="str">
        <f>Y74</f>
        <v>JUL</v>
      </c>
      <c r="BH75" s="100" t="str">
        <f>AB74</f>
        <v>FEB</v>
      </c>
    </row>
    <row r="76" spans="1:61" customHeight="1" ht="15.95">
      <c r="A76" s="313"/>
      <c r="B76" s="1113"/>
      <c r="C76" s="1097"/>
      <c r="D76" s="1107"/>
      <c r="E76" s="1099"/>
      <c r="F76" s="1097"/>
      <c r="G76" s="1099"/>
      <c r="H76" s="98">
        <v>2009</v>
      </c>
      <c r="I76" s="79">
        <v>2009</v>
      </c>
      <c r="J76" s="20" t="s">
        <v>22</v>
      </c>
      <c r="K76" s="21" t="s">
        <v>24</v>
      </c>
      <c r="L76" s="22" t="s">
        <v>25</v>
      </c>
      <c r="M76" s="20" t="s">
        <v>22</v>
      </c>
      <c r="N76" s="21" t="s">
        <v>24</v>
      </c>
      <c r="O76" s="22" t="s">
        <v>25</v>
      </c>
      <c r="P76" s="20" t="s">
        <v>22</v>
      </c>
      <c r="Q76" s="21" t="s">
        <v>24</v>
      </c>
      <c r="R76" s="22" t="s">
        <v>25</v>
      </c>
      <c r="S76" s="20" t="s">
        <v>22</v>
      </c>
      <c r="T76" s="21" t="s">
        <v>24</v>
      </c>
      <c r="U76" s="22" t="s">
        <v>25</v>
      </c>
      <c r="V76" s="20" t="s">
        <v>22</v>
      </c>
      <c r="W76" s="21" t="s">
        <v>24</v>
      </c>
      <c r="X76" s="22" t="s">
        <v>25</v>
      </c>
      <c r="Y76" s="20" t="s">
        <v>22</v>
      </c>
      <c r="Z76" s="21" t="s">
        <v>24</v>
      </c>
      <c r="AA76" s="22" t="s">
        <v>25</v>
      </c>
      <c r="AB76" s="20" t="s">
        <v>22</v>
      </c>
      <c r="AC76" s="21" t="s">
        <v>24</v>
      </c>
      <c r="AD76" s="22" t="s">
        <v>25</v>
      </c>
      <c r="AE76" s="1097"/>
      <c r="AG76" s="87" t="str">
        <f>J76</f>
        <v>BAL</v>
      </c>
      <c r="AH76" s="88" t="str">
        <f>K76</f>
        <v>DEL</v>
      </c>
      <c r="AI76" s="89" t="str">
        <f>L76</f>
        <v>PROD</v>
      </c>
      <c r="AJ76" s="90" t="str">
        <f>M76</f>
        <v>BAL</v>
      </c>
      <c r="AK76" s="88" t="str">
        <f>N76</f>
        <v>DEL</v>
      </c>
      <c r="AL76" s="91" t="str">
        <f>O76</f>
        <v>PROD</v>
      </c>
      <c r="AM76" s="87" t="str">
        <f>P76</f>
        <v>BAL</v>
      </c>
      <c r="AN76" s="88" t="str">
        <f>Q76</f>
        <v>DEL</v>
      </c>
      <c r="AO76" s="89" t="str">
        <f>R76</f>
        <v>PROD</v>
      </c>
      <c r="AP76" s="90" t="str">
        <f>S76</f>
        <v>BAL</v>
      </c>
      <c r="AQ76" s="88" t="str">
        <f>T76</f>
        <v>DEL</v>
      </c>
      <c r="AR76" s="91" t="str">
        <f>U76</f>
        <v>PROD</v>
      </c>
      <c r="AS76" s="87" t="str">
        <f>V76</f>
        <v>BAL</v>
      </c>
      <c r="AT76" s="88" t="str">
        <f>W76</f>
        <v>DEL</v>
      </c>
      <c r="AU76" s="89" t="str">
        <f>X76</f>
        <v>PROD</v>
      </c>
      <c r="AV76" s="90" t="str">
        <f>Y76</f>
        <v>BAL</v>
      </c>
      <c r="AW76" s="88" t="str">
        <f>Z76</f>
        <v>DEL</v>
      </c>
      <c r="AX76" s="91" t="str">
        <f>AA76</f>
        <v>PROD</v>
      </c>
      <c r="AY76" s="87" t="str">
        <f>AB76</f>
        <v>BAL</v>
      </c>
      <c r="AZ76" s="88" t="str">
        <f>AC76</f>
        <v>DEL</v>
      </c>
      <c r="BA76" s="89" t="str">
        <f>AD76</f>
        <v>PROD</v>
      </c>
      <c r="BB76" s="82"/>
      <c r="BC76" s="99" t="e">
        <v>#REF!</v>
      </c>
      <c r="BD76" s="99" t="e">
        <v>#REF!</v>
      </c>
      <c r="BE76" s="99" t="e">
        <v>#REF!</v>
      </c>
      <c r="BF76" s="99" t="e">
        <v>#REF!</v>
      </c>
      <c r="BG76" s="99">
        <v>4</v>
      </c>
      <c r="BH76" s="99" t="e">
        <v>#REF!</v>
      </c>
      <c r="BI76" s="96"/>
    </row>
    <row r="77" spans="1:61" customHeight="1" ht="20.1" s="113" customFormat="1">
      <c r="A77" s="1255" t="s">
        <v>258</v>
      </c>
      <c r="B77" s="1248" t="s">
        <v>327</v>
      </c>
      <c r="C77" s="103" t="str">
        <f>C14</f>
        <v>82111-47330 H </v>
      </c>
      <c r="D77" s="104" t="e">
        <f>D14</f>
        <v>#REF!</v>
      </c>
      <c r="E77" s="104" t="e">
        <f>+E14</f>
        <v>#REF!</v>
      </c>
      <c r="F77" s="105">
        <f>+F14</f>
        <v>304</v>
      </c>
      <c r="G77" s="105">
        <f>+G14</f>
        <v>6</v>
      </c>
      <c r="H77" s="106" t="e">
        <f>+H14</f>
        <v>#REF!</v>
      </c>
      <c r="I77" s="147" t="e">
        <f>I14</f>
        <v>#REF!</v>
      </c>
      <c r="J77" s="108" t="e">
        <f>$H14*J14</f>
        <v>#REF!</v>
      </c>
      <c r="K77" s="109" t="e">
        <f>$H14*K14</f>
        <v>#REF!</v>
      </c>
      <c r="L77" s="110" t="e">
        <f>$H14*L14</f>
        <v>#REF!</v>
      </c>
      <c r="M77" s="108" t="e">
        <f>$I14*M14</f>
        <v>#REF!</v>
      </c>
      <c r="N77" s="109" t="e">
        <f>$I14*N14</f>
        <v>#REF!</v>
      </c>
      <c r="O77" s="110" t="e">
        <f>$I14*O14</f>
        <v>#REF!</v>
      </c>
      <c r="P77" s="108" t="e">
        <f>$I14*P14</f>
        <v>#REF!</v>
      </c>
      <c r="Q77" s="109" t="e">
        <f>$I14*Q14</f>
        <v>#REF!</v>
      </c>
      <c r="R77" s="110" t="e">
        <f>$I14*R14</f>
        <v>#REF!</v>
      </c>
      <c r="S77" s="108" t="e">
        <f>$I14*S14</f>
        <v>#REF!</v>
      </c>
      <c r="T77" s="109" t="e">
        <f>$I14*T14</f>
        <v>#REF!</v>
      </c>
      <c r="U77" s="110" t="e">
        <f>$I14*U14</f>
        <v>#REF!</v>
      </c>
      <c r="V77" s="108" t="e">
        <f>$I14*V14</f>
        <v>#REF!</v>
      </c>
      <c r="W77" s="109" t="e">
        <f>$I14*W14</f>
        <v>#REF!</v>
      </c>
      <c r="X77" s="110" t="e">
        <f>$I14*X14</f>
        <v>#REF!</v>
      </c>
      <c r="Y77" s="108" t="e">
        <f>$I14*Y14</f>
        <v>#REF!</v>
      </c>
      <c r="Z77" s="109" t="e">
        <f>$I14*Z14</f>
        <v>#REF!</v>
      </c>
      <c r="AA77" s="110" t="e">
        <f>$I14*AA14</f>
        <v>#REF!</v>
      </c>
      <c r="AB77" s="108" t="e">
        <f>$I14*AB14</f>
        <v>#REF!</v>
      </c>
      <c r="AC77" s="111" t="e">
        <f>$I14*AC14</f>
        <v>#REF!</v>
      </c>
      <c r="AD77" s="110" t="e">
        <f>$I14*AD14</f>
        <v>#REF!</v>
      </c>
      <c r="AE77" s="112" t="e">
        <f>$H14*AE14</f>
        <v>#REF!</v>
      </c>
      <c r="AG77" s="114" t="e">
        <f>J77*$F77</f>
        <v>#REF!</v>
      </c>
      <c r="AH77" s="115" t="e">
        <f>K77*$F77</f>
        <v>#REF!</v>
      </c>
      <c r="AI77" s="116" t="e">
        <f>L77*$F77</f>
        <v>#REF!</v>
      </c>
      <c r="AJ77" s="117" t="e">
        <f>M77*$F77</f>
        <v>#REF!</v>
      </c>
      <c r="AK77" s="115" t="e">
        <f>K77*$F77</f>
        <v>#REF!</v>
      </c>
      <c r="AL77" s="116" t="e">
        <f>O77*$F77</f>
        <v>#REF!</v>
      </c>
      <c r="AM77" s="117" t="e">
        <f>P77*$F77</f>
        <v>#REF!</v>
      </c>
      <c r="AN77" s="115" t="e">
        <f>N77*$F77</f>
        <v>#REF!</v>
      </c>
      <c r="AO77" s="116" t="e">
        <f>R77*$F77</f>
        <v>#REF!</v>
      </c>
      <c r="AP77" s="117" t="e">
        <f>S77*$F77</f>
        <v>#REF!</v>
      </c>
      <c r="AQ77" s="115" t="e">
        <f>Q77*$F77</f>
        <v>#REF!</v>
      </c>
      <c r="AR77" s="116" t="e">
        <f>U77*$F77</f>
        <v>#REF!</v>
      </c>
      <c r="AS77" s="117" t="e">
        <f>V77*$F77</f>
        <v>#REF!</v>
      </c>
      <c r="AT77" s="115" t="e">
        <f>T77*$F77</f>
        <v>#REF!</v>
      </c>
      <c r="AU77" s="116" t="e">
        <f>X77*$F77</f>
        <v>#REF!</v>
      </c>
      <c r="AV77" s="117" t="e">
        <f>Y77*$F77</f>
        <v>#REF!</v>
      </c>
      <c r="AW77" s="115" t="e">
        <f>W77*$F77</f>
        <v>#REF!</v>
      </c>
      <c r="AX77" s="116" t="e">
        <f>AA77*$F77</f>
        <v>#REF!</v>
      </c>
      <c r="AY77" s="117" t="e">
        <f>AB77*$F77</f>
        <v>#REF!</v>
      </c>
      <c r="AZ77" s="118" t="e">
        <f>Z77*$F77</f>
        <v>#REF!</v>
      </c>
      <c r="BA77" s="119" t="e">
        <f>AD77*$F77</f>
        <v>#REF!</v>
      </c>
      <c r="BB77" s="120"/>
      <c r="BC77" s="121" t="e">
        <f>ROUNDUP(O77/$BC$13,0)</f>
        <v>#REF!</v>
      </c>
      <c r="BD77" s="121" t="e">
        <f>ROUNDUP(R77/$BD$13,0)</f>
        <v>#REF!</v>
      </c>
      <c r="BE77" s="121" t="e">
        <f>ROUNDUP(U77/$BE$13,0)</f>
        <v>#REF!</v>
      </c>
      <c r="BF77" s="121" t="e">
        <f>ROUNDUP(X77/$BF$13,0)</f>
        <v>#REF!</v>
      </c>
      <c r="BG77" s="121" t="e">
        <f>ROUNDUP(AA77/$BG$13,0)</f>
        <v>#REF!</v>
      </c>
      <c r="BH77" s="121" t="e">
        <f>ROUNDUP(AD77/$BH$13,0)</f>
        <v>#REF!</v>
      </c>
    </row>
    <row r="78" spans="1:61" customHeight="1" ht="20.1" s="113" customFormat="1">
      <c r="A78" s="1256"/>
      <c r="B78" s="1249"/>
      <c r="C78" s="122" t="str">
        <f>C15</f>
        <v>82111-47340 H </v>
      </c>
      <c r="D78" s="123" t="e">
        <f>D15</f>
        <v>#REF!</v>
      </c>
      <c r="E78" s="123" t="e">
        <f>+E15</f>
        <v>#REF!</v>
      </c>
      <c r="F78" s="124">
        <f>+F15</f>
        <v>323</v>
      </c>
      <c r="G78" s="124">
        <f>+G15</f>
        <v>6</v>
      </c>
      <c r="H78" s="125" t="e">
        <f>+H15</f>
        <v>#REF!</v>
      </c>
      <c r="I78" s="277" t="e">
        <f>I15</f>
        <v>#REF!</v>
      </c>
      <c r="J78" s="126" t="e">
        <f>$H15*J15</f>
        <v>#REF!</v>
      </c>
      <c r="K78" s="127" t="e">
        <f>$H15*K15</f>
        <v>#REF!</v>
      </c>
      <c r="L78" s="128" t="e">
        <f>$H15*L15</f>
        <v>#REF!</v>
      </c>
      <c r="M78" s="126" t="e">
        <f>$I15*M15</f>
        <v>#REF!</v>
      </c>
      <c r="N78" s="127" t="e">
        <f>$I15*N15</f>
        <v>#REF!</v>
      </c>
      <c r="O78" s="128" t="e">
        <f>$I15*O15</f>
        <v>#REF!</v>
      </c>
      <c r="P78" s="126" t="e">
        <f>$I15*P15</f>
        <v>#REF!</v>
      </c>
      <c r="Q78" s="127" t="e">
        <f>$I15*Q15</f>
        <v>#REF!</v>
      </c>
      <c r="R78" s="128" t="e">
        <f>$I15*R15</f>
        <v>#REF!</v>
      </c>
      <c r="S78" s="126" t="e">
        <f>$I15*S15</f>
        <v>#REF!</v>
      </c>
      <c r="T78" s="127" t="e">
        <f>$I15*T15</f>
        <v>#REF!</v>
      </c>
      <c r="U78" s="128" t="e">
        <f>$I15*U15</f>
        <v>#REF!</v>
      </c>
      <c r="V78" s="126" t="e">
        <f>$I15*V15</f>
        <v>#REF!</v>
      </c>
      <c r="W78" s="127" t="e">
        <f>$I15*W15</f>
        <v>#REF!</v>
      </c>
      <c r="X78" s="128" t="e">
        <f>$I15*X15</f>
        <v>#REF!</v>
      </c>
      <c r="Y78" s="126" t="e">
        <f>$I15*Y15</f>
        <v>#REF!</v>
      </c>
      <c r="Z78" s="127" t="e">
        <f>$I15*Z15</f>
        <v>#REF!</v>
      </c>
      <c r="AA78" s="128" t="e">
        <f>$I15*AA15</f>
        <v>#REF!</v>
      </c>
      <c r="AB78" s="126" t="e">
        <f>$I15*AB15</f>
        <v>#REF!</v>
      </c>
      <c r="AC78" s="129" t="e">
        <f>$I15*AC15</f>
        <v>#REF!</v>
      </c>
      <c r="AD78" s="128" t="e">
        <f>$I15*AD15</f>
        <v>#REF!</v>
      </c>
      <c r="AE78" s="130" t="e">
        <f>$H15*AE15</f>
        <v>#REF!</v>
      </c>
      <c r="AG78" s="114" t="e">
        <f>J78*$F78</f>
        <v>#REF!</v>
      </c>
      <c r="AH78" s="115" t="e">
        <f>K78*$F78</f>
        <v>#REF!</v>
      </c>
      <c r="AI78" s="116" t="e">
        <f>L78*$F78</f>
        <v>#REF!</v>
      </c>
      <c r="AJ78" s="117" t="e">
        <f>M78*$F78</f>
        <v>#REF!</v>
      </c>
      <c r="AK78" s="115" t="e">
        <f>K78*$F78</f>
        <v>#REF!</v>
      </c>
      <c r="AL78" s="116" t="e">
        <f>O78*$F78</f>
        <v>#REF!</v>
      </c>
      <c r="AM78" s="117" t="e">
        <f>P78*$F78</f>
        <v>#REF!</v>
      </c>
      <c r="AN78" s="115" t="e">
        <f>N78*$F78</f>
        <v>#REF!</v>
      </c>
      <c r="AO78" s="116" t="e">
        <f>R78*$F78</f>
        <v>#REF!</v>
      </c>
      <c r="AP78" s="117" t="e">
        <f>S78*$F78</f>
        <v>#REF!</v>
      </c>
      <c r="AQ78" s="115" t="e">
        <f>Q78*$F78</f>
        <v>#REF!</v>
      </c>
      <c r="AR78" s="116" t="e">
        <f>U78*$F78</f>
        <v>#REF!</v>
      </c>
      <c r="AS78" s="117" t="e">
        <f>V78*$F78</f>
        <v>#REF!</v>
      </c>
      <c r="AT78" s="115" t="e">
        <f>T78*$F78</f>
        <v>#REF!</v>
      </c>
      <c r="AU78" s="116" t="e">
        <f>X78*$F78</f>
        <v>#REF!</v>
      </c>
      <c r="AV78" s="117" t="e">
        <f>Y78*$F78</f>
        <v>#REF!</v>
      </c>
      <c r="AW78" s="115" t="e">
        <f>W78*$F78</f>
        <v>#REF!</v>
      </c>
      <c r="AX78" s="116" t="e">
        <f>AA78*$F78</f>
        <v>#REF!</v>
      </c>
      <c r="AY78" s="117" t="e">
        <f>AB78*$F78</f>
        <v>#REF!</v>
      </c>
      <c r="AZ78" s="118" t="e">
        <f>Z78*$F78</f>
        <v>#REF!</v>
      </c>
      <c r="BA78" s="119" t="e">
        <f>AD78*$F78</f>
        <v>#REF!</v>
      </c>
      <c r="BB78" s="120"/>
      <c r="BC78" s="121" t="e">
        <f>ROUNDUP(O78/$BC$13,0)</f>
        <v>#REF!</v>
      </c>
      <c r="BD78" s="121" t="e">
        <f>ROUNDUP(R78/$BD$13,0)</f>
        <v>#REF!</v>
      </c>
      <c r="BE78" s="121" t="e">
        <f>ROUNDUP(U78/$BE$13,0)</f>
        <v>#REF!</v>
      </c>
      <c r="BF78" s="121" t="e">
        <f>ROUNDUP(X78/$BF$13,0)</f>
        <v>#REF!</v>
      </c>
      <c r="BG78" s="121" t="e">
        <f>ROUNDUP(AA78/$BG$13,0)</f>
        <v>#REF!</v>
      </c>
      <c r="BH78" s="121" t="e">
        <f>ROUNDUP(AD78/$BH$13,0)</f>
        <v>#REF!</v>
      </c>
    </row>
    <row r="79" spans="1:61" customHeight="1" ht="20.1" s="188" customFormat="1">
      <c r="A79" s="1256"/>
      <c r="B79" s="1250"/>
      <c r="C79" s="179" t="str">
        <f>C16</f>
        <v>82111-47350 A </v>
      </c>
      <c r="D79" s="180" t="e">
        <f>D16</f>
        <v>#REF!</v>
      </c>
      <c r="E79" s="180" t="e">
        <f>+E16</f>
        <v>#REF!</v>
      </c>
      <c r="F79" s="181">
        <f>+F16</f>
        <v/>
      </c>
      <c r="G79" s="181">
        <f>+G16</f>
        <v>6</v>
      </c>
      <c r="H79" s="182" t="e">
        <f>+H16</f>
        <v>#REF!</v>
      </c>
      <c r="I79" s="147" t="e">
        <f>I16</f>
        <v>#REF!</v>
      </c>
      <c r="J79" s="183" t="e">
        <f>$H16*J16</f>
        <v>#REF!</v>
      </c>
      <c r="K79" s="184" t="e">
        <f>$H16*K16</f>
        <v>#REF!</v>
      </c>
      <c r="L79" s="185" t="e">
        <f>$H16*L16</f>
        <v>#REF!</v>
      </c>
      <c r="M79" s="183" t="e">
        <f>$I16*M16</f>
        <v>#REF!</v>
      </c>
      <c r="N79" s="184" t="e">
        <f>$I16*N16</f>
        <v>#REF!</v>
      </c>
      <c r="O79" s="185" t="e">
        <f>$I16*O16</f>
        <v>#REF!</v>
      </c>
      <c r="P79" s="183" t="e">
        <f>$I16*P16</f>
        <v>#REF!</v>
      </c>
      <c r="Q79" s="184" t="e">
        <f>$I16*Q16</f>
        <v>#REF!</v>
      </c>
      <c r="R79" s="185" t="e">
        <f>$I16*R16</f>
        <v>#REF!</v>
      </c>
      <c r="S79" s="183" t="e">
        <f>$I16*S16</f>
        <v>#REF!</v>
      </c>
      <c r="T79" s="184" t="e">
        <f>$I16*T16</f>
        <v>#REF!</v>
      </c>
      <c r="U79" s="185" t="e">
        <f>$I16*U16</f>
        <v>#REF!</v>
      </c>
      <c r="V79" s="183" t="e">
        <f>$I16*V16</f>
        <v>#REF!</v>
      </c>
      <c r="W79" s="184" t="e">
        <f>$I16*W16</f>
        <v>#REF!</v>
      </c>
      <c r="X79" s="185" t="e">
        <f>$I16*X16</f>
        <v>#REF!</v>
      </c>
      <c r="Y79" s="183" t="e">
        <f>$I16*Y16</f>
        <v>#REF!</v>
      </c>
      <c r="Z79" s="184" t="e">
        <f>$I16*Z16</f>
        <v>#REF!</v>
      </c>
      <c r="AA79" s="185" t="e">
        <f>$I16*AA16</f>
        <v>#REF!</v>
      </c>
      <c r="AB79" s="183" t="e">
        <f>$I16*AB16</f>
        <v>#REF!</v>
      </c>
      <c r="AC79" s="186" t="e">
        <f>$I16*AC16</f>
        <v>#REF!</v>
      </c>
      <c r="AD79" s="185" t="e">
        <f>$I16*AD16</f>
        <v>#REF!</v>
      </c>
      <c r="AE79" s="187" t="e">
        <f>$H16*AE16</f>
        <v>#REF!</v>
      </c>
      <c r="AG79" s="189" t="e">
        <f>J79*$F79</f>
        <v>#REF!</v>
      </c>
      <c r="AH79" s="190" t="e">
        <f>K79*$F79</f>
        <v>#REF!</v>
      </c>
      <c r="AI79" s="191" t="e">
        <f>L79*$F79</f>
        <v>#REF!</v>
      </c>
      <c r="AJ79" s="192" t="e">
        <f>M79*$F79</f>
        <v>#REF!</v>
      </c>
      <c r="AK79" s="190" t="e">
        <f>K79*$F79</f>
        <v>#REF!</v>
      </c>
      <c r="AL79" s="191" t="e">
        <f>O79*$F79</f>
        <v>#REF!</v>
      </c>
      <c r="AM79" s="192" t="e">
        <f>P79*$F79</f>
        <v>#REF!</v>
      </c>
      <c r="AN79" s="190" t="e">
        <f>N79*$F79</f>
        <v>#REF!</v>
      </c>
      <c r="AO79" s="191" t="e">
        <f>R79*$F79</f>
        <v>#REF!</v>
      </c>
      <c r="AP79" s="192" t="e">
        <f>S79*$F79</f>
        <v>#REF!</v>
      </c>
      <c r="AQ79" s="190" t="e">
        <f>Q79*$F79</f>
        <v>#REF!</v>
      </c>
      <c r="AR79" s="191" t="e">
        <f>U79*$F79</f>
        <v>#REF!</v>
      </c>
      <c r="AS79" s="192" t="e">
        <f>V79*$F79</f>
        <v>#REF!</v>
      </c>
      <c r="AT79" s="190" t="e">
        <f>T79*$F79</f>
        <v>#REF!</v>
      </c>
      <c r="AU79" s="191" t="e">
        <f>X79*$F79</f>
        <v>#REF!</v>
      </c>
      <c r="AV79" s="192" t="e">
        <f>Y79*$F79</f>
        <v>#REF!</v>
      </c>
      <c r="AW79" s="190" t="e">
        <f>W79*$F79</f>
        <v>#REF!</v>
      </c>
      <c r="AX79" s="191" t="e">
        <f>AA79*$F79</f>
        <v>#REF!</v>
      </c>
      <c r="AY79" s="192" t="e">
        <f>AB79*$F79</f>
        <v>#REF!</v>
      </c>
      <c r="AZ79" s="193" t="e">
        <f>Z79*$F79</f>
        <v>#REF!</v>
      </c>
      <c r="BA79" s="194" t="e">
        <f>AD79*$F79</f>
        <v>#REF!</v>
      </c>
      <c r="BB79" s="195"/>
      <c r="BC79" s="121" t="e">
        <f>ROUNDUP(O79/$BC$13,0)</f>
        <v>#REF!</v>
      </c>
      <c r="BD79" s="121" t="e">
        <f>ROUNDUP(R79/$BD$13,0)</f>
        <v>#REF!</v>
      </c>
      <c r="BE79" s="121" t="e">
        <f>ROUNDUP(U79/$BE$13,0)</f>
        <v>#REF!</v>
      </c>
      <c r="BF79" s="121" t="e">
        <f>ROUNDUP(X79/$BF$13,0)</f>
        <v>#REF!</v>
      </c>
      <c r="BG79" s="121" t="e">
        <f>ROUNDUP(AA79/$BG$13,0)</f>
        <v>#REF!</v>
      </c>
      <c r="BH79" s="121" t="e">
        <f>ROUNDUP(AD79/$BH$13,0)</f>
        <v>#REF!</v>
      </c>
    </row>
    <row r="80" spans="1:61" customHeight="1" ht="20.1" s="113" customFormat="1">
      <c r="A80" s="1256"/>
      <c r="B80" s="1248" t="s">
        <v>266</v>
      </c>
      <c r="C80" s="103" t="str">
        <f>C17</f>
        <v>82111-47450 H </v>
      </c>
      <c r="D80" s="104" t="e">
        <f>D17</f>
        <v>#REF!</v>
      </c>
      <c r="E80" s="104" t="e">
        <f>+E17</f>
        <v>#REF!</v>
      </c>
      <c r="F80" s="105">
        <f>+F17</f>
        <v>332</v>
      </c>
      <c r="G80" s="105">
        <f>+G17</f>
        <v>6</v>
      </c>
      <c r="H80" s="106" t="e">
        <f>+H17</f>
        <v>#REF!</v>
      </c>
      <c r="I80" s="147" t="e">
        <f>I17</f>
        <v>#REF!</v>
      </c>
      <c r="J80" s="108" t="e">
        <f>$H17*J17</f>
        <v>#REF!</v>
      </c>
      <c r="K80" s="109" t="e">
        <f>$H17*K17</f>
        <v>#REF!</v>
      </c>
      <c r="L80" s="110" t="e">
        <f>$H17*L17</f>
        <v>#REF!</v>
      </c>
      <c r="M80" s="108" t="e">
        <f>$I17*M17</f>
        <v>#REF!</v>
      </c>
      <c r="N80" s="109" t="e">
        <f>$I17*N17</f>
        <v>#REF!</v>
      </c>
      <c r="O80" s="110" t="e">
        <f>$I17*O17</f>
        <v>#REF!</v>
      </c>
      <c r="P80" s="108" t="e">
        <f>$I17*P17</f>
        <v>#REF!</v>
      </c>
      <c r="Q80" s="109" t="e">
        <f>$I17*Q17</f>
        <v>#REF!</v>
      </c>
      <c r="R80" s="110" t="e">
        <f>$I17*R17</f>
        <v>#REF!</v>
      </c>
      <c r="S80" s="108" t="e">
        <f>$I17*S17</f>
        <v>#REF!</v>
      </c>
      <c r="T80" s="109" t="e">
        <f>$I17*T17</f>
        <v>#REF!</v>
      </c>
      <c r="U80" s="110" t="e">
        <f>$I17*U17</f>
        <v>#REF!</v>
      </c>
      <c r="V80" s="108" t="e">
        <f>$I17*V17</f>
        <v>#REF!</v>
      </c>
      <c r="W80" s="109" t="e">
        <f>$I17*W17</f>
        <v>#REF!</v>
      </c>
      <c r="X80" s="110" t="e">
        <f>$I17*X17</f>
        <v>#REF!</v>
      </c>
      <c r="Y80" s="108" t="e">
        <f>$I17*Y17</f>
        <v>#REF!</v>
      </c>
      <c r="Z80" s="109" t="e">
        <f>$I17*Z17</f>
        <v>#REF!</v>
      </c>
      <c r="AA80" s="110" t="e">
        <f>$I17*AA17</f>
        <v>#REF!</v>
      </c>
      <c r="AB80" s="108" t="e">
        <f>$I17*AB17</f>
        <v>#REF!</v>
      </c>
      <c r="AC80" s="111" t="e">
        <f>$I17*AC17</f>
        <v>#REF!</v>
      </c>
      <c r="AD80" s="110" t="e">
        <f>$I17*AD17</f>
        <v>#REF!</v>
      </c>
      <c r="AE80" s="112" t="e">
        <f>$H17*AE17</f>
        <v>#REF!</v>
      </c>
      <c r="AG80" s="114" t="e">
        <f>J80*$F80</f>
        <v>#REF!</v>
      </c>
      <c r="AH80" s="115" t="e">
        <f>K80*$F80</f>
        <v>#REF!</v>
      </c>
      <c r="AI80" s="116" t="e">
        <f>L80*$F80</f>
        <v>#REF!</v>
      </c>
      <c r="AJ80" s="117" t="e">
        <f>M80*$F80</f>
        <v>#REF!</v>
      </c>
      <c r="AK80" s="115" t="e">
        <f>K80*$F80</f>
        <v>#REF!</v>
      </c>
      <c r="AL80" s="116" t="e">
        <f>O80*$F80</f>
        <v>#REF!</v>
      </c>
      <c r="AM80" s="117" t="e">
        <f>P80*$F80</f>
        <v>#REF!</v>
      </c>
      <c r="AN80" s="115" t="e">
        <f>N80*$F80</f>
        <v>#REF!</v>
      </c>
      <c r="AO80" s="116" t="e">
        <f>R80*$F80</f>
        <v>#REF!</v>
      </c>
      <c r="AP80" s="117" t="e">
        <f>S80*$F80</f>
        <v>#REF!</v>
      </c>
      <c r="AQ80" s="115" t="e">
        <f>Q80*$F80</f>
        <v>#REF!</v>
      </c>
      <c r="AR80" s="116" t="e">
        <f>U80*$F80</f>
        <v>#REF!</v>
      </c>
      <c r="AS80" s="117" t="e">
        <f>V80*$F80</f>
        <v>#REF!</v>
      </c>
      <c r="AT80" s="115" t="e">
        <f>T80*$F80</f>
        <v>#REF!</v>
      </c>
      <c r="AU80" s="116" t="e">
        <f>X80*$F80</f>
        <v>#REF!</v>
      </c>
      <c r="AV80" s="117" t="e">
        <f>Y80*$F80</f>
        <v>#REF!</v>
      </c>
      <c r="AW80" s="115" t="e">
        <f>W80*$F80</f>
        <v>#REF!</v>
      </c>
      <c r="AX80" s="116" t="e">
        <f>AA80*$F80</f>
        <v>#REF!</v>
      </c>
      <c r="AY80" s="117" t="e">
        <f>AB80*$F80</f>
        <v>#REF!</v>
      </c>
      <c r="AZ80" s="118" t="e">
        <f>Z80*$F80</f>
        <v>#REF!</v>
      </c>
      <c r="BA80" s="119" t="e">
        <f>AD80*$F80</f>
        <v>#REF!</v>
      </c>
      <c r="BB80" s="120"/>
      <c r="BC80" s="121" t="e">
        <f>ROUNDUP(O80/$BC$13,0)</f>
        <v>#REF!</v>
      </c>
      <c r="BD80" s="121" t="e">
        <f>ROUNDUP(R80/$BD$13,0)</f>
        <v>#REF!</v>
      </c>
      <c r="BE80" s="121" t="e">
        <f>ROUNDUP(U80/$BE$13,0)</f>
        <v>#REF!</v>
      </c>
      <c r="BF80" s="121" t="e">
        <f>ROUNDUP(X80/$BF$13,0)</f>
        <v>#REF!</v>
      </c>
      <c r="BG80" s="121" t="e">
        <f>ROUNDUP(AA80/$BG$13,0)</f>
        <v>#REF!</v>
      </c>
      <c r="BH80" s="121" t="e">
        <f>ROUNDUP(AD80/$BH$13,0)</f>
        <v>#REF!</v>
      </c>
    </row>
    <row r="81" spans="1:61" customHeight="1" ht="20.1" s="113" customFormat="1">
      <c r="A81" s="1256"/>
      <c r="B81" s="1249"/>
      <c r="C81" s="122" t="str">
        <f>C18</f>
        <v>82111-47460 H </v>
      </c>
      <c r="D81" s="123" t="e">
        <f>D18</f>
        <v>#REF!</v>
      </c>
      <c r="E81" s="123" t="e">
        <f>+E18</f>
        <v>#REF!</v>
      </c>
      <c r="F81" s="124">
        <f>+F18</f>
        <v>351</v>
      </c>
      <c r="G81" s="124">
        <f>+G18</f>
        <v>6</v>
      </c>
      <c r="H81" s="125" t="e">
        <f>+H18</f>
        <v>#REF!</v>
      </c>
      <c r="I81" s="277" t="e">
        <f>I18</f>
        <v>#REF!</v>
      </c>
      <c r="J81" s="126" t="e">
        <f>$H18*J18</f>
        <v>#REF!</v>
      </c>
      <c r="K81" s="127" t="e">
        <f>$H18*K18</f>
        <v>#REF!</v>
      </c>
      <c r="L81" s="128" t="e">
        <f>$H18*L18</f>
        <v>#REF!</v>
      </c>
      <c r="M81" s="126" t="e">
        <f>$I18*M18</f>
        <v>#REF!</v>
      </c>
      <c r="N81" s="127" t="e">
        <f>$I18*N18</f>
        <v>#REF!</v>
      </c>
      <c r="O81" s="128" t="e">
        <f>$I18*O18</f>
        <v>#REF!</v>
      </c>
      <c r="P81" s="126" t="e">
        <f>$I18*P18</f>
        <v>#REF!</v>
      </c>
      <c r="Q81" s="127" t="e">
        <f>$I18*Q18</f>
        <v>#REF!</v>
      </c>
      <c r="R81" s="128" t="e">
        <f>$I18*R18</f>
        <v>#REF!</v>
      </c>
      <c r="S81" s="126" t="e">
        <f>$I18*S18</f>
        <v>#REF!</v>
      </c>
      <c r="T81" s="127" t="e">
        <f>$I18*T18</f>
        <v>#REF!</v>
      </c>
      <c r="U81" s="128" t="e">
        <f>$I18*U18</f>
        <v>#REF!</v>
      </c>
      <c r="V81" s="126" t="e">
        <f>$I18*V18</f>
        <v>#REF!</v>
      </c>
      <c r="W81" s="127" t="e">
        <f>$I18*W18</f>
        <v>#REF!</v>
      </c>
      <c r="X81" s="128" t="e">
        <f>$I18*X18</f>
        <v>#REF!</v>
      </c>
      <c r="Y81" s="126" t="e">
        <f>$I18*Y18</f>
        <v>#REF!</v>
      </c>
      <c r="Z81" s="127" t="e">
        <f>$I18*Z18</f>
        <v>#REF!</v>
      </c>
      <c r="AA81" s="128" t="e">
        <f>$I18*AA18</f>
        <v>#REF!</v>
      </c>
      <c r="AB81" s="126" t="e">
        <f>$I18*AB18</f>
        <v>#REF!</v>
      </c>
      <c r="AC81" s="129" t="e">
        <f>$I18*AC18</f>
        <v>#REF!</v>
      </c>
      <c r="AD81" s="128" t="e">
        <f>$I18*AD18</f>
        <v>#REF!</v>
      </c>
      <c r="AE81" s="130" t="e">
        <f>$H18*AE18</f>
        <v>#REF!</v>
      </c>
      <c r="AG81" s="114" t="e">
        <f>J81*$F81</f>
        <v>#REF!</v>
      </c>
      <c r="AH81" s="115" t="e">
        <f>K81*$F81</f>
        <v>#REF!</v>
      </c>
      <c r="AI81" s="116" t="e">
        <f>L81*$F81</f>
        <v>#REF!</v>
      </c>
      <c r="AJ81" s="117" t="e">
        <f>M81*$F81</f>
        <v>#REF!</v>
      </c>
      <c r="AK81" s="115" t="e">
        <f>K81*$F81</f>
        <v>#REF!</v>
      </c>
      <c r="AL81" s="116" t="e">
        <f>O81*$F81</f>
        <v>#REF!</v>
      </c>
      <c r="AM81" s="117" t="e">
        <f>P81*$F81</f>
        <v>#REF!</v>
      </c>
      <c r="AN81" s="115" t="e">
        <f>N81*$F81</f>
        <v>#REF!</v>
      </c>
      <c r="AO81" s="116" t="e">
        <f>R81*$F81</f>
        <v>#REF!</v>
      </c>
      <c r="AP81" s="117" t="e">
        <f>S81*$F81</f>
        <v>#REF!</v>
      </c>
      <c r="AQ81" s="115" t="e">
        <f>Q81*$F81</f>
        <v>#REF!</v>
      </c>
      <c r="AR81" s="116" t="e">
        <f>U81*$F81</f>
        <v>#REF!</v>
      </c>
      <c r="AS81" s="117" t="e">
        <f>V81*$F81</f>
        <v>#REF!</v>
      </c>
      <c r="AT81" s="115" t="e">
        <f>T81*$F81</f>
        <v>#REF!</v>
      </c>
      <c r="AU81" s="116" t="e">
        <f>X81*$F81</f>
        <v>#REF!</v>
      </c>
      <c r="AV81" s="117" t="e">
        <f>Y81*$F81</f>
        <v>#REF!</v>
      </c>
      <c r="AW81" s="115" t="e">
        <f>W81*$F81</f>
        <v>#REF!</v>
      </c>
      <c r="AX81" s="116" t="e">
        <f>AA81*$F81</f>
        <v>#REF!</v>
      </c>
      <c r="AY81" s="117" t="e">
        <f>AB81*$F81</f>
        <v>#REF!</v>
      </c>
      <c r="AZ81" s="118" t="e">
        <f>Z81*$F81</f>
        <v>#REF!</v>
      </c>
      <c r="BA81" s="119" t="e">
        <f>AD81*$F81</f>
        <v>#REF!</v>
      </c>
      <c r="BB81" s="120"/>
      <c r="BC81" s="121" t="e">
        <f>ROUNDUP(O81/$BC$13,0)</f>
        <v>#REF!</v>
      </c>
      <c r="BD81" s="121" t="e">
        <f>ROUNDUP(R81/$BD$13,0)</f>
        <v>#REF!</v>
      </c>
      <c r="BE81" s="121" t="e">
        <f>ROUNDUP(U81/$BE$13,0)</f>
        <v>#REF!</v>
      </c>
      <c r="BF81" s="121" t="e">
        <f>ROUNDUP(X81/$BF$13,0)</f>
        <v>#REF!</v>
      </c>
      <c r="BG81" s="121" t="e">
        <f>ROUNDUP(AA81/$BG$13,0)</f>
        <v>#REF!</v>
      </c>
      <c r="BH81" s="121" t="e">
        <f>ROUNDUP(AD81/$BH$13,0)</f>
        <v>#REF!</v>
      </c>
    </row>
    <row r="82" spans="1:61" customHeight="1" ht="20.1" s="188" customFormat="1">
      <c r="A82" s="1257"/>
      <c r="B82" s="1250"/>
      <c r="C82" s="179" t="str">
        <f>C19</f>
        <v>82111-47480 B </v>
      </c>
      <c r="D82" s="180" t="e">
        <f>D19</f>
        <v>#REF!</v>
      </c>
      <c r="E82" s="180" t="e">
        <f>+E19</f>
        <v>#REF!</v>
      </c>
      <c r="F82" s="181">
        <f>+F19</f>
        <v>301</v>
      </c>
      <c r="G82" s="181">
        <f>+G19</f>
        <v>6</v>
      </c>
      <c r="H82" s="182" t="e">
        <f>+H19</f>
        <v>#REF!</v>
      </c>
      <c r="I82" s="147" t="e">
        <f>I19</f>
        <v>#REF!</v>
      </c>
      <c r="J82" s="183" t="e">
        <f>$H19*J19</f>
        <v>#REF!</v>
      </c>
      <c r="K82" s="184" t="e">
        <f>$H19*K19</f>
        <v>#REF!</v>
      </c>
      <c r="L82" s="185" t="e">
        <f>$H19*L19</f>
        <v>#REF!</v>
      </c>
      <c r="M82" s="183" t="e">
        <f>$I19*M19</f>
        <v>#REF!</v>
      </c>
      <c r="N82" s="184" t="e">
        <f>$I19*N19</f>
        <v>#REF!</v>
      </c>
      <c r="O82" s="185" t="e">
        <f>$I19*O19</f>
        <v>#REF!</v>
      </c>
      <c r="P82" s="183" t="e">
        <f>$I19*P19</f>
        <v>#REF!</v>
      </c>
      <c r="Q82" s="184" t="e">
        <f>$I19*Q19</f>
        <v>#REF!</v>
      </c>
      <c r="R82" s="185" t="e">
        <f>$I19*R19</f>
        <v>#REF!</v>
      </c>
      <c r="S82" s="183" t="e">
        <f>$I19*S19</f>
        <v>#REF!</v>
      </c>
      <c r="T82" s="184" t="e">
        <f>$I19*T19</f>
        <v>#REF!</v>
      </c>
      <c r="U82" s="185" t="e">
        <f>$I19*U19</f>
        <v>#REF!</v>
      </c>
      <c r="V82" s="183" t="e">
        <f>$I19*V19</f>
        <v>#REF!</v>
      </c>
      <c r="W82" s="184" t="e">
        <f>$I19*W19</f>
        <v>#REF!</v>
      </c>
      <c r="X82" s="185" t="e">
        <f>$I19*X19</f>
        <v>#REF!</v>
      </c>
      <c r="Y82" s="183" t="e">
        <f>$I19*Y19</f>
        <v>#REF!</v>
      </c>
      <c r="Z82" s="184" t="e">
        <f>$I19*Z19</f>
        <v>#REF!</v>
      </c>
      <c r="AA82" s="185" t="e">
        <f>$I19*AA19</f>
        <v>#REF!</v>
      </c>
      <c r="AB82" s="183" t="e">
        <f>$I19*AB19</f>
        <v>#REF!</v>
      </c>
      <c r="AC82" s="186" t="e">
        <f>$I19*AC19</f>
        <v>#REF!</v>
      </c>
      <c r="AD82" s="185" t="e">
        <f>$I19*AD19</f>
        <v>#REF!</v>
      </c>
      <c r="AE82" s="187" t="e">
        <f>$H19*AE19</f>
        <v>#REF!</v>
      </c>
      <c r="AG82" s="189" t="e">
        <f>J82*$F82</f>
        <v>#REF!</v>
      </c>
      <c r="AH82" s="190" t="e">
        <f>K82*$F82</f>
        <v>#REF!</v>
      </c>
      <c r="AI82" s="191" t="e">
        <f>L82*$F82</f>
        <v>#REF!</v>
      </c>
      <c r="AJ82" s="192" t="e">
        <f>M82*$F82</f>
        <v>#REF!</v>
      </c>
      <c r="AK82" s="190" t="e">
        <f>K82*$F82</f>
        <v>#REF!</v>
      </c>
      <c r="AL82" s="191" t="e">
        <f>O82*$F82</f>
        <v>#REF!</v>
      </c>
      <c r="AM82" s="192" t="e">
        <f>P82*$F82</f>
        <v>#REF!</v>
      </c>
      <c r="AN82" s="190" t="e">
        <f>N82*$F82</f>
        <v>#REF!</v>
      </c>
      <c r="AO82" s="191" t="e">
        <f>R82*$F82</f>
        <v>#REF!</v>
      </c>
      <c r="AP82" s="192" t="e">
        <f>S82*$F82</f>
        <v>#REF!</v>
      </c>
      <c r="AQ82" s="190" t="e">
        <f>Q82*$F82</f>
        <v>#REF!</v>
      </c>
      <c r="AR82" s="191" t="e">
        <f>U82*$F82</f>
        <v>#REF!</v>
      </c>
      <c r="AS82" s="192" t="e">
        <f>V82*$F82</f>
        <v>#REF!</v>
      </c>
      <c r="AT82" s="190" t="e">
        <f>T82*$F82</f>
        <v>#REF!</v>
      </c>
      <c r="AU82" s="191" t="e">
        <f>X82*$F82</f>
        <v>#REF!</v>
      </c>
      <c r="AV82" s="192" t="e">
        <f>Y82*$F82</f>
        <v>#REF!</v>
      </c>
      <c r="AW82" s="190" t="e">
        <f>W82*$F82</f>
        <v>#REF!</v>
      </c>
      <c r="AX82" s="191" t="e">
        <f>AA82*$F82</f>
        <v>#REF!</v>
      </c>
      <c r="AY82" s="192" t="e">
        <f>AB82*$F82</f>
        <v>#REF!</v>
      </c>
      <c r="AZ82" s="193" t="e">
        <f>Z82*$F82</f>
        <v>#REF!</v>
      </c>
      <c r="BA82" s="194" t="e">
        <f>AD82*$F82</f>
        <v>#REF!</v>
      </c>
      <c r="BB82" s="195"/>
      <c r="BC82" s="121" t="e">
        <f>ROUNDUP(O82/$BC$13,0)</f>
        <v>#REF!</v>
      </c>
      <c r="BD82" s="121" t="e">
        <f>ROUNDUP(R82/$BD$13,0)</f>
        <v>#REF!</v>
      </c>
      <c r="BE82" s="121" t="e">
        <f>ROUNDUP(U82/$BE$13,0)</f>
        <v>#REF!</v>
      </c>
      <c r="BF82" s="121" t="e">
        <f>ROUNDUP(X82/$BF$13,0)</f>
        <v>#REF!</v>
      </c>
      <c r="BG82" s="121" t="e">
        <f>ROUNDUP(AA82/$BG$13,0)</f>
        <v>#REF!</v>
      </c>
      <c r="BH82" s="121" t="e">
        <f>ROUNDUP(AD82/$BH$13,0)</f>
        <v>#REF!</v>
      </c>
    </row>
    <row r="83" spans="1:61" customHeight="1" ht="20.1" s="113" customFormat="1">
      <c r="A83" s="319"/>
      <c r="B83" s="1248" t="s">
        <v>266</v>
      </c>
      <c r="C83" s="103" t="str">
        <f>C20</f>
        <v>82111-47461</v>
      </c>
      <c r="D83" s="104" t="e">
        <f>D20</f>
        <v>#REF!</v>
      </c>
      <c r="E83" s="104" t="e">
        <f>+E20</f>
        <v>#REF!</v>
      </c>
      <c r="F83" s="105">
        <f>+F20</f>
        <v>332</v>
      </c>
      <c r="G83" s="105">
        <f>+G20</f>
        <v>6</v>
      </c>
      <c r="H83" s="106" t="e">
        <f>+H20</f>
        <v>#REF!</v>
      </c>
      <c r="I83" s="147" t="e">
        <f>I20</f>
        <v>#REF!</v>
      </c>
      <c r="J83" s="108" t="e">
        <f>$H20*J20</f>
        <v>#REF!</v>
      </c>
      <c r="K83" s="109" t="e">
        <f>$H20*K20</f>
        <v>#REF!</v>
      </c>
      <c r="L83" s="110" t="e">
        <f>$H20*L20</f>
        <v>#REF!</v>
      </c>
      <c r="M83" s="108" t="e">
        <f>$I20*M20</f>
        <v>#REF!</v>
      </c>
      <c r="N83" s="109" t="e">
        <f>$I20*N20</f>
        <v>#REF!</v>
      </c>
      <c r="O83" s="110" t="e">
        <f>$I20*O20</f>
        <v>#REF!</v>
      </c>
      <c r="P83" s="108" t="e">
        <f>$I20*P20</f>
        <v>#REF!</v>
      </c>
      <c r="Q83" s="109" t="e">
        <f>$I20*Q20</f>
        <v>#REF!</v>
      </c>
      <c r="R83" s="110" t="e">
        <f>$I20*R20</f>
        <v>#REF!</v>
      </c>
      <c r="S83" s="108" t="e">
        <f>$I20*S20</f>
        <v>#REF!</v>
      </c>
      <c r="T83" s="109" t="e">
        <f>$I20*T20</f>
        <v>#REF!</v>
      </c>
      <c r="U83" s="110" t="e">
        <f>$I20*U20</f>
        <v>#REF!</v>
      </c>
      <c r="V83" s="108" t="e">
        <f>$I20*V20</f>
        <v>#REF!</v>
      </c>
      <c r="W83" s="109" t="e">
        <f>$I20*W20</f>
        <v>#REF!</v>
      </c>
      <c r="X83" s="110" t="e">
        <f>$I20*X20</f>
        <v>#REF!</v>
      </c>
      <c r="Y83" s="108" t="e">
        <f>$I20*Y20</f>
        <v>#REF!</v>
      </c>
      <c r="Z83" s="109" t="e">
        <f>$I20*Z20</f>
        <v>#REF!</v>
      </c>
      <c r="AA83" s="110" t="e">
        <f>$I20*AA20</f>
        <v>#REF!</v>
      </c>
      <c r="AB83" s="108" t="e">
        <f>$I20*AB20</f>
        <v>#REF!</v>
      </c>
      <c r="AC83" s="111" t="e">
        <f>$I20*AC20</f>
        <v>#REF!</v>
      </c>
      <c r="AD83" s="110" t="e">
        <f>$I20*AD20</f>
        <v>#REF!</v>
      </c>
      <c r="AE83" s="112" t="e">
        <f>$H20*AE20</f>
        <v>#REF!</v>
      </c>
      <c r="AG83" s="114" t="e">
        <f>J83*$F83</f>
        <v>#REF!</v>
      </c>
      <c r="AH83" s="115" t="e">
        <f>K83*$F83</f>
        <v>#REF!</v>
      </c>
      <c r="AI83" s="116" t="e">
        <f>L83*$F83</f>
        <v>#REF!</v>
      </c>
      <c r="AJ83" s="117" t="e">
        <f>M83*$F83</f>
        <v>#REF!</v>
      </c>
      <c r="AK83" s="115" t="e">
        <f>K83*$F83</f>
        <v>#REF!</v>
      </c>
      <c r="AL83" s="116" t="e">
        <f>O83*$F83</f>
        <v>#REF!</v>
      </c>
      <c r="AM83" s="117" t="e">
        <f>P83*$F83</f>
        <v>#REF!</v>
      </c>
      <c r="AN83" s="115" t="e">
        <f>N83*$F83</f>
        <v>#REF!</v>
      </c>
      <c r="AO83" s="116" t="e">
        <f>R83*$F83</f>
        <v>#REF!</v>
      </c>
      <c r="AP83" s="117" t="e">
        <f>S83*$F83</f>
        <v>#REF!</v>
      </c>
      <c r="AQ83" s="115" t="e">
        <f>Q83*$F83</f>
        <v>#REF!</v>
      </c>
      <c r="AR83" s="116" t="e">
        <f>U83*$F83</f>
        <v>#REF!</v>
      </c>
      <c r="AS83" s="117" t="e">
        <f>V83*$F83</f>
        <v>#REF!</v>
      </c>
      <c r="AT83" s="115" t="e">
        <f>T83*$F83</f>
        <v>#REF!</v>
      </c>
      <c r="AU83" s="116" t="e">
        <f>X83*$F83</f>
        <v>#REF!</v>
      </c>
      <c r="AV83" s="117" t="e">
        <f>Y83*$F83</f>
        <v>#REF!</v>
      </c>
      <c r="AW83" s="115" t="e">
        <f>W83*$F83</f>
        <v>#REF!</v>
      </c>
      <c r="AX83" s="116" t="e">
        <f>AA83*$F83</f>
        <v>#REF!</v>
      </c>
      <c r="AY83" s="117" t="e">
        <f>AB83*$F83</f>
        <v>#REF!</v>
      </c>
      <c r="AZ83" s="118" t="e">
        <f>Z83*$F83</f>
        <v>#REF!</v>
      </c>
      <c r="BA83" s="119" t="e">
        <f>AD83*$F83</f>
        <v>#REF!</v>
      </c>
      <c r="BB83" s="120"/>
      <c r="BC83" s="121" t="e">
        <f>ROUNDUP(O83/$BC$13,0)</f>
        <v>#REF!</v>
      </c>
      <c r="BD83" s="121" t="e">
        <f>ROUNDUP(R83/$BD$13,0)</f>
        <v>#REF!</v>
      </c>
      <c r="BE83" s="121" t="e">
        <f>ROUNDUP(U83/$BE$13,0)</f>
        <v>#REF!</v>
      </c>
      <c r="BF83" s="121" t="e">
        <f>ROUNDUP(X83/$BF$13,0)</f>
        <v>#REF!</v>
      </c>
      <c r="BG83" s="121" t="e">
        <f>ROUNDUP(AA83/$BG$13,0)</f>
        <v>#REF!</v>
      </c>
      <c r="BH83" s="121" t="e">
        <f>ROUNDUP(AD83/$BH$13,0)</f>
        <v>#REF!</v>
      </c>
    </row>
    <row r="84" spans="1:61" customHeight="1" ht="20.1" s="113" customFormat="1">
      <c r="A84" s="319"/>
      <c r="B84" s="1249"/>
      <c r="C84" s="103" t="str">
        <f>C21</f>
        <v>82111-47462</v>
      </c>
      <c r="D84" s="104" t="e">
        <f>D21</f>
        <v>#REF!</v>
      </c>
      <c r="E84" s="104" t="e">
        <f>+E21</f>
        <v>#REF!</v>
      </c>
      <c r="F84" s="105">
        <f>+F21</f>
        <v>332</v>
      </c>
      <c r="G84" s="105">
        <f>+G21</f>
        <v>6</v>
      </c>
      <c r="H84" s="106" t="e">
        <f>+H21</f>
        <v>#REF!</v>
      </c>
      <c r="I84" s="147" t="e">
        <f>I21</f>
        <v>#REF!</v>
      </c>
      <c r="J84" s="108" t="e">
        <f>$H21*J21</f>
        <v>#REF!</v>
      </c>
      <c r="K84" s="109" t="e">
        <f>$H21*K21</f>
        <v>#REF!</v>
      </c>
      <c r="L84" s="110" t="e">
        <f>$H21*L21</f>
        <v>#REF!</v>
      </c>
      <c r="M84" s="108" t="e">
        <f>$I21*M21</f>
        <v>#REF!</v>
      </c>
      <c r="N84" s="109" t="e">
        <f>$I21*N21</f>
        <v>#REF!</v>
      </c>
      <c r="O84" s="110" t="e">
        <f>$I21*O21</f>
        <v>#REF!</v>
      </c>
      <c r="P84" s="108" t="e">
        <f>$I21*P21</f>
        <v>#REF!</v>
      </c>
      <c r="Q84" s="109" t="e">
        <f>$I21*Q21</f>
        <v>#REF!</v>
      </c>
      <c r="R84" s="110" t="e">
        <f>$I21*R21</f>
        <v>#REF!</v>
      </c>
      <c r="S84" s="108" t="e">
        <f>$I21*S21</f>
        <v>#REF!</v>
      </c>
      <c r="T84" s="109" t="e">
        <f>$I21*T21</f>
        <v>#REF!</v>
      </c>
      <c r="U84" s="110" t="e">
        <f>$I21*U21</f>
        <v>#REF!</v>
      </c>
      <c r="V84" s="108" t="e">
        <f>$I21*V21</f>
        <v>#REF!</v>
      </c>
      <c r="W84" s="109" t="e">
        <f>$I21*W21</f>
        <v>#REF!</v>
      </c>
      <c r="X84" s="110" t="e">
        <f>$I21*X21</f>
        <v>#REF!</v>
      </c>
      <c r="Y84" s="108" t="e">
        <f>$I21*Y21</f>
        <v>#REF!</v>
      </c>
      <c r="Z84" s="109" t="e">
        <f>$I21*Z21</f>
        <v>#REF!</v>
      </c>
      <c r="AA84" s="110" t="e">
        <f>$I21*AA21</f>
        <v>#REF!</v>
      </c>
      <c r="AB84" s="108" t="e">
        <f>$I21*AB21</f>
        <v>#REF!</v>
      </c>
      <c r="AC84" s="111" t="e">
        <f>$I21*AC21</f>
        <v>#REF!</v>
      </c>
      <c r="AD84" s="110" t="e">
        <f>$I21*AD21</f>
        <v>#REF!</v>
      </c>
      <c r="AE84" s="112" t="e">
        <f>$H21*AE21</f>
        <v>#REF!</v>
      </c>
      <c r="AG84" s="114" t="e">
        <f>J84*$F84</f>
        <v>#REF!</v>
      </c>
      <c r="AH84" s="115" t="e">
        <f>K84*$F84</f>
        <v>#REF!</v>
      </c>
      <c r="AI84" s="116" t="e">
        <f>L84*$F84</f>
        <v>#REF!</v>
      </c>
      <c r="AJ84" s="117" t="e">
        <f>M84*$F84</f>
        <v>#REF!</v>
      </c>
      <c r="AK84" s="115" t="e">
        <f>K84*$F84</f>
        <v>#REF!</v>
      </c>
      <c r="AL84" s="116" t="e">
        <f>O84*$F84</f>
        <v>#REF!</v>
      </c>
      <c r="AM84" s="117" t="e">
        <f>P84*$F84</f>
        <v>#REF!</v>
      </c>
      <c r="AN84" s="115" t="e">
        <f>N84*$F84</f>
        <v>#REF!</v>
      </c>
      <c r="AO84" s="116" t="e">
        <f>R84*$F84</f>
        <v>#REF!</v>
      </c>
      <c r="AP84" s="117" t="e">
        <f>S84*$F84</f>
        <v>#REF!</v>
      </c>
      <c r="AQ84" s="115" t="e">
        <f>Q84*$F84</f>
        <v>#REF!</v>
      </c>
      <c r="AR84" s="116" t="e">
        <f>U84*$F84</f>
        <v>#REF!</v>
      </c>
      <c r="AS84" s="117" t="e">
        <f>V84*$F84</f>
        <v>#REF!</v>
      </c>
      <c r="AT84" s="115" t="e">
        <f>T84*$F84</f>
        <v>#REF!</v>
      </c>
      <c r="AU84" s="116" t="e">
        <f>X84*$F84</f>
        <v>#REF!</v>
      </c>
      <c r="AV84" s="117" t="e">
        <f>Y84*$F84</f>
        <v>#REF!</v>
      </c>
      <c r="AW84" s="115" t="e">
        <f>W84*$F84</f>
        <v>#REF!</v>
      </c>
      <c r="AX84" s="116" t="e">
        <f>AA84*$F84</f>
        <v>#REF!</v>
      </c>
      <c r="AY84" s="117" t="e">
        <f>AB84*$F84</f>
        <v>#REF!</v>
      </c>
      <c r="AZ84" s="118" t="e">
        <f>Z84*$F84</f>
        <v>#REF!</v>
      </c>
      <c r="BA84" s="119" t="e">
        <f>AD84*$F84</f>
        <v>#REF!</v>
      </c>
      <c r="BB84" s="120"/>
      <c r="BC84" s="121" t="e">
        <f>ROUNDUP(O84/$BC$13,0)</f>
        <v>#REF!</v>
      </c>
      <c r="BD84" s="121" t="e">
        <f>ROUNDUP(R84/$BD$13,0)</f>
        <v>#REF!</v>
      </c>
      <c r="BE84" s="121" t="e">
        <f>ROUNDUP(U84/$BE$13,0)</f>
        <v>#REF!</v>
      </c>
      <c r="BF84" s="121" t="e">
        <f>ROUNDUP(X84/$BF$13,0)</f>
        <v>#REF!</v>
      </c>
      <c r="BG84" s="121" t="e">
        <f>ROUNDUP(AA84/$BG$13,0)</f>
        <v>#REF!</v>
      </c>
      <c r="BH84" s="121" t="e">
        <f>ROUNDUP(AD84/$BH$13,0)</f>
        <v>#REF!</v>
      </c>
    </row>
    <row r="85" spans="1:61" customHeight="1" ht="20.1" s="113" customFormat="1">
      <c r="A85" s="319"/>
      <c r="B85" s="1249"/>
      <c r="C85" s="122" t="str">
        <f>C22</f>
        <v>82111-47341</v>
      </c>
      <c r="D85" s="123" t="e">
        <f>D22</f>
        <v>#REF!</v>
      </c>
      <c r="E85" s="123" t="e">
        <f>+E22</f>
        <v>#REF!</v>
      </c>
      <c r="F85" s="124">
        <f>+F22</f>
        <v>351</v>
      </c>
      <c r="G85" s="124">
        <f>+G22</f>
        <v>6</v>
      </c>
      <c r="H85" s="125" t="e">
        <f>+H22</f>
        <v>#REF!</v>
      </c>
      <c r="I85" s="277" t="e">
        <f>I22</f>
        <v>#REF!</v>
      </c>
      <c r="J85" s="126" t="e">
        <f>$H22*J22</f>
        <v>#REF!</v>
      </c>
      <c r="K85" s="127" t="e">
        <f>$H22*K22</f>
        <v>#REF!</v>
      </c>
      <c r="L85" s="128" t="e">
        <f>$H22*L22</f>
        <v>#REF!</v>
      </c>
      <c r="M85" s="126" t="e">
        <f>$I22*M22</f>
        <v>#REF!</v>
      </c>
      <c r="N85" s="127" t="e">
        <f>$I22*N22</f>
        <v>#REF!</v>
      </c>
      <c r="O85" s="128" t="e">
        <f>$I22*O22</f>
        <v>#REF!</v>
      </c>
      <c r="P85" s="126" t="e">
        <f>$I22*P22</f>
        <v>#REF!</v>
      </c>
      <c r="Q85" s="127" t="e">
        <f>$I22*Q22</f>
        <v>#REF!</v>
      </c>
      <c r="R85" s="128" t="e">
        <f>$I22*R22</f>
        <v>#REF!</v>
      </c>
      <c r="S85" s="126" t="e">
        <f>$I22*S22</f>
        <v>#REF!</v>
      </c>
      <c r="T85" s="127" t="e">
        <f>$I22*T22</f>
        <v>#REF!</v>
      </c>
      <c r="U85" s="128" t="e">
        <f>$I22*U22</f>
        <v>#REF!</v>
      </c>
      <c r="V85" s="126" t="e">
        <f>$I22*V22</f>
        <v>#REF!</v>
      </c>
      <c r="W85" s="127" t="e">
        <f>$I22*W22</f>
        <v>#REF!</v>
      </c>
      <c r="X85" s="128" t="e">
        <f>$I22*X22</f>
        <v>#REF!</v>
      </c>
      <c r="Y85" s="126" t="e">
        <f>$I22*Y22</f>
        <v>#REF!</v>
      </c>
      <c r="Z85" s="127" t="e">
        <f>$I22*Z22</f>
        <v>#REF!</v>
      </c>
      <c r="AA85" s="128" t="e">
        <f>$I22*AA22</f>
        <v>#REF!</v>
      </c>
      <c r="AB85" s="126" t="e">
        <f>$I22*AB22</f>
        <v>#REF!</v>
      </c>
      <c r="AC85" s="129" t="e">
        <f>$I22*AC22</f>
        <v>#REF!</v>
      </c>
      <c r="AD85" s="128" t="e">
        <f>$I22*AD22</f>
        <v>#REF!</v>
      </c>
      <c r="AE85" s="130" t="e">
        <f>$H22*AE22</f>
        <v>#REF!</v>
      </c>
      <c r="AG85" s="114" t="e">
        <f>J85*$F85</f>
        <v>#REF!</v>
      </c>
      <c r="AH85" s="115" t="e">
        <f>K85*$F85</f>
        <v>#REF!</v>
      </c>
      <c r="AI85" s="116" t="e">
        <f>L85*$F85</f>
        <v>#REF!</v>
      </c>
      <c r="AJ85" s="117" t="e">
        <f>M85*$F85</f>
        <v>#REF!</v>
      </c>
      <c r="AK85" s="115" t="e">
        <f>K85*$F85</f>
        <v>#REF!</v>
      </c>
      <c r="AL85" s="116" t="e">
        <f>O85*$F85</f>
        <v>#REF!</v>
      </c>
      <c r="AM85" s="117" t="e">
        <f>P85*$F85</f>
        <v>#REF!</v>
      </c>
      <c r="AN85" s="115" t="e">
        <f>N85*$F85</f>
        <v>#REF!</v>
      </c>
      <c r="AO85" s="116" t="e">
        <f>R85*$F85</f>
        <v>#REF!</v>
      </c>
      <c r="AP85" s="117" t="e">
        <f>S85*$F85</f>
        <v>#REF!</v>
      </c>
      <c r="AQ85" s="115" t="e">
        <f>Q85*$F85</f>
        <v>#REF!</v>
      </c>
      <c r="AR85" s="116" t="e">
        <f>U85*$F85</f>
        <v>#REF!</v>
      </c>
      <c r="AS85" s="117" t="e">
        <f>V85*$F85</f>
        <v>#REF!</v>
      </c>
      <c r="AT85" s="115" t="e">
        <f>T85*$F85</f>
        <v>#REF!</v>
      </c>
      <c r="AU85" s="116" t="e">
        <f>X85*$F85</f>
        <v>#REF!</v>
      </c>
      <c r="AV85" s="117" t="e">
        <f>Y85*$F85</f>
        <v>#REF!</v>
      </c>
      <c r="AW85" s="115" t="e">
        <f>W85*$F85</f>
        <v>#REF!</v>
      </c>
      <c r="AX85" s="116" t="e">
        <f>AA85*$F85</f>
        <v>#REF!</v>
      </c>
      <c r="AY85" s="117" t="e">
        <f>AB85*$F85</f>
        <v>#REF!</v>
      </c>
      <c r="AZ85" s="118" t="e">
        <f>Z85*$F85</f>
        <v>#REF!</v>
      </c>
      <c r="BA85" s="119" t="e">
        <f>AD85*$F85</f>
        <v>#REF!</v>
      </c>
      <c r="BB85" s="120"/>
      <c r="BC85" s="121" t="e">
        <f>ROUNDUP(O85/$BC$13,0)</f>
        <v>#REF!</v>
      </c>
      <c r="BD85" s="121" t="e">
        <f>ROUNDUP(R85/$BD$13,0)</f>
        <v>#REF!</v>
      </c>
      <c r="BE85" s="121" t="e">
        <f>ROUNDUP(U85/$BE$13,0)</f>
        <v>#REF!</v>
      </c>
      <c r="BF85" s="121" t="e">
        <f>ROUNDUP(X85/$BF$13,0)</f>
        <v>#REF!</v>
      </c>
      <c r="BG85" s="121" t="e">
        <f>ROUNDUP(AA85/$BG$13,0)</f>
        <v>#REF!</v>
      </c>
      <c r="BH85" s="121" t="e">
        <f>ROUNDUP(AD85/$BH$13,0)</f>
        <v>#REF!</v>
      </c>
    </row>
    <row r="86" spans="1:61" customHeight="1" ht="20.1" s="113" customFormat="1">
      <c r="A86" s="319"/>
      <c r="B86" s="1249"/>
      <c r="C86" s="122" t="str">
        <f>C23</f>
        <v>82111-47342</v>
      </c>
      <c r="D86" s="123" t="e">
        <f>D23</f>
        <v>#REF!</v>
      </c>
      <c r="E86" s="123" t="e">
        <f>+E23</f>
        <v>#REF!</v>
      </c>
      <c r="F86" s="124">
        <f>+F23</f>
        <v>351</v>
      </c>
      <c r="G86" s="124">
        <f>+G23</f>
        <v>6</v>
      </c>
      <c r="H86" s="125" t="e">
        <f>+H23</f>
        <v>#REF!</v>
      </c>
      <c r="I86" s="277" t="e">
        <f>I23</f>
        <v>#REF!</v>
      </c>
      <c r="J86" s="126" t="e">
        <f>$H23*J23</f>
        <v>#REF!</v>
      </c>
      <c r="K86" s="127" t="e">
        <f>$H23*K23</f>
        <v>#REF!</v>
      </c>
      <c r="L86" s="128" t="e">
        <f>$H23*L23</f>
        <v>#REF!</v>
      </c>
      <c r="M86" s="126" t="e">
        <f>$I23*M23</f>
        <v>#REF!</v>
      </c>
      <c r="N86" s="127" t="e">
        <f>$I23*N23</f>
        <v>#REF!</v>
      </c>
      <c r="O86" s="128" t="e">
        <f>$I23*O23</f>
        <v>#REF!</v>
      </c>
      <c r="P86" s="126" t="e">
        <f>$I23*P23</f>
        <v>#REF!</v>
      </c>
      <c r="Q86" s="127" t="e">
        <f>$I23*Q23</f>
        <v>#REF!</v>
      </c>
      <c r="R86" s="128" t="e">
        <f>$I23*R23</f>
        <v>#REF!</v>
      </c>
      <c r="S86" s="126" t="e">
        <f>$I23*S23</f>
        <v>#REF!</v>
      </c>
      <c r="T86" s="127" t="e">
        <f>$I23*T23</f>
        <v>#REF!</v>
      </c>
      <c r="U86" s="128" t="e">
        <f>$I23*U23</f>
        <v>#REF!</v>
      </c>
      <c r="V86" s="126" t="e">
        <f>$I23*V23</f>
        <v>#REF!</v>
      </c>
      <c r="W86" s="127" t="e">
        <f>$I23*W23</f>
        <v>#REF!</v>
      </c>
      <c r="X86" s="128" t="e">
        <f>$I23*X23</f>
        <v>#REF!</v>
      </c>
      <c r="Y86" s="126" t="e">
        <f>$I23*Y23</f>
        <v>#REF!</v>
      </c>
      <c r="Z86" s="127" t="e">
        <f>$I23*Z23</f>
        <v>#REF!</v>
      </c>
      <c r="AA86" s="128" t="e">
        <f>$I23*AA23</f>
        <v>#REF!</v>
      </c>
      <c r="AB86" s="126" t="e">
        <f>$I23*AB23</f>
        <v>#REF!</v>
      </c>
      <c r="AC86" s="129" t="e">
        <f>$I23*AC23</f>
        <v>#REF!</v>
      </c>
      <c r="AD86" s="128" t="e">
        <f>$I23*AD23</f>
        <v>#REF!</v>
      </c>
      <c r="AE86" s="130" t="e">
        <f>$H23*AE23</f>
        <v>#REF!</v>
      </c>
      <c r="AG86" s="114" t="e">
        <f>J86*$F86</f>
        <v>#REF!</v>
      </c>
      <c r="AH86" s="115" t="e">
        <f>K86*$F86</f>
        <v>#REF!</v>
      </c>
      <c r="AI86" s="116" t="e">
        <f>L86*$F86</f>
        <v>#REF!</v>
      </c>
      <c r="AJ86" s="117" t="e">
        <f>M86*$F86</f>
        <v>#REF!</v>
      </c>
      <c r="AK86" s="115" t="e">
        <f>K86*$F86</f>
        <v>#REF!</v>
      </c>
      <c r="AL86" s="116" t="e">
        <f>O86*$F86</f>
        <v>#REF!</v>
      </c>
      <c r="AM86" s="117" t="e">
        <f>P86*$F86</f>
        <v>#REF!</v>
      </c>
      <c r="AN86" s="115" t="e">
        <f>N86*$F86</f>
        <v>#REF!</v>
      </c>
      <c r="AO86" s="116" t="e">
        <f>R86*$F86</f>
        <v>#REF!</v>
      </c>
      <c r="AP86" s="117" t="e">
        <f>S86*$F86</f>
        <v>#REF!</v>
      </c>
      <c r="AQ86" s="115" t="e">
        <f>Q86*$F86</f>
        <v>#REF!</v>
      </c>
      <c r="AR86" s="116" t="e">
        <f>U86*$F86</f>
        <v>#REF!</v>
      </c>
      <c r="AS86" s="117" t="e">
        <f>V86*$F86</f>
        <v>#REF!</v>
      </c>
      <c r="AT86" s="115" t="e">
        <f>T86*$F86</f>
        <v>#REF!</v>
      </c>
      <c r="AU86" s="116" t="e">
        <f>X86*$F86</f>
        <v>#REF!</v>
      </c>
      <c r="AV86" s="117" t="e">
        <f>Y86*$F86</f>
        <v>#REF!</v>
      </c>
      <c r="AW86" s="115" t="e">
        <f>W86*$F86</f>
        <v>#REF!</v>
      </c>
      <c r="AX86" s="116" t="e">
        <f>AA86*$F86</f>
        <v>#REF!</v>
      </c>
      <c r="AY86" s="117" t="e">
        <f>AB86*$F86</f>
        <v>#REF!</v>
      </c>
      <c r="AZ86" s="118" t="e">
        <f>Z86*$F86</f>
        <v>#REF!</v>
      </c>
      <c r="BA86" s="119" t="e">
        <f>AD86*$F86</f>
        <v>#REF!</v>
      </c>
      <c r="BB86" s="120"/>
      <c r="BC86" s="121" t="e">
        <f>ROUNDUP(O86/$BC$13,0)</f>
        <v>#REF!</v>
      </c>
      <c r="BD86" s="121" t="e">
        <f>ROUNDUP(R86/$BD$13,0)</f>
        <v>#REF!</v>
      </c>
      <c r="BE86" s="121" t="e">
        <f>ROUNDUP(U86/$BE$13,0)</f>
        <v>#REF!</v>
      </c>
      <c r="BF86" s="121" t="e">
        <f>ROUNDUP(X86/$BF$13,0)</f>
        <v>#REF!</v>
      </c>
      <c r="BG86" s="121" t="e">
        <f>ROUNDUP(AA86/$BG$13,0)</f>
        <v>#REF!</v>
      </c>
      <c r="BH86" s="121" t="e">
        <f>ROUNDUP(AD86/$BH$13,0)</f>
        <v>#REF!</v>
      </c>
    </row>
    <row r="87" spans="1:61" customHeight="1" ht="20.1" s="188" customFormat="1">
      <c r="A87" s="319"/>
      <c r="B87" s="1250"/>
      <c r="C87" s="179" t="str">
        <f>C24</f>
        <v>82111-47451</v>
      </c>
      <c r="D87" s="180" t="e">
        <f>D24</f>
        <v>#REF!</v>
      </c>
      <c r="E87" s="180" t="e">
        <f>+E24</f>
        <v>#REF!</v>
      </c>
      <c r="F87" s="181">
        <f>+F24</f>
        <v>301</v>
      </c>
      <c r="G87" s="181">
        <f>+G24</f>
        <v>6</v>
      </c>
      <c r="H87" s="182" t="e">
        <f>+H24</f>
        <v>#REF!</v>
      </c>
      <c r="I87" s="147" t="e">
        <f>I24</f>
        <v>#REF!</v>
      </c>
      <c r="J87" s="183" t="e">
        <f>$H24*J24</f>
        <v>#REF!</v>
      </c>
      <c r="K87" s="184" t="e">
        <f>$H24*K24</f>
        <v>#REF!</v>
      </c>
      <c r="L87" s="185" t="e">
        <f>$H24*L24</f>
        <v>#REF!</v>
      </c>
      <c r="M87" s="183" t="e">
        <f>$I24*M24</f>
        <v>#REF!</v>
      </c>
      <c r="N87" s="184" t="e">
        <f>$I24*N24</f>
        <v>#REF!</v>
      </c>
      <c r="O87" s="185" t="e">
        <f>$I24*O24</f>
        <v>#REF!</v>
      </c>
      <c r="P87" s="183" t="e">
        <f>$I24*P24</f>
        <v>#REF!</v>
      </c>
      <c r="Q87" s="184" t="e">
        <f>$I24*Q24</f>
        <v>#REF!</v>
      </c>
      <c r="R87" s="185" t="e">
        <f>$I24*R24</f>
        <v>#REF!</v>
      </c>
      <c r="S87" s="183" t="e">
        <f>$I24*S24</f>
        <v>#REF!</v>
      </c>
      <c r="T87" s="184" t="e">
        <f>$I24*T24</f>
        <v>#REF!</v>
      </c>
      <c r="U87" s="185" t="e">
        <f>$I24*U24</f>
        <v>#REF!</v>
      </c>
      <c r="V87" s="183" t="e">
        <f>$I24*V24</f>
        <v>#REF!</v>
      </c>
      <c r="W87" s="184" t="e">
        <f>$I24*W24</f>
        <v>#REF!</v>
      </c>
      <c r="X87" s="185" t="e">
        <f>$I24*X24</f>
        <v>#REF!</v>
      </c>
      <c r="Y87" s="183" t="e">
        <f>$I24*Y24</f>
        <v>#REF!</v>
      </c>
      <c r="Z87" s="184" t="e">
        <f>$I24*Z24</f>
        <v>#REF!</v>
      </c>
      <c r="AA87" s="185" t="e">
        <f>$I24*AA24</f>
        <v>#REF!</v>
      </c>
      <c r="AB87" s="183" t="e">
        <f>$I24*AB24</f>
        <v>#REF!</v>
      </c>
      <c r="AC87" s="186" t="e">
        <f>$I24*AC24</f>
        <v>#REF!</v>
      </c>
      <c r="AD87" s="185" t="e">
        <f>$I24*AD24</f>
        <v>#REF!</v>
      </c>
      <c r="AE87" s="187" t="e">
        <f>$H24*AE24</f>
        <v>#REF!</v>
      </c>
      <c r="AG87" s="189" t="e">
        <f>J87*$F87</f>
        <v>#REF!</v>
      </c>
      <c r="AH87" s="190" t="e">
        <f>K87*$F87</f>
        <v>#REF!</v>
      </c>
      <c r="AI87" s="191" t="e">
        <f>L87*$F87</f>
        <v>#REF!</v>
      </c>
      <c r="AJ87" s="192" t="e">
        <f>M87*$F87</f>
        <v>#REF!</v>
      </c>
      <c r="AK87" s="190" t="e">
        <f>K87*$F87</f>
        <v>#REF!</v>
      </c>
      <c r="AL87" s="191" t="e">
        <f>O87*$F87</f>
        <v>#REF!</v>
      </c>
      <c r="AM87" s="192" t="e">
        <f>P87*$F87</f>
        <v>#REF!</v>
      </c>
      <c r="AN87" s="190" t="e">
        <f>N87*$F87</f>
        <v>#REF!</v>
      </c>
      <c r="AO87" s="191" t="e">
        <f>R87*$F87</f>
        <v>#REF!</v>
      </c>
      <c r="AP87" s="192" t="e">
        <f>S87*$F87</f>
        <v>#REF!</v>
      </c>
      <c r="AQ87" s="190" t="e">
        <f>Q87*$F87</f>
        <v>#REF!</v>
      </c>
      <c r="AR87" s="191" t="e">
        <f>U87*$F87</f>
        <v>#REF!</v>
      </c>
      <c r="AS87" s="192" t="e">
        <f>V87*$F87</f>
        <v>#REF!</v>
      </c>
      <c r="AT87" s="190" t="e">
        <f>T87*$F87</f>
        <v>#REF!</v>
      </c>
      <c r="AU87" s="191" t="e">
        <f>X87*$F87</f>
        <v>#REF!</v>
      </c>
      <c r="AV87" s="192" t="e">
        <f>Y87*$F87</f>
        <v>#REF!</v>
      </c>
      <c r="AW87" s="190" t="e">
        <f>W87*$F87</f>
        <v>#REF!</v>
      </c>
      <c r="AX87" s="191" t="e">
        <f>AA87*$F87</f>
        <v>#REF!</v>
      </c>
      <c r="AY87" s="192" t="e">
        <f>AB87*$F87</f>
        <v>#REF!</v>
      </c>
      <c r="AZ87" s="193" t="e">
        <f>Z87*$F87</f>
        <v>#REF!</v>
      </c>
      <c r="BA87" s="194" t="e">
        <f>AD87*$F87</f>
        <v>#REF!</v>
      </c>
      <c r="BB87" s="195"/>
      <c r="BC87" s="121" t="e">
        <f>ROUNDUP(O87/$BC$13,0)</f>
        <v>#REF!</v>
      </c>
      <c r="BD87" s="121" t="e">
        <f>ROUNDUP(R87/$BD$13,0)</f>
        <v>#REF!</v>
      </c>
      <c r="BE87" s="121" t="e">
        <f>ROUNDUP(U87/$BE$13,0)</f>
        <v>#REF!</v>
      </c>
      <c r="BF87" s="121" t="e">
        <f>ROUNDUP(X87/$BF$13,0)</f>
        <v>#REF!</v>
      </c>
      <c r="BG87" s="121" t="e">
        <f>ROUNDUP(AA87/$BG$13,0)</f>
        <v>#REF!</v>
      </c>
      <c r="BH87" s="121" t="e">
        <f>ROUNDUP(AD87/$BH$13,0)</f>
        <v>#REF!</v>
      </c>
    </row>
    <row r="88" spans="1:61" customHeight="1" ht="20.1" s="188" customFormat="1">
      <c r="A88" s="319"/>
      <c r="B88" s="321"/>
      <c r="C88" s="179" t="str">
        <f>C25</f>
        <v>82111-47360 J </v>
      </c>
      <c r="D88" s="180">
        <f>D25</f>
        <v>0</v>
      </c>
      <c r="E88" s="180" t="e">
        <f>+E25</f>
        <v>#REF!</v>
      </c>
      <c r="F88" s="181">
        <f>+F25</f>
        <v>309</v>
      </c>
      <c r="G88" s="181">
        <f>+G25</f>
        <v>6</v>
      </c>
      <c r="H88" s="182" t="e">
        <f>+H25</f>
        <v>#REF!</v>
      </c>
      <c r="I88" s="147" t="e">
        <f>I25</f>
        <v>#REF!</v>
      </c>
      <c r="J88" s="183" t="e">
        <f>$H25*J25</f>
        <v>#REF!</v>
      </c>
      <c r="K88" s="184" t="e">
        <f>$H25*K25</f>
        <v>#REF!</v>
      </c>
      <c r="L88" s="185" t="e">
        <f>$H25*L25</f>
        <v>#REF!</v>
      </c>
      <c r="M88" s="183" t="e">
        <f>$I25*M25</f>
        <v>#REF!</v>
      </c>
      <c r="N88" s="184" t="e">
        <f>$I25*N25</f>
        <v>#REF!</v>
      </c>
      <c r="O88" s="185" t="e">
        <f>$I25*O25</f>
        <v>#REF!</v>
      </c>
      <c r="P88" s="183" t="e">
        <f>$I25*P25</f>
        <v>#REF!</v>
      </c>
      <c r="Q88" s="184" t="e">
        <f>$I25*Q25</f>
        <v>#REF!</v>
      </c>
      <c r="R88" s="185" t="e">
        <f>$I25*R25</f>
        <v>#REF!</v>
      </c>
      <c r="S88" s="183" t="e">
        <f>$I25*S25</f>
        <v>#REF!</v>
      </c>
      <c r="T88" s="184" t="e">
        <f>$I25*T25</f>
        <v>#REF!</v>
      </c>
      <c r="U88" s="185" t="e">
        <f>$I25*U25</f>
        <v>#REF!</v>
      </c>
      <c r="V88" s="183" t="e">
        <f>$I25*V25</f>
        <v>#REF!</v>
      </c>
      <c r="W88" s="184" t="e">
        <f>$I25*W25</f>
        <v>#REF!</v>
      </c>
      <c r="X88" s="185" t="e">
        <f>$I25*X25</f>
        <v>#REF!</v>
      </c>
      <c r="Y88" s="183" t="e">
        <f>$I25*Y25</f>
        <v>#REF!</v>
      </c>
      <c r="Z88" s="184" t="e">
        <f>$I25*Z25</f>
        <v>#REF!</v>
      </c>
      <c r="AA88" s="185" t="e">
        <f>$I25*AA25</f>
        <v>#REF!</v>
      </c>
      <c r="AB88" s="183" t="e">
        <f>$I25*AB25</f>
        <v>#REF!</v>
      </c>
      <c r="AC88" s="186" t="e">
        <f>$I25*AC25</f>
        <v>#REF!</v>
      </c>
      <c r="AD88" s="185" t="e">
        <f>$I25*AD25</f>
        <v>#REF!</v>
      </c>
      <c r="AE88" s="187" t="e">
        <f>$H25*AE25</f>
        <v>#REF!</v>
      </c>
      <c r="AG88" s="189" t="e">
        <f>J88*$F88</f>
        <v>#REF!</v>
      </c>
      <c r="AH88" s="190" t="e">
        <f>K88*$F88</f>
        <v>#REF!</v>
      </c>
      <c r="AI88" s="191" t="e">
        <f>L88*$F88</f>
        <v>#REF!</v>
      </c>
      <c r="AJ88" s="192" t="e">
        <f>M88*$F88</f>
        <v>#REF!</v>
      </c>
      <c r="AK88" s="190" t="e">
        <f>K88*$F88</f>
        <v>#REF!</v>
      </c>
      <c r="AL88" s="191" t="e">
        <f>O88*$F88</f>
        <v>#REF!</v>
      </c>
      <c r="AM88" s="192" t="e">
        <f>P88*$F88</f>
        <v>#REF!</v>
      </c>
      <c r="AN88" s="190" t="e">
        <f>N88*$F88</f>
        <v>#REF!</v>
      </c>
      <c r="AO88" s="191" t="e">
        <f>R88*$F88</f>
        <v>#REF!</v>
      </c>
      <c r="AP88" s="192" t="e">
        <f>S88*$F88</f>
        <v>#REF!</v>
      </c>
      <c r="AQ88" s="190" t="e">
        <f>Q88*$F88</f>
        <v>#REF!</v>
      </c>
      <c r="AR88" s="191" t="e">
        <f>U88*$F88</f>
        <v>#REF!</v>
      </c>
      <c r="AS88" s="192" t="e">
        <f>V88*$F88</f>
        <v>#REF!</v>
      </c>
      <c r="AT88" s="190" t="e">
        <f>T88*$F88</f>
        <v>#REF!</v>
      </c>
      <c r="AU88" s="191" t="e">
        <f>X88*$F88</f>
        <v>#REF!</v>
      </c>
      <c r="AV88" s="192" t="e">
        <f>Y88*$F88</f>
        <v>#REF!</v>
      </c>
      <c r="AW88" s="190" t="e">
        <f>W88*$F88</f>
        <v>#REF!</v>
      </c>
      <c r="AX88" s="191" t="e">
        <f>AA88*$F88</f>
        <v>#REF!</v>
      </c>
      <c r="AY88" s="192" t="e">
        <f>AB88*$F88</f>
        <v>#REF!</v>
      </c>
      <c r="AZ88" s="193" t="e">
        <f>Z88*$F88</f>
        <v>#REF!</v>
      </c>
      <c r="BA88" s="194" t="e">
        <f>AD88*$F88</f>
        <v>#REF!</v>
      </c>
      <c r="BB88" s="195"/>
      <c r="BC88" s="121" t="e">
        <f>ROUNDUP(O88/$BC$13,0)</f>
        <v>#REF!</v>
      </c>
      <c r="BD88" s="121" t="e">
        <f>ROUNDUP(R88/$BD$13,0)</f>
        <v>#REF!</v>
      </c>
      <c r="BE88" s="121" t="e">
        <f>ROUNDUP(U88/$BE$13,0)</f>
        <v>#REF!</v>
      </c>
      <c r="BF88" s="121" t="e">
        <f>ROUNDUP(X88/$BF$13,0)</f>
        <v>#REF!</v>
      </c>
      <c r="BG88" s="121" t="e">
        <f>ROUNDUP(AA88/$BG$13,0)</f>
        <v>#REF!</v>
      </c>
      <c r="BH88" s="121" t="e">
        <f>ROUNDUP(AD88/$BH$13,0)</f>
        <v>#REF!</v>
      </c>
    </row>
    <row r="89" spans="1:61" customHeight="1" ht="20.1" s="206" customFormat="1">
      <c r="A89" s="1251" t="s">
        <v>280</v>
      </c>
      <c r="B89" s="1254" t="s">
        <v>328</v>
      </c>
      <c r="C89" s="196" t="str">
        <f>C25</f>
        <v>82111-47360 J </v>
      </c>
      <c r="D89" s="197">
        <f>D25</f>
        <v>0</v>
      </c>
      <c r="E89" s="197" t="e">
        <f>+E25</f>
        <v>#REF!</v>
      </c>
      <c r="F89" s="198">
        <f>+F25</f>
        <v>309</v>
      </c>
      <c r="G89" s="198">
        <f>+G25</f>
        <v>6</v>
      </c>
      <c r="H89" s="199" t="e">
        <f>+H25</f>
        <v>#REF!</v>
      </c>
      <c r="I89" s="220" t="e">
        <f>I25</f>
        <v>#REF!</v>
      </c>
      <c r="J89" s="201" t="e">
        <f>$H25*J25</f>
        <v>#REF!</v>
      </c>
      <c r="K89" s="202" t="e">
        <f>$H25*K25</f>
        <v>#REF!</v>
      </c>
      <c r="L89" s="203" t="e">
        <f>$H25*L25</f>
        <v>#REF!</v>
      </c>
      <c r="M89" s="201" t="e">
        <f>$I25*M25</f>
        <v>#REF!</v>
      </c>
      <c r="N89" s="202" t="e">
        <f>$I25*N25</f>
        <v>#REF!</v>
      </c>
      <c r="O89" s="203" t="e">
        <f>$I25*O25</f>
        <v>#REF!</v>
      </c>
      <c r="P89" s="201" t="e">
        <f>$I25*P25</f>
        <v>#REF!</v>
      </c>
      <c r="Q89" s="202" t="e">
        <f>$I25*Q25</f>
        <v>#REF!</v>
      </c>
      <c r="R89" s="203" t="e">
        <f>$I25*R25</f>
        <v>#REF!</v>
      </c>
      <c r="S89" s="201" t="e">
        <f>$I25*S25</f>
        <v>#REF!</v>
      </c>
      <c r="T89" s="202" t="e">
        <f>$I25*T25</f>
        <v>#REF!</v>
      </c>
      <c r="U89" s="203" t="e">
        <f>$I25*U25</f>
        <v>#REF!</v>
      </c>
      <c r="V89" s="201" t="e">
        <f>$I25*V25</f>
        <v>#REF!</v>
      </c>
      <c r="W89" s="202" t="e">
        <f>$I25*W25</f>
        <v>#REF!</v>
      </c>
      <c r="X89" s="203" t="e">
        <f>$I25*X25</f>
        <v>#REF!</v>
      </c>
      <c r="Y89" s="201" t="e">
        <f>$I25*Y25</f>
        <v>#REF!</v>
      </c>
      <c r="Z89" s="202" t="e">
        <f>$I25*Z25</f>
        <v>#REF!</v>
      </c>
      <c r="AA89" s="203" t="e">
        <f>$I25*AA25</f>
        <v>#REF!</v>
      </c>
      <c r="AB89" s="201" t="e">
        <f>$I25*AB25</f>
        <v>#REF!</v>
      </c>
      <c r="AC89" s="204" t="e">
        <f>$I25*AC25</f>
        <v>#REF!</v>
      </c>
      <c r="AD89" s="203" t="e">
        <f>$I25*AD25</f>
        <v>#REF!</v>
      </c>
      <c r="AE89" s="205" t="e">
        <f>$H25*AE25</f>
        <v>#REF!</v>
      </c>
      <c r="AG89" s="207" t="e">
        <f>J89*$F89</f>
        <v>#REF!</v>
      </c>
      <c r="AH89" s="208" t="e">
        <f>K89*$F89</f>
        <v>#REF!</v>
      </c>
      <c r="AI89" s="209" t="e">
        <f>L89*$F89</f>
        <v>#REF!</v>
      </c>
      <c r="AJ89" s="210" t="e">
        <f>M89*$F89</f>
        <v>#REF!</v>
      </c>
      <c r="AK89" s="208" t="e">
        <f>K89*$F89</f>
        <v>#REF!</v>
      </c>
      <c r="AL89" s="209" t="e">
        <f>O89*$F89</f>
        <v>#REF!</v>
      </c>
      <c r="AM89" s="210" t="e">
        <f>P89*$F89</f>
        <v>#REF!</v>
      </c>
      <c r="AN89" s="208" t="e">
        <f>N89*$F89</f>
        <v>#REF!</v>
      </c>
      <c r="AO89" s="209" t="e">
        <f>R89*$F89</f>
        <v>#REF!</v>
      </c>
      <c r="AP89" s="210" t="e">
        <f>S89*$F89</f>
        <v>#REF!</v>
      </c>
      <c r="AQ89" s="208" t="e">
        <f>Q89*$F89</f>
        <v>#REF!</v>
      </c>
      <c r="AR89" s="209" t="e">
        <f>U89*$F89</f>
        <v>#REF!</v>
      </c>
      <c r="AS89" s="210" t="e">
        <f>V89*$F89</f>
        <v>#REF!</v>
      </c>
      <c r="AT89" s="208" t="e">
        <f>T89*$F89</f>
        <v>#REF!</v>
      </c>
      <c r="AU89" s="209" t="e">
        <f>X89*$F89</f>
        <v>#REF!</v>
      </c>
      <c r="AV89" s="210" t="e">
        <f>Y89*$F89</f>
        <v>#REF!</v>
      </c>
      <c r="AW89" s="208" t="e">
        <f>W89*$F89</f>
        <v>#REF!</v>
      </c>
      <c r="AX89" s="209" t="e">
        <f>AA89*$F89</f>
        <v>#REF!</v>
      </c>
      <c r="AY89" s="210" t="e">
        <f>AB89*$F89</f>
        <v>#REF!</v>
      </c>
      <c r="AZ89" s="211" t="e">
        <f>Z89*$F89</f>
        <v>#REF!</v>
      </c>
      <c r="BA89" s="212" t="e">
        <f>AD89*$F89</f>
        <v>#REF!</v>
      </c>
      <c r="BB89" s="213"/>
      <c r="BC89" s="160" t="e">
        <f>ROUNDUP(O89/$BC$13,0)</f>
        <v>#REF!</v>
      </c>
      <c r="BD89" s="160" t="e">
        <f>ROUNDUP(R89/$BD$13,0)</f>
        <v>#REF!</v>
      </c>
      <c r="BE89" s="160" t="e">
        <f>ROUNDUP(U89/$BE$13,0)</f>
        <v>#REF!</v>
      </c>
      <c r="BF89" s="160" t="e">
        <f>ROUNDUP(X89/$BF$13,0)</f>
        <v>#REF!</v>
      </c>
      <c r="BG89" s="160" t="e">
        <f>ROUNDUP(AA89/$BG$13,0)</f>
        <v>#REF!</v>
      </c>
      <c r="BH89" s="160" t="e">
        <f>ROUNDUP(AD89/$BH$13,0)</f>
        <v>#REF!</v>
      </c>
    </row>
    <row r="90" spans="1:61" customHeight="1" ht="20.1" s="152" customFormat="1">
      <c r="A90" s="1252"/>
      <c r="B90" s="1249"/>
      <c r="C90" s="144" t="str">
        <f>C27</f>
        <v>82111-47370 J </v>
      </c>
      <c r="D90" s="161" t="e">
        <f>D27</f>
        <v>#REF!</v>
      </c>
      <c r="E90" s="161" t="e">
        <f>+E27</f>
        <v>#REF!</v>
      </c>
      <c r="F90" s="145">
        <f>+F27</f>
        <v>315</v>
      </c>
      <c r="G90" s="145">
        <f>+G27</f>
        <v>6</v>
      </c>
      <c r="H90" s="146" t="e">
        <f>+H27</f>
        <v>#REF!</v>
      </c>
      <c r="I90" s="220" t="e">
        <f>I27</f>
        <v>#REF!</v>
      </c>
      <c r="J90" s="148" t="e">
        <f>$H27*J27</f>
        <v>#REF!</v>
      </c>
      <c r="K90" s="149" t="e">
        <f>$H27*K27</f>
        <v>#REF!</v>
      </c>
      <c r="L90" s="150" t="e">
        <f>$H27*L27</f>
        <v>#REF!</v>
      </c>
      <c r="M90" s="148" t="e">
        <f>$I27*M27</f>
        <v>#REF!</v>
      </c>
      <c r="N90" s="149" t="e">
        <f>$I27*N27</f>
        <v>#REF!</v>
      </c>
      <c r="O90" s="150" t="e">
        <f>$I27*O27</f>
        <v>#REF!</v>
      </c>
      <c r="P90" s="148" t="e">
        <f>$I27*P27</f>
        <v>#REF!</v>
      </c>
      <c r="Q90" s="149" t="e">
        <f>$I27*Q27</f>
        <v>#REF!</v>
      </c>
      <c r="R90" s="150" t="e">
        <f>$I27*R27</f>
        <v>#REF!</v>
      </c>
      <c r="S90" s="148" t="e">
        <f>$I27*S27</f>
        <v>#REF!</v>
      </c>
      <c r="T90" s="149" t="e">
        <f>$I27*T27</f>
        <v>#REF!</v>
      </c>
      <c r="U90" s="150" t="e">
        <f>$I27*U27</f>
        <v>#REF!</v>
      </c>
      <c r="V90" s="148" t="e">
        <f>$I27*V27</f>
        <v>#REF!</v>
      </c>
      <c r="W90" s="149" t="e">
        <f>$I27*W27</f>
        <v>#REF!</v>
      </c>
      <c r="X90" s="150" t="e">
        <f>$I27*X27</f>
        <v>#REF!</v>
      </c>
      <c r="Y90" s="148" t="e">
        <f>$I27*Y27</f>
        <v>#REF!</v>
      </c>
      <c r="Z90" s="149" t="e">
        <f>$I27*Z27</f>
        <v>#REF!</v>
      </c>
      <c r="AA90" s="150" t="e">
        <f>$I27*AA27</f>
        <v>#REF!</v>
      </c>
      <c r="AB90" s="148" t="e">
        <f>$I27*AB27</f>
        <v>#REF!</v>
      </c>
      <c r="AC90" s="162" t="e">
        <f>$I27*AC27</f>
        <v>#REF!</v>
      </c>
      <c r="AD90" s="150" t="e">
        <f>$I27*AD27</f>
        <v>#REF!</v>
      </c>
      <c r="AE90" s="151" t="e">
        <f>$H27*AE27</f>
        <v>#REF!</v>
      </c>
      <c r="AG90" s="153" t="e">
        <f>J90*$F90</f>
        <v>#REF!</v>
      </c>
      <c r="AH90" s="154" t="e">
        <f>K90*$F90</f>
        <v>#REF!</v>
      </c>
      <c r="AI90" s="155" t="e">
        <f>L90*$F90</f>
        <v>#REF!</v>
      </c>
      <c r="AJ90" s="156" t="e">
        <f>M90*$F90</f>
        <v>#REF!</v>
      </c>
      <c r="AK90" s="154" t="e">
        <f>K90*$F90</f>
        <v>#REF!</v>
      </c>
      <c r="AL90" s="155" t="e">
        <f>O90*$F90</f>
        <v>#REF!</v>
      </c>
      <c r="AM90" s="156" t="e">
        <f>P90*$F90</f>
        <v>#REF!</v>
      </c>
      <c r="AN90" s="154" t="e">
        <f>N90*$F90</f>
        <v>#REF!</v>
      </c>
      <c r="AO90" s="155" t="e">
        <f>R90*$F90</f>
        <v>#REF!</v>
      </c>
      <c r="AP90" s="156" t="e">
        <f>S90*$F90</f>
        <v>#REF!</v>
      </c>
      <c r="AQ90" s="154" t="e">
        <f>Q90*$F90</f>
        <v>#REF!</v>
      </c>
      <c r="AR90" s="155" t="e">
        <f>U90*$F90</f>
        <v>#REF!</v>
      </c>
      <c r="AS90" s="156" t="e">
        <f>V90*$F90</f>
        <v>#REF!</v>
      </c>
      <c r="AT90" s="154" t="e">
        <f>T90*$F90</f>
        <v>#REF!</v>
      </c>
      <c r="AU90" s="155" t="e">
        <f>X90*$F90</f>
        <v>#REF!</v>
      </c>
      <c r="AV90" s="156" t="e">
        <f>Y90*$F90</f>
        <v>#REF!</v>
      </c>
      <c r="AW90" s="154" t="e">
        <f>W90*$F90</f>
        <v>#REF!</v>
      </c>
      <c r="AX90" s="155" t="e">
        <f>AA90*$F90</f>
        <v>#REF!</v>
      </c>
      <c r="AY90" s="156" t="e">
        <f>AB90*$F90</f>
        <v>#REF!</v>
      </c>
      <c r="AZ90" s="157" t="e">
        <f>Z90*$F90</f>
        <v>#REF!</v>
      </c>
      <c r="BA90" s="158" t="e">
        <f>AD90*$F90</f>
        <v>#REF!</v>
      </c>
      <c r="BB90" s="159"/>
      <c r="BC90" s="160" t="e">
        <f>ROUNDUP(O90/$BC$13,0)</f>
        <v>#REF!</v>
      </c>
      <c r="BD90" s="160" t="e">
        <f>ROUNDUP(R90/$BD$13,0)</f>
        <v>#REF!</v>
      </c>
      <c r="BE90" s="160" t="e">
        <f>ROUNDUP(U90/$BE$13,0)</f>
        <v>#REF!</v>
      </c>
      <c r="BF90" s="160" t="e">
        <f>ROUNDUP(X90/$BF$13,0)</f>
        <v>#REF!</v>
      </c>
      <c r="BG90" s="160" t="e">
        <f>ROUNDUP(AA90/$BG$13,0)</f>
        <v>#REF!</v>
      </c>
      <c r="BH90" s="160" t="e">
        <f>ROUNDUP(AD90/$BH$13,0)</f>
        <v>#REF!</v>
      </c>
    </row>
    <row r="91" spans="1:61" customHeight="1" ht="20.1" s="226" customFormat="1">
      <c r="A91" s="1252"/>
      <c r="B91" s="1250"/>
      <c r="C91" s="216" t="str">
        <f>C28</f>
        <v>82111-47380 H  </v>
      </c>
      <c r="D91" s="217" t="e">
        <f>D28</f>
        <v>#REF!</v>
      </c>
      <c r="E91" s="217" t="e">
        <f>+E28</f>
        <v>#REF!</v>
      </c>
      <c r="F91" s="218">
        <f>+F28</f>
        <v>347</v>
      </c>
      <c r="G91" s="218">
        <f>+G28</f>
        <v>6</v>
      </c>
      <c r="H91" s="219" t="e">
        <f>+H28</f>
        <v>#REF!</v>
      </c>
      <c r="I91" s="261" t="e">
        <f>I28</f>
        <v>#REF!</v>
      </c>
      <c r="J91" s="221" t="e">
        <f>$H28*J28</f>
        <v>#REF!</v>
      </c>
      <c r="K91" s="222" t="e">
        <f>$H28*K28</f>
        <v>#REF!</v>
      </c>
      <c r="L91" s="223" t="e">
        <f>$H28*L28</f>
        <v>#REF!</v>
      </c>
      <c r="M91" s="221" t="e">
        <f>$I28*M28</f>
        <v>#REF!</v>
      </c>
      <c r="N91" s="222" t="e">
        <f>$I28*N28</f>
        <v>#REF!</v>
      </c>
      <c r="O91" s="223" t="e">
        <f>$I28*O28</f>
        <v>#REF!</v>
      </c>
      <c r="P91" s="221" t="e">
        <f>$I28*P28</f>
        <v>#REF!</v>
      </c>
      <c r="Q91" s="222" t="e">
        <f>$I28*Q28</f>
        <v>#REF!</v>
      </c>
      <c r="R91" s="223" t="e">
        <f>$I28*R28</f>
        <v>#REF!</v>
      </c>
      <c r="S91" s="221" t="e">
        <f>$I28*S28</f>
        <v>#REF!</v>
      </c>
      <c r="T91" s="222" t="e">
        <f>$I28*T28</f>
        <v>#REF!</v>
      </c>
      <c r="U91" s="223" t="e">
        <f>$I28*U28</f>
        <v>#REF!</v>
      </c>
      <c r="V91" s="221" t="e">
        <f>$I28*V28</f>
        <v>#REF!</v>
      </c>
      <c r="W91" s="222" t="e">
        <f>$I28*W28</f>
        <v>#REF!</v>
      </c>
      <c r="X91" s="223" t="e">
        <f>$I28*X28</f>
        <v>#REF!</v>
      </c>
      <c r="Y91" s="221" t="e">
        <f>$I28*Y28</f>
        <v>#REF!</v>
      </c>
      <c r="Z91" s="222" t="e">
        <f>$I28*Z28</f>
        <v>#REF!</v>
      </c>
      <c r="AA91" s="223" t="e">
        <f>$I28*AA28</f>
        <v>#REF!</v>
      </c>
      <c r="AB91" s="221" t="e">
        <f>$I28*AB28</f>
        <v>#REF!</v>
      </c>
      <c r="AC91" s="224" t="e">
        <f>$I28*AC28</f>
        <v>#REF!</v>
      </c>
      <c r="AD91" s="223" t="e">
        <f>$I28*AD28</f>
        <v>#REF!</v>
      </c>
      <c r="AE91" s="225" t="e">
        <f>$H28*AE28</f>
        <v>#REF!</v>
      </c>
      <c r="AG91" s="227" t="e">
        <f>J91*$F91</f>
        <v>#REF!</v>
      </c>
      <c r="AH91" s="228" t="e">
        <f>K91*$F91</f>
        <v>#REF!</v>
      </c>
      <c r="AI91" s="229" t="e">
        <f>L91*$F91</f>
        <v>#REF!</v>
      </c>
      <c r="AJ91" s="230" t="e">
        <f>M91*$F91</f>
        <v>#REF!</v>
      </c>
      <c r="AK91" s="228" t="e">
        <f>K91*$F91</f>
        <v>#REF!</v>
      </c>
      <c r="AL91" s="229" t="e">
        <f>O91*$F91</f>
        <v>#REF!</v>
      </c>
      <c r="AM91" s="230" t="e">
        <f>P91*$F91</f>
        <v>#REF!</v>
      </c>
      <c r="AN91" s="228" t="e">
        <f>N91*$F91</f>
        <v>#REF!</v>
      </c>
      <c r="AO91" s="229" t="e">
        <f>R91*$F91</f>
        <v>#REF!</v>
      </c>
      <c r="AP91" s="230" t="e">
        <f>S91*$F91</f>
        <v>#REF!</v>
      </c>
      <c r="AQ91" s="228" t="e">
        <f>Q91*$F91</f>
        <v>#REF!</v>
      </c>
      <c r="AR91" s="229" t="e">
        <f>U91*$F91</f>
        <v>#REF!</v>
      </c>
      <c r="AS91" s="230" t="e">
        <f>V91*$F91</f>
        <v>#REF!</v>
      </c>
      <c r="AT91" s="228" t="e">
        <f>T91*$F91</f>
        <v>#REF!</v>
      </c>
      <c r="AU91" s="229" t="e">
        <f>X91*$F91</f>
        <v>#REF!</v>
      </c>
      <c r="AV91" s="230" t="e">
        <f>Y91*$F91</f>
        <v>#REF!</v>
      </c>
      <c r="AW91" s="228" t="e">
        <f>W91*$F91</f>
        <v>#REF!</v>
      </c>
      <c r="AX91" s="229" t="e">
        <f>AA91*$F91</f>
        <v>#REF!</v>
      </c>
      <c r="AY91" s="230" t="e">
        <f>AB91*$F91</f>
        <v>#REF!</v>
      </c>
      <c r="AZ91" s="231" t="e">
        <f>Z91*$F91</f>
        <v>#REF!</v>
      </c>
      <c r="BA91" s="232" t="e">
        <f>AD91*$F91</f>
        <v>#REF!</v>
      </c>
      <c r="BC91" s="160" t="e">
        <f>ROUNDUP(O91/$BC$13,0)</f>
        <v>#REF!</v>
      </c>
      <c r="BD91" s="160" t="e">
        <f>ROUNDUP(R91/$BD$13,0)</f>
        <v>#REF!</v>
      </c>
      <c r="BE91" s="160" t="e">
        <f>ROUNDUP(U91/$BE$13,0)</f>
        <v>#REF!</v>
      </c>
      <c r="BF91" s="160" t="e">
        <f>ROUNDUP(X91/$BF$13,0)</f>
        <v>#REF!</v>
      </c>
      <c r="BG91" s="160" t="e">
        <f>ROUNDUP(AA91/$BG$13,0)</f>
        <v>#REF!</v>
      </c>
      <c r="BH91" s="160" t="e">
        <f>ROUNDUP(AD91/$BH$13,0)</f>
        <v>#REF!</v>
      </c>
    </row>
    <row r="92" spans="1:61" customHeight="1" ht="20.1" s="152" customFormat="1">
      <c r="A92" s="1252"/>
      <c r="B92" s="1249" t="s">
        <v>286</v>
      </c>
      <c r="C92" s="171" t="str">
        <f>C29</f>
        <v>82111-47390 J </v>
      </c>
      <c r="D92" s="214" t="e">
        <f>D29</f>
        <v>#REF!</v>
      </c>
      <c r="E92" s="214" t="e">
        <f>+E29</f>
        <v>#REF!</v>
      </c>
      <c r="F92" s="172">
        <f>+F29</f>
        <v>321</v>
      </c>
      <c r="G92" s="172">
        <f>+G29</f>
        <v>6</v>
      </c>
      <c r="H92" s="173" t="e">
        <f>+H29</f>
        <v>#REF!</v>
      </c>
      <c r="I92" s="220" t="e">
        <f>I29</f>
        <v>#REF!</v>
      </c>
      <c r="J92" s="174" t="e">
        <f>$H29*J29</f>
        <v>#REF!</v>
      </c>
      <c r="K92" s="175" t="e">
        <f>$H29*K29</f>
        <v>#REF!</v>
      </c>
      <c r="L92" s="176" t="e">
        <f>$H29*L29</f>
        <v>#REF!</v>
      </c>
      <c r="M92" s="174" t="e">
        <f>$I29*M29</f>
        <v>#REF!</v>
      </c>
      <c r="N92" s="175" t="e">
        <f>$I29*N29</f>
        <v>#REF!</v>
      </c>
      <c r="O92" s="176" t="e">
        <f>$I29*O29</f>
        <v>#REF!</v>
      </c>
      <c r="P92" s="174" t="e">
        <f>$I29*P29</f>
        <v>#REF!</v>
      </c>
      <c r="Q92" s="175" t="e">
        <f>$I29*Q29</f>
        <v>#REF!</v>
      </c>
      <c r="R92" s="176" t="e">
        <f>$I29*R29</f>
        <v>#REF!</v>
      </c>
      <c r="S92" s="174" t="e">
        <f>$I29*S29</f>
        <v>#REF!</v>
      </c>
      <c r="T92" s="175" t="e">
        <f>$I29*T29</f>
        <v>#REF!</v>
      </c>
      <c r="U92" s="176" t="e">
        <f>$I29*U29</f>
        <v>#REF!</v>
      </c>
      <c r="V92" s="174" t="e">
        <f>$I29*V29</f>
        <v>#REF!</v>
      </c>
      <c r="W92" s="175" t="e">
        <f>$I29*W29</f>
        <v>#REF!</v>
      </c>
      <c r="X92" s="176" t="e">
        <f>$I29*X29</f>
        <v>#REF!</v>
      </c>
      <c r="Y92" s="174" t="e">
        <f>$I29*Y29</f>
        <v>#REF!</v>
      </c>
      <c r="Z92" s="175" t="e">
        <f>$I29*Z29</f>
        <v>#REF!</v>
      </c>
      <c r="AA92" s="176" t="e">
        <f>$I29*AA29</f>
        <v>#REF!</v>
      </c>
      <c r="AB92" s="174" t="e">
        <f>$I29*AB29</f>
        <v>#REF!</v>
      </c>
      <c r="AC92" s="215" t="e">
        <f>$I29*AC29</f>
        <v>#REF!</v>
      </c>
      <c r="AD92" s="176" t="e">
        <f>$I29*AD29</f>
        <v>#REF!</v>
      </c>
      <c r="AE92" s="177" t="e">
        <f>$H29*AE29</f>
        <v>#REF!</v>
      </c>
      <c r="AG92" s="164" t="e">
        <f>J92*$F92</f>
        <v>#REF!</v>
      </c>
      <c r="AH92" s="165" t="e">
        <f>K92*$F92</f>
        <v>#REF!</v>
      </c>
      <c r="AI92" s="166" t="e">
        <f>L92*$F92</f>
        <v>#REF!</v>
      </c>
      <c r="AJ92" s="167" t="e">
        <f>M92*$F92</f>
        <v>#REF!</v>
      </c>
      <c r="AK92" s="165" t="e">
        <f>K92*$F92</f>
        <v>#REF!</v>
      </c>
      <c r="AL92" s="166" t="e">
        <f>O92*$F92</f>
        <v>#REF!</v>
      </c>
      <c r="AM92" s="167" t="e">
        <f>P92*$F92</f>
        <v>#REF!</v>
      </c>
      <c r="AN92" s="165" t="e">
        <f>N92*$F92</f>
        <v>#REF!</v>
      </c>
      <c r="AO92" s="166" t="e">
        <f>R92*$F92</f>
        <v>#REF!</v>
      </c>
      <c r="AP92" s="167" t="e">
        <f>S92*$F92</f>
        <v>#REF!</v>
      </c>
      <c r="AQ92" s="165" t="e">
        <f>Q92*$F92</f>
        <v>#REF!</v>
      </c>
      <c r="AR92" s="166" t="e">
        <f>U92*$F92</f>
        <v>#REF!</v>
      </c>
      <c r="AS92" s="167" t="e">
        <f>V92*$F92</f>
        <v>#REF!</v>
      </c>
      <c r="AT92" s="165" t="e">
        <f>T92*$F92</f>
        <v>#REF!</v>
      </c>
      <c r="AU92" s="166" t="e">
        <f>X92*$F92</f>
        <v>#REF!</v>
      </c>
      <c r="AV92" s="167" t="e">
        <f>Y92*$F92</f>
        <v>#REF!</v>
      </c>
      <c r="AW92" s="165" t="e">
        <f>W92*$F92</f>
        <v>#REF!</v>
      </c>
      <c r="AX92" s="166" t="e">
        <f>AA92*$F92</f>
        <v>#REF!</v>
      </c>
      <c r="AY92" s="167" t="e">
        <f>AB92*$F92</f>
        <v>#REF!</v>
      </c>
      <c r="AZ92" s="168" t="e">
        <f>Z92*$F92</f>
        <v>#REF!</v>
      </c>
      <c r="BA92" s="169" t="e">
        <f>AD92*$F92</f>
        <v>#REF!</v>
      </c>
      <c r="BC92" s="178" t="e">
        <f>ROUNDUP(O92/$BC$13,0)</f>
        <v>#REF!</v>
      </c>
      <c r="BD92" s="178" t="e">
        <f>ROUNDUP(R92/$BD$13,0)</f>
        <v>#REF!</v>
      </c>
      <c r="BE92" s="178" t="e">
        <f>ROUNDUP(U92/$BE$13,0)</f>
        <v>#REF!</v>
      </c>
      <c r="BF92" s="178" t="e">
        <f>ROUNDUP(X92/$BF$13,0)</f>
        <v>#REF!</v>
      </c>
      <c r="BG92" s="178" t="e">
        <f>ROUNDUP(AA92/$BG$13,0)</f>
        <v>#REF!</v>
      </c>
      <c r="BH92" s="178" t="e">
        <f>ROUNDUP(AD92/$BH$13,0)</f>
        <v>#REF!</v>
      </c>
    </row>
    <row r="93" spans="1:61" customHeight="1" ht="20.1" s="152" customFormat="1">
      <c r="A93" s="1252"/>
      <c r="B93" s="1249"/>
      <c r="C93" s="233" t="str">
        <f>C30</f>
        <v>82111-47400 J </v>
      </c>
      <c r="D93" s="234" t="e">
        <f>D30</f>
        <v>#REF!</v>
      </c>
      <c r="E93" s="234" t="e">
        <f>+E30</f>
        <v>#REF!</v>
      </c>
      <c r="F93" s="235">
        <f>+F30</f>
        <v>347</v>
      </c>
      <c r="G93" s="235">
        <f>+G30</f>
        <v>6</v>
      </c>
      <c r="H93" s="306" t="e">
        <f>+H30</f>
        <v>#REF!</v>
      </c>
      <c r="I93" s="220" t="e">
        <f>I30</f>
        <v>#REF!</v>
      </c>
      <c r="J93" s="236" t="e">
        <f>$H30*J30</f>
        <v>#REF!</v>
      </c>
      <c r="K93" s="237" t="e">
        <f>$H30*K30</f>
        <v>#REF!</v>
      </c>
      <c r="L93" s="238" t="e">
        <f>$H30*L30</f>
        <v>#REF!</v>
      </c>
      <c r="M93" s="236" t="e">
        <f>$I30*M30</f>
        <v>#REF!</v>
      </c>
      <c r="N93" s="237" t="e">
        <f>$I30*N30</f>
        <v>#REF!</v>
      </c>
      <c r="O93" s="238" t="e">
        <f>$I30*O30</f>
        <v>#REF!</v>
      </c>
      <c r="P93" s="236" t="e">
        <f>$I30*P30</f>
        <v>#REF!</v>
      </c>
      <c r="Q93" s="237" t="e">
        <f>$I30*Q30</f>
        <v>#REF!</v>
      </c>
      <c r="R93" s="238" t="e">
        <f>$I30*R30</f>
        <v>#REF!</v>
      </c>
      <c r="S93" s="236" t="e">
        <f>$I30*S30</f>
        <v>#REF!</v>
      </c>
      <c r="T93" s="237" t="e">
        <f>$I30*T30</f>
        <v>#REF!</v>
      </c>
      <c r="U93" s="238" t="e">
        <f>$I30*U30</f>
        <v>#REF!</v>
      </c>
      <c r="V93" s="236" t="e">
        <f>$I30*V30</f>
        <v>#REF!</v>
      </c>
      <c r="W93" s="237" t="e">
        <f>$I30*W30</f>
        <v>#REF!</v>
      </c>
      <c r="X93" s="238" t="e">
        <f>$I30*X30</f>
        <v>#REF!</v>
      </c>
      <c r="Y93" s="236" t="e">
        <f>$I30*Y30</f>
        <v>#REF!</v>
      </c>
      <c r="Z93" s="237" t="e">
        <f>$I30*Z30</f>
        <v>#REF!</v>
      </c>
      <c r="AA93" s="238" t="e">
        <f>$I30*AA30</f>
        <v>#REF!</v>
      </c>
      <c r="AB93" s="236" t="e">
        <f>$I30*AB30</f>
        <v>#REF!</v>
      </c>
      <c r="AC93" s="239" t="e">
        <f>$I30*AC30</f>
        <v>#REF!</v>
      </c>
      <c r="AD93" s="238" t="e">
        <f>$I30*AD30</f>
        <v>#REF!</v>
      </c>
      <c r="AE93" s="240" t="e">
        <f>$H30*AE30</f>
        <v>#REF!</v>
      </c>
      <c r="AG93" s="164" t="e">
        <f>J93*$F93</f>
        <v>#REF!</v>
      </c>
      <c r="AH93" s="165" t="e">
        <f>K93*$F93</f>
        <v>#REF!</v>
      </c>
      <c r="AI93" s="166" t="e">
        <f>L93*$F93</f>
        <v>#REF!</v>
      </c>
      <c r="AJ93" s="167" t="e">
        <f>M93*$F93</f>
        <v>#REF!</v>
      </c>
      <c r="AK93" s="165" t="e">
        <f>K93*$F93</f>
        <v>#REF!</v>
      </c>
      <c r="AL93" s="166" t="e">
        <f>O93*$F93</f>
        <v>#REF!</v>
      </c>
      <c r="AM93" s="167" t="e">
        <f>P93*$F93</f>
        <v>#REF!</v>
      </c>
      <c r="AN93" s="165" t="e">
        <f>N93*$F93</f>
        <v>#REF!</v>
      </c>
      <c r="AO93" s="166" t="e">
        <f>R93*$F93</f>
        <v>#REF!</v>
      </c>
      <c r="AP93" s="167" t="e">
        <f>S93*$F93</f>
        <v>#REF!</v>
      </c>
      <c r="AQ93" s="165" t="e">
        <f>Q93*$F93</f>
        <v>#REF!</v>
      </c>
      <c r="AR93" s="166" t="e">
        <f>U93*$F93</f>
        <v>#REF!</v>
      </c>
      <c r="AS93" s="167" t="e">
        <f>V93*$F93</f>
        <v>#REF!</v>
      </c>
      <c r="AT93" s="165" t="e">
        <f>T93*$F93</f>
        <v>#REF!</v>
      </c>
      <c r="AU93" s="166" t="e">
        <f>X93*$F93</f>
        <v>#REF!</v>
      </c>
      <c r="AV93" s="167" t="e">
        <f>Y93*$F93</f>
        <v>#REF!</v>
      </c>
      <c r="AW93" s="165" t="e">
        <f>W93*$F93</f>
        <v>#REF!</v>
      </c>
      <c r="AX93" s="166" t="e">
        <f>AA93*$F93</f>
        <v>#REF!</v>
      </c>
      <c r="AY93" s="167" t="e">
        <f>AB93*$F93</f>
        <v>#REF!</v>
      </c>
      <c r="AZ93" s="168" t="e">
        <f>Z93*$F93</f>
        <v>#REF!</v>
      </c>
      <c r="BA93" s="169" t="e">
        <f>AD93*$F93</f>
        <v>#REF!</v>
      </c>
      <c r="BC93" s="241" t="e">
        <f>ROUNDUP(O93/$BC$13,0)</f>
        <v>#REF!</v>
      </c>
      <c r="BD93" s="241" t="e">
        <f>ROUNDUP(R93/$BD$13,0)</f>
        <v>#REF!</v>
      </c>
      <c r="BE93" s="241" t="e">
        <f>ROUNDUP(U93/$BE$13,0)</f>
        <v>#REF!</v>
      </c>
      <c r="BF93" s="241" t="e">
        <f>ROUNDUP(X93/$BF$13,0)</f>
        <v>#REF!</v>
      </c>
      <c r="BG93" s="241" t="e">
        <f>ROUNDUP(AA93/$BG$13,0)</f>
        <v>#REF!</v>
      </c>
      <c r="BH93" s="241" t="e">
        <f>ROUNDUP(AD93/$BH$13,0)</f>
        <v>#REF!</v>
      </c>
    </row>
    <row r="94" spans="1:61" customHeight="1" ht="20.1" s="206" customFormat="1">
      <c r="A94" s="1252"/>
      <c r="B94" s="1254" t="s">
        <v>329</v>
      </c>
      <c r="C94" s="196" t="str">
        <f>C31</f>
        <v>82111-47410 J </v>
      </c>
      <c r="D94" s="251">
        <f>D31</f>
        <v>0</v>
      </c>
      <c r="E94" s="251" t="e">
        <f>+E31</f>
        <v>#REF!</v>
      </c>
      <c r="F94" s="198">
        <f>+F31</f>
        <v>313</v>
      </c>
      <c r="G94" s="198">
        <f>+G31</f>
        <v>6</v>
      </c>
      <c r="H94" s="307" t="e">
        <f>+H31</f>
        <v>#REF!</v>
      </c>
      <c r="I94" s="276" t="e">
        <f>I31</f>
        <v>#REF!</v>
      </c>
      <c r="J94" s="201" t="e">
        <f>$H31*J31</f>
        <v>#REF!</v>
      </c>
      <c r="K94" s="202" t="e">
        <f>$H31*K31</f>
        <v>#REF!</v>
      </c>
      <c r="L94" s="203" t="e">
        <f>$H31*L31</f>
        <v>#REF!</v>
      </c>
      <c r="M94" s="201" t="e">
        <f>$I31*M31</f>
        <v>#REF!</v>
      </c>
      <c r="N94" s="202" t="e">
        <f>$I31*N31</f>
        <v>#REF!</v>
      </c>
      <c r="O94" s="203" t="e">
        <f>$I31*O31</f>
        <v>#REF!</v>
      </c>
      <c r="P94" s="201" t="e">
        <f>$I31*P31</f>
        <v>#REF!</v>
      </c>
      <c r="Q94" s="202" t="e">
        <f>$I31*Q31</f>
        <v>#REF!</v>
      </c>
      <c r="R94" s="203" t="e">
        <f>$I31*R31</f>
        <v>#REF!</v>
      </c>
      <c r="S94" s="201" t="e">
        <f>$I31*S31</f>
        <v>#REF!</v>
      </c>
      <c r="T94" s="202" t="e">
        <f>$I31*T31</f>
        <v>#REF!</v>
      </c>
      <c r="U94" s="203" t="e">
        <f>$I31*U31</f>
        <v>#REF!</v>
      </c>
      <c r="V94" s="201" t="e">
        <f>$I31*V31</f>
        <v>#REF!</v>
      </c>
      <c r="W94" s="202" t="e">
        <f>$I31*W31</f>
        <v>#REF!</v>
      </c>
      <c r="X94" s="203" t="e">
        <f>$I31*X31</f>
        <v>#REF!</v>
      </c>
      <c r="Y94" s="201" t="e">
        <f>$I31*Y31</f>
        <v>#REF!</v>
      </c>
      <c r="Z94" s="202" t="e">
        <f>$I31*Z31</f>
        <v>#REF!</v>
      </c>
      <c r="AA94" s="203" t="e">
        <f>$I31*AA31</f>
        <v>#REF!</v>
      </c>
      <c r="AB94" s="201" t="e">
        <f>$I31*AB31</f>
        <v>#REF!</v>
      </c>
      <c r="AC94" s="252" t="e">
        <f>$I31*AC31</f>
        <v>#REF!</v>
      </c>
      <c r="AD94" s="203" t="e">
        <f>$I31*AD31</f>
        <v>#REF!</v>
      </c>
      <c r="AE94" s="205" t="e">
        <f>$H31*AE31</f>
        <v>#REF!</v>
      </c>
      <c r="AG94" s="207" t="e">
        <f>J94*$F94</f>
        <v>#REF!</v>
      </c>
      <c r="AH94" s="208" t="e">
        <f>K94*$F94</f>
        <v>#REF!</v>
      </c>
      <c r="AI94" s="209" t="e">
        <f>L94*$F94</f>
        <v>#REF!</v>
      </c>
      <c r="AJ94" s="210" t="e">
        <f>M94*$F94</f>
        <v>#REF!</v>
      </c>
      <c r="AK94" s="208" t="e">
        <f>K94*$F94</f>
        <v>#REF!</v>
      </c>
      <c r="AL94" s="209" t="e">
        <f>O94*$F94</f>
        <v>#REF!</v>
      </c>
      <c r="AM94" s="210" t="e">
        <f>P94*$F94</f>
        <v>#REF!</v>
      </c>
      <c r="AN94" s="208" t="e">
        <f>N94*$F94</f>
        <v>#REF!</v>
      </c>
      <c r="AO94" s="209" t="e">
        <f>R94*$F94</f>
        <v>#REF!</v>
      </c>
      <c r="AP94" s="210" t="e">
        <f>S94*$F94</f>
        <v>#REF!</v>
      </c>
      <c r="AQ94" s="208" t="e">
        <f>Q94*$F94</f>
        <v>#REF!</v>
      </c>
      <c r="AR94" s="209" t="e">
        <f>U94*$F94</f>
        <v>#REF!</v>
      </c>
      <c r="AS94" s="210" t="e">
        <f>V94*$F94</f>
        <v>#REF!</v>
      </c>
      <c r="AT94" s="208" t="e">
        <f>T94*$F94</f>
        <v>#REF!</v>
      </c>
      <c r="AU94" s="209" t="e">
        <f>X94*$F94</f>
        <v>#REF!</v>
      </c>
      <c r="AV94" s="210" t="e">
        <f>Y94*$F94</f>
        <v>#REF!</v>
      </c>
      <c r="AW94" s="208" t="e">
        <f>W94*$F94</f>
        <v>#REF!</v>
      </c>
      <c r="AX94" s="209" t="e">
        <f>AA94*$F94</f>
        <v>#REF!</v>
      </c>
      <c r="AY94" s="210" t="e">
        <f>AB94*$F94</f>
        <v>#REF!</v>
      </c>
      <c r="AZ94" s="211" t="e">
        <f>Z94*$F94</f>
        <v>#REF!</v>
      </c>
      <c r="BA94" s="212" t="e">
        <f>AD94*$F94</f>
        <v>#REF!</v>
      </c>
      <c r="BC94" s="160" t="e">
        <f>ROUNDUP(O94/$BC$13,0)</f>
        <v>#REF!</v>
      </c>
      <c r="BD94" s="160" t="e">
        <f>ROUNDUP(R94/$BD$13,0)</f>
        <v>#REF!</v>
      </c>
      <c r="BE94" s="160" t="e">
        <f>ROUNDUP(U94/$BE$13,0)</f>
        <v>#REF!</v>
      </c>
      <c r="BF94" s="160" t="e">
        <f>ROUNDUP(X94/$BF$13,0)</f>
        <v>#REF!</v>
      </c>
      <c r="BG94" s="160" t="e">
        <f>ROUNDUP(AA94/$BG$13,0)</f>
        <v>#REF!</v>
      </c>
      <c r="BH94" s="160" t="e">
        <f>ROUNDUP(AD94/$BH$13,0)</f>
        <v>#REF!</v>
      </c>
    </row>
    <row r="95" spans="1:61" customHeight="1" ht="20.1" s="152" customFormat="1">
      <c r="A95" s="1252"/>
      <c r="B95" s="1249"/>
      <c r="C95" s="144" t="str">
        <f>C32</f>
        <v>82111-47420 J </v>
      </c>
      <c r="D95" s="161" t="e">
        <f>D32</f>
        <v>#REF!</v>
      </c>
      <c r="E95" s="161" t="e">
        <f>+E32</f>
        <v>#REF!</v>
      </c>
      <c r="F95" s="145">
        <f>+F32</f>
        <v>337</v>
      </c>
      <c r="G95" s="145">
        <f>+G32</f>
        <v>6</v>
      </c>
      <c r="H95" s="146" t="e">
        <f>+H32</f>
        <v>#REF!</v>
      </c>
      <c r="I95" s="200" t="e">
        <f>I32</f>
        <v>#REF!</v>
      </c>
      <c r="J95" s="148" t="e">
        <f>$H32*J32</f>
        <v>#REF!</v>
      </c>
      <c r="K95" s="149" t="e">
        <f>$H32*K32</f>
        <v>#REF!</v>
      </c>
      <c r="L95" s="150" t="e">
        <f>$H32*L32</f>
        <v>#REF!</v>
      </c>
      <c r="M95" s="148" t="e">
        <f>$I32*M32</f>
        <v>#REF!</v>
      </c>
      <c r="N95" s="149" t="e">
        <f>$I32*N32</f>
        <v>#REF!</v>
      </c>
      <c r="O95" s="150" t="e">
        <f>$I32*O32</f>
        <v>#REF!</v>
      </c>
      <c r="P95" s="148" t="e">
        <f>$I32*P32</f>
        <v>#REF!</v>
      </c>
      <c r="Q95" s="149" t="e">
        <f>$I32*Q32</f>
        <v>#REF!</v>
      </c>
      <c r="R95" s="150" t="e">
        <f>$I32*R32</f>
        <v>#REF!</v>
      </c>
      <c r="S95" s="148" t="e">
        <f>$I32*S32</f>
        <v>#REF!</v>
      </c>
      <c r="T95" s="149" t="e">
        <f>$I32*T32</f>
        <v>#REF!</v>
      </c>
      <c r="U95" s="150" t="e">
        <f>$I32*U32</f>
        <v>#REF!</v>
      </c>
      <c r="V95" s="148" t="e">
        <f>$I32*V32</f>
        <v>#REF!</v>
      </c>
      <c r="W95" s="149" t="e">
        <f>$I32*W32</f>
        <v>#REF!</v>
      </c>
      <c r="X95" s="150" t="e">
        <f>$I32*X32</f>
        <v>#REF!</v>
      </c>
      <c r="Y95" s="148" t="e">
        <f>$I32*Y32</f>
        <v>#REF!</v>
      </c>
      <c r="Z95" s="149" t="e">
        <f>$I32*Z32</f>
        <v>#REF!</v>
      </c>
      <c r="AA95" s="150" t="e">
        <f>$I32*AA32</f>
        <v>#REF!</v>
      </c>
      <c r="AB95" s="148" t="e">
        <f>$I32*AB32</f>
        <v>#REF!</v>
      </c>
      <c r="AC95" s="163" t="e">
        <f>$I32*AC32</f>
        <v>#REF!</v>
      </c>
      <c r="AD95" s="150" t="e">
        <f>$I32*AD32</f>
        <v>#REF!</v>
      </c>
      <c r="AE95" s="151" t="e">
        <f>$H32*AE32</f>
        <v>#REF!</v>
      </c>
      <c r="AG95" s="164" t="e">
        <f>J95*$F95</f>
        <v>#REF!</v>
      </c>
      <c r="AH95" s="165" t="e">
        <f>K95*$F95</f>
        <v>#REF!</v>
      </c>
      <c r="AI95" s="166" t="e">
        <f>L95*$F95</f>
        <v>#REF!</v>
      </c>
      <c r="AJ95" s="167" t="e">
        <f>M95*$F95</f>
        <v>#REF!</v>
      </c>
      <c r="AK95" s="165" t="e">
        <f>K95*$F95</f>
        <v>#REF!</v>
      </c>
      <c r="AL95" s="166" t="e">
        <f>O95*$F95</f>
        <v>#REF!</v>
      </c>
      <c r="AM95" s="167" t="e">
        <f>P95*$F95</f>
        <v>#REF!</v>
      </c>
      <c r="AN95" s="165" t="e">
        <f>N95*$F95</f>
        <v>#REF!</v>
      </c>
      <c r="AO95" s="166" t="e">
        <f>R95*$F95</f>
        <v>#REF!</v>
      </c>
      <c r="AP95" s="167" t="e">
        <f>S95*$F95</f>
        <v>#REF!</v>
      </c>
      <c r="AQ95" s="165" t="e">
        <f>Q95*$F95</f>
        <v>#REF!</v>
      </c>
      <c r="AR95" s="166" t="e">
        <f>U95*$F95</f>
        <v>#REF!</v>
      </c>
      <c r="AS95" s="167" t="e">
        <f>V95*$F95</f>
        <v>#REF!</v>
      </c>
      <c r="AT95" s="165" t="e">
        <f>T95*$F95</f>
        <v>#REF!</v>
      </c>
      <c r="AU95" s="166" t="e">
        <f>X95*$F95</f>
        <v>#REF!</v>
      </c>
      <c r="AV95" s="167" t="e">
        <f>Y95*$F95</f>
        <v>#REF!</v>
      </c>
      <c r="AW95" s="165" t="e">
        <f>W95*$F95</f>
        <v>#REF!</v>
      </c>
      <c r="AX95" s="166" t="e">
        <f>AA95*$F95</f>
        <v>#REF!</v>
      </c>
      <c r="AY95" s="167" t="e">
        <f>AB95*$F95</f>
        <v>#REF!</v>
      </c>
      <c r="AZ95" s="168" t="e">
        <f>Z95*$F95</f>
        <v>#REF!</v>
      </c>
      <c r="BA95" s="169" t="e">
        <f>AD95*$F95</f>
        <v>#REF!</v>
      </c>
      <c r="BC95" s="160" t="e">
        <f>ROUNDUP(O95/$BC$13,0)</f>
        <v>#REF!</v>
      </c>
      <c r="BD95" s="160" t="e">
        <f>ROUNDUP(R95/$BD$13,0)</f>
        <v>#REF!</v>
      </c>
      <c r="BE95" s="160" t="e">
        <f>ROUNDUP(U95/$BE$13,0)</f>
        <v>#REF!</v>
      </c>
      <c r="BF95" s="160" t="e">
        <f>ROUNDUP(X95/$BF$13,0)</f>
        <v>#REF!</v>
      </c>
      <c r="BG95" s="160" t="e">
        <f>ROUNDUP(AA95/$BG$13,0)</f>
        <v>#REF!</v>
      </c>
      <c r="BH95" s="160" t="e">
        <f>ROUNDUP(AD95/$BH$13,0)</f>
        <v>#REF!</v>
      </c>
    </row>
    <row r="96" spans="1:61" customHeight="1" ht="20.1" s="152" customFormat="1">
      <c r="A96" s="1252"/>
      <c r="B96" s="1249"/>
      <c r="C96" s="144" t="str">
        <f>C33</f>
        <v>82111-47430 J</v>
      </c>
      <c r="D96" s="161" t="e">
        <f>D33</f>
        <v>#REF!</v>
      </c>
      <c r="E96" s="161" t="e">
        <f>+E33</f>
        <v>#REF!</v>
      </c>
      <c r="F96" s="145">
        <f>+F33</f>
        <v>313</v>
      </c>
      <c r="G96" s="145">
        <f>+G33</f>
        <v>6</v>
      </c>
      <c r="H96" s="308" t="e">
        <f>+H33</f>
        <v>#REF!</v>
      </c>
      <c r="I96" s="200" t="e">
        <f>I33</f>
        <v>#REF!</v>
      </c>
      <c r="J96" s="148" t="e">
        <f>$H33*J33</f>
        <v>#REF!</v>
      </c>
      <c r="K96" s="149" t="e">
        <f>$H33*K33</f>
        <v>#REF!</v>
      </c>
      <c r="L96" s="150" t="e">
        <f>$H33*L33</f>
        <v>#REF!</v>
      </c>
      <c r="M96" s="148" t="e">
        <f>$I33*M33</f>
        <v>#REF!</v>
      </c>
      <c r="N96" s="149" t="e">
        <f>$I33*N33</f>
        <v>#REF!</v>
      </c>
      <c r="O96" s="150" t="e">
        <f>$I33*O33</f>
        <v>#REF!</v>
      </c>
      <c r="P96" s="148" t="e">
        <f>$I33*P33</f>
        <v>#REF!</v>
      </c>
      <c r="Q96" s="149" t="e">
        <f>$I33*Q33</f>
        <v>#REF!</v>
      </c>
      <c r="R96" s="150" t="e">
        <f>$I33*R33</f>
        <v>#REF!</v>
      </c>
      <c r="S96" s="148" t="e">
        <f>$I33*S33</f>
        <v>#REF!</v>
      </c>
      <c r="T96" s="149" t="e">
        <f>$I33*T33</f>
        <v>#REF!</v>
      </c>
      <c r="U96" s="150" t="e">
        <f>$I33*U33</f>
        <v>#REF!</v>
      </c>
      <c r="V96" s="148" t="e">
        <f>$I33*V33</f>
        <v>#REF!</v>
      </c>
      <c r="W96" s="149" t="e">
        <f>$I33*W33</f>
        <v>#REF!</v>
      </c>
      <c r="X96" s="150" t="e">
        <f>$I33*X33</f>
        <v>#REF!</v>
      </c>
      <c r="Y96" s="148" t="e">
        <f>$I33*Y33</f>
        <v>#REF!</v>
      </c>
      <c r="Z96" s="149" t="e">
        <f>$I33*Z33</f>
        <v>#REF!</v>
      </c>
      <c r="AA96" s="150" t="e">
        <f>$I33*AA33</f>
        <v>#REF!</v>
      </c>
      <c r="AB96" s="148" t="e">
        <f>$I33*AB33</f>
        <v>#REF!</v>
      </c>
      <c r="AC96" s="170" t="e">
        <f>$I33*AC33</f>
        <v>#REF!</v>
      </c>
      <c r="AD96" s="150" t="e">
        <f>$I33*AD33</f>
        <v>#REF!</v>
      </c>
      <c r="AE96" s="151" t="e">
        <f>$H33*AE33</f>
        <v>#REF!</v>
      </c>
      <c r="AG96" s="164" t="e">
        <f>J96*$F96</f>
        <v>#REF!</v>
      </c>
      <c r="AH96" s="165" t="e">
        <f>K96*$F96</f>
        <v>#REF!</v>
      </c>
      <c r="AI96" s="166" t="e">
        <f>L96*$F96</f>
        <v>#REF!</v>
      </c>
      <c r="AJ96" s="167" t="e">
        <f>M96*$F96</f>
        <v>#REF!</v>
      </c>
      <c r="AK96" s="165" t="e">
        <f>K96*$F96</f>
        <v>#REF!</v>
      </c>
      <c r="AL96" s="166" t="e">
        <f>O96*$F96</f>
        <v>#REF!</v>
      </c>
      <c r="AM96" s="167" t="e">
        <f>P96*$F96</f>
        <v>#REF!</v>
      </c>
      <c r="AN96" s="165" t="e">
        <f>N96*$F96</f>
        <v>#REF!</v>
      </c>
      <c r="AO96" s="166" t="e">
        <f>R96*$F96</f>
        <v>#REF!</v>
      </c>
      <c r="AP96" s="167" t="e">
        <f>S96*$F96</f>
        <v>#REF!</v>
      </c>
      <c r="AQ96" s="165" t="e">
        <f>Q96*$F96</f>
        <v>#REF!</v>
      </c>
      <c r="AR96" s="166" t="e">
        <f>U96*$F96</f>
        <v>#REF!</v>
      </c>
      <c r="AS96" s="167" t="e">
        <f>V96*$F96</f>
        <v>#REF!</v>
      </c>
      <c r="AT96" s="165" t="e">
        <f>T96*$F96</f>
        <v>#REF!</v>
      </c>
      <c r="AU96" s="166" t="e">
        <f>X96*$F96</f>
        <v>#REF!</v>
      </c>
      <c r="AV96" s="167" t="e">
        <f>Y96*$F96</f>
        <v>#REF!</v>
      </c>
      <c r="AW96" s="165" t="e">
        <f>W96*$F96</f>
        <v>#REF!</v>
      </c>
      <c r="AX96" s="166" t="e">
        <f>AA96*$F96</f>
        <v>#REF!</v>
      </c>
      <c r="AY96" s="167" t="e">
        <f>AB96*$F96</f>
        <v>#REF!</v>
      </c>
      <c r="AZ96" s="168" t="e">
        <f>Z96*$F96</f>
        <v>#REF!</v>
      </c>
      <c r="BA96" s="169" t="e">
        <f>AD96*$F96</f>
        <v>#REF!</v>
      </c>
      <c r="BC96" s="160" t="e">
        <f>ROUNDUP(O96/$BC$13,0)</f>
        <v>#REF!</v>
      </c>
      <c r="BD96" s="160" t="e">
        <f>ROUNDUP(R96/$BD$13,0)</f>
        <v>#REF!</v>
      </c>
      <c r="BE96" s="160" t="e">
        <f>ROUNDUP(U96/$BE$13,0)</f>
        <v>#REF!</v>
      </c>
      <c r="BF96" s="160" t="e">
        <f>ROUNDUP(X96/$BF$13,0)</f>
        <v>#REF!</v>
      </c>
      <c r="BG96" s="160" t="e">
        <f>ROUNDUP(AA96/$BG$13,0)</f>
        <v>#REF!</v>
      </c>
      <c r="BH96" s="160" t="e">
        <f>ROUNDUP(AD96/$BH$13,0)</f>
        <v>#REF!</v>
      </c>
    </row>
    <row r="97" spans="1:61" customHeight="1" ht="20.1" s="226" customFormat="1">
      <c r="A97" s="1253"/>
      <c r="B97" s="1250"/>
      <c r="C97" s="216" t="str">
        <f>C34</f>
        <v>82111-47440 J </v>
      </c>
      <c r="D97" s="217" t="e">
        <f>D34</f>
        <v>#REF!</v>
      </c>
      <c r="E97" s="217" t="e">
        <f>+E34</f>
        <v>#REF!</v>
      </c>
      <c r="F97" s="218">
        <f>+F34</f>
        <v>337</v>
      </c>
      <c r="G97" s="218">
        <f>+G34</f>
        <v>6</v>
      </c>
      <c r="H97" s="309" t="e">
        <f>+H34</f>
        <v>#REF!</v>
      </c>
      <c r="I97" s="200" t="e">
        <f>I34</f>
        <v>#REF!</v>
      </c>
      <c r="J97" s="221" t="e">
        <f>$H34*J34</f>
        <v>#REF!</v>
      </c>
      <c r="K97" s="222" t="e">
        <f>$H34*K34</f>
        <v>#REF!</v>
      </c>
      <c r="L97" s="223" t="e">
        <f>$H34*L34</f>
        <v>#REF!</v>
      </c>
      <c r="M97" s="221" t="e">
        <f>$I34*M34</f>
        <v>#REF!</v>
      </c>
      <c r="N97" s="222" t="e">
        <f>$I34*N34</f>
        <v>#REF!</v>
      </c>
      <c r="O97" s="223" t="e">
        <f>$I34*O34</f>
        <v>#REF!</v>
      </c>
      <c r="P97" s="221" t="e">
        <f>$I34*P34</f>
        <v>#REF!</v>
      </c>
      <c r="Q97" s="222" t="e">
        <f>$I34*Q34</f>
        <v>#REF!</v>
      </c>
      <c r="R97" s="223" t="e">
        <f>$I34*R34</f>
        <v>#REF!</v>
      </c>
      <c r="S97" s="221" t="e">
        <f>$I34*S34</f>
        <v>#REF!</v>
      </c>
      <c r="T97" s="222" t="e">
        <f>$I34*T34</f>
        <v>#REF!</v>
      </c>
      <c r="U97" s="223" t="e">
        <f>$I34*U34</f>
        <v>#REF!</v>
      </c>
      <c r="V97" s="221" t="e">
        <f>$I34*V34</f>
        <v>#REF!</v>
      </c>
      <c r="W97" s="222" t="e">
        <f>$I34*W34</f>
        <v>#REF!</v>
      </c>
      <c r="X97" s="223" t="e">
        <f>$I34*X34</f>
        <v>#REF!</v>
      </c>
      <c r="Y97" s="221" t="e">
        <f>$I34*Y34</f>
        <v>#REF!</v>
      </c>
      <c r="Z97" s="222" t="e">
        <f>$I34*Z34</f>
        <v>#REF!</v>
      </c>
      <c r="AA97" s="223" t="e">
        <f>$I34*AA34</f>
        <v>#REF!</v>
      </c>
      <c r="AB97" s="221" t="e">
        <f>$I34*AB34</f>
        <v>#REF!</v>
      </c>
      <c r="AC97" s="253" t="e">
        <f>$I34*AC34</f>
        <v>#REF!</v>
      </c>
      <c r="AD97" s="223" t="e">
        <f>$I34*AD34</f>
        <v>#REF!</v>
      </c>
      <c r="AE97" s="225" t="e">
        <f>$H34*AE34</f>
        <v>#REF!</v>
      </c>
      <c r="AG97" s="227" t="e">
        <f>J97*$F97</f>
        <v>#REF!</v>
      </c>
      <c r="AH97" s="228" t="e">
        <f>K97*$F97</f>
        <v>#REF!</v>
      </c>
      <c r="AI97" s="229" t="e">
        <f>L97*$F97</f>
        <v>#REF!</v>
      </c>
      <c r="AJ97" s="230" t="e">
        <f>M97*$F97</f>
        <v>#REF!</v>
      </c>
      <c r="AK97" s="228" t="e">
        <f>K97*$F97</f>
        <v>#REF!</v>
      </c>
      <c r="AL97" s="229" t="e">
        <f>O97*$F97</f>
        <v>#REF!</v>
      </c>
      <c r="AM97" s="230" t="e">
        <f>P97*$F97</f>
        <v>#REF!</v>
      </c>
      <c r="AN97" s="228" t="e">
        <f>N97*$F97</f>
        <v>#REF!</v>
      </c>
      <c r="AO97" s="229" t="e">
        <f>R97*$F97</f>
        <v>#REF!</v>
      </c>
      <c r="AP97" s="230" t="e">
        <f>S97*$F97</f>
        <v>#REF!</v>
      </c>
      <c r="AQ97" s="228" t="e">
        <f>Q97*$F97</f>
        <v>#REF!</v>
      </c>
      <c r="AR97" s="229" t="e">
        <f>U97*$F97</f>
        <v>#REF!</v>
      </c>
      <c r="AS97" s="230" t="e">
        <f>V97*$F97</f>
        <v>#REF!</v>
      </c>
      <c r="AT97" s="228" t="e">
        <f>T97*$F97</f>
        <v>#REF!</v>
      </c>
      <c r="AU97" s="229" t="e">
        <f>X97*$F97</f>
        <v>#REF!</v>
      </c>
      <c r="AV97" s="230" t="e">
        <f>Y97*$F97</f>
        <v>#REF!</v>
      </c>
      <c r="AW97" s="228" t="e">
        <f>W97*$F97</f>
        <v>#REF!</v>
      </c>
      <c r="AX97" s="229" t="e">
        <f>AA97*$F97</f>
        <v>#REF!</v>
      </c>
      <c r="AY97" s="230" t="e">
        <f>AB97*$F97</f>
        <v>#REF!</v>
      </c>
      <c r="AZ97" s="231" t="e">
        <f>Z97*$F97</f>
        <v>#REF!</v>
      </c>
      <c r="BA97" s="232" t="e">
        <f>AD97*$F97</f>
        <v>#REF!</v>
      </c>
      <c r="BC97" s="160" t="e">
        <f>ROUNDUP(O97/$BC$13,0)</f>
        <v>#REF!</v>
      </c>
      <c r="BD97" s="160" t="e">
        <f>ROUNDUP(R97/$BD$13,0)</f>
        <v>#REF!</v>
      </c>
      <c r="BE97" s="160" t="e">
        <f>ROUNDUP(U97/$BE$13,0)</f>
        <v>#REF!</v>
      </c>
      <c r="BF97" s="160" t="e">
        <f>ROUNDUP(X97/$BF$13,0)</f>
        <v>#REF!</v>
      </c>
      <c r="BG97" s="160" t="e">
        <f>ROUNDUP(AA97/$BG$13,0)</f>
        <v>#REF!</v>
      </c>
      <c r="BH97" s="160" t="e">
        <f>ROUNDUP(AD97/$BH$13,0)</f>
        <v>#REF!</v>
      </c>
    </row>
    <row r="98" spans="1:61" customHeight="1" ht="20.1" s="226" customFormat="1">
      <c r="A98" s="320"/>
      <c r="B98" s="321"/>
      <c r="C98" s="216" t="str">
        <f>C35</f>
        <v>82111-47371</v>
      </c>
      <c r="D98" s="217" t="e">
        <f>D35</f>
        <v>#REF!</v>
      </c>
      <c r="E98" s="217" t="e">
        <f>+E35</f>
        <v>#REF!</v>
      </c>
      <c r="F98" s="218">
        <f>+F35</f>
        <v>321</v>
      </c>
      <c r="G98" s="218">
        <f>+G35</f>
        <v>6</v>
      </c>
      <c r="H98" s="309" t="e">
        <f>+H35</f>
        <v>#REF!</v>
      </c>
      <c r="I98" s="200" t="e">
        <f>I35</f>
        <v>#REF!</v>
      </c>
      <c r="J98" s="221" t="e">
        <f>$H35*J35</f>
        <v>#REF!</v>
      </c>
      <c r="K98" s="222" t="e">
        <f>$H35*K35</f>
        <v>#REF!</v>
      </c>
      <c r="L98" s="223" t="e">
        <f>$H35*L35</f>
        <v>#REF!</v>
      </c>
      <c r="M98" s="221" t="e">
        <f>$I35*M35</f>
        <v>#REF!</v>
      </c>
      <c r="N98" s="222" t="e">
        <f>$I35*N35</f>
        <v>#REF!</v>
      </c>
      <c r="O98" s="223" t="e">
        <f>$I35*O35</f>
        <v>#REF!</v>
      </c>
      <c r="P98" s="221" t="e">
        <f>$I35*P35</f>
        <v>#REF!</v>
      </c>
      <c r="Q98" s="222" t="e">
        <f>$I35*Q35</f>
        <v>#REF!</v>
      </c>
      <c r="R98" s="223" t="e">
        <f>$I35*R35</f>
        <v>#REF!</v>
      </c>
      <c r="S98" s="221" t="e">
        <f>$I35*S35</f>
        <v>#REF!</v>
      </c>
      <c r="T98" s="222" t="e">
        <f>$I35*T35</f>
        <v>#REF!</v>
      </c>
      <c r="U98" s="223" t="e">
        <f>$I35*U35</f>
        <v>#REF!</v>
      </c>
      <c r="V98" s="221" t="e">
        <f>$I35*V35</f>
        <v>#REF!</v>
      </c>
      <c r="W98" s="222" t="e">
        <f>$I35*W35</f>
        <v>#REF!</v>
      </c>
      <c r="X98" s="223" t="e">
        <f>$I35*X35</f>
        <v>#REF!</v>
      </c>
      <c r="Y98" s="221" t="e">
        <f>$I35*Y35</f>
        <v>#REF!</v>
      </c>
      <c r="Z98" s="222" t="e">
        <f>$I35*Z35</f>
        <v>#REF!</v>
      </c>
      <c r="AA98" s="223" t="e">
        <f>$I35*AA35</f>
        <v>#REF!</v>
      </c>
      <c r="AB98" s="221" t="e">
        <f>$I35*AB35</f>
        <v>#REF!</v>
      </c>
      <c r="AC98" s="253" t="e">
        <f>$I35*AC35</f>
        <v>#REF!</v>
      </c>
      <c r="AD98" s="223" t="e">
        <f>$I35*AD35</f>
        <v>#REF!</v>
      </c>
      <c r="AE98" s="225" t="e">
        <f>$H35*AE35</f>
        <v>#REF!</v>
      </c>
      <c r="AG98" s="227" t="e">
        <f>J98*$F98</f>
        <v>#REF!</v>
      </c>
      <c r="AH98" s="228" t="e">
        <f>K98*$F98</f>
        <v>#REF!</v>
      </c>
      <c r="AI98" s="229" t="e">
        <f>L98*$F98</f>
        <v>#REF!</v>
      </c>
      <c r="AJ98" s="230" t="e">
        <f>M98*$F98</f>
        <v>#REF!</v>
      </c>
      <c r="AK98" s="228" t="e">
        <f>K98*$F98</f>
        <v>#REF!</v>
      </c>
      <c r="AL98" s="229" t="e">
        <f>O98*$F98</f>
        <v>#REF!</v>
      </c>
      <c r="AM98" s="230" t="e">
        <f>P98*$F98</f>
        <v>#REF!</v>
      </c>
      <c r="AN98" s="228" t="e">
        <f>N98*$F98</f>
        <v>#REF!</v>
      </c>
      <c r="AO98" s="229" t="e">
        <f>R98*$F98</f>
        <v>#REF!</v>
      </c>
      <c r="AP98" s="230" t="e">
        <f>S98*$F98</f>
        <v>#REF!</v>
      </c>
      <c r="AQ98" s="228" t="e">
        <f>Q98*$F98</f>
        <v>#REF!</v>
      </c>
      <c r="AR98" s="229" t="e">
        <f>U98*$F98</f>
        <v>#REF!</v>
      </c>
      <c r="AS98" s="230" t="e">
        <f>V98*$F98</f>
        <v>#REF!</v>
      </c>
      <c r="AT98" s="228" t="e">
        <f>T98*$F98</f>
        <v>#REF!</v>
      </c>
      <c r="AU98" s="229" t="e">
        <f>X98*$F98</f>
        <v>#REF!</v>
      </c>
      <c r="AV98" s="230" t="e">
        <f>Y98*$F98</f>
        <v>#REF!</v>
      </c>
      <c r="AW98" s="228" t="e">
        <f>W98*$F98</f>
        <v>#REF!</v>
      </c>
      <c r="AX98" s="229" t="e">
        <f>AA98*$F98</f>
        <v>#REF!</v>
      </c>
      <c r="AY98" s="230" t="e">
        <f>AB98*$F98</f>
        <v>#REF!</v>
      </c>
      <c r="AZ98" s="231" t="e">
        <f>Z98*$F98</f>
        <v>#REF!</v>
      </c>
      <c r="BA98" s="232" t="e">
        <f>AD98*$F98</f>
        <v>#REF!</v>
      </c>
      <c r="BC98" s="160" t="e">
        <f>ROUNDUP(O98/$BC$13,0)</f>
        <v>#REF!</v>
      </c>
      <c r="BD98" s="160" t="e">
        <f>ROUNDUP(R98/$BD$13,0)</f>
        <v>#REF!</v>
      </c>
      <c r="BE98" s="160" t="e">
        <f>ROUNDUP(U98/$BE$13,0)</f>
        <v>#REF!</v>
      </c>
      <c r="BF98" s="160" t="e">
        <f>ROUNDUP(X98/$BF$13,0)</f>
        <v>#REF!</v>
      </c>
      <c r="BG98" s="160" t="e">
        <f>ROUNDUP(AA98/$BG$13,0)</f>
        <v>#REF!</v>
      </c>
      <c r="BH98" s="160" t="e">
        <f>ROUNDUP(AD98/$BH$13,0)</f>
        <v>#REF!</v>
      </c>
    </row>
    <row r="99" spans="1:61" customHeight="1" ht="20.1" s="226" customFormat="1">
      <c r="A99" s="320"/>
      <c r="B99" s="321"/>
      <c r="C99" s="216" t="str">
        <f>C36</f>
        <v>82111-47372</v>
      </c>
      <c r="D99" s="217" t="e">
        <f>D36</f>
        <v>#REF!</v>
      </c>
      <c r="E99" s="217" t="e">
        <f>+E36</f>
        <v>#REF!</v>
      </c>
      <c r="F99" s="218">
        <f>+F36</f>
        <v>321</v>
      </c>
      <c r="G99" s="218">
        <f>+G36</f>
        <v>6</v>
      </c>
      <c r="H99" s="309" t="e">
        <f>+H36</f>
        <v>#REF!</v>
      </c>
      <c r="I99" s="200" t="e">
        <f>I36</f>
        <v>#REF!</v>
      </c>
      <c r="J99" s="221" t="e">
        <f>$H36*J36</f>
        <v>#REF!</v>
      </c>
      <c r="K99" s="222" t="e">
        <f>$H36*K36</f>
        <v>#REF!</v>
      </c>
      <c r="L99" s="223" t="e">
        <f>$H36*L36</f>
        <v>#REF!</v>
      </c>
      <c r="M99" s="221" t="e">
        <f>$I36*M36</f>
        <v>#REF!</v>
      </c>
      <c r="N99" s="222" t="e">
        <f>$I36*N36</f>
        <v>#REF!</v>
      </c>
      <c r="O99" s="223" t="e">
        <f>$I36*O36</f>
        <v>#REF!</v>
      </c>
      <c r="P99" s="221" t="e">
        <f>$I36*P36</f>
        <v>#REF!</v>
      </c>
      <c r="Q99" s="222" t="e">
        <f>$I36*Q36</f>
        <v>#REF!</v>
      </c>
      <c r="R99" s="223" t="e">
        <f>$I36*R36</f>
        <v>#REF!</v>
      </c>
      <c r="S99" s="221" t="e">
        <f>$I36*S36</f>
        <v>#REF!</v>
      </c>
      <c r="T99" s="222" t="e">
        <f>$I36*T36</f>
        <v>#REF!</v>
      </c>
      <c r="U99" s="223" t="e">
        <f>$I36*U36</f>
        <v>#REF!</v>
      </c>
      <c r="V99" s="221" t="e">
        <f>$I36*V36</f>
        <v>#REF!</v>
      </c>
      <c r="W99" s="222" t="e">
        <f>$I36*W36</f>
        <v>#REF!</v>
      </c>
      <c r="X99" s="223" t="e">
        <f>$I36*X36</f>
        <v>#REF!</v>
      </c>
      <c r="Y99" s="221" t="e">
        <f>$I36*Y36</f>
        <v>#REF!</v>
      </c>
      <c r="Z99" s="222" t="e">
        <f>$I36*Z36</f>
        <v>#REF!</v>
      </c>
      <c r="AA99" s="223" t="e">
        <f>$I36*AA36</f>
        <v>#REF!</v>
      </c>
      <c r="AB99" s="221" t="e">
        <f>$I36*AB36</f>
        <v>#REF!</v>
      </c>
      <c r="AC99" s="253" t="e">
        <f>$I36*AC36</f>
        <v>#REF!</v>
      </c>
      <c r="AD99" s="223" t="e">
        <f>$I36*AD36</f>
        <v>#REF!</v>
      </c>
      <c r="AE99" s="225" t="e">
        <f>$H36*AE36</f>
        <v>#REF!</v>
      </c>
      <c r="AG99" s="227" t="e">
        <f>J99*$F99</f>
        <v>#REF!</v>
      </c>
      <c r="AH99" s="228" t="e">
        <f>K99*$F99</f>
        <v>#REF!</v>
      </c>
      <c r="AI99" s="229" t="e">
        <f>L99*$F99</f>
        <v>#REF!</v>
      </c>
      <c r="AJ99" s="230" t="e">
        <f>M99*$F99</f>
        <v>#REF!</v>
      </c>
      <c r="AK99" s="228" t="e">
        <f>K99*$F99</f>
        <v>#REF!</v>
      </c>
      <c r="AL99" s="229" t="e">
        <f>O99*$F99</f>
        <v>#REF!</v>
      </c>
      <c r="AM99" s="230" t="e">
        <f>P99*$F99</f>
        <v>#REF!</v>
      </c>
      <c r="AN99" s="228" t="e">
        <f>N99*$F99</f>
        <v>#REF!</v>
      </c>
      <c r="AO99" s="229" t="e">
        <f>R99*$F99</f>
        <v>#REF!</v>
      </c>
      <c r="AP99" s="230" t="e">
        <f>S99*$F99</f>
        <v>#REF!</v>
      </c>
      <c r="AQ99" s="228" t="e">
        <f>Q99*$F99</f>
        <v>#REF!</v>
      </c>
      <c r="AR99" s="229" t="e">
        <f>U99*$F99</f>
        <v>#REF!</v>
      </c>
      <c r="AS99" s="230" t="e">
        <f>V99*$F99</f>
        <v>#REF!</v>
      </c>
      <c r="AT99" s="228" t="e">
        <f>T99*$F99</f>
        <v>#REF!</v>
      </c>
      <c r="AU99" s="229" t="e">
        <f>X99*$F99</f>
        <v>#REF!</v>
      </c>
      <c r="AV99" s="230" t="e">
        <f>Y99*$F99</f>
        <v>#REF!</v>
      </c>
      <c r="AW99" s="228" t="e">
        <f>W99*$F99</f>
        <v>#REF!</v>
      </c>
      <c r="AX99" s="229" t="e">
        <f>AA99*$F99</f>
        <v>#REF!</v>
      </c>
      <c r="AY99" s="230" t="e">
        <f>AB99*$F99</f>
        <v>#REF!</v>
      </c>
      <c r="AZ99" s="231" t="e">
        <f>Z99*$F99</f>
        <v>#REF!</v>
      </c>
      <c r="BA99" s="232" t="e">
        <f>AD99*$F99</f>
        <v>#REF!</v>
      </c>
      <c r="BC99" s="160" t="e">
        <f>ROUNDUP(O99/$BC$13,0)</f>
        <v>#REF!</v>
      </c>
      <c r="BD99" s="160" t="e">
        <f>ROUNDUP(R99/$BD$13,0)</f>
        <v>#REF!</v>
      </c>
      <c r="BE99" s="160" t="e">
        <f>ROUNDUP(U99/$BE$13,0)</f>
        <v>#REF!</v>
      </c>
      <c r="BF99" s="160" t="e">
        <f>ROUNDUP(X99/$BF$13,0)</f>
        <v>#REF!</v>
      </c>
      <c r="BG99" s="160" t="e">
        <f>ROUNDUP(AA99/$BG$13,0)</f>
        <v>#REF!</v>
      </c>
      <c r="BH99" s="160" t="e">
        <f>ROUNDUP(AD99/$BH$13,0)</f>
        <v>#REF!</v>
      </c>
    </row>
    <row r="100" spans="1:61" customHeight="1" ht="20.1" s="152" customFormat="1">
      <c r="A100" s="314"/>
      <c r="B100" s="1249"/>
      <c r="C100" s="171" t="str">
        <f>C37</f>
        <v>82111-47391</v>
      </c>
      <c r="D100" s="214" t="e">
        <f>D37</f>
        <v>#REF!</v>
      </c>
      <c r="E100" s="214" t="e">
        <f>+E37</f>
        <v>#REF!</v>
      </c>
      <c r="F100" s="172">
        <f>+F37</f>
        <v>347</v>
      </c>
      <c r="G100" s="172">
        <f>+G37</f>
        <v>6</v>
      </c>
      <c r="H100" s="173" t="e">
        <f>+H37</f>
        <v>#REF!</v>
      </c>
      <c r="I100" s="220" t="e">
        <f>I37</f>
        <v>#REF!</v>
      </c>
      <c r="J100" s="174" t="e">
        <f>$H37*J37</f>
        <v>#REF!</v>
      </c>
      <c r="K100" s="175" t="e">
        <f>$H37*K37</f>
        <v>#REF!</v>
      </c>
      <c r="L100" s="176" t="e">
        <f>$H37*L37</f>
        <v>#REF!</v>
      </c>
      <c r="M100" s="174" t="e">
        <f>$I37*M37</f>
        <v>#REF!</v>
      </c>
      <c r="N100" s="175" t="e">
        <f>$I37*N37</f>
        <v>#REF!</v>
      </c>
      <c r="O100" s="176" t="e">
        <f>$I37*O37</f>
        <v>#REF!</v>
      </c>
      <c r="P100" s="174" t="e">
        <f>$I37*P37</f>
        <v>#REF!</v>
      </c>
      <c r="Q100" s="175" t="e">
        <f>$I37*Q37</f>
        <v>#REF!</v>
      </c>
      <c r="R100" s="176" t="e">
        <f>$I37*R37</f>
        <v>#REF!</v>
      </c>
      <c r="S100" s="174" t="e">
        <f>$I37*S37</f>
        <v>#REF!</v>
      </c>
      <c r="T100" s="175" t="e">
        <f>$I37*T37</f>
        <v>#REF!</v>
      </c>
      <c r="U100" s="176" t="e">
        <f>$I37*U37</f>
        <v>#REF!</v>
      </c>
      <c r="V100" s="174" t="e">
        <f>$I37*V37</f>
        <v>#REF!</v>
      </c>
      <c r="W100" s="175" t="e">
        <f>$I37*W37</f>
        <v>#REF!</v>
      </c>
      <c r="X100" s="176" t="e">
        <f>$I37*X37</f>
        <v>#REF!</v>
      </c>
      <c r="Y100" s="174" t="e">
        <f>$I37*Y37</f>
        <v>#REF!</v>
      </c>
      <c r="Z100" s="175" t="e">
        <f>$I37*Z37</f>
        <v>#REF!</v>
      </c>
      <c r="AA100" s="176" t="e">
        <f>$I37*AA37</f>
        <v>#REF!</v>
      </c>
      <c r="AB100" s="174" t="e">
        <f>$I37*AB37</f>
        <v>#REF!</v>
      </c>
      <c r="AC100" s="215" t="e">
        <f>$I37*AC37</f>
        <v>#REF!</v>
      </c>
      <c r="AD100" s="176" t="e">
        <f>$I37*AD37</f>
        <v>#REF!</v>
      </c>
      <c r="AE100" s="177" t="e">
        <f>$H37*AE37</f>
        <v>#REF!</v>
      </c>
      <c r="AG100" s="164" t="e">
        <f>J100*$F100</f>
        <v>#REF!</v>
      </c>
      <c r="AH100" s="165" t="e">
        <f>K100*$F100</f>
        <v>#REF!</v>
      </c>
      <c r="AI100" s="166" t="e">
        <f>L100*$F100</f>
        <v>#REF!</v>
      </c>
      <c r="AJ100" s="167" t="e">
        <f>M100*$F100</f>
        <v>#REF!</v>
      </c>
      <c r="AK100" s="165" t="e">
        <f>K100*$F100</f>
        <v>#REF!</v>
      </c>
      <c r="AL100" s="166" t="e">
        <f>O100*$F100</f>
        <v>#REF!</v>
      </c>
      <c r="AM100" s="167" t="e">
        <f>P100*$F100</f>
        <v>#REF!</v>
      </c>
      <c r="AN100" s="165" t="e">
        <f>N100*$F100</f>
        <v>#REF!</v>
      </c>
      <c r="AO100" s="166" t="e">
        <f>R100*$F100</f>
        <v>#REF!</v>
      </c>
      <c r="AP100" s="167" t="e">
        <f>S100*$F100</f>
        <v>#REF!</v>
      </c>
      <c r="AQ100" s="165" t="e">
        <f>Q100*$F100</f>
        <v>#REF!</v>
      </c>
      <c r="AR100" s="166" t="e">
        <f>U100*$F100</f>
        <v>#REF!</v>
      </c>
      <c r="AS100" s="167" t="e">
        <f>V100*$F100</f>
        <v>#REF!</v>
      </c>
      <c r="AT100" s="165" t="e">
        <f>T100*$F100</f>
        <v>#REF!</v>
      </c>
      <c r="AU100" s="166" t="e">
        <f>X100*$F100</f>
        <v>#REF!</v>
      </c>
      <c r="AV100" s="167" t="e">
        <f>Y100*$F100</f>
        <v>#REF!</v>
      </c>
      <c r="AW100" s="165" t="e">
        <f>W100*$F100</f>
        <v>#REF!</v>
      </c>
      <c r="AX100" s="166" t="e">
        <f>AA100*$F100</f>
        <v>#REF!</v>
      </c>
      <c r="AY100" s="167" t="e">
        <f>AB100*$F100</f>
        <v>#REF!</v>
      </c>
      <c r="AZ100" s="168" t="e">
        <f>Z100*$F100</f>
        <v>#REF!</v>
      </c>
      <c r="BA100" s="169" t="e">
        <f>AD100*$F100</f>
        <v>#REF!</v>
      </c>
      <c r="BC100" s="178" t="e">
        <f>ROUNDUP(O100/$BC$13,0)</f>
        <v>#REF!</v>
      </c>
      <c r="BD100" s="178" t="e">
        <f>ROUNDUP(R100/$BD$13,0)</f>
        <v>#REF!</v>
      </c>
      <c r="BE100" s="178" t="e">
        <f>ROUNDUP(U100/$BE$13,0)</f>
        <v>#REF!</v>
      </c>
      <c r="BF100" s="178" t="e">
        <f>ROUNDUP(X100/$BF$13,0)</f>
        <v>#REF!</v>
      </c>
      <c r="BG100" s="178" t="e">
        <f>ROUNDUP(AA100/$BG$13,0)</f>
        <v>#REF!</v>
      </c>
      <c r="BH100" s="178" t="e">
        <f>ROUNDUP(AD100/$BH$13,0)</f>
        <v>#REF!</v>
      </c>
    </row>
    <row r="101" spans="1:61" customHeight="1" ht="20.1" s="152" customFormat="1">
      <c r="A101" s="314"/>
      <c r="B101" s="1249"/>
      <c r="C101" s="171" t="str">
        <f>C38</f>
        <v>82111-47392</v>
      </c>
      <c r="D101" s="214" t="e">
        <f>D38</f>
        <v>#REF!</v>
      </c>
      <c r="E101" s="214" t="e">
        <f>+E38</f>
        <v>#REF!</v>
      </c>
      <c r="F101" s="172">
        <f>+F38</f>
        <v>347</v>
      </c>
      <c r="G101" s="172">
        <f>+G38</f>
        <v>6</v>
      </c>
      <c r="H101" s="173" t="e">
        <f>+H38</f>
        <v>#REF!</v>
      </c>
      <c r="I101" s="220" t="e">
        <f>I38</f>
        <v>#REF!</v>
      </c>
      <c r="J101" s="174" t="e">
        <f>$H38*J38</f>
        <v>#REF!</v>
      </c>
      <c r="K101" s="175" t="e">
        <f>$H38*K38</f>
        <v>#REF!</v>
      </c>
      <c r="L101" s="176" t="e">
        <f>$H38*L38</f>
        <v>#REF!</v>
      </c>
      <c r="M101" s="174" t="e">
        <f>$I38*M38</f>
        <v>#REF!</v>
      </c>
      <c r="N101" s="175" t="e">
        <f>$I38*N38</f>
        <v>#REF!</v>
      </c>
      <c r="O101" s="176" t="e">
        <f>$I38*O38</f>
        <v>#REF!</v>
      </c>
      <c r="P101" s="174" t="e">
        <f>$I38*P38</f>
        <v>#REF!</v>
      </c>
      <c r="Q101" s="175" t="e">
        <f>$I38*Q38</f>
        <v>#REF!</v>
      </c>
      <c r="R101" s="176" t="e">
        <f>$I38*R38</f>
        <v>#REF!</v>
      </c>
      <c r="S101" s="174" t="e">
        <f>$I38*S38</f>
        <v>#REF!</v>
      </c>
      <c r="T101" s="175" t="e">
        <f>$I38*T38</f>
        <v>#REF!</v>
      </c>
      <c r="U101" s="176" t="e">
        <f>$I38*U38</f>
        <v>#REF!</v>
      </c>
      <c r="V101" s="174" t="e">
        <f>$I38*V38</f>
        <v>#REF!</v>
      </c>
      <c r="W101" s="175" t="e">
        <f>$I38*W38</f>
        <v>#REF!</v>
      </c>
      <c r="X101" s="176" t="e">
        <f>$I38*X38</f>
        <v>#REF!</v>
      </c>
      <c r="Y101" s="174" t="e">
        <f>$I38*Y38</f>
        <v>#REF!</v>
      </c>
      <c r="Z101" s="175" t="e">
        <f>$I38*Z38</f>
        <v>#REF!</v>
      </c>
      <c r="AA101" s="176" t="e">
        <f>$I38*AA38</f>
        <v>#REF!</v>
      </c>
      <c r="AB101" s="174" t="e">
        <f>$I38*AB38</f>
        <v>#REF!</v>
      </c>
      <c r="AC101" s="215" t="e">
        <f>$I38*AC38</f>
        <v>#REF!</v>
      </c>
      <c r="AD101" s="176" t="e">
        <f>$I38*AD38</f>
        <v>#REF!</v>
      </c>
      <c r="AE101" s="177" t="e">
        <f>$H38*AE38</f>
        <v>#REF!</v>
      </c>
      <c r="AG101" s="164" t="e">
        <f>J101*$F101</f>
        <v>#REF!</v>
      </c>
      <c r="AH101" s="165" t="e">
        <f>K101*$F101</f>
        <v>#REF!</v>
      </c>
      <c r="AI101" s="166" t="e">
        <f>L101*$F101</f>
        <v>#REF!</v>
      </c>
      <c r="AJ101" s="167" t="e">
        <f>M101*$F101</f>
        <v>#REF!</v>
      </c>
      <c r="AK101" s="165" t="e">
        <f>K101*$F101</f>
        <v>#REF!</v>
      </c>
      <c r="AL101" s="166" t="e">
        <f>O101*$F101</f>
        <v>#REF!</v>
      </c>
      <c r="AM101" s="167" t="e">
        <f>P101*$F101</f>
        <v>#REF!</v>
      </c>
      <c r="AN101" s="165" t="e">
        <f>N101*$F101</f>
        <v>#REF!</v>
      </c>
      <c r="AO101" s="166" t="e">
        <f>R101*$F101</f>
        <v>#REF!</v>
      </c>
      <c r="AP101" s="167" t="e">
        <f>S101*$F101</f>
        <v>#REF!</v>
      </c>
      <c r="AQ101" s="165" t="e">
        <f>Q101*$F101</f>
        <v>#REF!</v>
      </c>
      <c r="AR101" s="166" t="e">
        <f>U101*$F101</f>
        <v>#REF!</v>
      </c>
      <c r="AS101" s="167" t="e">
        <f>V101*$F101</f>
        <v>#REF!</v>
      </c>
      <c r="AT101" s="165" t="e">
        <f>T101*$F101</f>
        <v>#REF!</v>
      </c>
      <c r="AU101" s="166" t="e">
        <f>X101*$F101</f>
        <v>#REF!</v>
      </c>
      <c r="AV101" s="167" t="e">
        <f>Y101*$F101</f>
        <v>#REF!</v>
      </c>
      <c r="AW101" s="165" t="e">
        <f>W101*$F101</f>
        <v>#REF!</v>
      </c>
      <c r="AX101" s="166" t="e">
        <f>AA101*$F101</f>
        <v>#REF!</v>
      </c>
      <c r="AY101" s="167" t="e">
        <f>AB101*$F101</f>
        <v>#REF!</v>
      </c>
      <c r="AZ101" s="168" t="e">
        <f>Z101*$F101</f>
        <v>#REF!</v>
      </c>
      <c r="BA101" s="169" t="e">
        <f>AD101*$F101</f>
        <v>#REF!</v>
      </c>
      <c r="BC101" s="178" t="e">
        <f>ROUNDUP(O101/$BC$13,0)</f>
        <v>#REF!</v>
      </c>
      <c r="BD101" s="178" t="e">
        <f>ROUNDUP(R101/$BD$13,0)</f>
        <v>#REF!</v>
      </c>
      <c r="BE101" s="178" t="e">
        <f>ROUNDUP(U101/$BE$13,0)</f>
        <v>#REF!</v>
      </c>
      <c r="BF101" s="178" t="e">
        <f>ROUNDUP(X101/$BF$13,0)</f>
        <v>#REF!</v>
      </c>
      <c r="BG101" s="178" t="e">
        <f>ROUNDUP(AA101/$BG$13,0)</f>
        <v>#REF!</v>
      </c>
      <c r="BH101" s="178" t="e">
        <f>ROUNDUP(AD101/$BH$13,0)</f>
        <v>#REF!</v>
      </c>
    </row>
    <row r="102" spans="1:61" customHeight="1" ht="20.1" s="152" customFormat="1">
      <c r="A102" s="314"/>
      <c r="B102" s="1249"/>
      <c r="C102" s="233" t="str">
        <f>C39</f>
        <v>82111-47401</v>
      </c>
      <c r="D102" s="234" t="e">
        <f>D39</f>
        <v>#REF!</v>
      </c>
      <c r="E102" s="234" t="e">
        <f>+E39</f>
        <v>#REF!</v>
      </c>
      <c r="F102" s="235">
        <f>+F39</f>
        <v>313</v>
      </c>
      <c r="G102" s="235">
        <f>+G39</f>
        <v>6</v>
      </c>
      <c r="H102" s="306" t="e">
        <f>+H39</f>
        <v>#REF!</v>
      </c>
      <c r="I102" s="220" t="e">
        <f>I39</f>
        <v>#REF!</v>
      </c>
      <c r="J102" s="236" t="e">
        <f>$H39*J39</f>
        <v>#REF!</v>
      </c>
      <c r="K102" s="237" t="e">
        <f>$H39*K39</f>
        <v>#REF!</v>
      </c>
      <c r="L102" s="238" t="e">
        <f>$H39*L39</f>
        <v>#REF!</v>
      </c>
      <c r="M102" s="236" t="e">
        <f>$I39*M39</f>
        <v>#REF!</v>
      </c>
      <c r="N102" s="237" t="e">
        <f>$I39*N39</f>
        <v>#REF!</v>
      </c>
      <c r="O102" s="238" t="e">
        <f>$I39*O39</f>
        <v>#REF!</v>
      </c>
      <c r="P102" s="236" t="e">
        <f>$I39*P39</f>
        <v>#REF!</v>
      </c>
      <c r="Q102" s="237" t="e">
        <f>$I39*Q39</f>
        <v>#REF!</v>
      </c>
      <c r="R102" s="238" t="e">
        <f>$I39*R39</f>
        <v>#REF!</v>
      </c>
      <c r="S102" s="236" t="e">
        <f>$I39*S39</f>
        <v>#REF!</v>
      </c>
      <c r="T102" s="237" t="e">
        <f>$I39*T39</f>
        <v>#REF!</v>
      </c>
      <c r="U102" s="238" t="e">
        <f>$I39*U39</f>
        <v>#REF!</v>
      </c>
      <c r="V102" s="236" t="e">
        <f>$I39*V39</f>
        <v>#REF!</v>
      </c>
      <c r="W102" s="237" t="e">
        <f>$I39*W39</f>
        <v>#REF!</v>
      </c>
      <c r="X102" s="238" t="e">
        <f>$I39*X39</f>
        <v>#REF!</v>
      </c>
      <c r="Y102" s="236" t="e">
        <f>$I39*Y39</f>
        <v>#REF!</v>
      </c>
      <c r="Z102" s="237" t="e">
        <f>$I39*Z39</f>
        <v>#REF!</v>
      </c>
      <c r="AA102" s="238" t="e">
        <f>$I39*AA39</f>
        <v>#REF!</v>
      </c>
      <c r="AB102" s="236" t="e">
        <f>$I39*AB39</f>
        <v>#REF!</v>
      </c>
      <c r="AC102" s="239" t="e">
        <f>$I39*AC39</f>
        <v>#REF!</v>
      </c>
      <c r="AD102" s="238" t="e">
        <f>$I39*AD39</f>
        <v>#REF!</v>
      </c>
      <c r="AE102" s="240" t="e">
        <f>$H39*AE39</f>
        <v>#REF!</v>
      </c>
      <c r="AG102" s="164" t="e">
        <f>J102*$F102</f>
        <v>#REF!</v>
      </c>
      <c r="AH102" s="165" t="e">
        <f>K102*$F102</f>
        <v>#REF!</v>
      </c>
      <c r="AI102" s="166" t="e">
        <f>L102*$F102</f>
        <v>#REF!</v>
      </c>
      <c r="AJ102" s="167" t="e">
        <f>M102*$F102</f>
        <v>#REF!</v>
      </c>
      <c r="AK102" s="165" t="e">
        <f>K102*$F102</f>
        <v>#REF!</v>
      </c>
      <c r="AL102" s="166" t="e">
        <f>O102*$F102</f>
        <v>#REF!</v>
      </c>
      <c r="AM102" s="167" t="e">
        <f>P102*$F102</f>
        <v>#REF!</v>
      </c>
      <c r="AN102" s="165" t="e">
        <f>N102*$F102</f>
        <v>#REF!</v>
      </c>
      <c r="AO102" s="166" t="e">
        <f>R102*$F102</f>
        <v>#REF!</v>
      </c>
      <c r="AP102" s="167" t="e">
        <f>S102*$F102</f>
        <v>#REF!</v>
      </c>
      <c r="AQ102" s="165" t="e">
        <f>Q102*$F102</f>
        <v>#REF!</v>
      </c>
      <c r="AR102" s="166" t="e">
        <f>U102*$F102</f>
        <v>#REF!</v>
      </c>
      <c r="AS102" s="167" t="e">
        <f>V102*$F102</f>
        <v>#REF!</v>
      </c>
      <c r="AT102" s="165" t="e">
        <f>T102*$F102</f>
        <v>#REF!</v>
      </c>
      <c r="AU102" s="166" t="e">
        <f>X102*$F102</f>
        <v>#REF!</v>
      </c>
      <c r="AV102" s="167" t="e">
        <f>Y102*$F102</f>
        <v>#REF!</v>
      </c>
      <c r="AW102" s="165" t="e">
        <f>W102*$F102</f>
        <v>#REF!</v>
      </c>
      <c r="AX102" s="166" t="e">
        <f>AA102*$F102</f>
        <v>#REF!</v>
      </c>
      <c r="AY102" s="167" t="e">
        <f>AB102*$F102</f>
        <v>#REF!</v>
      </c>
      <c r="AZ102" s="168" t="e">
        <f>Z102*$F102</f>
        <v>#REF!</v>
      </c>
      <c r="BA102" s="169" t="e">
        <f>AD102*$F102</f>
        <v>#REF!</v>
      </c>
      <c r="BC102" s="241" t="e">
        <f>ROUNDUP(O102/$BC$13,0)</f>
        <v>#REF!</v>
      </c>
      <c r="BD102" s="241" t="e">
        <f>ROUNDUP(R102/$BD$13,0)</f>
        <v>#REF!</v>
      </c>
      <c r="BE102" s="241" t="e">
        <f>ROUNDUP(U102/$BE$13,0)</f>
        <v>#REF!</v>
      </c>
      <c r="BF102" s="241" t="e">
        <f>ROUNDUP(X102/$BF$13,0)</f>
        <v>#REF!</v>
      </c>
      <c r="BG102" s="241" t="e">
        <f>ROUNDUP(AA102/$BG$13,0)</f>
        <v>#REF!</v>
      </c>
      <c r="BH102" s="241" t="e">
        <f>ROUNDUP(AD102/$BH$13,0)</f>
        <v>#REF!</v>
      </c>
    </row>
    <row r="103" spans="1:61" customHeight="1" ht="20.1" s="152" customFormat="1">
      <c r="A103" s="314"/>
      <c r="B103" s="321"/>
      <c r="C103" s="233" t="str">
        <f>C40</f>
        <v>82111-47402</v>
      </c>
      <c r="D103" s="234" t="e">
        <f>D40</f>
        <v>#REF!</v>
      </c>
      <c r="E103" s="234" t="e">
        <f>+E40</f>
        <v>#REF!</v>
      </c>
      <c r="F103" s="235">
        <f>+F40</f>
        <v>313</v>
      </c>
      <c r="G103" s="235">
        <f>+G40</f>
        <v>6</v>
      </c>
      <c r="H103" s="306" t="e">
        <f>+H40</f>
        <v>#REF!</v>
      </c>
      <c r="I103" s="220" t="e">
        <f>I40</f>
        <v>#REF!</v>
      </c>
      <c r="J103" s="236" t="e">
        <f>$H40*J40</f>
        <v>#REF!</v>
      </c>
      <c r="K103" s="237" t="e">
        <f>$H40*K40</f>
        <v>#REF!</v>
      </c>
      <c r="L103" s="238" t="e">
        <f>$H40*L40</f>
        <v>#REF!</v>
      </c>
      <c r="M103" s="236" t="e">
        <f>$I40*M40</f>
        <v>#REF!</v>
      </c>
      <c r="N103" s="237" t="e">
        <f>$I40*N40</f>
        <v>#REF!</v>
      </c>
      <c r="O103" s="238" t="e">
        <f>$I40*O40</f>
        <v>#REF!</v>
      </c>
      <c r="P103" s="236" t="e">
        <f>$I40*P40</f>
        <v>#REF!</v>
      </c>
      <c r="Q103" s="237" t="e">
        <f>$I40*Q40</f>
        <v>#REF!</v>
      </c>
      <c r="R103" s="238" t="e">
        <f>$I40*R40</f>
        <v>#REF!</v>
      </c>
      <c r="S103" s="236" t="e">
        <f>$I40*S40</f>
        <v>#REF!</v>
      </c>
      <c r="T103" s="237" t="e">
        <f>$I40*T40</f>
        <v>#REF!</v>
      </c>
      <c r="U103" s="238" t="e">
        <f>$I40*U40</f>
        <v>#REF!</v>
      </c>
      <c r="V103" s="236" t="e">
        <f>$I40*V40</f>
        <v>#REF!</v>
      </c>
      <c r="W103" s="237" t="e">
        <f>$I40*W40</f>
        <v>#REF!</v>
      </c>
      <c r="X103" s="238" t="e">
        <f>$I40*X40</f>
        <v>#REF!</v>
      </c>
      <c r="Y103" s="236" t="e">
        <f>$I40*Y40</f>
        <v>#REF!</v>
      </c>
      <c r="Z103" s="237" t="e">
        <f>$I40*Z40</f>
        <v>#REF!</v>
      </c>
      <c r="AA103" s="238" t="e">
        <f>$I40*AA40</f>
        <v>#REF!</v>
      </c>
      <c r="AB103" s="236" t="e">
        <f>$I40*AB40</f>
        <v>#REF!</v>
      </c>
      <c r="AC103" s="239" t="e">
        <f>$I40*AC40</f>
        <v>#REF!</v>
      </c>
      <c r="AD103" s="238" t="e">
        <f>$I40*AD40</f>
        <v>#REF!</v>
      </c>
      <c r="AE103" s="240" t="e">
        <f>$H40*AE40</f>
        <v>#REF!</v>
      </c>
      <c r="AG103" s="164" t="e">
        <f>J103*$F103</f>
        <v>#REF!</v>
      </c>
      <c r="AH103" s="165" t="e">
        <f>K103*$F103</f>
        <v>#REF!</v>
      </c>
      <c r="AI103" s="166" t="e">
        <f>L103*$F103</f>
        <v>#REF!</v>
      </c>
      <c r="AJ103" s="167" t="e">
        <f>M103*$F103</f>
        <v>#REF!</v>
      </c>
      <c r="AK103" s="165" t="e">
        <f>K103*$F103</f>
        <v>#REF!</v>
      </c>
      <c r="AL103" s="166" t="e">
        <f>O103*$F103</f>
        <v>#REF!</v>
      </c>
      <c r="AM103" s="167" t="e">
        <f>P103*$F103</f>
        <v>#REF!</v>
      </c>
      <c r="AN103" s="165" t="e">
        <f>N103*$F103</f>
        <v>#REF!</v>
      </c>
      <c r="AO103" s="166" t="e">
        <f>R103*$F103</f>
        <v>#REF!</v>
      </c>
      <c r="AP103" s="167" t="e">
        <f>S103*$F103</f>
        <v>#REF!</v>
      </c>
      <c r="AQ103" s="165" t="e">
        <f>Q103*$F103</f>
        <v>#REF!</v>
      </c>
      <c r="AR103" s="166" t="e">
        <f>U103*$F103</f>
        <v>#REF!</v>
      </c>
      <c r="AS103" s="167" t="e">
        <f>V103*$F103</f>
        <v>#REF!</v>
      </c>
      <c r="AT103" s="165" t="e">
        <f>T103*$F103</f>
        <v>#REF!</v>
      </c>
      <c r="AU103" s="166" t="e">
        <f>X103*$F103</f>
        <v>#REF!</v>
      </c>
      <c r="AV103" s="167" t="e">
        <f>Y103*$F103</f>
        <v>#REF!</v>
      </c>
      <c r="AW103" s="165" t="e">
        <f>W103*$F103</f>
        <v>#REF!</v>
      </c>
      <c r="AX103" s="166" t="e">
        <f>AA103*$F103</f>
        <v>#REF!</v>
      </c>
      <c r="AY103" s="167" t="e">
        <f>AB103*$F103</f>
        <v>#REF!</v>
      </c>
      <c r="AZ103" s="168" t="e">
        <f>Z103*$F103</f>
        <v>#REF!</v>
      </c>
      <c r="BA103" s="169" t="e">
        <f>AD103*$F103</f>
        <v>#REF!</v>
      </c>
      <c r="BC103" s="241" t="e">
        <f>ROUNDUP(O103/$BC$13,0)</f>
        <v>#REF!</v>
      </c>
      <c r="BD103" s="241" t="e">
        <f>ROUNDUP(R103/$BD$13,0)</f>
        <v>#REF!</v>
      </c>
      <c r="BE103" s="241" t="e">
        <f>ROUNDUP(U103/$BE$13,0)</f>
        <v>#REF!</v>
      </c>
      <c r="BF103" s="241" t="e">
        <f>ROUNDUP(X103/$BF$13,0)</f>
        <v>#REF!</v>
      </c>
      <c r="BG103" s="241" t="e">
        <f>ROUNDUP(AA103/$BG$13,0)</f>
        <v>#REF!</v>
      </c>
      <c r="BH103" s="241" t="e">
        <f>ROUNDUP(AD103/$BH$13,0)</f>
        <v>#REF!</v>
      </c>
    </row>
    <row r="104" spans="1:61" customHeight="1" ht="20.1" s="206" customFormat="1">
      <c r="A104" s="314"/>
      <c r="B104" s="1254"/>
      <c r="C104" s="196" t="str">
        <f>C41</f>
        <v>82111-47411</v>
      </c>
      <c r="D104" s="251" t="e">
        <f>D41</f>
        <v>#REF!</v>
      </c>
      <c r="E104" s="251" t="e">
        <f>+E41</f>
        <v>#REF!</v>
      </c>
      <c r="F104" s="198">
        <f>+F41</f>
        <v>337</v>
      </c>
      <c r="G104" s="198">
        <f>+G41</f>
        <v>6</v>
      </c>
      <c r="H104" s="307" t="e">
        <f>+H41</f>
        <v>#REF!</v>
      </c>
      <c r="I104" s="276" t="e">
        <f>I41</f>
        <v>#REF!</v>
      </c>
      <c r="J104" s="201" t="e">
        <f>$H41*J41</f>
        <v>#REF!</v>
      </c>
      <c r="K104" s="202" t="e">
        <f>$H41*K41</f>
        <v>#REF!</v>
      </c>
      <c r="L104" s="203" t="e">
        <f>$H41*L41</f>
        <v>#REF!</v>
      </c>
      <c r="M104" s="201" t="e">
        <f>$I41*M41</f>
        <v>#REF!</v>
      </c>
      <c r="N104" s="202" t="e">
        <f>$I41*N41</f>
        <v>#REF!</v>
      </c>
      <c r="O104" s="203" t="e">
        <f>$I41*O41</f>
        <v>#REF!</v>
      </c>
      <c r="P104" s="201" t="e">
        <f>$I41*P41</f>
        <v>#REF!</v>
      </c>
      <c r="Q104" s="202" t="e">
        <f>$I41*Q41</f>
        <v>#REF!</v>
      </c>
      <c r="R104" s="203" t="e">
        <f>$I41*R41</f>
        <v>#REF!</v>
      </c>
      <c r="S104" s="201" t="e">
        <f>$I41*S41</f>
        <v>#REF!</v>
      </c>
      <c r="T104" s="202" t="e">
        <f>$I41*T41</f>
        <v>#REF!</v>
      </c>
      <c r="U104" s="203" t="e">
        <f>$I41*U41</f>
        <v>#REF!</v>
      </c>
      <c r="V104" s="201" t="e">
        <f>$I41*V41</f>
        <v>#REF!</v>
      </c>
      <c r="W104" s="202" t="e">
        <f>$I41*W41</f>
        <v>#REF!</v>
      </c>
      <c r="X104" s="203" t="e">
        <f>$I41*X41</f>
        <v>#REF!</v>
      </c>
      <c r="Y104" s="201" t="e">
        <f>$I41*Y41</f>
        <v>#REF!</v>
      </c>
      <c r="Z104" s="202" t="e">
        <f>$I41*Z41</f>
        <v>#REF!</v>
      </c>
      <c r="AA104" s="203" t="e">
        <f>$I41*AA41</f>
        <v>#REF!</v>
      </c>
      <c r="AB104" s="201" t="e">
        <f>$I41*AB41</f>
        <v>#REF!</v>
      </c>
      <c r="AC104" s="252" t="e">
        <f>$I41*AC41</f>
        <v>#REF!</v>
      </c>
      <c r="AD104" s="203" t="e">
        <f>$I41*AD41</f>
        <v>#REF!</v>
      </c>
      <c r="AE104" s="205" t="e">
        <f>$H41*AE41</f>
        <v>#REF!</v>
      </c>
      <c r="AG104" s="207" t="e">
        <f>J104*$F104</f>
        <v>#REF!</v>
      </c>
      <c r="AH104" s="208" t="e">
        <f>K104*$F104</f>
        <v>#REF!</v>
      </c>
      <c r="AI104" s="209" t="e">
        <f>L104*$F104</f>
        <v>#REF!</v>
      </c>
      <c r="AJ104" s="210" t="e">
        <f>M104*$F104</f>
        <v>#REF!</v>
      </c>
      <c r="AK104" s="208" t="e">
        <f>K104*$F104</f>
        <v>#REF!</v>
      </c>
      <c r="AL104" s="209" t="e">
        <f>O104*$F104</f>
        <v>#REF!</v>
      </c>
      <c r="AM104" s="210" t="e">
        <f>P104*$F104</f>
        <v>#REF!</v>
      </c>
      <c r="AN104" s="208" t="e">
        <f>N104*$F104</f>
        <v>#REF!</v>
      </c>
      <c r="AO104" s="209" t="e">
        <f>R104*$F104</f>
        <v>#REF!</v>
      </c>
      <c r="AP104" s="210" t="e">
        <f>S104*$F104</f>
        <v>#REF!</v>
      </c>
      <c r="AQ104" s="208" t="e">
        <f>Q104*$F104</f>
        <v>#REF!</v>
      </c>
      <c r="AR104" s="209" t="e">
        <f>U104*$F104</f>
        <v>#REF!</v>
      </c>
      <c r="AS104" s="210" t="e">
        <f>V104*$F104</f>
        <v>#REF!</v>
      </c>
      <c r="AT104" s="208" t="e">
        <f>T104*$F104</f>
        <v>#REF!</v>
      </c>
      <c r="AU104" s="209" t="e">
        <f>X104*$F104</f>
        <v>#REF!</v>
      </c>
      <c r="AV104" s="210" t="e">
        <f>Y104*$F104</f>
        <v>#REF!</v>
      </c>
      <c r="AW104" s="208" t="e">
        <f>W104*$F104</f>
        <v>#REF!</v>
      </c>
      <c r="AX104" s="209" t="e">
        <f>AA104*$F104</f>
        <v>#REF!</v>
      </c>
      <c r="AY104" s="210" t="e">
        <f>AB104*$F104</f>
        <v>#REF!</v>
      </c>
      <c r="AZ104" s="211" t="e">
        <f>Z104*$F104</f>
        <v>#REF!</v>
      </c>
      <c r="BA104" s="212" t="e">
        <f>AD104*$F104</f>
        <v>#REF!</v>
      </c>
      <c r="BC104" s="160" t="e">
        <f>ROUNDUP(O104/$BC$13,0)</f>
        <v>#REF!</v>
      </c>
      <c r="BD104" s="160" t="e">
        <f>ROUNDUP(R104/$BD$13,0)</f>
        <v>#REF!</v>
      </c>
      <c r="BE104" s="160" t="e">
        <f>ROUNDUP(U104/$BE$13,0)</f>
        <v>#REF!</v>
      </c>
      <c r="BF104" s="160" t="e">
        <f>ROUNDUP(X104/$BF$13,0)</f>
        <v>#REF!</v>
      </c>
      <c r="BG104" s="160" t="e">
        <f>ROUNDUP(AA104/$BG$13,0)</f>
        <v>#REF!</v>
      </c>
      <c r="BH104" s="160" t="e">
        <f>ROUNDUP(AD104/$BH$13,0)</f>
        <v>#REF!</v>
      </c>
    </row>
    <row r="105" spans="1:61" customHeight="1" ht="20.1" s="206" customFormat="1">
      <c r="A105" s="314"/>
      <c r="B105" s="1249"/>
      <c r="C105" s="196" t="str">
        <f>C42</f>
        <v>82111-47412</v>
      </c>
      <c r="D105" s="251" t="e">
        <f>D42</f>
        <v>#REF!</v>
      </c>
      <c r="E105" s="251" t="e">
        <f>+E42</f>
        <v>#REF!</v>
      </c>
      <c r="F105" s="198">
        <f>+F42</f>
        <v>337</v>
      </c>
      <c r="G105" s="198">
        <f>+G42</f>
        <v>6</v>
      </c>
      <c r="H105" s="307" t="e">
        <f>+H42</f>
        <v>#REF!</v>
      </c>
      <c r="I105" s="276" t="e">
        <f>I42</f>
        <v>#REF!</v>
      </c>
      <c r="J105" s="201" t="e">
        <f>$H42*J42</f>
        <v>#REF!</v>
      </c>
      <c r="K105" s="202" t="e">
        <f>$H42*K42</f>
        <v>#REF!</v>
      </c>
      <c r="L105" s="203" t="e">
        <f>$H42*L42</f>
        <v>#REF!</v>
      </c>
      <c r="M105" s="201" t="e">
        <f>$I42*M42</f>
        <v>#REF!</v>
      </c>
      <c r="N105" s="202" t="e">
        <f>$I42*N42</f>
        <v>#REF!</v>
      </c>
      <c r="O105" s="203" t="e">
        <f>$I42*O42</f>
        <v>#REF!</v>
      </c>
      <c r="P105" s="201" t="e">
        <f>$I42*P42</f>
        <v>#REF!</v>
      </c>
      <c r="Q105" s="202" t="e">
        <f>$I42*Q42</f>
        <v>#REF!</v>
      </c>
      <c r="R105" s="203" t="e">
        <f>$I42*R42</f>
        <v>#REF!</v>
      </c>
      <c r="S105" s="201" t="e">
        <f>$I42*S42</f>
        <v>#REF!</v>
      </c>
      <c r="T105" s="202" t="e">
        <f>$I42*T42</f>
        <v>#REF!</v>
      </c>
      <c r="U105" s="203" t="e">
        <f>$I42*U42</f>
        <v>#REF!</v>
      </c>
      <c r="V105" s="201" t="e">
        <f>$I42*V42</f>
        <v>#REF!</v>
      </c>
      <c r="W105" s="202" t="e">
        <f>$I42*W42</f>
        <v>#REF!</v>
      </c>
      <c r="X105" s="203" t="e">
        <f>$I42*X42</f>
        <v>#REF!</v>
      </c>
      <c r="Y105" s="201" t="e">
        <f>$I42*Y42</f>
        <v>#REF!</v>
      </c>
      <c r="Z105" s="202" t="e">
        <f>$I42*Z42</f>
        <v>#REF!</v>
      </c>
      <c r="AA105" s="203" t="e">
        <f>$I42*AA42</f>
        <v>#REF!</v>
      </c>
      <c r="AB105" s="201" t="e">
        <f>$I42*AB42</f>
        <v>#REF!</v>
      </c>
      <c r="AC105" s="252" t="e">
        <f>$I42*AC42</f>
        <v>#REF!</v>
      </c>
      <c r="AD105" s="203" t="e">
        <f>$I42*AD42</f>
        <v>#REF!</v>
      </c>
      <c r="AE105" s="205" t="e">
        <f>$H42*AE42</f>
        <v>#REF!</v>
      </c>
      <c r="AG105" s="207" t="e">
        <f>J105*$F105</f>
        <v>#REF!</v>
      </c>
      <c r="AH105" s="208" t="e">
        <f>K105*$F105</f>
        <v>#REF!</v>
      </c>
      <c r="AI105" s="209" t="e">
        <f>L105*$F105</f>
        <v>#REF!</v>
      </c>
      <c r="AJ105" s="210" t="e">
        <f>M105*$F105</f>
        <v>#REF!</v>
      </c>
      <c r="AK105" s="208" t="e">
        <f>K105*$F105</f>
        <v>#REF!</v>
      </c>
      <c r="AL105" s="209" t="e">
        <f>O105*$F105</f>
        <v>#REF!</v>
      </c>
      <c r="AM105" s="210" t="e">
        <f>P105*$F105</f>
        <v>#REF!</v>
      </c>
      <c r="AN105" s="208" t="e">
        <f>N105*$F105</f>
        <v>#REF!</v>
      </c>
      <c r="AO105" s="209" t="e">
        <f>R105*$F105</f>
        <v>#REF!</v>
      </c>
      <c r="AP105" s="210" t="e">
        <f>S105*$F105</f>
        <v>#REF!</v>
      </c>
      <c r="AQ105" s="208" t="e">
        <f>Q105*$F105</f>
        <v>#REF!</v>
      </c>
      <c r="AR105" s="209" t="e">
        <f>U105*$F105</f>
        <v>#REF!</v>
      </c>
      <c r="AS105" s="210" t="e">
        <f>V105*$F105</f>
        <v>#REF!</v>
      </c>
      <c r="AT105" s="208" t="e">
        <f>T105*$F105</f>
        <v>#REF!</v>
      </c>
      <c r="AU105" s="209" t="e">
        <f>X105*$F105</f>
        <v>#REF!</v>
      </c>
      <c r="AV105" s="210" t="e">
        <f>Y105*$F105</f>
        <v>#REF!</v>
      </c>
      <c r="AW105" s="208" t="e">
        <f>W105*$F105</f>
        <v>#REF!</v>
      </c>
      <c r="AX105" s="209" t="e">
        <f>AA105*$F105</f>
        <v>#REF!</v>
      </c>
      <c r="AY105" s="210" t="e">
        <f>AB105*$F105</f>
        <v>#REF!</v>
      </c>
      <c r="AZ105" s="211" t="e">
        <f>Z105*$F105</f>
        <v>#REF!</v>
      </c>
      <c r="BA105" s="212" t="e">
        <f>AD105*$F105</f>
        <v>#REF!</v>
      </c>
      <c r="BC105" s="160" t="e">
        <f>ROUNDUP(O105/$BC$13,0)</f>
        <v>#REF!</v>
      </c>
      <c r="BD105" s="160" t="e">
        <f>ROUNDUP(R105/$BD$13,0)</f>
        <v>#REF!</v>
      </c>
      <c r="BE105" s="160" t="e">
        <f>ROUNDUP(U105/$BE$13,0)</f>
        <v>#REF!</v>
      </c>
      <c r="BF105" s="160" t="e">
        <f>ROUNDUP(X105/$BF$13,0)</f>
        <v>#REF!</v>
      </c>
      <c r="BG105" s="160" t="e">
        <f>ROUNDUP(AA105/$BG$13,0)</f>
        <v>#REF!</v>
      </c>
      <c r="BH105" s="160" t="e">
        <f>ROUNDUP(AD105/$BH$13,0)</f>
        <v>#REF!</v>
      </c>
    </row>
    <row r="106" spans="1:61" customHeight="1" ht="20.1" s="152" customFormat="1">
      <c r="A106" s="314"/>
      <c r="B106" s="1249"/>
      <c r="C106" s="144" t="str">
        <f>C43</f>
        <v>82111-47431</v>
      </c>
      <c r="D106" s="161" t="e">
        <f>D43</f>
        <v>#REF!</v>
      </c>
      <c r="E106" s="161" t="e">
        <f>+E43</f>
        <v>#REF!</v>
      </c>
      <c r="F106" s="145">
        <f>+F43</f>
        <v>313</v>
      </c>
      <c r="G106" s="145">
        <f>+G43</f>
        <v>6</v>
      </c>
      <c r="H106" s="146" t="e">
        <f>+H43</f>
        <v>#REF!</v>
      </c>
      <c r="I106" s="200" t="e">
        <f>I43</f>
        <v>#REF!</v>
      </c>
      <c r="J106" s="148" t="e">
        <f>$H43*J43</f>
        <v>#REF!</v>
      </c>
      <c r="K106" s="149" t="e">
        <f>$H43*K43</f>
        <v>#REF!</v>
      </c>
      <c r="L106" s="150" t="e">
        <f>$H43*L43</f>
        <v>#REF!</v>
      </c>
      <c r="M106" s="148" t="e">
        <f>$I43*M43</f>
        <v>#REF!</v>
      </c>
      <c r="N106" s="149" t="e">
        <f>$I43*N43</f>
        <v>#REF!</v>
      </c>
      <c r="O106" s="150" t="e">
        <f>$I43*O43</f>
        <v>#REF!</v>
      </c>
      <c r="P106" s="148" t="e">
        <f>$I43*P43</f>
        <v>#REF!</v>
      </c>
      <c r="Q106" s="149" t="e">
        <f>$I43*Q43</f>
        <v>#REF!</v>
      </c>
      <c r="R106" s="150" t="e">
        <f>$I43*R43</f>
        <v>#REF!</v>
      </c>
      <c r="S106" s="148" t="e">
        <f>$I43*S43</f>
        <v>#REF!</v>
      </c>
      <c r="T106" s="149" t="e">
        <f>$I43*T43</f>
        <v>#REF!</v>
      </c>
      <c r="U106" s="150" t="e">
        <f>$I43*U43</f>
        <v>#REF!</v>
      </c>
      <c r="V106" s="148" t="e">
        <f>$I43*V43</f>
        <v>#REF!</v>
      </c>
      <c r="W106" s="149" t="e">
        <f>$I43*W43</f>
        <v>#REF!</v>
      </c>
      <c r="X106" s="150" t="e">
        <f>$I43*X43</f>
        <v>#REF!</v>
      </c>
      <c r="Y106" s="148" t="e">
        <f>$I43*Y43</f>
        <v>#REF!</v>
      </c>
      <c r="Z106" s="149" t="e">
        <f>$I43*Z43</f>
        <v>#REF!</v>
      </c>
      <c r="AA106" s="150" t="e">
        <f>$I43*AA43</f>
        <v>#REF!</v>
      </c>
      <c r="AB106" s="148" t="e">
        <f>$I43*AB43</f>
        <v>#REF!</v>
      </c>
      <c r="AC106" s="163" t="e">
        <f>$I43*AC43</f>
        <v>#REF!</v>
      </c>
      <c r="AD106" s="150" t="e">
        <f>$I43*AD43</f>
        <v>#REF!</v>
      </c>
      <c r="AE106" s="151" t="e">
        <f>$H43*AE43</f>
        <v>#REF!</v>
      </c>
      <c r="AG106" s="164" t="e">
        <f>J106*$F106</f>
        <v>#REF!</v>
      </c>
      <c r="AH106" s="165" t="e">
        <f>K106*$F106</f>
        <v>#REF!</v>
      </c>
      <c r="AI106" s="166" t="e">
        <f>L106*$F106</f>
        <v>#REF!</v>
      </c>
      <c r="AJ106" s="167" t="e">
        <f>M106*$F106</f>
        <v>#REF!</v>
      </c>
      <c r="AK106" s="165" t="e">
        <f>K106*$F106</f>
        <v>#REF!</v>
      </c>
      <c r="AL106" s="166" t="e">
        <f>O106*$F106</f>
        <v>#REF!</v>
      </c>
      <c r="AM106" s="167" t="e">
        <f>P106*$F106</f>
        <v>#REF!</v>
      </c>
      <c r="AN106" s="165" t="e">
        <f>N106*$F106</f>
        <v>#REF!</v>
      </c>
      <c r="AO106" s="166" t="e">
        <f>R106*$F106</f>
        <v>#REF!</v>
      </c>
      <c r="AP106" s="167" t="e">
        <f>S106*$F106</f>
        <v>#REF!</v>
      </c>
      <c r="AQ106" s="165" t="e">
        <f>Q106*$F106</f>
        <v>#REF!</v>
      </c>
      <c r="AR106" s="166" t="e">
        <f>U106*$F106</f>
        <v>#REF!</v>
      </c>
      <c r="AS106" s="167" t="e">
        <f>V106*$F106</f>
        <v>#REF!</v>
      </c>
      <c r="AT106" s="165" t="e">
        <f>T106*$F106</f>
        <v>#REF!</v>
      </c>
      <c r="AU106" s="166" t="e">
        <f>X106*$F106</f>
        <v>#REF!</v>
      </c>
      <c r="AV106" s="167" t="e">
        <f>Y106*$F106</f>
        <v>#REF!</v>
      </c>
      <c r="AW106" s="165" t="e">
        <f>W106*$F106</f>
        <v>#REF!</v>
      </c>
      <c r="AX106" s="166" t="e">
        <f>AA106*$F106</f>
        <v>#REF!</v>
      </c>
      <c r="AY106" s="167" t="e">
        <f>AB106*$F106</f>
        <v>#REF!</v>
      </c>
      <c r="AZ106" s="168" t="e">
        <f>Z106*$F106</f>
        <v>#REF!</v>
      </c>
      <c r="BA106" s="169" t="e">
        <f>AD106*$F106</f>
        <v>#REF!</v>
      </c>
      <c r="BC106" s="160" t="e">
        <f>ROUNDUP(O106/$BC$13,0)</f>
        <v>#REF!</v>
      </c>
      <c r="BD106" s="160" t="e">
        <f>ROUNDUP(R106/$BD$13,0)</f>
        <v>#REF!</v>
      </c>
      <c r="BE106" s="160" t="e">
        <f>ROUNDUP(U106/$BE$13,0)</f>
        <v>#REF!</v>
      </c>
      <c r="BF106" s="160" t="e">
        <f>ROUNDUP(X106/$BF$13,0)</f>
        <v>#REF!</v>
      </c>
      <c r="BG106" s="160" t="e">
        <f>ROUNDUP(AA106/$BG$13,0)</f>
        <v>#REF!</v>
      </c>
      <c r="BH106" s="160" t="e">
        <f>ROUNDUP(AD106/$BH$13,0)</f>
        <v>#REF!</v>
      </c>
    </row>
    <row r="107" spans="1:61" customHeight="1" ht="20.1" s="152" customFormat="1">
      <c r="A107" s="314"/>
      <c r="B107" s="1249"/>
      <c r="C107" s="144" t="str">
        <f>C44</f>
        <v>82111-47432</v>
      </c>
      <c r="D107" s="161" t="e">
        <f>D44</f>
        <v>#REF!</v>
      </c>
      <c r="E107" s="161" t="e">
        <f>+E44</f>
        <v>#REF!</v>
      </c>
      <c r="F107" s="145">
        <f>+F44</f>
        <v>313</v>
      </c>
      <c r="G107" s="145">
        <f>+G44</f>
        <v>6</v>
      </c>
      <c r="H107" s="146" t="e">
        <f>+H44</f>
        <v>#REF!</v>
      </c>
      <c r="I107" s="200" t="e">
        <f>I44</f>
        <v>#REF!</v>
      </c>
      <c r="J107" s="148" t="e">
        <f>$H44*J44</f>
        <v>#REF!</v>
      </c>
      <c r="K107" s="149" t="e">
        <f>$H44*K44</f>
        <v>#REF!</v>
      </c>
      <c r="L107" s="150" t="e">
        <f>$H44*L44</f>
        <v>#REF!</v>
      </c>
      <c r="M107" s="148" t="e">
        <f>$I44*M44</f>
        <v>#REF!</v>
      </c>
      <c r="N107" s="149" t="e">
        <f>$I44*N44</f>
        <v>#REF!</v>
      </c>
      <c r="O107" s="150" t="e">
        <f>$I44*O44</f>
        <v>#REF!</v>
      </c>
      <c r="P107" s="148" t="e">
        <f>$I44*P44</f>
        <v>#REF!</v>
      </c>
      <c r="Q107" s="149" t="e">
        <f>$I44*Q44</f>
        <v>#REF!</v>
      </c>
      <c r="R107" s="150" t="e">
        <f>$I44*R44</f>
        <v>#REF!</v>
      </c>
      <c r="S107" s="148" t="e">
        <f>$I44*S44</f>
        <v>#REF!</v>
      </c>
      <c r="T107" s="149" t="e">
        <f>$I44*T44</f>
        <v>#REF!</v>
      </c>
      <c r="U107" s="150" t="e">
        <f>$I44*U44</f>
        <v>#REF!</v>
      </c>
      <c r="V107" s="148" t="e">
        <f>$I44*V44</f>
        <v>#REF!</v>
      </c>
      <c r="W107" s="149" t="e">
        <f>$I44*W44</f>
        <v>#REF!</v>
      </c>
      <c r="X107" s="150" t="e">
        <f>$I44*X44</f>
        <v>#REF!</v>
      </c>
      <c r="Y107" s="148" t="e">
        <f>$I44*Y44</f>
        <v>#REF!</v>
      </c>
      <c r="Z107" s="149" t="e">
        <f>$I44*Z44</f>
        <v>#REF!</v>
      </c>
      <c r="AA107" s="150" t="e">
        <f>$I44*AA44</f>
        <v>#REF!</v>
      </c>
      <c r="AB107" s="148" t="e">
        <f>$I44*AB44</f>
        <v>#REF!</v>
      </c>
      <c r="AC107" s="163" t="e">
        <f>$I44*AC44</f>
        <v>#REF!</v>
      </c>
      <c r="AD107" s="150" t="e">
        <f>$I44*AD44</f>
        <v>#REF!</v>
      </c>
      <c r="AE107" s="151" t="e">
        <f>$H44*AE44</f>
        <v>#REF!</v>
      </c>
      <c r="AG107" s="164" t="e">
        <f>J107*$F107</f>
        <v>#REF!</v>
      </c>
      <c r="AH107" s="165" t="e">
        <f>K107*$F107</f>
        <v>#REF!</v>
      </c>
      <c r="AI107" s="166" t="e">
        <f>L107*$F107</f>
        <v>#REF!</v>
      </c>
      <c r="AJ107" s="167" t="e">
        <f>M107*$F107</f>
        <v>#REF!</v>
      </c>
      <c r="AK107" s="165" t="e">
        <f>K107*$F107</f>
        <v>#REF!</v>
      </c>
      <c r="AL107" s="166" t="e">
        <f>O107*$F107</f>
        <v>#REF!</v>
      </c>
      <c r="AM107" s="167" t="e">
        <f>P107*$F107</f>
        <v>#REF!</v>
      </c>
      <c r="AN107" s="165" t="e">
        <f>N107*$F107</f>
        <v>#REF!</v>
      </c>
      <c r="AO107" s="166" t="e">
        <f>R107*$F107</f>
        <v>#REF!</v>
      </c>
      <c r="AP107" s="167" t="e">
        <f>S107*$F107</f>
        <v>#REF!</v>
      </c>
      <c r="AQ107" s="165" t="e">
        <f>Q107*$F107</f>
        <v>#REF!</v>
      </c>
      <c r="AR107" s="166" t="e">
        <f>U107*$F107</f>
        <v>#REF!</v>
      </c>
      <c r="AS107" s="167" t="e">
        <f>V107*$F107</f>
        <v>#REF!</v>
      </c>
      <c r="AT107" s="165" t="e">
        <f>T107*$F107</f>
        <v>#REF!</v>
      </c>
      <c r="AU107" s="166" t="e">
        <f>X107*$F107</f>
        <v>#REF!</v>
      </c>
      <c r="AV107" s="167" t="e">
        <f>Y107*$F107</f>
        <v>#REF!</v>
      </c>
      <c r="AW107" s="165" t="e">
        <f>W107*$F107</f>
        <v>#REF!</v>
      </c>
      <c r="AX107" s="166" t="e">
        <f>AA107*$F107</f>
        <v>#REF!</v>
      </c>
      <c r="AY107" s="167" t="e">
        <f>AB107*$F107</f>
        <v>#REF!</v>
      </c>
      <c r="AZ107" s="168" t="e">
        <f>Z107*$F107</f>
        <v>#REF!</v>
      </c>
      <c r="BA107" s="169" t="e">
        <f>AD107*$F107</f>
        <v>#REF!</v>
      </c>
      <c r="BC107" s="160" t="e">
        <f>ROUNDUP(O107/$BC$13,0)</f>
        <v>#REF!</v>
      </c>
      <c r="BD107" s="160" t="e">
        <f>ROUNDUP(R107/$BD$13,0)</f>
        <v>#REF!</v>
      </c>
      <c r="BE107" s="160" t="e">
        <f>ROUNDUP(U107/$BE$13,0)</f>
        <v>#REF!</v>
      </c>
      <c r="BF107" s="160" t="e">
        <f>ROUNDUP(X107/$BF$13,0)</f>
        <v>#REF!</v>
      </c>
      <c r="BG107" s="160" t="e">
        <f>ROUNDUP(AA107/$BG$13,0)</f>
        <v>#REF!</v>
      </c>
      <c r="BH107" s="160" t="e">
        <f>ROUNDUP(AD107/$BH$13,0)</f>
        <v>#REF!</v>
      </c>
    </row>
    <row r="108" spans="1:61" customHeight="1" ht="20.1" s="152" customFormat="1">
      <c r="A108" s="314"/>
      <c r="B108" s="1249"/>
      <c r="C108" s="144" t="str">
        <f>C45</f>
        <v>82111-47441</v>
      </c>
      <c r="D108" s="161" t="e">
        <f>D45</f>
        <v>#REF!</v>
      </c>
      <c r="E108" s="161" t="e">
        <f>+E45</f>
        <v>#REF!</v>
      </c>
      <c r="F108" s="145">
        <f>+F45</f>
        <v>337</v>
      </c>
      <c r="G108" s="145">
        <f>+G45</f>
        <v>6</v>
      </c>
      <c r="H108" s="308" t="e">
        <f>+H45</f>
        <v>#REF!</v>
      </c>
      <c r="I108" s="200" t="e">
        <f>I45</f>
        <v>#REF!</v>
      </c>
      <c r="J108" s="148" t="e">
        <f>$H45*J45</f>
        <v>#REF!</v>
      </c>
      <c r="K108" s="149" t="e">
        <f>$H45*K45</f>
        <v>#REF!</v>
      </c>
      <c r="L108" s="150" t="e">
        <f>$H45*L45</f>
        <v>#REF!</v>
      </c>
      <c r="M108" s="148" t="e">
        <f>$I45*M45</f>
        <v>#REF!</v>
      </c>
      <c r="N108" s="149" t="e">
        <f>$I45*N45</f>
        <v>#REF!</v>
      </c>
      <c r="O108" s="150" t="e">
        <f>$I45*O45</f>
        <v>#REF!</v>
      </c>
      <c r="P108" s="148" t="e">
        <f>$I45*P45</f>
        <v>#REF!</v>
      </c>
      <c r="Q108" s="149" t="e">
        <f>$I45*Q45</f>
        <v>#REF!</v>
      </c>
      <c r="R108" s="150" t="e">
        <f>$I45*R45</f>
        <v>#REF!</v>
      </c>
      <c r="S108" s="148" t="e">
        <f>$I45*S45</f>
        <v>#REF!</v>
      </c>
      <c r="T108" s="149" t="e">
        <f>$I45*T45</f>
        <v>#REF!</v>
      </c>
      <c r="U108" s="150" t="e">
        <f>$I45*U45</f>
        <v>#REF!</v>
      </c>
      <c r="V108" s="148" t="e">
        <f>$I45*V45</f>
        <v>#REF!</v>
      </c>
      <c r="W108" s="149" t="e">
        <f>$I45*W45</f>
        <v>#REF!</v>
      </c>
      <c r="X108" s="150" t="e">
        <f>$I45*X45</f>
        <v>#REF!</v>
      </c>
      <c r="Y108" s="148" t="e">
        <f>$I45*Y45</f>
        <v>#REF!</v>
      </c>
      <c r="Z108" s="149" t="e">
        <f>$I45*Z45</f>
        <v>#REF!</v>
      </c>
      <c r="AA108" s="150" t="e">
        <f>$I45*AA45</f>
        <v>#REF!</v>
      </c>
      <c r="AB108" s="148" t="e">
        <f>$I45*AB45</f>
        <v>#REF!</v>
      </c>
      <c r="AC108" s="170" t="e">
        <f>$I45*AC45</f>
        <v>#REF!</v>
      </c>
      <c r="AD108" s="150" t="e">
        <f>$I45*AD45</f>
        <v>#REF!</v>
      </c>
      <c r="AE108" s="151" t="e">
        <f>$H45*AE45</f>
        <v>#REF!</v>
      </c>
      <c r="AG108" s="164" t="e">
        <f>J108*$F108</f>
        <v>#REF!</v>
      </c>
      <c r="AH108" s="165" t="e">
        <f>K108*$F108</f>
        <v>#REF!</v>
      </c>
      <c r="AI108" s="166" t="e">
        <f>L108*$F108</f>
        <v>#REF!</v>
      </c>
      <c r="AJ108" s="167" t="e">
        <f>M108*$F108</f>
        <v>#REF!</v>
      </c>
      <c r="AK108" s="165" t="e">
        <f>K108*$F108</f>
        <v>#REF!</v>
      </c>
      <c r="AL108" s="166" t="e">
        <f>O108*$F108</f>
        <v>#REF!</v>
      </c>
      <c r="AM108" s="167" t="e">
        <f>P108*$F108</f>
        <v>#REF!</v>
      </c>
      <c r="AN108" s="165" t="e">
        <f>N108*$F108</f>
        <v>#REF!</v>
      </c>
      <c r="AO108" s="166" t="e">
        <f>R108*$F108</f>
        <v>#REF!</v>
      </c>
      <c r="AP108" s="167" t="e">
        <f>S108*$F108</f>
        <v>#REF!</v>
      </c>
      <c r="AQ108" s="165" t="e">
        <f>Q108*$F108</f>
        <v>#REF!</v>
      </c>
      <c r="AR108" s="166" t="e">
        <f>U108*$F108</f>
        <v>#REF!</v>
      </c>
      <c r="AS108" s="167" t="e">
        <f>V108*$F108</f>
        <v>#REF!</v>
      </c>
      <c r="AT108" s="165" t="e">
        <f>T108*$F108</f>
        <v>#REF!</v>
      </c>
      <c r="AU108" s="166" t="e">
        <f>X108*$F108</f>
        <v>#REF!</v>
      </c>
      <c r="AV108" s="167" t="e">
        <f>Y108*$F108</f>
        <v>#REF!</v>
      </c>
      <c r="AW108" s="165" t="e">
        <f>W108*$F108</f>
        <v>#REF!</v>
      </c>
      <c r="AX108" s="166" t="e">
        <f>AA108*$F108</f>
        <v>#REF!</v>
      </c>
      <c r="AY108" s="167" t="e">
        <f>AB108*$F108</f>
        <v>#REF!</v>
      </c>
      <c r="AZ108" s="168" t="e">
        <f>Z108*$F108</f>
        <v>#REF!</v>
      </c>
      <c r="BA108" s="169" t="e">
        <f>AD108*$F108</f>
        <v>#REF!</v>
      </c>
      <c r="BC108" s="160" t="e">
        <f>ROUNDUP(O108/$BC$13,0)</f>
        <v>#REF!</v>
      </c>
      <c r="BD108" s="160" t="e">
        <f>ROUNDUP(R108/$BD$13,0)</f>
        <v>#REF!</v>
      </c>
      <c r="BE108" s="160" t="e">
        <f>ROUNDUP(U108/$BE$13,0)</f>
        <v>#REF!</v>
      </c>
      <c r="BF108" s="160" t="e">
        <f>ROUNDUP(X108/$BF$13,0)</f>
        <v>#REF!</v>
      </c>
      <c r="BG108" s="160" t="e">
        <f>ROUNDUP(AA108/$BG$13,0)</f>
        <v>#REF!</v>
      </c>
      <c r="BH108" s="160" t="e">
        <f>ROUNDUP(AD108/$BH$13,0)</f>
        <v>#REF!</v>
      </c>
    </row>
    <row r="109" spans="1:61" customHeight="1" ht="20.1" s="152" customFormat="1">
      <c r="A109" s="314"/>
      <c r="B109" s="1249"/>
      <c r="C109" s="144" t="str">
        <f>C46</f>
        <v>82111-47442</v>
      </c>
      <c r="D109" s="161" t="e">
        <f>D46</f>
        <v>#REF!</v>
      </c>
      <c r="E109" s="161" t="e">
        <f>+E46</f>
        <v>#REF!</v>
      </c>
      <c r="F109" s="145">
        <f>+F46</f>
        <v>337</v>
      </c>
      <c r="G109" s="145">
        <f>+G46</f>
        <v>6</v>
      </c>
      <c r="H109" s="308" t="e">
        <f>+H46</f>
        <v>#REF!</v>
      </c>
      <c r="I109" s="200" t="e">
        <f>I46</f>
        <v>#REF!</v>
      </c>
      <c r="J109" s="148" t="e">
        <f>$H46*J46</f>
        <v>#REF!</v>
      </c>
      <c r="K109" s="149" t="e">
        <f>$H46*K46</f>
        <v>#REF!</v>
      </c>
      <c r="L109" s="150" t="e">
        <f>$H46*L46</f>
        <v>#REF!</v>
      </c>
      <c r="M109" s="148" t="e">
        <f>$I46*M46</f>
        <v>#REF!</v>
      </c>
      <c r="N109" s="149" t="e">
        <f>$I46*N46</f>
        <v>#REF!</v>
      </c>
      <c r="O109" s="150" t="e">
        <f>$I46*O46</f>
        <v>#REF!</v>
      </c>
      <c r="P109" s="148" t="e">
        <f>$I46*P46</f>
        <v>#REF!</v>
      </c>
      <c r="Q109" s="149" t="e">
        <f>$I46*Q46</f>
        <v>#REF!</v>
      </c>
      <c r="R109" s="150" t="e">
        <f>$I46*R46</f>
        <v>#REF!</v>
      </c>
      <c r="S109" s="148" t="e">
        <f>$I46*S46</f>
        <v>#REF!</v>
      </c>
      <c r="T109" s="149" t="e">
        <f>$I46*T46</f>
        <v>#REF!</v>
      </c>
      <c r="U109" s="150" t="e">
        <f>$I46*U46</f>
        <v>#REF!</v>
      </c>
      <c r="V109" s="148" t="e">
        <f>$I46*V46</f>
        <v>#REF!</v>
      </c>
      <c r="W109" s="149" t="e">
        <f>$I46*W46</f>
        <v>#REF!</v>
      </c>
      <c r="X109" s="150" t="e">
        <f>$I46*X46</f>
        <v>#REF!</v>
      </c>
      <c r="Y109" s="148" t="e">
        <f>$I46*Y46</f>
        <v>#REF!</v>
      </c>
      <c r="Z109" s="149" t="e">
        <f>$I46*Z46</f>
        <v>#REF!</v>
      </c>
      <c r="AA109" s="150" t="e">
        <f>$I46*AA46</f>
        <v>#REF!</v>
      </c>
      <c r="AB109" s="148" t="e">
        <f>$I46*AB46</f>
        <v>#REF!</v>
      </c>
      <c r="AC109" s="170" t="e">
        <f>$I46*AC46</f>
        <v>#REF!</v>
      </c>
      <c r="AD109" s="150" t="e">
        <f>$I46*AD46</f>
        <v>#REF!</v>
      </c>
      <c r="AE109" s="151" t="e">
        <f>$H46*AE46</f>
        <v>#REF!</v>
      </c>
      <c r="AG109" s="164" t="e">
        <f>J109*$F109</f>
        <v>#REF!</v>
      </c>
      <c r="AH109" s="165" t="e">
        <f>K109*$F109</f>
        <v>#REF!</v>
      </c>
      <c r="AI109" s="166" t="e">
        <f>L109*$F109</f>
        <v>#REF!</v>
      </c>
      <c r="AJ109" s="167" t="e">
        <f>M109*$F109</f>
        <v>#REF!</v>
      </c>
      <c r="AK109" s="165" t="e">
        <f>K109*$F109</f>
        <v>#REF!</v>
      </c>
      <c r="AL109" s="166" t="e">
        <f>O109*$F109</f>
        <v>#REF!</v>
      </c>
      <c r="AM109" s="167" t="e">
        <f>P109*$F109</f>
        <v>#REF!</v>
      </c>
      <c r="AN109" s="165" t="e">
        <f>N109*$F109</f>
        <v>#REF!</v>
      </c>
      <c r="AO109" s="166" t="e">
        <f>R109*$F109</f>
        <v>#REF!</v>
      </c>
      <c r="AP109" s="167" t="e">
        <f>S109*$F109</f>
        <v>#REF!</v>
      </c>
      <c r="AQ109" s="165" t="e">
        <f>Q109*$F109</f>
        <v>#REF!</v>
      </c>
      <c r="AR109" s="166" t="e">
        <f>U109*$F109</f>
        <v>#REF!</v>
      </c>
      <c r="AS109" s="167" t="e">
        <f>V109*$F109</f>
        <v>#REF!</v>
      </c>
      <c r="AT109" s="165" t="e">
        <f>T109*$F109</f>
        <v>#REF!</v>
      </c>
      <c r="AU109" s="166" t="e">
        <f>X109*$F109</f>
        <v>#REF!</v>
      </c>
      <c r="AV109" s="167" t="e">
        <f>Y109*$F109</f>
        <v>#REF!</v>
      </c>
      <c r="AW109" s="165" t="e">
        <f>W109*$F109</f>
        <v>#REF!</v>
      </c>
      <c r="AX109" s="166" t="e">
        <f>AA109*$F109</f>
        <v>#REF!</v>
      </c>
      <c r="AY109" s="167" t="e">
        <f>AB109*$F109</f>
        <v>#REF!</v>
      </c>
      <c r="AZ109" s="168" t="e">
        <f>Z109*$F109</f>
        <v>#REF!</v>
      </c>
      <c r="BA109" s="169" t="e">
        <f>AD109*$F109</f>
        <v>#REF!</v>
      </c>
      <c r="BC109" s="160" t="e">
        <f>ROUNDUP(O109/$BC$13,0)</f>
        <v>#REF!</v>
      </c>
      <c r="BD109" s="160" t="e">
        <f>ROUNDUP(R109/$BD$13,0)</f>
        <v>#REF!</v>
      </c>
      <c r="BE109" s="160" t="e">
        <f>ROUNDUP(U109/$BE$13,0)</f>
        <v>#REF!</v>
      </c>
      <c r="BF109" s="160" t="e">
        <f>ROUNDUP(X109/$BF$13,0)</f>
        <v>#REF!</v>
      </c>
      <c r="BG109" s="160" t="e">
        <f>ROUNDUP(AA109/$BG$13,0)</f>
        <v>#REF!</v>
      </c>
      <c r="BH109" s="160" t="e">
        <f>ROUNDUP(AD109/$BH$13,0)</f>
        <v>#REF!</v>
      </c>
    </row>
    <row r="110" spans="1:61" customHeight="1" ht="19.5" s="226" customFormat="1">
      <c r="A110" s="314"/>
      <c r="B110" s="1250"/>
      <c r="C110" s="216" t="str">
        <f>C47</f>
        <v>AB111-47330-1 D </v>
      </c>
      <c r="D110" s="217" t="str">
        <f>D47</f>
        <v>0001</v>
      </c>
      <c r="E110" s="217">
        <f>+E47</f>
        <v>8251</v>
      </c>
      <c r="F110" s="218">
        <f>+F47</f>
        <v>2</v>
      </c>
      <c r="G110" s="218">
        <f>+G47</f>
        <v/>
      </c>
      <c r="H110" s="309">
        <f>+H47</f>
        <v/>
      </c>
      <c r="I110" s="200">
        <f>I47</f>
        <v/>
      </c>
      <c r="J110" s="221" t="e">
        <f>$H47*J47</f>
        <v>#REF!</v>
      </c>
      <c r="K110" s="222" t="e">
        <f>$H47*K47</f>
        <v>#REF!</v>
      </c>
      <c r="L110" s="223" t="e">
        <f>$H47*L47</f>
        <v>#REF!</v>
      </c>
      <c r="M110" s="221" t="e">
        <f>$I47*M47</f>
        <v>#REF!</v>
      </c>
      <c r="N110" s="222" t="e">
        <f>$I47*N47</f>
        <v>#REF!</v>
      </c>
      <c r="O110" s="223" t="e">
        <f>$I47*O47</f>
        <v>#REF!</v>
      </c>
      <c r="P110" s="221" t="e">
        <f>$I47*P47</f>
        <v>#REF!</v>
      </c>
      <c r="Q110" s="222" t="e">
        <f>$I47*Q47</f>
        <v>#REF!</v>
      </c>
      <c r="R110" s="223" t="e">
        <f>$I47*R47</f>
        <v>#REF!</v>
      </c>
      <c r="S110" s="221" t="e">
        <f>$I47*S47</f>
        <v>#REF!</v>
      </c>
      <c r="T110" s="222" t="e">
        <f>$I47*T47</f>
        <v>#REF!</v>
      </c>
      <c r="U110" s="223" t="e">
        <f>$I47*U47</f>
        <v>#REF!</v>
      </c>
      <c r="V110" s="221" t="e">
        <f>$I47*V47</f>
        <v>#REF!</v>
      </c>
      <c r="W110" s="222" t="e">
        <f>$I47*W47</f>
        <v>#REF!</v>
      </c>
      <c r="X110" s="223" t="e">
        <f>$I47*X47</f>
        <v>#REF!</v>
      </c>
      <c r="Y110" s="221" t="e">
        <f>$I47*Y47</f>
        <v>#REF!</v>
      </c>
      <c r="Z110" s="222" t="e">
        <f>$I47*Z47</f>
        <v>#REF!</v>
      </c>
      <c r="AA110" s="223" t="e">
        <f>$I47*AA47</f>
        <v>#REF!</v>
      </c>
      <c r="AB110" s="221" t="e">
        <f>$I47*AB47</f>
        <v>#REF!</v>
      </c>
      <c r="AC110" s="253" t="e">
        <f>$I47*AC47</f>
        <v>#REF!</v>
      </c>
      <c r="AD110" s="223" t="e">
        <f>$I47*AD47</f>
        <v>#REF!</v>
      </c>
      <c r="AE110" s="225" t="e">
        <f>$H47*AE47</f>
        <v>#REF!</v>
      </c>
      <c r="AG110" s="227" t="e">
        <f>J110*$F110</f>
        <v>#REF!</v>
      </c>
      <c r="AH110" s="228" t="e">
        <f>K110*$F110</f>
        <v>#REF!</v>
      </c>
      <c r="AI110" s="229" t="e">
        <f>L110*$F110</f>
        <v>#REF!</v>
      </c>
      <c r="AJ110" s="230" t="e">
        <f>M110*$F110</f>
        <v>#REF!</v>
      </c>
      <c r="AK110" s="228" t="e">
        <f>K110*$F110</f>
        <v>#REF!</v>
      </c>
      <c r="AL110" s="229" t="e">
        <f>O110*$F110</f>
        <v>#REF!</v>
      </c>
      <c r="AM110" s="230" t="e">
        <f>P110*$F110</f>
        <v>#REF!</v>
      </c>
      <c r="AN110" s="228" t="e">
        <f>N110*$F110</f>
        <v>#REF!</v>
      </c>
      <c r="AO110" s="229" t="e">
        <f>R110*$F110</f>
        <v>#REF!</v>
      </c>
      <c r="AP110" s="230" t="e">
        <f>S110*$F110</f>
        <v>#REF!</v>
      </c>
      <c r="AQ110" s="228" t="e">
        <f>Q110*$F110</f>
        <v>#REF!</v>
      </c>
      <c r="AR110" s="229" t="e">
        <f>U110*$F110</f>
        <v>#REF!</v>
      </c>
      <c r="AS110" s="230" t="e">
        <f>V110*$F110</f>
        <v>#REF!</v>
      </c>
      <c r="AT110" s="228" t="e">
        <f>T110*$F110</f>
        <v>#REF!</v>
      </c>
      <c r="AU110" s="229" t="e">
        <f>X110*$F110</f>
        <v>#REF!</v>
      </c>
      <c r="AV110" s="230" t="e">
        <f>Y110*$F110</f>
        <v>#REF!</v>
      </c>
      <c r="AW110" s="228" t="e">
        <f>W110*$F110</f>
        <v>#REF!</v>
      </c>
      <c r="AX110" s="229" t="e">
        <f>AA110*$F110</f>
        <v>#REF!</v>
      </c>
      <c r="AY110" s="230" t="e">
        <f>AB110*$F110</f>
        <v>#REF!</v>
      </c>
      <c r="AZ110" s="231" t="e">
        <f>Z110*$F110</f>
        <v>#REF!</v>
      </c>
      <c r="BA110" s="232" t="e">
        <f>AD110*$F110</f>
        <v>#REF!</v>
      </c>
      <c r="BC110" s="160" t="e">
        <f>ROUNDUP(O110/$BC$13,0)</f>
        <v>#REF!</v>
      </c>
      <c r="BD110" s="160" t="e">
        <f>ROUNDUP(R110/$BD$13,0)</f>
        <v>#REF!</v>
      </c>
      <c r="BE110" s="160" t="e">
        <f>ROUNDUP(U110/$BE$13,0)</f>
        <v>#REF!</v>
      </c>
      <c r="BF110" s="160" t="e">
        <f>ROUNDUP(X110/$BF$13,0)</f>
        <v>#REF!</v>
      </c>
      <c r="BG110" s="160" t="e">
        <f>ROUNDUP(AA110/$BG$13,0)</f>
        <v>#REF!</v>
      </c>
      <c r="BH110" s="160" t="e">
        <f>ROUNDUP(AD110/$BH$13,0)</f>
        <v>#REF!</v>
      </c>
    </row>
    <row r="111" spans="1:61" customHeight="1" ht="20.1">
      <c r="A111" s="315"/>
      <c r="B111" s="1204" t="s">
        <v>219</v>
      </c>
      <c r="C111" s="1205"/>
      <c r="D111" s="1205"/>
      <c r="E111" s="1205"/>
      <c r="F111" s="1205"/>
      <c r="G111" s="1205"/>
      <c r="H111" s="1205"/>
      <c r="I111" s="1206"/>
      <c r="J111" s="23" t="e">
        <f>SUM(J77:J110)</f>
        <v>#REF!</v>
      </c>
      <c r="K111" s="24" t="e">
        <f>SUM(K77:K110)</f>
        <v>#REF!</v>
      </c>
      <c r="L111" s="25" t="e">
        <f>SUM(L77:L110)</f>
        <v>#REF!</v>
      </c>
      <c r="M111" s="26" t="e">
        <f>SUM(M77:M110)</f>
        <v>#REF!</v>
      </c>
      <c r="N111" s="24" t="e">
        <f>SUM(N77:N110)</f>
        <v>#REF!</v>
      </c>
      <c r="O111" s="25" t="e">
        <f>SUM(O77:O110)</f>
        <v>#REF!</v>
      </c>
      <c r="P111" s="23" t="e">
        <f>SUM(P77:P110)</f>
        <v>#REF!</v>
      </c>
      <c r="Q111" s="24" t="e">
        <f>SUM(Q77:Q110)</f>
        <v>#REF!</v>
      </c>
      <c r="R111" s="25" t="e">
        <f>SUM(R77:R110)</f>
        <v>#REF!</v>
      </c>
      <c r="S111" s="23" t="e">
        <f>SUM(S77:S110)</f>
        <v>#REF!</v>
      </c>
      <c r="T111" s="24" t="e">
        <f>SUM(T77:T110)</f>
        <v>#REF!</v>
      </c>
      <c r="U111" s="25" t="e">
        <f>SUM(U77:U110)</f>
        <v>#REF!</v>
      </c>
      <c r="V111" s="23" t="e">
        <f>SUM(V77:V110)</f>
        <v>#REF!</v>
      </c>
      <c r="W111" s="24" t="e">
        <f>SUM(W77:W110)</f>
        <v>#REF!</v>
      </c>
      <c r="X111" s="25" t="e">
        <f>SUM(X77:X110)</f>
        <v>#REF!</v>
      </c>
      <c r="Y111" s="23" t="e">
        <f>SUM(Y77:Y110)</f>
        <v>#REF!</v>
      </c>
      <c r="Z111" s="24" t="e">
        <f>SUM(Z77:Z110)</f>
        <v>#REF!</v>
      </c>
      <c r="AA111" s="25" t="e">
        <f>SUM(AA77:AA110)</f>
        <v>#REF!</v>
      </c>
      <c r="AB111" s="23" t="e">
        <f>SUM(AB77:AB110)</f>
        <v>#REF!</v>
      </c>
      <c r="AC111" s="24" t="e">
        <f>SUM(AC77:AC110)</f>
        <v>#REF!</v>
      </c>
      <c r="AD111" s="25" t="e">
        <f>SUM(AD77:AD110)</f>
        <v>#REF!</v>
      </c>
      <c r="AE111" s="27" t="e">
        <f>SUM(AE77:AE97)</f>
        <v>#REF!</v>
      </c>
      <c r="AG111" s="92" t="e">
        <f>SUM(AG80:AG82)</f>
        <v>#REF!</v>
      </c>
      <c r="AH111" s="93" t="e">
        <f>SUM(AH80:AH82)</f>
        <v>#REF!</v>
      </c>
      <c r="AI111" s="94" t="e">
        <f>SUM(AI80:AI82)</f>
        <v>#REF!</v>
      </c>
      <c r="AJ111" s="95" t="e">
        <f>SUM(AJ80:AJ82)</f>
        <v>#REF!</v>
      </c>
      <c r="AK111" s="93" t="e">
        <f>SUM(AK80:AK82)</f>
        <v>#REF!</v>
      </c>
      <c r="AL111" s="94" t="e">
        <f>SUM(AL80:AL82)</f>
        <v>#REF!</v>
      </c>
      <c r="AM111" s="92" t="e">
        <f>SUM(AM80:AM82)</f>
        <v>#REF!</v>
      </c>
      <c r="AN111" s="93" t="e">
        <f>SUM(AN80:AN82)</f>
        <v>#REF!</v>
      </c>
      <c r="AO111" s="94" t="e">
        <f>SUM(AO80:AO82)</f>
        <v>#REF!</v>
      </c>
      <c r="AP111" s="92" t="e">
        <f>SUM(AP80:AP82)</f>
        <v>#REF!</v>
      </c>
      <c r="AQ111" s="93" t="e">
        <f>SUM(AQ80:AQ82)</f>
        <v>#REF!</v>
      </c>
      <c r="AR111" s="94" t="e">
        <f>SUM(AR80:AR82)</f>
        <v>#REF!</v>
      </c>
      <c r="AS111" s="92" t="e">
        <f>SUM(AS80:AS82)</f>
        <v>#REF!</v>
      </c>
      <c r="AT111" s="93" t="e">
        <f>SUM(AT80:AT82)</f>
        <v>#REF!</v>
      </c>
      <c r="AU111" s="94" t="e">
        <f>SUM(AU80:AU82)</f>
        <v>#REF!</v>
      </c>
      <c r="AV111" s="92" t="e">
        <f>SUM(AV80:AV82)</f>
        <v>#REF!</v>
      </c>
      <c r="AW111" s="93" t="e">
        <f>SUM(AW80:AW82)</f>
        <v>#REF!</v>
      </c>
      <c r="AX111" s="94" t="e">
        <f>SUM(AX80:AX82)</f>
        <v>#REF!</v>
      </c>
      <c r="AY111" s="92" t="e">
        <f>SUM(AY80:AY82)</f>
        <v>#REF!</v>
      </c>
      <c r="AZ111" s="93" t="e">
        <f>SUM(AZ80:AZ82)</f>
        <v>#REF!</v>
      </c>
      <c r="BA111" s="94" t="e">
        <f>SUM(BA80:BA82)</f>
        <v>#REF!</v>
      </c>
      <c r="BB111" s="1" t="s">
        <v>325</v>
      </c>
      <c r="BC111" s="101" t="e">
        <f>ROUNDUP(O111/$BC$13,0)</f>
        <v>#REF!</v>
      </c>
      <c r="BD111" s="101" t="e">
        <f>ROUNDUP(R111/$BD$13,0)</f>
        <v>#REF!</v>
      </c>
      <c r="BE111" s="101" t="e">
        <f>ROUNDUP(U111/$BE$13,0)</f>
        <v>#REF!</v>
      </c>
      <c r="BF111" s="101" t="e">
        <f>ROUNDUP(X111/$BF$13,0)</f>
        <v>#REF!</v>
      </c>
      <c r="BG111" s="101" t="e">
        <f>ROUNDUP(AA111/$BG$13,0)</f>
        <v>#REF!</v>
      </c>
      <c r="BH111" s="101" t="e">
        <f>ROUNDUP(AD111/$BH$13,0)</f>
        <v>#REF!</v>
      </c>
    </row>
    <row r="112" spans="1:61" customHeight="1" ht="20.1">
      <c r="B112" s="2"/>
      <c r="C112" s="28"/>
      <c r="D112" s="28"/>
      <c r="E112" s="28"/>
      <c r="F112" s="28"/>
      <c r="G112" s="28"/>
      <c r="H112" s="28"/>
      <c r="I112" s="28"/>
      <c r="J112" s="29"/>
      <c r="K112" s="29"/>
      <c r="L112" s="29"/>
      <c r="M112" s="29"/>
      <c r="P112" s="29"/>
      <c r="Q112" s="29"/>
      <c r="R112" s="29"/>
      <c r="S112" s="29"/>
      <c r="V112" s="2"/>
      <c r="W112" s="2"/>
      <c r="X112" s="2"/>
      <c r="Y112" s="2"/>
      <c r="Z112" s="2"/>
      <c r="AA112" s="2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61" customHeight="1" ht="20.1">
      <c r="B113" s="30" t="s">
        <v>234</v>
      </c>
      <c r="C113" s="31"/>
      <c r="D113" s="31"/>
      <c r="E113" s="31"/>
      <c r="F113" s="31"/>
      <c r="G113" s="31"/>
      <c r="H113" s="31"/>
      <c r="I113" s="31"/>
      <c r="J113" s="32"/>
      <c r="K113" s="33"/>
      <c r="L113" s="34"/>
      <c r="M113" s="32"/>
      <c r="N113" s="35"/>
      <c r="P113" s="32"/>
      <c r="R113" s="35"/>
      <c r="U113" s="35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61" customHeight="1" ht="20.1">
      <c r="B114" s="30"/>
      <c r="C114" s="31"/>
      <c r="D114" s="31"/>
      <c r="E114" s="31"/>
      <c r="F114" s="31"/>
      <c r="G114" s="31"/>
      <c r="H114" s="31"/>
      <c r="I114" s="31"/>
      <c r="J114" s="32"/>
      <c r="K114" s="33"/>
      <c r="L114" s="34"/>
      <c r="M114" s="32"/>
      <c r="N114" s="35"/>
      <c r="P114" s="32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61" customHeight="1" ht="36.75" hidden="true"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61" customHeight="1" ht="17.1" hidden="true" s="37" customFormat="1">
      <c r="B116" s="36"/>
      <c r="C116" s="36"/>
      <c r="D116" s="36"/>
      <c r="E116" s="36"/>
      <c r="F116" s="1259"/>
      <c r="G116" s="1259"/>
      <c r="H116" s="1259"/>
      <c r="I116" s="1260"/>
      <c r="J116" s="1245" t="str">
        <f>J56</f>
        <v>FEB</v>
      </c>
      <c r="K116" s="1246"/>
      <c r="L116" s="1258"/>
      <c r="M116" s="1245" t="str">
        <f>M56</f>
        <v>MAR</v>
      </c>
      <c r="N116" s="1246"/>
      <c r="O116" s="1258"/>
      <c r="P116" s="1245" t="str">
        <f>P56</f>
        <v>APR</v>
      </c>
      <c r="Q116" s="1246"/>
      <c r="R116" s="1258"/>
      <c r="S116" s="1245" t="str">
        <f>S56</f>
        <v>MAY</v>
      </c>
      <c r="T116" s="1246"/>
      <c r="U116" s="1258"/>
      <c r="V116" s="1245" t="str">
        <f>V56</f>
        <v>JUN</v>
      </c>
      <c r="W116" s="1246"/>
      <c r="X116" s="1247"/>
      <c r="Y116" s="1245" t="str">
        <f>Y56</f>
        <v>JUL</v>
      </c>
      <c r="Z116" s="1246"/>
      <c r="AA116" s="1247"/>
      <c r="AB116" s="1245" t="str">
        <f>AB56</f>
        <v>FEB</v>
      </c>
      <c r="AC116" s="1246"/>
      <c r="AD116" s="1247"/>
    </row>
    <row r="117" spans="1:61" customHeight="1" ht="17.1" hidden="true" s="37" customFormat="1">
      <c r="B117" s="36"/>
      <c r="C117" s="36"/>
      <c r="D117" s="36"/>
      <c r="E117" s="36"/>
      <c r="F117" s="1259"/>
      <c r="G117" s="1259"/>
      <c r="H117" s="1259"/>
      <c r="I117" s="1260"/>
      <c r="J117" s="1245" t="e">
        <f>#REF!/2</f>
        <v>#REF!</v>
      </c>
      <c r="K117" s="1246"/>
      <c r="L117" s="1258"/>
      <c r="M117" s="1245" t="e">
        <f>#REF!/2</f>
        <v>#REF!</v>
      </c>
      <c r="N117" s="1246"/>
      <c r="O117" s="1258"/>
      <c r="P117" s="1245" t="e">
        <f>#REF!/2</f>
        <v>#REF!</v>
      </c>
      <c r="Q117" s="1246"/>
      <c r="R117" s="1258"/>
      <c r="S117" s="1245" t="e">
        <f>#REF!/2</f>
        <v>#REF!</v>
      </c>
      <c r="T117" s="1246"/>
      <c r="U117" s="1258"/>
      <c r="V117" s="1245" t="e">
        <f>#REF!/2</f>
        <v>#REF!</v>
      </c>
      <c r="W117" s="1246"/>
      <c r="X117" s="1258"/>
      <c r="Y117" s="1245" t="e">
        <f>#REF!/2</f>
        <v>#REF!</v>
      </c>
      <c r="Z117" s="1246"/>
      <c r="AA117" s="1258"/>
      <c r="AB117" s="1245" t="e">
        <f>#REF!/2</f>
        <v>#REF!</v>
      </c>
      <c r="AC117" s="1246"/>
      <c r="AD117" s="1258"/>
    </row>
    <row r="118" spans="1:61" customHeight="1" ht="18" hidden="true" s="41" customFormat="1">
      <c r="B118" s="38"/>
      <c r="C118" s="38"/>
      <c r="D118" s="38"/>
      <c r="E118" s="38"/>
      <c r="F118" s="1270"/>
      <c r="G118" s="1270"/>
      <c r="H118" s="1270"/>
      <c r="I118" s="1271"/>
      <c r="J118" s="39"/>
      <c r="K118" s="80" t="e">
        <f>K55/J117</f>
        <v>#REF!</v>
      </c>
      <c r="L118" s="80" t="e">
        <f>L55/J117</f>
        <v>#REF!</v>
      </c>
      <c r="M118" s="39"/>
      <c r="N118" s="39" t="e">
        <f>N55/M117</f>
        <v>#REF!</v>
      </c>
      <c r="O118" s="39" t="e">
        <f>O55/M117</f>
        <v>#REF!</v>
      </c>
      <c r="P118" s="39"/>
      <c r="Q118" s="39" t="e">
        <f>Q55/P117</f>
        <v>#REF!</v>
      </c>
      <c r="R118" s="39" t="e">
        <f>R55/P117</f>
        <v>#REF!</v>
      </c>
      <c r="S118" s="39"/>
      <c r="T118" s="39" t="e">
        <f>T55/S117</f>
        <v>#REF!</v>
      </c>
      <c r="U118" s="39" t="e">
        <f>U55/S117</f>
        <v>#REF!</v>
      </c>
      <c r="V118" s="39"/>
      <c r="W118" s="39" t="e">
        <f>W55/V117</f>
        <v>#REF!</v>
      </c>
      <c r="X118" s="40" t="e">
        <f>X55/V117</f>
        <v>#REF!</v>
      </c>
      <c r="Y118" s="39"/>
      <c r="Z118" s="39" t="e">
        <f>Z55/Y117</f>
        <v>#REF!</v>
      </c>
      <c r="AA118" s="40" t="e">
        <f>AA55/Y117</f>
        <v>#REF!</v>
      </c>
      <c r="AB118" s="39"/>
      <c r="AC118" s="39" t="e">
        <f>AC55/AB117</f>
        <v>#REF!</v>
      </c>
      <c r="AD118" s="40" t="e">
        <f>AD55/AB117</f>
        <v>#REF!</v>
      </c>
    </row>
    <row r="119" spans="1:61" customHeight="1" ht="6.75" hidden="true" s="42" customFormat="1">
      <c r="D119" s="43"/>
      <c r="E119" s="43"/>
      <c r="F119" s="44"/>
      <c r="G119" s="44"/>
      <c r="H119" s="44"/>
      <c r="I119" s="44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</row>
    <row r="120" spans="1:61" customHeight="1" ht="17.1" hidden="true" s="42" customFormat="1">
      <c r="D120" s="43"/>
      <c r="E120" s="43"/>
      <c r="F120" s="44"/>
      <c r="G120" s="44"/>
      <c r="H120" s="44"/>
      <c r="I120" s="44"/>
      <c r="J120" s="1263" t="str">
        <f>J116</f>
        <v>FEB</v>
      </c>
      <c r="K120" s="1264"/>
      <c r="L120" s="1265"/>
      <c r="M120" s="1263" t="str">
        <f>M116</f>
        <v>MAR</v>
      </c>
      <c r="N120" s="1264"/>
      <c r="O120" s="1265"/>
      <c r="P120" s="1263" t="str">
        <f>P116</f>
        <v>APR</v>
      </c>
      <c r="Q120" s="1264"/>
      <c r="R120" s="1265"/>
      <c r="S120" s="1263" t="str">
        <f>S116</f>
        <v>MAY</v>
      </c>
      <c r="T120" s="1264"/>
      <c r="U120" s="1265"/>
      <c r="V120" s="1263" t="str">
        <f>V116</f>
        <v>JUN</v>
      </c>
      <c r="W120" s="1264"/>
      <c r="X120" s="1266"/>
      <c r="Y120" s="1263" t="str">
        <f>Y116</f>
        <v>JUL</v>
      </c>
      <c r="Z120" s="1264"/>
      <c r="AA120" s="1266"/>
      <c r="AB120" s="1263" t="str">
        <f>AB116</f>
        <v>FEB</v>
      </c>
      <c r="AC120" s="1264"/>
      <c r="AD120" s="1266"/>
    </row>
    <row r="121" spans="1:61" customHeight="1" ht="17.1" hidden="true" s="37" customFormat="1">
      <c r="F121" s="1259"/>
      <c r="G121" s="1259"/>
      <c r="H121" s="1259"/>
      <c r="I121" s="1269"/>
      <c r="J121" s="46"/>
      <c r="K121" s="47" t="s">
        <v>235</v>
      </c>
      <c r="L121" s="47" t="s">
        <v>236</v>
      </c>
      <c r="M121" s="46"/>
      <c r="N121" s="47" t="s">
        <v>235</v>
      </c>
      <c r="O121" s="47" t="s">
        <v>236</v>
      </c>
      <c r="P121" s="46"/>
      <c r="Q121" s="47" t="s">
        <v>235</v>
      </c>
      <c r="R121" s="47" t="s">
        <v>236</v>
      </c>
      <c r="S121" s="46"/>
      <c r="T121" s="47" t="s">
        <v>235</v>
      </c>
      <c r="U121" s="47" t="s">
        <v>236</v>
      </c>
      <c r="V121" s="46"/>
      <c r="W121" s="47" t="s">
        <v>235</v>
      </c>
      <c r="X121" s="48" t="s">
        <v>236</v>
      </c>
      <c r="Y121" s="46"/>
      <c r="Z121" s="47" t="s">
        <v>235</v>
      </c>
      <c r="AA121" s="48" t="s">
        <v>236</v>
      </c>
      <c r="AB121" s="46"/>
      <c r="AC121" s="47" t="s">
        <v>235</v>
      </c>
      <c r="AD121" s="48" t="s">
        <v>236</v>
      </c>
    </row>
    <row r="122" spans="1:61" customHeight="1" ht="18" hidden="true" s="41" customFormat="1">
      <c r="D122" s="49"/>
      <c r="E122" s="49"/>
      <c r="F122" s="1261"/>
      <c r="G122" s="1261"/>
      <c r="H122" s="1261"/>
      <c r="I122" s="1262"/>
      <c r="J122" s="50"/>
      <c r="K122" s="51" t="e">
        <f>+L118/J57</f>
        <v>#REF!</v>
      </c>
      <c r="L122" s="52" t="e">
        <f>+L118/(J57+J58)</f>
        <v>#REF!</v>
      </c>
      <c r="M122" s="50"/>
      <c r="N122" s="51" t="e">
        <f>+O118/M57</f>
        <v>#REF!</v>
      </c>
      <c r="O122" s="52" t="e">
        <f>+O118/(M57+M58)</f>
        <v>#REF!</v>
      </c>
      <c r="P122" s="50"/>
      <c r="Q122" s="51" t="e">
        <f>+R118/P57</f>
        <v>#REF!</v>
      </c>
      <c r="R122" s="52" t="e">
        <f>+R118/(P57+P58)</f>
        <v>#REF!</v>
      </c>
      <c r="S122" s="50"/>
      <c r="T122" s="51" t="e">
        <f>+U118/S57</f>
        <v>#REF!</v>
      </c>
      <c r="U122" s="52" t="e">
        <f>+U118/(S57+S58)</f>
        <v>#REF!</v>
      </c>
      <c r="V122" s="50"/>
      <c r="W122" s="51" t="e">
        <f>+X118/V57</f>
        <v>#REF!</v>
      </c>
      <c r="X122" s="53" t="e">
        <f>+X118/(V57+V58)</f>
        <v>#REF!</v>
      </c>
      <c r="Y122" s="50"/>
      <c r="Z122" s="51" t="e">
        <f>+AA118/Y57</f>
        <v>#REF!</v>
      </c>
      <c r="AA122" s="53" t="e">
        <f>+AA118/(Y57+Y58)</f>
        <v>#REF!</v>
      </c>
      <c r="AB122" s="50"/>
      <c r="AC122" s="51" t="e">
        <f>+AD118/AB57</f>
        <v>#REF!</v>
      </c>
      <c r="AD122" s="53" t="e">
        <f>+AD118/(AB57+AB58)</f>
        <v>#REF!</v>
      </c>
    </row>
    <row r="123" spans="1:61" customHeight="1" ht="18" hidden="true" s="41" customFormat="1">
      <c r="J123" s="54"/>
      <c r="K123" s="54" t="e">
        <f>SUM(K122:K122)</f>
        <v>#REF!</v>
      </c>
      <c r="L123" s="54" t="e">
        <f>SUM(L122:L122)</f>
        <v>#REF!</v>
      </c>
      <c r="M123" s="54"/>
      <c r="N123" s="54" t="e">
        <f>SUM(N122:N122)</f>
        <v>#REF!</v>
      </c>
      <c r="O123" s="54" t="e">
        <f>SUM(O122:O122)</f>
        <v>#REF!</v>
      </c>
      <c r="P123" s="54"/>
      <c r="Q123" s="54" t="e">
        <f>SUM(Q122:Q122)</f>
        <v>#REF!</v>
      </c>
      <c r="R123" s="54" t="e">
        <f>SUM(R122:R122)</f>
        <v>#REF!</v>
      </c>
      <c r="S123" s="54"/>
      <c r="T123" s="54" t="e">
        <f>SUM(T122:T122)</f>
        <v>#REF!</v>
      </c>
      <c r="U123" s="54" t="e">
        <f>SUM(U122:U122)</f>
        <v>#REF!</v>
      </c>
      <c r="V123" s="54"/>
      <c r="W123" s="54" t="e">
        <f>SUM(W122:W122)</f>
        <v>#REF!</v>
      </c>
      <c r="X123" s="55" t="e">
        <f>SUM(X122:X122)</f>
        <v>#REF!</v>
      </c>
      <c r="Y123" s="54"/>
      <c r="Z123" s="54" t="e">
        <f>SUM(Z122:Z122)</f>
        <v>#REF!</v>
      </c>
      <c r="AA123" s="55" t="e">
        <f>SUM(AA122:AA122)</f>
        <v>#REF!</v>
      </c>
      <c r="AB123" s="54"/>
      <c r="AC123" s="54" t="e">
        <f>SUM(AC122:AC122)</f>
        <v>#REF!</v>
      </c>
      <c r="AD123" s="55" t="e">
        <f>SUM(AD122:AD122)</f>
        <v>#REF!</v>
      </c>
    </row>
    <row r="124" spans="1:61" customHeight="1" ht="24.75" hidden="true">
      <c r="B124" s="2"/>
      <c r="F124" s="1118"/>
      <c r="G124" s="1119"/>
      <c r="H124" s="1272"/>
      <c r="I124" s="56"/>
      <c r="J124" s="57" t="s">
        <v>330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1"/>
      <c r="X124" s="1"/>
      <c r="Y124" s="2"/>
      <c r="Z124" s="1"/>
      <c r="AA124" s="1"/>
      <c r="AB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61" customHeight="1" ht="13.5" hidden="true">
      <c r="B125" s="2"/>
      <c r="C125" s="1122" t="s">
        <v>238</v>
      </c>
      <c r="D125" s="1123"/>
      <c r="E125" s="7"/>
      <c r="F125" s="1273"/>
      <c r="G125" s="1273"/>
      <c r="H125" s="1273"/>
      <c r="I125" s="58"/>
      <c r="J125" s="59" t="e">
        <v>#REF!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1"/>
      <c r="X125" s="1"/>
      <c r="Y125" s="2"/>
      <c r="Z125" s="1"/>
      <c r="AA125" s="1"/>
      <c r="AB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61" customHeight="1" ht="13.5" hidden="true">
      <c r="B126" s="2"/>
      <c r="C126" s="1122"/>
      <c r="D126" s="1123"/>
      <c r="E126" s="7"/>
      <c r="F126" s="1267"/>
      <c r="G126" s="1267"/>
      <c r="H126" s="1267"/>
      <c r="I126" s="58"/>
      <c r="J126" s="60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1"/>
      <c r="X126" s="1"/>
      <c r="Y126" s="2"/>
      <c r="Z126" s="1"/>
      <c r="AA126" s="1"/>
      <c r="AB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61" customHeight="1" ht="13.5" hidden="true">
      <c r="B127" s="2"/>
      <c r="C127" s="1122"/>
      <c r="D127" s="1123"/>
      <c r="E127" s="7"/>
      <c r="F127" s="1267"/>
      <c r="G127" s="1267"/>
      <c r="H127" s="1267"/>
      <c r="I127" s="61"/>
      <c r="J127" s="6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1"/>
      <c r="X127" s="1"/>
      <c r="Y127" s="2"/>
      <c r="Z127" s="1"/>
      <c r="AA127" s="1"/>
      <c r="AB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61" customHeight="1" ht="13.5" hidden="true">
      <c r="B128" s="2"/>
      <c r="C128" s="1122"/>
      <c r="D128" s="1123"/>
      <c r="E128" s="304"/>
      <c r="F128" s="1268"/>
      <c r="G128" s="1268"/>
      <c r="H128" s="1268"/>
      <c r="I128" s="63"/>
      <c r="J128" s="64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1"/>
      <c r="X128" s="1"/>
      <c r="Y128" s="2"/>
      <c r="Z128" s="1"/>
      <c r="AA128" s="1"/>
      <c r="AB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61" customHeight="1" ht="13.5" hidden="true">
      <c r="C129" s="1122" t="s">
        <v>239</v>
      </c>
      <c r="D129" s="1123"/>
      <c r="E129" s="7"/>
      <c r="F129" s="1273"/>
      <c r="G129" s="1273"/>
      <c r="H129" s="1273"/>
      <c r="I129" s="58"/>
      <c r="J129" s="59" t="e">
        <v>#REF!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1"/>
      <c r="X129" s="1"/>
      <c r="Y129" s="2"/>
      <c r="Z129" s="1"/>
      <c r="AA129" s="1"/>
      <c r="AB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61" customHeight="1" ht="13.5" hidden="true">
      <c r="C130" s="1122"/>
      <c r="D130" s="1123"/>
      <c r="E130" s="7"/>
      <c r="F130" s="1267"/>
      <c r="G130" s="1267"/>
      <c r="H130" s="1267"/>
      <c r="I130" s="58"/>
      <c r="J130" s="60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1"/>
      <c r="X130" s="1"/>
      <c r="Y130" s="2"/>
      <c r="Z130" s="1"/>
      <c r="AA130" s="1"/>
      <c r="AB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61" customHeight="1" ht="13.5" hidden="true">
      <c r="C131" s="1122"/>
      <c r="D131" s="1123"/>
      <c r="E131" s="7"/>
      <c r="F131" s="1267"/>
      <c r="G131" s="1267"/>
      <c r="H131" s="1267"/>
      <c r="I131" s="61"/>
      <c r="J131" s="6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1"/>
      <c r="X131" s="1"/>
      <c r="Y131" s="2"/>
      <c r="Z131" s="1"/>
      <c r="AA131" s="1"/>
      <c r="AB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61" customHeight="1" ht="13.5" hidden="true">
      <c r="C132" s="1122"/>
      <c r="D132" s="1123"/>
      <c r="E132" s="304"/>
      <c r="F132" s="1268"/>
      <c r="G132" s="1268"/>
      <c r="H132" s="1268"/>
      <c r="I132" s="63"/>
      <c r="J132" s="64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1"/>
      <c r="X132" s="1"/>
      <c r="Y132" s="2"/>
      <c r="Z132" s="1"/>
      <c r="AA132" s="1"/>
      <c r="AB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61" customHeight="1" ht="13.5" hidden="true">
      <c r="C133" s="1122" t="s">
        <v>240</v>
      </c>
      <c r="D133" s="1123"/>
      <c r="E133" s="7"/>
      <c r="F133" s="1273"/>
      <c r="G133" s="1273"/>
      <c r="H133" s="1273"/>
      <c r="I133" s="58"/>
      <c r="J133" s="59" t="e">
        <v>#REF!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1"/>
      <c r="X133" s="1"/>
      <c r="Y133" s="2"/>
      <c r="Z133" s="1"/>
      <c r="AA133" s="1"/>
      <c r="AB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61" customHeight="1" ht="13.5" hidden="true">
      <c r="C134" s="1122"/>
      <c r="D134" s="1123"/>
      <c r="E134" s="7"/>
      <c r="F134" s="1267"/>
      <c r="G134" s="1267"/>
      <c r="H134" s="1267"/>
      <c r="I134" s="58"/>
      <c r="J134" s="60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1"/>
      <c r="X134" s="1"/>
      <c r="Y134" s="2"/>
      <c r="Z134" s="1"/>
      <c r="AA134" s="1"/>
      <c r="AB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61" customHeight="1" ht="13.5" hidden="true">
      <c r="C135" s="1122"/>
      <c r="D135" s="1123"/>
      <c r="E135" s="7"/>
      <c r="F135" s="1267"/>
      <c r="G135" s="1267"/>
      <c r="H135" s="1267"/>
      <c r="I135" s="61"/>
      <c r="J135" s="6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1"/>
      <c r="X135" s="1"/>
      <c r="Y135" s="2"/>
      <c r="Z135" s="1"/>
      <c r="AA135" s="1"/>
      <c r="AB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61" customHeight="1" ht="13.5" hidden="true">
      <c r="C136" s="1122"/>
      <c r="D136" s="1123"/>
      <c r="E136" s="304"/>
      <c r="F136" s="1268"/>
      <c r="G136" s="1268"/>
      <c r="H136" s="1268"/>
      <c r="I136" s="63"/>
      <c r="J136" s="64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1"/>
      <c r="X136" s="1"/>
      <c r="Y136" s="2"/>
      <c r="Z136" s="1"/>
      <c r="AA136" s="1"/>
      <c r="AB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61" customHeight="1" ht="15" hidden="true"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1"/>
      <c r="X137" s="1"/>
      <c r="Y137" s="2"/>
      <c r="Z137" s="1"/>
      <c r="AA137" s="1"/>
      <c r="AB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61" customHeight="1" ht="15" hidden="true"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1"/>
      <c r="X138" s="1"/>
      <c r="Y138" s="2"/>
      <c r="Z138" s="1"/>
      <c r="AA138" s="1"/>
      <c r="AB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61" customHeight="1" ht="15" hidden="true"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1"/>
      <c r="X139" s="1"/>
      <c r="Y139" s="2"/>
      <c r="Z139" s="1"/>
      <c r="AA139" s="1"/>
      <c r="AB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61" customHeight="1" ht="12.75" hidden="true">
      <c r="C140" s="1114" t="s">
        <v>331</v>
      </c>
      <c r="D140" s="81"/>
      <c r="E140" s="305"/>
      <c r="F140" s="1126" t="s">
        <v>242</v>
      </c>
      <c r="G140" s="1126"/>
      <c r="H140" s="1126"/>
      <c r="I140" s="65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1"/>
      <c r="X140" s="1"/>
      <c r="Y140" s="2"/>
      <c r="Z140" s="1"/>
      <c r="AA140" s="1"/>
      <c r="AB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61" customHeight="1" ht="12.75" hidden="true">
      <c r="C141" s="1114"/>
      <c r="D141" s="81"/>
      <c r="E141" s="305"/>
      <c r="F141" s="1126"/>
      <c r="G141" s="1126"/>
      <c r="H141" s="1126"/>
      <c r="I141" s="65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1"/>
      <c r="X141" s="1"/>
      <c r="Y141" s="2"/>
      <c r="Z141" s="1"/>
      <c r="AA141" s="1"/>
      <c r="AB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61" customHeight="1" ht="12.75" hidden="true">
      <c r="C142" s="66" t="s">
        <v>243</v>
      </c>
      <c r="D142" s="5"/>
      <c r="E142" s="300"/>
      <c r="F142" s="1274" t="e">
        <v>#REF!</v>
      </c>
      <c r="G142" s="1274"/>
      <c r="H142" s="1274"/>
      <c r="I142" s="67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1"/>
      <c r="X142" s="1"/>
      <c r="Y142" s="2"/>
      <c r="Z142" s="1"/>
      <c r="AA142" s="1"/>
      <c r="AB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61" customHeight="1" ht="12.75" hidden="true">
      <c r="C143" s="66" t="s">
        <v>244</v>
      </c>
      <c r="D143" s="5"/>
      <c r="E143" s="300"/>
      <c r="F143" s="1274" t="e">
        <v>#REF!</v>
      </c>
      <c r="G143" s="1274"/>
      <c r="H143" s="1274"/>
      <c r="I143" s="67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1"/>
      <c r="X143" s="1"/>
      <c r="Y143" s="2"/>
      <c r="Z143" s="1"/>
      <c r="AA143" s="1"/>
      <c r="AB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61" customHeight="1" ht="12.75" hidden="true">
      <c r="C144" s="66" t="s">
        <v>245</v>
      </c>
      <c r="D144" s="5"/>
      <c r="E144" s="300"/>
      <c r="F144" s="1274" t="e">
        <v>#REF!</v>
      </c>
      <c r="G144" s="1274"/>
      <c r="H144" s="1274"/>
      <c r="I144" s="67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1"/>
      <c r="X144" s="1"/>
      <c r="Y144" s="2"/>
      <c r="Z144" s="1"/>
      <c r="AA144" s="1"/>
      <c r="AB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61" customHeight="1" ht="15" hidden="true"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1"/>
      <c r="X145" s="1"/>
      <c r="Y145" s="2"/>
      <c r="Z145" s="1"/>
      <c r="AA145" s="1"/>
      <c r="AB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61" customHeight="1" ht="15" hidden="true"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1"/>
      <c r="X146" s="1"/>
      <c r="Y146" s="2"/>
      <c r="Z146" s="1"/>
      <c r="AA146" s="1"/>
      <c r="AB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61" customHeight="1" ht="15" hidden="true"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1"/>
      <c r="X147" s="1"/>
      <c r="Y147" s="2"/>
      <c r="Z147" s="1"/>
      <c r="AA147" s="1"/>
      <c r="AB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61" customHeight="1" ht="15" hidden="true"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1"/>
      <c r="X148" s="1"/>
      <c r="Y148" s="2"/>
      <c r="Z148" s="1"/>
      <c r="AA148" s="1"/>
      <c r="AB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61" customHeight="1" ht="15" hidden="true"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1"/>
      <c r="X149" s="1"/>
      <c r="Y149" s="2"/>
      <c r="Z149" s="1"/>
      <c r="AA149" s="1"/>
      <c r="AB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61" customHeight="1" ht="15" hidden="true"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1"/>
      <c r="X150" s="1"/>
      <c r="Y150" s="2"/>
      <c r="Z150" s="1"/>
      <c r="AA150" s="1"/>
      <c r="AB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61" customHeight="1" ht="15" hidden="true">
      <c r="M151" s="2"/>
      <c r="N151" s="29"/>
      <c r="O151" s="29"/>
      <c r="P151" s="2"/>
      <c r="Q151" s="2"/>
      <c r="R151" s="2"/>
      <c r="S151" s="2"/>
      <c r="T151" s="2"/>
      <c r="U151" s="2"/>
      <c r="V151" s="2"/>
      <c r="W151" s="1"/>
      <c r="X151" s="1"/>
      <c r="Y151" s="2"/>
      <c r="Z151" s="1"/>
      <c r="AA151" s="1"/>
      <c r="AB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61" customHeight="1" ht="15">
      <c r="M152" s="2"/>
      <c r="N152" s="33"/>
      <c r="O152" s="34"/>
      <c r="P152" s="68"/>
      <c r="Q152" s="68"/>
      <c r="R152" s="68"/>
      <c r="S152" s="68"/>
      <c r="T152" s="68"/>
      <c r="U152" s="2"/>
      <c r="V152" s="2"/>
      <c r="W152" s="1"/>
      <c r="X152" s="1"/>
      <c r="Y152" s="2"/>
      <c r="Z152" s="1"/>
      <c r="AA152" s="1"/>
      <c r="AB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61" customHeight="1" ht="15">
      <c r="M153" s="2"/>
      <c r="N153" s="33"/>
      <c r="O153" s="34"/>
      <c r="P153" s="2"/>
      <c r="Q153" s="2"/>
      <c r="R153" s="2"/>
      <c r="S153" s="2"/>
      <c r="T153" s="2"/>
      <c r="U153" s="2"/>
      <c r="V153" s="2"/>
      <c r="W153" s="1"/>
      <c r="X153" s="1"/>
      <c r="Y153" s="2"/>
      <c r="Z153" s="1"/>
      <c r="AA153" s="1"/>
      <c r="AB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61" customHeight="1" ht="15">
      <c r="M154" s="2"/>
      <c r="P154" s="2"/>
      <c r="Q154" s="2"/>
      <c r="R154" s="2"/>
      <c r="S154" s="2"/>
      <c r="T154" s="2"/>
      <c r="U154" s="2"/>
      <c r="V154" s="2"/>
      <c r="W154" s="1"/>
      <c r="X154" s="1"/>
      <c r="Y154" s="2"/>
      <c r="Z154" s="1"/>
      <c r="AA154" s="1"/>
      <c r="AB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61" customHeight="1" ht="15"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1"/>
      <c r="X155" s="1"/>
      <c r="Y155" s="2"/>
      <c r="Z155" s="1"/>
      <c r="AA155" s="1"/>
      <c r="AB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61" customHeight="1" ht="15"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1"/>
      <c r="X156" s="1"/>
      <c r="Y156" s="2"/>
      <c r="Z156" s="1"/>
      <c r="AA156" s="1"/>
      <c r="AB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61" customHeight="1" ht="15"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1"/>
      <c r="X157" s="1"/>
      <c r="Y157" s="2"/>
      <c r="Z157" s="1"/>
      <c r="AA157" s="1"/>
      <c r="AB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61" customHeight="1" ht="15"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1"/>
      <c r="X158" s="1"/>
      <c r="Y158" s="2"/>
      <c r="Z158" s="1"/>
      <c r="AA158" s="1"/>
      <c r="AB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61" customHeight="1" ht="15">
      <c r="M159" s="2"/>
      <c r="N159" s="2"/>
      <c r="O159" s="2"/>
      <c r="P159" s="2"/>
      <c r="Q159" s="2"/>
      <c r="R159" s="33"/>
      <c r="S159" s="34"/>
      <c r="T159" s="32"/>
      <c r="W159" s="2"/>
      <c r="X159" s="2"/>
      <c r="Y159" s="2"/>
      <c r="Z159" s="2"/>
      <c r="AA159" s="2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61" customHeight="1" ht="15">
      <c r="M160" s="2"/>
      <c r="N160" s="2"/>
      <c r="O160" s="2"/>
      <c r="P160" s="2"/>
      <c r="Q160" s="2"/>
      <c r="R160" s="33"/>
      <c r="S160" s="34"/>
      <c r="T160" s="32"/>
      <c r="W160" s="2"/>
      <c r="X160" s="2"/>
      <c r="Y160" s="2"/>
      <c r="Z160" s="2"/>
      <c r="AA160" s="2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61" customHeight="1" ht="15">
      <c r="M161" s="2"/>
      <c r="N161" s="2"/>
      <c r="O161" s="2"/>
      <c r="P161" s="2"/>
      <c r="Q161" s="2"/>
      <c r="AB161" s="3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61" customHeight="1" ht="15">
      <c r="W162" s="1"/>
      <c r="X162" s="1"/>
      <c r="Z162" s="1"/>
      <c r="AA162" s="1"/>
      <c r="AB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61" customHeight="1" ht="15">
      <c r="W163" s="1"/>
      <c r="X163" s="1"/>
      <c r="Z163" s="1"/>
      <c r="AA163" s="1"/>
      <c r="AB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61" customHeight="1" ht="15">
      <c r="W164" s="1"/>
      <c r="X164" s="1"/>
      <c r="Z164" s="1"/>
      <c r="AA164" s="1"/>
      <c r="AB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61" customHeight="1" ht="15">
      <c r="W165" s="1"/>
      <c r="X165" s="1"/>
      <c r="Z165" s="1"/>
      <c r="AA165" s="1"/>
      <c r="AB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61" customHeight="1" ht="15">
      <c r="W166" s="1"/>
      <c r="X166" s="1"/>
      <c r="Z166" s="1"/>
      <c r="AA166" s="1"/>
      <c r="AB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61" customHeight="1" ht="15">
      <c r="W167" s="1"/>
      <c r="X167" s="1"/>
      <c r="Z167" s="1"/>
      <c r="AA167" s="1"/>
      <c r="AB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61" customHeight="1" ht="15">
      <c r="W168" s="1"/>
      <c r="X168" s="1"/>
      <c r="Z168" s="1"/>
      <c r="AA168" s="1"/>
      <c r="AB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61" customHeight="1" ht="15">
      <c r="W169" s="1"/>
      <c r="X169" s="1"/>
      <c r="Z169" s="1"/>
      <c r="AA169" s="1"/>
      <c r="AB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61" customHeight="1" ht="15">
      <c r="W170" s="1"/>
      <c r="X170" s="1"/>
      <c r="Z170" s="1"/>
      <c r="AA170" s="1"/>
      <c r="AB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61" customHeight="1" ht="15">
      <c r="W171" s="1"/>
      <c r="X171" s="1"/>
      <c r="Z171" s="1"/>
      <c r="AA171" s="1"/>
      <c r="AB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61" customHeight="1" ht="15">
      <c r="W172" s="1"/>
      <c r="X172" s="1"/>
      <c r="Z172" s="1"/>
      <c r="AA172" s="1"/>
      <c r="AB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61" customHeight="1" ht="15">
      <c r="W173" s="1"/>
      <c r="X173" s="1"/>
      <c r="Z173" s="1"/>
      <c r="AA173" s="1"/>
      <c r="AB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61" customHeight="1" ht="15">
      <c r="W174" s="1"/>
      <c r="X174" s="1"/>
      <c r="Z174" s="1"/>
      <c r="AA174" s="1"/>
      <c r="AB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61" customHeight="1" ht="15">
      <c r="W175" s="1"/>
      <c r="X175" s="1"/>
      <c r="Z175" s="1"/>
      <c r="AA175" s="1"/>
      <c r="AB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61" customHeight="1" ht="15">
      <c r="W176" s="1"/>
      <c r="X176" s="1"/>
      <c r="Z176" s="1"/>
      <c r="AA176" s="1"/>
      <c r="AB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61" customHeight="1" ht="15">
      <c r="W177" s="1"/>
      <c r="X177" s="1"/>
      <c r="Z177" s="1"/>
      <c r="AA177" s="1"/>
      <c r="AB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61" customHeight="1" ht="15">
      <c r="W178" s="1"/>
      <c r="X178" s="1"/>
      <c r="Z178" s="1"/>
      <c r="AA178" s="1"/>
      <c r="AB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61" customHeight="1" ht="15">
      <c r="W179" s="1"/>
      <c r="X179" s="1"/>
      <c r="Z179" s="1"/>
      <c r="AA179" s="1"/>
      <c r="AB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61" customHeight="1" ht="15">
      <c r="W180" s="1"/>
      <c r="X180" s="1"/>
      <c r="Z180" s="1"/>
      <c r="AA180" s="1"/>
      <c r="AB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61" customHeight="1" ht="15"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61" customHeight="1" ht="15"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61" customHeight="1" ht="15"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61" customHeight="1" ht="15"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61" customHeight="1" ht="15"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61" customHeight="1" ht="15"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61" customHeight="1" ht="15"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61" customHeight="1" ht="15"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61" customHeight="1" ht="15"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61" customHeight="1" ht="15"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61" customHeight="1" ht="15"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61" customHeight="1" ht="15"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61" customHeight="1" ht="15"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61" customHeight="1" ht="15"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61" customHeight="1" ht="15"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61" customHeight="1" ht="15"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61" customHeight="1" ht="15"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61" customHeight="1" ht="15"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61" customHeight="1" ht="15"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61" customHeight="1" ht="15"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61" customHeight="1" ht="15"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61" customHeight="1" ht="15"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61" customHeight="1" ht="15"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61" customHeight="1" ht="15"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61" customHeight="1" ht="15"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61" customHeight="1" ht="15"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61" customHeight="1" ht="15"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61" customHeight="1" ht="15"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61" customHeight="1" ht="15"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61" customHeight="1" ht="15"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61" customHeight="1" ht="15"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61" customHeight="1" ht="15"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61" customHeight="1" ht="15"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61" customHeight="1" ht="15"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61" customHeight="1" ht="15"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61" customHeight="1" ht="15"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61" customHeight="1" ht="15"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61" customHeight="1" ht="15"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61" customHeight="1" ht="15"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61" customHeight="1" ht="15"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61" customHeight="1" ht="15"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61" customHeight="1" ht="15"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61" customHeight="1" ht="15"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61" customHeight="1" ht="15"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61" customHeight="1" ht="15"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61" customHeight="1" ht="15"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61" customHeight="1" ht="15"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61" customHeight="1" ht="15"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61" customHeight="1" ht="15"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61" customHeight="1" ht="15"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61" customHeight="1" ht="15"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61" customHeight="1" ht="15"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61" customHeight="1" ht="15"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61" customHeight="1" ht="15"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61" customHeight="1" ht="15"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61" customHeight="1" ht="15"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61" customHeight="1" ht="15"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61" customHeight="1" ht="15"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61" customHeight="1" ht="15"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61" customHeight="1" ht="15"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61" customHeight="1" ht="15"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61" customHeight="1" ht="15"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61" customHeight="1" ht="15"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61" customHeight="1" ht="15"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61" customHeight="1" ht="15"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61" customHeight="1" ht="15"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61" customHeight="1" ht="15"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61" customHeight="1" ht="15"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61" customHeight="1" ht="15"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61" customHeight="1" ht="15"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61" customHeight="1" ht="15"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F142:H142"/>
    <mergeCell ref="F143:H143"/>
    <mergeCell ref="F144:H144"/>
    <mergeCell ref="C129:D132"/>
    <mergeCell ref="F129:H129"/>
    <mergeCell ref="F130:H130"/>
    <mergeCell ref="F131:H131"/>
    <mergeCell ref="F132:H132"/>
    <mergeCell ref="C133:D136"/>
    <mergeCell ref="F133:H133"/>
    <mergeCell ref="C140:C141"/>
    <mergeCell ref="F140:H141"/>
    <mergeCell ref="F118:I118"/>
    <mergeCell ref="J120:L120"/>
    <mergeCell ref="F134:H134"/>
    <mergeCell ref="F135:H135"/>
    <mergeCell ref="F136:H136"/>
    <mergeCell ref="F124:H124"/>
    <mergeCell ref="C125:D128"/>
    <mergeCell ref="F125:H125"/>
    <mergeCell ref="AB120:AD120"/>
    <mergeCell ref="F126:H126"/>
    <mergeCell ref="F127:H127"/>
    <mergeCell ref="F128:H128"/>
    <mergeCell ref="S117:U117"/>
    <mergeCell ref="F121:I121"/>
    <mergeCell ref="F117:I117"/>
    <mergeCell ref="J117:L117"/>
    <mergeCell ref="M117:O117"/>
    <mergeCell ref="P117:R117"/>
    <mergeCell ref="AB116:AD116"/>
    <mergeCell ref="V117:X117"/>
    <mergeCell ref="AB117:AD117"/>
    <mergeCell ref="F122:I122"/>
    <mergeCell ref="Y117:AA117"/>
    <mergeCell ref="M120:O120"/>
    <mergeCell ref="P120:R120"/>
    <mergeCell ref="S120:U120"/>
    <mergeCell ref="V120:X120"/>
    <mergeCell ref="Y120:AA120"/>
    <mergeCell ref="B100:B102"/>
    <mergeCell ref="B104:B110"/>
    <mergeCell ref="B111:I111"/>
    <mergeCell ref="S116:U116"/>
    <mergeCell ref="F116:I116"/>
    <mergeCell ref="J116:L116"/>
    <mergeCell ref="M116:O116"/>
    <mergeCell ref="P116:R116"/>
    <mergeCell ref="B83:B87"/>
    <mergeCell ref="A89:A97"/>
    <mergeCell ref="B89:B91"/>
    <mergeCell ref="B92:B93"/>
    <mergeCell ref="B94:B97"/>
    <mergeCell ref="A77:A82"/>
    <mergeCell ref="B77:B79"/>
    <mergeCell ref="B80:B82"/>
    <mergeCell ref="V116:X116"/>
    <mergeCell ref="Y116:AA116"/>
    <mergeCell ref="AY74:BA74"/>
    <mergeCell ref="J75:L75"/>
    <mergeCell ref="M75:O75"/>
    <mergeCell ref="P75:R75"/>
    <mergeCell ref="S75:U75"/>
    <mergeCell ref="V75:X75"/>
    <mergeCell ref="V74:X74"/>
    <mergeCell ref="Y74:AA74"/>
    <mergeCell ref="AP75:AR75"/>
    <mergeCell ref="AS75:AU75"/>
    <mergeCell ref="AB75:AD75"/>
    <mergeCell ref="AB74:AD74"/>
    <mergeCell ref="AP74:AR74"/>
    <mergeCell ref="AS74:AU74"/>
    <mergeCell ref="AJ74:AL74"/>
    <mergeCell ref="AG75:AI75"/>
    <mergeCell ref="AE74:AE76"/>
    <mergeCell ref="V70:W70"/>
    <mergeCell ref="Z70:AA70"/>
    <mergeCell ref="V71:W71"/>
    <mergeCell ref="Y75:AA75"/>
    <mergeCell ref="AM75:AO75"/>
    <mergeCell ref="AY75:BA75"/>
    <mergeCell ref="AV75:AX75"/>
    <mergeCell ref="AV74:AX74"/>
    <mergeCell ref="AM74:AO74"/>
    <mergeCell ref="AG74:AI74"/>
    <mergeCell ref="AB72:AC72"/>
    <mergeCell ref="AD72:AE72"/>
    <mergeCell ref="B74:B76"/>
    <mergeCell ref="C74:C76"/>
    <mergeCell ref="D74:D76"/>
    <mergeCell ref="E74:E76"/>
    <mergeCell ref="F74:F76"/>
    <mergeCell ref="S74:U74"/>
    <mergeCell ref="S58:U58"/>
    <mergeCell ref="V58:X58"/>
    <mergeCell ref="Y58:AA58"/>
    <mergeCell ref="M66:R66"/>
    <mergeCell ref="AJ75:AL75"/>
    <mergeCell ref="G74:G76"/>
    <mergeCell ref="H74:I74"/>
    <mergeCell ref="J74:L74"/>
    <mergeCell ref="M74:O74"/>
    <mergeCell ref="P74:R74"/>
    <mergeCell ref="AB58:AD58"/>
    <mergeCell ref="B64:AE64"/>
    <mergeCell ref="J56:L56"/>
    <mergeCell ref="M65:R65"/>
    <mergeCell ref="AB65:AC65"/>
    <mergeCell ref="AD65:AE65"/>
    <mergeCell ref="B58:I58"/>
    <mergeCell ref="J58:L58"/>
    <mergeCell ref="M58:O58"/>
    <mergeCell ref="P58:R58"/>
    <mergeCell ref="AB56:AD56"/>
    <mergeCell ref="B57:I57"/>
    <mergeCell ref="J57:L57"/>
    <mergeCell ref="M57:O57"/>
    <mergeCell ref="P57:R57"/>
    <mergeCell ref="S57:U57"/>
    <mergeCell ref="V57:X57"/>
    <mergeCell ref="Y57:AA57"/>
    <mergeCell ref="AB57:AD57"/>
    <mergeCell ref="P56:R56"/>
    <mergeCell ref="B29:B30"/>
    <mergeCell ref="B31:B34"/>
    <mergeCell ref="B35:B36"/>
    <mergeCell ref="B37:B40"/>
    <mergeCell ref="A14:A26"/>
    <mergeCell ref="B14:B16"/>
    <mergeCell ref="B17:B19"/>
    <mergeCell ref="B20:B26"/>
    <mergeCell ref="A27:A46"/>
    <mergeCell ref="B27:B28"/>
    <mergeCell ref="AJ11:AL11"/>
    <mergeCell ref="S56:U56"/>
    <mergeCell ref="V56:X56"/>
    <mergeCell ref="Y56:AA56"/>
    <mergeCell ref="M56:O56"/>
    <mergeCell ref="B41:B46"/>
    <mergeCell ref="B51:B54"/>
    <mergeCell ref="B55:I55"/>
    <mergeCell ref="B56:I56"/>
    <mergeCell ref="B47:B50"/>
    <mergeCell ref="AP11:AR11"/>
    <mergeCell ref="AB11:AD11"/>
    <mergeCell ref="AE11:AE13"/>
    <mergeCell ref="E11:E13"/>
    <mergeCell ref="AG12:AI12"/>
    <mergeCell ref="AJ12:AL12"/>
    <mergeCell ref="G11:G13"/>
    <mergeCell ref="F11:F13"/>
    <mergeCell ref="H11:I11"/>
    <mergeCell ref="AG11:AI11"/>
    <mergeCell ref="AP12:AR12"/>
    <mergeCell ref="AY12:BA12"/>
    <mergeCell ref="Y11:AA11"/>
    <mergeCell ref="AS12:AU12"/>
    <mergeCell ref="AV12:AX12"/>
    <mergeCell ref="Y12:AA12"/>
    <mergeCell ref="AB12:AD12"/>
    <mergeCell ref="AS11:AU11"/>
    <mergeCell ref="AV11:AX11"/>
    <mergeCell ref="AM11:AO11"/>
    <mergeCell ref="J12:L12"/>
    <mergeCell ref="M12:O12"/>
    <mergeCell ref="P12:R12"/>
    <mergeCell ref="S12:U12"/>
    <mergeCell ref="V12:X12"/>
    <mergeCell ref="AM12:AO12"/>
    <mergeCell ref="B1:AE1"/>
    <mergeCell ref="L2:R2"/>
    <mergeCell ref="AB2:AC2"/>
    <mergeCell ref="AD2:AE2"/>
    <mergeCell ref="AB3:AC4"/>
    <mergeCell ref="AB5:AC5"/>
    <mergeCell ref="A11:B13"/>
    <mergeCell ref="C11:C13"/>
    <mergeCell ref="D11:D13"/>
    <mergeCell ref="BD6:BE9"/>
    <mergeCell ref="V7:W7"/>
    <mergeCell ref="Z7:AA7"/>
    <mergeCell ref="V8:W8"/>
    <mergeCell ref="AB9:AC9"/>
    <mergeCell ref="AD9:AE9"/>
    <mergeCell ref="AY11:BA11"/>
  </mergeCells>
  <conditionalFormatting sqref="J135:J136">
    <cfRule type="cellIs" dxfId="0" priority="1" operator="greaterThan">
      <formula>0</formula>
    </cfRule>
  </conditionalFormatting>
  <conditionalFormatting sqref="J131:J132">
    <cfRule type="cellIs" dxfId="0" priority="2" operator="greaterThan">
      <formula>0</formula>
    </cfRule>
  </conditionalFormatting>
  <conditionalFormatting sqref="J127:J128">
    <cfRule type="cellIs" dxfId="0" priority="3" operator="greaterThan">
      <formula>0</formula>
    </cfRule>
  </conditionalFormatting>
  <printOptions gridLines="false" gridLinesSet="true" horizontalCentered="true"/>
  <pageMargins left="0" right="0" top="0.66929133858268" bottom="0.15748031496063" header="0.35433070866142" footer="0.15748031496063"/>
  <pageSetup paperSize="9" orientation="landscape" scale="43" fitToHeight="1" fitToWidth="1" pageOrder="downThenOver"/>
  <headerFooter differentOddEven="false" differentFirst="false" scaleWithDoc="true" alignWithMargins="true">
    <oddHeader>&amp;LPT. JATIM AUTOCOMP INDONESIA&amp;RS/R 26 Dec 2007</oddHeader>
    <oddFooter>&amp;LSIX MONTH PRODUCTION PLAN.xls&amp;R&amp;"Times New Roman,Regular"&amp;9&amp;P/&amp;N</oddFooter>
    <evenHeader>&amp;LPT. JATIM AUTOCOMP INDONESIA&amp;RS/R 26 Dec 2007</evenHeader>
    <evenFooter>&amp;LSIX MONTH PRODUCTION PLAN.xls&amp;R&amp;"Times New Roman,Regular"&amp;9&amp;P/&amp;N</evenFooter>
    <firstHeader/>
    <firstFooter/>
  </headerFooter>
  <rowBreaks count="2" manualBreakCount="2">
    <brk id="58" man="1"/>
    <brk id="115" man="1"/>
  </rowBreaks>
  <legacyDrawing r:id="rId_comments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M104"/>
  <sheetViews>
    <sheetView tabSelected="0" workbookViewId="0" showGridLines="true" showRowColHeaders="1">
      <pane xSplit="2" ySplit="7" topLeftCell="AM8" activePane="bottomRight" state="frozen"/>
      <selection pane="topRight"/>
      <selection pane="bottomLeft"/>
      <selection pane="bottomRight" activeCell="P47" sqref="P47:P50"/>
    </sheetView>
  </sheetViews>
  <sheetFormatPr customHeight="true" defaultRowHeight="12.75" outlineLevelRow="0" outlineLevelCol="0"/>
  <cols>
    <col min="2" max="2" width="21.1328125" customWidth="true" style="0"/>
    <col min="4" max="4" width="9.265625" hidden="true" customWidth="true" style="0"/>
    <col min="5" max="5" width="9.265625" hidden="true" customWidth="true" style="0"/>
    <col min="6" max="6" width="9.265625" hidden="true" customWidth="true" style="0"/>
    <col min="7" max="7" width="9.265625" hidden="true" customWidth="true" style="0"/>
    <col min="8" max="8" width="9.265625" hidden="true" customWidth="true" style="0"/>
    <col min="9" max="9" width="9.265625" hidden="true" customWidth="true" style="0"/>
    <col min="10" max="10" width="10.59765625" hidden="true" customWidth="true" style="0"/>
    <col min="11" max="11" width="10.86328125" hidden="true" customWidth="true" style="0"/>
    <col min="12" max="12" width="9.265625" hidden="true" customWidth="true" style="0"/>
    <col min="13" max="13" width="9.265625" customWidth="true" style="0"/>
    <col min="14" max="14" width="9.265625" customWidth="true" style="0"/>
    <col min="15" max="15" width="9.265625" customWidth="true" style="0"/>
    <col min="16" max="16" width="9.265625" customWidth="true" style="0"/>
    <col min="18" max="18" width="9.265625" customWidth="true" style="0"/>
    <col min="19" max="19" width="9.265625" customWidth="true" style="0"/>
    <col min="20" max="20" width="10.86328125" customWidth="true" style="0"/>
    <col min="21" max="21" width="9.265625" customWidth="true" style="0"/>
    <col min="22" max="22" width="9.265625" customWidth="true" style="0"/>
    <col min="23" max="23" width="9.265625" customWidth="true" style="0"/>
    <col min="24" max="24" width="9.265625" customWidth="true" style="0"/>
    <col min="25" max="25" width="10.86328125" customWidth="true" style="0"/>
    <col min="26" max="26" width="9.265625" customWidth="true" style="0"/>
    <col min="27" max="27" width="9.265625" customWidth="true" style="0"/>
    <col min="28" max="28" width="9.265625" customWidth="true" style="0"/>
    <col min="29" max="29" width="10.86328125" customWidth="true" style="0"/>
    <col min="30" max="30" width="9.265625" customWidth="true" style="0"/>
    <col min="31" max="31" width="9.265625" customWidth="true" style="0"/>
    <col min="32" max="32" width="9.265625" customWidth="true" style="0"/>
    <col min="33" max="33" width="9.265625" customWidth="true" style="0"/>
    <col min="34" max="34" width="9.265625" customWidth="true" style="0"/>
    <col min="35" max="35" width="9.265625" customWidth="true" style="0"/>
    <col min="36" max="36" width="9.265625" customWidth="true" style="0"/>
    <col min="37" max="37" width="9.265625" customWidth="true" style="0"/>
    <col min="38" max="38" width="10.86328125" customWidth="true" style="0"/>
    <col min="39" max="39" width="9.265625" customWidth="true" style="0"/>
    <col min="40" max="40" width="9.265625" customWidth="true" style="0"/>
    <col min="41" max="41" width="9.265625" customWidth="true" style="0"/>
    <col min="42" max="42" width="9.265625" customWidth="true" style="0"/>
    <col min="43" max="43" width="9.265625" customWidth="true" style="0"/>
    <col min="44" max="44" width="9.265625" customWidth="true" style="0"/>
    <col min="45" max="45" width="9.265625" customWidth="true" style="0"/>
    <col min="46" max="46" width="9.265625" customWidth="true" style="0"/>
    <col min="47" max="47" width="10.86328125" customWidth="true" style="0"/>
    <col min="48" max="48" width="9.265625" customWidth="true" style="0"/>
    <col min="49" max="49" width="9.265625" customWidth="true" style="0"/>
    <col min="50" max="50" width="9.265625" customWidth="true" style="0"/>
    <col min="51" max="51" width="9.265625" customWidth="true" style="0"/>
    <col min="52" max="52" width="9.265625" customWidth="true" style="0"/>
    <col min="53" max="53" width="9.265625" customWidth="true" style="0"/>
    <col min="54" max="54" width="9.265625" customWidth="true" style="0"/>
    <col min="55" max="55" width="9.265625" customWidth="true" style="0"/>
    <col min="56" max="56" width="10.86328125" customWidth="true" style="0"/>
    <col min="57" max="57" width="9.265625" customWidth="true" style="0"/>
  </cols>
  <sheetData>
    <row r="1" spans="1:65" customHeight="1" ht="15" s="517" customFormat="1">
      <c r="A1" s="513"/>
      <c r="B1" s="514"/>
      <c r="C1" s="515"/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516"/>
      <c r="P1" s="516"/>
      <c r="Q1" s="516"/>
      <c r="R1" s="516"/>
      <c r="S1" s="516"/>
      <c r="T1" s="516"/>
      <c r="U1" s="516"/>
      <c r="V1" s="516"/>
      <c r="W1" s="516"/>
      <c r="X1" s="516"/>
      <c r="Y1" s="516"/>
      <c r="Z1" s="516"/>
      <c r="AA1" s="516"/>
      <c r="AB1" s="516"/>
      <c r="AC1" s="516"/>
      <c r="AD1" s="516"/>
      <c r="AE1" s="516"/>
      <c r="AF1" s="516"/>
      <c r="AG1" s="516"/>
      <c r="AH1" s="516"/>
      <c r="AI1" s="516"/>
      <c r="AJ1" s="516"/>
      <c r="AK1" s="516"/>
      <c r="AL1" s="516"/>
      <c r="AM1" s="516"/>
      <c r="AN1" s="516"/>
      <c r="AO1" s="516"/>
      <c r="AP1" s="516"/>
      <c r="AQ1" s="516"/>
      <c r="AR1" s="516"/>
      <c r="AS1" s="516"/>
      <c r="AT1" s="516"/>
      <c r="AU1" s="516"/>
      <c r="AV1" s="516"/>
      <c r="AW1" s="516"/>
      <c r="AX1" s="516"/>
      <c r="AY1" s="516"/>
      <c r="AZ1" s="516"/>
      <c r="BA1" s="516"/>
      <c r="BB1" s="516"/>
      <c r="BC1" s="516"/>
      <c r="BD1" s="516"/>
      <c r="BE1" s="516"/>
    </row>
    <row r="2" spans="1:65" customHeight="1" ht="15" s="517" customFormat="1">
      <c r="A2" s="513"/>
      <c r="B2" s="514"/>
      <c r="C2" s="51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P2" s="465"/>
      <c r="Q2" s="465"/>
      <c r="R2" s="465"/>
      <c r="S2" s="465"/>
      <c r="T2" s="465"/>
      <c r="U2" s="465"/>
      <c r="V2" s="465"/>
      <c r="W2" s="465"/>
      <c r="X2" s="465"/>
      <c r="Y2" s="465"/>
      <c r="Z2" s="465"/>
      <c r="AA2" s="465"/>
      <c r="AB2" s="465"/>
      <c r="AC2" s="465"/>
      <c r="AD2" s="465"/>
      <c r="AE2" s="465"/>
      <c r="AF2" s="465"/>
      <c r="AG2" s="465"/>
      <c r="AH2" s="465"/>
      <c r="AI2" s="465"/>
      <c r="AJ2" s="465"/>
      <c r="AK2" s="465"/>
      <c r="AL2" s="465"/>
      <c r="AM2" s="465"/>
      <c r="AN2" s="465"/>
      <c r="AO2" s="465"/>
      <c r="AP2" s="465"/>
      <c r="AQ2" s="465"/>
      <c r="AR2" s="465"/>
      <c r="AS2" s="465"/>
      <c r="AT2" s="465"/>
      <c r="AU2" s="465"/>
      <c r="AV2" s="465"/>
      <c r="AW2" s="465"/>
      <c r="AX2" s="465"/>
      <c r="AY2" s="465"/>
      <c r="AZ2" s="465"/>
      <c r="BA2" s="465"/>
      <c r="BB2" s="465"/>
      <c r="BC2" s="465"/>
      <c r="BD2" s="465"/>
      <c r="BE2" s="465"/>
    </row>
    <row r="3" spans="1:65" customHeight="1" ht="15" s="517" customFormat="1">
      <c r="A3" s="518"/>
      <c r="B3" s="514"/>
      <c r="C3" s="515"/>
      <c r="D3" s="465">
        <v>4</v>
      </c>
      <c r="E3" s="465"/>
      <c r="F3" s="465"/>
      <c r="G3" s="465"/>
      <c r="H3" s="465"/>
      <c r="I3" s="465"/>
      <c r="J3" s="465"/>
      <c r="K3" s="465"/>
      <c r="L3" s="465"/>
      <c r="M3" s="465">
        <f>VLOOKUP(M$5,WEEK!A2:D13,4,0)</f>
        <v>5</v>
      </c>
      <c r="N3" s="465"/>
      <c r="O3" s="465"/>
      <c r="P3" s="465"/>
      <c r="Q3" s="465"/>
      <c r="R3" s="465"/>
      <c r="S3" s="465"/>
      <c r="T3" s="465"/>
      <c r="U3" s="465"/>
      <c r="V3" s="465">
        <f>VLOOKUP(V$5,WEEK!A2:D13,4,0)</f>
        <v>4</v>
      </c>
      <c r="W3" s="465"/>
      <c r="X3" s="465"/>
      <c r="Y3" s="465"/>
      <c r="Z3" s="465"/>
      <c r="AA3" s="465"/>
      <c r="AB3" s="465"/>
      <c r="AC3" s="465"/>
      <c r="AD3" s="465"/>
      <c r="AE3" s="465">
        <f>VLOOKUP(AE$5,WEEK!A2:D13,4,0)</f>
        <v>4</v>
      </c>
      <c r="AF3" s="465"/>
      <c r="AG3" s="465"/>
      <c r="AH3" s="465"/>
      <c r="AI3" s="465"/>
      <c r="AJ3" s="465"/>
      <c r="AK3" s="465"/>
      <c r="AL3" s="465"/>
      <c r="AM3" s="465"/>
      <c r="AN3" s="465">
        <f>VLOOKUP(AN$5,WEEK!$A$2:$D$13,4,0)</f>
        <v>5</v>
      </c>
      <c r="AO3" s="465"/>
      <c r="AP3" s="465"/>
      <c r="AQ3" s="465"/>
      <c r="AR3" s="465"/>
      <c r="AS3" s="465"/>
      <c r="AT3" s="465"/>
      <c r="AU3" s="465"/>
      <c r="AV3" s="465"/>
      <c r="AW3" s="465">
        <f>VLOOKUP(AW$5,WEEK!$A$2:$D$13,4,0)</f>
        <v>4</v>
      </c>
      <c r="AX3" s="465"/>
      <c r="AY3" s="465"/>
      <c r="AZ3" s="465"/>
      <c r="BA3" s="465"/>
      <c r="BB3" s="465"/>
      <c r="BC3" s="465"/>
      <c r="BD3" s="465"/>
      <c r="BE3" s="465"/>
    </row>
    <row r="4" spans="1:65" customHeight="1" ht="15.4" s="517" customFormat="1">
      <c r="A4" s="466" t="s">
        <v>332</v>
      </c>
      <c r="B4" s="690">
        <f>NOW()</f>
        <v>46195.104560185</v>
      </c>
      <c r="C4" s="519"/>
      <c r="D4" s="520" t="s">
        <v>333</v>
      </c>
      <c r="E4" s="520"/>
      <c r="F4" s="520"/>
      <c r="G4" s="520"/>
      <c r="H4" s="520"/>
      <c r="I4" s="520"/>
      <c r="J4" s="520"/>
      <c r="K4" s="520"/>
      <c r="L4" s="520"/>
      <c r="M4" s="520" t="s">
        <v>334</v>
      </c>
      <c r="N4" s="520"/>
      <c r="O4" s="520"/>
      <c r="P4" s="520"/>
      <c r="Q4" s="520"/>
      <c r="R4" s="520"/>
      <c r="S4" s="520"/>
      <c r="T4" s="520"/>
      <c r="U4" s="520"/>
      <c r="V4" s="520" t="s">
        <v>335</v>
      </c>
      <c r="W4" s="520"/>
      <c r="X4" s="520"/>
      <c r="Y4" s="520"/>
      <c r="Z4" s="520"/>
      <c r="AA4" s="520"/>
      <c r="AB4" s="520"/>
      <c r="AC4" s="520"/>
      <c r="AD4" s="520"/>
      <c r="AE4" s="520" t="s">
        <v>336</v>
      </c>
      <c r="AF4" s="520"/>
      <c r="AG4" s="520"/>
      <c r="AH4" s="520"/>
      <c r="AI4" s="520"/>
      <c r="AJ4" s="520"/>
      <c r="AK4" s="520"/>
      <c r="AL4" s="520"/>
      <c r="AM4" s="520"/>
      <c r="AN4" s="520" t="s">
        <v>336</v>
      </c>
      <c r="AO4" s="520"/>
      <c r="AP4" s="520"/>
      <c r="AQ4" s="520"/>
      <c r="AR4" s="520"/>
      <c r="AS4" s="520"/>
      <c r="AT4" s="520"/>
      <c r="AU4" s="520"/>
      <c r="AV4" s="520"/>
      <c r="AW4" s="520" t="s">
        <v>336</v>
      </c>
      <c r="AX4" s="520"/>
      <c r="AY4" s="520"/>
      <c r="AZ4" s="520"/>
      <c r="BA4" s="520"/>
      <c r="BB4" s="520"/>
      <c r="BC4" s="520"/>
      <c r="BD4" s="520"/>
      <c r="BE4" s="520"/>
    </row>
    <row r="5" spans="1:65" customHeight="1" ht="14.25" s="521" customFormat="1">
      <c r="A5" s="1289" t="s">
        <v>8</v>
      </c>
      <c r="B5" s="1289" t="s">
        <v>9</v>
      </c>
      <c r="C5" s="1291" t="s">
        <v>10</v>
      </c>
      <c r="D5" s="1281" t="str">
        <f>+GUM!L11</f>
        <v>MAR</v>
      </c>
      <c r="E5" s="1276"/>
      <c r="F5" s="1276"/>
      <c r="G5" s="1276"/>
      <c r="H5" s="1276"/>
      <c r="I5" s="1276"/>
      <c r="J5" s="1276"/>
      <c r="K5" s="1276"/>
      <c r="L5" s="1276"/>
      <c r="M5" s="1275" t="str">
        <f>+GUM!O11</f>
        <v>APR</v>
      </c>
      <c r="N5" s="1276"/>
      <c r="O5" s="1276"/>
      <c r="P5" s="1276"/>
      <c r="Q5" s="1276"/>
      <c r="R5" s="1276"/>
      <c r="S5" s="1276"/>
      <c r="T5" s="1276"/>
      <c r="U5" s="1277"/>
      <c r="V5" s="1275" t="str">
        <f>+GUM!R11</f>
        <v>MAY</v>
      </c>
      <c r="W5" s="1276"/>
      <c r="X5" s="1276"/>
      <c r="Y5" s="1276"/>
      <c r="Z5" s="1276"/>
      <c r="AA5" s="1276"/>
      <c r="AB5" s="1276"/>
      <c r="AC5" s="1276"/>
      <c r="AD5" s="1277"/>
      <c r="AE5" s="1275" t="str">
        <f>+GUM!U11</f>
        <v>JUN</v>
      </c>
      <c r="AF5" s="1276"/>
      <c r="AG5" s="1276"/>
      <c r="AH5" s="1276"/>
      <c r="AI5" s="1276"/>
      <c r="AJ5" s="1276"/>
      <c r="AK5" s="1276"/>
      <c r="AL5" s="1276"/>
      <c r="AM5" s="1277"/>
      <c r="AN5" s="1275" t="str">
        <f>+GUM!X11</f>
        <v>JUL</v>
      </c>
      <c r="AO5" s="1276"/>
      <c r="AP5" s="1276"/>
      <c r="AQ5" s="1276"/>
      <c r="AR5" s="1276"/>
      <c r="AS5" s="1276"/>
      <c r="AT5" s="1276"/>
      <c r="AU5" s="1276"/>
      <c r="AV5" s="1277"/>
      <c r="AW5" s="1275" t="str">
        <f>+GUM!AA11</f>
        <v>AUG</v>
      </c>
      <c r="AX5" s="1276"/>
      <c r="AY5" s="1276"/>
      <c r="AZ5" s="1276"/>
      <c r="BA5" s="1276"/>
      <c r="BB5" s="1276"/>
      <c r="BC5" s="1276"/>
      <c r="BD5" s="1276"/>
      <c r="BE5" s="1277"/>
    </row>
    <row r="6" spans="1:65" customHeight="1" ht="14.25" s="521" customFormat="1">
      <c r="A6" s="1289"/>
      <c r="B6" s="1289"/>
      <c r="C6" s="1291"/>
      <c r="D6" s="1282"/>
      <c r="E6" s="1279"/>
      <c r="F6" s="1279"/>
      <c r="G6" s="1279"/>
      <c r="H6" s="1279"/>
      <c r="I6" s="1279"/>
      <c r="J6" s="1279"/>
      <c r="K6" s="1279"/>
      <c r="L6" s="1279"/>
      <c r="M6" s="1278"/>
      <c r="N6" s="1279"/>
      <c r="O6" s="1279"/>
      <c r="P6" s="1279"/>
      <c r="Q6" s="1279"/>
      <c r="R6" s="1279"/>
      <c r="S6" s="1279"/>
      <c r="T6" s="1279"/>
      <c r="U6" s="1280"/>
      <c r="V6" s="1278"/>
      <c r="W6" s="1279"/>
      <c r="X6" s="1279"/>
      <c r="Y6" s="1279"/>
      <c r="Z6" s="1279"/>
      <c r="AA6" s="1279"/>
      <c r="AB6" s="1279"/>
      <c r="AC6" s="1279"/>
      <c r="AD6" s="1280"/>
      <c r="AE6" s="1278"/>
      <c r="AF6" s="1279"/>
      <c r="AG6" s="1279"/>
      <c r="AH6" s="1279"/>
      <c r="AI6" s="1279"/>
      <c r="AJ6" s="1279"/>
      <c r="AK6" s="1279"/>
      <c r="AL6" s="1279"/>
      <c r="AM6" s="1280"/>
      <c r="AN6" s="1278"/>
      <c r="AO6" s="1279"/>
      <c r="AP6" s="1279"/>
      <c r="AQ6" s="1279"/>
      <c r="AR6" s="1279"/>
      <c r="AS6" s="1279"/>
      <c r="AT6" s="1279"/>
      <c r="AU6" s="1279"/>
      <c r="AV6" s="1280"/>
      <c r="AW6" s="1278"/>
      <c r="AX6" s="1279"/>
      <c r="AY6" s="1279"/>
      <c r="AZ6" s="1279"/>
      <c r="BA6" s="1279"/>
      <c r="BB6" s="1279"/>
      <c r="BC6" s="1279"/>
      <c r="BD6" s="1279"/>
      <c r="BE6" s="1280"/>
    </row>
    <row r="7" spans="1:65" customHeight="1" ht="15.75" s="521" customFormat="1">
      <c r="A7" s="1290"/>
      <c r="B7" s="1290"/>
      <c r="C7" s="1292"/>
      <c r="D7" s="506">
        <v>1</v>
      </c>
      <c r="E7" s="507">
        <v>2</v>
      </c>
      <c r="F7" s="507">
        <v>3</v>
      </c>
      <c r="G7" s="507">
        <v>4</v>
      </c>
      <c r="H7" s="507">
        <v>5</v>
      </c>
      <c r="I7" s="508" t="s">
        <v>337</v>
      </c>
      <c r="J7" s="508" t="s">
        <v>338</v>
      </c>
      <c r="K7" s="508" t="s">
        <v>22</v>
      </c>
      <c r="L7" s="522" t="s">
        <v>339</v>
      </c>
      <c r="M7" s="506">
        <v>1</v>
      </c>
      <c r="N7" s="551">
        <v>2</v>
      </c>
      <c r="O7" s="507">
        <v>3</v>
      </c>
      <c r="P7" s="507">
        <v>4</v>
      </c>
      <c r="Q7" s="507">
        <v>5</v>
      </c>
      <c r="R7" s="508" t="s">
        <v>337</v>
      </c>
      <c r="S7" s="508" t="s">
        <v>338</v>
      </c>
      <c r="T7" s="508" t="s">
        <v>22</v>
      </c>
      <c r="U7" s="523" t="s">
        <v>339</v>
      </c>
      <c r="V7" s="506">
        <v>1</v>
      </c>
      <c r="W7" s="507">
        <v>2</v>
      </c>
      <c r="X7" s="507">
        <v>3</v>
      </c>
      <c r="Y7" s="507">
        <v>4</v>
      </c>
      <c r="Z7" s="507">
        <v>5</v>
      </c>
      <c r="AA7" s="508" t="s">
        <v>337</v>
      </c>
      <c r="AB7" s="508" t="s">
        <v>338</v>
      </c>
      <c r="AC7" s="508" t="s">
        <v>22</v>
      </c>
      <c r="AD7" s="523" t="s">
        <v>339</v>
      </c>
      <c r="AE7" s="506">
        <v>1</v>
      </c>
      <c r="AF7" s="507">
        <v>2</v>
      </c>
      <c r="AG7" s="507">
        <v>3</v>
      </c>
      <c r="AH7" s="507">
        <v>4</v>
      </c>
      <c r="AI7" s="507">
        <v>5</v>
      </c>
      <c r="AJ7" s="508" t="s">
        <v>337</v>
      </c>
      <c r="AK7" s="508" t="s">
        <v>338</v>
      </c>
      <c r="AL7" s="508" t="s">
        <v>22</v>
      </c>
      <c r="AM7" s="523" t="s">
        <v>339</v>
      </c>
      <c r="AN7" s="506">
        <v>1</v>
      </c>
      <c r="AO7" s="507">
        <v>2</v>
      </c>
      <c r="AP7" s="507">
        <v>3</v>
      </c>
      <c r="AQ7" s="1007">
        <v>4</v>
      </c>
      <c r="AR7" s="507">
        <v>5</v>
      </c>
      <c r="AS7" s="508" t="s">
        <v>337</v>
      </c>
      <c r="AT7" s="508" t="s">
        <v>338</v>
      </c>
      <c r="AU7" s="508" t="s">
        <v>22</v>
      </c>
      <c r="AV7" s="523" t="s">
        <v>339</v>
      </c>
      <c r="AW7" s="506">
        <v>1</v>
      </c>
      <c r="AX7" s="507">
        <v>2</v>
      </c>
      <c r="AY7" s="1007">
        <v>3</v>
      </c>
      <c r="AZ7" s="1007">
        <v>4</v>
      </c>
      <c r="BA7" s="507">
        <v>5</v>
      </c>
      <c r="BB7" s="508" t="s">
        <v>337</v>
      </c>
      <c r="BC7" s="508" t="s">
        <v>338</v>
      </c>
      <c r="BD7" s="508" t="s">
        <v>22</v>
      </c>
      <c r="BE7" s="523" t="s">
        <v>339</v>
      </c>
    </row>
    <row r="8" spans="1:65" customHeight="1" ht="15.75" hidden="true" s="517" customFormat="1">
      <c r="A8" s="1283" t="str">
        <f>GUM!A14</f>
        <v> LHD HEV</v>
      </c>
      <c r="B8" s="890" t="str">
        <f>+GUM!C14</f>
        <v>82115-0E470</v>
      </c>
      <c r="C8" s="735" t="str">
        <f>GUM!D14</f>
        <v>H 0001</v>
      </c>
      <c r="D8" s="736">
        <v>0.0</v>
      </c>
      <c r="E8" s="737">
        <v>0.0</v>
      </c>
      <c r="F8" s="737">
        <v>0.0</v>
      </c>
      <c r="G8" s="737">
        <v>0.0</v>
      </c>
      <c r="H8" s="737">
        <v>0.0</v>
      </c>
      <c r="I8" s="737">
        <f>SUM(D8:H8)</f>
        <v>0</v>
      </c>
      <c r="J8" s="737">
        <v>0.0</v>
      </c>
      <c r="K8" s="737">
        <v>0.0</v>
      </c>
      <c r="L8" s="738"/>
      <c r="M8" s="719"/>
      <c r="N8" s="1002"/>
      <c r="O8" s="718"/>
      <c r="P8" s="718"/>
      <c r="Q8" s="718"/>
      <c r="R8" s="737">
        <f>SUM(M8:M8)</f>
        <v>0</v>
      </c>
      <c r="S8" s="737">
        <f>+VLOOKUP($B8,GUM!C14:AD46,15,0)</f>
        <v>0</v>
      </c>
      <c r="T8" s="737">
        <f>ROUNDUP((S8-R8)/$M$3,0)</f>
        <v>0</v>
      </c>
      <c r="U8" s="739"/>
      <c r="V8" s="719"/>
      <c r="W8" s="717"/>
      <c r="X8" s="717"/>
      <c r="Y8" s="717"/>
      <c r="Z8" s="717"/>
      <c r="AA8" s="737">
        <f>SUM(V8:V8)</f>
        <v>0</v>
      </c>
      <c r="AB8" s="737">
        <f>+VLOOKUP($B8,GUM!C14:AC46,18,0)</f>
        <v>0</v>
      </c>
      <c r="AC8" s="737">
        <f>ROUNDUP((AB8-AA8)/$V$3,0)</f>
        <v>0</v>
      </c>
      <c r="AD8" s="739"/>
      <c r="AE8" s="740"/>
      <c r="AF8" s="737"/>
      <c r="AG8" s="737"/>
      <c r="AH8" s="737"/>
      <c r="AI8" s="737"/>
      <c r="AJ8" s="737">
        <f>SUM(AE8:AE8)</f>
        <v>0</v>
      </c>
      <c r="AK8" s="737">
        <f>+VLOOKUP($B8,GUM!C14:AD46,21,0)</f>
        <v>0</v>
      </c>
      <c r="AL8" s="737" t="e">
        <f>ROUNDUP((AK8-AJ8)/$AE$3,)</f>
        <v>#VALUE!</v>
      </c>
      <c r="AM8" s="739"/>
      <c r="AN8" s="740"/>
      <c r="AO8" s="737"/>
      <c r="AP8" s="737"/>
      <c r="AQ8" s="738"/>
      <c r="AR8" s="737"/>
      <c r="AS8" s="737">
        <f>SUM(AN8:AN8)</f>
        <v>0</v>
      </c>
      <c r="AT8" s="737">
        <f>+VLOOKUP($B8,GUM!C14:AD46,24,0)</f>
        <v>0</v>
      </c>
      <c r="AU8" s="737" t="e">
        <f>ROUNDUP((AT8-AS8)/$AE$3,)</f>
        <v>#VALUE!</v>
      </c>
      <c r="AV8" s="739"/>
      <c r="AW8" s="740">
        <f>+AN8</f>
        <v/>
      </c>
      <c r="AX8" s="737">
        <f>+AO8</f>
        <v/>
      </c>
      <c r="AY8" s="738">
        <f>+AP8</f>
        <v/>
      </c>
      <c r="AZ8" s="738">
        <f>+AQ8</f>
        <v/>
      </c>
      <c r="BA8" s="737">
        <f>+AR8</f>
        <v/>
      </c>
      <c r="BB8" s="737">
        <f>SUM(AW8:AW8)</f>
        <v>0</v>
      </c>
      <c r="BC8" s="737">
        <f>+VLOOKUP($B8,GUM!C14:AD46,27,0)</f>
        <v>0</v>
      </c>
      <c r="BD8" s="737" t="e">
        <f>ROUNDUP((BC8-BB8)/$AE$3,)</f>
        <v>#VALUE!</v>
      </c>
      <c r="BE8" s="739"/>
    </row>
    <row r="9" spans="1:65" customHeight="1" ht="15.75" hidden="true" s="517" customFormat="1">
      <c r="A9" s="1284"/>
      <c r="B9" s="891" t="str">
        <f>+GUM!C15</f>
        <v>82115-0E480 G</v>
      </c>
      <c r="C9" s="724" t="str">
        <f>GUM!D15</f>
        <v>G 0101</v>
      </c>
      <c r="D9" s="563" t="e">
        <f>+VLOOKUP($B9,#REF!,3,0)</f>
        <v>#REF!</v>
      </c>
      <c r="E9" s="564" t="e">
        <f>+VLOOKUP($B9,#REF!,4,0)</f>
        <v>#REF!</v>
      </c>
      <c r="F9" s="564" t="e">
        <f>+VLOOKUP($B9,#REF!,5,0)</f>
        <v>#REF!</v>
      </c>
      <c r="G9" s="564" t="e">
        <f>+VLOOKUP($B9,#REF!,6,0)</f>
        <v>#REF!</v>
      </c>
      <c r="H9" s="564"/>
      <c r="I9" s="564" t="e">
        <f>SUM(D9:H9)</f>
        <v>#REF!</v>
      </c>
      <c r="J9" s="564">
        <f>+VLOOKUP($B9,GUM!C14:AD69,12,0)</f>
        <v>0</v>
      </c>
      <c r="K9" s="564" t="e">
        <f>ROUNDUP((J9-I9)/$D$3,0)</f>
        <v>#REF!</v>
      </c>
      <c r="L9" s="565"/>
      <c r="M9" s="1006"/>
      <c r="N9" s="1003"/>
      <c r="O9" s="542"/>
      <c r="P9" s="542"/>
      <c r="Q9" s="542"/>
      <c r="R9" s="564">
        <f>SUM(M9:M9)</f>
        <v>0</v>
      </c>
      <c r="S9" s="564">
        <f>+VLOOKUP($B9,GUM!C15:AD47,15,0)</f>
        <v>0</v>
      </c>
      <c r="T9" s="564">
        <f>ROUNDUP((S9-R9)/$M$3,0)</f>
        <v>0</v>
      </c>
      <c r="U9" s="569"/>
      <c r="V9" s="568"/>
      <c r="W9" s="566"/>
      <c r="X9" s="566"/>
      <c r="Y9" s="566"/>
      <c r="Z9" s="566"/>
      <c r="AA9" s="564">
        <f>SUM(V9:V9)</f>
        <v>0</v>
      </c>
      <c r="AB9" s="564">
        <f>+VLOOKUP($B9,GUM!C15:AC47,18,0)</f>
        <v>0</v>
      </c>
      <c r="AC9" s="564">
        <f>ROUNDUP((AB9-AA9)/$V$3,0)</f>
        <v>0</v>
      </c>
      <c r="AD9" s="569"/>
      <c r="AE9" s="570"/>
      <c r="AF9" s="564"/>
      <c r="AG9" s="564"/>
      <c r="AH9" s="564"/>
      <c r="AI9" s="564"/>
      <c r="AJ9" s="564">
        <f>SUM(AE9:AE9)</f>
        <v>0</v>
      </c>
      <c r="AK9" s="564">
        <f>+VLOOKUP($B9,GUM!C15:AD47,21,0)</f>
        <v>0</v>
      </c>
      <c r="AL9" s="564" t="e">
        <f>ROUNDUP((AK9-AJ9)/$AE$3,)</f>
        <v>#VALUE!</v>
      </c>
      <c r="AM9" s="569"/>
      <c r="AN9" s="570"/>
      <c r="AO9" s="564"/>
      <c r="AP9" s="564"/>
      <c r="AQ9" s="565"/>
      <c r="AR9" s="564"/>
      <c r="AS9" s="564">
        <f>SUM(AN9:AN9)</f>
        <v>0</v>
      </c>
      <c r="AT9" s="564">
        <f>+VLOOKUP($B9,GUM!C15:AD47,24,0)</f>
        <v>0</v>
      </c>
      <c r="AU9" s="564" t="e">
        <f>ROUNDUP((AT9-AS9)/$AE$3,)</f>
        <v>#VALUE!</v>
      </c>
      <c r="AV9" s="569"/>
      <c r="AW9" s="570"/>
      <c r="AX9" s="564"/>
      <c r="AY9" s="565"/>
      <c r="AZ9" s="565"/>
      <c r="BA9" s="564"/>
      <c r="BB9" s="564">
        <f>SUM(AW9:AW9)</f>
        <v>0</v>
      </c>
      <c r="BC9" s="564">
        <f>+VLOOKUP($B9,GUM!C15:AD47,27,0)</f>
        <v>0</v>
      </c>
      <c r="BD9" s="564" t="e">
        <f>ROUNDUP((BC9-BB9)/$AE$3,)</f>
        <v>#VALUE!</v>
      </c>
      <c r="BE9" s="569"/>
    </row>
    <row r="10" spans="1:65" customHeight="1" ht="15" hidden="true" s="529" customFormat="1">
      <c r="A10" s="1284"/>
      <c r="B10" s="969" t="str">
        <f>+GUM!C16</f>
        <v>82115-0E490 H</v>
      </c>
      <c r="C10" s="970" t="str">
        <f>GUM!D16</f>
        <v>H 0001</v>
      </c>
      <c r="D10" s="971" t="e">
        <f>+VLOOKUP($B10,#REF!,3,0)</f>
        <v>#REF!</v>
      </c>
      <c r="E10" s="972" t="e">
        <f>+VLOOKUP($B10,#REF!,4,0)</f>
        <v>#REF!</v>
      </c>
      <c r="F10" s="972" t="e">
        <f>+VLOOKUP($B10,#REF!,5,0)</f>
        <v>#REF!</v>
      </c>
      <c r="G10" s="972" t="e">
        <f>+VLOOKUP($B10,#REF!,6,0)</f>
        <v>#REF!</v>
      </c>
      <c r="H10" s="972"/>
      <c r="I10" s="972" t="e">
        <f>SUM(D10:H10)</f>
        <v>#REF!</v>
      </c>
      <c r="J10" s="972">
        <f>+VLOOKUP($B10,GUM!C15:AD98,12,0)</f>
        <v>0</v>
      </c>
      <c r="K10" s="972" t="e">
        <f>ROUNDUP((J10-I10)/$D$3,0)</f>
        <v>#REF!</v>
      </c>
      <c r="L10" s="973"/>
      <c r="M10" s="975">
        <v>0.0</v>
      </c>
      <c r="N10" s="971">
        <v>0.0</v>
      </c>
      <c r="O10" s="972">
        <v>0.0</v>
      </c>
      <c r="P10" s="972">
        <v>0.0</v>
      </c>
      <c r="Q10" s="973"/>
      <c r="R10" s="972">
        <f>SUM(M10:M10)</f>
        <v>0</v>
      </c>
      <c r="S10" s="972">
        <f>+VLOOKUP($B10,GUM!C16:AD48,15,0)</f>
        <v>0</v>
      </c>
      <c r="T10" s="972">
        <f>ROUNDUP((S10-R10)/$M$3,0)</f>
        <v>0</v>
      </c>
      <c r="U10" s="974"/>
      <c r="V10" s="1001">
        <v>0.0</v>
      </c>
      <c r="W10" s="972">
        <v>0.0</v>
      </c>
      <c r="X10" s="972">
        <v>0.0</v>
      </c>
      <c r="Y10" s="972">
        <v>0.0</v>
      </c>
      <c r="Z10" s="972"/>
      <c r="AA10" s="972">
        <f>SUM(V10:V10)</f>
        <v>0</v>
      </c>
      <c r="AB10" s="972">
        <f>+VLOOKUP($B10,GUM!C16:AC48,18,0)</f>
        <v>0</v>
      </c>
      <c r="AC10" s="972">
        <f>ROUNDUP((AB10-AA10)/$V$3,0)</f>
        <v>0</v>
      </c>
      <c r="AD10" s="974"/>
      <c r="AE10" s="975">
        <v>0.0</v>
      </c>
      <c r="AF10" s="971">
        <v>0.0</v>
      </c>
      <c r="AG10" s="971">
        <v>0.0</v>
      </c>
      <c r="AH10" s="972">
        <v>0.0</v>
      </c>
      <c r="AI10" s="972"/>
      <c r="AJ10" s="972">
        <f>SUM(AE10:AE10)</f>
        <v>0</v>
      </c>
      <c r="AK10" s="972">
        <f>+VLOOKUP($B10,GUM!C16:AD48,21,0)</f>
        <v>0</v>
      </c>
      <c r="AL10" s="972" t="e">
        <f>ROUNDUP((AK10-AJ10)/$AE$3,)</f>
        <v>#VALUE!</v>
      </c>
      <c r="AM10" s="974"/>
      <c r="AN10" s="972">
        <v>0.0</v>
      </c>
      <c r="AO10" s="972">
        <v>0.0</v>
      </c>
      <c r="AP10" s="973">
        <v>0.0</v>
      </c>
      <c r="AQ10" s="973">
        <v>0.0</v>
      </c>
      <c r="AR10" s="972"/>
      <c r="AS10" s="972">
        <f>SUM(AN10:AN10)</f>
        <v>0</v>
      </c>
      <c r="AT10" s="972">
        <f>+VLOOKUP($B10,GUM!C16:AD48,24,0)</f>
        <v>0</v>
      </c>
      <c r="AU10" s="972" t="e">
        <f>ROUNDUP((AT10-AS10)/$AE$3,)</f>
        <v>#VALUE!</v>
      </c>
      <c r="AV10" s="974"/>
      <c r="AW10" s="971">
        <v>0.0</v>
      </c>
      <c r="AX10" s="972">
        <v>0.0</v>
      </c>
      <c r="AY10" s="973">
        <v>0.0</v>
      </c>
      <c r="AZ10" s="973">
        <v>0.0</v>
      </c>
      <c r="BA10" s="972"/>
      <c r="BB10" s="972">
        <f>SUM(AW10:AW10)</f>
        <v>0</v>
      </c>
      <c r="BC10" s="972">
        <f>+VLOOKUP($B10,GUM!C16:AD48,27,0)</f>
        <v>0</v>
      </c>
      <c r="BD10" s="972" t="e">
        <f>ROUNDUP((BC10-BB10)/$AE$3,)</f>
        <v>#VALUE!</v>
      </c>
      <c r="BE10" s="974"/>
    </row>
    <row r="11" spans="1:65" customHeight="1" ht="18" hidden="true" s="529" customFormat="1">
      <c r="A11" s="1284"/>
      <c r="B11" s="976" t="str">
        <f>+GUM!C17</f>
        <v>82115-0EA10 H</v>
      </c>
      <c r="C11" s="977" t="str">
        <f>GUM!D17</f>
        <v>H 0001</v>
      </c>
      <c r="D11" s="978" t="e">
        <f>+VLOOKUP($B11,#REF!,3,0)</f>
        <v>#REF!</v>
      </c>
      <c r="E11" s="979" t="e">
        <f>+VLOOKUP($B11,#REF!,4,0)</f>
        <v>#REF!</v>
      </c>
      <c r="F11" s="979" t="e">
        <f>+VLOOKUP($B11,#REF!,5,0)</f>
        <v>#REF!</v>
      </c>
      <c r="G11" s="979" t="e">
        <f>+VLOOKUP($B11,#REF!,6,0)</f>
        <v>#REF!</v>
      </c>
      <c r="H11" s="979"/>
      <c r="I11" s="979" t="e">
        <f>SUM(D11:H11)</f>
        <v>#REF!</v>
      </c>
      <c r="J11" s="979">
        <f>+VLOOKUP($B11,GUM!C16:AD99,12,0)</f>
        <v>0</v>
      </c>
      <c r="K11" s="979" t="e">
        <f>ROUNDUP((J11-I11)/$D$3,0)</f>
        <v>#REF!</v>
      </c>
      <c r="L11" s="980"/>
      <c r="M11" s="982">
        <v>0.0</v>
      </c>
      <c r="N11" s="978">
        <v>0.0</v>
      </c>
      <c r="O11" s="979">
        <v>0.0</v>
      </c>
      <c r="P11" s="979">
        <v>0.0</v>
      </c>
      <c r="Q11" s="980"/>
      <c r="R11" s="979">
        <f>SUM(M11:M11)</f>
        <v>0</v>
      </c>
      <c r="S11" s="979">
        <f>+VLOOKUP($B11,GUM!C17:AD49,15,0)</f>
        <v>0</v>
      </c>
      <c r="T11" s="979">
        <f>ROUNDUP((S11-R11)/$M$3,0)</f>
        <v>0</v>
      </c>
      <c r="U11" s="981"/>
      <c r="V11" s="979">
        <v>0.0</v>
      </c>
      <c r="W11" s="979">
        <v>0.0</v>
      </c>
      <c r="X11" s="979">
        <v>0.0</v>
      </c>
      <c r="Y11" s="979">
        <v>0.0</v>
      </c>
      <c r="Z11" s="979"/>
      <c r="AA11" s="979">
        <f>SUM(V11:V11)</f>
        <v>0</v>
      </c>
      <c r="AB11" s="979">
        <f>+VLOOKUP($B11,GUM!C17:AC49,18,0)</f>
        <v>0</v>
      </c>
      <c r="AC11" s="979">
        <f>ROUNDUP((AB11-AA11)/$V$3,0)</f>
        <v>0</v>
      </c>
      <c r="AD11" s="981"/>
      <c r="AE11" s="982">
        <v>0.0</v>
      </c>
      <c r="AF11" s="978">
        <v>0.0</v>
      </c>
      <c r="AG11" s="978">
        <v>0.0</v>
      </c>
      <c r="AH11" s="979">
        <v>0.0</v>
      </c>
      <c r="AI11" s="979"/>
      <c r="AJ11" s="979">
        <f>SUM(AE11:AE11)</f>
        <v>0</v>
      </c>
      <c r="AK11" s="979">
        <f>+VLOOKUP($B11,GUM!C17:AD49,21,0)</f>
        <v>0</v>
      </c>
      <c r="AL11" s="979" t="e">
        <f>ROUNDUP((AK11-AJ11)/$AE$3,)</f>
        <v>#VALUE!</v>
      </c>
      <c r="AM11" s="981"/>
      <c r="AN11" s="979">
        <v>0.0</v>
      </c>
      <c r="AO11" s="979">
        <v>0.0</v>
      </c>
      <c r="AP11" s="980">
        <v>0.0</v>
      </c>
      <c r="AQ11" s="980">
        <v>0.0</v>
      </c>
      <c r="AR11" s="972"/>
      <c r="AS11" s="979">
        <f>SUM(AN11:AN11)</f>
        <v>0</v>
      </c>
      <c r="AT11" s="979">
        <f>+VLOOKUP($B11,GUM!C17:AD49,24,0)</f>
        <v>0</v>
      </c>
      <c r="AU11" s="979" t="e">
        <f>ROUNDUP((AT11-AS11)/$AE$3,)</f>
        <v>#VALUE!</v>
      </c>
      <c r="AV11" s="981"/>
      <c r="AW11" s="971">
        <v>0.0</v>
      </c>
      <c r="AX11" s="972">
        <v>0.0</v>
      </c>
      <c r="AY11" s="973">
        <v>0.0</v>
      </c>
      <c r="AZ11" s="980">
        <v>0.0</v>
      </c>
      <c r="BA11" s="972"/>
      <c r="BB11" s="979">
        <f>SUM(AW11:AW11)</f>
        <v>0</v>
      </c>
      <c r="BC11" s="979">
        <f>+VLOOKUP($B11,GUM!C17:AD49,27,0)</f>
        <v>0</v>
      </c>
      <c r="BD11" s="979" t="e">
        <f>ROUNDUP((BC11-BB11)/$AE$3,)</f>
        <v>#VALUE!</v>
      </c>
      <c r="BE11" s="981"/>
    </row>
    <row r="12" spans="1:65" customHeight="1" ht="15" hidden="true" s="530" customFormat="1">
      <c r="A12" s="1284"/>
      <c r="B12" s="983" t="str">
        <f>+GUM!C18</f>
        <v>82115-0E480</v>
      </c>
      <c r="C12" s="984" t="str">
        <f>GUM!D18</f>
        <v>J 0101</v>
      </c>
      <c r="D12" s="985" t="e">
        <f>+VLOOKUP($B12,#REF!,3,0)</f>
        <v>#REF!</v>
      </c>
      <c r="E12" s="986" t="e">
        <f>+VLOOKUP($B12,#REF!,4,0)</f>
        <v>#REF!</v>
      </c>
      <c r="F12" s="986" t="e">
        <f>+VLOOKUP($B12,#REF!,5,0)</f>
        <v>#REF!</v>
      </c>
      <c r="G12" s="986" t="e">
        <f>+VLOOKUP($B12,#REF!,6,0)</f>
        <v>#REF!</v>
      </c>
      <c r="H12" s="986"/>
      <c r="I12" s="986" t="e">
        <f>SUM(D12:H12)</f>
        <v>#REF!</v>
      </c>
      <c r="J12" s="986">
        <f>+VLOOKUP($B12,GUM!C15:AD98,12,0)</f>
        <v>0</v>
      </c>
      <c r="K12" s="986" t="e">
        <f>ROUNDUP((J12-I12)/$D$3,0)</f>
        <v>#REF!</v>
      </c>
      <c r="L12" s="987"/>
      <c r="M12" s="989">
        <v>0.0</v>
      </c>
      <c r="N12" s="985">
        <v>0.0</v>
      </c>
      <c r="O12" s="986">
        <v>0.0</v>
      </c>
      <c r="P12" s="986">
        <v>0.0</v>
      </c>
      <c r="Q12" s="987"/>
      <c r="R12" s="986">
        <f>SUM(M12:M12)</f>
        <v>0</v>
      </c>
      <c r="S12" s="986">
        <f>+VLOOKUP($B12,GUM!C18:AD50,15,0)</f>
        <v>0</v>
      </c>
      <c r="T12" s="986">
        <f>ROUNDUP((S12-R12)/$M$3,0)</f>
        <v>0</v>
      </c>
      <c r="U12" s="988"/>
      <c r="V12" s="986">
        <v>0.0</v>
      </c>
      <c r="W12" s="986">
        <v>0.0</v>
      </c>
      <c r="X12" s="986">
        <v>0.0</v>
      </c>
      <c r="Y12" s="986">
        <v>0.0</v>
      </c>
      <c r="Z12" s="986"/>
      <c r="AA12" s="986">
        <f>SUM(V12:V12)</f>
        <v>0</v>
      </c>
      <c r="AB12" s="986">
        <f>+VLOOKUP($B12,GUM!C18:AC50,18,0)</f>
        <v>0</v>
      </c>
      <c r="AC12" s="986">
        <f>ROUNDUP((AB12-AA12)/$V$3,0)</f>
        <v>0</v>
      </c>
      <c r="AD12" s="988"/>
      <c r="AE12" s="989">
        <v>0.0</v>
      </c>
      <c r="AF12" s="985">
        <v>0.0</v>
      </c>
      <c r="AG12" s="985">
        <v>0.0</v>
      </c>
      <c r="AH12" s="986">
        <v>0.0</v>
      </c>
      <c r="AI12" s="986"/>
      <c r="AJ12" s="986">
        <f>SUM(AE12:AE12)</f>
        <v>0</v>
      </c>
      <c r="AK12" s="986">
        <f>+VLOOKUP($B12,GUM!C18:AD50,21,0)</f>
        <v>0</v>
      </c>
      <c r="AL12" s="986" t="e">
        <f>ROUNDUP((AK12-AJ12)/$AE$3,)</f>
        <v>#VALUE!</v>
      </c>
      <c r="AM12" s="988"/>
      <c r="AN12" s="986">
        <v>0.0</v>
      </c>
      <c r="AO12" s="986">
        <v>0.0</v>
      </c>
      <c r="AP12" s="987">
        <v>0.0</v>
      </c>
      <c r="AQ12" s="987">
        <v>0.0</v>
      </c>
      <c r="AR12" s="986"/>
      <c r="AS12" s="986">
        <f>SUM(AN12:AN12)</f>
        <v>0</v>
      </c>
      <c r="AT12" s="986">
        <f>+VLOOKUP($B12,GUM!C18:AD50,24,0)</f>
        <v>0</v>
      </c>
      <c r="AU12" s="986" t="e">
        <f>ROUNDUP((AT12-AS12)/$AE$3,)</f>
        <v>#VALUE!</v>
      </c>
      <c r="AV12" s="988"/>
      <c r="AW12" s="985">
        <v>0.0</v>
      </c>
      <c r="AX12" s="986">
        <v>0.0</v>
      </c>
      <c r="AY12" s="987">
        <v>0.0</v>
      </c>
      <c r="AZ12" s="987">
        <v>0.0</v>
      </c>
      <c r="BA12" s="986"/>
      <c r="BB12" s="986">
        <f>SUM(AW12:AW12)</f>
        <v>0</v>
      </c>
      <c r="BC12" s="986">
        <f>+VLOOKUP($B12,GUM!C18:AD50,27,0)</f>
        <v>0</v>
      </c>
      <c r="BD12" s="986" t="e">
        <f>ROUNDUP((BC12-BB12)/$AE$3,)</f>
        <v>#VALUE!</v>
      </c>
      <c r="BE12" s="988"/>
    </row>
    <row r="13" spans="1:65" customHeight="1" ht="15" s="529" customFormat="1">
      <c r="A13" s="1284"/>
      <c r="B13" s="931" t="str">
        <f>+GUM!C19</f>
        <v>82115-0E490 K</v>
      </c>
      <c r="C13" s="495" t="str">
        <f>GUM!D19</f>
        <v>K 0001</v>
      </c>
      <c r="D13" s="524"/>
      <c r="E13" s="525"/>
      <c r="F13" s="525"/>
      <c r="G13" s="525"/>
      <c r="H13" s="525"/>
      <c r="I13" s="525"/>
      <c r="J13" s="525"/>
      <c r="K13" s="525"/>
      <c r="L13" s="526"/>
      <c r="M13" s="528" t="e">
        <f>VLOOKUP($B13,#REF!,12,0)</f>
        <v>#REF!</v>
      </c>
      <c r="N13" s="524" t="e">
        <f>VLOOKUP($B13,#REF!,13,0)</f>
        <v>#REF!</v>
      </c>
      <c r="O13" s="525" t="e">
        <f>VLOOKUP($B13,#REF!,14,0)</f>
        <v>#REF!</v>
      </c>
      <c r="P13" s="525" t="e">
        <f>VLOOKUP($B13,#REF!,15,0)</f>
        <v>#REF!</v>
      </c>
      <c r="Q13" s="526" t="e">
        <f>VLOOKUP($B13,#REF!,16,0)</f>
        <v>#REF!</v>
      </c>
      <c r="R13" s="525" t="e">
        <f>SUM(M13:M13)</f>
        <v>#REF!</v>
      </c>
      <c r="S13" s="525" t="e">
        <f>+VLOOKUP($B13,GUM!C19:AD51,15,0)</f>
        <v>#REF!</v>
      </c>
      <c r="T13" s="525" t="e">
        <f>ROUNDUP((S13-R13)/$M$3,0)</f>
        <v>#REF!</v>
      </c>
      <c r="U13" s="527"/>
      <c r="V13" s="525" t="e">
        <f>VLOOKUP($B13,#REF!,17,0)</f>
        <v>#REF!</v>
      </c>
      <c r="W13" s="525" t="e">
        <f>VLOOKUP($B13,#REF!,18,0)</f>
        <v>#REF!</v>
      </c>
      <c r="X13" s="525" t="e">
        <f>VLOOKUP($B13,#REF!,19,0)</f>
        <v>#REF!</v>
      </c>
      <c r="Y13" s="525" t="e">
        <f>VLOOKUP($B13,#REF!,20,0)</f>
        <v>#REF!</v>
      </c>
      <c r="Z13" s="525"/>
      <c r="AA13" s="525" t="e">
        <f>SUM(V13:V13)</f>
        <v>#REF!</v>
      </c>
      <c r="AB13" s="525" t="e">
        <f>+VLOOKUP($B13,GUM!C19:AC51,18,0)</f>
        <v>#REF!</v>
      </c>
      <c r="AC13" s="525" t="e">
        <f>ROUNDUP((AB13-AA13)/$V$3,0)</f>
        <v>#REF!</v>
      </c>
      <c r="AD13" s="527"/>
      <c r="AE13" s="528" t="e">
        <f>VLOOKUP($B13,#REF!,21,0)</f>
        <v>#REF!</v>
      </c>
      <c r="AF13" s="524" t="e">
        <f>VLOOKUP($B13,#REF!,22,0)</f>
        <v>#REF!</v>
      </c>
      <c r="AG13" s="524" t="e">
        <f>VLOOKUP($B13,#REF!,23,0)</f>
        <v>#REF!</v>
      </c>
      <c r="AH13" s="525" t="e">
        <f>VLOOKUP($B13,#REF!,24,0)</f>
        <v>#REF!</v>
      </c>
      <c r="AI13" s="525"/>
      <c r="AJ13" s="525" t="e">
        <f>SUM(AE13:AE13)</f>
        <v>#REF!</v>
      </c>
      <c r="AK13" s="525" t="e">
        <f>+VLOOKUP($B13,GUM!C19:AD51,21,0)</f>
        <v>#REF!</v>
      </c>
      <c r="AL13" s="525" t="e">
        <f>ROUNDUP((AK13-AJ13)/$AE$3,)</f>
        <v>#REF!</v>
      </c>
      <c r="AM13" s="527"/>
      <c r="AN13" s="525" t="e">
        <f>VLOOKUP($B13,#REF!,25,0)</f>
        <v>#REF!</v>
      </c>
      <c r="AO13" s="525" t="e">
        <f>VLOOKUP($B13,#REF!,26,0)</f>
        <v>#REF!</v>
      </c>
      <c r="AP13" s="526" t="e">
        <f>VLOOKUP($B13,#REF!,27,0)</f>
        <v>#REF!</v>
      </c>
      <c r="AQ13" s="526" t="e">
        <f>VLOOKUP($B13,#REF!,28,0)</f>
        <v>#REF!</v>
      </c>
      <c r="AR13" s="525" t="e">
        <f>VLOOKUP($B13,#REF!,29,0)</f>
        <v>#REF!</v>
      </c>
      <c r="AS13" s="525" t="e">
        <f>SUM(AN13:AN13)</f>
        <v>#REF!</v>
      </c>
      <c r="AT13" s="525" t="e">
        <f>+VLOOKUP($B13,GUM!C19:AD51,24,0)</f>
        <v>#REF!</v>
      </c>
      <c r="AU13" s="525" t="e">
        <f>ROUNDUP((AT13-AS13)/$AE$3,)</f>
        <v>#REF!</v>
      </c>
      <c r="AV13" s="527"/>
      <c r="AW13" s="524" t="e">
        <f>VLOOKUP($B13,#REF!,30,0)</f>
        <v>#REF!</v>
      </c>
      <c r="AX13" s="525" t="e">
        <f>VLOOKUP($B13,#REF!,31,0)</f>
        <v>#REF!</v>
      </c>
      <c r="AY13" s="525" t="e">
        <f>VLOOKUP($B13,#REF!,32,0)</f>
        <v>#REF!</v>
      </c>
      <c r="AZ13" s="525" t="e">
        <f>VLOOKUP($B13,#REF!,33,0)</f>
        <v>#REF!</v>
      </c>
      <c r="BA13" s="525"/>
      <c r="BB13" s="525" t="e">
        <f>SUM(AW13:AW13)</f>
        <v>#REF!</v>
      </c>
      <c r="BC13" s="525" t="e">
        <f>+VLOOKUP($B13,GUM!C19:AD51,27,0)</f>
        <v>#REF!</v>
      </c>
      <c r="BD13" s="525" t="e">
        <f>ROUNDUP((BC13-BB13)/$AE$3,)</f>
        <v>#REF!</v>
      </c>
      <c r="BE13" s="527"/>
      <c r="BF13" s="529"/>
    </row>
    <row r="14" spans="1:65" customHeight="1" ht="15" s="532" customFormat="1">
      <c r="A14" s="1284"/>
      <c r="B14" s="932" t="str">
        <f>+GUM!C20</f>
        <v>82115-0EA10 K</v>
      </c>
      <c r="C14" s="797" t="str">
        <f>GUM!D20</f>
        <v>K 0001</v>
      </c>
      <c r="D14" s="798"/>
      <c r="E14" s="799"/>
      <c r="F14" s="799"/>
      <c r="G14" s="799"/>
      <c r="H14" s="799"/>
      <c r="I14" s="799"/>
      <c r="J14" s="799"/>
      <c r="K14" s="799"/>
      <c r="L14" s="800"/>
      <c r="M14" s="803" t="e">
        <f>VLOOKUP($B14,#REF!,12,0)</f>
        <v>#REF!</v>
      </c>
      <c r="N14" s="798" t="e">
        <f>VLOOKUP($B14,#REF!,13,0)</f>
        <v>#REF!</v>
      </c>
      <c r="O14" s="799" t="e">
        <f>VLOOKUP($B14,#REF!,14,0)</f>
        <v>#REF!</v>
      </c>
      <c r="P14" s="799" t="e">
        <f>VLOOKUP($B14,#REF!,15,0)</f>
        <v>#REF!</v>
      </c>
      <c r="Q14" s="800" t="e">
        <f>VLOOKUP($B14,#REF!,16,0)</f>
        <v>#REF!</v>
      </c>
      <c r="R14" s="799" t="e">
        <f>SUM(M14:Q14)</f>
        <v>#REF!</v>
      </c>
      <c r="S14" s="799" t="e">
        <f>+VLOOKUP($B14,GUM!C20:AD52,15,0)</f>
        <v>#REF!</v>
      </c>
      <c r="T14" s="799" t="e">
        <f>ROUNDUP((S14-R14)/$M$3,0)</f>
        <v>#REF!</v>
      </c>
      <c r="U14" s="802"/>
      <c r="V14" s="799" t="e">
        <f>VLOOKUP($B14,#REF!,17,0)</f>
        <v>#REF!</v>
      </c>
      <c r="W14" s="799" t="e">
        <f>VLOOKUP($B14,#REF!,18,0)</f>
        <v>#REF!</v>
      </c>
      <c r="X14" s="799" t="e">
        <f>VLOOKUP($B14,#REF!,19,0)</f>
        <v>#REF!</v>
      </c>
      <c r="Y14" s="799" t="e">
        <f>VLOOKUP($B14,#REF!,20,0)</f>
        <v>#REF!</v>
      </c>
      <c r="Z14" s="799"/>
      <c r="AA14" s="799" t="e">
        <f>SUM(V14:Z14)</f>
        <v>#REF!</v>
      </c>
      <c r="AB14" s="799" t="e">
        <f>+VLOOKUP($B14,GUM!C20:AC52,18,0)</f>
        <v>#REF!</v>
      </c>
      <c r="AC14" s="799" t="e">
        <f>ROUNDUP((AB14-AA14)/$V$3,0)</f>
        <v>#REF!</v>
      </c>
      <c r="AD14" s="802"/>
      <c r="AE14" s="803" t="e">
        <f>VLOOKUP($B14,#REF!,21,0)</f>
        <v>#REF!</v>
      </c>
      <c r="AF14" s="798" t="e">
        <f>VLOOKUP($B14,#REF!,22,0)</f>
        <v>#REF!</v>
      </c>
      <c r="AG14" s="798" t="e">
        <f>VLOOKUP($B14,#REF!,23,0)</f>
        <v>#REF!</v>
      </c>
      <c r="AH14" s="799" t="e">
        <f>VLOOKUP($B14,#REF!,24,0)</f>
        <v>#REF!</v>
      </c>
      <c r="AI14" s="799"/>
      <c r="AJ14" s="799" t="e">
        <f>SUM(AE14:AI14)</f>
        <v>#REF!</v>
      </c>
      <c r="AK14" s="799" t="e">
        <f>+VLOOKUP($B14,GUM!C20:AD52,21,0)</f>
        <v>#REF!</v>
      </c>
      <c r="AL14" s="799" t="e">
        <f>ROUNDUP((AK14-AJ14)/$AE$3,)</f>
        <v>#REF!</v>
      </c>
      <c r="AM14" s="802"/>
      <c r="AN14" s="799" t="e">
        <f>VLOOKUP($B14,#REF!,25,0)</f>
        <v>#REF!</v>
      </c>
      <c r="AO14" s="799" t="e">
        <f>VLOOKUP($B14,#REF!,26,0)</f>
        <v>#REF!</v>
      </c>
      <c r="AP14" s="800" t="e">
        <f>VLOOKUP($B14,#REF!,27,0)</f>
        <v>#REF!</v>
      </c>
      <c r="AQ14" s="800" t="e">
        <f>VLOOKUP($B14,#REF!,28,0)</f>
        <v>#REF!</v>
      </c>
      <c r="AR14" s="799" t="e">
        <f>VLOOKUP($B14,#REF!,29,0)</f>
        <v>#REF!</v>
      </c>
      <c r="AS14" s="799" t="e">
        <f>SUM(AN14:AR14)</f>
        <v>#REF!</v>
      </c>
      <c r="AT14" s="799" t="e">
        <f>+VLOOKUP($B14,GUM!C20:AD52,24,0)</f>
        <v>#REF!</v>
      </c>
      <c r="AU14" s="799" t="e">
        <f>ROUNDUP((AT14-AS14)/$AE$3,)</f>
        <v>#REF!</v>
      </c>
      <c r="AV14" s="802"/>
      <c r="AW14" s="798" t="e">
        <f>VLOOKUP($B14,#REF!,30,0)</f>
        <v>#REF!</v>
      </c>
      <c r="AX14" s="799" t="e">
        <f>VLOOKUP($B14,#REF!,31,0)</f>
        <v>#REF!</v>
      </c>
      <c r="AY14" s="800" t="e">
        <f>VLOOKUP($B14,#REF!,32,0)</f>
        <v>#REF!</v>
      </c>
      <c r="AZ14" s="799" t="e">
        <f>VLOOKUP($B14,#REF!,33,0)</f>
        <v>#REF!</v>
      </c>
      <c r="BA14" s="799"/>
      <c r="BB14" s="799" t="e">
        <f>SUM(AW14:BA14)</f>
        <v>#REF!</v>
      </c>
      <c r="BC14" s="799" t="e">
        <f>+VLOOKUP($B14,GUM!C20:AD52,27,0)</f>
        <v>#REF!</v>
      </c>
      <c r="BD14" s="799" t="e">
        <f>ROUNDUP((BC14-BB14)/$AE$3,)</f>
        <v>#REF!</v>
      </c>
      <c r="BE14" s="802"/>
    </row>
    <row r="15" spans="1:65" customHeight="1" ht="15" hidden="true" s="517" customFormat="1">
      <c r="A15" s="1284"/>
      <c r="B15" s="891" t="str">
        <f>+GUM!C21</f>
        <v>82115-0E600</v>
      </c>
      <c r="C15" s="724" t="str">
        <f>GUM!D21</f>
        <v>H 0201</v>
      </c>
      <c r="D15" s="563" t="e">
        <f>+VLOOKUP($B15,#REF!,3,0)</f>
        <v>#REF!</v>
      </c>
      <c r="E15" s="564" t="e">
        <f>+VLOOKUP($B15,#REF!,4,0)</f>
        <v>#REF!</v>
      </c>
      <c r="F15" s="564" t="e">
        <f>+VLOOKUP($B15,#REF!,5,0)</f>
        <v>#REF!</v>
      </c>
      <c r="G15" s="564" t="e">
        <f>+VLOOKUP($B15,#REF!,6,0)</f>
        <v>#REF!</v>
      </c>
      <c r="H15" s="564"/>
      <c r="I15" s="564" t="e">
        <f>SUM(D15:H15)</f>
        <v>#REF!</v>
      </c>
      <c r="J15" s="564">
        <f>+VLOOKUP($B15,GUM!C20:AD102,12,0)</f>
        <v>0</v>
      </c>
      <c r="K15" s="564" t="e">
        <f>ROUNDUP((J15-I15)/$D$3,0)</f>
        <v>#REF!</v>
      </c>
      <c r="L15" s="565"/>
      <c r="M15" s="570"/>
      <c r="N15" s="563"/>
      <c r="O15" s="564"/>
      <c r="P15" s="564"/>
      <c r="Q15" s="565"/>
      <c r="R15" s="564"/>
      <c r="S15" s="564"/>
      <c r="T15" s="564"/>
      <c r="U15" s="569"/>
      <c r="V15" s="564"/>
      <c r="W15" s="564"/>
      <c r="X15" s="564"/>
      <c r="Y15" s="564"/>
      <c r="Z15" s="564"/>
      <c r="AA15" s="564"/>
      <c r="AB15" s="564"/>
      <c r="AC15" s="564"/>
      <c r="AD15" s="569"/>
      <c r="AE15" s="570"/>
      <c r="AF15" s="563"/>
      <c r="AG15" s="563"/>
      <c r="AH15" s="564"/>
      <c r="AI15" s="564"/>
      <c r="AJ15" s="564"/>
      <c r="AK15" s="564"/>
      <c r="AL15" s="564"/>
      <c r="AM15" s="569"/>
      <c r="AN15" s="564"/>
      <c r="AO15" s="564"/>
      <c r="AP15" s="565"/>
      <c r="AQ15" s="565"/>
      <c r="AR15" s="564"/>
      <c r="AS15" s="564"/>
      <c r="AT15" s="564"/>
      <c r="AU15" s="564"/>
      <c r="AV15" s="569"/>
      <c r="AW15" s="563"/>
      <c r="AX15" s="564"/>
      <c r="AY15" s="565"/>
      <c r="AZ15" s="565"/>
      <c r="BA15" s="564"/>
      <c r="BB15" s="564"/>
      <c r="BC15" s="564"/>
      <c r="BD15" s="564"/>
      <c r="BE15" s="569"/>
    </row>
    <row r="16" spans="1:65" customHeight="1" ht="15" hidden="true" s="529" customFormat="1">
      <c r="A16" s="1284"/>
      <c r="B16" s="892" t="str">
        <f>+GUM!C22</f>
        <v>82115-0E610</v>
      </c>
      <c r="C16" s="495" t="str">
        <f>GUM!D22</f>
        <v>H 0201</v>
      </c>
      <c r="D16" s="524" t="e">
        <f>+VLOOKUP($B16,#REF!,3,0)</f>
        <v>#REF!</v>
      </c>
      <c r="E16" s="525" t="e">
        <f>+VLOOKUP($B16,#REF!,4,0)</f>
        <v>#REF!</v>
      </c>
      <c r="F16" s="525" t="e">
        <f>+VLOOKUP($B16,#REF!,5,0)</f>
        <v>#REF!</v>
      </c>
      <c r="G16" s="525" t="e">
        <f>+VLOOKUP($B16,#REF!,6,0)</f>
        <v>#REF!</v>
      </c>
      <c r="H16" s="525"/>
      <c r="I16" s="525" t="e">
        <f>SUM(D16:H16)</f>
        <v>#REF!</v>
      </c>
      <c r="J16" s="525">
        <f>+VLOOKUP($B16,GUM!C21:AD105,12,0)</f>
        <v>0</v>
      </c>
      <c r="K16" s="525" t="e">
        <f>ROUNDUP((J16-I16)/$D$3,0)</f>
        <v>#REF!</v>
      </c>
      <c r="L16" s="526"/>
      <c r="M16" s="528"/>
      <c r="N16" s="524"/>
      <c r="O16" s="525"/>
      <c r="P16" s="525"/>
      <c r="Q16" s="526"/>
      <c r="R16" s="525"/>
      <c r="S16" s="525"/>
      <c r="T16" s="525"/>
      <c r="U16" s="527"/>
      <c r="V16" s="525"/>
      <c r="W16" s="525"/>
      <c r="X16" s="525"/>
      <c r="Y16" s="525"/>
      <c r="Z16" s="525"/>
      <c r="AA16" s="525"/>
      <c r="AB16" s="525"/>
      <c r="AC16" s="525"/>
      <c r="AD16" s="527"/>
      <c r="AE16" s="528"/>
      <c r="AF16" s="524"/>
      <c r="AG16" s="524"/>
      <c r="AH16" s="525"/>
      <c r="AI16" s="525"/>
      <c r="AJ16" s="525"/>
      <c r="AK16" s="525"/>
      <c r="AL16" s="525"/>
      <c r="AM16" s="527"/>
      <c r="AN16" s="525"/>
      <c r="AO16" s="525"/>
      <c r="AP16" s="526"/>
      <c r="AQ16" s="526"/>
      <c r="AR16" s="525"/>
      <c r="AS16" s="525"/>
      <c r="AT16" s="525"/>
      <c r="AU16" s="525"/>
      <c r="AV16" s="527"/>
      <c r="AW16" s="524"/>
      <c r="AX16" s="525"/>
      <c r="AY16" s="526"/>
      <c r="AZ16" s="526"/>
      <c r="BA16" s="525"/>
      <c r="BB16" s="525"/>
      <c r="BC16" s="525"/>
      <c r="BD16" s="525"/>
      <c r="BE16" s="527"/>
    </row>
    <row r="17" spans="1:65" customHeight="1" ht="18" hidden="true" s="529" customFormat="1">
      <c r="A17" s="1284"/>
      <c r="B17" s="892" t="str">
        <f>+GUM!C23</f>
        <v>82115-0E620</v>
      </c>
      <c r="C17" s="495" t="str">
        <f>GUM!D23</f>
        <v>H 0201</v>
      </c>
      <c r="D17" s="524" t="e">
        <f>+VLOOKUP($B17,#REF!,3,0)</f>
        <v>#REF!</v>
      </c>
      <c r="E17" s="525" t="e">
        <f>+VLOOKUP($B17,#REF!,4,0)</f>
        <v>#REF!</v>
      </c>
      <c r="F17" s="525" t="e">
        <f>+VLOOKUP($B17,#REF!,5,0)</f>
        <v>#REF!</v>
      </c>
      <c r="G17" s="525" t="e">
        <f>+VLOOKUP($B17,#REF!,6,0)</f>
        <v>#REF!</v>
      </c>
      <c r="H17" s="525"/>
      <c r="I17" s="525" t="e">
        <f>SUM(D17:H17)</f>
        <v>#REF!</v>
      </c>
      <c r="J17" s="525">
        <f>+VLOOKUP($B17,GUM!C22:AD106,12,0)</f>
        <v>0</v>
      </c>
      <c r="K17" s="525" t="e">
        <f>ROUNDUP((J17-I17)/$D$3,0)</f>
        <v>#REF!</v>
      </c>
      <c r="L17" s="526"/>
      <c r="M17" s="528"/>
      <c r="N17" s="524"/>
      <c r="O17" s="525"/>
      <c r="P17" s="525"/>
      <c r="Q17" s="526"/>
      <c r="R17" s="525"/>
      <c r="S17" s="525"/>
      <c r="T17" s="525"/>
      <c r="U17" s="527"/>
      <c r="V17" s="525"/>
      <c r="W17" s="525"/>
      <c r="X17" s="525"/>
      <c r="Y17" s="525"/>
      <c r="Z17" s="525"/>
      <c r="AA17" s="525"/>
      <c r="AB17" s="525"/>
      <c r="AC17" s="525"/>
      <c r="AD17" s="527"/>
      <c r="AE17" s="528"/>
      <c r="AF17" s="524"/>
      <c r="AG17" s="524"/>
      <c r="AH17" s="525"/>
      <c r="AI17" s="525"/>
      <c r="AJ17" s="525"/>
      <c r="AK17" s="525"/>
      <c r="AL17" s="525"/>
      <c r="AM17" s="527"/>
      <c r="AN17" s="525"/>
      <c r="AO17" s="525"/>
      <c r="AP17" s="526"/>
      <c r="AQ17" s="526"/>
      <c r="AR17" s="525"/>
      <c r="AS17" s="525"/>
      <c r="AT17" s="525"/>
      <c r="AU17" s="525"/>
      <c r="AV17" s="527"/>
      <c r="AW17" s="524"/>
      <c r="AX17" s="525"/>
      <c r="AY17" s="526"/>
      <c r="AZ17" s="526"/>
      <c r="BA17" s="525"/>
      <c r="BB17" s="525"/>
      <c r="BC17" s="525"/>
      <c r="BD17" s="525"/>
      <c r="BE17" s="527"/>
    </row>
    <row r="18" spans="1:65" customHeight="1" ht="15" hidden="true" s="530" customFormat="1">
      <c r="A18" s="1284"/>
      <c r="B18" s="892" t="str">
        <f>+GUM!C24</f>
        <v>82115-0EA40</v>
      </c>
      <c r="C18" s="495" t="str">
        <f>GUM!D24</f>
        <v>H 0201</v>
      </c>
      <c r="D18" s="524" t="e">
        <f>+VLOOKUP($B18,#REF!,3,0)</f>
        <v>#REF!</v>
      </c>
      <c r="E18" s="525" t="e">
        <f>+VLOOKUP($B18,#REF!,4,0)</f>
        <v>#REF!</v>
      </c>
      <c r="F18" s="525" t="e">
        <f>+VLOOKUP($B18,#REF!,5,0)</f>
        <v>#REF!</v>
      </c>
      <c r="G18" s="525" t="e">
        <f>+VLOOKUP($B18,#REF!,6,0)</f>
        <v>#REF!</v>
      </c>
      <c r="H18" s="525"/>
      <c r="I18" s="525" t="e">
        <f>SUM(D18:H18)</f>
        <v>#REF!</v>
      </c>
      <c r="J18" s="525">
        <f>+VLOOKUP($B18,GUM!C21:AD105,12,0)</f>
        <v>0</v>
      </c>
      <c r="K18" s="525" t="e">
        <f>ROUNDUP((J18-I18)/$D$3,0)</f>
        <v>#REF!</v>
      </c>
      <c r="L18" s="526"/>
      <c r="M18" s="528"/>
      <c r="N18" s="524"/>
      <c r="O18" s="525"/>
      <c r="P18" s="525"/>
      <c r="Q18" s="526"/>
      <c r="R18" s="525"/>
      <c r="S18" s="525"/>
      <c r="T18" s="525"/>
      <c r="U18" s="527"/>
      <c r="V18" s="525"/>
      <c r="W18" s="525"/>
      <c r="X18" s="525"/>
      <c r="Y18" s="525"/>
      <c r="Z18" s="525"/>
      <c r="AA18" s="525"/>
      <c r="AB18" s="525"/>
      <c r="AC18" s="525"/>
      <c r="AD18" s="527"/>
      <c r="AE18" s="528"/>
      <c r="AF18" s="524"/>
      <c r="AG18" s="524"/>
      <c r="AH18" s="525"/>
      <c r="AI18" s="525"/>
      <c r="AJ18" s="525"/>
      <c r="AK18" s="525"/>
      <c r="AL18" s="525"/>
      <c r="AM18" s="527"/>
      <c r="AN18" s="525"/>
      <c r="AO18" s="525"/>
      <c r="AP18" s="526"/>
      <c r="AQ18" s="526"/>
      <c r="AR18" s="525"/>
      <c r="AS18" s="525"/>
      <c r="AT18" s="525"/>
      <c r="AU18" s="525"/>
      <c r="AV18" s="527"/>
      <c r="AW18" s="524"/>
      <c r="AX18" s="525"/>
      <c r="AY18" s="526"/>
      <c r="AZ18" s="526"/>
      <c r="BA18" s="525"/>
      <c r="BB18" s="525"/>
      <c r="BC18" s="525"/>
      <c r="BD18" s="525"/>
      <c r="BE18" s="527"/>
    </row>
    <row r="19" spans="1:65" customHeight="1" ht="15" hidden="true" s="529" customFormat="1">
      <c r="A19" s="1284"/>
      <c r="B19" s="892" t="str">
        <f>+GUM!C25</f>
        <v>82115-0EA50</v>
      </c>
      <c r="C19" s="495" t="str">
        <f>GUM!D25</f>
        <v>H 0201</v>
      </c>
      <c r="D19" s="524"/>
      <c r="E19" s="525"/>
      <c r="F19" s="525"/>
      <c r="G19" s="525"/>
      <c r="H19" s="525"/>
      <c r="I19" s="525"/>
      <c r="J19" s="525"/>
      <c r="K19" s="525"/>
      <c r="L19" s="526"/>
      <c r="M19" s="528"/>
      <c r="N19" s="524"/>
      <c r="O19" s="525"/>
      <c r="P19" s="525"/>
      <c r="Q19" s="526"/>
      <c r="R19" s="525"/>
      <c r="S19" s="525"/>
      <c r="T19" s="525"/>
      <c r="U19" s="527"/>
      <c r="V19" s="525"/>
      <c r="W19" s="525"/>
      <c r="X19" s="525"/>
      <c r="Y19" s="525"/>
      <c r="Z19" s="525"/>
      <c r="AA19" s="525"/>
      <c r="AB19" s="525"/>
      <c r="AC19" s="525"/>
      <c r="AD19" s="527"/>
      <c r="AE19" s="528"/>
      <c r="AF19" s="524"/>
      <c r="AG19" s="524"/>
      <c r="AH19" s="525"/>
      <c r="AI19" s="525"/>
      <c r="AJ19" s="525"/>
      <c r="AK19" s="525"/>
      <c r="AL19" s="525"/>
      <c r="AM19" s="527"/>
      <c r="AN19" s="525"/>
      <c r="AO19" s="525"/>
      <c r="AP19" s="526"/>
      <c r="AQ19" s="526"/>
      <c r="AR19" s="525"/>
      <c r="AS19" s="525"/>
      <c r="AT19" s="525"/>
      <c r="AU19" s="525"/>
      <c r="AV19" s="527"/>
      <c r="AW19" s="524"/>
      <c r="AX19" s="525"/>
      <c r="AY19" s="526"/>
      <c r="AZ19" s="526"/>
      <c r="BA19" s="525"/>
      <c r="BB19" s="525"/>
      <c r="BC19" s="525"/>
      <c r="BD19" s="525"/>
      <c r="BE19" s="527"/>
    </row>
    <row r="20" spans="1:65" customHeight="1" ht="15" hidden="true" s="517" customFormat="1">
      <c r="A20" s="1284"/>
      <c r="B20" s="892" t="str">
        <f>+GUM!C26</f>
        <v>82115-0EA60</v>
      </c>
      <c r="C20" s="495" t="str">
        <f>GUM!D26</f>
        <v>H 0201</v>
      </c>
      <c r="D20" s="524"/>
      <c r="E20" s="525"/>
      <c r="F20" s="525"/>
      <c r="G20" s="525"/>
      <c r="H20" s="525"/>
      <c r="I20" s="525"/>
      <c r="J20" s="525"/>
      <c r="K20" s="525"/>
      <c r="L20" s="526"/>
      <c r="M20" s="528"/>
      <c r="N20" s="524"/>
      <c r="O20" s="525"/>
      <c r="P20" s="525"/>
      <c r="Q20" s="861"/>
      <c r="R20" s="525"/>
      <c r="S20" s="525"/>
      <c r="T20" s="525"/>
      <c r="U20" s="527"/>
      <c r="V20" s="525"/>
      <c r="W20" s="525"/>
      <c r="X20" s="525"/>
      <c r="Y20" s="525"/>
      <c r="Z20" s="525"/>
      <c r="AA20" s="525"/>
      <c r="AB20" s="525"/>
      <c r="AC20" s="525"/>
      <c r="AD20" s="527"/>
      <c r="AE20" s="528"/>
      <c r="AF20" s="524"/>
      <c r="AG20" s="524"/>
      <c r="AH20" s="525"/>
      <c r="AI20" s="525"/>
      <c r="AJ20" s="525"/>
      <c r="AK20" s="525"/>
      <c r="AL20" s="525"/>
      <c r="AM20" s="527"/>
      <c r="AN20" s="525"/>
      <c r="AO20" s="525"/>
      <c r="AP20" s="526"/>
      <c r="AQ20" s="526"/>
      <c r="AR20" s="525"/>
      <c r="AS20" s="525"/>
      <c r="AT20" s="525"/>
      <c r="AU20" s="525"/>
      <c r="AV20" s="527"/>
      <c r="AW20" s="524"/>
      <c r="AX20" s="525"/>
      <c r="AY20" s="526"/>
      <c r="AZ20" s="526"/>
      <c r="BA20" s="525"/>
      <c r="BB20" s="525"/>
      <c r="BC20" s="525"/>
      <c r="BD20" s="525"/>
      <c r="BE20" s="527"/>
    </row>
    <row r="21" spans="1:65" customHeight="1" ht="15" hidden="true" s="517" customFormat="1">
      <c r="A21" s="1284"/>
      <c r="B21" s="892" t="str">
        <f>+GUM!C27</f>
        <v>82115-0EA70</v>
      </c>
      <c r="C21" s="495" t="str">
        <f>GUM!D27</f>
        <v>H 0201</v>
      </c>
      <c r="D21" s="524"/>
      <c r="E21" s="525"/>
      <c r="F21" s="525"/>
      <c r="G21" s="525"/>
      <c r="H21" s="525"/>
      <c r="I21" s="525"/>
      <c r="J21" s="525"/>
      <c r="K21" s="525"/>
      <c r="L21" s="526"/>
      <c r="M21" s="528"/>
      <c r="N21" s="524"/>
      <c r="O21" s="525"/>
      <c r="P21" s="525"/>
      <c r="Q21" s="861"/>
      <c r="R21" s="525"/>
      <c r="S21" s="525"/>
      <c r="T21" s="525"/>
      <c r="U21" s="527"/>
      <c r="V21" s="525"/>
      <c r="W21" s="525"/>
      <c r="X21" s="525"/>
      <c r="Y21" s="525"/>
      <c r="Z21" s="525"/>
      <c r="AA21" s="525"/>
      <c r="AB21" s="525"/>
      <c r="AC21" s="525"/>
      <c r="AD21" s="527"/>
      <c r="AE21" s="528"/>
      <c r="AF21" s="524"/>
      <c r="AG21" s="524"/>
      <c r="AH21" s="525"/>
      <c r="AI21" s="525"/>
      <c r="AJ21" s="525"/>
      <c r="AK21" s="525"/>
      <c r="AL21" s="525"/>
      <c r="AM21" s="527"/>
      <c r="AN21" s="525"/>
      <c r="AO21" s="525"/>
      <c r="AP21" s="526"/>
      <c r="AQ21" s="526"/>
      <c r="AR21" s="525"/>
      <c r="AS21" s="525"/>
      <c r="AT21" s="525"/>
      <c r="AU21" s="525"/>
      <c r="AV21" s="527"/>
      <c r="AW21" s="524"/>
      <c r="AX21" s="525"/>
      <c r="AY21" s="526"/>
      <c r="AZ21" s="526"/>
      <c r="BA21" s="525"/>
      <c r="BB21" s="525"/>
      <c r="BC21" s="525"/>
      <c r="BD21" s="525"/>
      <c r="BE21" s="527"/>
    </row>
    <row r="22" spans="1:65" customHeight="1" ht="15.75" hidden="true" s="517" customFormat="1">
      <c r="A22" s="1284"/>
      <c r="B22" s="893" t="str">
        <f>+GUM!C28</f>
        <v>82115-0EG40</v>
      </c>
      <c r="C22" s="562" t="str">
        <f>GUM!D28</f>
        <v>H 0201</v>
      </c>
      <c r="D22" s="571"/>
      <c r="E22" s="572"/>
      <c r="F22" s="572"/>
      <c r="G22" s="572"/>
      <c r="H22" s="572"/>
      <c r="I22" s="572"/>
      <c r="J22" s="572"/>
      <c r="K22" s="572"/>
      <c r="L22" s="573"/>
      <c r="M22" s="574"/>
      <c r="N22" s="571"/>
      <c r="O22" s="572"/>
      <c r="P22" s="572"/>
      <c r="Q22" s="573"/>
      <c r="R22" s="572"/>
      <c r="S22" s="572"/>
      <c r="T22" s="572"/>
      <c r="U22" s="575"/>
      <c r="V22" s="572"/>
      <c r="W22" s="572"/>
      <c r="X22" s="572"/>
      <c r="Y22" s="572"/>
      <c r="Z22" s="572"/>
      <c r="AA22" s="572"/>
      <c r="AB22" s="572"/>
      <c r="AC22" s="572"/>
      <c r="AD22" s="575"/>
      <c r="AE22" s="574"/>
      <c r="AF22" s="571"/>
      <c r="AG22" s="571"/>
      <c r="AH22" s="572"/>
      <c r="AI22" s="572"/>
      <c r="AJ22" s="572"/>
      <c r="AK22" s="572"/>
      <c r="AL22" s="572"/>
      <c r="AM22" s="575"/>
      <c r="AN22" s="572"/>
      <c r="AO22" s="572"/>
      <c r="AP22" s="573"/>
      <c r="AQ22" s="573"/>
      <c r="AR22" s="572"/>
      <c r="AS22" s="572"/>
      <c r="AT22" s="572"/>
      <c r="AU22" s="572"/>
      <c r="AV22" s="575"/>
      <c r="AW22" s="571"/>
      <c r="AX22" s="572"/>
      <c r="AY22" s="573"/>
      <c r="AZ22" s="573"/>
      <c r="BA22" s="572"/>
      <c r="BB22" s="572"/>
      <c r="BC22" s="572"/>
      <c r="BD22" s="572"/>
      <c r="BE22" s="575"/>
    </row>
    <row r="23" spans="1:65" customHeight="1" ht="15.75" hidden="true" s="517" customFormat="1">
      <c r="A23" s="1284"/>
      <c r="B23" s="894" t="str">
        <f>+GUM!C29</f>
        <v>82115-0E470 F</v>
      </c>
      <c r="C23" s="735" t="str">
        <f>GUM!D29</f>
        <v>G 0001</v>
      </c>
      <c r="D23" s="736">
        <v>0.0</v>
      </c>
      <c r="E23" s="737">
        <v>0.0</v>
      </c>
      <c r="F23" s="737">
        <v>0.0</v>
      </c>
      <c r="G23" s="737">
        <v>0.0</v>
      </c>
      <c r="H23" s="737">
        <v>0.0</v>
      </c>
      <c r="I23" s="737">
        <f>SUM(D23:H23)</f>
        <v>0</v>
      </c>
      <c r="J23" s="737">
        <v>0.0</v>
      </c>
      <c r="K23" s="737">
        <v>0.0</v>
      </c>
      <c r="L23" s="738"/>
      <c r="M23" s="740"/>
      <c r="N23" s="736"/>
      <c r="O23" s="737"/>
      <c r="P23" s="737"/>
      <c r="Q23" s="738"/>
      <c r="R23" s="737"/>
      <c r="S23" s="737"/>
      <c r="T23" s="737"/>
      <c r="U23" s="739"/>
      <c r="V23" s="737"/>
      <c r="W23" s="737"/>
      <c r="X23" s="737"/>
      <c r="Y23" s="737"/>
      <c r="Z23" s="737"/>
      <c r="AA23" s="737"/>
      <c r="AB23" s="737"/>
      <c r="AC23" s="737"/>
      <c r="AD23" s="739"/>
      <c r="AE23" s="740"/>
      <c r="AF23" s="736"/>
      <c r="AG23" s="736"/>
      <c r="AH23" s="737"/>
      <c r="AI23" s="737"/>
      <c r="AJ23" s="737"/>
      <c r="AK23" s="737"/>
      <c r="AL23" s="737"/>
      <c r="AM23" s="739"/>
      <c r="AN23" s="737"/>
      <c r="AO23" s="737"/>
      <c r="AP23" s="738"/>
      <c r="AQ23" s="738"/>
      <c r="AR23" s="737"/>
      <c r="AS23" s="737"/>
      <c r="AT23" s="737"/>
      <c r="AU23" s="737"/>
      <c r="AV23" s="739"/>
      <c r="AW23" s="736"/>
      <c r="AX23" s="737"/>
      <c r="AY23" s="738"/>
      <c r="AZ23" s="738"/>
      <c r="BA23" s="737"/>
      <c r="BB23" s="737"/>
      <c r="BC23" s="737"/>
      <c r="BD23" s="737"/>
      <c r="BE23" s="739"/>
    </row>
    <row r="24" spans="1:65" customHeight="1" ht="15.75" s="517" customFormat="1">
      <c r="A24" s="1284"/>
      <c r="B24" s="933" t="str">
        <f>+GUM!C30</f>
        <v>82115-0E480 K</v>
      </c>
      <c r="C24" s="724" t="str">
        <f>GUM!D30</f>
        <v>K 0301</v>
      </c>
      <c r="D24" s="563" t="e">
        <f>+VLOOKUP($B24,#REF!,3,0)</f>
        <v>#REF!</v>
      </c>
      <c r="E24" s="564" t="e">
        <f>+VLOOKUP($B24,#REF!,4,0)</f>
        <v>#REF!</v>
      </c>
      <c r="F24" s="564" t="e">
        <f>+VLOOKUP($B24,#REF!,5,0)</f>
        <v>#REF!</v>
      </c>
      <c r="G24" s="564" t="e">
        <f>+VLOOKUP($B24,#REF!,6,0)</f>
        <v>#REF!</v>
      </c>
      <c r="H24" s="564"/>
      <c r="I24" s="564" t="e">
        <f>SUM(D24:H24)</f>
        <v>#REF!</v>
      </c>
      <c r="J24" s="564" t="e">
        <f>+VLOOKUP($B24,GUM!C29:AD114,12,0)</f>
        <v>#REF!</v>
      </c>
      <c r="K24" s="564" t="e">
        <f>ROUNDUP((J24-I24)/$D$3,0)</f>
        <v>#REF!</v>
      </c>
      <c r="L24" s="565"/>
      <c r="M24" s="570" t="e">
        <f>VLOOKUP($B24,#REF!,12,0)</f>
        <v>#REF!</v>
      </c>
      <c r="N24" s="563" t="e">
        <f>VLOOKUP($B24,#REF!,13,0)</f>
        <v>#REF!</v>
      </c>
      <c r="O24" s="564" t="e">
        <f>VLOOKUP($B24,#REF!,14,0)</f>
        <v>#REF!</v>
      </c>
      <c r="P24" s="564" t="e">
        <f>VLOOKUP($B24,#REF!,15,0)</f>
        <v>#REF!</v>
      </c>
      <c r="Q24" s="564" t="e">
        <f>VLOOKUP($B24,#REF!,16,0)</f>
        <v>#REF!</v>
      </c>
      <c r="R24" s="564" t="e">
        <f>SUM(M24:Q24)</f>
        <v>#REF!</v>
      </c>
      <c r="S24" s="564" t="e">
        <f>+VLOOKUP($B24,GUM!C30:AD62,15,0)</f>
        <v>#REF!</v>
      </c>
      <c r="T24" s="564" t="e">
        <f>ROUNDUP((S24-R24)/$M$3,0)</f>
        <v>#REF!</v>
      </c>
      <c r="U24" s="569"/>
      <c r="V24" s="564" t="e">
        <f>VLOOKUP($B24,#REF!,17,0)</f>
        <v>#REF!</v>
      </c>
      <c r="W24" s="564" t="e">
        <f>VLOOKUP($B24,#REF!,18,0)</f>
        <v>#REF!</v>
      </c>
      <c r="X24" s="564" t="e">
        <f>VLOOKUP($B24,#REF!,19,0)</f>
        <v>#REF!</v>
      </c>
      <c r="Y24" s="564" t="e">
        <f>VLOOKUP($B24,#REF!,20,0)</f>
        <v>#REF!</v>
      </c>
      <c r="Z24" s="564"/>
      <c r="AA24" s="564" t="e">
        <f>SUM(V24:Z24)</f>
        <v>#REF!</v>
      </c>
      <c r="AB24" s="564" t="e">
        <f>+VLOOKUP($B24,GUM!C30:AC62,18,0)</f>
        <v>#REF!</v>
      </c>
      <c r="AC24" s="564" t="e">
        <f>ROUNDUP((AB24-AA24)/$V$3,0)</f>
        <v>#REF!</v>
      </c>
      <c r="AD24" s="569"/>
      <c r="AE24" s="570" t="e">
        <f>VLOOKUP($B24,#REF!,21,0)</f>
        <v>#REF!</v>
      </c>
      <c r="AF24" s="563" t="e">
        <f>VLOOKUP($B24,#REF!,22,0)</f>
        <v>#REF!</v>
      </c>
      <c r="AG24" s="563" t="e">
        <f>VLOOKUP($B24,#REF!,23,0)</f>
        <v>#REF!</v>
      </c>
      <c r="AH24" s="564" t="e">
        <f>VLOOKUP($B24,#REF!,24,0)</f>
        <v>#REF!</v>
      </c>
      <c r="AI24" s="564"/>
      <c r="AJ24" s="564" t="e">
        <f>SUM(AE24:AI24)</f>
        <v>#REF!</v>
      </c>
      <c r="AK24" s="564" t="e">
        <f>+VLOOKUP($B24,GUM!C30:AD62,21,0)</f>
        <v>#REF!</v>
      </c>
      <c r="AL24" s="564" t="e">
        <f>ROUNDUP((AK24-AJ24)/$AE$3,)</f>
        <v>#REF!</v>
      </c>
      <c r="AM24" s="569"/>
      <c r="AN24" s="564" t="e">
        <f>VLOOKUP($B24,#REF!,25,0)</f>
        <v>#REF!</v>
      </c>
      <c r="AO24" s="564" t="e">
        <f>VLOOKUP($B24,#REF!,26,0)</f>
        <v>#REF!</v>
      </c>
      <c r="AP24" s="565" t="e">
        <f>VLOOKUP($B24,#REF!,27,0)</f>
        <v>#REF!</v>
      </c>
      <c r="AQ24" s="565" t="e">
        <f>VLOOKUP($B24,#REF!,28,0)</f>
        <v>#REF!</v>
      </c>
      <c r="AR24" s="565" t="e">
        <f>VLOOKUP($B24,#REF!,29,0)</f>
        <v>#REF!</v>
      </c>
      <c r="AS24" s="564" t="e">
        <f>SUM(AN24:AR24)</f>
        <v>#REF!</v>
      </c>
      <c r="AT24" s="564" t="e">
        <f>+VLOOKUP($B24,GUM!C30:AD62,24,0)</f>
        <v>#REF!</v>
      </c>
      <c r="AU24" s="564" t="e">
        <f>ROUNDUP((AT24-AS24)/$AE$3,)</f>
        <v>#REF!</v>
      </c>
      <c r="AV24" s="569"/>
      <c r="AW24" s="563" t="e">
        <f>VLOOKUP($B24,#REF!,30,0)</f>
        <v>#REF!</v>
      </c>
      <c r="AX24" s="564" t="e">
        <f>VLOOKUP($B24,#REF!,31,0)</f>
        <v>#REF!</v>
      </c>
      <c r="AY24" s="565" t="e">
        <f>VLOOKUP($B24,#REF!,32,0)</f>
        <v>#REF!</v>
      </c>
      <c r="AZ24" s="565" t="e">
        <f>VLOOKUP($B24,#REF!,33,0)</f>
        <v>#REF!</v>
      </c>
      <c r="BA24" s="565"/>
      <c r="BB24" s="564" t="e">
        <f>SUM(AW24:BA24)</f>
        <v>#REF!</v>
      </c>
      <c r="BC24" s="564" t="e">
        <f>+VLOOKUP($B24,GUM!C30:AD62,27,0)</f>
        <v>#REF!</v>
      </c>
      <c r="BD24" s="564" t="e">
        <f>ROUNDUP((BC24-BB24)/$AE$3,)</f>
        <v>#REF!</v>
      </c>
      <c r="BE24" s="569"/>
      <c r="BF24" s="517" t="s">
        <v>39</v>
      </c>
    </row>
    <row r="25" spans="1:65" customHeight="1" ht="15" s="529" customFormat="1">
      <c r="A25" s="1284"/>
      <c r="B25" s="931" t="str">
        <f>+GUM!C31</f>
        <v>82115-0E490 J</v>
      </c>
      <c r="C25" s="495" t="str">
        <f>GUM!D31</f>
        <v>J 1101</v>
      </c>
      <c r="D25" s="524" t="e">
        <f>+VLOOKUP($B25,#REF!,3,0)</f>
        <v>#REF!</v>
      </c>
      <c r="E25" s="525" t="e">
        <f>+VLOOKUP($B25,#REF!,4,0)</f>
        <v>#REF!</v>
      </c>
      <c r="F25" s="525" t="e">
        <f>+VLOOKUP($B25,#REF!,5,0)</f>
        <v>#REF!</v>
      </c>
      <c r="G25" s="525" t="e">
        <f>+VLOOKUP($B25,#REF!,6,0)</f>
        <v>#REF!</v>
      </c>
      <c r="H25" s="525"/>
      <c r="I25" s="525" t="e">
        <f>SUM(D25:H25)</f>
        <v>#REF!</v>
      </c>
      <c r="J25" s="525" t="e">
        <f>+VLOOKUP($B25,GUM!C30:AD115,12,0)</f>
        <v>#REF!</v>
      </c>
      <c r="K25" s="525" t="e">
        <f>ROUNDUP((J25-I25)/$D$3,0)</f>
        <v>#REF!</v>
      </c>
      <c r="L25" s="526"/>
      <c r="M25" s="528" t="e">
        <f>VLOOKUP($B25,#REF!,12,0)</f>
        <v>#REF!</v>
      </c>
      <c r="N25" s="524" t="e">
        <f>VLOOKUP($B25,#REF!,13,0)</f>
        <v>#REF!</v>
      </c>
      <c r="O25" s="525" t="e">
        <f>VLOOKUP($B25,#REF!,14,0)</f>
        <v>#REF!</v>
      </c>
      <c r="P25" s="525" t="e">
        <f>VLOOKUP($B25,#REF!,15,0)</f>
        <v>#REF!</v>
      </c>
      <c r="Q25" s="526" t="e">
        <f>VLOOKUP($B25,#REF!,16,0)</f>
        <v>#REF!</v>
      </c>
      <c r="R25" s="525" t="e">
        <f>SUM(M25:Q25)</f>
        <v>#REF!</v>
      </c>
      <c r="S25" s="525" t="e">
        <f>+VLOOKUP($B25,GUM!C31:AD63,15,0)</f>
        <v>#REF!</v>
      </c>
      <c r="T25" s="525" t="e">
        <f>ROUNDUP((S25-R25)/$M$3,0)</f>
        <v>#REF!</v>
      </c>
      <c r="U25" s="527"/>
      <c r="V25" s="525" t="e">
        <f>VLOOKUP($B25,#REF!,17,0)</f>
        <v>#REF!</v>
      </c>
      <c r="W25" s="525" t="e">
        <f>VLOOKUP($B25,#REF!,18,0)</f>
        <v>#REF!</v>
      </c>
      <c r="X25" s="525" t="e">
        <f>VLOOKUP($B25,#REF!,19,0)</f>
        <v>#REF!</v>
      </c>
      <c r="Y25" s="525" t="e">
        <f>VLOOKUP($B25,#REF!,20,0)</f>
        <v>#REF!</v>
      </c>
      <c r="Z25" s="525"/>
      <c r="AA25" s="525" t="e">
        <f>SUM(V25:Z25)</f>
        <v>#REF!</v>
      </c>
      <c r="AB25" s="525" t="e">
        <f>+VLOOKUP($B25,GUM!C31:AC63,18,0)</f>
        <v>#REF!</v>
      </c>
      <c r="AC25" s="525" t="e">
        <f>ROUNDUP((AB25-AA25)/$V$3,0)</f>
        <v>#REF!</v>
      </c>
      <c r="AD25" s="527"/>
      <c r="AE25" s="528" t="e">
        <f>VLOOKUP($B25,#REF!,21,0)</f>
        <v>#REF!</v>
      </c>
      <c r="AF25" s="524" t="e">
        <f>VLOOKUP($B25,#REF!,22,0)</f>
        <v>#REF!</v>
      </c>
      <c r="AG25" s="524" t="e">
        <f>VLOOKUP($B25,#REF!,23,0)</f>
        <v>#REF!</v>
      </c>
      <c r="AH25" s="525" t="e">
        <f>VLOOKUP($B25,#REF!,24,0)</f>
        <v>#REF!</v>
      </c>
      <c r="AI25" s="525"/>
      <c r="AJ25" s="525" t="e">
        <f>SUM(AE25:AI25)</f>
        <v>#REF!</v>
      </c>
      <c r="AK25" s="525" t="e">
        <f>+VLOOKUP($B25,GUM!C31:AD63,21,0)</f>
        <v>#REF!</v>
      </c>
      <c r="AL25" s="525" t="e">
        <f>ROUNDUP((AK25-AJ25)/$AE$3,)</f>
        <v>#REF!</v>
      </c>
      <c r="AM25" s="527"/>
      <c r="AN25" s="525" t="e">
        <f>VLOOKUP($B25,#REF!,25,0)</f>
        <v>#REF!</v>
      </c>
      <c r="AO25" s="525" t="e">
        <f>VLOOKUP($B25,#REF!,26,0)</f>
        <v>#REF!</v>
      </c>
      <c r="AP25" s="526" t="e">
        <f>VLOOKUP($B25,#REF!,27,0)</f>
        <v>#REF!</v>
      </c>
      <c r="AQ25" s="526" t="e">
        <f>VLOOKUP($B25,#REF!,28,0)</f>
        <v>#REF!</v>
      </c>
      <c r="AR25" s="525" t="e">
        <f>VLOOKUP($B25,#REF!,29,0)</f>
        <v>#REF!</v>
      </c>
      <c r="AS25" s="525" t="e">
        <f>SUM(AN25:AR25)</f>
        <v>#REF!</v>
      </c>
      <c r="AT25" s="525" t="e">
        <f>+VLOOKUP($B25,GUM!C31:AD63,24,0)</f>
        <v>#REF!</v>
      </c>
      <c r="AU25" s="525" t="e">
        <f>ROUNDUP((AT25-AS25)/$AE$3,)</f>
        <v>#REF!</v>
      </c>
      <c r="AV25" s="527"/>
      <c r="AW25" s="524" t="e">
        <f>VLOOKUP($B25,#REF!,30,0)</f>
        <v>#REF!</v>
      </c>
      <c r="AX25" s="525" t="e">
        <f>VLOOKUP($B25,#REF!,31,0)</f>
        <v>#REF!</v>
      </c>
      <c r="AY25" s="526" t="e">
        <f>VLOOKUP($B25,#REF!,32,0)</f>
        <v>#REF!</v>
      </c>
      <c r="AZ25" s="565" t="e">
        <f>VLOOKUP($B25,#REF!,33,0)</f>
        <v>#REF!</v>
      </c>
      <c r="BA25" s="525"/>
      <c r="BB25" s="525" t="e">
        <f>SUM(AW25:BA25)</f>
        <v>#REF!</v>
      </c>
      <c r="BC25" s="525" t="e">
        <f>+VLOOKUP($B25,GUM!C31:AD63,27,0)</f>
        <v>#REF!</v>
      </c>
      <c r="BD25" s="525" t="e">
        <f>ROUNDUP((BC25-BB25)/$AE$3,)</f>
        <v>#REF!</v>
      </c>
      <c r="BE25" s="527"/>
      <c r="BF25" s="529" t="s">
        <v>34</v>
      </c>
    </row>
    <row r="26" spans="1:65" customHeight="1" ht="18" s="529" customFormat="1">
      <c r="A26" s="1284"/>
      <c r="B26" s="1055" t="str">
        <f>+GUM!C32</f>
        <v>82115-0EA10 J</v>
      </c>
      <c r="C26" s="562" t="str">
        <f>GUM!D32</f>
        <v>J 1101</v>
      </c>
      <c r="D26" s="571" t="e">
        <f>+VLOOKUP($B26,#REF!,3,0)</f>
        <v>#REF!</v>
      </c>
      <c r="E26" s="572" t="e">
        <f>+VLOOKUP($B26,#REF!,4,0)</f>
        <v>#REF!</v>
      </c>
      <c r="F26" s="572" t="e">
        <f>+VLOOKUP($B26,#REF!,5,0)</f>
        <v>#REF!</v>
      </c>
      <c r="G26" s="572" t="e">
        <f>+VLOOKUP($B26,#REF!,6,0)</f>
        <v>#REF!</v>
      </c>
      <c r="H26" s="572"/>
      <c r="I26" s="572" t="e">
        <f>SUM(D26:H26)</f>
        <v>#REF!</v>
      </c>
      <c r="J26" s="572" t="e">
        <f>+VLOOKUP($B26,GUM!C31:AD116,12,0)</f>
        <v>#REF!</v>
      </c>
      <c r="K26" s="572" t="e">
        <f>ROUNDUP((J26-I26)/$D$3,0)</f>
        <v>#REF!</v>
      </c>
      <c r="L26" s="573"/>
      <c r="M26" s="574" t="e">
        <f>VLOOKUP($B26,#REF!,12,0)</f>
        <v>#REF!</v>
      </c>
      <c r="N26" s="571" t="e">
        <f>VLOOKUP($B26,#REF!,13,0)</f>
        <v>#REF!</v>
      </c>
      <c r="O26" s="572" t="e">
        <f>VLOOKUP($B26,#REF!,14,0)</f>
        <v>#REF!</v>
      </c>
      <c r="P26" s="572" t="e">
        <f>VLOOKUP($B26,#REF!,15,0)</f>
        <v>#REF!</v>
      </c>
      <c r="Q26" s="573" t="e">
        <f>VLOOKUP($B26,#REF!,16,0)</f>
        <v>#REF!</v>
      </c>
      <c r="R26" s="572" t="e">
        <f>SUM(M26:Q26)</f>
        <v>#REF!</v>
      </c>
      <c r="S26" s="572" t="e">
        <f>+VLOOKUP($B26,GUM!C32:AD64,15,0)</f>
        <v>#REF!</v>
      </c>
      <c r="T26" s="572" t="e">
        <f>ROUNDUP((S26-R26)/$M$3,0)</f>
        <v>#REF!</v>
      </c>
      <c r="U26" s="575"/>
      <c r="V26" s="572" t="e">
        <f>VLOOKUP($B26,#REF!,17,0)</f>
        <v>#REF!</v>
      </c>
      <c r="W26" s="572" t="e">
        <f>VLOOKUP($B26,#REF!,18,0)</f>
        <v>#REF!</v>
      </c>
      <c r="X26" s="572" t="e">
        <f>VLOOKUP($B26,#REF!,19,0)</f>
        <v>#REF!</v>
      </c>
      <c r="Y26" s="572" t="e">
        <f>VLOOKUP($B26,#REF!,20,0)</f>
        <v>#REF!</v>
      </c>
      <c r="Z26" s="572"/>
      <c r="AA26" s="572" t="e">
        <f>SUM(V26:Z26)</f>
        <v>#REF!</v>
      </c>
      <c r="AB26" s="572" t="e">
        <f>+VLOOKUP($B26,GUM!C32:AC64,18,0)</f>
        <v>#REF!</v>
      </c>
      <c r="AC26" s="572" t="e">
        <f>ROUNDUP((AB26-AA26)/$V$3,0)</f>
        <v>#REF!</v>
      </c>
      <c r="AD26" s="575"/>
      <c r="AE26" s="574" t="e">
        <f>VLOOKUP($B26,#REF!,21,0)</f>
        <v>#REF!</v>
      </c>
      <c r="AF26" s="571" t="e">
        <f>VLOOKUP($B26,#REF!,22,0)</f>
        <v>#REF!</v>
      </c>
      <c r="AG26" s="571" t="e">
        <f>VLOOKUP($B26,#REF!,23,0)</f>
        <v>#REF!</v>
      </c>
      <c r="AH26" s="572" t="e">
        <f>VLOOKUP($B26,#REF!,24,0)</f>
        <v>#REF!</v>
      </c>
      <c r="AI26" s="572"/>
      <c r="AJ26" s="572" t="e">
        <f>SUM(AE26:AI26)</f>
        <v>#REF!</v>
      </c>
      <c r="AK26" s="572" t="e">
        <f>+VLOOKUP($B26,GUM!C32:AD64,21,0)</f>
        <v>#REF!</v>
      </c>
      <c r="AL26" s="572" t="e">
        <f>ROUNDUP((AK26-AJ26)/$AE$3,)</f>
        <v>#REF!</v>
      </c>
      <c r="AM26" s="575"/>
      <c r="AN26" s="572" t="e">
        <f>VLOOKUP($B26,#REF!,25,0)</f>
        <v>#REF!</v>
      </c>
      <c r="AO26" s="572" t="e">
        <f>VLOOKUP($B26,#REF!,26,0)</f>
        <v>#REF!</v>
      </c>
      <c r="AP26" s="573" t="e">
        <f>VLOOKUP($B26,#REF!,27,0)</f>
        <v>#REF!</v>
      </c>
      <c r="AQ26" s="573" t="e">
        <f>VLOOKUP($B26,#REF!,28,0)</f>
        <v>#REF!</v>
      </c>
      <c r="AR26" s="572" t="e">
        <f>VLOOKUP($B26,#REF!,29,0)</f>
        <v>#REF!</v>
      </c>
      <c r="AS26" s="572" t="e">
        <f>SUM(AN26:AR26)</f>
        <v>#REF!</v>
      </c>
      <c r="AT26" s="572" t="e">
        <f>+VLOOKUP($B26,GUM!C32:AD64,24,0)</f>
        <v>#REF!</v>
      </c>
      <c r="AU26" s="572" t="e">
        <f>ROUNDUP((AT26-AS26)/$AE$3,)</f>
        <v>#REF!</v>
      </c>
      <c r="AV26" s="575"/>
      <c r="AW26" s="571" t="e">
        <f>VLOOKUP($B26,#REF!,30,0)</f>
        <v>#REF!</v>
      </c>
      <c r="AX26" s="572" t="e">
        <f>VLOOKUP($B26,#REF!,31,0)</f>
        <v>#REF!</v>
      </c>
      <c r="AY26" s="573" t="e">
        <f>VLOOKUP($B26,#REF!,32,0)</f>
        <v>#REF!</v>
      </c>
      <c r="AZ26" s="572" t="e">
        <f>VLOOKUP($B26,#REF!,33,0)</f>
        <v>#REF!</v>
      </c>
      <c r="BA26" s="572"/>
      <c r="BB26" s="572" t="e">
        <f>SUM(AW26:BA26)</f>
        <v>#REF!</v>
      </c>
      <c r="BC26" s="572" t="e">
        <f>+VLOOKUP($B26,GUM!C32:AD64,27,0)</f>
        <v>#REF!</v>
      </c>
      <c r="BD26" s="572" t="e">
        <f>ROUNDUP((BC26-BB26)/$AE$3,)</f>
        <v>#REF!</v>
      </c>
      <c r="BE26" s="575"/>
      <c r="BF26" s="529" t="s">
        <v>36</v>
      </c>
    </row>
    <row r="27" spans="1:65" customHeight="1" ht="15" hidden="true" s="530" customFormat="1">
      <c r="A27" s="917"/>
      <c r="B27" s="895" t="str">
        <f>+GUM!C33</f>
        <v>82115-0E570 G</v>
      </c>
      <c r="C27" s="724" t="str">
        <f>GUM!D33</f>
        <v>G 1001</v>
      </c>
      <c r="D27" s="563" t="e">
        <f>+VLOOKUP($B27,#REF!,3,0)</f>
        <v>#REF!</v>
      </c>
      <c r="E27" s="564" t="e">
        <f>+VLOOKUP($B27,#REF!,4,0)</f>
        <v>#REF!</v>
      </c>
      <c r="F27" s="564" t="e">
        <f>+VLOOKUP($B27,#REF!,5,0)</f>
        <v>#REF!</v>
      </c>
      <c r="G27" s="564" t="e">
        <f>+VLOOKUP($B27,#REF!,6,0)</f>
        <v>#REF!</v>
      </c>
      <c r="H27" s="564"/>
      <c r="I27" s="564" t="e">
        <f>SUM(D27:H27)</f>
        <v>#REF!</v>
      </c>
      <c r="J27" s="564">
        <f>+VLOOKUP($B27,GUM!C30:AD115,12,0)</f>
        <v>0</v>
      </c>
      <c r="K27" s="564" t="e">
        <f>ROUNDUP((J27-I27)/$D$3,0)</f>
        <v>#REF!</v>
      </c>
      <c r="L27" s="565"/>
      <c r="M27" s="570"/>
      <c r="N27" s="563"/>
      <c r="O27" s="564"/>
      <c r="P27" s="564"/>
      <c r="Q27" s="565"/>
      <c r="R27" s="564"/>
      <c r="S27" s="564"/>
      <c r="T27" s="564"/>
      <c r="U27" s="569"/>
      <c r="V27" s="564"/>
      <c r="W27" s="564"/>
      <c r="X27" s="564"/>
      <c r="Y27" s="564"/>
      <c r="Z27" s="564"/>
      <c r="AA27" s="564"/>
      <c r="AB27" s="564"/>
      <c r="AC27" s="564"/>
      <c r="AD27" s="569"/>
      <c r="AE27" s="570"/>
      <c r="AF27" s="563"/>
      <c r="AG27" s="563"/>
      <c r="AH27" s="564"/>
      <c r="AI27" s="564"/>
      <c r="AJ27" s="564"/>
      <c r="AK27" s="564"/>
      <c r="AL27" s="564"/>
      <c r="AM27" s="569"/>
      <c r="AN27" s="564"/>
      <c r="AO27" s="564"/>
      <c r="AP27" s="565"/>
      <c r="AQ27" s="565"/>
      <c r="AR27" s="564"/>
      <c r="AS27" s="564"/>
      <c r="AT27" s="564"/>
      <c r="AU27" s="564"/>
      <c r="AV27" s="569"/>
      <c r="AW27" s="563"/>
      <c r="AX27" s="564"/>
      <c r="AY27" s="565"/>
      <c r="AZ27" s="565"/>
      <c r="BA27" s="564"/>
      <c r="BB27" s="564"/>
      <c r="BC27" s="564"/>
      <c r="BD27" s="564"/>
      <c r="BE27" s="569"/>
      <c r="BF27" s="530" t="s">
        <v>76</v>
      </c>
    </row>
    <row r="28" spans="1:65" customHeight="1" ht="15" hidden="true" s="529" customFormat="1">
      <c r="A28" s="917"/>
      <c r="B28" s="896" t="str">
        <f>+GUM!C34</f>
        <v>82115-0E580 G</v>
      </c>
      <c r="C28" s="495" t="str">
        <f>GUM!D34</f>
        <v>G 1001</v>
      </c>
      <c r="D28" s="524"/>
      <c r="E28" s="525"/>
      <c r="F28" s="525"/>
      <c r="G28" s="525"/>
      <c r="H28" s="525"/>
      <c r="I28" s="525"/>
      <c r="J28" s="525"/>
      <c r="K28" s="525"/>
      <c r="L28" s="526"/>
      <c r="M28" s="528"/>
      <c r="N28" s="524"/>
      <c r="O28" s="525"/>
      <c r="P28" s="525"/>
      <c r="Q28" s="526"/>
      <c r="R28" s="525"/>
      <c r="S28" s="525"/>
      <c r="T28" s="525"/>
      <c r="U28" s="527"/>
      <c r="V28" s="525"/>
      <c r="W28" s="525"/>
      <c r="X28" s="525"/>
      <c r="Y28" s="525"/>
      <c r="Z28" s="525"/>
      <c r="AA28" s="525"/>
      <c r="AB28" s="525"/>
      <c r="AC28" s="525"/>
      <c r="AD28" s="527"/>
      <c r="AE28" s="528"/>
      <c r="AF28" s="524"/>
      <c r="AG28" s="524"/>
      <c r="AH28" s="525"/>
      <c r="AI28" s="525"/>
      <c r="AJ28" s="525"/>
      <c r="AK28" s="525"/>
      <c r="AL28" s="525"/>
      <c r="AM28" s="527"/>
      <c r="AN28" s="525"/>
      <c r="AO28" s="525"/>
      <c r="AP28" s="526"/>
      <c r="AQ28" s="526"/>
      <c r="AR28" s="525"/>
      <c r="AS28" s="525"/>
      <c r="AT28" s="525"/>
      <c r="AU28" s="525"/>
      <c r="AV28" s="527"/>
      <c r="AW28" s="524"/>
      <c r="AX28" s="525"/>
      <c r="AY28" s="526"/>
      <c r="AZ28" s="526"/>
      <c r="BA28" s="525"/>
      <c r="BB28" s="525"/>
      <c r="BC28" s="525"/>
      <c r="BD28" s="525"/>
      <c r="BE28" s="527"/>
      <c r="BF28" s="529" t="s">
        <v>79</v>
      </c>
    </row>
    <row r="29" spans="1:65" customHeight="1" ht="15" hidden="true" s="517" customFormat="1">
      <c r="A29" s="917"/>
      <c r="B29" s="896" t="str">
        <f>+GUM!C35</f>
        <v>82115-0E590 G</v>
      </c>
      <c r="C29" s="495" t="str">
        <f>GUM!D35</f>
        <v>G 1001</v>
      </c>
      <c r="D29" s="524"/>
      <c r="E29" s="525"/>
      <c r="F29" s="525"/>
      <c r="G29" s="525"/>
      <c r="H29" s="525"/>
      <c r="I29" s="525"/>
      <c r="J29" s="525"/>
      <c r="K29" s="525"/>
      <c r="L29" s="526"/>
      <c r="M29" s="528"/>
      <c r="N29" s="524"/>
      <c r="O29" s="525"/>
      <c r="P29" s="525"/>
      <c r="Q29" s="861"/>
      <c r="R29" s="525"/>
      <c r="S29" s="525"/>
      <c r="T29" s="525"/>
      <c r="U29" s="527"/>
      <c r="V29" s="525"/>
      <c r="W29" s="525"/>
      <c r="X29" s="525"/>
      <c r="Y29" s="525"/>
      <c r="Z29" s="525"/>
      <c r="AA29" s="525"/>
      <c r="AB29" s="525"/>
      <c r="AC29" s="525"/>
      <c r="AD29" s="527"/>
      <c r="AE29" s="528"/>
      <c r="AF29" s="524"/>
      <c r="AG29" s="524"/>
      <c r="AH29" s="525"/>
      <c r="AI29" s="525"/>
      <c r="AJ29" s="525"/>
      <c r="AK29" s="525"/>
      <c r="AL29" s="525"/>
      <c r="AM29" s="527"/>
      <c r="AN29" s="525"/>
      <c r="AO29" s="525"/>
      <c r="AP29" s="526"/>
      <c r="AQ29" s="526"/>
      <c r="AR29" s="525"/>
      <c r="AS29" s="525"/>
      <c r="AT29" s="525"/>
      <c r="AU29" s="525"/>
      <c r="AV29" s="527"/>
      <c r="AW29" s="524"/>
      <c r="AX29" s="525"/>
      <c r="AY29" s="526"/>
      <c r="AZ29" s="526"/>
      <c r="BA29" s="525"/>
      <c r="BB29" s="525"/>
      <c r="BC29" s="525"/>
      <c r="BD29" s="525"/>
      <c r="BE29" s="527"/>
      <c r="BF29" s="517" t="s">
        <v>81</v>
      </c>
    </row>
    <row r="30" spans="1:65" customHeight="1" ht="15" hidden="true" s="517" customFormat="1">
      <c r="A30" s="917"/>
      <c r="B30" s="895" t="str">
        <f>+GUM!C36</f>
        <v>82115-0E600 G</v>
      </c>
      <c r="C30" s="724" t="str">
        <f>GUM!D36</f>
        <v>G 1001</v>
      </c>
      <c r="D30" s="563" t="e">
        <f>+VLOOKUP($B30,#REF!,3,0)</f>
        <v>#REF!</v>
      </c>
      <c r="E30" s="564" t="e">
        <f>+VLOOKUP($B30,#REF!,4,0)</f>
        <v>#REF!</v>
      </c>
      <c r="F30" s="564" t="e">
        <f>+VLOOKUP($B30,#REF!,5,0)</f>
        <v>#REF!</v>
      </c>
      <c r="G30" s="564" t="e">
        <f>+VLOOKUP($B30,#REF!,6,0)</f>
        <v>#REF!</v>
      </c>
      <c r="H30" s="564"/>
      <c r="I30" s="564" t="e">
        <f>SUM(D30:H30)</f>
        <v>#REF!</v>
      </c>
      <c r="J30" s="564">
        <f>+VLOOKUP($B30,GUM!C35:AD119,12,0)</f>
        <v>0</v>
      </c>
      <c r="K30" s="564" t="e">
        <f>ROUNDUP((J30-I30)/$D$3,0)</f>
        <v>#REF!</v>
      </c>
      <c r="L30" s="565"/>
      <c r="M30" s="570"/>
      <c r="N30" s="563"/>
      <c r="O30" s="564"/>
      <c r="P30" s="564"/>
      <c r="Q30" s="565"/>
      <c r="R30" s="564"/>
      <c r="S30" s="564"/>
      <c r="T30" s="564"/>
      <c r="U30" s="569"/>
      <c r="V30" s="564"/>
      <c r="W30" s="564"/>
      <c r="X30" s="564"/>
      <c r="Y30" s="564"/>
      <c r="Z30" s="564"/>
      <c r="AA30" s="564"/>
      <c r="AB30" s="564"/>
      <c r="AC30" s="564"/>
      <c r="AD30" s="569"/>
      <c r="AE30" s="570"/>
      <c r="AF30" s="563"/>
      <c r="AG30" s="563"/>
      <c r="AH30" s="564"/>
      <c r="AI30" s="564"/>
      <c r="AJ30" s="564"/>
      <c r="AK30" s="564"/>
      <c r="AL30" s="564"/>
      <c r="AM30" s="569"/>
      <c r="AN30" s="564"/>
      <c r="AO30" s="564"/>
      <c r="AP30" s="565"/>
      <c r="AQ30" s="565"/>
      <c r="AR30" s="564"/>
      <c r="AS30" s="564"/>
      <c r="AT30" s="564"/>
      <c r="AU30" s="564"/>
      <c r="AV30" s="569"/>
      <c r="AW30" s="563"/>
      <c r="AX30" s="564"/>
      <c r="AY30" s="565"/>
      <c r="AZ30" s="565"/>
      <c r="BA30" s="564"/>
      <c r="BB30" s="564"/>
      <c r="BC30" s="564"/>
      <c r="BD30" s="564"/>
      <c r="BE30" s="569"/>
      <c r="BF30" s="517" t="s">
        <v>83</v>
      </c>
    </row>
    <row r="31" spans="1:65" customHeight="1" ht="15" hidden="true" s="529" customFormat="1">
      <c r="A31" s="917"/>
      <c r="B31" s="896" t="str">
        <f>+GUM!C37</f>
        <v>82115-0E610 G</v>
      </c>
      <c r="C31" s="495" t="str">
        <f>GUM!D37</f>
        <v>G 1001</v>
      </c>
      <c r="D31" s="524" t="e">
        <f>+VLOOKUP($B31,#REF!,3,0)</f>
        <v>#REF!</v>
      </c>
      <c r="E31" s="525" t="e">
        <f>+VLOOKUP($B31,#REF!,4,0)</f>
        <v>#REF!</v>
      </c>
      <c r="F31" s="525" t="e">
        <f>+VLOOKUP($B31,#REF!,5,0)</f>
        <v>#REF!</v>
      </c>
      <c r="G31" s="525" t="e">
        <f>+VLOOKUP($B31,#REF!,6,0)</f>
        <v>#REF!</v>
      </c>
      <c r="H31" s="525"/>
      <c r="I31" s="525" t="e">
        <f>SUM(D31:H31)</f>
        <v>#REF!</v>
      </c>
      <c r="J31" s="525">
        <f>+VLOOKUP($B31,GUM!C36:AD123,12,0)</f>
        <v>0</v>
      </c>
      <c r="K31" s="525" t="e">
        <f>ROUNDUP((J31-I31)/$D$3,0)</f>
        <v>#REF!</v>
      </c>
      <c r="L31" s="526"/>
      <c r="M31" s="528"/>
      <c r="N31" s="524"/>
      <c r="O31" s="525"/>
      <c r="P31" s="525"/>
      <c r="Q31" s="526"/>
      <c r="R31" s="525"/>
      <c r="S31" s="525"/>
      <c r="T31" s="525"/>
      <c r="U31" s="527"/>
      <c r="V31" s="525"/>
      <c r="W31" s="525"/>
      <c r="X31" s="525"/>
      <c r="Y31" s="525"/>
      <c r="Z31" s="525"/>
      <c r="AA31" s="525"/>
      <c r="AB31" s="525"/>
      <c r="AC31" s="525"/>
      <c r="AD31" s="527"/>
      <c r="AE31" s="528"/>
      <c r="AF31" s="524"/>
      <c r="AG31" s="524"/>
      <c r="AH31" s="525"/>
      <c r="AI31" s="525"/>
      <c r="AJ31" s="525"/>
      <c r="AK31" s="525"/>
      <c r="AL31" s="525"/>
      <c r="AM31" s="527"/>
      <c r="AN31" s="525"/>
      <c r="AO31" s="525"/>
      <c r="AP31" s="526"/>
      <c r="AQ31" s="526"/>
      <c r="AR31" s="525"/>
      <c r="AS31" s="525"/>
      <c r="AT31" s="525"/>
      <c r="AU31" s="525"/>
      <c r="AV31" s="527"/>
      <c r="AW31" s="524"/>
      <c r="AX31" s="525"/>
      <c r="AY31" s="526"/>
      <c r="AZ31" s="526"/>
      <c r="BA31" s="525"/>
      <c r="BB31" s="525"/>
      <c r="BC31" s="525"/>
      <c r="BD31" s="525"/>
      <c r="BE31" s="527"/>
      <c r="BF31" s="529" t="s">
        <v>85</v>
      </c>
    </row>
    <row r="32" spans="1:65" customHeight="1" ht="18" hidden="true" s="529" customFormat="1">
      <c r="A32" s="917"/>
      <c r="B32" s="896" t="str">
        <f>+GUM!C38</f>
        <v>82115-0E620 G</v>
      </c>
      <c r="C32" s="495" t="str">
        <f>GUM!D38</f>
        <v>G 1001</v>
      </c>
      <c r="D32" s="524" t="e">
        <f>+VLOOKUP($B32,#REF!,3,0)</f>
        <v>#REF!</v>
      </c>
      <c r="E32" s="525" t="e">
        <f>+VLOOKUP($B32,#REF!,4,0)</f>
        <v>#REF!</v>
      </c>
      <c r="F32" s="525" t="e">
        <f>+VLOOKUP($B32,#REF!,5,0)</f>
        <v>#REF!</v>
      </c>
      <c r="G32" s="525" t="e">
        <f>+VLOOKUP($B32,#REF!,6,0)</f>
        <v>#REF!</v>
      </c>
      <c r="H32" s="525"/>
      <c r="I32" s="525" t="e">
        <f>SUM(D32:H32)</f>
        <v>#REF!</v>
      </c>
      <c r="J32" s="525">
        <f>+VLOOKUP($B32,GUM!C37:AD124,12,0)</f>
        <v>0</v>
      </c>
      <c r="K32" s="525" t="e">
        <f>ROUNDUP((J32-I32)/$D$3,0)</f>
        <v>#REF!</v>
      </c>
      <c r="L32" s="526"/>
      <c r="M32" s="528"/>
      <c r="N32" s="524"/>
      <c r="O32" s="525"/>
      <c r="P32" s="525"/>
      <c r="Q32" s="526"/>
      <c r="R32" s="525"/>
      <c r="S32" s="525"/>
      <c r="T32" s="525"/>
      <c r="U32" s="527"/>
      <c r="V32" s="525"/>
      <c r="W32" s="525"/>
      <c r="X32" s="525"/>
      <c r="Y32" s="525"/>
      <c r="Z32" s="525"/>
      <c r="AA32" s="525"/>
      <c r="AB32" s="525"/>
      <c r="AC32" s="525"/>
      <c r="AD32" s="527"/>
      <c r="AE32" s="528"/>
      <c r="AF32" s="524"/>
      <c r="AG32" s="524"/>
      <c r="AH32" s="525"/>
      <c r="AI32" s="525"/>
      <c r="AJ32" s="525"/>
      <c r="AK32" s="525"/>
      <c r="AL32" s="525"/>
      <c r="AM32" s="527"/>
      <c r="AN32" s="525"/>
      <c r="AO32" s="525"/>
      <c r="AP32" s="526"/>
      <c r="AQ32" s="526"/>
      <c r="AR32" s="525"/>
      <c r="AS32" s="525"/>
      <c r="AT32" s="525"/>
      <c r="AU32" s="525"/>
      <c r="AV32" s="527"/>
      <c r="AW32" s="524"/>
      <c r="AX32" s="525"/>
      <c r="AY32" s="526"/>
      <c r="AZ32" s="526"/>
      <c r="BA32" s="525"/>
      <c r="BB32" s="525"/>
      <c r="BC32" s="525"/>
      <c r="BD32" s="525"/>
      <c r="BE32" s="527"/>
      <c r="BF32" s="529" t="s">
        <v>87</v>
      </c>
    </row>
    <row r="33" spans="1:65" customHeight="1" ht="15" hidden="true" s="530" customFormat="1">
      <c r="A33" s="917"/>
      <c r="B33" s="896" t="str">
        <f>+GUM!C39</f>
        <v>82115-0EA40 G</v>
      </c>
      <c r="C33" s="495" t="str">
        <f>GUM!D39</f>
        <v>G 1001</v>
      </c>
      <c r="D33" s="524" t="e">
        <f>+VLOOKUP($B33,#REF!,3,0)</f>
        <v>#REF!</v>
      </c>
      <c r="E33" s="525" t="e">
        <f>+VLOOKUP($B33,#REF!,4,0)</f>
        <v>#REF!</v>
      </c>
      <c r="F33" s="525" t="e">
        <f>+VLOOKUP($B33,#REF!,5,0)</f>
        <v>#REF!</v>
      </c>
      <c r="G33" s="525" t="e">
        <f>+VLOOKUP($B33,#REF!,6,0)</f>
        <v>#REF!</v>
      </c>
      <c r="H33" s="525"/>
      <c r="I33" s="525" t="e">
        <f>SUM(D33:H33)</f>
        <v>#REF!</v>
      </c>
      <c r="J33" s="525">
        <f>+VLOOKUP($B33,GUM!C36:AD123,12,0)</f>
        <v>0</v>
      </c>
      <c r="K33" s="525" t="e">
        <f>ROUNDUP((J33-I33)/$D$3,0)</f>
        <v>#REF!</v>
      </c>
      <c r="L33" s="526"/>
      <c r="M33" s="528"/>
      <c r="N33" s="524"/>
      <c r="O33" s="525"/>
      <c r="P33" s="525"/>
      <c r="Q33" s="526"/>
      <c r="R33" s="525"/>
      <c r="S33" s="525"/>
      <c r="T33" s="525"/>
      <c r="U33" s="527"/>
      <c r="V33" s="525"/>
      <c r="W33" s="525"/>
      <c r="X33" s="525"/>
      <c r="Y33" s="525"/>
      <c r="Z33" s="525"/>
      <c r="AA33" s="525"/>
      <c r="AB33" s="525"/>
      <c r="AC33" s="525"/>
      <c r="AD33" s="527"/>
      <c r="AE33" s="528"/>
      <c r="AF33" s="524"/>
      <c r="AG33" s="524"/>
      <c r="AH33" s="525"/>
      <c r="AI33" s="525"/>
      <c r="AJ33" s="525"/>
      <c r="AK33" s="525"/>
      <c r="AL33" s="525"/>
      <c r="AM33" s="527"/>
      <c r="AN33" s="525"/>
      <c r="AO33" s="525"/>
      <c r="AP33" s="526"/>
      <c r="AQ33" s="526"/>
      <c r="AR33" s="525"/>
      <c r="AS33" s="525"/>
      <c r="AT33" s="525"/>
      <c r="AU33" s="525"/>
      <c r="AV33" s="527"/>
      <c r="AW33" s="524"/>
      <c r="AX33" s="525"/>
      <c r="AY33" s="526"/>
      <c r="AZ33" s="526"/>
      <c r="BA33" s="525"/>
      <c r="BB33" s="525"/>
      <c r="BC33" s="525"/>
      <c r="BD33" s="525"/>
      <c r="BE33" s="527"/>
      <c r="BF33" s="530" t="s">
        <v>89</v>
      </c>
    </row>
    <row r="34" spans="1:65" customHeight="1" ht="15" hidden="true" s="529" customFormat="1">
      <c r="A34" s="917"/>
      <c r="B34" s="896" t="str">
        <f>+GUM!C40</f>
        <v>82115-0EA50 G</v>
      </c>
      <c r="C34" s="495" t="str">
        <f>GUM!D40</f>
        <v>G 1001</v>
      </c>
      <c r="D34" s="524"/>
      <c r="E34" s="525"/>
      <c r="F34" s="525"/>
      <c r="G34" s="525"/>
      <c r="H34" s="525"/>
      <c r="I34" s="525"/>
      <c r="J34" s="525"/>
      <c r="K34" s="525"/>
      <c r="L34" s="526"/>
      <c r="M34" s="528"/>
      <c r="N34" s="524"/>
      <c r="O34" s="525"/>
      <c r="P34" s="525"/>
      <c r="Q34" s="526"/>
      <c r="R34" s="525"/>
      <c r="S34" s="525"/>
      <c r="T34" s="525"/>
      <c r="U34" s="527"/>
      <c r="V34" s="525"/>
      <c r="W34" s="525"/>
      <c r="X34" s="525"/>
      <c r="Y34" s="525"/>
      <c r="Z34" s="525"/>
      <c r="AA34" s="525"/>
      <c r="AB34" s="525"/>
      <c r="AC34" s="525"/>
      <c r="AD34" s="527"/>
      <c r="AE34" s="528"/>
      <c r="AF34" s="524"/>
      <c r="AG34" s="524"/>
      <c r="AH34" s="525"/>
      <c r="AI34" s="525"/>
      <c r="AJ34" s="525"/>
      <c r="AK34" s="525"/>
      <c r="AL34" s="525"/>
      <c r="AM34" s="527"/>
      <c r="AN34" s="525"/>
      <c r="AO34" s="525"/>
      <c r="AP34" s="526"/>
      <c r="AQ34" s="526"/>
      <c r="AR34" s="525"/>
      <c r="AS34" s="525"/>
      <c r="AT34" s="525"/>
      <c r="AU34" s="525"/>
      <c r="AV34" s="527"/>
      <c r="AW34" s="524"/>
      <c r="AX34" s="525"/>
      <c r="AY34" s="526"/>
      <c r="AZ34" s="526"/>
      <c r="BA34" s="525"/>
      <c r="BB34" s="525"/>
      <c r="BC34" s="525"/>
      <c r="BD34" s="525"/>
      <c r="BE34" s="527"/>
      <c r="BF34" s="529" t="s">
        <v>91</v>
      </c>
    </row>
    <row r="35" spans="1:65" customHeight="1" ht="15" hidden="true" s="517" customFormat="1">
      <c r="A35" s="917"/>
      <c r="B35" s="896" t="str">
        <f>+GUM!C41</f>
        <v>82115-0EA60 G</v>
      </c>
      <c r="C35" s="495" t="str">
        <f>GUM!D41</f>
        <v>G 1001</v>
      </c>
      <c r="D35" s="524"/>
      <c r="E35" s="525"/>
      <c r="F35" s="525"/>
      <c r="G35" s="525"/>
      <c r="H35" s="525"/>
      <c r="I35" s="525"/>
      <c r="J35" s="525"/>
      <c r="K35" s="525"/>
      <c r="L35" s="526"/>
      <c r="M35" s="528"/>
      <c r="N35" s="524"/>
      <c r="O35" s="525"/>
      <c r="P35" s="525"/>
      <c r="Q35" s="861"/>
      <c r="R35" s="525"/>
      <c r="S35" s="525"/>
      <c r="T35" s="525"/>
      <c r="U35" s="527"/>
      <c r="V35" s="525"/>
      <c r="W35" s="525"/>
      <c r="X35" s="525"/>
      <c r="Y35" s="525"/>
      <c r="Z35" s="525"/>
      <c r="AA35" s="525"/>
      <c r="AB35" s="525"/>
      <c r="AC35" s="525"/>
      <c r="AD35" s="527"/>
      <c r="AE35" s="528"/>
      <c r="AF35" s="524"/>
      <c r="AG35" s="524"/>
      <c r="AH35" s="525"/>
      <c r="AI35" s="525"/>
      <c r="AJ35" s="525"/>
      <c r="AK35" s="525"/>
      <c r="AL35" s="525"/>
      <c r="AM35" s="527"/>
      <c r="AN35" s="525"/>
      <c r="AO35" s="525"/>
      <c r="AP35" s="526"/>
      <c r="AQ35" s="526"/>
      <c r="AR35" s="525"/>
      <c r="AS35" s="525"/>
      <c r="AT35" s="525"/>
      <c r="AU35" s="525"/>
      <c r="AV35" s="527"/>
      <c r="AW35" s="524"/>
      <c r="AX35" s="525"/>
      <c r="AY35" s="526"/>
      <c r="AZ35" s="526"/>
      <c r="BA35" s="525"/>
      <c r="BB35" s="525"/>
      <c r="BC35" s="525"/>
      <c r="BD35" s="525"/>
      <c r="BE35" s="527"/>
      <c r="BF35" s="517" t="s">
        <v>93</v>
      </c>
    </row>
    <row r="36" spans="1:65" customHeight="1" ht="15" hidden="true" s="517" customFormat="1">
      <c r="A36" s="917"/>
      <c r="B36" s="896" t="str">
        <f>+GUM!C42</f>
        <v>82115-0EA70 G</v>
      </c>
      <c r="C36" s="495" t="str">
        <f>GUM!D42</f>
        <v>G 1001</v>
      </c>
      <c r="D36" s="524"/>
      <c r="E36" s="525"/>
      <c r="F36" s="525"/>
      <c r="G36" s="525"/>
      <c r="H36" s="525"/>
      <c r="I36" s="525"/>
      <c r="J36" s="525"/>
      <c r="K36" s="525"/>
      <c r="L36" s="526"/>
      <c r="M36" s="528"/>
      <c r="N36" s="524"/>
      <c r="O36" s="525"/>
      <c r="P36" s="525"/>
      <c r="Q36" s="861"/>
      <c r="R36" s="525"/>
      <c r="S36" s="525"/>
      <c r="T36" s="525"/>
      <c r="U36" s="527"/>
      <c r="V36" s="525"/>
      <c r="W36" s="525"/>
      <c r="X36" s="525"/>
      <c r="Y36" s="525"/>
      <c r="Z36" s="525"/>
      <c r="AA36" s="525"/>
      <c r="AB36" s="525"/>
      <c r="AC36" s="525"/>
      <c r="AD36" s="527"/>
      <c r="AE36" s="528"/>
      <c r="AF36" s="524"/>
      <c r="AG36" s="524"/>
      <c r="AH36" s="525"/>
      <c r="AI36" s="525"/>
      <c r="AJ36" s="525"/>
      <c r="AK36" s="525"/>
      <c r="AL36" s="525"/>
      <c r="AM36" s="527"/>
      <c r="AN36" s="525"/>
      <c r="AO36" s="525"/>
      <c r="AP36" s="526"/>
      <c r="AQ36" s="526"/>
      <c r="AR36" s="525"/>
      <c r="AS36" s="525"/>
      <c r="AT36" s="525"/>
      <c r="AU36" s="525"/>
      <c r="AV36" s="527"/>
      <c r="AW36" s="524"/>
      <c r="AX36" s="525"/>
      <c r="AY36" s="526"/>
      <c r="AZ36" s="526"/>
      <c r="BA36" s="525"/>
      <c r="BB36" s="525"/>
      <c r="BC36" s="525"/>
      <c r="BD36" s="525"/>
      <c r="BE36" s="527"/>
      <c r="BF36" s="517" t="s">
        <v>95</v>
      </c>
    </row>
    <row r="37" spans="1:65" customHeight="1" ht="15.75" hidden="true" s="517" customFormat="1">
      <c r="A37" s="918"/>
      <c r="B37" s="897" t="str">
        <f>+GUM!C43</f>
        <v>82115-0EG40 G</v>
      </c>
      <c r="C37" s="562" t="str">
        <f>GUM!D43</f>
        <v>G 1001</v>
      </c>
      <c r="D37" s="571"/>
      <c r="E37" s="572"/>
      <c r="F37" s="572"/>
      <c r="G37" s="572"/>
      <c r="H37" s="572"/>
      <c r="I37" s="572"/>
      <c r="J37" s="572"/>
      <c r="K37" s="572"/>
      <c r="L37" s="573"/>
      <c r="M37" s="574"/>
      <c r="N37" s="571"/>
      <c r="O37" s="572"/>
      <c r="P37" s="572"/>
      <c r="Q37" s="573"/>
      <c r="R37" s="572"/>
      <c r="S37" s="572"/>
      <c r="T37" s="572"/>
      <c r="U37" s="575"/>
      <c r="V37" s="572"/>
      <c r="W37" s="572"/>
      <c r="X37" s="572"/>
      <c r="Y37" s="572"/>
      <c r="Z37" s="572"/>
      <c r="AA37" s="572"/>
      <c r="AB37" s="572"/>
      <c r="AC37" s="572"/>
      <c r="AD37" s="575"/>
      <c r="AE37" s="574"/>
      <c r="AF37" s="571"/>
      <c r="AG37" s="571"/>
      <c r="AH37" s="572"/>
      <c r="AI37" s="572"/>
      <c r="AJ37" s="572"/>
      <c r="AK37" s="572"/>
      <c r="AL37" s="572"/>
      <c r="AM37" s="575"/>
      <c r="AN37" s="572"/>
      <c r="AO37" s="572"/>
      <c r="AP37" s="573"/>
      <c r="AQ37" s="573"/>
      <c r="AR37" s="572"/>
      <c r="AS37" s="572"/>
      <c r="AT37" s="572"/>
      <c r="AU37" s="572"/>
      <c r="AV37" s="575"/>
      <c r="AW37" s="571"/>
      <c r="AX37" s="572"/>
      <c r="AY37" s="573"/>
      <c r="AZ37" s="573"/>
      <c r="BA37" s="572"/>
      <c r="BB37" s="572"/>
      <c r="BC37" s="572"/>
      <c r="BD37" s="572"/>
      <c r="BE37" s="575"/>
      <c r="BF37" s="517" t="s">
        <v>97</v>
      </c>
    </row>
    <row r="38" spans="1:65" customHeight="1" ht="15" hidden="true" s="517" customFormat="1">
      <c r="A38" s="1283" t="str">
        <f>GUM!A44</f>
        <v>LHD GAS</v>
      </c>
      <c r="B38" s="990" t="str">
        <f>+GUM!C44</f>
        <v>82115-0E440 H</v>
      </c>
      <c r="C38" s="991" t="str">
        <f>GUM!D44</f>
        <v>H 0001</v>
      </c>
      <c r="D38" s="992"/>
      <c r="E38" s="993"/>
      <c r="F38" s="993"/>
      <c r="G38" s="993"/>
      <c r="H38" s="993"/>
      <c r="I38" s="993"/>
      <c r="J38" s="993"/>
      <c r="K38" s="993"/>
      <c r="L38" s="994"/>
      <c r="M38" s="993">
        <v>0.0</v>
      </c>
      <c r="N38" s="992">
        <v>0.0</v>
      </c>
      <c r="O38" s="993">
        <v>0.0</v>
      </c>
      <c r="P38" s="993">
        <v>0.0</v>
      </c>
      <c r="Q38" s="994"/>
      <c r="R38" s="993">
        <f>SUM(M38:Q38)</f>
        <v>0</v>
      </c>
      <c r="S38" s="993">
        <f>+VLOOKUP($B38,GUM!C44:AD76,15,0)</f>
        <v>0</v>
      </c>
      <c r="T38" s="993">
        <f>ROUNDUP((S38-R38)/$M$3,0)</f>
        <v>0</v>
      </c>
      <c r="U38" s="995"/>
      <c r="V38" s="993">
        <v>0.0</v>
      </c>
      <c r="W38" s="993">
        <v>0.0</v>
      </c>
      <c r="X38" s="993">
        <v>0.0</v>
      </c>
      <c r="Y38" s="993">
        <v>0.0</v>
      </c>
      <c r="Z38" s="993"/>
      <c r="AA38" s="993">
        <f>SUM(V38:Z38)</f>
        <v>0</v>
      </c>
      <c r="AB38" s="993">
        <f>+VLOOKUP($B38,GUM!C44:AC76,18,0)</f>
        <v>0</v>
      </c>
      <c r="AC38" s="993">
        <f>ROUNDUP((AB38-AA38)/$V$3,0)</f>
        <v>0</v>
      </c>
      <c r="AD38" s="996"/>
      <c r="AE38" s="997">
        <v>0.0</v>
      </c>
      <c r="AF38" s="992">
        <v>0.0</v>
      </c>
      <c r="AG38" s="992">
        <v>0.0</v>
      </c>
      <c r="AH38" s="993">
        <v>0.0</v>
      </c>
      <c r="AI38" s="993"/>
      <c r="AJ38" s="993">
        <f>SUM(AE38:AI38)</f>
        <v>0</v>
      </c>
      <c r="AK38" s="993">
        <f>+VLOOKUP($B38,GUM!C44:AD76,21,0)</f>
        <v>0</v>
      </c>
      <c r="AL38" s="993" t="e">
        <f>ROUNDUP((AK38-AJ38)/$AE$3,)</f>
        <v>#VALUE!</v>
      </c>
      <c r="AM38" s="996"/>
      <c r="AN38" s="993">
        <v>0.0</v>
      </c>
      <c r="AO38" s="993">
        <v>0.0</v>
      </c>
      <c r="AP38" s="994">
        <v>0.0</v>
      </c>
      <c r="AQ38" s="994">
        <v>0.0</v>
      </c>
      <c r="AR38" s="993"/>
      <c r="AS38" s="993">
        <f>SUM(AN38:AR38)</f>
        <v>0</v>
      </c>
      <c r="AT38" s="993">
        <f>+VLOOKUP($B38,GUM!C44:AD76,24,0)</f>
        <v>0</v>
      </c>
      <c r="AU38" s="993" t="e">
        <f>ROUNDUP((AT38-AS38)/$AE$3,)</f>
        <v>#VALUE!</v>
      </c>
      <c r="AV38" s="996"/>
      <c r="AW38" s="992">
        <v>0.0</v>
      </c>
      <c r="AX38" s="993">
        <v>0.0</v>
      </c>
      <c r="AY38" s="994">
        <v>0.0</v>
      </c>
      <c r="AZ38" s="994">
        <v>0.0</v>
      </c>
      <c r="BA38" s="993"/>
      <c r="BB38" s="993">
        <f>SUM(AW38:BA38)</f>
        <v>0</v>
      </c>
      <c r="BC38" s="993">
        <f>+VLOOKUP($B38,GUM!C44:AD76,27,0)</f>
        <v>0</v>
      </c>
      <c r="BD38" s="993" t="e">
        <f>ROUNDUP((BC38-BB38)/$AE$3,)</f>
        <v>#VALUE!</v>
      </c>
      <c r="BE38" s="996"/>
      <c r="BF38" s="517" t="s">
        <v>100</v>
      </c>
    </row>
    <row r="39" spans="1:65" customHeight="1" ht="15.75" hidden="true" s="517" customFormat="1">
      <c r="A39" s="1284"/>
      <c r="B39" s="969" t="str">
        <f>+GUM!C45</f>
        <v>82115-0E450 H</v>
      </c>
      <c r="C39" s="970" t="str">
        <f>GUM!D45</f>
        <v>H 0001</v>
      </c>
      <c r="D39" s="985"/>
      <c r="E39" s="986"/>
      <c r="F39" s="986"/>
      <c r="G39" s="986"/>
      <c r="H39" s="986"/>
      <c r="I39" s="986"/>
      <c r="J39" s="986"/>
      <c r="K39" s="986"/>
      <c r="L39" s="987"/>
      <c r="M39" s="989">
        <v>0.0</v>
      </c>
      <c r="N39" s="985">
        <v>0.0</v>
      </c>
      <c r="O39" s="986">
        <v>0.0</v>
      </c>
      <c r="P39" s="986">
        <v>0.0</v>
      </c>
      <c r="Q39" s="987"/>
      <c r="R39" s="986">
        <f>SUM(M39:Q39)</f>
        <v>0</v>
      </c>
      <c r="S39" s="986">
        <f>+VLOOKUP($B39,GUM!C45:AD77,15,0)</f>
        <v>0</v>
      </c>
      <c r="T39" s="986">
        <f>ROUNDUP((S39-R39)/$M$3,0)</f>
        <v>0</v>
      </c>
      <c r="U39" s="998"/>
      <c r="V39" s="986">
        <v>0.0</v>
      </c>
      <c r="W39" s="986">
        <v>0.0</v>
      </c>
      <c r="X39" s="986">
        <v>0.0</v>
      </c>
      <c r="Y39" s="986">
        <v>0.0</v>
      </c>
      <c r="Z39" s="986"/>
      <c r="AA39" s="986">
        <f>SUM(V39:Z39)</f>
        <v>0</v>
      </c>
      <c r="AB39" s="986">
        <f>+VLOOKUP($B39,GUM!C45:AC77,18,0)</f>
        <v>0</v>
      </c>
      <c r="AC39" s="986">
        <f>ROUNDUP((AB39-AA39)/$V$3,0)</f>
        <v>0</v>
      </c>
      <c r="AD39" s="988"/>
      <c r="AE39" s="989">
        <v>0.0</v>
      </c>
      <c r="AF39" s="985">
        <v>0.0</v>
      </c>
      <c r="AG39" s="985">
        <v>0.0</v>
      </c>
      <c r="AH39" s="986">
        <v>0.0</v>
      </c>
      <c r="AI39" s="986"/>
      <c r="AJ39" s="986">
        <f>SUM(AE39:AI39)</f>
        <v>0</v>
      </c>
      <c r="AK39" s="986">
        <f>+VLOOKUP($B39,GUM!C45:AD77,21,0)</f>
        <v>0</v>
      </c>
      <c r="AL39" s="986" t="e">
        <f>ROUNDUP((AK39-AJ39)/$AE$3,)</f>
        <v>#VALUE!</v>
      </c>
      <c r="AM39" s="988"/>
      <c r="AN39" s="986">
        <v>0.0</v>
      </c>
      <c r="AO39" s="986">
        <v>0.0</v>
      </c>
      <c r="AP39" s="987">
        <v>0.0</v>
      </c>
      <c r="AQ39" s="987">
        <v>0.0</v>
      </c>
      <c r="AR39" s="986"/>
      <c r="AS39" s="986">
        <f>SUM(AN39:AR39)</f>
        <v>0</v>
      </c>
      <c r="AT39" s="986">
        <f>+VLOOKUP($B39,GUM!C45:AD77,24,0)</f>
        <v>0</v>
      </c>
      <c r="AU39" s="986" t="e">
        <f>ROUNDUP((AT39-AS39)/$AE$3,)</f>
        <v>#VALUE!</v>
      </c>
      <c r="AV39" s="988"/>
      <c r="AW39" s="985">
        <v>0.0</v>
      </c>
      <c r="AX39" s="986">
        <v>0.0</v>
      </c>
      <c r="AY39" s="987">
        <v>0.0</v>
      </c>
      <c r="AZ39" s="987">
        <v>0.0</v>
      </c>
      <c r="BA39" s="986"/>
      <c r="BB39" s="986">
        <f>SUM(AW39:BA39)</f>
        <v>0</v>
      </c>
      <c r="BC39" s="986">
        <f>+VLOOKUP($B39,GUM!C45:AD77,27,0)</f>
        <v>0</v>
      </c>
      <c r="BD39" s="986" t="e">
        <f>ROUNDUP((BC39-BB39)/$AE$3,)</f>
        <v>#VALUE!</v>
      </c>
      <c r="BE39" s="988"/>
      <c r="BF39" s="517" t="s">
        <v>102</v>
      </c>
    </row>
    <row r="40" spans="1:65" customHeight="1" ht="15.75" hidden="true" s="517" customFormat="1">
      <c r="A40" s="1284"/>
      <c r="B40" s="969" t="str">
        <f>+GUM!C46</f>
        <v>82115-0E460 H</v>
      </c>
      <c r="C40" s="970" t="str">
        <f>GUM!D46</f>
        <v>H 0001</v>
      </c>
      <c r="D40" s="971"/>
      <c r="E40" s="972"/>
      <c r="F40" s="972"/>
      <c r="G40" s="972"/>
      <c r="H40" s="972"/>
      <c r="I40" s="972"/>
      <c r="J40" s="972"/>
      <c r="K40" s="972"/>
      <c r="L40" s="973"/>
      <c r="M40" s="975">
        <v>0.0</v>
      </c>
      <c r="N40" s="971">
        <v>0.0</v>
      </c>
      <c r="O40" s="972">
        <v>0.0</v>
      </c>
      <c r="P40" s="972">
        <v>0.0</v>
      </c>
      <c r="Q40" s="973"/>
      <c r="R40" s="972">
        <f>SUM(M40:Q40)</f>
        <v>0</v>
      </c>
      <c r="S40" s="972">
        <f>+VLOOKUP($B40,GUM!C46:AD78,15,0)</f>
        <v>0</v>
      </c>
      <c r="T40" s="972">
        <f>ROUNDUP((S40-R40)/$M$3,0)</f>
        <v>0</v>
      </c>
      <c r="U40" s="974"/>
      <c r="V40" s="972">
        <v>0.0</v>
      </c>
      <c r="W40" s="972">
        <v>0.0</v>
      </c>
      <c r="X40" s="972">
        <v>0.0</v>
      </c>
      <c r="Y40" s="972">
        <v>0.0</v>
      </c>
      <c r="Z40" s="972"/>
      <c r="AA40" s="972">
        <f>SUM(V40:Z40)</f>
        <v>0</v>
      </c>
      <c r="AB40" s="972">
        <f>+VLOOKUP($B40,GUM!C46:AC78,18,0)</f>
        <v>0</v>
      </c>
      <c r="AC40" s="972">
        <f>ROUNDUP((AB40-AA40)/$V$3,0)</f>
        <v>0</v>
      </c>
      <c r="AD40" s="974"/>
      <c r="AE40" s="975">
        <v>0.0</v>
      </c>
      <c r="AF40" s="971">
        <v>0.0</v>
      </c>
      <c r="AG40" s="971">
        <v>0.0</v>
      </c>
      <c r="AH40" s="972">
        <v>0.0</v>
      </c>
      <c r="AI40" s="972"/>
      <c r="AJ40" s="972">
        <f>SUM(AE40:AI40)</f>
        <v>0</v>
      </c>
      <c r="AK40" s="972">
        <f>+VLOOKUP($B40,GUM!C46:AD78,21,0)</f>
        <v>0</v>
      </c>
      <c r="AL40" s="972" t="e">
        <f>ROUNDUP((AK40-AJ40)/$AE$3,)</f>
        <v>#VALUE!</v>
      </c>
      <c r="AM40" s="974"/>
      <c r="AN40" s="972">
        <v>0.0</v>
      </c>
      <c r="AO40" s="972">
        <v>0.0</v>
      </c>
      <c r="AP40" s="973">
        <v>0.0</v>
      </c>
      <c r="AQ40" s="973">
        <v>0.0</v>
      </c>
      <c r="AR40" s="972"/>
      <c r="AS40" s="972">
        <f>SUM(AN40:AR40)</f>
        <v>0</v>
      </c>
      <c r="AT40" s="972">
        <f>+VLOOKUP($B40,GUM!C46:AD78,24,0)</f>
        <v>0</v>
      </c>
      <c r="AU40" s="972" t="e">
        <f>ROUNDUP((AT40-AS40)/$AE$3,)</f>
        <v>#VALUE!</v>
      </c>
      <c r="AV40" s="974"/>
      <c r="AW40" s="971">
        <v>0.0</v>
      </c>
      <c r="AX40" s="972">
        <v>0.0</v>
      </c>
      <c r="AY40" s="973">
        <v>0.0</v>
      </c>
      <c r="AZ40" s="973">
        <v>0.0</v>
      </c>
      <c r="BA40" s="972"/>
      <c r="BB40" s="972">
        <f>SUM(AW40:BA40)</f>
        <v>0</v>
      </c>
      <c r="BC40" s="972">
        <f>+VLOOKUP($B40,GUM!C46:AD78,27,0)</f>
        <v>0</v>
      </c>
      <c r="BD40" s="972" t="e">
        <f>ROUNDUP((BC40-BB40)/$AE$3,)</f>
        <v>#VALUE!</v>
      </c>
      <c r="BE40" s="974"/>
      <c r="BF40" s="517" t="s">
        <v>104</v>
      </c>
    </row>
    <row r="41" spans="1:65" customHeight="1" ht="15.75" hidden="true" s="517" customFormat="1">
      <c r="A41" s="1284"/>
      <c r="B41" s="976" t="str">
        <f>+GUM!C47</f>
        <v>82115-0EA00 H</v>
      </c>
      <c r="C41" s="977" t="str">
        <f>GUM!D47</f>
        <v>H 0001</v>
      </c>
      <c r="D41" s="978"/>
      <c r="E41" s="979"/>
      <c r="F41" s="979"/>
      <c r="G41" s="979"/>
      <c r="H41" s="979"/>
      <c r="I41" s="979"/>
      <c r="J41" s="979"/>
      <c r="K41" s="979"/>
      <c r="L41" s="980"/>
      <c r="M41" s="982">
        <v>0.0</v>
      </c>
      <c r="N41" s="978">
        <v>0.0</v>
      </c>
      <c r="O41" s="979">
        <v>0.0</v>
      </c>
      <c r="P41" s="979">
        <v>0.0</v>
      </c>
      <c r="Q41" s="980"/>
      <c r="R41" s="979">
        <f>SUM(M41:Q41)</f>
        <v>0</v>
      </c>
      <c r="S41" s="979">
        <f>+VLOOKUP($B41,GUM!C47:AD79,15,0)</f>
        <v>0</v>
      </c>
      <c r="T41" s="979">
        <f>ROUNDUP((S41-R41)/$M$3,0)</f>
        <v>0</v>
      </c>
      <c r="U41" s="999"/>
      <c r="V41" s="979">
        <v>0.0</v>
      </c>
      <c r="W41" s="979">
        <v>0.0</v>
      </c>
      <c r="X41" s="979">
        <v>0.0</v>
      </c>
      <c r="Y41" s="979">
        <v>0.0</v>
      </c>
      <c r="Z41" s="979"/>
      <c r="AA41" s="979">
        <f>SUM(V41:Z41)</f>
        <v>0</v>
      </c>
      <c r="AB41" s="979">
        <f>+VLOOKUP($B41,GUM!C47:AC79,18,0)</f>
        <v>0</v>
      </c>
      <c r="AC41" s="979">
        <f>ROUNDUP((AB41-AA41)/$V$3,0)</f>
        <v>0</v>
      </c>
      <c r="AD41" s="981"/>
      <c r="AE41" s="982">
        <v>0.0</v>
      </c>
      <c r="AF41" s="978">
        <v>0.0</v>
      </c>
      <c r="AG41" s="978">
        <v>0.0</v>
      </c>
      <c r="AH41" s="979">
        <v>0.0</v>
      </c>
      <c r="AI41" s="979"/>
      <c r="AJ41" s="979">
        <f>SUM(AE41:AI41)</f>
        <v>0</v>
      </c>
      <c r="AK41" s="979">
        <f>+VLOOKUP($B41,GUM!C47:AD79,21,0)</f>
        <v>0</v>
      </c>
      <c r="AL41" s="979" t="e">
        <f>ROUNDUP((AK41-AJ41)/$AE$3,)</f>
        <v>#VALUE!</v>
      </c>
      <c r="AM41" s="981"/>
      <c r="AN41" s="979">
        <v>0.0</v>
      </c>
      <c r="AO41" s="979">
        <v>0.0</v>
      </c>
      <c r="AP41" s="980">
        <v>0.0</v>
      </c>
      <c r="AQ41" s="980">
        <v>0.0</v>
      </c>
      <c r="AR41" s="979"/>
      <c r="AS41" s="979">
        <f>SUM(AN41:AR41)</f>
        <v>0</v>
      </c>
      <c r="AT41" s="979">
        <f>+VLOOKUP($B41,GUM!C47:AD79,24,0)</f>
        <v>0</v>
      </c>
      <c r="AU41" s="979" t="e">
        <f>ROUNDUP((AT41-AS41)/$AE$3,)</f>
        <v>#VALUE!</v>
      </c>
      <c r="AV41" s="981"/>
      <c r="AW41" s="978">
        <v>0.0</v>
      </c>
      <c r="AX41" s="979">
        <v>0.0</v>
      </c>
      <c r="AY41" s="980">
        <v>0.0</v>
      </c>
      <c r="AZ41" s="980">
        <v>0.0</v>
      </c>
      <c r="BA41" s="979"/>
      <c r="BB41" s="979">
        <f>SUM(AW41:BA41)</f>
        <v>0</v>
      </c>
      <c r="BC41" s="979">
        <f>+VLOOKUP($B41,GUM!C47:AD79,27,0)</f>
        <v>0</v>
      </c>
      <c r="BD41" s="979" t="e">
        <f>ROUNDUP((BC41-BB41)/$AE$3,)</f>
        <v>#VALUE!</v>
      </c>
      <c r="BE41" s="981"/>
      <c r="BF41" s="517" t="s">
        <v>106</v>
      </c>
    </row>
    <row r="42" spans="1:65" customHeight="1" ht="15.75" hidden="true" s="532" customFormat="1">
      <c r="A42" s="1284"/>
      <c r="B42" s="983" t="str">
        <f>+GUM!C48</f>
        <v>82115-0E500</v>
      </c>
      <c r="C42" s="984" t="str">
        <f>GUM!D48</f>
        <v>J 0001</v>
      </c>
      <c r="D42" s="985"/>
      <c r="E42" s="986"/>
      <c r="F42" s="986"/>
      <c r="G42" s="986"/>
      <c r="H42" s="986"/>
      <c r="I42" s="986"/>
      <c r="J42" s="986"/>
      <c r="K42" s="986"/>
      <c r="L42" s="987"/>
      <c r="M42" s="989"/>
      <c r="N42" s="985"/>
      <c r="O42" s="986"/>
      <c r="P42" s="986"/>
      <c r="Q42" s="987"/>
      <c r="R42" s="986">
        <f>SUM(M42:M42)</f>
        <v>0</v>
      </c>
      <c r="S42" s="986">
        <f>+VLOOKUP($B42,GUM!C48:AD80,15,0)</f>
        <v>0</v>
      </c>
      <c r="T42" s="986">
        <f>ROUNDUP((S42-R42)/$M$3,0)</f>
        <v>0</v>
      </c>
      <c r="U42" s="988"/>
      <c r="V42" s="986"/>
      <c r="W42" s="986"/>
      <c r="X42" s="986"/>
      <c r="Y42" s="986"/>
      <c r="Z42" s="986">
        <f>+Q42</f>
        <v/>
      </c>
      <c r="AA42" s="986">
        <f>SUM(V42:V42)</f>
        <v>0</v>
      </c>
      <c r="AB42" s="986">
        <f>+VLOOKUP($B42,GUM!C48:AC80,18,0)</f>
        <v>0</v>
      </c>
      <c r="AC42" s="986">
        <f>ROUNDUP((AB42-AA42)/$V$3,0)</f>
        <v>0</v>
      </c>
      <c r="AD42" s="988"/>
      <c r="AE42" s="989"/>
      <c r="AF42" s="985"/>
      <c r="AG42" s="985"/>
      <c r="AH42" s="986"/>
      <c r="AI42" s="986"/>
      <c r="AJ42" s="986">
        <f>SUM(AE42:AE42)</f>
        <v>0</v>
      </c>
      <c r="AK42" s="986">
        <f>+VLOOKUP($B42,GUM!C48:AD80,21,0)</f>
        <v>0</v>
      </c>
      <c r="AL42" s="986" t="e">
        <f>ROUNDUP((AK42-AJ42)/$AE$3,)</f>
        <v>#VALUE!</v>
      </c>
      <c r="AM42" s="988"/>
      <c r="AN42" s="986"/>
      <c r="AO42" s="986">
        <f>+AF42</f>
        <v/>
      </c>
      <c r="AP42" s="987">
        <f>+AG42</f>
        <v/>
      </c>
      <c r="AQ42" s="987">
        <f>+AH42</f>
        <v/>
      </c>
      <c r="AR42" s="986"/>
      <c r="AS42" s="986">
        <f>SUM(AN42:AN42)</f>
        <v>0</v>
      </c>
      <c r="AT42" s="986">
        <f>+VLOOKUP($B42,GUM!C48:AD80,24,0)</f>
        <v>0</v>
      </c>
      <c r="AU42" s="986" t="e">
        <f>ROUNDUP((AT42-AS42)/$AE$3,)</f>
        <v>#VALUE!</v>
      </c>
      <c r="AV42" s="988"/>
      <c r="AW42" s="985"/>
      <c r="AX42" s="986">
        <v>0.0</v>
      </c>
      <c r="AY42" s="987">
        <v>0.0</v>
      </c>
      <c r="AZ42" s="987">
        <f>+AQ42</f>
        <v/>
      </c>
      <c r="BA42" s="986"/>
      <c r="BB42" s="986">
        <f>SUM(AW42:AW42)</f>
        <v>0</v>
      </c>
      <c r="BC42" s="986">
        <f>+VLOOKUP($B42,GUM!C48:AD80,27,0)</f>
        <v>0</v>
      </c>
      <c r="BD42" s="986" t="e">
        <f>ROUNDUP((BC42-BB42)/$AE$3,)</f>
        <v>#VALUE!</v>
      </c>
      <c r="BE42" s="988"/>
    </row>
    <row r="43" spans="1:65" customHeight="1" ht="15.75" hidden="true" s="539" customFormat="1">
      <c r="A43" s="1284"/>
      <c r="B43" s="969" t="str">
        <f>+GUM!C49</f>
        <v>82115-0E510</v>
      </c>
      <c r="C43" s="970" t="str">
        <f>GUM!D49</f>
        <v>H 0001</v>
      </c>
      <c r="D43" s="985"/>
      <c r="E43" s="986"/>
      <c r="F43" s="986"/>
      <c r="G43" s="986"/>
      <c r="H43" s="986"/>
      <c r="I43" s="986"/>
      <c r="J43" s="986"/>
      <c r="K43" s="986"/>
      <c r="L43" s="987"/>
      <c r="M43" s="989"/>
      <c r="N43" s="1004"/>
      <c r="O43" s="986"/>
      <c r="P43" s="986"/>
      <c r="Q43" s="987"/>
      <c r="R43" s="986">
        <f>SUM(M43:M43)</f>
        <v>0</v>
      </c>
      <c r="S43" s="986">
        <f>+VLOOKUP($B43,GUM!C49:AD81,15,0)</f>
        <v>0</v>
      </c>
      <c r="T43" s="986">
        <f>ROUNDUP((S43-R43)/$M$3,0)</f>
        <v>0</v>
      </c>
      <c r="U43" s="998"/>
      <c r="V43" s="986"/>
      <c r="W43" s="986"/>
      <c r="X43" s="986"/>
      <c r="Y43" s="972"/>
      <c r="Z43" s="986">
        <f>+Q43</f>
        <v/>
      </c>
      <c r="AA43" s="986">
        <f>SUM(V43:V43)</f>
        <v>0</v>
      </c>
      <c r="AB43" s="986">
        <f>+VLOOKUP($B43,GUM!C49:AC81,18,0)</f>
        <v>0</v>
      </c>
      <c r="AC43" s="986">
        <f>ROUNDUP((AB43-AA43)/$V$3,0)</f>
        <v>0</v>
      </c>
      <c r="AD43" s="988"/>
      <c r="AE43" s="989"/>
      <c r="AF43" s="985"/>
      <c r="AG43" s="985"/>
      <c r="AH43" s="986"/>
      <c r="AI43" s="986"/>
      <c r="AJ43" s="986">
        <f>SUM(AE43:AE43)</f>
        <v>0</v>
      </c>
      <c r="AK43" s="986">
        <f>+VLOOKUP($B43,GUM!C49:AD81,21,0)</f>
        <v>0</v>
      </c>
      <c r="AL43" s="986" t="e">
        <f>ROUNDUP((AK43-AJ43)/$AE$3,)</f>
        <v>#VALUE!</v>
      </c>
      <c r="AM43" s="988"/>
      <c r="AN43" s="972"/>
      <c r="AO43" s="986">
        <f>+AF43</f>
        <v/>
      </c>
      <c r="AP43" s="973">
        <f>+AG43</f>
        <v/>
      </c>
      <c r="AQ43" s="987">
        <f>+AH43</f>
        <v/>
      </c>
      <c r="AR43" s="986"/>
      <c r="AS43" s="986">
        <f>SUM(AN43:AN43)</f>
        <v>0</v>
      </c>
      <c r="AT43" s="986">
        <f>+VLOOKUP($B43,GUM!C49:AD81,24,0)</f>
        <v>0</v>
      </c>
      <c r="AU43" s="986" t="e">
        <f>ROUNDUP((AT43-AS43)/$AE$3,)</f>
        <v>#VALUE!</v>
      </c>
      <c r="AV43" s="988"/>
      <c r="AW43" s="985"/>
      <c r="AX43" s="986">
        <v>0.0</v>
      </c>
      <c r="AY43" s="987">
        <v>0.0</v>
      </c>
      <c r="AZ43" s="987">
        <f>+AQ43</f>
        <v/>
      </c>
      <c r="BA43" s="986"/>
      <c r="BB43" s="986">
        <f>SUM(AW43:AW43)</f>
        <v>0</v>
      </c>
      <c r="BC43" s="986">
        <f>+VLOOKUP($B43,GUM!C49:AD81,27,0)</f>
        <v>0</v>
      </c>
      <c r="BD43" s="986" t="e">
        <f>ROUNDUP((BC43-BB43)/$AE$3,)</f>
        <v>#VALUE!</v>
      </c>
      <c r="BE43" s="988"/>
    </row>
    <row r="44" spans="1:65" customHeight="1" ht="15.75" hidden="true" s="517" customFormat="1">
      <c r="A44" s="1284"/>
      <c r="B44" s="969" t="str">
        <f>+GUM!C50</f>
        <v>82115-0E510 J</v>
      </c>
      <c r="C44" s="970" t="str">
        <f>GUM!D50</f>
        <v>J 0001</v>
      </c>
      <c r="D44" s="985"/>
      <c r="E44" s="986"/>
      <c r="F44" s="986"/>
      <c r="G44" s="986"/>
      <c r="H44" s="986"/>
      <c r="I44" s="986"/>
      <c r="J44" s="986"/>
      <c r="K44" s="986"/>
      <c r="L44" s="987"/>
      <c r="M44" s="989"/>
      <c r="N44" s="985"/>
      <c r="O44" s="986"/>
      <c r="P44" s="986"/>
      <c r="Q44" s="987"/>
      <c r="R44" s="986">
        <f>SUM(M44:M44)</f>
        <v>0</v>
      </c>
      <c r="S44" s="986">
        <f>+VLOOKUP($B44,GUM!C50:AD82,15,0)</f>
        <v>0</v>
      </c>
      <c r="T44" s="986">
        <f>ROUNDUP((S44-R44)/$M$3,0)</f>
        <v>0</v>
      </c>
      <c r="U44" s="998"/>
      <c r="V44" s="986"/>
      <c r="W44" s="986"/>
      <c r="X44" s="986"/>
      <c r="Y44" s="986"/>
      <c r="Z44" s="986">
        <f>+Q44</f>
        <v/>
      </c>
      <c r="AA44" s="986">
        <f>SUM(V44:V44)</f>
        <v>0</v>
      </c>
      <c r="AB44" s="986">
        <f>+VLOOKUP($B44,GUM!C50:AC82,18,0)</f>
        <v>0</v>
      </c>
      <c r="AC44" s="986">
        <f>ROUNDUP((AB44-AA44)/$V$3,0)</f>
        <v>0</v>
      </c>
      <c r="AD44" s="988"/>
      <c r="AE44" s="989"/>
      <c r="AF44" s="985"/>
      <c r="AG44" s="985"/>
      <c r="AH44" s="986"/>
      <c r="AI44" s="986"/>
      <c r="AJ44" s="986">
        <f>SUM(AE44:AE44)</f>
        <v>0</v>
      </c>
      <c r="AK44" s="986">
        <f>+VLOOKUP($B44,GUM!C50:AD82,21,0)</f>
        <v>0</v>
      </c>
      <c r="AL44" s="986" t="e">
        <f>ROUNDUP((AK44-AJ44)/$AE$3,)</f>
        <v>#VALUE!</v>
      </c>
      <c r="AM44" s="988"/>
      <c r="AN44" s="986"/>
      <c r="AO44" s="986">
        <f>+AF44</f>
        <v/>
      </c>
      <c r="AP44" s="987">
        <f>+AG44</f>
        <v/>
      </c>
      <c r="AQ44" s="987">
        <f>+AH44</f>
        <v/>
      </c>
      <c r="AR44" s="986"/>
      <c r="AS44" s="986">
        <f>SUM(AN44:AN44)</f>
        <v>0</v>
      </c>
      <c r="AT44" s="986">
        <f>+VLOOKUP($B44,GUM!C50:AD82,24,0)</f>
        <v>0</v>
      </c>
      <c r="AU44" s="986" t="e">
        <f>ROUNDUP((AT44-AS44)/$AE$3,)</f>
        <v>#VALUE!</v>
      </c>
      <c r="AV44" s="988"/>
      <c r="AW44" s="985"/>
      <c r="AX44" s="986">
        <v>0.0</v>
      </c>
      <c r="AY44" s="987">
        <v>0.0</v>
      </c>
      <c r="AZ44" s="987">
        <f>+AQ44</f>
        <v/>
      </c>
      <c r="BA44" s="986"/>
      <c r="BB44" s="986">
        <f>SUM(AW44:AW44)</f>
        <v>0</v>
      </c>
      <c r="BC44" s="986">
        <f>+VLOOKUP($B44,GUM!C50:AD82,27,0)</f>
        <v>0</v>
      </c>
      <c r="BD44" s="986" t="e">
        <f>ROUNDUP((BC44-BB44)/$AE$3,)</f>
        <v>#VALUE!</v>
      </c>
      <c r="BE44" s="988"/>
    </row>
    <row r="45" spans="1:65" customHeight="1" ht="15.75" hidden="true" s="517" customFormat="1">
      <c r="A45" s="1284"/>
      <c r="B45" s="969" t="str">
        <f>+GUM!C51</f>
        <v>82115-0E530</v>
      </c>
      <c r="C45" s="970" t="str">
        <f>GUM!D51</f>
        <v>H 0001</v>
      </c>
      <c r="D45" s="971"/>
      <c r="E45" s="972"/>
      <c r="F45" s="972"/>
      <c r="G45" s="972"/>
      <c r="H45" s="972"/>
      <c r="I45" s="972"/>
      <c r="J45" s="972"/>
      <c r="K45" s="972"/>
      <c r="L45" s="973"/>
      <c r="M45" s="975"/>
      <c r="N45" s="971"/>
      <c r="O45" s="972"/>
      <c r="P45" s="972"/>
      <c r="Q45" s="973"/>
      <c r="R45" s="972">
        <f>SUM(M45:M45)</f>
        <v>0</v>
      </c>
      <c r="S45" s="972">
        <f>+VLOOKUP($B45,GUM!C51:AD83,15,0)</f>
        <v>0</v>
      </c>
      <c r="T45" s="972">
        <f>ROUNDUP((S45-R45)/$M$3,0)</f>
        <v>0</v>
      </c>
      <c r="U45" s="974"/>
      <c r="V45" s="972"/>
      <c r="W45" s="972"/>
      <c r="X45" s="972"/>
      <c r="Y45" s="972"/>
      <c r="Z45" s="972">
        <f>+Q45</f>
        <v/>
      </c>
      <c r="AA45" s="972">
        <f>SUM(V45:V45)</f>
        <v>0</v>
      </c>
      <c r="AB45" s="972">
        <f>+VLOOKUP($B45,GUM!C51:AC83,18,0)</f>
        <v>0</v>
      </c>
      <c r="AC45" s="972">
        <f>ROUNDUP((AB45-AA45)/$V$3,0)</f>
        <v>0</v>
      </c>
      <c r="AD45" s="974"/>
      <c r="AE45" s="975"/>
      <c r="AF45" s="971"/>
      <c r="AG45" s="971"/>
      <c r="AH45" s="972"/>
      <c r="AI45" s="972"/>
      <c r="AJ45" s="972">
        <f>SUM(AE45:AE45)</f>
        <v>0</v>
      </c>
      <c r="AK45" s="972">
        <f>+VLOOKUP($B45,GUM!C51:AD83,21,0)</f>
        <v>0</v>
      </c>
      <c r="AL45" s="972" t="e">
        <f>ROUNDUP((AK45-AJ45)/$AE$3,)</f>
        <v>#VALUE!</v>
      </c>
      <c r="AM45" s="974"/>
      <c r="AN45" s="972"/>
      <c r="AO45" s="972">
        <f>+AF45</f>
        <v/>
      </c>
      <c r="AP45" s="973">
        <f>+AG45</f>
        <v/>
      </c>
      <c r="AQ45" s="973">
        <f>+AH45</f>
        <v/>
      </c>
      <c r="AR45" s="972"/>
      <c r="AS45" s="972">
        <f>SUM(AN45:AN45)</f>
        <v>0</v>
      </c>
      <c r="AT45" s="972">
        <f>+VLOOKUP($B45,GUM!C51:AD83,24,0)</f>
        <v>0</v>
      </c>
      <c r="AU45" s="972" t="e">
        <f>ROUNDUP((AT45-AS45)/$AE$3,)</f>
        <v>#VALUE!</v>
      </c>
      <c r="AV45" s="974"/>
      <c r="AW45" s="971"/>
      <c r="AX45" s="972">
        <v>0.0</v>
      </c>
      <c r="AY45" s="973">
        <v>0.0</v>
      </c>
      <c r="AZ45" s="973">
        <f>+AQ45</f>
        <v/>
      </c>
      <c r="BA45" s="972"/>
      <c r="BB45" s="972">
        <f>SUM(AW45:AW45)</f>
        <v>0</v>
      </c>
      <c r="BC45" s="972">
        <f>+VLOOKUP($B45,GUM!C51:AD83,27,0)</f>
        <v>0</v>
      </c>
      <c r="BD45" s="972" t="e">
        <f>ROUNDUP((BC45-BB45)/$AE$3,)</f>
        <v>#VALUE!</v>
      </c>
      <c r="BE45" s="974"/>
    </row>
    <row r="46" spans="1:65" customHeight="1" ht="15.75" hidden="true" s="517" customFormat="1">
      <c r="A46" s="1284"/>
      <c r="B46" s="969" t="str">
        <f>+GUM!C52</f>
        <v>82115-0E530 J</v>
      </c>
      <c r="C46" s="970" t="str">
        <f>GUM!D52</f>
        <v>J 0001</v>
      </c>
      <c r="D46" s="971"/>
      <c r="E46" s="972"/>
      <c r="F46" s="972"/>
      <c r="G46" s="972"/>
      <c r="H46" s="972"/>
      <c r="I46" s="972"/>
      <c r="J46" s="972"/>
      <c r="K46" s="972"/>
      <c r="L46" s="973"/>
      <c r="M46" s="975"/>
      <c r="N46" s="971"/>
      <c r="O46" s="972"/>
      <c r="P46" s="972"/>
      <c r="Q46" s="973"/>
      <c r="R46" s="972">
        <f>SUM(M46:M46)</f>
        <v>0</v>
      </c>
      <c r="S46" s="972">
        <f>+VLOOKUP($B46,GUM!C52:AD84,15,0)</f>
        <v>0</v>
      </c>
      <c r="T46" s="972">
        <f>ROUNDUP((S46-R46)/$M$3,0)</f>
        <v>0</v>
      </c>
      <c r="U46" s="1000"/>
      <c r="V46" s="972"/>
      <c r="W46" s="972"/>
      <c r="X46" s="972"/>
      <c r="Y46" s="972"/>
      <c r="Z46" s="972">
        <f>+Q46</f>
        <v/>
      </c>
      <c r="AA46" s="972">
        <f>SUM(V46:V46)</f>
        <v>0</v>
      </c>
      <c r="AB46" s="972">
        <f>+VLOOKUP($B46,GUM!C52:AC84,18,0)</f>
        <v>0</v>
      </c>
      <c r="AC46" s="972">
        <f>ROUNDUP((AB46-AA46)/$V$3,0)</f>
        <v>0</v>
      </c>
      <c r="AD46" s="974"/>
      <c r="AE46" s="975"/>
      <c r="AF46" s="971"/>
      <c r="AG46" s="971"/>
      <c r="AH46" s="972"/>
      <c r="AI46" s="972"/>
      <c r="AJ46" s="972">
        <f>SUM(AE46:AE46)</f>
        <v>0</v>
      </c>
      <c r="AK46" s="972">
        <f>+VLOOKUP($B46,GUM!C52:AD84,21,0)</f>
        <v>0</v>
      </c>
      <c r="AL46" s="972" t="e">
        <f>ROUNDUP((AK46-AJ46)/$AE$3,)</f>
        <v>#VALUE!</v>
      </c>
      <c r="AM46" s="974"/>
      <c r="AN46" s="972"/>
      <c r="AO46" s="972">
        <f>+AF46</f>
        <v/>
      </c>
      <c r="AP46" s="973">
        <f>+AG46</f>
        <v/>
      </c>
      <c r="AQ46" s="973">
        <f>+AH46</f>
        <v/>
      </c>
      <c r="AR46" s="972"/>
      <c r="AS46" s="972">
        <f>SUM(AN46:AN46)</f>
        <v>0</v>
      </c>
      <c r="AT46" s="972">
        <f>+VLOOKUP($B46,GUM!C52:AD84,24,0)</f>
        <v>0</v>
      </c>
      <c r="AU46" s="972" t="e">
        <f>ROUNDUP((AT46-AS46)/$AE$3,)</f>
        <v>#VALUE!</v>
      </c>
      <c r="AV46" s="974"/>
      <c r="AW46" s="971"/>
      <c r="AX46" s="972">
        <v>0.0</v>
      </c>
      <c r="AY46" s="973">
        <v>0.0</v>
      </c>
      <c r="AZ46" s="973">
        <f>+AQ46</f>
        <v/>
      </c>
      <c r="BA46" s="972"/>
      <c r="BB46" s="972">
        <f>SUM(AW46:AW46)</f>
        <v>0</v>
      </c>
      <c r="BC46" s="972">
        <f>+VLOOKUP($B46,GUM!C52:AD84,27,0)</f>
        <v>0</v>
      </c>
      <c r="BD46" s="972" t="e">
        <f>ROUNDUP((BC46-BB46)/$AE$3,)</f>
        <v>#VALUE!</v>
      </c>
      <c r="BE46" s="974"/>
    </row>
    <row r="47" spans="1:65" customHeight="1" ht="15.75" s="833" customFormat="1">
      <c r="A47" s="1284"/>
      <c r="B47" s="1037" t="str">
        <f>+GUM!C53</f>
        <v>82115-0E440.</v>
      </c>
      <c r="C47" s="724" t="str">
        <f>GUM!D53</f>
        <v>K 0001</v>
      </c>
      <c r="D47" s="563"/>
      <c r="E47" s="564"/>
      <c r="F47" s="564"/>
      <c r="G47" s="564"/>
      <c r="H47" s="564"/>
      <c r="I47" s="564"/>
      <c r="J47" s="564"/>
      <c r="K47" s="564"/>
      <c r="L47" s="565"/>
      <c r="M47" s="564" t="e">
        <f>VLOOKUP($B47,#REF!,12,0)</f>
        <v>#REF!</v>
      </c>
      <c r="N47" s="563" t="e">
        <f>VLOOKUP($B47,#REF!,13,0)</f>
        <v>#REF!</v>
      </c>
      <c r="O47" s="564" t="e">
        <f>VLOOKUP($B47,#REF!,14,0)</f>
        <v>#REF!</v>
      </c>
      <c r="P47" s="564" t="e">
        <f>VLOOKUP($B47,#REF!,15,0)</f>
        <v>#REF!</v>
      </c>
      <c r="Q47" s="565" t="e">
        <f>VLOOKUP($B47,#REF!,16,0)</f>
        <v>#REF!</v>
      </c>
      <c r="R47" s="564" t="e">
        <f>SUM(M47:M47)</f>
        <v>#REF!</v>
      </c>
      <c r="S47" s="564" t="e">
        <f>+VLOOKUP($B47,GUM!C53:AD85,15,0)</f>
        <v>#REF!</v>
      </c>
      <c r="T47" s="564" t="e">
        <f>ROUNDUP((S47-R47)/$M$3,0)</f>
        <v>#REF!</v>
      </c>
      <c r="U47" s="567"/>
      <c r="V47" s="564" t="e">
        <f>VLOOKUP($B47,#REF!,17,0)</f>
        <v>#REF!</v>
      </c>
      <c r="W47" s="564" t="e">
        <f>VLOOKUP($B47,#REF!,18,0)</f>
        <v>#REF!</v>
      </c>
      <c r="X47" s="564" t="e">
        <f>VLOOKUP($B47,#REF!,19,0)</f>
        <v>#REF!</v>
      </c>
      <c r="Y47" s="564" t="e">
        <f>VLOOKUP($B47,#REF!,20,0)</f>
        <v>#REF!</v>
      </c>
      <c r="Z47" s="534"/>
      <c r="AA47" s="564" t="e">
        <f>SUM(V47:V47)</f>
        <v>#REF!</v>
      </c>
      <c r="AB47" s="564" t="e">
        <f>+VLOOKUP($B47,GUM!C53:AC85,18,0)</f>
        <v>#REF!</v>
      </c>
      <c r="AC47" s="564" t="e">
        <f>ROUNDUP((AB47-AA47)/$V$3,0)</f>
        <v>#REF!</v>
      </c>
      <c r="AD47" s="569"/>
      <c r="AE47" s="570" t="e">
        <f>VLOOKUP($B47,#REF!,21,0)</f>
        <v>#REF!</v>
      </c>
      <c r="AF47" s="563" t="e">
        <f>VLOOKUP($B47,#REF!,22,0)</f>
        <v>#REF!</v>
      </c>
      <c r="AG47" s="533" t="e">
        <f>VLOOKUP($B47,#REF!,23,0)</f>
        <v>#REF!</v>
      </c>
      <c r="AH47" s="534" t="e">
        <f>VLOOKUP($B47,#REF!,24,0)</f>
        <v>#REF!</v>
      </c>
      <c r="AI47" s="534"/>
      <c r="AJ47" s="564" t="e">
        <f>SUM(AE47:AE47)</f>
        <v>#REF!</v>
      </c>
      <c r="AK47" s="564" t="e">
        <f>+VLOOKUP($B47,GUM!C53:AD85,21,0)</f>
        <v>#REF!</v>
      </c>
      <c r="AL47" s="564" t="e">
        <f>ROUNDUP((AK47-AJ47)/$AE$3,)</f>
        <v>#REF!</v>
      </c>
      <c r="AM47" s="569"/>
      <c r="AN47" s="534" t="e">
        <f>VLOOKUP($B47,#REF!,25,0)</f>
        <v>#REF!</v>
      </c>
      <c r="AO47" s="534" t="e">
        <f>VLOOKUP($B47,#REF!,26,0)</f>
        <v>#REF!</v>
      </c>
      <c r="AP47" s="535" t="e">
        <f>VLOOKUP($B47,#REF!,27,0)</f>
        <v>#REF!</v>
      </c>
      <c r="AQ47" s="535" t="e">
        <f>VLOOKUP($B47,#REF!,28,0)</f>
        <v>#REF!</v>
      </c>
      <c r="AR47" s="534" t="e">
        <f>VLOOKUP($B47,#REF!,29,0)</f>
        <v>#REF!</v>
      </c>
      <c r="AS47" s="564" t="e">
        <f>SUM(AN47:AN47)</f>
        <v>#REF!</v>
      </c>
      <c r="AT47" s="564" t="e">
        <f>+VLOOKUP($B47,GUM!C53:AD85,24,0)</f>
        <v>#REF!</v>
      </c>
      <c r="AU47" s="564" t="e">
        <f>ROUNDUP((AT47-AS47)/$AE$3,)</f>
        <v>#REF!</v>
      </c>
      <c r="AV47" s="569"/>
      <c r="AW47" s="533" t="e">
        <f>VLOOKUP($B47,#REF!,30,0)</f>
        <v>#REF!</v>
      </c>
      <c r="AX47" s="534" t="e">
        <f>VLOOKUP($B47,#REF!,31,0)</f>
        <v>#REF!</v>
      </c>
      <c r="AY47" s="535" t="e">
        <f>VLOOKUP($B47,#REF!,32,0)</f>
        <v>#REF!</v>
      </c>
      <c r="AZ47" s="535" t="e">
        <f>VLOOKUP($B47,#REF!,33,0)</f>
        <v>#REF!</v>
      </c>
      <c r="BA47" s="534"/>
      <c r="BB47" s="564" t="e">
        <f>SUM(AW47:AW47)</f>
        <v>#REF!</v>
      </c>
      <c r="BC47" s="564" t="e">
        <f>+VLOOKUP($B47,GUM!C53:AD85,27,0)</f>
        <v>#REF!</v>
      </c>
      <c r="BD47" s="564" t="e">
        <f>ROUNDUP((BC47-BB47)/$AE$3,)</f>
        <v>#REF!</v>
      </c>
      <c r="BE47" s="569"/>
      <c r="BF47" s="833"/>
    </row>
    <row r="48" spans="1:65" customHeight="1" ht="15.75" s="539" customFormat="1">
      <c r="A48" s="1284"/>
      <c r="B48" s="1038" t="str">
        <f>+GUM!C54</f>
        <v>82115-0E450.</v>
      </c>
      <c r="C48" s="495" t="str">
        <f>GUM!D54</f>
        <v>K 0001</v>
      </c>
      <c r="D48" s="563"/>
      <c r="E48" s="564"/>
      <c r="F48" s="564"/>
      <c r="G48" s="564"/>
      <c r="H48" s="564"/>
      <c r="I48" s="564"/>
      <c r="J48" s="564"/>
      <c r="K48" s="564"/>
      <c r="L48" s="565"/>
      <c r="M48" s="570" t="e">
        <f>VLOOKUP($B48,#REF!,12,0)</f>
        <v>#REF!</v>
      </c>
      <c r="N48" s="563" t="e">
        <f>VLOOKUP($B48,#REF!,13,0)</f>
        <v>#REF!</v>
      </c>
      <c r="O48" s="564" t="e">
        <f>VLOOKUP($B48,#REF!,14,0)</f>
        <v>#REF!</v>
      </c>
      <c r="P48" s="564" t="e">
        <f>VLOOKUP($B48,#REF!,15,0)</f>
        <v>#REF!</v>
      </c>
      <c r="Q48" s="535" t="e">
        <f>VLOOKUP($B48,#REF!,16,0)</f>
        <v>#REF!</v>
      </c>
      <c r="R48" s="564" t="e">
        <f>SUM(M48:M48)</f>
        <v>#REF!</v>
      </c>
      <c r="S48" s="564" t="e">
        <f>+VLOOKUP($B48,GUM!C54:AD86,15,0)</f>
        <v>#REF!</v>
      </c>
      <c r="T48" s="564" t="e">
        <f>ROUNDUP((S48-R48)/$M$3,0)</f>
        <v>#REF!</v>
      </c>
      <c r="U48" s="567"/>
      <c r="V48" s="534" t="e">
        <f>VLOOKUP($B48,#REF!,17,0)</f>
        <v>#REF!</v>
      </c>
      <c r="W48" s="534" t="e">
        <f>VLOOKUP($B48,#REF!,18,0)</f>
        <v>#REF!</v>
      </c>
      <c r="X48" s="534" t="e">
        <f>VLOOKUP($B48,#REF!,19,0)</f>
        <v>#REF!</v>
      </c>
      <c r="Y48" s="534" t="e">
        <f>VLOOKUP($B48,#REF!,20,0)</f>
        <v>#REF!</v>
      </c>
      <c r="Z48" s="534"/>
      <c r="AA48" s="564" t="e">
        <f>SUM(V48:V48)</f>
        <v>#REF!</v>
      </c>
      <c r="AB48" s="564" t="e">
        <f>+VLOOKUP($B48,GUM!C54:AC86,18,0)</f>
        <v>#REF!</v>
      </c>
      <c r="AC48" s="564" t="e">
        <f>ROUNDUP((AB48-AA48)/$V$3,0)</f>
        <v>#REF!</v>
      </c>
      <c r="AD48" s="569"/>
      <c r="AE48" s="570" t="e">
        <f>VLOOKUP($B48,#REF!,21,0)</f>
        <v>#REF!</v>
      </c>
      <c r="AF48" s="563" t="e">
        <f>VLOOKUP($B48,#REF!,22,0)</f>
        <v>#REF!</v>
      </c>
      <c r="AG48" s="533" t="e">
        <f>VLOOKUP($B48,#REF!,23,0)</f>
        <v>#REF!</v>
      </c>
      <c r="AH48" s="534" t="e">
        <f>VLOOKUP($B48,#REF!,24,0)</f>
        <v>#REF!</v>
      </c>
      <c r="AI48" s="534"/>
      <c r="AJ48" s="564" t="e">
        <f>SUM(AE48:AE48)</f>
        <v>#REF!</v>
      </c>
      <c r="AK48" s="564" t="e">
        <f>+VLOOKUP($B48,GUM!C54:AD86,21,0)</f>
        <v>#REF!</v>
      </c>
      <c r="AL48" s="564" t="e">
        <f>ROUNDUP((AK48-AJ48)/$AE$3,)</f>
        <v>#REF!</v>
      </c>
      <c r="AM48" s="569"/>
      <c r="AN48" s="534" t="e">
        <f>VLOOKUP($B48,#REF!,25,0)</f>
        <v>#REF!</v>
      </c>
      <c r="AO48" s="534" t="e">
        <f>VLOOKUP($B48,#REF!,26,0)</f>
        <v>#REF!</v>
      </c>
      <c r="AP48" s="535" t="e">
        <f>VLOOKUP($B48,#REF!,27,0)</f>
        <v>#REF!</v>
      </c>
      <c r="AQ48" s="535" t="e">
        <f>VLOOKUP($B48,#REF!,28,0)</f>
        <v>#REF!</v>
      </c>
      <c r="AR48" s="534" t="e">
        <f>VLOOKUP($B48,#REF!,29,0)</f>
        <v>#REF!</v>
      </c>
      <c r="AS48" s="564" t="e">
        <f>SUM(AN48:AN48)</f>
        <v>#REF!</v>
      </c>
      <c r="AT48" s="564" t="e">
        <f>+VLOOKUP($B48,GUM!C54:AD86,24,0)</f>
        <v>#REF!</v>
      </c>
      <c r="AU48" s="564" t="e">
        <f>ROUNDUP((AT48-AS48)/$AE$3,)</f>
        <v>#REF!</v>
      </c>
      <c r="AV48" s="569"/>
      <c r="AW48" s="533" t="e">
        <f>VLOOKUP($B48,#REF!,30,0)</f>
        <v>#REF!</v>
      </c>
      <c r="AX48" s="534" t="e">
        <f>VLOOKUP($B48,#REF!,31,0)</f>
        <v>#REF!</v>
      </c>
      <c r="AY48" s="535" t="e">
        <f>VLOOKUP($B48,#REF!,32,0)</f>
        <v>#REF!</v>
      </c>
      <c r="AZ48" s="535" t="e">
        <f>VLOOKUP($B48,#REF!,33,0)</f>
        <v>#REF!</v>
      </c>
      <c r="BA48" s="534"/>
      <c r="BB48" s="564" t="e">
        <f>SUM(AW48:AW48)</f>
        <v>#REF!</v>
      </c>
      <c r="BC48" s="564" t="e">
        <f>+VLOOKUP($B48,GUM!C54:AD86,27,0)</f>
        <v>#REF!</v>
      </c>
      <c r="BD48" s="564" t="e">
        <f>ROUNDUP((BC48-BB48)/$AE$3,)</f>
        <v>#REF!</v>
      </c>
      <c r="BE48" s="569"/>
    </row>
    <row r="49" spans="1:65" customHeight="1" ht="15.75" s="539" customFormat="1">
      <c r="A49" s="1284"/>
      <c r="B49" s="1038" t="str">
        <f>+GUM!C55</f>
        <v>82115-0E460.</v>
      </c>
      <c r="C49" s="495" t="str">
        <f>GUM!D55</f>
        <v>K 0001</v>
      </c>
      <c r="D49" s="524"/>
      <c r="E49" s="525"/>
      <c r="F49" s="525"/>
      <c r="G49" s="525"/>
      <c r="H49" s="525"/>
      <c r="I49" s="525"/>
      <c r="J49" s="525"/>
      <c r="K49" s="525"/>
      <c r="L49" s="526"/>
      <c r="M49" s="528" t="e">
        <f>VLOOKUP($B49,#REF!,12,0)</f>
        <v>#REF!</v>
      </c>
      <c r="N49" s="524" t="e">
        <f>VLOOKUP($B49,#REF!,13,0)</f>
        <v>#REF!</v>
      </c>
      <c r="O49" s="525" t="e">
        <f>VLOOKUP($B49,#REF!,14,0)</f>
        <v>#REF!</v>
      </c>
      <c r="P49" s="525" t="e">
        <f>VLOOKUP($B49,#REF!,15,0)</f>
        <v>#REF!</v>
      </c>
      <c r="Q49" s="861" t="e">
        <f>VLOOKUP($B49,#REF!,16,0)</f>
        <v>#REF!</v>
      </c>
      <c r="R49" s="525" t="e">
        <f>SUM(M49:M49)</f>
        <v>#REF!</v>
      </c>
      <c r="S49" s="525" t="e">
        <f>+VLOOKUP($B49,GUM!C55:AD87,15,0)</f>
        <v>#REF!</v>
      </c>
      <c r="T49" s="525" t="e">
        <f>ROUNDUP((S49-R49)/$M$3,0)</f>
        <v>#REF!</v>
      </c>
      <c r="U49" s="527"/>
      <c r="V49" s="540" t="e">
        <f>VLOOKUP($B49,#REF!,17,0)</f>
        <v>#REF!</v>
      </c>
      <c r="W49" s="540" t="e">
        <f>VLOOKUP($B49,#REF!,18,0)</f>
        <v>#REF!</v>
      </c>
      <c r="X49" s="540" t="e">
        <f>VLOOKUP($B49,#REF!,19,0)</f>
        <v>#REF!</v>
      </c>
      <c r="Y49" s="540" t="e">
        <f>VLOOKUP($B49,#REF!,20,0)</f>
        <v>#REF!</v>
      </c>
      <c r="Z49" s="540"/>
      <c r="AA49" s="525" t="e">
        <f>SUM(V49:V49)</f>
        <v>#REF!</v>
      </c>
      <c r="AB49" s="525" t="e">
        <f>+VLOOKUP($B49,GUM!C55:AC87,18,0)</f>
        <v>#REF!</v>
      </c>
      <c r="AC49" s="525" t="e">
        <f>ROUNDUP((AB49-AA49)/$V$3,0)</f>
        <v>#REF!</v>
      </c>
      <c r="AD49" s="527"/>
      <c r="AE49" s="528" t="e">
        <f>VLOOKUP($B49,#REF!,21,0)</f>
        <v>#REF!</v>
      </c>
      <c r="AF49" s="524" t="e">
        <f>VLOOKUP($B49,#REF!,22,0)</f>
        <v>#REF!</v>
      </c>
      <c r="AG49" s="860" t="e">
        <f>VLOOKUP($B49,#REF!,23,0)</f>
        <v>#REF!</v>
      </c>
      <c r="AH49" s="540" t="e">
        <f>VLOOKUP($B49,#REF!,24,0)</f>
        <v>#REF!</v>
      </c>
      <c r="AI49" s="540"/>
      <c r="AJ49" s="525" t="e">
        <f>SUM(AE49:AE49)</f>
        <v>#REF!</v>
      </c>
      <c r="AK49" s="525" t="e">
        <f>+VLOOKUP($B49,GUM!C55:AD87,21,0)</f>
        <v>#REF!</v>
      </c>
      <c r="AL49" s="525" t="e">
        <f>ROUNDUP((AK49-AJ49)/$AE$3,)</f>
        <v>#REF!</v>
      </c>
      <c r="AM49" s="527"/>
      <c r="AN49" s="540" t="e">
        <f>VLOOKUP($B49,#REF!,25,0)</f>
        <v>#REF!</v>
      </c>
      <c r="AO49" s="540" t="e">
        <f>VLOOKUP($B49,#REF!,26,0)</f>
        <v>#REF!</v>
      </c>
      <c r="AP49" s="861" t="e">
        <f>VLOOKUP($B49,#REF!,27,0)</f>
        <v>#REF!</v>
      </c>
      <c r="AQ49" s="861" t="e">
        <f>VLOOKUP($B49,#REF!,28,0)</f>
        <v>#REF!</v>
      </c>
      <c r="AR49" s="540" t="e">
        <f>VLOOKUP($B49,#REF!,29,0)</f>
        <v>#REF!</v>
      </c>
      <c r="AS49" s="525" t="e">
        <f>SUM(AN49:AN49)</f>
        <v>#REF!</v>
      </c>
      <c r="AT49" s="525" t="e">
        <f>+VLOOKUP($B49,GUM!C55:AD87,24,0)</f>
        <v>#REF!</v>
      </c>
      <c r="AU49" s="525" t="e">
        <f>ROUNDUP((AT49-AS49)/$AE$3,)</f>
        <v>#REF!</v>
      </c>
      <c r="AV49" s="527"/>
      <c r="AW49" s="860" t="e">
        <f>VLOOKUP($B49,#REF!,30,0)</f>
        <v>#REF!</v>
      </c>
      <c r="AX49" s="540" t="e">
        <f>VLOOKUP($B49,#REF!,31,0)</f>
        <v>#REF!</v>
      </c>
      <c r="AY49" s="861" t="e">
        <f>VLOOKUP($B49,#REF!,32,0)</f>
        <v>#REF!</v>
      </c>
      <c r="AZ49" s="861" t="e">
        <f>VLOOKUP($B49,#REF!,33,0)</f>
        <v>#REF!</v>
      </c>
      <c r="BA49" s="540"/>
      <c r="BB49" s="525" t="e">
        <f>SUM(AW49:AW49)</f>
        <v>#REF!</v>
      </c>
      <c r="BC49" s="525" t="e">
        <f>+VLOOKUP($B49,GUM!C55:AD87,27,0)</f>
        <v>#REF!</v>
      </c>
      <c r="BD49" s="525" t="e">
        <f>ROUNDUP((BC49-BB49)/$AE$3,)</f>
        <v>#REF!</v>
      </c>
      <c r="BE49" s="527"/>
      <c r="BF49" s="539"/>
    </row>
    <row r="50" spans="1:65" customHeight="1" ht="15.75" s="930" customFormat="1">
      <c r="A50" s="1284"/>
      <c r="B50" s="1039" t="str">
        <f>+GUM!C56</f>
        <v>82115-0EA00.</v>
      </c>
      <c r="C50" s="797" t="str">
        <f>GUM!D56</f>
        <v>K 0001</v>
      </c>
      <c r="D50" s="798"/>
      <c r="E50" s="799"/>
      <c r="F50" s="799"/>
      <c r="G50" s="799"/>
      <c r="H50" s="799"/>
      <c r="I50" s="799"/>
      <c r="J50" s="799"/>
      <c r="K50" s="799"/>
      <c r="L50" s="800"/>
      <c r="M50" s="803" t="e">
        <f>VLOOKUP($B50,#REF!,12,0)</f>
        <v>#REF!</v>
      </c>
      <c r="N50" s="798" t="e">
        <f>VLOOKUP($B50,#REF!,13,0)</f>
        <v>#REF!</v>
      </c>
      <c r="O50" s="799" t="e">
        <f>VLOOKUP($B50,#REF!,14,0)</f>
        <v>#REF!</v>
      </c>
      <c r="P50" s="799" t="e">
        <f>VLOOKUP($B50,#REF!,15,0)</f>
        <v>#REF!</v>
      </c>
      <c r="Q50" s="929" t="e">
        <f>VLOOKUP($B50,#REF!,16,0)</f>
        <v>#REF!</v>
      </c>
      <c r="R50" s="799" t="e">
        <f>SUM(M50:M50)</f>
        <v>#REF!</v>
      </c>
      <c r="S50" s="799" t="e">
        <f>+VLOOKUP($B50,GUM!C56:AD88,15,0)</f>
        <v>#REF!</v>
      </c>
      <c r="T50" s="799" t="e">
        <f>ROUNDUP((S50-R50)/$M$3,0)</f>
        <v>#REF!</v>
      </c>
      <c r="U50" s="804"/>
      <c r="V50" s="801" t="e">
        <f>VLOOKUP($B50,#REF!,17,0)</f>
        <v>#REF!</v>
      </c>
      <c r="W50" s="801" t="e">
        <f>VLOOKUP($B50,#REF!,18,0)</f>
        <v>#REF!</v>
      </c>
      <c r="X50" s="801" t="e">
        <f>VLOOKUP($B50,#REF!,19,0)</f>
        <v>#REF!</v>
      </c>
      <c r="Y50" s="801" t="e">
        <f>VLOOKUP($B50,#REF!,20,0)</f>
        <v>#REF!</v>
      </c>
      <c r="Z50" s="801"/>
      <c r="AA50" s="799" t="e">
        <f>SUM(V50:V50)</f>
        <v>#REF!</v>
      </c>
      <c r="AB50" s="799" t="e">
        <f>+VLOOKUP($B50,GUM!C56:AC88,18,0)</f>
        <v>#REF!</v>
      </c>
      <c r="AC50" s="799" t="e">
        <f>ROUNDUP((AB50-AA50)/$V$3,0)</f>
        <v>#REF!</v>
      </c>
      <c r="AD50" s="802"/>
      <c r="AE50" s="803" t="e">
        <f>VLOOKUP($B50,#REF!,21,0)</f>
        <v>#REF!</v>
      </c>
      <c r="AF50" s="798" t="e">
        <f>VLOOKUP($B50,#REF!,22,0)</f>
        <v>#REF!</v>
      </c>
      <c r="AG50" s="928" t="e">
        <f>VLOOKUP($B50,#REF!,23,0)</f>
        <v>#REF!</v>
      </c>
      <c r="AH50" s="801" t="e">
        <f>VLOOKUP($B50,#REF!,24,0)</f>
        <v>#REF!</v>
      </c>
      <c r="AI50" s="801"/>
      <c r="AJ50" s="799" t="e">
        <f>SUM(AE50:AE50)</f>
        <v>#REF!</v>
      </c>
      <c r="AK50" s="799" t="e">
        <f>+VLOOKUP($B50,GUM!C56:AD88,21,0)</f>
        <v>#REF!</v>
      </c>
      <c r="AL50" s="799" t="e">
        <f>ROUNDUP((AK50-AJ50)/$AE$3,)</f>
        <v>#REF!</v>
      </c>
      <c r="AM50" s="802"/>
      <c r="AN50" s="801" t="e">
        <f>VLOOKUP($B50,#REF!,25,0)</f>
        <v>#REF!</v>
      </c>
      <c r="AO50" s="801" t="e">
        <f>VLOOKUP($B50,#REF!,26,0)</f>
        <v>#REF!</v>
      </c>
      <c r="AP50" s="929" t="e">
        <f>VLOOKUP($B50,#REF!,27,0)</f>
        <v>#REF!</v>
      </c>
      <c r="AQ50" s="929" t="e">
        <f>VLOOKUP($B50,#REF!,28,0)</f>
        <v>#REF!</v>
      </c>
      <c r="AR50" s="801" t="e">
        <f>VLOOKUP($B50,#REF!,29,0)</f>
        <v>#REF!</v>
      </c>
      <c r="AS50" s="799" t="e">
        <f>SUM(AN50:AN50)</f>
        <v>#REF!</v>
      </c>
      <c r="AT50" s="799" t="e">
        <f>+VLOOKUP($B50,GUM!C56:AD88,24,0)</f>
        <v>#REF!</v>
      </c>
      <c r="AU50" s="799" t="e">
        <f>ROUNDUP((AT50-AS50)/$AE$3,)</f>
        <v>#REF!</v>
      </c>
      <c r="AV50" s="802"/>
      <c r="AW50" s="928" t="e">
        <f>VLOOKUP($B50,#REF!,30,0)</f>
        <v>#REF!</v>
      </c>
      <c r="AX50" s="801" t="e">
        <f>VLOOKUP($B50,#REF!,31,0)</f>
        <v>#REF!</v>
      </c>
      <c r="AY50" s="929" t="e">
        <f>VLOOKUP($B50,#REF!,32,0)</f>
        <v>#REF!</v>
      </c>
      <c r="AZ50" s="929" t="e">
        <f>VLOOKUP($B50,#REF!,33,0)</f>
        <v>#REF!</v>
      </c>
      <c r="BA50" s="801"/>
      <c r="BB50" s="799" t="e">
        <f>SUM(AW50:AW50)</f>
        <v>#REF!</v>
      </c>
      <c r="BC50" s="799" t="e">
        <f>+VLOOKUP($B50,GUM!C56:AD88,27,0)</f>
        <v>#REF!</v>
      </c>
      <c r="BD50" s="799" t="e">
        <f>ROUNDUP((BC50-BB50)/$AE$3,)</f>
        <v>#REF!</v>
      </c>
      <c r="BE50" s="802"/>
      <c r="BF50" s="930"/>
    </row>
    <row r="51" spans="1:65" customHeight="1" ht="15" s="517" customFormat="1">
      <c r="A51" s="1284"/>
      <c r="B51" s="1037" t="str">
        <f>+GUM!C57</f>
        <v>82115-0E440 L</v>
      </c>
      <c r="C51" s="724" t="str">
        <f>GUM!D57</f>
        <v>L 0001</v>
      </c>
      <c r="D51" s="563"/>
      <c r="E51" s="564"/>
      <c r="F51" s="564"/>
      <c r="G51" s="564"/>
      <c r="H51" s="564"/>
      <c r="I51" s="564"/>
      <c r="J51" s="564"/>
      <c r="K51" s="564"/>
      <c r="L51" s="565"/>
      <c r="M51" s="564" t="e">
        <f>VLOOKUP($B51,#REF!,12,0)</f>
        <v>#REF!</v>
      </c>
      <c r="N51" s="563" t="e">
        <f>VLOOKUP($B51,#REF!,13,0)</f>
        <v>#REF!</v>
      </c>
      <c r="O51" s="564" t="e">
        <f>VLOOKUP($B51,#REF!,14,0)</f>
        <v>#REF!</v>
      </c>
      <c r="P51" s="564" t="e">
        <f>VLOOKUP($B51,#REF!,15,0)</f>
        <v>#REF!</v>
      </c>
      <c r="Q51" s="565" t="e">
        <f>VLOOKUP($B51,#REF!,16,0)</f>
        <v>#REF!</v>
      </c>
      <c r="R51" s="564" t="e">
        <f>SUM(M51:M51)</f>
        <v>#REF!</v>
      </c>
      <c r="S51" s="564" t="e">
        <f>+VLOOKUP($B51,GUM!C57:AD89,15,0)</f>
        <v>#REF!</v>
      </c>
      <c r="T51" s="564" t="e">
        <f>ROUNDUP((S51-R51)/$M$3,0)</f>
        <v>#REF!</v>
      </c>
      <c r="U51" s="567"/>
      <c r="V51" s="564" t="e">
        <f>VLOOKUP($B51,#REF!,17,0)</f>
        <v>#REF!</v>
      </c>
      <c r="W51" s="564" t="e">
        <f>VLOOKUP($B51,#REF!,18,0)</f>
        <v>#REF!</v>
      </c>
      <c r="X51" s="564" t="e">
        <f>VLOOKUP($B51,#REF!,19,0)</f>
        <v>#REF!</v>
      </c>
      <c r="Y51" s="564" t="e">
        <f>VLOOKUP($B51,#REF!,20,0)</f>
        <v>#REF!</v>
      </c>
      <c r="Z51" s="534"/>
      <c r="AA51" s="564" t="e">
        <f>SUM(V51:V51)</f>
        <v>#REF!</v>
      </c>
      <c r="AB51" s="564" t="e">
        <f>+VLOOKUP($B51,GUM!C57:AC89,18,0)</f>
        <v>#REF!</v>
      </c>
      <c r="AC51" s="564" t="e">
        <f>ROUNDUP((AB51-AA51)/$V$3,0)</f>
        <v>#REF!</v>
      </c>
      <c r="AD51" s="569"/>
      <c r="AE51" s="570" t="e">
        <f>VLOOKUP($B51,#REF!,21,0)</f>
        <v>#REF!</v>
      </c>
      <c r="AF51" s="563" t="e">
        <f>VLOOKUP($B51,#REF!,22,0)</f>
        <v>#REF!</v>
      </c>
      <c r="AG51" s="533" t="e">
        <f>VLOOKUP($B51,#REF!,23,0)</f>
        <v>#REF!</v>
      </c>
      <c r="AH51" s="534" t="e">
        <f>VLOOKUP($B51,#REF!,24,0)</f>
        <v>#REF!</v>
      </c>
      <c r="AI51" s="534"/>
      <c r="AJ51" s="564" t="e">
        <f>SUM(AE51:AE51)</f>
        <v>#REF!</v>
      </c>
      <c r="AK51" s="564" t="e">
        <f>+VLOOKUP($B51,GUM!C57:AD89,21,0)</f>
        <v>#REF!</v>
      </c>
      <c r="AL51" s="564" t="e">
        <f>ROUNDUP((AK51-AJ51)/$AE$3,)</f>
        <v>#REF!</v>
      </c>
      <c r="AM51" s="569"/>
      <c r="AN51" s="534" t="e">
        <f>VLOOKUP($B51,#REF!,25,0)</f>
        <v>#REF!</v>
      </c>
      <c r="AO51" s="534" t="e">
        <f>VLOOKUP($B51,#REF!,26,0)</f>
        <v>#REF!</v>
      </c>
      <c r="AP51" s="535" t="e">
        <f>VLOOKUP($B51,#REF!,27,0)</f>
        <v>#REF!</v>
      </c>
      <c r="AQ51" s="535" t="e">
        <f>VLOOKUP($B51,#REF!,28,0)</f>
        <v>#REF!</v>
      </c>
      <c r="AR51" s="534" t="e">
        <f>VLOOKUP($B51,#REF!,29,0)</f>
        <v>#REF!</v>
      </c>
      <c r="AS51" s="564" t="e">
        <f>SUM(AN51:AN51)</f>
        <v>#REF!</v>
      </c>
      <c r="AT51" s="564" t="e">
        <f>+VLOOKUP($B51,GUM!C57:AD89,24,0)</f>
        <v>#REF!</v>
      </c>
      <c r="AU51" s="564" t="e">
        <f>ROUNDUP((AT51-AS51)/$AE$3,)</f>
        <v>#REF!</v>
      </c>
      <c r="AV51" s="569"/>
      <c r="AW51" s="533" t="e">
        <f>VLOOKUP($B51,#REF!,30,0)</f>
        <v>#REF!</v>
      </c>
      <c r="AX51" s="534" t="e">
        <f>VLOOKUP($B51,#REF!,31,0)</f>
        <v>#REF!</v>
      </c>
      <c r="AY51" s="535" t="e">
        <f>VLOOKUP($B51,#REF!,32,0)</f>
        <v>#REF!</v>
      </c>
      <c r="AZ51" s="535" t="e">
        <f>VLOOKUP($B51,#REF!,33,0)</f>
        <v>#REF!</v>
      </c>
      <c r="BA51" s="534"/>
      <c r="BB51" s="564" t="e">
        <f>SUM(AW51:AW51)</f>
        <v>#REF!</v>
      </c>
      <c r="BC51" s="564" t="e">
        <f>+VLOOKUP($B51,GUM!C57:AD89,27,0)</f>
        <v>#REF!</v>
      </c>
      <c r="BD51" s="564" t="e">
        <f>ROUNDUP((BC51-BB51)/$AE$3,)</f>
        <v>#REF!</v>
      </c>
      <c r="BE51" s="569"/>
    </row>
    <row r="52" spans="1:65" customHeight="1" ht="15.75" s="517" customFormat="1">
      <c r="A52" s="1284"/>
      <c r="B52" s="1038" t="str">
        <f>+GUM!C58</f>
        <v>82115-0E450 L</v>
      </c>
      <c r="C52" s="495" t="str">
        <f>GUM!D58</f>
        <v>L 0001</v>
      </c>
      <c r="D52" s="563"/>
      <c r="E52" s="564"/>
      <c r="F52" s="564"/>
      <c r="G52" s="564"/>
      <c r="H52" s="564"/>
      <c r="I52" s="564"/>
      <c r="J52" s="564"/>
      <c r="K52" s="564"/>
      <c r="L52" s="565"/>
      <c r="M52" s="570" t="e">
        <f>VLOOKUP($B52,#REF!,12,0)</f>
        <v>#REF!</v>
      </c>
      <c r="N52" s="563" t="e">
        <f>VLOOKUP($B52,#REF!,13,0)</f>
        <v>#REF!</v>
      </c>
      <c r="O52" s="564" t="e">
        <f>VLOOKUP($B52,#REF!,14,0)</f>
        <v>#REF!</v>
      </c>
      <c r="P52" s="564" t="e">
        <f>VLOOKUP($B52,#REF!,15,0)</f>
        <v>#REF!</v>
      </c>
      <c r="Q52" s="535" t="e">
        <f>VLOOKUP($B52,#REF!,16,0)</f>
        <v>#REF!</v>
      </c>
      <c r="R52" s="564" t="e">
        <f>SUM(M52:M52)</f>
        <v>#REF!</v>
      </c>
      <c r="S52" s="564" t="e">
        <f>+VLOOKUP($B52,GUM!C58:AD90,15,0)</f>
        <v>#REF!</v>
      </c>
      <c r="T52" s="564" t="e">
        <f>ROUNDUP((S52-R52)/$M$3,0)</f>
        <v>#REF!</v>
      </c>
      <c r="U52" s="567"/>
      <c r="V52" s="534" t="e">
        <f>VLOOKUP($B52,#REF!,17,0)</f>
        <v>#REF!</v>
      </c>
      <c r="W52" s="534" t="e">
        <f>VLOOKUP($B52,#REF!,18,0)</f>
        <v>#REF!</v>
      </c>
      <c r="X52" s="534" t="e">
        <f>VLOOKUP($B52,#REF!,19,0)</f>
        <v>#REF!</v>
      </c>
      <c r="Y52" s="534" t="e">
        <f>VLOOKUP($B52,#REF!,20,0)</f>
        <v>#REF!</v>
      </c>
      <c r="Z52" s="534"/>
      <c r="AA52" s="564" t="e">
        <f>SUM(V52:V52)</f>
        <v>#REF!</v>
      </c>
      <c r="AB52" s="564" t="e">
        <f>+VLOOKUP($B52,GUM!C58:AC90,18,0)</f>
        <v>#REF!</v>
      </c>
      <c r="AC52" s="564" t="e">
        <f>ROUNDUP((AB52-AA52)/$V$3,0)</f>
        <v>#REF!</v>
      </c>
      <c r="AD52" s="569"/>
      <c r="AE52" s="570" t="e">
        <f>VLOOKUP($B52,#REF!,21,0)</f>
        <v>#REF!</v>
      </c>
      <c r="AF52" s="563" t="e">
        <f>VLOOKUP($B52,#REF!,22,0)</f>
        <v>#REF!</v>
      </c>
      <c r="AG52" s="533" t="e">
        <f>VLOOKUP($B52,#REF!,23,0)</f>
        <v>#REF!</v>
      </c>
      <c r="AH52" s="534" t="e">
        <f>VLOOKUP($B52,#REF!,24,0)</f>
        <v>#REF!</v>
      </c>
      <c r="AI52" s="534"/>
      <c r="AJ52" s="564" t="e">
        <f>SUM(AE52:AE52)</f>
        <v>#REF!</v>
      </c>
      <c r="AK52" s="564" t="e">
        <f>+VLOOKUP($B52,GUM!C58:AD90,21,0)</f>
        <v>#REF!</v>
      </c>
      <c r="AL52" s="564" t="e">
        <f>ROUNDUP((AK52-AJ52)/$AE$3,)</f>
        <v>#REF!</v>
      </c>
      <c r="AM52" s="569"/>
      <c r="AN52" s="534" t="e">
        <f>VLOOKUP($B52,#REF!,25,0)</f>
        <v>#REF!</v>
      </c>
      <c r="AO52" s="534" t="e">
        <f>VLOOKUP($B52,#REF!,26,0)</f>
        <v>#REF!</v>
      </c>
      <c r="AP52" s="535" t="e">
        <f>VLOOKUP($B52,#REF!,27,0)</f>
        <v>#REF!</v>
      </c>
      <c r="AQ52" s="535" t="e">
        <f>VLOOKUP($B52,#REF!,28,0)</f>
        <v>#REF!</v>
      </c>
      <c r="AR52" s="534" t="e">
        <f>VLOOKUP($B52,#REF!,29,0)</f>
        <v>#REF!</v>
      </c>
      <c r="AS52" s="564" t="e">
        <f>SUM(AN52:AN52)</f>
        <v>#REF!</v>
      </c>
      <c r="AT52" s="564" t="e">
        <f>+VLOOKUP($B52,GUM!C58:AD90,24,0)</f>
        <v>#REF!</v>
      </c>
      <c r="AU52" s="564" t="e">
        <f>ROUNDUP((AT52-AS52)/$AE$3,)</f>
        <v>#REF!</v>
      </c>
      <c r="AV52" s="569"/>
      <c r="AW52" s="533" t="e">
        <f>VLOOKUP($B52,#REF!,30,0)</f>
        <v>#REF!</v>
      </c>
      <c r="AX52" s="534" t="e">
        <f>VLOOKUP($B52,#REF!,31,0)</f>
        <v>#REF!</v>
      </c>
      <c r="AY52" s="535" t="e">
        <f>VLOOKUP($B52,#REF!,32,0)</f>
        <v>#REF!</v>
      </c>
      <c r="AZ52" s="535" t="e">
        <f>VLOOKUP($B52,#REF!,33,0)</f>
        <v>#REF!</v>
      </c>
      <c r="BA52" s="534"/>
      <c r="BB52" s="564" t="e">
        <f>SUM(AW52:AW52)</f>
        <v>#REF!</v>
      </c>
      <c r="BC52" s="564" t="e">
        <f>+VLOOKUP($B52,GUM!C58:AD90,27,0)</f>
        <v>#REF!</v>
      </c>
      <c r="BD52" s="564" t="e">
        <f>ROUNDUP((BC52-BB52)/$AE$3,)</f>
        <v>#REF!</v>
      </c>
      <c r="BE52" s="569"/>
    </row>
    <row r="53" spans="1:65" customHeight="1" ht="15.75" s="517" customFormat="1">
      <c r="A53" s="1284"/>
      <c r="B53" s="1038" t="str">
        <f>+GUM!C59</f>
        <v>82115-0E460 L</v>
      </c>
      <c r="C53" s="495" t="str">
        <f>GUM!D59</f>
        <v>L 0001</v>
      </c>
      <c r="D53" s="524"/>
      <c r="E53" s="525"/>
      <c r="F53" s="525"/>
      <c r="G53" s="525"/>
      <c r="H53" s="525"/>
      <c r="I53" s="525"/>
      <c r="J53" s="525"/>
      <c r="K53" s="525"/>
      <c r="L53" s="526"/>
      <c r="M53" s="528" t="e">
        <f>VLOOKUP($B53,#REF!,12,0)</f>
        <v>#REF!</v>
      </c>
      <c r="N53" s="524" t="e">
        <f>VLOOKUP($B53,#REF!,13,0)</f>
        <v>#REF!</v>
      </c>
      <c r="O53" s="525" t="e">
        <f>VLOOKUP($B53,#REF!,14,0)</f>
        <v>#REF!</v>
      </c>
      <c r="P53" s="525" t="e">
        <f>VLOOKUP($B53,#REF!,15,0)</f>
        <v>#REF!</v>
      </c>
      <c r="Q53" s="861" t="e">
        <f>VLOOKUP($B53,#REF!,16,0)</f>
        <v>#REF!</v>
      </c>
      <c r="R53" s="525" t="e">
        <f>SUM(M53:M53)</f>
        <v>#REF!</v>
      </c>
      <c r="S53" s="525" t="e">
        <f>+VLOOKUP($B53,GUM!C59:AD91,15,0)</f>
        <v>#REF!</v>
      </c>
      <c r="T53" s="525" t="e">
        <f>ROUNDUP((S53-R53)/$M$3,0)</f>
        <v>#REF!</v>
      </c>
      <c r="U53" s="527"/>
      <c r="V53" s="540" t="e">
        <f>VLOOKUP($B53,#REF!,17,0)</f>
        <v>#REF!</v>
      </c>
      <c r="W53" s="540" t="e">
        <f>VLOOKUP($B53,#REF!,18,0)</f>
        <v>#REF!</v>
      </c>
      <c r="X53" s="540" t="e">
        <f>VLOOKUP($B53,#REF!,19,0)</f>
        <v>#REF!</v>
      </c>
      <c r="Y53" s="540" t="e">
        <f>VLOOKUP($B53,#REF!,20,0)</f>
        <v>#REF!</v>
      </c>
      <c r="Z53" s="540"/>
      <c r="AA53" s="525" t="e">
        <f>SUM(V53:V53)</f>
        <v>#REF!</v>
      </c>
      <c r="AB53" s="525" t="e">
        <f>+VLOOKUP($B53,GUM!C59:AC91,18,0)</f>
        <v>#REF!</v>
      </c>
      <c r="AC53" s="525" t="e">
        <f>ROUNDUP((AB53-AA53)/$V$3,0)</f>
        <v>#REF!</v>
      </c>
      <c r="AD53" s="527"/>
      <c r="AE53" s="528" t="e">
        <f>VLOOKUP($B53,#REF!,21,0)</f>
        <v>#REF!</v>
      </c>
      <c r="AF53" s="524" t="e">
        <f>VLOOKUP($B53,#REF!,22,0)</f>
        <v>#REF!</v>
      </c>
      <c r="AG53" s="860" t="e">
        <f>VLOOKUP($B53,#REF!,23,0)</f>
        <v>#REF!</v>
      </c>
      <c r="AH53" s="540" t="e">
        <f>VLOOKUP($B53,#REF!,24,0)</f>
        <v>#REF!</v>
      </c>
      <c r="AI53" s="540"/>
      <c r="AJ53" s="525" t="e">
        <f>SUM(AE53:AE53)</f>
        <v>#REF!</v>
      </c>
      <c r="AK53" s="525" t="e">
        <f>+VLOOKUP($B53,GUM!C59:AD91,21,0)</f>
        <v>#REF!</v>
      </c>
      <c r="AL53" s="525" t="e">
        <f>ROUNDUP((AK53-AJ53)/$AE$3,)</f>
        <v>#REF!</v>
      </c>
      <c r="AM53" s="527"/>
      <c r="AN53" s="540" t="e">
        <f>VLOOKUP($B53,#REF!,25,0)</f>
        <v>#REF!</v>
      </c>
      <c r="AO53" s="540" t="e">
        <f>VLOOKUP($B53,#REF!,26,0)</f>
        <v>#REF!</v>
      </c>
      <c r="AP53" s="861" t="e">
        <f>VLOOKUP($B53,#REF!,27,0)</f>
        <v>#REF!</v>
      </c>
      <c r="AQ53" s="861" t="e">
        <f>VLOOKUP($B53,#REF!,28,0)</f>
        <v>#REF!</v>
      </c>
      <c r="AR53" s="540" t="e">
        <f>VLOOKUP($B53,#REF!,29,0)</f>
        <v>#REF!</v>
      </c>
      <c r="AS53" s="525" t="e">
        <f>SUM(AN53:AN53)</f>
        <v>#REF!</v>
      </c>
      <c r="AT53" s="525" t="e">
        <f>+VLOOKUP($B53,GUM!C59:AD91,24,0)</f>
        <v>#REF!</v>
      </c>
      <c r="AU53" s="525" t="e">
        <f>ROUNDUP((AT53-AS53)/$AE$3,)</f>
        <v>#REF!</v>
      </c>
      <c r="AV53" s="527"/>
      <c r="AW53" s="860" t="e">
        <f>VLOOKUP($B53,#REF!,30,0)</f>
        <v>#REF!</v>
      </c>
      <c r="AX53" s="540" t="e">
        <f>VLOOKUP($B53,#REF!,31,0)</f>
        <v>#REF!</v>
      </c>
      <c r="AY53" s="861" t="e">
        <f>VLOOKUP($B53,#REF!,32,0)</f>
        <v>#REF!</v>
      </c>
      <c r="AZ53" s="861" t="e">
        <f>VLOOKUP($B53,#REF!,33,0)</f>
        <v>#REF!</v>
      </c>
      <c r="BA53" s="540"/>
      <c r="BB53" s="525" t="e">
        <f>SUM(AW53:AW53)</f>
        <v>#REF!</v>
      </c>
      <c r="BC53" s="525" t="e">
        <f>+VLOOKUP($B53,GUM!C59:AD91,27,0)</f>
        <v>#REF!</v>
      </c>
      <c r="BD53" s="525" t="e">
        <f>ROUNDUP((BC53-BB53)/$AE$3,)</f>
        <v>#REF!</v>
      </c>
      <c r="BE53" s="527"/>
    </row>
    <row r="54" spans="1:65" customHeight="1" ht="15.75" s="532" customFormat="1">
      <c r="A54" s="1284"/>
      <c r="B54" s="1039" t="str">
        <f>+GUM!C60</f>
        <v>82115-0EA00 L</v>
      </c>
      <c r="C54" s="797" t="str">
        <f>GUM!D60</f>
        <v>L 0001</v>
      </c>
      <c r="D54" s="798"/>
      <c r="E54" s="799"/>
      <c r="F54" s="799"/>
      <c r="G54" s="799"/>
      <c r="H54" s="799"/>
      <c r="I54" s="799"/>
      <c r="J54" s="799"/>
      <c r="K54" s="799"/>
      <c r="L54" s="800"/>
      <c r="M54" s="803" t="e">
        <f>VLOOKUP($B54,#REF!,12,0)</f>
        <v>#REF!</v>
      </c>
      <c r="N54" s="798" t="e">
        <f>VLOOKUP($B54,#REF!,13,0)</f>
        <v>#REF!</v>
      </c>
      <c r="O54" s="799" t="e">
        <f>VLOOKUP($B54,#REF!,14,0)</f>
        <v>#REF!</v>
      </c>
      <c r="P54" s="799" t="e">
        <f>VLOOKUP($B54,#REF!,15,0)</f>
        <v>#REF!</v>
      </c>
      <c r="Q54" s="929" t="e">
        <f>VLOOKUP($B54,#REF!,16,0)</f>
        <v>#REF!</v>
      </c>
      <c r="R54" s="799" t="e">
        <f>SUM(M54:M54)</f>
        <v>#REF!</v>
      </c>
      <c r="S54" s="799" t="e">
        <f>+VLOOKUP($B54,GUM!C60:AD92,15,0)</f>
        <v>#REF!</v>
      </c>
      <c r="T54" s="799" t="e">
        <f>ROUNDUP((S54-R54)/$M$3,0)</f>
        <v>#REF!</v>
      </c>
      <c r="U54" s="804"/>
      <c r="V54" s="801" t="e">
        <f>VLOOKUP($B54,#REF!,17,0)</f>
        <v>#REF!</v>
      </c>
      <c r="W54" s="801" t="e">
        <f>VLOOKUP($B54,#REF!,18,0)</f>
        <v>#REF!</v>
      </c>
      <c r="X54" s="801" t="e">
        <f>VLOOKUP($B54,#REF!,19,0)</f>
        <v>#REF!</v>
      </c>
      <c r="Y54" s="801" t="e">
        <f>VLOOKUP($B54,#REF!,20,0)</f>
        <v>#REF!</v>
      </c>
      <c r="Z54" s="801"/>
      <c r="AA54" s="799" t="e">
        <f>SUM(V54:V54)</f>
        <v>#REF!</v>
      </c>
      <c r="AB54" s="799" t="e">
        <f>+VLOOKUP($B54,GUM!C60:AC92,18,0)</f>
        <v>#REF!</v>
      </c>
      <c r="AC54" s="799" t="e">
        <f>ROUNDUP((AB54-AA54)/$V$3,0)</f>
        <v>#REF!</v>
      </c>
      <c r="AD54" s="802"/>
      <c r="AE54" s="803" t="e">
        <f>VLOOKUP($B54,#REF!,21,0)</f>
        <v>#REF!</v>
      </c>
      <c r="AF54" s="798" t="e">
        <f>VLOOKUP($B54,#REF!,22,0)</f>
        <v>#REF!</v>
      </c>
      <c r="AG54" s="928" t="e">
        <f>VLOOKUP($B54,#REF!,23,0)</f>
        <v>#REF!</v>
      </c>
      <c r="AH54" s="801" t="e">
        <f>VLOOKUP($B54,#REF!,24,0)</f>
        <v>#REF!</v>
      </c>
      <c r="AI54" s="801"/>
      <c r="AJ54" s="799" t="e">
        <f>SUM(AE54:AE54)</f>
        <v>#REF!</v>
      </c>
      <c r="AK54" s="799" t="e">
        <f>+VLOOKUP($B54,GUM!C60:AD92,21,0)</f>
        <v>#REF!</v>
      </c>
      <c r="AL54" s="799" t="e">
        <f>ROUNDUP((AK54-AJ54)/$AE$3,)</f>
        <v>#REF!</v>
      </c>
      <c r="AM54" s="802"/>
      <c r="AN54" s="801" t="e">
        <f>VLOOKUP($B54,#REF!,25,0)</f>
        <v>#REF!</v>
      </c>
      <c r="AO54" s="801" t="e">
        <f>VLOOKUP($B54,#REF!,26,0)</f>
        <v>#REF!</v>
      </c>
      <c r="AP54" s="929" t="e">
        <f>VLOOKUP($B54,#REF!,27,0)</f>
        <v>#REF!</v>
      </c>
      <c r="AQ54" s="929" t="e">
        <f>VLOOKUP($B54,#REF!,28,0)</f>
        <v>#REF!</v>
      </c>
      <c r="AR54" s="801" t="e">
        <f>VLOOKUP($B54,#REF!,29,0)</f>
        <v>#REF!</v>
      </c>
      <c r="AS54" s="799" t="e">
        <f>SUM(AN54:AN54)</f>
        <v>#REF!</v>
      </c>
      <c r="AT54" s="799" t="e">
        <f>+VLOOKUP($B54,GUM!C60:AD92,24,0)</f>
        <v>#REF!</v>
      </c>
      <c r="AU54" s="799" t="e">
        <f>ROUNDUP((AT54-AS54)/$AE$3,)</f>
        <v>#REF!</v>
      </c>
      <c r="AV54" s="802"/>
      <c r="AW54" s="928" t="e">
        <f>VLOOKUP($B54,#REF!,30,0)</f>
        <v>#REF!</v>
      </c>
      <c r="AX54" s="801" t="e">
        <f>VLOOKUP($B54,#REF!,31,0)</f>
        <v>#REF!</v>
      </c>
      <c r="AY54" s="929" t="e">
        <f>VLOOKUP($B54,#REF!,32,0)</f>
        <v>#REF!</v>
      </c>
      <c r="AZ54" s="929" t="e">
        <f>VLOOKUP($B54,#REF!,33,0)</f>
        <v>#REF!</v>
      </c>
      <c r="BA54" s="801"/>
      <c r="BB54" s="799" t="e">
        <f>SUM(AW54:AW54)</f>
        <v>#REF!</v>
      </c>
      <c r="BC54" s="799" t="e">
        <f>+VLOOKUP($B54,GUM!C60:AD92,27,0)</f>
        <v>#REF!</v>
      </c>
      <c r="BD54" s="799" t="e">
        <f>ROUNDUP((BC54-BB54)/$AE$3,)</f>
        <v>#REF!</v>
      </c>
      <c r="BE54" s="802"/>
    </row>
    <row r="55" spans="1:65" customHeight="1" ht="15.75" s="532" customFormat="1">
      <c r="A55" s="1284"/>
      <c r="B55" s="1037" t="str">
        <f>+GUM!C61</f>
        <v>82115-0E440 M</v>
      </c>
      <c r="C55" s="724" t="str">
        <f>GUM!D61</f>
        <v>M 0001</v>
      </c>
      <c r="D55" s="533"/>
      <c r="E55" s="534"/>
      <c r="F55" s="534"/>
      <c r="G55" s="534"/>
      <c r="H55" s="534"/>
      <c r="I55" s="534"/>
      <c r="J55" s="534"/>
      <c r="K55" s="534"/>
      <c r="L55" s="535"/>
      <c r="M55" s="537" t="e">
        <f>VLOOKUP($B55,#REF!,12,0)</f>
        <v>#REF!</v>
      </c>
      <c r="N55" s="533" t="e">
        <f>VLOOKUP($B55,#REF!,13,0)</f>
        <v>#REF!</v>
      </c>
      <c r="O55" s="534" t="e">
        <f>VLOOKUP($B55,#REF!,14,0)</f>
        <v>#REF!</v>
      </c>
      <c r="P55" s="534" t="e">
        <f>VLOOKUP($B55,#REF!,15,0)</f>
        <v>#REF!</v>
      </c>
      <c r="Q55" s="535" t="e">
        <f>VLOOKUP($B55,#REF!,16,0)</f>
        <v>#REF!</v>
      </c>
      <c r="R55" s="534" t="e">
        <f>SUM(M55:M55)</f>
        <v>#REF!</v>
      </c>
      <c r="S55" s="534" t="e">
        <f>+VLOOKUP($B55,GUM!C61:AD93,15,0)</f>
        <v>#REF!</v>
      </c>
      <c r="T55" s="534" t="e">
        <f>ROUNDUP((S55-R55)/$M$3,0)</f>
        <v>#REF!</v>
      </c>
      <c r="U55" s="538"/>
      <c r="V55" s="534" t="e">
        <f>VLOOKUP($B55,#REF!,17,0)</f>
        <v>#REF!</v>
      </c>
      <c r="W55" s="534" t="e">
        <f>VLOOKUP($B55,#REF!,18,0)</f>
        <v>#REF!</v>
      </c>
      <c r="X55" s="534" t="e">
        <f>VLOOKUP($B55,#REF!,19,0)</f>
        <v>#REF!</v>
      </c>
      <c r="Y55" s="534" t="e">
        <f>VLOOKUP($B55,#REF!,20,0)</f>
        <v>#REF!</v>
      </c>
      <c r="Z55" s="534"/>
      <c r="AA55" s="534" t="e">
        <f>SUM(V55:V55)</f>
        <v>#REF!</v>
      </c>
      <c r="AB55" s="534" t="e">
        <f>+VLOOKUP($B55,GUM!C61:AC93,18,0)</f>
        <v>#REF!</v>
      </c>
      <c r="AC55" s="534" t="e">
        <f>ROUNDUP((AB55-AA55)/$V$3,0)</f>
        <v>#REF!</v>
      </c>
      <c r="AD55" s="538"/>
      <c r="AE55" s="537" t="e">
        <f>VLOOKUP($B55,#REF!,21,0)</f>
        <v>#REF!</v>
      </c>
      <c r="AF55" s="533" t="e">
        <f>VLOOKUP($B55,#REF!,22,0)</f>
        <v>#REF!</v>
      </c>
      <c r="AG55" s="533" t="e">
        <f>VLOOKUP($B55,#REF!,23,0)</f>
        <v>#REF!</v>
      </c>
      <c r="AH55" s="534" t="e">
        <f>VLOOKUP($B55,#REF!,24,0)</f>
        <v>#REF!</v>
      </c>
      <c r="AI55" s="534"/>
      <c r="AJ55" s="534" t="e">
        <f>SUM(AE55:AE55)</f>
        <v>#REF!</v>
      </c>
      <c r="AK55" s="534" t="e">
        <f>+VLOOKUP($B55,GUM!C61:AD93,21,0)</f>
        <v>#REF!</v>
      </c>
      <c r="AL55" s="534" t="e">
        <f>ROUNDUP((AK55-AJ55)/$AE$3,)</f>
        <v>#REF!</v>
      </c>
      <c r="AM55" s="538"/>
      <c r="AN55" s="534" t="e">
        <f>VLOOKUP($B55,#REF!,25,0)</f>
        <v>#REF!</v>
      </c>
      <c r="AO55" s="534" t="e">
        <f>VLOOKUP($B55,#REF!,26,0)</f>
        <v>#REF!</v>
      </c>
      <c r="AP55" s="535" t="e">
        <f>VLOOKUP($B55,#REF!,27,0)</f>
        <v>#REF!</v>
      </c>
      <c r="AQ55" s="535" t="e">
        <f>VLOOKUP($B55,#REF!,28,0)</f>
        <v>#REF!</v>
      </c>
      <c r="AR55" s="534" t="e">
        <f>VLOOKUP($B55,#REF!,29,0)</f>
        <v>#REF!</v>
      </c>
      <c r="AS55" s="534" t="e">
        <f>SUM(AN55:AN55)</f>
        <v>#REF!</v>
      </c>
      <c r="AT55" s="534" t="e">
        <f>+VLOOKUP($B55,GUM!C61:AD93,24,0)</f>
        <v>#REF!</v>
      </c>
      <c r="AU55" s="534" t="e">
        <f>ROUNDUP((AT55-AS55)/$AE$3,)</f>
        <v>#REF!</v>
      </c>
      <c r="AV55" s="538"/>
      <c r="AW55" s="533" t="e">
        <f>VLOOKUP($B55,#REF!,30,0)</f>
        <v>#REF!</v>
      </c>
      <c r="AX55" s="534" t="e">
        <f>VLOOKUP($B55,#REF!,31,0)</f>
        <v>#REF!</v>
      </c>
      <c r="AY55" s="535" t="e">
        <f>VLOOKUP($B55,#REF!,32,0)</f>
        <v>#REF!</v>
      </c>
      <c r="AZ55" s="535" t="e">
        <f>VLOOKUP($B55,#REF!,33,0)</f>
        <v>#REF!</v>
      </c>
      <c r="BA55" s="534"/>
      <c r="BB55" s="534" t="e">
        <f>SUM(AW55:AW55)</f>
        <v>#REF!</v>
      </c>
      <c r="BC55" s="534" t="e">
        <f>+VLOOKUP($B55,GUM!C61:AD93,27,0)</f>
        <v>#REF!</v>
      </c>
      <c r="BD55" s="534" t="e">
        <f>ROUNDUP((BC55-BB55)/$AE$3,)</f>
        <v>#REF!</v>
      </c>
      <c r="BE55" s="538"/>
      <c r="BF55" s="1048"/>
      <c r="BG55" s="1047"/>
      <c r="BH55" s="1047"/>
      <c r="BI55" s="1047"/>
      <c r="BJ55" s="1047"/>
      <c r="BK55" s="1047"/>
      <c r="BL55" s="1047"/>
      <c r="BM55" s="1047"/>
    </row>
    <row r="56" spans="1:65" customHeight="1" ht="15.75" s="539" customFormat="1">
      <c r="A56" s="1284"/>
      <c r="B56" s="1038" t="str">
        <f>+GUM!C62</f>
        <v>82115-0E450 M</v>
      </c>
      <c r="C56" s="495" t="str">
        <f>GUM!D62</f>
        <v>M 0001</v>
      </c>
      <c r="D56" s="533"/>
      <c r="E56" s="534"/>
      <c r="F56" s="534"/>
      <c r="G56" s="534"/>
      <c r="H56" s="534"/>
      <c r="I56" s="534"/>
      <c r="J56" s="534"/>
      <c r="K56" s="534"/>
      <c r="L56" s="535"/>
      <c r="M56" s="537" t="e">
        <f>VLOOKUP($B56,#REF!,12,0)</f>
        <v>#REF!</v>
      </c>
      <c r="N56" s="1005" t="e">
        <f>VLOOKUP($B56,#REF!,13,0)</f>
        <v>#REF!</v>
      </c>
      <c r="O56" s="534" t="e">
        <f>VLOOKUP($B56,#REF!,14,0)</f>
        <v>#REF!</v>
      </c>
      <c r="P56" s="534" t="e">
        <f>VLOOKUP($B56,#REF!,15,0)</f>
        <v>#REF!</v>
      </c>
      <c r="Q56" s="535" t="e">
        <f>VLOOKUP($B56,#REF!,16,0)</f>
        <v>#REF!</v>
      </c>
      <c r="R56" s="534" t="e">
        <f>SUM(M56:M56)</f>
        <v>#REF!</v>
      </c>
      <c r="S56" s="534" t="e">
        <f>+VLOOKUP($B56,GUM!C62:AD94,15,0)</f>
        <v>#REF!</v>
      </c>
      <c r="T56" s="534" t="e">
        <f>ROUNDUP((S56-R56)/$M$3,0)</f>
        <v>#REF!</v>
      </c>
      <c r="U56" s="536"/>
      <c r="V56" s="534" t="e">
        <f>VLOOKUP($B56,#REF!,17,0)</f>
        <v>#REF!</v>
      </c>
      <c r="W56" s="534" t="e">
        <f>VLOOKUP($B56,#REF!,18,0)</f>
        <v>#REF!</v>
      </c>
      <c r="X56" s="534" t="e">
        <f>VLOOKUP($B56,#REF!,19,0)</f>
        <v>#REF!</v>
      </c>
      <c r="Y56" s="540" t="e">
        <f>VLOOKUP($B56,#REF!,20,0)</f>
        <v>#REF!</v>
      </c>
      <c r="Z56" s="534"/>
      <c r="AA56" s="534" t="e">
        <f>SUM(V56:V56)</f>
        <v>#REF!</v>
      </c>
      <c r="AB56" s="534" t="e">
        <f>+VLOOKUP($B56,GUM!C62:AC94,18,0)</f>
        <v>#REF!</v>
      </c>
      <c r="AC56" s="534" t="e">
        <f>ROUNDUP((AB56-AA56)/$V$3,0)</f>
        <v>#REF!</v>
      </c>
      <c r="AD56" s="538"/>
      <c r="AE56" s="537" t="e">
        <f>VLOOKUP($B56,#REF!,21,0)</f>
        <v>#REF!</v>
      </c>
      <c r="AF56" s="533" t="e">
        <f>VLOOKUP($B56,#REF!,22,0)</f>
        <v>#REF!</v>
      </c>
      <c r="AG56" s="533" t="e">
        <f>VLOOKUP($B56,#REF!,23,0)</f>
        <v>#REF!</v>
      </c>
      <c r="AH56" s="534" t="e">
        <f>VLOOKUP($B56,#REF!,24,0)</f>
        <v>#REF!</v>
      </c>
      <c r="AI56" s="534"/>
      <c r="AJ56" s="534" t="e">
        <f>SUM(AE56:AE56)</f>
        <v>#REF!</v>
      </c>
      <c r="AK56" s="534" t="e">
        <f>+VLOOKUP($B56,GUM!C62:AD94,21,0)</f>
        <v>#REF!</v>
      </c>
      <c r="AL56" s="534" t="e">
        <f>ROUNDUP((AK56-AJ56)/$AE$3,)</f>
        <v>#REF!</v>
      </c>
      <c r="AM56" s="538"/>
      <c r="AN56" s="540" t="e">
        <f>VLOOKUP($B56,#REF!,25,0)</f>
        <v>#REF!</v>
      </c>
      <c r="AO56" s="534" t="e">
        <f>VLOOKUP($B56,#REF!,26,0)</f>
        <v>#REF!</v>
      </c>
      <c r="AP56" s="861" t="e">
        <f>VLOOKUP($B56,#REF!,27,0)</f>
        <v>#REF!</v>
      </c>
      <c r="AQ56" s="535" t="e">
        <f>VLOOKUP($B56,#REF!,28,0)</f>
        <v>#REF!</v>
      </c>
      <c r="AR56" s="534" t="e">
        <f>VLOOKUP($B56,#REF!,29,0)</f>
        <v>#REF!</v>
      </c>
      <c r="AS56" s="534" t="e">
        <f>SUM(AN56:AN56)</f>
        <v>#REF!</v>
      </c>
      <c r="AT56" s="534" t="e">
        <f>+VLOOKUP($B56,GUM!C62:AD94,24,0)</f>
        <v>#REF!</v>
      </c>
      <c r="AU56" s="534" t="e">
        <f>ROUNDUP((AT56-AS56)/$AE$3,)</f>
        <v>#REF!</v>
      </c>
      <c r="AV56" s="538"/>
      <c r="AW56" s="533" t="e">
        <f>VLOOKUP($B56,#REF!,30,0)</f>
        <v>#REF!</v>
      </c>
      <c r="AX56" s="534" t="e">
        <f>VLOOKUP($B56,#REF!,31,0)</f>
        <v>#REF!</v>
      </c>
      <c r="AY56" s="535" t="e">
        <f>VLOOKUP($B56,#REF!,32,0)</f>
        <v>#REF!</v>
      </c>
      <c r="AZ56" s="535" t="e">
        <f>VLOOKUP($B56,#REF!,33,0)</f>
        <v>#REF!</v>
      </c>
      <c r="BA56" s="534"/>
      <c r="BB56" s="534" t="e">
        <f>SUM(AW56:AW56)</f>
        <v>#REF!</v>
      </c>
      <c r="BC56" s="534" t="e">
        <f>+VLOOKUP($B56,GUM!C62:AD94,27,0)</f>
        <v>#REF!</v>
      </c>
      <c r="BD56" s="534" t="e">
        <f>ROUNDUP((BC56-BB56)/$AE$3,)</f>
        <v>#REF!</v>
      </c>
      <c r="BE56" s="538"/>
      <c r="BF56" s="1049"/>
    </row>
    <row r="57" spans="1:65" customHeight="1" ht="15.75" s="517" customFormat="1">
      <c r="A57" s="1284"/>
      <c r="B57" s="1038" t="str">
        <f>+GUM!C63</f>
        <v>82115-0E460 M</v>
      </c>
      <c r="C57" s="495" t="str">
        <f>GUM!D63</f>
        <v>M 0001</v>
      </c>
      <c r="D57" s="533"/>
      <c r="E57" s="534"/>
      <c r="F57" s="534"/>
      <c r="G57" s="534"/>
      <c r="H57" s="534"/>
      <c r="I57" s="534"/>
      <c r="J57" s="534"/>
      <c r="K57" s="534"/>
      <c r="L57" s="535"/>
      <c r="M57" s="537" t="e">
        <f>VLOOKUP($B57,#REF!,12,0)</f>
        <v>#REF!</v>
      </c>
      <c r="N57" s="533" t="e">
        <f>VLOOKUP($B57,#REF!,13,0)</f>
        <v>#REF!</v>
      </c>
      <c r="O57" s="534" t="e">
        <f>VLOOKUP($B57,#REF!,14,0)</f>
        <v>#REF!</v>
      </c>
      <c r="P57" s="534" t="e">
        <f>VLOOKUP($B57,#REF!,15,0)</f>
        <v>#REF!</v>
      </c>
      <c r="Q57" s="535" t="e">
        <f>VLOOKUP($B57,#REF!,16,0)</f>
        <v>#REF!</v>
      </c>
      <c r="R57" s="534" t="e">
        <f>SUM(M57:M57)</f>
        <v>#REF!</v>
      </c>
      <c r="S57" s="534" t="e">
        <f>+VLOOKUP($B57,GUM!C63:AD95,15,0)</f>
        <v>#REF!</v>
      </c>
      <c r="T57" s="534" t="e">
        <f>ROUNDUP((S57-R57)/$M$3,0)</f>
        <v>#REF!</v>
      </c>
      <c r="U57" s="536"/>
      <c r="V57" s="534" t="e">
        <f>VLOOKUP($B57,#REF!,17,0)</f>
        <v>#REF!</v>
      </c>
      <c r="W57" s="534" t="e">
        <f>VLOOKUP($B57,#REF!,18,0)</f>
        <v>#REF!</v>
      </c>
      <c r="X57" s="534" t="e">
        <f>VLOOKUP($B57,#REF!,19,0)</f>
        <v>#REF!</v>
      </c>
      <c r="Y57" s="534" t="e">
        <f>VLOOKUP($B57,#REF!,20,0)</f>
        <v>#REF!</v>
      </c>
      <c r="Z57" s="534"/>
      <c r="AA57" s="534" t="e">
        <f>SUM(V57:V57)</f>
        <v>#REF!</v>
      </c>
      <c r="AB57" s="534" t="e">
        <f>+VLOOKUP($B57,GUM!C63:AC95,18,0)</f>
        <v>#REF!</v>
      </c>
      <c r="AC57" s="534" t="e">
        <f>ROUNDUP((AB57-AA57)/$V$3,0)</f>
        <v>#REF!</v>
      </c>
      <c r="AD57" s="538"/>
      <c r="AE57" s="537" t="e">
        <f>VLOOKUP($B57,#REF!,21,0)</f>
        <v>#REF!</v>
      </c>
      <c r="AF57" s="533" t="e">
        <f>VLOOKUP($B57,#REF!,22,0)</f>
        <v>#REF!</v>
      </c>
      <c r="AG57" s="533" t="e">
        <f>VLOOKUP($B57,#REF!,23,0)</f>
        <v>#REF!</v>
      </c>
      <c r="AH57" s="534" t="e">
        <f>VLOOKUP($B57,#REF!,24,0)</f>
        <v>#REF!</v>
      </c>
      <c r="AI57" s="534"/>
      <c r="AJ57" s="534" t="e">
        <f>SUM(AE57:AE57)</f>
        <v>#REF!</v>
      </c>
      <c r="AK57" s="534" t="e">
        <f>+VLOOKUP($B57,GUM!C63:AD95,21,0)</f>
        <v>#REF!</v>
      </c>
      <c r="AL57" s="534" t="e">
        <f>ROUNDUP((AK57-AJ57)/$AE$3,)</f>
        <v>#REF!</v>
      </c>
      <c r="AM57" s="538"/>
      <c r="AN57" s="534" t="e">
        <f>VLOOKUP($B57,#REF!,25,0)</f>
        <v>#REF!</v>
      </c>
      <c r="AO57" s="534" t="e">
        <f>VLOOKUP($B57,#REF!,26,0)</f>
        <v>#REF!</v>
      </c>
      <c r="AP57" s="535" t="e">
        <f>VLOOKUP($B57,#REF!,27,0)</f>
        <v>#REF!</v>
      </c>
      <c r="AQ57" s="535" t="e">
        <f>VLOOKUP($B57,#REF!,28,0)</f>
        <v>#REF!</v>
      </c>
      <c r="AR57" s="534" t="e">
        <f>VLOOKUP($B57,#REF!,29,0)</f>
        <v>#REF!</v>
      </c>
      <c r="AS57" s="534" t="e">
        <f>SUM(AN57:AN57)</f>
        <v>#REF!</v>
      </c>
      <c r="AT57" s="534" t="e">
        <f>+VLOOKUP($B57,GUM!C63:AD95,24,0)</f>
        <v>#REF!</v>
      </c>
      <c r="AU57" s="534" t="e">
        <f>ROUNDUP((AT57-AS57)/$AE$3,)</f>
        <v>#REF!</v>
      </c>
      <c r="AV57" s="538"/>
      <c r="AW57" s="533" t="e">
        <f>VLOOKUP($B57,#REF!,30,0)</f>
        <v>#REF!</v>
      </c>
      <c r="AX57" s="534" t="e">
        <f>VLOOKUP($B57,#REF!,31,0)</f>
        <v>#REF!</v>
      </c>
      <c r="AY57" s="535" t="e">
        <f>VLOOKUP($B57,#REF!,32,0)</f>
        <v>#REF!</v>
      </c>
      <c r="AZ57" s="535" t="e">
        <f>VLOOKUP($B57,#REF!,33,0)</f>
        <v>#REF!</v>
      </c>
      <c r="BA57" s="534"/>
      <c r="BB57" s="534" t="e">
        <f>SUM(AW57:AW57)</f>
        <v>#REF!</v>
      </c>
      <c r="BC57" s="534" t="e">
        <f>+VLOOKUP($B57,GUM!C63:AD95,27,0)</f>
        <v>#REF!</v>
      </c>
      <c r="BD57" s="534" t="e">
        <f>ROUNDUP((BC57-BB57)/$AE$3,)</f>
        <v>#REF!</v>
      </c>
      <c r="BE57" s="538"/>
      <c r="BF57" s="1050"/>
    </row>
    <row r="58" spans="1:65" customHeight="1" ht="15.75" s="864" customFormat="1">
      <c r="A58" s="1285"/>
      <c r="B58" s="1040" t="str">
        <f>+GUM!C64</f>
        <v>82115-0EA00 M</v>
      </c>
      <c r="C58" s="562" t="str">
        <f>GUM!D64</f>
        <v>M 0001</v>
      </c>
      <c r="D58" s="543"/>
      <c r="E58" s="544"/>
      <c r="F58" s="544"/>
      <c r="G58" s="544"/>
      <c r="H58" s="544"/>
      <c r="I58" s="544"/>
      <c r="J58" s="544"/>
      <c r="K58" s="544"/>
      <c r="L58" s="545"/>
      <c r="M58" s="547" t="e">
        <f>VLOOKUP($B58,#REF!,12,0)</f>
        <v>#REF!</v>
      </c>
      <c r="N58" s="543" t="e">
        <f>VLOOKUP($B58,#REF!,13,0)</f>
        <v>#REF!</v>
      </c>
      <c r="O58" s="544" t="e">
        <f>VLOOKUP($B58,#REF!,14,0)</f>
        <v>#REF!</v>
      </c>
      <c r="P58" s="544" t="e">
        <f>VLOOKUP($B58,#REF!,15,0)</f>
        <v>#REF!</v>
      </c>
      <c r="Q58" s="545" t="e">
        <f>VLOOKUP($B58,#REF!,16,0)</f>
        <v>#REF!</v>
      </c>
      <c r="R58" s="544" t="e">
        <f>SUM(M58:M58)</f>
        <v>#REF!</v>
      </c>
      <c r="S58" s="544" t="e">
        <f>+VLOOKUP($B58,GUM!C64:AD96,15,0)</f>
        <v>#REF!</v>
      </c>
      <c r="T58" s="544" t="e">
        <f>ROUNDUP((S58-R58)/$M$3,0)</f>
        <v>#REF!</v>
      </c>
      <c r="U58" s="546"/>
      <c r="V58" s="544" t="e">
        <f>VLOOKUP($B58,#REF!,17,0)</f>
        <v>#REF!</v>
      </c>
      <c r="W58" s="544" t="e">
        <f>VLOOKUP($B58,#REF!,18,0)</f>
        <v>#REF!</v>
      </c>
      <c r="X58" s="544" t="e">
        <f>VLOOKUP($B58,#REF!,19,0)</f>
        <v>#REF!</v>
      </c>
      <c r="Y58" s="544" t="e">
        <f>VLOOKUP($B58,#REF!,20,0)</f>
        <v>#REF!</v>
      </c>
      <c r="Z58" s="544"/>
      <c r="AA58" s="544" t="e">
        <f>SUM(V58:V58)</f>
        <v>#REF!</v>
      </c>
      <c r="AB58" s="544" t="e">
        <f>+VLOOKUP($B58,GUM!C64:AC96,18,0)</f>
        <v>#REF!</v>
      </c>
      <c r="AC58" s="544" t="e">
        <f>ROUNDUP((AB58-AA58)/$V$3,0)</f>
        <v>#REF!</v>
      </c>
      <c r="AD58" s="546"/>
      <c r="AE58" s="547" t="e">
        <f>VLOOKUP($B58,#REF!,21,0)</f>
        <v>#REF!</v>
      </c>
      <c r="AF58" s="543" t="e">
        <f>VLOOKUP($B58,#REF!,22,0)</f>
        <v>#REF!</v>
      </c>
      <c r="AG58" s="543" t="e">
        <f>VLOOKUP($B58,#REF!,23,0)</f>
        <v>#REF!</v>
      </c>
      <c r="AH58" s="544" t="e">
        <f>VLOOKUP($B58,#REF!,24,0)</f>
        <v>#REF!</v>
      </c>
      <c r="AI58" s="544"/>
      <c r="AJ58" s="544" t="e">
        <f>SUM(AE58:AE58)</f>
        <v>#REF!</v>
      </c>
      <c r="AK58" s="544" t="e">
        <f>+VLOOKUP($B58,GUM!C64:AD96,21,0)</f>
        <v>#REF!</v>
      </c>
      <c r="AL58" s="544" t="e">
        <f>ROUNDUP((AK58-AJ58)/$AE$3,)</f>
        <v>#REF!</v>
      </c>
      <c r="AM58" s="546"/>
      <c r="AN58" s="544" t="e">
        <f>VLOOKUP($B58,#REF!,25,0)</f>
        <v>#REF!</v>
      </c>
      <c r="AO58" s="544" t="e">
        <f>VLOOKUP($B58,#REF!,26,0)</f>
        <v>#REF!</v>
      </c>
      <c r="AP58" s="545" t="e">
        <f>VLOOKUP($B58,#REF!,27,0)</f>
        <v>#REF!</v>
      </c>
      <c r="AQ58" s="545" t="e">
        <f>VLOOKUP($B58,#REF!,28,0)</f>
        <v>#REF!</v>
      </c>
      <c r="AR58" s="544" t="e">
        <f>VLOOKUP($B58,#REF!,29,0)</f>
        <v>#REF!</v>
      </c>
      <c r="AS58" s="544" t="e">
        <f>SUM(AN58:AN58)</f>
        <v>#REF!</v>
      </c>
      <c r="AT58" s="544" t="e">
        <f>+VLOOKUP($B58,GUM!C64:AD96,24,0)</f>
        <v>#REF!</v>
      </c>
      <c r="AU58" s="544" t="e">
        <f>ROUNDUP((AT58-AS58)/$AE$3,)</f>
        <v>#REF!</v>
      </c>
      <c r="AV58" s="546"/>
      <c r="AW58" s="543" t="e">
        <f>VLOOKUP($B58,#REF!,30,0)</f>
        <v>#REF!</v>
      </c>
      <c r="AX58" s="544" t="e">
        <f>VLOOKUP($B58,#REF!,31,0)</f>
        <v>#REF!</v>
      </c>
      <c r="AY58" s="545" t="e">
        <f>VLOOKUP($B58,#REF!,32,0)</f>
        <v>#REF!</v>
      </c>
      <c r="AZ58" s="545" t="e">
        <f>VLOOKUP($B58,#REF!,33,0)</f>
        <v>#REF!</v>
      </c>
      <c r="BA58" s="544"/>
      <c r="BB58" s="544" t="e">
        <f>SUM(AW58:AW58)</f>
        <v>#REF!</v>
      </c>
      <c r="BC58" s="544" t="e">
        <f>+VLOOKUP($B58,GUM!C64:AD96,27,0)</f>
        <v>#REF!</v>
      </c>
      <c r="BD58" s="544" t="e">
        <f>ROUNDUP((BC58-BB58)/$AE$3,)</f>
        <v>#REF!</v>
      </c>
      <c r="BE58" s="546"/>
      <c r="BF58" s="1051"/>
    </row>
    <row r="59" spans="1:65" customHeight="1" ht="15.75" s="517" customFormat="1">
      <c r="A59" s="1286" t="s">
        <v>99</v>
      </c>
      <c r="B59" s="842" t="str">
        <f>+GUM!C65</f>
        <v>82115-0E501</v>
      </c>
      <c r="C59" s="724" t="str">
        <f>GUM!D65</f>
        <v>A 0401</v>
      </c>
      <c r="D59" s="563"/>
      <c r="E59" s="564"/>
      <c r="F59" s="564"/>
      <c r="G59" s="564"/>
      <c r="H59" s="564"/>
      <c r="I59" s="564"/>
      <c r="J59" s="564"/>
      <c r="K59" s="564"/>
      <c r="L59" s="565"/>
      <c r="M59" s="570" t="e">
        <f>VLOOKUP($B59,#REF!,12,0)</f>
        <v>#REF!</v>
      </c>
      <c r="N59" s="563" t="e">
        <f>VLOOKUP($B59,#REF!,13,0)</f>
        <v>#REF!</v>
      </c>
      <c r="O59" s="564" t="e">
        <f>VLOOKUP($B59,#REF!,14,0)</f>
        <v>#REF!</v>
      </c>
      <c r="P59" s="564" t="e">
        <f>VLOOKUP($B59,#REF!,15,0)</f>
        <v>#REF!</v>
      </c>
      <c r="Q59" s="535" t="e">
        <f>VLOOKUP($B59,#REF!,16,0)</f>
        <v>#REF!</v>
      </c>
      <c r="R59" s="564" t="e">
        <f>SUM(M59:M59)</f>
        <v>#REF!</v>
      </c>
      <c r="S59" s="564" t="e">
        <f>+VLOOKUP($B59,GUM!C65:AD97,15,0)</f>
        <v>#REF!</v>
      </c>
      <c r="T59" s="564" t="e">
        <f>ROUNDUP((S59-R59)/$M$3,0)</f>
        <v>#REF!</v>
      </c>
      <c r="U59" s="567"/>
      <c r="V59" s="534" t="e">
        <f>VLOOKUP($B59,#REF!,17,0)</f>
        <v>#REF!</v>
      </c>
      <c r="W59" s="534" t="e">
        <f>VLOOKUP($B59,#REF!,18,0)</f>
        <v>#REF!</v>
      </c>
      <c r="X59" s="534" t="e">
        <f>VLOOKUP($B59,#REF!,19,0)</f>
        <v>#REF!</v>
      </c>
      <c r="Y59" s="534" t="e">
        <f>VLOOKUP($B59,#REF!,20,0)</f>
        <v>#REF!</v>
      </c>
      <c r="Z59" s="534"/>
      <c r="AA59" s="564" t="e">
        <f>SUM(V59:V59)</f>
        <v>#REF!</v>
      </c>
      <c r="AB59" s="564" t="e">
        <f>+VLOOKUP($B59,GUM!C65:AC97,18,0)</f>
        <v>#REF!</v>
      </c>
      <c r="AC59" s="564" t="e">
        <f>ROUNDUP((AB59-AA59)/$V$3,0)</f>
        <v>#REF!</v>
      </c>
      <c r="AD59" s="569"/>
      <c r="AE59" s="570" t="e">
        <f>VLOOKUP($B59,#REF!,21,0)</f>
        <v>#REF!</v>
      </c>
      <c r="AF59" s="563" t="e">
        <f>VLOOKUP($B59,#REF!,22,0)</f>
        <v>#REF!</v>
      </c>
      <c r="AG59" s="533" t="e">
        <f>VLOOKUP($B59,#REF!,23,0)</f>
        <v>#REF!</v>
      </c>
      <c r="AH59" s="534" t="e">
        <f>VLOOKUP($B59,#REF!,24,0)</f>
        <v>#REF!</v>
      </c>
      <c r="AI59" s="534"/>
      <c r="AJ59" s="564" t="e">
        <f>SUM(AE59:AE59)</f>
        <v>#REF!</v>
      </c>
      <c r="AK59" s="564" t="e">
        <f>+VLOOKUP($B59,GUM!C65:AD97,21,0)</f>
        <v>#REF!</v>
      </c>
      <c r="AL59" s="564" t="e">
        <f>ROUNDUP((AK59-AJ59)/$AE$3,)</f>
        <v>#REF!</v>
      </c>
      <c r="AM59" s="569"/>
      <c r="AN59" s="534" t="e">
        <f>VLOOKUP($B59,#REF!,25,0)</f>
        <v>#REF!</v>
      </c>
      <c r="AO59" s="534" t="e">
        <f>VLOOKUP($B59,#REF!,26,0)</f>
        <v>#REF!</v>
      </c>
      <c r="AP59" s="535" t="e">
        <f>VLOOKUP($B59,#REF!,27,0)</f>
        <v>#REF!</v>
      </c>
      <c r="AQ59" s="535" t="e">
        <f>VLOOKUP($B59,#REF!,28,0)</f>
        <v>#REF!</v>
      </c>
      <c r="AR59" s="534" t="e">
        <f>VLOOKUP($B59,#REF!,29,0)</f>
        <v>#REF!</v>
      </c>
      <c r="AS59" s="564" t="e">
        <f>SUM(AN59:AN59)</f>
        <v>#REF!</v>
      </c>
      <c r="AT59" s="564" t="e">
        <f>+VLOOKUP($B59,GUM!C65:AD97,24,0)</f>
        <v>#REF!</v>
      </c>
      <c r="AU59" s="564" t="e">
        <f>ROUNDUP((AT59-AS59)/$AE$3,)</f>
        <v>#REF!</v>
      </c>
      <c r="AV59" s="569"/>
      <c r="AW59" s="533" t="e">
        <f>VLOOKUP($B59,#REF!,30,0)</f>
        <v>#REF!</v>
      </c>
      <c r="AX59" s="534" t="e">
        <f>VLOOKUP($B59,#REF!,31,0)</f>
        <v>#REF!</v>
      </c>
      <c r="AY59" s="535" t="e">
        <f>VLOOKUP($B59,#REF!,32,0)</f>
        <v>#REF!</v>
      </c>
      <c r="AZ59" s="535" t="e">
        <f>VLOOKUP($B59,#REF!,33,0)</f>
        <v>#REF!</v>
      </c>
      <c r="BA59" s="534"/>
      <c r="BB59" s="564" t="e">
        <f>SUM(AW59:AW59)</f>
        <v>#REF!</v>
      </c>
      <c r="BC59" s="564" t="e">
        <f>+VLOOKUP($B59,GUM!C65:AD97,27,0)</f>
        <v>#REF!</v>
      </c>
      <c r="BD59" s="564" t="e">
        <f>ROUNDUP((BC59-BB59)/$AE$3,)</f>
        <v>#REF!</v>
      </c>
      <c r="BE59" s="569"/>
    </row>
    <row r="60" spans="1:65" customHeight="1" ht="15.75" s="833" customFormat="1">
      <c r="A60" s="1287"/>
      <c r="B60" s="969" t="str">
        <f>+GUM!C66</f>
        <v>82115-0E511</v>
      </c>
      <c r="C60" s="970" t="str">
        <f>GUM!D66</f>
        <v>A 0401</v>
      </c>
      <c r="D60" s="971"/>
      <c r="E60" s="972"/>
      <c r="F60" s="972"/>
      <c r="G60" s="972"/>
      <c r="H60" s="972"/>
      <c r="I60" s="972"/>
      <c r="J60" s="972"/>
      <c r="K60" s="972"/>
      <c r="L60" s="973"/>
      <c r="M60" s="975">
        <v>0.0</v>
      </c>
      <c r="N60" s="971">
        <v>0.0</v>
      </c>
      <c r="O60" s="972">
        <v>0.0</v>
      </c>
      <c r="P60" s="972">
        <v>0.0</v>
      </c>
      <c r="Q60" s="973"/>
      <c r="R60" s="972">
        <f>SUM(M60:M60)</f>
        <v>0</v>
      </c>
      <c r="S60" s="972">
        <f>+VLOOKUP($B60,GUM!C66:AD98,15,0)</f>
        <v/>
      </c>
      <c r="T60" s="972">
        <f>ROUNDUP((S60-R60)/$M$3,0)</f>
        <v>0</v>
      </c>
      <c r="U60" s="1000"/>
      <c r="V60" s="972">
        <v>0.0</v>
      </c>
      <c r="W60" s="972">
        <v>0.0</v>
      </c>
      <c r="X60" s="972">
        <v>0.0</v>
      </c>
      <c r="Y60" s="972">
        <v>0.0</v>
      </c>
      <c r="Z60" s="972"/>
      <c r="AA60" s="972">
        <f>SUM(V60:V60)</f>
        <v>0</v>
      </c>
      <c r="AB60" s="972">
        <f>+VLOOKUP($B60,GUM!C66:AC98,18,0)</f>
        <v/>
      </c>
      <c r="AC60" s="972">
        <f>ROUNDUP((AB60-AA60)/$V$3,0)</f>
        <v>0</v>
      </c>
      <c r="AD60" s="974"/>
      <c r="AE60" s="975">
        <v>0.0</v>
      </c>
      <c r="AF60" s="971">
        <v>0.0</v>
      </c>
      <c r="AG60" s="971">
        <v>0.0</v>
      </c>
      <c r="AH60" s="972">
        <v>0.0</v>
      </c>
      <c r="AI60" s="972"/>
      <c r="AJ60" s="972">
        <f>SUM(AE60:AE60)</f>
        <v>0</v>
      </c>
      <c r="AK60" s="972">
        <f>+VLOOKUP($B60,GUM!C66:AD98,21,0)</f>
        <v/>
      </c>
      <c r="AL60" s="972" t="e">
        <f>ROUNDUP((AK60-AJ60)/$AE$3,)</f>
        <v>#VALUE!</v>
      </c>
      <c r="AM60" s="974"/>
      <c r="AN60" s="972">
        <v>0.0</v>
      </c>
      <c r="AO60" s="972">
        <v>0.0</v>
      </c>
      <c r="AP60" s="973">
        <v>0.0</v>
      </c>
      <c r="AQ60" s="973">
        <v>0.0</v>
      </c>
      <c r="AR60" s="972"/>
      <c r="AS60" s="972">
        <f>SUM(AN60:AN60)</f>
        <v>0</v>
      </c>
      <c r="AT60" s="972">
        <f>+VLOOKUP($B60,GUM!C66:AD98,24,0)</f>
        <v/>
      </c>
      <c r="AU60" s="972" t="e">
        <f>ROUNDUP((AT60-AS60)/$AE$3,)</f>
        <v>#VALUE!</v>
      </c>
      <c r="AV60" s="974"/>
      <c r="AW60" s="971">
        <v>0.0</v>
      </c>
      <c r="AX60" s="972">
        <v>0.0</v>
      </c>
      <c r="AY60" s="973">
        <v>0.0</v>
      </c>
      <c r="AZ60" s="973">
        <v>0.0</v>
      </c>
      <c r="BA60" s="972"/>
      <c r="BB60" s="972">
        <f>SUM(AW60:AW60)</f>
        <v>0</v>
      </c>
      <c r="BC60" s="972">
        <f>+VLOOKUP($B60,GUM!C66:AD98,27,0)</f>
        <v/>
      </c>
      <c r="BD60" s="972" t="e">
        <f>ROUNDUP((BC60-BB60)/$AE$3,)</f>
        <v>#VALUE!</v>
      </c>
      <c r="BE60" s="974"/>
    </row>
    <row r="61" spans="1:65" customHeight="1" ht="15.75" s="539" customFormat="1">
      <c r="A61" s="1287"/>
      <c r="B61" s="969" t="str">
        <f>+GUM!C67</f>
        <v>82115-0E521</v>
      </c>
      <c r="C61" s="970" t="str">
        <f>GUM!D67</f>
        <v>A 0401</v>
      </c>
      <c r="D61" s="985"/>
      <c r="E61" s="986"/>
      <c r="F61" s="986"/>
      <c r="G61" s="986"/>
      <c r="H61" s="986"/>
      <c r="I61" s="986"/>
      <c r="J61" s="986"/>
      <c r="K61" s="986"/>
      <c r="L61" s="987"/>
      <c r="M61" s="989">
        <v>0.0</v>
      </c>
      <c r="N61" s="1004">
        <v>0.0</v>
      </c>
      <c r="O61" s="986">
        <v>0.0</v>
      </c>
      <c r="P61" s="986">
        <v>0.0</v>
      </c>
      <c r="Q61" s="987"/>
      <c r="R61" s="986">
        <f>SUM(M61:M61)</f>
        <v>0</v>
      </c>
      <c r="S61" s="986">
        <f>+VLOOKUP($B61,GUM!C67:AD99,15,0)</f>
        <v/>
      </c>
      <c r="T61" s="986">
        <f>ROUNDUP((S61-R61)/$M$3,0)</f>
        <v>0</v>
      </c>
      <c r="U61" s="998"/>
      <c r="V61" s="986">
        <v>0.0</v>
      </c>
      <c r="W61" s="986">
        <v>0.0</v>
      </c>
      <c r="X61" s="986">
        <v>0.0</v>
      </c>
      <c r="Y61" s="972">
        <v>0.0</v>
      </c>
      <c r="Z61" s="986"/>
      <c r="AA61" s="986">
        <f>SUM(V61:V61)</f>
        <v>0</v>
      </c>
      <c r="AB61" s="986">
        <f>+VLOOKUP($B61,GUM!C67:AC99,18,0)</f>
        <v/>
      </c>
      <c r="AC61" s="986">
        <f>ROUNDUP((AB61-AA61)/$V$3,0)</f>
        <v>0</v>
      </c>
      <c r="AD61" s="988"/>
      <c r="AE61" s="989">
        <v>0.0</v>
      </c>
      <c r="AF61" s="985">
        <v>0.0</v>
      </c>
      <c r="AG61" s="985">
        <v>0.0</v>
      </c>
      <c r="AH61" s="986">
        <v>0.0</v>
      </c>
      <c r="AI61" s="986"/>
      <c r="AJ61" s="986">
        <f>SUM(AE61:AE61)</f>
        <v>0</v>
      </c>
      <c r="AK61" s="986">
        <f>+VLOOKUP($B61,GUM!C67:AD99,21,0)</f>
        <v/>
      </c>
      <c r="AL61" s="986" t="e">
        <f>ROUNDUP((AK61-AJ61)/$AE$3,)</f>
        <v>#VALUE!</v>
      </c>
      <c r="AM61" s="988"/>
      <c r="AN61" s="972">
        <v>0.0</v>
      </c>
      <c r="AO61" s="986">
        <v>0.0</v>
      </c>
      <c r="AP61" s="973">
        <v>0.0</v>
      </c>
      <c r="AQ61" s="987">
        <v>0.0</v>
      </c>
      <c r="AR61" s="986"/>
      <c r="AS61" s="986">
        <f>SUM(AN61:AN61)</f>
        <v>0</v>
      </c>
      <c r="AT61" s="986">
        <f>+VLOOKUP($B61,GUM!C67:AD99,24,0)</f>
        <v/>
      </c>
      <c r="AU61" s="986" t="e">
        <f>ROUNDUP((AT61-AS61)/$AE$3,)</f>
        <v>#VALUE!</v>
      </c>
      <c r="AV61" s="988"/>
      <c r="AW61" s="985">
        <v>0.0</v>
      </c>
      <c r="AX61" s="986">
        <v>0.0</v>
      </c>
      <c r="AY61" s="987">
        <v>0.0</v>
      </c>
      <c r="AZ61" s="987">
        <v>0.0</v>
      </c>
      <c r="BA61" s="986"/>
      <c r="BB61" s="986">
        <f>SUM(AW61:AW61)</f>
        <v>0</v>
      </c>
      <c r="BC61" s="986">
        <f>+VLOOKUP($B61,GUM!C67:AD99,27,0)</f>
        <v/>
      </c>
      <c r="BD61" s="986" t="e">
        <f>ROUNDUP((BC61-BB61)/$AE$3,)</f>
        <v>#VALUE!</v>
      </c>
      <c r="BE61" s="988"/>
    </row>
    <row r="62" spans="1:65" customHeight="1" ht="15.75" s="539" customFormat="1">
      <c r="A62" s="1287"/>
      <c r="B62" s="969" t="str">
        <f>+GUM!C68</f>
        <v>82115-0E531</v>
      </c>
      <c r="C62" s="970" t="str">
        <f>GUM!D68</f>
        <v>A 0501</v>
      </c>
      <c r="D62" s="985"/>
      <c r="E62" s="986"/>
      <c r="F62" s="986"/>
      <c r="G62" s="986"/>
      <c r="H62" s="986"/>
      <c r="I62" s="986"/>
      <c r="J62" s="986"/>
      <c r="K62" s="986"/>
      <c r="L62" s="987"/>
      <c r="M62" s="989">
        <v>0.0</v>
      </c>
      <c r="N62" s="1004">
        <v>0.0</v>
      </c>
      <c r="O62" s="986">
        <v>0.0</v>
      </c>
      <c r="P62" s="986">
        <v>0.0</v>
      </c>
      <c r="Q62" s="987"/>
      <c r="R62" s="986">
        <f>SUM(M62:M62)</f>
        <v>0</v>
      </c>
      <c r="S62" s="986">
        <f>+VLOOKUP($B62,GUM!C68:AD100,15,0)</f>
        <v/>
      </c>
      <c r="T62" s="986">
        <f>ROUNDUP((S62-R62)/$M$3,0)</f>
        <v>0</v>
      </c>
      <c r="U62" s="998"/>
      <c r="V62" s="986">
        <v>0.0</v>
      </c>
      <c r="W62" s="986">
        <v>0.0</v>
      </c>
      <c r="X62" s="986">
        <v>0.0</v>
      </c>
      <c r="Y62" s="972">
        <v>0.0</v>
      </c>
      <c r="Z62" s="986"/>
      <c r="AA62" s="986">
        <f>SUM(V62:V62)</f>
        <v>0</v>
      </c>
      <c r="AB62" s="986">
        <f>+VLOOKUP($B62,GUM!C68:AC100,18,0)</f>
        <v/>
      </c>
      <c r="AC62" s="986">
        <f>ROUNDUP((AB62-AA62)/$V$3,0)</f>
        <v>0</v>
      </c>
      <c r="AD62" s="988"/>
      <c r="AE62" s="989">
        <v>0.0</v>
      </c>
      <c r="AF62" s="985">
        <v>0.0</v>
      </c>
      <c r="AG62" s="985">
        <v>0.0</v>
      </c>
      <c r="AH62" s="986">
        <v>0.0</v>
      </c>
      <c r="AI62" s="986"/>
      <c r="AJ62" s="986">
        <f>SUM(AE62:AE62)</f>
        <v>0</v>
      </c>
      <c r="AK62" s="986">
        <f>+VLOOKUP($B62,GUM!C68:AD100,21,0)</f>
        <v/>
      </c>
      <c r="AL62" s="986" t="e">
        <f>ROUNDUP((AK62-AJ62)/$AE$3,)</f>
        <v>#VALUE!</v>
      </c>
      <c r="AM62" s="988"/>
      <c r="AN62" s="972">
        <v>0.0</v>
      </c>
      <c r="AO62" s="986">
        <v>0.0</v>
      </c>
      <c r="AP62" s="973">
        <v>0.0</v>
      </c>
      <c r="AQ62" s="987">
        <v>0.0</v>
      </c>
      <c r="AR62" s="986"/>
      <c r="AS62" s="986">
        <f>SUM(AN62:AN62)</f>
        <v>0</v>
      </c>
      <c r="AT62" s="986">
        <f>+VLOOKUP($B62,GUM!C68:AD100,24,0)</f>
        <v/>
      </c>
      <c r="AU62" s="986" t="e">
        <f>ROUNDUP((AT62-AS62)/$AE$3,)</f>
        <v>#VALUE!</v>
      </c>
      <c r="AV62" s="988"/>
      <c r="AW62" s="985">
        <v>0.0</v>
      </c>
      <c r="AX62" s="986">
        <v>0.0</v>
      </c>
      <c r="AY62" s="987">
        <v>0.0</v>
      </c>
      <c r="AZ62" s="987">
        <v>0.0</v>
      </c>
      <c r="BA62" s="986"/>
      <c r="BB62" s="986">
        <f>SUM(AW62:AW62)</f>
        <v>0</v>
      </c>
      <c r="BC62" s="986">
        <f>+VLOOKUP($B62,GUM!C68:AD100,27,0)</f>
        <v/>
      </c>
      <c r="BD62" s="986" t="e">
        <f>ROUNDUP((BC62-BB62)/$AE$3,)</f>
        <v>#VALUE!</v>
      </c>
      <c r="BE62" s="988"/>
    </row>
    <row r="63" spans="1:65" customHeight="1" ht="15.75" s="863" customFormat="1">
      <c r="A63" s="1287"/>
      <c r="B63" s="841" t="str">
        <f>+GUM!C69</f>
        <v>82115-0E541</v>
      </c>
      <c r="C63" s="495" t="str">
        <f>GUM!D69</f>
        <v>A 0401</v>
      </c>
      <c r="D63" s="860"/>
      <c r="E63" s="540"/>
      <c r="F63" s="540"/>
      <c r="G63" s="540"/>
      <c r="H63" s="540"/>
      <c r="I63" s="540"/>
      <c r="J63" s="540"/>
      <c r="K63" s="540"/>
      <c r="L63" s="861"/>
      <c r="M63" s="541" t="e">
        <f>VLOOKUP($B63,#REF!,12,0)</f>
        <v>#REF!</v>
      </c>
      <c r="N63" s="860" t="e">
        <f>VLOOKUP($B63,#REF!,13,0)</f>
        <v>#REF!</v>
      </c>
      <c r="O63" s="540" t="e">
        <f>VLOOKUP($B63,#REF!,14,0)</f>
        <v>#REF!</v>
      </c>
      <c r="P63" s="540" t="e">
        <f>VLOOKUP($B63,#REF!,15,0)</f>
        <v>#REF!</v>
      </c>
      <c r="Q63" s="861" t="e">
        <f>VLOOKUP($B63,#REF!,16,0)</f>
        <v>#REF!</v>
      </c>
      <c r="R63" s="540" t="e">
        <f>SUM(M63:M63)</f>
        <v>#REF!</v>
      </c>
      <c r="S63" s="540" t="e">
        <f>+VLOOKUP($B63,GUM!C69:AD101,15,0)</f>
        <v>#REF!</v>
      </c>
      <c r="T63" s="540" t="e">
        <f>ROUNDUP((S63-R63)/$M$3,0)</f>
        <v>#REF!</v>
      </c>
      <c r="U63" s="862"/>
      <c r="V63" s="540" t="e">
        <f>VLOOKUP($B63,#REF!,17,0)</f>
        <v>#REF!</v>
      </c>
      <c r="W63" s="540" t="e">
        <f>VLOOKUP($B63,#REF!,18,0)</f>
        <v>#REF!</v>
      </c>
      <c r="X63" s="540" t="e">
        <f>VLOOKUP($B63,#REF!,19,0)</f>
        <v>#REF!</v>
      </c>
      <c r="Y63" s="540" t="e">
        <f>VLOOKUP($B63,#REF!,20,0)</f>
        <v>#REF!</v>
      </c>
      <c r="Z63" s="540"/>
      <c r="AA63" s="540" t="e">
        <f>SUM(V63:V63)</f>
        <v>#REF!</v>
      </c>
      <c r="AB63" s="540" t="e">
        <f>+VLOOKUP($B63,GUM!C69:AC101,18,0)</f>
        <v>#REF!</v>
      </c>
      <c r="AC63" s="540" t="e">
        <f>ROUNDUP((AB63-AA63)/$V$3,0)</f>
        <v>#REF!</v>
      </c>
      <c r="AD63" s="862"/>
      <c r="AE63" s="541" t="e">
        <f>VLOOKUP($B63,#REF!,21,0)</f>
        <v>#REF!</v>
      </c>
      <c r="AF63" s="860" t="e">
        <f>VLOOKUP($B63,#REF!,22,0)</f>
        <v>#REF!</v>
      </c>
      <c r="AG63" s="860" t="e">
        <f>VLOOKUP($B63,#REF!,23,0)</f>
        <v>#REF!</v>
      </c>
      <c r="AH63" s="540" t="e">
        <f>VLOOKUP($B63,#REF!,24,0)</f>
        <v>#REF!</v>
      </c>
      <c r="AI63" s="540"/>
      <c r="AJ63" s="540" t="e">
        <f>SUM(AE63:AE63)</f>
        <v>#REF!</v>
      </c>
      <c r="AK63" s="540" t="e">
        <f>+VLOOKUP($B63,GUM!C69:AD101,21,0)</f>
        <v>#REF!</v>
      </c>
      <c r="AL63" s="540" t="e">
        <f>ROUNDUP((AK63-AJ63)/$AE$3,)</f>
        <v>#REF!</v>
      </c>
      <c r="AM63" s="862"/>
      <c r="AN63" s="540" t="e">
        <f>VLOOKUP($B63,#REF!,25,0)</f>
        <v>#REF!</v>
      </c>
      <c r="AO63" s="540" t="e">
        <f>VLOOKUP($B63,#REF!,26,0)</f>
        <v>#REF!</v>
      </c>
      <c r="AP63" s="861" t="e">
        <f>VLOOKUP($B63,#REF!,27,0)</f>
        <v>#REF!</v>
      </c>
      <c r="AQ63" s="861" t="e">
        <f>VLOOKUP($B63,#REF!,28,0)</f>
        <v>#REF!</v>
      </c>
      <c r="AR63" s="540" t="e">
        <f>VLOOKUP($B63,#REF!,29,0)</f>
        <v>#REF!</v>
      </c>
      <c r="AS63" s="540" t="e">
        <f>SUM(AN63:AN63)</f>
        <v>#REF!</v>
      </c>
      <c r="AT63" s="540" t="e">
        <f>+VLOOKUP($B63,GUM!C69:AD101,24,0)</f>
        <v>#REF!</v>
      </c>
      <c r="AU63" s="540" t="e">
        <f>ROUNDUP((AT63-AS63)/$AE$3,)</f>
        <v>#REF!</v>
      </c>
      <c r="AV63" s="862"/>
      <c r="AW63" s="860" t="e">
        <f>VLOOKUP($B63,#REF!,30,0)</f>
        <v>#REF!</v>
      </c>
      <c r="AX63" s="540" t="e">
        <f>VLOOKUP($B63,#REF!,31,0)</f>
        <v>#REF!</v>
      </c>
      <c r="AY63" s="861" t="e">
        <f>VLOOKUP($B63,#REF!,32,0)</f>
        <v>#REF!</v>
      </c>
      <c r="AZ63" s="861" t="e">
        <f>VLOOKUP($B63,#REF!,33,0)</f>
        <v>#REF!</v>
      </c>
      <c r="BA63" s="540"/>
      <c r="BB63" s="540" t="e">
        <f>SUM(AW63:AW63)</f>
        <v>#REF!</v>
      </c>
      <c r="BC63" s="540" t="e">
        <f>+VLOOKUP($B63,GUM!C69:AD101,27,0)</f>
        <v>#REF!</v>
      </c>
      <c r="BD63" s="540" t="e">
        <f>ROUNDUP((BC63-BB63)/$AE$3,)</f>
        <v>#REF!</v>
      </c>
      <c r="BE63" s="862"/>
    </row>
    <row r="64" spans="1:65" customHeight="1" ht="15.75" s="517" customFormat="1">
      <c r="A64" s="1287"/>
      <c r="B64" s="842" t="str">
        <f>+GUM!C70</f>
        <v>82115-0E551</v>
      </c>
      <c r="C64" s="724" t="str">
        <f>GUM!D70</f>
        <v>A 0401</v>
      </c>
      <c r="D64" s="563"/>
      <c r="E64" s="564"/>
      <c r="F64" s="564"/>
      <c r="G64" s="564"/>
      <c r="H64" s="564"/>
      <c r="I64" s="564"/>
      <c r="J64" s="564"/>
      <c r="K64" s="564"/>
      <c r="L64" s="565"/>
      <c r="M64" s="570" t="e">
        <f>VLOOKUP($B64,#REF!,12,0)</f>
        <v>#REF!</v>
      </c>
      <c r="N64" s="563" t="e">
        <f>VLOOKUP($B64,#REF!,13,0)</f>
        <v>#REF!</v>
      </c>
      <c r="O64" s="564" t="e">
        <f>VLOOKUP($B64,#REF!,14,0)</f>
        <v>#REF!</v>
      </c>
      <c r="P64" s="564" t="e">
        <f>VLOOKUP($B64,#REF!,15,0)</f>
        <v>#REF!</v>
      </c>
      <c r="Q64" s="535" t="e">
        <f>VLOOKUP($B64,#REF!,16,0)</f>
        <v>#REF!</v>
      </c>
      <c r="R64" s="564" t="e">
        <f>SUM(M64:M64)</f>
        <v>#REF!</v>
      </c>
      <c r="S64" s="564" t="e">
        <f>+VLOOKUP($B64,GUM!C70:AD102,15,0)</f>
        <v>#REF!</v>
      </c>
      <c r="T64" s="564" t="e">
        <f>ROUNDUP((S64-R64)/$M$3,0)</f>
        <v>#REF!</v>
      </c>
      <c r="U64" s="569"/>
      <c r="V64" s="564" t="e">
        <f>VLOOKUP($B64,#REF!,17,0)</f>
        <v>#REF!</v>
      </c>
      <c r="W64" s="564" t="e">
        <f>VLOOKUP($B64,#REF!,18,0)</f>
        <v>#REF!</v>
      </c>
      <c r="X64" s="564" t="e">
        <f>VLOOKUP($B64,#REF!,19,0)</f>
        <v>#REF!</v>
      </c>
      <c r="Y64" s="564" t="e">
        <f>VLOOKUP($B64,#REF!,20,0)</f>
        <v>#REF!</v>
      </c>
      <c r="Z64" s="564"/>
      <c r="AA64" s="564" t="e">
        <f>SUM(V64:V64)</f>
        <v>#REF!</v>
      </c>
      <c r="AB64" s="564" t="e">
        <f>+VLOOKUP($B64,GUM!C70:AC102,18,0)</f>
        <v>#REF!</v>
      </c>
      <c r="AC64" s="564" t="e">
        <f>ROUNDUP((AB64-AA64)/$V$3,0)</f>
        <v>#REF!</v>
      </c>
      <c r="AD64" s="569"/>
      <c r="AE64" s="570" t="e">
        <f>VLOOKUP($B64,#REF!,21,0)</f>
        <v>#REF!</v>
      </c>
      <c r="AF64" s="563" t="e">
        <f>VLOOKUP($B64,#REF!,22,0)</f>
        <v>#REF!</v>
      </c>
      <c r="AG64" s="563" t="e">
        <f>VLOOKUP($B64,#REF!,23,0)</f>
        <v>#REF!</v>
      </c>
      <c r="AH64" s="564" t="e">
        <f>VLOOKUP($B64,#REF!,24,0)</f>
        <v>#REF!</v>
      </c>
      <c r="AI64" s="564"/>
      <c r="AJ64" s="564" t="e">
        <f>SUM(AE64:AE64)</f>
        <v>#REF!</v>
      </c>
      <c r="AK64" s="564" t="e">
        <f>+VLOOKUP($B64,GUM!C70:AD102,21,0)</f>
        <v>#REF!</v>
      </c>
      <c r="AL64" s="564" t="e">
        <f>ROUNDUP((AK64-AJ64)/$AE$3,)</f>
        <v>#REF!</v>
      </c>
      <c r="AM64" s="569"/>
      <c r="AN64" s="564" t="e">
        <f>VLOOKUP($B64,#REF!,25,0)</f>
        <v>#REF!</v>
      </c>
      <c r="AO64" s="564" t="e">
        <f>VLOOKUP($B64,#REF!,26,0)</f>
        <v>#REF!</v>
      </c>
      <c r="AP64" s="565" t="e">
        <f>VLOOKUP($B64,#REF!,27,0)</f>
        <v>#REF!</v>
      </c>
      <c r="AQ64" s="565" t="e">
        <f>VLOOKUP($B64,#REF!,28,0)</f>
        <v>#REF!</v>
      </c>
      <c r="AR64" s="564" t="e">
        <f>VLOOKUP($B64,#REF!,29,0)</f>
        <v>#REF!</v>
      </c>
      <c r="AS64" s="564" t="e">
        <f>SUM(AN64:AN64)</f>
        <v>#REF!</v>
      </c>
      <c r="AT64" s="564" t="e">
        <f>+VLOOKUP($B64,GUM!C70:AD102,24,0)</f>
        <v>#REF!</v>
      </c>
      <c r="AU64" s="564" t="e">
        <f>ROUNDUP((AT64-AS64)/$AE$3,)</f>
        <v>#REF!</v>
      </c>
      <c r="AV64" s="569"/>
      <c r="AW64" s="563" t="e">
        <f>VLOOKUP($B64,#REF!,30,0)</f>
        <v>#REF!</v>
      </c>
      <c r="AX64" s="564" t="e">
        <f>VLOOKUP($B64,#REF!,31,0)</f>
        <v>#REF!</v>
      </c>
      <c r="AY64" s="565" t="e">
        <f>VLOOKUP($B64,#REF!,32,0)</f>
        <v>#REF!</v>
      </c>
      <c r="AZ64" s="565" t="e">
        <f>VLOOKUP($B64,#REF!,33,0)</f>
        <v>#REF!</v>
      </c>
      <c r="BA64" s="564"/>
      <c r="BB64" s="564" t="e">
        <f>SUM(AW64:AW64)</f>
        <v>#REF!</v>
      </c>
      <c r="BC64" s="564" t="e">
        <f>+VLOOKUP($B64,GUM!C70:AD102,27,0)</f>
        <v>#REF!</v>
      </c>
      <c r="BD64" s="564" t="e">
        <f>ROUNDUP((BC64-BB64)/$AE$3,)</f>
        <v>#REF!</v>
      </c>
      <c r="BE64" s="569"/>
    </row>
    <row r="65" spans="1:65" customHeight="1" ht="15" s="859" customFormat="1">
      <c r="A65" s="1287"/>
      <c r="B65" s="969" t="str">
        <f>+GUM!C71</f>
        <v>82115-0E561</v>
      </c>
      <c r="C65" s="970" t="str">
        <f>GUM!D71</f>
        <v>A 0501</v>
      </c>
      <c r="D65" s="971"/>
      <c r="E65" s="972"/>
      <c r="F65" s="972"/>
      <c r="G65" s="972"/>
      <c r="H65" s="972"/>
      <c r="I65" s="972"/>
      <c r="J65" s="972"/>
      <c r="K65" s="972"/>
      <c r="L65" s="973"/>
      <c r="M65" s="975">
        <v>0.0</v>
      </c>
      <c r="N65" s="971">
        <v>0.0</v>
      </c>
      <c r="O65" s="972">
        <v>0.0</v>
      </c>
      <c r="P65" s="972">
        <v>0.0</v>
      </c>
      <c r="Q65" s="973"/>
      <c r="R65" s="972">
        <f>SUM(M65:M65)</f>
        <v>0</v>
      </c>
      <c r="S65" s="972">
        <f>+VLOOKUP($B65,GUM!C71:AD103,15,0)</f>
        <v/>
      </c>
      <c r="T65" s="972">
        <f>ROUNDUP((S65-R65)/$M$3,0)</f>
        <v>0</v>
      </c>
      <c r="U65" s="974"/>
      <c r="V65" s="972">
        <v>0.0</v>
      </c>
      <c r="W65" s="972">
        <v>0.0</v>
      </c>
      <c r="X65" s="972">
        <v>0.0</v>
      </c>
      <c r="Y65" s="972">
        <v>0.0</v>
      </c>
      <c r="Z65" s="972"/>
      <c r="AA65" s="972">
        <f>SUM(V65:V65)</f>
        <v>0</v>
      </c>
      <c r="AB65" s="972">
        <f>+VLOOKUP($B65,GUM!C71:AC103,18,0)</f>
        <v/>
      </c>
      <c r="AC65" s="972">
        <f>ROUNDUP((AB65-AA65)/$V$3,0)</f>
        <v>0</v>
      </c>
      <c r="AD65" s="974"/>
      <c r="AE65" s="975">
        <v>0.0</v>
      </c>
      <c r="AF65" s="971">
        <v>0.0</v>
      </c>
      <c r="AG65" s="971">
        <v>0.0</v>
      </c>
      <c r="AH65" s="972">
        <v>0.0</v>
      </c>
      <c r="AI65" s="972"/>
      <c r="AJ65" s="972">
        <f>SUM(AE65:AE65)</f>
        <v>0</v>
      </c>
      <c r="AK65" s="972">
        <f>+VLOOKUP($B65,GUM!C71:AD103,21,0)</f>
        <v/>
      </c>
      <c r="AL65" s="972" t="e">
        <f>ROUNDUP((AK65-AJ65)/$AE$3,)</f>
        <v>#VALUE!</v>
      </c>
      <c r="AM65" s="974"/>
      <c r="AN65" s="972">
        <v>0.0</v>
      </c>
      <c r="AO65" s="972">
        <v>0.0</v>
      </c>
      <c r="AP65" s="973">
        <v>0.0</v>
      </c>
      <c r="AQ65" s="973">
        <v>0.0</v>
      </c>
      <c r="AR65" s="972"/>
      <c r="AS65" s="972">
        <f>SUM(AN65:AN65)</f>
        <v>0</v>
      </c>
      <c r="AT65" s="972">
        <f>+VLOOKUP($B65,GUM!C71:AD103,24,0)</f>
        <v/>
      </c>
      <c r="AU65" s="972" t="e">
        <f>ROUNDUP((AT65-AS65)/$AE$3,)</f>
        <v>#VALUE!</v>
      </c>
      <c r="AV65" s="974"/>
      <c r="AW65" s="971">
        <v>0.0</v>
      </c>
      <c r="AX65" s="972">
        <v>0.0</v>
      </c>
      <c r="AY65" s="973">
        <v>0.0</v>
      </c>
      <c r="AZ65" s="973">
        <v>0.0</v>
      </c>
      <c r="BA65" s="972"/>
      <c r="BB65" s="972">
        <f>SUM(AW65:AW65)</f>
        <v>0</v>
      </c>
      <c r="BC65" s="972">
        <f>+VLOOKUP($B65,GUM!C71:AD103,27,0)</f>
        <v/>
      </c>
      <c r="BD65" s="972" t="e">
        <f>ROUNDUP((BC65-BB65)/$AE$3,)</f>
        <v>#VALUE!</v>
      </c>
      <c r="BE65" s="974"/>
    </row>
    <row r="66" spans="1:65" customHeight="1" ht="15" s="517" customFormat="1">
      <c r="A66" s="1287"/>
      <c r="B66" s="842" t="str">
        <f>+GUM!C72</f>
        <v>82115-0EA21</v>
      </c>
      <c r="C66" s="724" t="str">
        <f>GUM!D72</f>
        <v>A 0501</v>
      </c>
      <c r="D66" s="563"/>
      <c r="E66" s="564"/>
      <c r="F66" s="564"/>
      <c r="G66" s="564"/>
      <c r="H66" s="564"/>
      <c r="I66" s="564"/>
      <c r="J66" s="564"/>
      <c r="K66" s="564"/>
      <c r="L66" s="565"/>
      <c r="M66" s="564" t="e">
        <f>VLOOKUP($B66,#REF!,12,0)</f>
        <v>#REF!</v>
      </c>
      <c r="N66" s="563" t="e">
        <f>VLOOKUP($B66,#REF!,13,0)</f>
        <v>#REF!</v>
      </c>
      <c r="O66" s="564" t="e">
        <f>VLOOKUP($B66,#REF!,14,0)</f>
        <v>#REF!</v>
      </c>
      <c r="P66" s="564" t="e">
        <f>VLOOKUP($B66,#REF!,15,0)</f>
        <v>#REF!</v>
      </c>
      <c r="Q66" s="565" t="e">
        <f>VLOOKUP($B66,#REF!,16,0)</f>
        <v>#REF!</v>
      </c>
      <c r="R66" s="564" t="e">
        <f>SUM(M66:M66)</f>
        <v>#REF!</v>
      </c>
      <c r="S66" s="564" t="e">
        <f>+VLOOKUP($B66,GUM!C72:AD104,15,0)</f>
        <v>#REF!</v>
      </c>
      <c r="T66" s="564" t="e">
        <f>ROUNDUP((S66-R66)/$M$3,0)</f>
        <v>#REF!</v>
      </c>
      <c r="U66" s="567"/>
      <c r="V66" s="564" t="e">
        <f>VLOOKUP($B66,#REF!,17,0)</f>
        <v>#REF!</v>
      </c>
      <c r="W66" s="564" t="e">
        <f>VLOOKUP($B66,#REF!,18,0)</f>
        <v>#REF!</v>
      </c>
      <c r="X66" s="564" t="e">
        <f>VLOOKUP($B66,#REF!,19,0)</f>
        <v>#REF!</v>
      </c>
      <c r="Y66" s="564" t="e">
        <f>VLOOKUP($B66,#REF!,20,0)</f>
        <v>#REF!</v>
      </c>
      <c r="Z66" s="534"/>
      <c r="AA66" s="564" t="e">
        <f>SUM(V66:V66)</f>
        <v>#REF!</v>
      </c>
      <c r="AB66" s="564" t="e">
        <f>+VLOOKUP($B66,GUM!C72:AC104,18,0)</f>
        <v>#REF!</v>
      </c>
      <c r="AC66" s="564" t="e">
        <f>ROUNDUP((AB66-AA66)/$V$3,0)</f>
        <v>#REF!</v>
      </c>
      <c r="AD66" s="569"/>
      <c r="AE66" s="570" t="e">
        <f>VLOOKUP($B66,#REF!,21,0)</f>
        <v>#REF!</v>
      </c>
      <c r="AF66" s="563" t="e">
        <f>VLOOKUP($B66,#REF!,22,0)</f>
        <v>#REF!</v>
      </c>
      <c r="AG66" s="533" t="e">
        <f>VLOOKUP($B66,#REF!,23,0)</f>
        <v>#REF!</v>
      </c>
      <c r="AH66" s="534" t="e">
        <f>VLOOKUP($B66,#REF!,24,0)</f>
        <v>#REF!</v>
      </c>
      <c r="AI66" s="534"/>
      <c r="AJ66" s="564" t="e">
        <f>SUM(AE66:AE66)</f>
        <v>#REF!</v>
      </c>
      <c r="AK66" s="564" t="e">
        <f>+VLOOKUP($B66,GUM!C72:AD104,21,0)</f>
        <v>#REF!</v>
      </c>
      <c r="AL66" s="564" t="e">
        <f>ROUNDUP((AK66-AJ66)/$AE$3,)</f>
        <v>#REF!</v>
      </c>
      <c r="AM66" s="569"/>
      <c r="AN66" s="534" t="e">
        <f>VLOOKUP($B66,#REF!,25,0)</f>
        <v>#REF!</v>
      </c>
      <c r="AO66" s="534" t="e">
        <f>VLOOKUP($B66,#REF!,26,0)</f>
        <v>#REF!</v>
      </c>
      <c r="AP66" s="535" t="e">
        <f>VLOOKUP($B66,#REF!,27,0)</f>
        <v>#REF!</v>
      </c>
      <c r="AQ66" s="535" t="e">
        <f>VLOOKUP($B66,#REF!,28,0)</f>
        <v>#REF!</v>
      </c>
      <c r="AR66" s="534" t="e">
        <f>VLOOKUP($B66,#REF!,29,0)</f>
        <v>#REF!</v>
      </c>
      <c r="AS66" s="564" t="e">
        <f>SUM(AN66:AN66)</f>
        <v>#REF!</v>
      </c>
      <c r="AT66" s="564" t="e">
        <f>+VLOOKUP($B66,GUM!C72:AD104,24,0)</f>
        <v>#REF!</v>
      </c>
      <c r="AU66" s="564" t="e">
        <f>ROUNDUP((AT66-AS66)/$AE$3,)</f>
        <v>#REF!</v>
      </c>
      <c r="AV66" s="569"/>
      <c r="AW66" s="533" t="e">
        <f>VLOOKUP($B66,#REF!,30,0)</f>
        <v>#REF!</v>
      </c>
      <c r="AX66" s="534" t="e">
        <f>VLOOKUP($B66,#REF!,31,0)</f>
        <v>#REF!</v>
      </c>
      <c r="AY66" s="535" t="e">
        <f>VLOOKUP($B66,#REF!,32,0)</f>
        <v>#REF!</v>
      </c>
      <c r="AZ66" s="535" t="e">
        <f>VLOOKUP($B66,#REF!,33,0)</f>
        <v>#REF!</v>
      </c>
      <c r="BA66" s="534"/>
      <c r="BB66" s="564" t="e">
        <f>SUM(AW66:AW66)</f>
        <v>#REF!</v>
      </c>
      <c r="BC66" s="564" t="e">
        <f>+VLOOKUP($B66,GUM!C72:AD104,27,0)</f>
        <v>#REF!</v>
      </c>
      <c r="BD66" s="564" t="e">
        <f>ROUNDUP((BC66-BB66)/$AE$3,)</f>
        <v>#REF!</v>
      </c>
      <c r="BE66" s="569"/>
    </row>
    <row r="67" spans="1:65" customHeight="1" ht="15.75" s="517" customFormat="1">
      <c r="A67" s="1287"/>
      <c r="B67" s="841" t="str">
        <f>+GUM!C73</f>
        <v>82115-0EA31</v>
      </c>
      <c r="C67" s="495" t="str">
        <f>GUM!D73</f>
        <v>A 0501</v>
      </c>
      <c r="D67" s="563"/>
      <c r="E67" s="564"/>
      <c r="F67" s="564"/>
      <c r="G67" s="564"/>
      <c r="H67" s="564"/>
      <c r="I67" s="564"/>
      <c r="J67" s="564"/>
      <c r="K67" s="564"/>
      <c r="L67" s="565"/>
      <c r="M67" s="570" t="e">
        <f>VLOOKUP($B67,#REF!,12,0)</f>
        <v>#REF!</v>
      </c>
      <c r="N67" s="563" t="e">
        <f>VLOOKUP($B67,#REF!,13,0)</f>
        <v>#REF!</v>
      </c>
      <c r="O67" s="564" t="e">
        <f>VLOOKUP($B67,#REF!,14,0)</f>
        <v>#REF!</v>
      </c>
      <c r="P67" s="564" t="e">
        <f>VLOOKUP($B67,#REF!,15,0)</f>
        <v>#REF!</v>
      </c>
      <c r="Q67" s="535" t="e">
        <f>VLOOKUP($B67,#REF!,16,0)</f>
        <v>#REF!</v>
      </c>
      <c r="R67" s="564" t="e">
        <f>SUM(M67:M67)</f>
        <v>#REF!</v>
      </c>
      <c r="S67" s="564" t="e">
        <f>+VLOOKUP($B67,GUM!C73:AD105,15,0)</f>
        <v>#REF!</v>
      </c>
      <c r="T67" s="564" t="e">
        <f>ROUNDUP((S67-R67)/$M$3,0)</f>
        <v>#REF!</v>
      </c>
      <c r="U67" s="567"/>
      <c r="V67" s="534" t="e">
        <f>VLOOKUP($B67,#REF!,17,0)</f>
        <v>#REF!</v>
      </c>
      <c r="W67" s="534" t="e">
        <f>VLOOKUP($B67,#REF!,18,0)</f>
        <v>#REF!</v>
      </c>
      <c r="X67" s="534" t="e">
        <f>VLOOKUP($B67,#REF!,19,0)</f>
        <v>#REF!</v>
      </c>
      <c r="Y67" s="534" t="e">
        <f>VLOOKUP($B67,#REF!,20,0)</f>
        <v>#REF!</v>
      </c>
      <c r="Z67" s="534"/>
      <c r="AA67" s="564" t="e">
        <f>SUM(V67:V67)</f>
        <v>#REF!</v>
      </c>
      <c r="AB67" s="564" t="e">
        <f>+VLOOKUP($B67,GUM!C73:AC105,18,0)</f>
        <v>#REF!</v>
      </c>
      <c r="AC67" s="564" t="e">
        <f>ROUNDUP((AB67-AA67)/$V$3,0)</f>
        <v>#REF!</v>
      </c>
      <c r="AD67" s="569"/>
      <c r="AE67" s="570" t="e">
        <f>VLOOKUP($B67,#REF!,21,0)</f>
        <v>#REF!</v>
      </c>
      <c r="AF67" s="563" t="e">
        <f>VLOOKUP($B67,#REF!,22,0)</f>
        <v>#REF!</v>
      </c>
      <c r="AG67" s="533" t="e">
        <f>VLOOKUP($B67,#REF!,23,0)</f>
        <v>#REF!</v>
      </c>
      <c r="AH67" s="534" t="e">
        <f>VLOOKUP($B67,#REF!,24,0)</f>
        <v>#REF!</v>
      </c>
      <c r="AI67" s="534"/>
      <c r="AJ67" s="564" t="e">
        <f>SUM(AE67:AE67)</f>
        <v>#REF!</v>
      </c>
      <c r="AK67" s="564" t="e">
        <f>+VLOOKUP($B67,GUM!C73:AD105,21,0)</f>
        <v>#REF!</v>
      </c>
      <c r="AL67" s="564" t="e">
        <f>ROUNDUP((AK67-AJ67)/$AE$3,)</f>
        <v>#REF!</v>
      </c>
      <c r="AM67" s="569"/>
      <c r="AN67" s="534" t="e">
        <f>VLOOKUP($B67,#REF!,25,0)</f>
        <v>#REF!</v>
      </c>
      <c r="AO67" s="534" t="e">
        <f>VLOOKUP($B67,#REF!,26,0)</f>
        <v>#REF!</v>
      </c>
      <c r="AP67" s="535" t="e">
        <f>VLOOKUP($B67,#REF!,27,0)</f>
        <v>#REF!</v>
      </c>
      <c r="AQ67" s="535" t="e">
        <f>VLOOKUP($B67,#REF!,28,0)</f>
        <v>#REF!</v>
      </c>
      <c r="AR67" s="534" t="e">
        <f>VLOOKUP($B67,#REF!,29,0)</f>
        <v>#REF!</v>
      </c>
      <c r="AS67" s="564" t="e">
        <f>SUM(AN67:AN67)</f>
        <v>#REF!</v>
      </c>
      <c r="AT67" s="564" t="e">
        <f>+VLOOKUP($B67,GUM!C73:AD105,24,0)</f>
        <v>#REF!</v>
      </c>
      <c r="AU67" s="564" t="e">
        <f>ROUNDUP((AT67-AS67)/$AE$3,)</f>
        <v>#REF!</v>
      </c>
      <c r="AV67" s="569"/>
      <c r="AW67" s="533" t="e">
        <f>VLOOKUP($B67,#REF!,30,0)</f>
        <v>#REF!</v>
      </c>
      <c r="AX67" s="534" t="e">
        <f>VLOOKUP($B67,#REF!,31,0)</f>
        <v>#REF!</v>
      </c>
      <c r="AY67" s="535" t="e">
        <f>VLOOKUP($B67,#REF!,32,0)</f>
        <v>#REF!</v>
      </c>
      <c r="AZ67" s="535" t="e">
        <f>VLOOKUP($B67,#REF!,33,0)</f>
        <v>#REF!</v>
      </c>
      <c r="BA67" s="534"/>
      <c r="BB67" s="564" t="e">
        <f>SUM(AW67:AW67)</f>
        <v>#REF!</v>
      </c>
      <c r="BC67" s="564" t="e">
        <f>+VLOOKUP($B67,GUM!C73:AD105,27,0)</f>
        <v>#REF!</v>
      </c>
      <c r="BD67" s="564" t="e">
        <f>ROUNDUP((BC67-BB67)/$AE$3,)</f>
        <v>#REF!</v>
      </c>
      <c r="BE67" s="569"/>
    </row>
    <row r="68" spans="1:65" customHeight="1" ht="15.75" s="517" customFormat="1">
      <c r="A68" s="1287"/>
      <c r="B68" s="934" t="str">
        <f>+GUM!C74</f>
        <v>82115-0E310 B</v>
      </c>
      <c r="C68" s="495" t="str">
        <f>GUM!D74</f>
        <v>B 1001</v>
      </c>
      <c r="D68" s="524"/>
      <c r="E68" s="525"/>
      <c r="F68" s="525"/>
      <c r="G68" s="525"/>
      <c r="H68" s="525"/>
      <c r="I68" s="525"/>
      <c r="J68" s="525"/>
      <c r="K68" s="525"/>
      <c r="L68" s="526"/>
      <c r="M68" s="528" t="e">
        <f>VLOOKUP($B68,#REF!,12,0)</f>
        <v>#REF!</v>
      </c>
      <c r="N68" s="524" t="e">
        <f>VLOOKUP($B68,#REF!,13,0)</f>
        <v>#REF!</v>
      </c>
      <c r="O68" s="525" t="e">
        <f>VLOOKUP($B68,#REF!,14,0)</f>
        <v>#REF!</v>
      </c>
      <c r="P68" s="525" t="e">
        <f>VLOOKUP($B68,#REF!,15,0)</f>
        <v>#REF!</v>
      </c>
      <c r="Q68" s="861" t="e">
        <f>VLOOKUP($B68,#REF!,16,0)</f>
        <v>#REF!</v>
      </c>
      <c r="R68" s="525" t="e">
        <f>SUM(M68:M68)</f>
        <v>#REF!</v>
      </c>
      <c r="S68" s="525" t="e">
        <f>+VLOOKUP($B68,GUM!C74:AD106,15,0)</f>
        <v>#REF!</v>
      </c>
      <c r="T68" s="525" t="e">
        <f>ROUNDUP((S68-R68)/$M$3,0)</f>
        <v>#REF!</v>
      </c>
      <c r="U68" s="527"/>
      <c r="V68" s="540" t="e">
        <f>VLOOKUP($B68,#REF!,17,0)</f>
        <v>#REF!</v>
      </c>
      <c r="W68" s="540" t="e">
        <f>VLOOKUP($B68,#REF!,18,0)</f>
        <v>#REF!</v>
      </c>
      <c r="X68" s="540" t="e">
        <f>VLOOKUP($B68,#REF!,19,0)</f>
        <v>#REF!</v>
      </c>
      <c r="Y68" s="540" t="e">
        <f>VLOOKUP($B68,#REF!,20,0)</f>
        <v>#REF!</v>
      </c>
      <c r="Z68" s="540"/>
      <c r="AA68" s="525" t="e">
        <f>SUM(V68:V68)</f>
        <v>#REF!</v>
      </c>
      <c r="AB68" s="525" t="e">
        <f>+VLOOKUP($B68,GUM!C74:AC106,18,0)</f>
        <v>#REF!</v>
      </c>
      <c r="AC68" s="525" t="e">
        <f>ROUNDUP((AB68-AA68)/$V$3,0)</f>
        <v>#REF!</v>
      </c>
      <c r="AD68" s="527"/>
      <c r="AE68" s="528" t="e">
        <f>VLOOKUP($B68,#REF!,21,0)</f>
        <v>#REF!</v>
      </c>
      <c r="AF68" s="524" t="e">
        <f>VLOOKUP($B68,#REF!,22,0)</f>
        <v>#REF!</v>
      </c>
      <c r="AG68" s="860" t="e">
        <f>VLOOKUP($B68,#REF!,23,0)</f>
        <v>#REF!</v>
      </c>
      <c r="AH68" s="540" t="e">
        <f>VLOOKUP($B68,#REF!,24,0)</f>
        <v>#REF!</v>
      </c>
      <c r="AI68" s="540"/>
      <c r="AJ68" s="525" t="e">
        <f>SUM(AE68:AE68)</f>
        <v>#REF!</v>
      </c>
      <c r="AK68" s="525" t="e">
        <f>+VLOOKUP($B68,GUM!C74:AD106,21,0)</f>
        <v>#REF!</v>
      </c>
      <c r="AL68" s="525" t="e">
        <f>ROUNDUP((AK68-AJ68)/$AE$3,)</f>
        <v>#REF!</v>
      </c>
      <c r="AM68" s="527"/>
      <c r="AN68" s="540" t="e">
        <f>VLOOKUP($B68,#REF!,25,0)</f>
        <v>#REF!</v>
      </c>
      <c r="AO68" s="540" t="e">
        <f>VLOOKUP($B68,#REF!,26,0)</f>
        <v>#REF!</v>
      </c>
      <c r="AP68" s="861" t="e">
        <f>VLOOKUP($B68,#REF!,27,0)</f>
        <v>#REF!</v>
      </c>
      <c r="AQ68" s="861" t="e">
        <f>VLOOKUP($B68,#REF!,28,0)</f>
        <v>#REF!</v>
      </c>
      <c r="AR68" s="540" t="e">
        <f>VLOOKUP($B68,#REF!,29,0)</f>
        <v>#REF!</v>
      </c>
      <c r="AS68" s="525" t="e">
        <f>SUM(AN68:AN68)</f>
        <v>#REF!</v>
      </c>
      <c r="AT68" s="525" t="e">
        <f>+VLOOKUP($B68,GUM!C74:AD106,24,0)</f>
        <v>#REF!</v>
      </c>
      <c r="AU68" s="525" t="e">
        <f>ROUNDUP((AT68-AS68)/$AE$3,)</f>
        <v>#REF!</v>
      </c>
      <c r="AV68" s="527"/>
      <c r="AW68" s="860" t="e">
        <f>VLOOKUP($B68,#REF!,30,0)</f>
        <v>#REF!</v>
      </c>
      <c r="AX68" s="540" t="e">
        <f>VLOOKUP($B68,#REF!,31,0)</f>
        <v>#REF!</v>
      </c>
      <c r="AY68" s="861" t="e">
        <f>VLOOKUP($B68,#REF!,32,0)</f>
        <v>#REF!</v>
      </c>
      <c r="AZ68" s="861" t="e">
        <f>VLOOKUP($B68,#REF!,33,0)</f>
        <v>#REF!</v>
      </c>
      <c r="BA68" s="540"/>
      <c r="BB68" s="525" t="e">
        <f>SUM(AW68:AW68)</f>
        <v>#REF!</v>
      </c>
      <c r="BC68" s="525" t="e">
        <f>+VLOOKUP($B68,GUM!C74:AD106,27,0)</f>
        <v>#REF!</v>
      </c>
      <c r="BD68" s="525" t="e">
        <f>ROUNDUP((BC68-BB68)/$AE$3,)</f>
        <v>#REF!</v>
      </c>
      <c r="BE68" s="527"/>
    </row>
    <row r="69" spans="1:65" customHeight="1" ht="15.75" s="859" customFormat="1">
      <c r="A69" s="1287"/>
      <c r="B69" s="841" t="str">
        <f>+GUM!C75</f>
        <v>82115-0EZ30</v>
      </c>
      <c r="C69" s="495" t="str">
        <f>GUM!D75</f>
        <v>A 0501</v>
      </c>
      <c r="D69" s="524"/>
      <c r="E69" s="525"/>
      <c r="F69" s="525"/>
      <c r="G69" s="525"/>
      <c r="H69" s="525"/>
      <c r="I69" s="525"/>
      <c r="J69" s="525"/>
      <c r="K69" s="525"/>
      <c r="L69" s="526"/>
      <c r="M69" s="528" t="e">
        <f>VLOOKUP($B69,#REF!,12,0)</f>
        <v>#REF!</v>
      </c>
      <c r="N69" s="524" t="e">
        <f>VLOOKUP($B69,#REF!,13,0)</f>
        <v>#REF!</v>
      </c>
      <c r="O69" s="525" t="e">
        <f>VLOOKUP($B69,#REF!,14,0)</f>
        <v>#REF!</v>
      </c>
      <c r="P69" s="525" t="e">
        <f>VLOOKUP($B69,#REF!,15,0)</f>
        <v>#REF!</v>
      </c>
      <c r="Q69" s="861" t="e">
        <f>VLOOKUP($B69,#REF!,16,0)</f>
        <v>#REF!</v>
      </c>
      <c r="R69" s="525" t="e">
        <f>SUM(M69:M69)</f>
        <v>#REF!</v>
      </c>
      <c r="S69" s="525" t="e">
        <f>+VLOOKUP($B69,GUM!C75:AD107,15,0)</f>
        <v>#REF!</v>
      </c>
      <c r="T69" s="525" t="e">
        <f>ROUNDUP((S69-R69)/$M$3,0)</f>
        <v>#REF!</v>
      </c>
      <c r="U69" s="531"/>
      <c r="V69" s="540" t="e">
        <f>VLOOKUP($B69,#REF!,17,0)</f>
        <v>#REF!</v>
      </c>
      <c r="W69" s="540" t="e">
        <f>VLOOKUP($B69,#REF!,18,0)</f>
        <v>#REF!</v>
      </c>
      <c r="X69" s="540" t="e">
        <f>VLOOKUP($B69,#REF!,19,0)</f>
        <v>#REF!</v>
      </c>
      <c r="Y69" s="540" t="e">
        <f>VLOOKUP($B69,#REF!,20,0)</f>
        <v>#REF!</v>
      </c>
      <c r="Z69" s="540"/>
      <c r="AA69" s="525" t="e">
        <f>SUM(V69:V69)</f>
        <v>#REF!</v>
      </c>
      <c r="AB69" s="525" t="e">
        <f>+VLOOKUP($B69,GUM!C75:AC107,18,0)</f>
        <v>#REF!</v>
      </c>
      <c r="AC69" s="525" t="e">
        <f>ROUNDUP((AB69-AA69)/$V$3,0)</f>
        <v>#REF!</v>
      </c>
      <c r="AD69" s="527"/>
      <c r="AE69" s="528" t="e">
        <f>VLOOKUP($B69,#REF!,21,0)</f>
        <v>#REF!</v>
      </c>
      <c r="AF69" s="524" t="e">
        <f>VLOOKUP($B69,#REF!,22,0)</f>
        <v>#REF!</v>
      </c>
      <c r="AG69" s="860" t="e">
        <f>VLOOKUP($B69,#REF!,23,0)</f>
        <v>#REF!</v>
      </c>
      <c r="AH69" s="540" t="e">
        <f>VLOOKUP($B69,#REF!,24,0)</f>
        <v>#REF!</v>
      </c>
      <c r="AI69" s="540"/>
      <c r="AJ69" s="525" t="e">
        <f>SUM(AE69:AE69)</f>
        <v>#REF!</v>
      </c>
      <c r="AK69" s="525" t="e">
        <f>+VLOOKUP($B69,GUM!C75:AD107,21,0)</f>
        <v>#REF!</v>
      </c>
      <c r="AL69" s="525" t="e">
        <f>ROUNDUP((AK69-AJ69)/$AE$3,)</f>
        <v>#REF!</v>
      </c>
      <c r="AM69" s="527"/>
      <c r="AN69" s="540" t="e">
        <f>VLOOKUP($B69,#REF!,25,0)</f>
        <v>#REF!</v>
      </c>
      <c r="AO69" s="540" t="e">
        <f>VLOOKUP($B69,#REF!,26,0)</f>
        <v>#REF!</v>
      </c>
      <c r="AP69" s="861" t="e">
        <f>VLOOKUP($B69,#REF!,27,0)</f>
        <v>#REF!</v>
      </c>
      <c r="AQ69" s="861" t="e">
        <f>VLOOKUP($B69,#REF!,28,0)</f>
        <v>#REF!</v>
      </c>
      <c r="AR69" s="540" t="e">
        <f>VLOOKUP($B69,#REF!,29,0)</f>
        <v>#REF!</v>
      </c>
      <c r="AS69" s="525" t="e">
        <f>SUM(AN69:AN69)</f>
        <v>#REF!</v>
      </c>
      <c r="AT69" s="525" t="e">
        <f>+VLOOKUP($B69,GUM!C75:AD107,24,0)</f>
        <v>#REF!</v>
      </c>
      <c r="AU69" s="525" t="e">
        <f>ROUNDUP((AT69-AS69)/$AE$3,)</f>
        <v>#REF!</v>
      </c>
      <c r="AV69" s="527"/>
      <c r="AW69" s="860" t="e">
        <f>VLOOKUP($B69,#REF!,30,0)</f>
        <v>#REF!</v>
      </c>
      <c r="AX69" s="540" t="e">
        <f>VLOOKUP($B69,#REF!,31,0)</f>
        <v>#REF!</v>
      </c>
      <c r="AY69" s="861" t="e">
        <f>VLOOKUP($B69,#REF!,32,0)</f>
        <v>#REF!</v>
      </c>
      <c r="AZ69" s="861" t="e">
        <f>VLOOKUP($B69,#REF!,33,0)</f>
        <v>#REF!</v>
      </c>
      <c r="BA69" s="540"/>
      <c r="BB69" s="525" t="e">
        <f>SUM(AW69:AW69)</f>
        <v>#REF!</v>
      </c>
      <c r="BC69" s="525" t="e">
        <f>+VLOOKUP($B69,GUM!C75:AD107,27,0)</f>
        <v>#REF!</v>
      </c>
      <c r="BD69" s="525" t="e">
        <f>ROUNDUP((BC69-BB69)/$AE$3,)</f>
        <v>#REF!</v>
      </c>
      <c r="BE69" s="527"/>
    </row>
    <row r="70" spans="1:65" customHeight="1" ht="15.75" s="532" customFormat="1">
      <c r="A70" s="1287"/>
      <c r="B70" s="983" t="str">
        <f>+GUM!C76</f>
        <v>82115-0EZ40</v>
      </c>
      <c r="C70" s="984" t="str">
        <f>GUM!D76</f>
        <v>A 0501</v>
      </c>
      <c r="D70" s="985"/>
      <c r="E70" s="986"/>
      <c r="F70" s="986"/>
      <c r="G70" s="986"/>
      <c r="H70" s="986"/>
      <c r="I70" s="986"/>
      <c r="J70" s="986"/>
      <c r="K70" s="986"/>
      <c r="L70" s="987"/>
      <c r="M70" s="989">
        <v>0.0</v>
      </c>
      <c r="N70" s="985">
        <v>0.0</v>
      </c>
      <c r="O70" s="986">
        <v>0.0</v>
      </c>
      <c r="P70" s="986">
        <v>0.0</v>
      </c>
      <c r="Q70" s="987">
        <v>0.0</v>
      </c>
      <c r="R70" s="986">
        <f>SUM(M70:M70)</f>
        <v>0</v>
      </c>
      <c r="S70" s="986">
        <f>+VLOOKUP($B70,GUM!C76:AD108,15,0)</f>
        <v/>
      </c>
      <c r="T70" s="986">
        <f>ROUNDUP((S70-R70)/$M$3,0)</f>
        <v>0</v>
      </c>
      <c r="U70" s="988"/>
      <c r="V70" s="986">
        <v>0.0</v>
      </c>
      <c r="W70" s="986">
        <v>0.0</v>
      </c>
      <c r="X70" s="986">
        <v>0.0</v>
      </c>
      <c r="Y70" s="986">
        <v>0.0</v>
      </c>
      <c r="Z70" s="986"/>
      <c r="AA70" s="986">
        <f>SUM(V70:V70)</f>
        <v>0</v>
      </c>
      <c r="AB70" s="986">
        <f>+VLOOKUP($B70,GUM!C76:AC108,18,0)</f>
        <v/>
      </c>
      <c r="AC70" s="986">
        <f>ROUNDUP((AB70-AA70)/$V$3,0)</f>
        <v>0</v>
      </c>
      <c r="AD70" s="988"/>
      <c r="AE70" s="989">
        <v>0.0</v>
      </c>
      <c r="AF70" s="985">
        <v>0.0</v>
      </c>
      <c r="AG70" s="985">
        <v>0.0</v>
      </c>
      <c r="AH70" s="986">
        <v>0.0</v>
      </c>
      <c r="AI70" s="986"/>
      <c r="AJ70" s="986">
        <f>SUM(AE70:AE70)</f>
        <v>0</v>
      </c>
      <c r="AK70" s="986">
        <f>+VLOOKUP($B70,GUM!C76:AD108,21,0)</f>
        <v/>
      </c>
      <c r="AL70" s="986" t="e">
        <f>ROUNDUP((AK70-AJ70)/$AE$3,)</f>
        <v>#VALUE!</v>
      </c>
      <c r="AM70" s="988"/>
      <c r="AN70" s="986">
        <v>0.0</v>
      </c>
      <c r="AO70" s="986">
        <v>0.0</v>
      </c>
      <c r="AP70" s="987">
        <v>0.0</v>
      </c>
      <c r="AQ70" s="987">
        <v>0.0</v>
      </c>
      <c r="AR70" s="986"/>
      <c r="AS70" s="986">
        <f>SUM(AN70:AN70)</f>
        <v>0</v>
      </c>
      <c r="AT70" s="986">
        <f>+VLOOKUP($B70,GUM!C76:AD108,24,0)</f>
        <v/>
      </c>
      <c r="AU70" s="986" t="e">
        <f>ROUNDUP((AT70-AS70)/$AE$3,)</f>
        <v>#VALUE!</v>
      </c>
      <c r="AV70" s="988"/>
      <c r="AW70" s="985">
        <v>0.0</v>
      </c>
      <c r="AX70" s="986">
        <v>0.0</v>
      </c>
      <c r="AY70" s="987">
        <v>0.0</v>
      </c>
      <c r="AZ70" s="987">
        <v>0.0</v>
      </c>
      <c r="BA70" s="986">
        <v>0.0</v>
      </c>
      <c r="BB70" s="986">
        <f>SUM(AW70:AW70)</f>
        <v>0</v>
      </c>
      <c r="BC70" s="986">
        <f>+VLOOKUP($B70,GUM!C76:AD108,27,0)</f>
        <v/>
      </c>
      <c r="BD70" s="986" t="e">
        <f>ROUNDUP((BC70-BB70)/$AE$3,)</f>
        <v>#VALUE!</v>
      </c>
      <c r="BE70" s="988"/>
    </row>
    <row r="71" spans="1:65" customHeight="1" ht="15.75" s="539" customFormat="1">
      <c r="A71" s="1287"/>
      <c r="B71" s="969" t="str">
        <f>+GUM!C77</f>
        <v>82115-0EZ50</v>
      </c>
      <c r="C71" s="970" t="str">
        <f>GUM!D77</f>
        <v>A 0501</v>
      </c>
      <c r="D71" s="985"/>
      <c r="E71" s="986"/>
      <c r="F71" s="986"/>
      <c r="G71" s="986"/>
      <c r="H71" s="986"/>
      <c r="I71" s="986"/>
      <c r="J71" s="986"/>
      <c r="K71" s="986"/>
      <c r="L71" s="987"/>
      <c r="M71" s="989">
        <v>0.0</v>
      </c>
      <c r="N71" s="1004">
        <v>0.0</v>
      </c>
      <c r="O71" s="986">
        <v>0.0</v>
      </c>
      <c r="P71" s="986">
        <v>0.0</v>
      </c>
      <c r="Q71" s="987">
        <v>0.0</v>
      </c>
      <c r="R71" s="986">
        <f>SUM(M71:M71)</f>
        <v>0</v>
      </c>
      <c r="S71" s="986">
        <f>+VLOOKUP($B71,GUM!C77:AD109,15,0)</f>
        <v/>
      </c>
      <c r="T71" s="986">
        <f>ROUNDUP((S71-R71)/$M$3,0)</f>
        <v>0</v>
      </c>
      <c r="U71" s="998"/>
      <c r="V71" s="986">
        <v>0.0</v>
      </c>
      <c r="W71" s="986">
        <v>0.0</v>
      </c>
      <c r="X71" s="986">
        <v>0.0</v>
      </c>
      <c r="Y71" s="972">
        <v>0.0</v>
      </c>
      <c r="Z71" s="986"/>
      <c r="AA71" s="986">
        <f>SUM(V71:V71)</f>
        <v>0</v>
      </c>
      <c r="AB71" s="986">
        <f>+VLOOKUP($B71,GUM!C77:AC109,18,0)</f>
        <v/>
      </c>
      <c r="AC71" s="986">
        <f>ROUNDUP((AB71-AA71)/$V$3,0)</f>
        <v>0</v>
      </c>
      <c r="AD71" s="988"/>
      <c r="AE71" s="989">
        <v>0.0</v>
      </c>
      <c r="AF71" s="985">
        <v>0.0</v>
      </c>
      <c r="AG71" s="985">
        <v>0.0</v>
      </c>
      <c r="AH71" s="986">
        <v>0.0</v>
      </c>
      <c r="AI71" s="986"/>
      <c r="AJ71" s="986">
        <f>SUM(AE71:AE71)</f>
        <v>0</v>
      </c>
      <c r="AK71" s="986">
        <f>+VLOOKUP($B71,GUM!C77:AD109,21,0)</f>
        <v/>
      </c>
      <c r="AL71" s="986" t="e">
        <f>ROUNDUP((AK71-AJ71)/$AE$3,)</f>
        <v>#VALUE!</v>
      </c>
      <c r="AM71" s="988"/>
      <c r="AN71" s="972">
        <v>0.0</v>
      </c>
      <c r="AO71" s="986">
        <v>0.0</v>
      </c>
      <c r="AP71" s="973">
        <v>0.0</v>
      </c>
      <c r="AQ71" s="987">
        <v>0.0</v>
      </c>
      <c r="AR71" s="986"/>
      <c r="AS71" s="986">
        <f>SUM(AN71:AN71)</f>
        <v>0</v>
      </c>
      <c r="AT71" s="986">
        <f>+VLOOKUP($B71,GUM!C77:AD109,24,0)</f>
        <v/>
      </c>
      <c r="AU71" s="986" t="e">
        <f>ROUNDUP((AT71-AS71)/$AE$3,)</f>
        <v>#VALUE!</v>
      </c>
      <c r="AV71" s="988"/>
      <c r="AW71" s="985">
        <v>0.0</v>
      </c>
      <c r="AX71" s="986">
        <v>0.0</v>
      </c>
      <c r="AY71" s="987">
        <v>0.0</v>
      </c>
      <c r="AZ71" s="987">
        <v>0.0</v>
      </c>
      <c r="BA71" s="986">
        <v>0.0</v>
      </c>
      <c r="BB71" s="986">
        <f>SUM(AW71:AW71)</f>
        <v>0</v>
      </c>
      <c r="BC71" s="986">
        <f>+VLOOKUP($B71,GUM!C77:AD109,27,0)</f>
        <v/>
      </c>
      <c r="BD71" s="986" t="e">
        <f>ROUNDUP((BC71-BB71)/$AE$3,)</f>
        <v>#VALUE!</v>
      </c>
      <c r="BE71" s="988"/>
    </row>
    <row r="72" spans="1:65" customHeight="1" ht="15.75" s="517" customFormat="1">
      <c r="A72" s="1287"/>
      <c r="B72" s="969" t="str">
        <f>+GUM!C78</f>
        <v>82115-0EZ60</v>
      </c>
      <c r="C72" s="970" t="str">
        <f>GUM!D78</f>
        <v>A 0501</v>
      </c>
      <c r="D72" s="985"/>
      <c r="E72" s="986"/>
      <c r="F72" s="986"/>
      <c r="G72" s="986"/>
      <c r="H72" s="986"/>
      <c r="I72" s="986"/>
      <c r="J72" s="986"/>
      <c r="K72" s="986"/>
      <c r="L72" s="987"/>
      <c r="M72" s="989">
        <v>0.0</v>
      </c>
      <c r="N72" s="985">
        <v>0.0</v>
      </c>
      <c r="O72" s="986">
        <v>0.0</v>
      </c>
      <c r="P72" s="986">
        <v>0.0</v>
      </c>
      <c r="Q72" s="987">
        <v>0.0</v>
      </c>
      <c r="R72" s="986">
        <f>SUM(M72:M72)</f>
        <v>0</v>
      </c>
      <c r="S72" s="986">
        <f>+VLOOKUP($B72,GUM!C78:AD110,15,0)</f>
        <v/>
      </c>
      <c r="T72" s="986">
        <f>ROUNDUP((S72-R72)/$M$3,0)</f>
        <v>0</v>
      </c>
      <c r="U72" s="998"/>
      <c r="V72" s="986">
        <v>0.0</v>
      </c>
      <c r="W72" s="986">
        <v>0.0</v>
      </c>
      <c r="X72" s="986">
        <v>0.0</v>
      </c>
      <c r="Y72" s="986">
        <v>0.0</v>
      </c>
      <c r="Z72" s="986"/>
      <c r="AA72" s="986">
        <f>SUM(V72:V72)</f>
        <v>0</v>
      </c>
      <c r="AB72" s="986">
        <f>+VLOOKUP($B72,GUM!C78:AC110,18,0)</f>
        <v/>
      </c>
      <c r="AC72" s="986">
        <f>ROUNDUP((AB72-AA72)/$V$3,0)</f>
        <v>0</v>
      </c>
      <c r="AD72" s="988"/>
      <c r="AE72" s="989">
        <v>0.0</v>
      </c>
      <c r="AF72" s="985">
        <v>0.0</v>
      </c>
      <c r="AG72" s="985">
        <v>0.0</v>
      </c>
      <c r="AH72" s="986">
        <v>0.0</v>
      </c>
      <c r="AI72" s="986"/>
      <c r="AJ72" s="986">
        <f>SUM(AE72:AE72)</f>
        <v>0</v>
      </c>
      <c r="AK72" s="986">
        <f>+VLOOKUP($B72,GUM!C78:AD110,21,0)</f>
        <v/>
      </c>
      <c r="AL72" s="986" t="e">
        <f>ROUNDUP((AK72-AJ72)/$AE$3,)</f>
        <v>#VALUE!</v>
      </c>
      <c r="AM72" s="988"/>
      <c r="AN72" s="986">
        <v>0.0</v>
      </c>
      <c r="AO72" s="986">
        <v>0.0</v>
      </c>
      <c r="AP72" s="987">
        <v>0.0</v>
      </c>
      <c r="AQ72" s="987">
        <v>0.0</v>
      </c>
      <c r="AR72" s="986"/>
      <c r="AS72" s="986">
        <f>SUM(AN72:AN72)</f>
        <v>0</v>
      </c>
      <c r="AT72" s="986">
        <f>+VLOOKUP($B72,GUM!C78:AD110,24,0)</f>
        <v/>
      </c>
      <c r="AU72" s="986" t="e">
        <f>ROUNDUP((AT72-AS72)/$AE$3,)</f>
        <v>#VALUE!</v>
      </c>
      <c r="AV72" s="988"/>
      <c r="AW72" s="985">
        <v>0.0</v>
      </c>
      <c r="AX72" s="986">
        <v>0.0</v>
      </c>
      <c r="AY72" s="987">
        <v>0.0</v>
      </c>
      <c r="AZ72" s="987">
        <v>0.0</v>
      </c>
      <c r="BA72" s="986"/>
      <c r="BB72" s="986">
        <f>SUM(AW72:AW72)</f>
        <v>0</v>
      </c>
      <c r="BC72" s="986">
        <f>+VLOOKUP($B72,GUM!C78:AD110,27,0)</f>
        <v/>
      </c>
      <c r="BD72" s="986" t="e">
        <f>ROUNDUP((BC72-BB72)/$AE$3,)</f>
        <v>#VALUE!</v>
      </c>
      <c r="BE72" s="988"/>
    </row>
    <row r="73" spans="1:65" customHeight="1" ht="15.75" s="517" customFormat="1">
      <c r="A73" s="1287"/>
      <c r="B73" s="841" t="str">
        <f>+GUM!C79</f>
        <v>82115-0EZ70</v>
      </c>
      <c r="C73" s="495" t="str">
        <f>GUM!D79</f>
        <v>A 0501</v>
      </c>
      <c r="D73" s="524"/>
      <c r="E73" s="525"/>
      <c r="F73" s="525"/>
      <c r="G73" s="525"/>
      <c r="H73" s="525"/>
      <c r="I73" s="525"/>
      <c r="J73" s="525"/>
      <c r="K73" s="525"/>
      <c r="L73" s="526"/>
      <c r="M73" s="528" t="e">
        <f>VLOOKUP($B73,#REF!,12,0)</f>
        <v>#REF!</v>
      </c>
      <c r="N73" s="524" t="e">
        <f>VLOOKUP($B73,#REF!,13,0)</f>
        <v>#REF!</v>
      </c>
      <c r="O73" s="525" t="e">
        <f>VLOOKUP($B73,#REF!,14,0)</f>
        <v>#REF!</v>
      </c>
      <c r="P73" s="525" t="e">
        <f>VLOOKUP($B73,#REF!,15,0)</f>
        <v>#REF!</v>
      </c>
      <c r="Q73" s="861" t="e">
        <f>VLOOKUP($B73,#REF!,16,0)</f>
        <v>#REF!</v>
      </c>
      <c r="R73" s="525" t="e">
        <f>SUM(M73:M73)</f>
        <v>#REF!</v>
      </c>
      <c r="S73" s="525" t="e">
        <f>+VLOOKUP($B73,GUM!C79:AD111,15,0)</f>
        <v>#REF!</v>
      </c>
      <c r="T73" s="525" t="e">
        <f>ROUNDUP((S73-R73)/$M$3,0)</f>
        <v>#REF!</v>
      </c>
      <c r="U73" s="527"/>
      <c r="V73" s="540" t="e">
        <f>VLOOKUP($B73,#REF!,17,0)</f>
        <v>#REF!</v>
      </c>
      <c r="W73" s="540" t="e">
        <f>VLOOKUP($B73,#REF!,18,0)</f>
        <v>#REF!</v>
      </c>
      <c r="X73" s="540" t="e">
        <f>VLOOKUP($B73,#REF!,19,0)</f>
        <v>#REF!</v>
      </c>
      <c r="Y73" s="540" t="e">
        <f>VLOOKUP($B73,#REF!,20,0)</f>
        <v>#REF!</v>
      </c>
      <c r="Z73" s="540"/>
      <c r="AA73" s="525" t="e">
        <f>SUM(V73:V73)</f>
        <v>#REF!</v>
      </c>
      <c r="AB73" s="525" t="e">
        <f>+VLOOKUP($B73,GUM!C79:AC111,18,0)</f>
        <v>#REF!</v>
      </c>
      <c r="AC73" s="525" t="e">
        <f>ROUNDUP((AB73-AA73)/$V$3,0)</f>
        <v>#REF!</v>
      </c>
      <c r="AD73" s="527"/>
      <c r="AE73" s="528" t="e">
        <f>VLOOKUP($B73,#REF!,21,0)</f>
        <v>#REF!</v>
      </c>
      <c r="AF73" s="524" t="e">
        <f>VLOOKUP($B73,#REF!,22,0)</f>
        <v>#REF!</v>
      </c>
      <c r="AG73" s="860" t="e">
        <f>VLOOKUP($B73,#REF!,23,0)</f>
        <v>#REF!</v>
      </c>
      <c r="AH73" s="540" t="e">
        <f>VLOOKUP($B73,#REF!,24,0)</f>
        <v>#REF!</v>
      </c>
      <c r="AI73" s="540"/>
      <c r="AJ73" s="525" t="e">
        <f>SUM(AE73:AE73)</f>
        <v>#REF!</v>
      </c>
      <c r="AK73" s="525" t="e">
        <f>+VLOOKUP($B73,GUM!C79:AD111,21,0)</f>
        <v>#REF!</v>
      </c>
      <c r="AL73" s="525" t="e">
        <f>ROUNDUP((AK73-AJ73)/$AE$3,)</f>
        <v>#REF!</v>
      </c>
      <c r="AM73" s="527"/>
      <c r="AN73" s="540" t="e">
        <f>VLOOKUP($B73,#REF!,25,0)</f>
        <v>#REF!</v>
      </c>
      <c r="AO73" s="540" t="e">
        <f>VLOOKUP($B73,#REF!,26,0)</f>
        <v>#REF!</v>
      </c>
      <c r="AP73" s="861" t="e">
        <f>VLOOKUP($B73,#REF!,27,0)</f>
        <v>#REF!</v>
      </c>
      <c r="AQ73" s="861" t="e">
        <f>VLOOKUP($B73,#REF!,28,0)</f>
        <v>#REF!</v>
      </c>
      <c r="AR73" s="540" t="e">
        <f>VLOOKUP($B73,#REF!,29,0)</f>
        <v>#REF!</v>
      </c>
      <c r="AS73" s="525" t="e">
        <f>SUM(AN73:AN73)</f>
        <v>#REF!</v>
      </c>
      <c r="AT73" s="525" t="e">
        <f>+VLOOKUP($B73,GUM!C79:AD111,24,0)</f>
        <v>#REF!</v>
      </c>
      <c r="AU73" s="525" t="e">
        <f>ROUNDUP((AT73-AS73)/$AE$3,)</f>
        <v>#REF!</v>
      </c>
      <c r="AV73" s="527"/>
      <c r="AW73" s="860" t="e">
        <f>VLOOKUP($B73,#REF!,30,0)</f>
        <v>#REF!</v>
      </c>
      <c r="AX73" s="540" t="e">
        <f>VLOOKUP($B73,#REF!,31,0)</f>
        <v>#REF!</v>
      </c>
      <c r="AY73" s="861" t="e">
        <f>VLOOKUP($B73,#REF!,32,0)</f>
        <v>#REF!</v>
      </c>
      <c r="AZ73" s="861" t="e">
        <f>VLOOKUP($B73,#REF!,33,0)</f>
        <v>#REF!</v>
      </c>
      <c r="BA73" s="540"/>
      <c r="BB73" s="525" t="e">
        <f>SUM(AW73:AW73)</f>
        <v>#REF!</v>
      </c>
      <c r="BC73" s="525" t="e">
        <f>+VLOOKUP($B73,GUM!C79:AD111,27,0)</f>
        <v>#REF!</v>
      </c>
      <c r="BD73" s="525" t="e">
        <f>ROUNDUP((BC73-BB73)/$AE$3,)</f>
        <v>#REF!</v>
      </c>
      <c r="BE73" s="527"/>
    </row>
    <row r="74" spans="1:65" customHeight="1" ht="15.75" s="517" customFormat="1">
      <c r="A74" s="1287"/>
      <c r="B74" s="841" t="str">
        <f>+GUM!C80</f>
        <v>82115-0EZ80</v>
      </c>
      <c r="C74" s="495" t="str">
        <f>GUM!D80</f>
        <v>A 0501</v>
      </c>
      <c r="D74" s="524"/>
      <c r="E74" s="525"/>
      <c r="F74" s="525"/>
      <c r="G74" s="525"/>
      <c r="H74" s="525"/>
      <c r="I74" s="525"/>
      <c r="J74" s="525"/>
      <c r="K74" s="525"/>
      <c r="L74" s="526"/>
      <c r="M74" s="528" t="e">
        <f>VLOOKUP($B74,#REF!,12,0)</f>
        <v>#REF!</v>
      </c>
      <c r="N74" s="524" t="e">
        <f>VLOOKUP($B74,#REF!,13,0)</f>
        <v>#REF!</v>
      </c>
      <c r="O74" s="525" t="e">
        <f>VLOOKUP($B74,#REF!,14,0)</f>
        <v>#REF!</v>
      </c>
      <c r="P74" s="525" t="e">
        <f>VLOOKUP($B74,#REF!,15,0)</f>
        <v>#REF!</v>
      </c>
      <c r="Q74" s="861" t="e">
        <f>VLOOKUP($B74,#REF!,16,0)</f>
        <v>#REF!</v>
      </c>
      <c r="R74" s="525" t="e">
        <f>SUM(M74:M74)</f>
        <v>#REF!</v>
      </c>
      <c r="S74" s="525" t="e">
        <f>+VLOOKUP($B74,GUM!C80:AD112,15,0)</f>
        <v>#REF!</v>
      </c>
      <c r="T74" s="525" t="e">
        <f>ROUNDUP((S74-R74)/$M$3,0)</f>
        <v>#REF!</v>
      </c>
      <c r="U74" s="531"/>
      <c r="V74" s="540" t="e">
        <f>VLOOKUP($B74,#REF!,17,0)</f>
        <v>#REF!</v>
      </c>
      <c r="W74" s="540" t="e">
        <f>VLOOKUP($B74,#REF!,18,0)</f>
        <v>#REF!</v>
      </c>
      <c r="X74" s="540" t="e">
        <f>VLOOKUP($B74,#REF!,19,0)</f>
        <v>#REF!</v>
      </c>
      <c r="Y74" s="540" t="e">
        <f>VLOOKUP($B74,#REF!,20,0)</f>
        <v>#REF!</v>
      </c>
      <c r="Z74" s="540"/>
      <c r="AA74" s="525" t="e">
        <f>SUM(V74:V74)</f>
        <v>#REF!</v>
      </c>
      <c r="AB74" s="525" t="e">
        <f>+VLOOKUP($B74,GUM!C80:AC112,18,0)</f>
        <v>#REF!</v>
      </c>
      <c r="AC74" s="525" t="e">
        <f>ROUNDUP((AB74-AA74)/$V$3,0)</f>
        <v>#REF!</v>
      </c>
      <c r="AD74" s="527"/>
      <c r="AE74" s="528" t="e">
        <f>VLOOKUP($B74,#REF!,21,0)</f>
        <v>#REF!</v>
      </c>
      <c r="AF74" s="524" t="e">
        <f>VLOOKUP($B74,#REF!,22,0)</f>
        <v>#REF!</v>
      </c>
      <c r="AG74" s="860" t="e">
        <f>VLOOKUP($B74,#REF!,23,0)</f>
        <v>#REF!</v>
      </c>
      <c r="AH74" s="540" t="e">
        <f>VLOOKUP($B74,#REF!,24,0)</f>
        <v>#REF!</v>
      </c>
      <c r="AI74" s="540"/>
      <c r="AJ74" s="525" t="e">
        <f>SUM(AE74:AE74)</f>
        <v>#REF!</v>
      </c>
      <c r="AK74" s="525" t="e">
        <f>+VLOOKUP($B74,GUM!C80:AD112,21,0)</f>
        <v>#REF!</v>
      </c>
      <c r="AL74" s="525" t="e">
        <f>ROUNDUP((AK74-AJ74)/$AE$3,)</f>
        <v>#REF!</v>
      </c>
      <c r="AM74" s="527"/>
      <c r="AN74" s="540" t="e">
        <f>VLOOKUP($B74,#REF!,25,0)</f>
        <v>#REF!</v>
      </c>
      <c r="AO74" s="540" t="e">
        <f>VLOOKUP($B74,#REF!,26,0)</f>
        <v>#REF!</v>
      </c>
      <c r="AP74" s="861" t="e">
        <f>VLOOKUP($B74,#REF!,27,0)</f>
        <v>#REF!</v>
      </c>
      <c r="AQ74" s="861" t="e">
        <f>VLOOKUP($B74,#REF!,28,0)</f>
        <v>#REF!</v>
      </c>
      <c r="AR74" s="540" t="e">
        <f>VLOOKUP($B74,#REF!,29,0)</f>
        <v>#REF!</v>
      </c>
      <c r="AS74" s="525" t="e">
        <f>SUM(AN74:AN74)</f>
        <v>#REF!</v>
      </c>
      <c r="AT74" s="525" t="e">
        <f>+VLOOKUP($B74,GUM!C80:AD112,24,0)</f>
        <v>#REF!</v>
      </c>
      <c r="AU74" s="525" t="e">
        <f>ROUNDUP((AT74-AS74)/$AE$3,)</f>
        <v>#REF!</v>
      </c>
      <c r="AV74" s="527"/>
      <c r="AW74" s="860" t="e">
        <f>VLOOKUP($B74,#REF!,30,0)</f>
        <v>#REF!</v>
      </c>
      <c r="AX74" s="540" t="e">
        <f>VLOOKUP($B74,#REF!,31,0)</f>
        <v>#REF!</v>
      </c>
      <c r="AY74" s="861" t="e">
        <f>VLOOKUP($B74,#REF!,32,0)</f>
        <v>#REF!</v>
      </c>
      <c r="AZ74" s="861" t="e">
        <f>VLOOKUP($B74,#REF!,33,0)</f>
        <v>#REF!</v>
      </c>
      <c r="BA74" s="540"/>
      <c r="BB74" s="525" t="e">
        <f>SUM(AW74:AW74)</f>
        <v>#REF!</v>
      </c>
      <c r="BC74" s="525" t="e">
        <f>+VLOOKUP($B74,GUM!C80:AD112,27,0)</f>
        <v>#REF!</v>
      </c>
      <c r="BD74" s="525" t="e">
        <f>ROUNDUP((BC74-BB74)/$AE$3,)</f>
        <v>#REF!</v>
      </c>
      <c r="BE74" s="527"/>
    </row>
    <row r="75" spans="1:65" customHeight="1" ht="15.75" s="833" customFormat="1">
      <c r="A75" s="1287"/>
      <c r="B75" s="976" t="str">
        <f>+GUM!C81</f>
        <v>82115-0EZ90</v>
      </c>
      <c r="C75" s="977" t="str">
        <f>GUM!D81</f>
        <v>A 0501</v>
      </c>
      <c r="D75" s="978"/>
      <c r="E75" s="979"/>
      <c r="F75" s="979"/>
      <c r="G75" s="979"/>
      <c r="H75" s="979"/>
      <c r="I75" s="979"/>
      <c r="J75" s="979"/>
      <c r="K75" s="979"/>
      <c r="L75" s="980"/>
      <c r="M75" s="982">
        <v>0.0</v>
      </c>
      <c r="N75" s="978">
        <v>0.0</v>
      </c>
      <c r="O75" s="979">
        <v>0.0</v>
      </c>
      <c r="P75" s="979">
        <v>0.0</v>
      </c>
      <c r="Q75" s="980"/>
      <c r="R75" s="979">
        <f>SUM(M75:M75)</f>
        <v>0</v>
      </c>
      <c r="S75" s="979">
        <f>+VLOOKUP($B75,GUM!C81:AD113,15,0)</f>
        <v/>
      </c>
      <c r="T75" s="979">
        <f>ROUNDUP((S75-R75)/$M$3,0)</f>
        <v>0</v>
      </c>
      <c r="U75" s="999"/>
      <c r="V75" s="979">
        <v>0.0</v>
      </c>
      <c r="W75" s="979">
        <v>0.0</v>
      </c>
      <c r="X75" s="979">
        <v>0.0</v>
      </c>
      <c r="Y75" s="979">
        <v>0.0</v>
      </c>
      <c r="Z75" s="979"/>
      <c r="AA75" s="979">
        <f>SUM(V75:V75)</f>
        <v>0</v>
      </c>
      <c r="AB75" s="979">
        <f>+VLOOKUP($B75,GUM!C81:AC113,18,0)</f>
        <v/>
      </c>
      <c r="AC75" s="979">
        <f>ROUNDUP((AB75-AA75)/$V$3,0)</f>
        <v>0</v>
      </c>
      <c r="AD75" s="981"/>
      <c r="AE75" s="982">
        <v>0.0</v>
      </c>
      <c r="AF75" s="978">
        <v>0.0</v>
      </c>
      <c r="AG75" s="978">
        <v>0.0</v>
      </c>
      <c r="AH75" s="979">
        <v>0.0</v>
      </c>
      <c r="AI75" s="979"/>
      <c r="AJ75" s="979">
        <f>SUM(AE75:AE75)</f>
        <v>0</v>
      </c>
      <c r="AK75" s="979">
        <f>+VLOOKUP($B75,GUM!C81:AD113,21,0)</f>
        <v/>
      </c>
      <c r="AL75" s="979" t="e">
        <f>ROUNDUP((AK75-AJ75)/$AE$3,)</f>
        <v>#VALUE!</v>
      </c>
      <c r="AM75" s="981"/>
      <c r="AN75" s="979">
        <v>0.0</v>
      </c>
      <c r="AO75" s="979">
        <v>0.0</v>
      </c>
      <c r="AP75" s="980">
        <v>0.0</v>
      </c>
      <c r="AQ75" s="980">
        <v>0.0</v>
      </c>
      <c r="AR75" s="979"/>
      <c r="AS75" s="979">
        <f>SUM(AN75:AN75)</f>
        <v>0</v>
      </c>
      <c r="AT75" s="979">
        <f>+VLOOKUP($B75,GUM!C81:AD113,24,0)</f>
        <v/>
      </c>
      <c r="AU75" s="979" t="e">
        <f>ROUNDUP((AT75-AS75)/$AE$3,)</f>
        <v>#VALUE!</v>
      </c>
      <c r="AV75" s="981"/>
      <c r="AW75" s="978">
        <v>0.0</v>
      </c>
      <c r="AX75" s="979">
        <v>0.0</v>
      </c>
      <c r="AY75" s="980">
        <v>0.0</v>
      </c>
      <c r="AZ75" s="980">
        <v>0.0</v>
      </c>
      <c r="BA75" s="979"/>
      <c r="BB75" s="979">
        <f>SUM(AW75:AW75)</f>
        <v>0</v>
      </c>
      <c r="BC75" s="979">
        <f>+VLOOKUP($B75,GUM!C81:AD113,27,0)</f>
        <v/>
      </c>
      <c r="BD75" s="979" t="e">
        <f>ROUNDUP((BC75-BB75)/$AE$3,)</f>
        <v>#VALUE!</v>
      </c>
      <c r="BE75" s="981"/>
    </row>
    <row r="76" spans="1:65" customHeight="1" ht="15.75" s="539" customFormat="1">
      <c r="A76" s="1287"/>
      <c r="B76" s="935" t="str">
        <f>+GUM!C82</f>
        <v>82115-0E501 B</v>
      </c>
      <c r="C76" s="724" t="str">
        <f>GUM!D82</f>
        <v>B 1001</v>
      </c>
      <c r="D76" s="533"/>
      <c r="E76" s="534"/>
      <c r="F76" s="534"/>
      <c r="G76" s="534"/>
      <c r="H76" s="534"/>
      <c r="I76" s="534"/>
      <c r="J76" s="534"/>
      <c r="K76" s="534"/>
      <c r="L76" s="535"/>
      <c r="M76" s="537" t="e">
        <f>VLOOKUP($B76,#REF!,12,0)</f>
        <v>#REF!</v>
      </c>
      <c r="N76" s="1005" t="e">
        <f>VLOOKUP($B76,#REF!,13,0)</f>
        <v>#REF!</v>
      </c>
      <c r="O76" s="534" t="e">
        <f>VLOOKUP($B76,#REF!,14,0)</f>
        <v>#REF!</v>
      </c>
      <c r="P76" s="534" t="e">
        <f>VLOOKUP($B76,#REF!,15,0)</f>
        <v>#REF!</v>
      </c>
      <c r="Q76" s="535" t="e">
        <f>VLOOKUP($B76,#REF!,16,0)</f>
        <v>#REF!</v>
      </c>
      <c r="R76" s="534" t="e">
        <f>SUM(M76:M76)</f>
        <v>#REF!</v>
      </c>
      <c r="S76" s="534" t="e">
        <f>+VLOOKUP($B76,GUM!C82:AD114,15,0)</f>
        <v>#REF!</v>
      </c>
      <c r="T76" s="534" t="e">
        <f>ROUNDUP((S76-R76)/$M$3,0)</f>
        <v>#REF!</v>
      </c>
      <c r="U76" s="536"/>
      <c r="V76" s="534" t="e">
        <f>VLOOKUP($B76,#REF!,17,0)</f>
        <v>#REF!</v>
      </c>
      <c r="W76" s="534" t="e">
        <f>VLOOKUP($B76,#REF!,18,0)</f>
        <v>#REF!</v>
      </c>
      <c r="X76" s="534" t="e">
        <f>VLOOKUP($B76,#REF!,19,0)</f>
        <v>#REF!</v>
      </c>
      <c r="Y76" s="534" t="e">
        <f>VLOOKUP($B76,#REF!,20,0)</f>
        <v>#REF!</v>
      </c>
      <c r="Z76" s="534"/>
      <c r="AA76" s="534" t="e">
        <f>SUM(V76:V76)</f>
        <v>#REF!</v>
      </c>
      <c r="AB76" s="534" t="e">
        <f>+VLOOKUP($B76,GUM!C82:AC114,18,0)</f>
        <v>#REF!</v>
      </c>
      <c r="AC76" s="534" t="e">
        <f>ROUNDUP((AB76-AA76)/$V$3,0)</f>
        <v>#REF!</v>
      </c>
      <c r="AD76" s="538"/>
      <c r="AE76" s="537" t="e">
        <f>VLOOKUP($B76,#REF!,21,0)</f>
        <v>#REF!</v>
      </c>
      <c r="AF76" s="533" t="e">
        <f>VLOOKUP($B76,#REF!,22,0)</f>
        <v>#REF!</v>
      </c>
      <c r="AG76" s="533" t="e">
        <f>VLOOKUP($B76,#REF!,23,0)</f>
        <v>#REF!</v>
      </c>
      <c r="AH76" s="534" t="e">
        <f>VLOOKUP($B76,#REF!,24,0)</f>
        <v>#REF!</v>
      </c>
      <c r="AI76" s="534"/>
      <c r="AJ76" s="534" t="e">
        <f>SUM(AE76:AE76)</f>
        <v>#REF!</v>
      </c>
      <c r="AK76" s="534" t="e">
        <f>+VLOOKUP($B76,GUM!C82:AD114,21,0)</f>
        <v>#REF!</v>
      </c>
      <c r="AL76" s="534" t="e">
        <f>ROUNDUP((AK76-AJ76)/$AE$3,)</f>
        <v>#REF!</v>
      </c>
      <c r="AM76" s="538"/>
      <c r="AN76" s="534" t="e">
        <f>VLOOKUP($B76,#REF!,25,0)</f>
        <v>#REF!</v>
      </c>
      <c r="AO76" s="534" t="e">
        <f>VLOOKUP($B76,#REF!,26,0)</f>
        <v>#REF!</v>
      </c>
      <c r="AP76" s="535" t="e">
        <f>VLOOKUP($B76,#REF!,27,0)</f>
        <v>#REF!</v>
      </c>
      <c r="AQ76" s="535" t="e">
        <f>VLOOKUP($B76,#REF!,28,0)</f>
        <v>#REF!</v>
      </c>
      <c r="AR76" s="534" t="e">
        <f>VLOOKUP($B76,#REF!,29,0)</f>
        <v>#REF!</v>
      </c>
      <c r="AS76" s="534" t="e">
        <f>SUM(AN76:AN76)</f>
        <v>#REF!</v>
      </c>
      <c r="AT76" s="534" t="e">
        <f>+VLOOKUP($B76,GUM!C82:AD114,24,0)</f>
        <v>#REF!</v>
      </c>
      <c r="AU76" s="534" t="e">
        <f>ROUNDUP((AT76-AS76)/$AE$3,)</f>
        <v>#REF!</v>
      </c>
      <c r="AV76" s="538"/>
      <c r="AW76" s="533" t="e">
        <f>VLOOKUP($B76,#REF!,30,0)</f>
        <v>#REF!</v>
      </c>
      <c r="AX76" s="534" t="e">
        <f>VLOOKUP($B76,#REF!,31,0)</f>
        <v>#REF!</v>
      </c>
      <c r="AY76" s="535" t="e">
        <f>VLOOKUP($B76,#REF!,32,0)</f>
        <v>#REF!</v>
      </c>
      <c r="AZ76" s="535" t="e">
        <f>VLOOKUP($B76,#REF!,33,0)</f>
        <v>#REF!</v>
      </c>
      <c r="BA76" s="534"/>
      <c r="BB76" s="534" t="e">
        <f>SUM(AW76:AW76)</f>
        <v>#REF!</v>
      </c>
      <c r="BC76" s="534" t="e">
        <f>+VLOOKUP($B76,GUM!C82:AD114,27,0)</f>
        <v>#REF!</v>
      </c>
      <c r="BD76" s="534" t="e">
        <f>ROUNDUP((BC76-BB76)/$AE$3,)</f>
        <v>#REF!</v>
      </c>
      <c r="BE76" s="538"/>
    </row>
    <row r="77" spans="1:65" customHeight="1" ht="15.75" s="539" customFormat="1">
      <c r="A77" s="1287"/>
      <c r="B77" s="934" t="str">
        <f>+GUM!C83</f>
        <v>82115-0E511 B</v>
      </c>
      <c r="C77" s="495" t="str">
        <f>GUM!D83</f>
        <v>B 1001</v>
      </c>
      <c r="D77" s="533"/>
      <c r="E77" s="534"/>
      <c r="F77" s="534"/>
      <c r="G77" s="534"/>
      <c r="H77" s="534"/>
      <c r="I77" s="534"/>
      <c r="J77" s="534"/>
      <c r="K77" s="534"/>
      <c r="L77" s="535"/>
      <c r="M77" s="537" t="e">
        <f>VLOOKUP($B77,#REF!,12,0)</f>
        <v>#REF!</v>
      </c>
      <c r="N77" s="1005" t="e">
        <f>VLOOKUP($B77,#REF!,13,0)</f>
        <v>#REF!</v>
      </c>
      <c r="O77" s="534" t="e">
        <f>VLOOKUP($B77,#REF!,14,0)</f>
        <v>#REF!</v>
      </c>
      <c r="P77" s="534" t="e">
        <f>VLOOKUP($B77,#REF!,15,0)</f>
        <v>#REF!</v>
      </c>
      <c r="Q77" s="535" t="e">
        <f>VLOOKUP($B77,#REF!,16,0)</f>
        <v>#REF!</v>
      </c>
      <c r="R77" s="534" t="e">
        <f>SUM(M77:M77)</f>
        <v>#REF!</v>
      </c>
      <c r="S77" s="534" t="e">
        <f>+VLOOKUP($B77,GUM!C83:AD115,15,0)</f>
        <v>#REF!</v>
      </c>
      <c r="T77" s="534" t="e">
        <f>ROUNDUP((S77-R77)/$M$3,0)</f>
        <v>#REF!</v>
      </c>
      <c r="U77" s="536"/>
      <c r="V77" s="534" t="e">
        <f>VLOOKUP($B77,#REF!,17,0)</f>
        <v>#REF!</v>
      </c>
      <c r="W77" s="534" t="e">
        <f>VLOOKUP($B77,#REF!,18,0)</f>
        <v>#REF!</v>
      </c>
      <c r="X77" s="534" t="e">
        <f>VLOOKUP($B77,#REF!,19,0)</f>
        <v>#REF!</v>
      </c>
      <c r="Y77" s="540" t="e">
        <f>VLOOKUP($B77,#REF!,20,0)</f>
        <v>#REF!</v>
      </c>
      <c r="Z77" s="534"/>
      <c r="AA77" s="534" t="e">
        <f>SUM(V77:V77)</f>
        <v>#REF!</v>
      </c>
      <c r="AB77" s="534" t="e">
        <f>+VLOOKUP($B77,GUM!C83:AC115,18,0)</f>
        <v>#REF!</v>
      </c>
      <c r="AC77" s="534" t="e">
        <f>ROUNDUP((AB77-AA77)/$V$3,0)</f>
        <v>#REF!</v>
      </c>
      <c r="AD77" s="538"/>
      <c r="AE77" s="537" t="e">
        <f>VLOOKUP($B77,#REF!,21,0)</f>
        <v>#REF!</v>
      </c>
      <c r="AF77" s="533" t="e">
        <f>VLOOKUP($B77,#REF!,22,0)</f>
        <v>#REF!</v>
      </c>
      <c r="AG77" s="533" t="e">
        <f>VLOOKUP($B77,#REF!,23,0)</f>
        <v>#REF!</v>
      </c>
      <c r="AH77" s="534" t="e">
        <f>VLOOKUP($B77,#REF!,24,0)</f>
        <v>#REF!</v>
      </c>
      <c r="AI77" s="534"/>
      <c r="AJ77" s="534" t="e">
        <f>SUM(AE77:AE77)</f>
        <v>#REF!</v>
      </c>
      <c r="AK77" s="534" t="e">
        <f>+VLOOKUP($B77,GUM!C83:AD115,21,0)</f>
        <v>#REF!</v>
      </c>
      <c r="AL77" s="534" t="e">
        <f>ROUNDUP((AK77-AJ77)/$AE$3,)</f>
        <v>#REF!</v>
      </c>
      <c r="AM77" s="538"/>
      <c r="AN77" s="540" t="e">
        <f>VLOOKUP($B77,#REF!,25,0)</f>
        <v>#REF!</v>
      </c>
      <c r="AO77" s="534" t="e">
        <f>VLOOKUP($B77,#REF!,26,0)</f>
        <v>#REF!</v>
      </c>
      <c r="AP77" s="861" t="e">
        <f>VLOOKUP($B77,#REF!,27,0)</f>
        <v>#REF!</v>
      </c>
      <c r="AQ77" s="535" t="e">
        <f>VLOOKUP($B77,#REF!,28,0)</f>
        <v>#REF!</v>
      </c>
      <c r="AR77" s="534" t="e">
        <f>VLOOKUP($B77,#REF!,29,0)</f>
        <v>#REF!</v>
      </c>
      <c r="AS77" s="534" t="e">
        <f>SUM(AN77:AN77)</f>
        <v>#REF!</v>
      </c>
      <c r="AT77" s="534" t="e">
        <f>+VLOOKUP($B77,GUM!C83:AD115,24,0)</f>
        <v>#REF!</v>
      </c>
      <c r="AU77" s="534" t="e">
        <f>ROUNDUP((AT77-AS77)/$AE$3,)</f>
        <v>#REF!</v>
      </c>
      <c r="AV77" s="538"/>
      <c r="AW77" s="533" t="e">
        <f>VLOOKUP($B77,#REF!,30,0)</f>
        <v>#REF!</v>
      </c>
      <c r="AX77" s="534" t="e">
        <f>VLOOKUP($B77,#REF!,31,0)</f>
        <v>#REF!</v>
      </c>
      <c r="AY77" s="535" t="e">
        <f>VLOOKUP($B77,#REF!,32,0)</f>
        <v>#REF!</v>
      </c>
      <c r="AZ77" s="535" t="e">
        <f>VLOOKUP($B77,#REF!,33,0)</f>
        <v>#REF!</v>
      </c>
      <c r="BA77" s="534"/>
      <c r="BB77" s="534" t="e">
        <f>SUM(AW77:AW77)</f>
        <v>#REF!</v>
      </c>
      <c r="BC77" s="534" t="e">
        <f>+VLOOKUP($B77,GUM!C83:AD115,27,0)</f>
        <v>#REF!</v>
      </c>
      <c r="BD77" s="534" t="e">
        <f>ROUNDUP((BC77-BB77)/$AE$3,)</f>
        <v>#REF!</v>
      </c>
      <c r="BE77" s="538"/>
    </row>
    <row r="78" spans="1:65" customHeight="1" ht="15.75" s="863" customFormat="1">
      <c r="A78" s="1287"/>
      <c r="B78" s="934" t="str">
        <f>+GUM!C84</f>
        <v>82115-0E521 B</v>
      </c>
      <c r="C78" s="495" t="str">
        <f>GUM!D84</f>
        <v>B 1001</v>
      </c>
      <c r="D78" s="860"/>
      <c r="E78" s="540"/>
      <c r="F78" s="540"/>
      <c r="G78" s="540"/>
      <c r="H78" s="540"/>
      <c r="I78" s="540"/>
      <c r="J78" s="540"/>
      <c r="K78" s="540"/>
      <c r="L78" s="861"/>
      <c r="M78" s="541" t="e">
        <f>VLOOKUP($B78,#REF!,12,0)</f>
        <v>#REF!</v>
      </c>
      <c r="N78" s="860" t="e">
        <f>VLOOKUP($B78,#REF!,13,0)</f>
        <v>#REF!</v>
      </c>
      <c r="O78" s="540" t="e">
        <f>VLOOKUP($B78,#REF!,14,0)</f>
        <v>#REF!</v>
      </c>
      <c r="P78" s="540" t="e">
        <f>VLOOKUP($B78,#REF!,15,0)</f>
        <v>#REF!</v>
      </c>
      <c r="Q78" s="861" t="e">
        <f>VLOOKUP($B78,#REF!,16,0)</f>
        <v>#REF!</v>
      </c>
      <c r="R78" s="540" t="e">
        <f>SUM(M78:M78)</f>
        <v>#REF!</v>
      </c>
      <c r="S78" s="540" t="e">
        <f>+VLOOKUP($B78,GUM!C84:AD116,15,0)</f>
        <v>#REF!</v>
      </c>
      <c r="T78" s="540" t="e">
        <f>ROUNDUP((S78-R78)/$M$3,0)</f>
        <v>#REF!</v>
      </c>
      <c r="U78" s="862"/>
      <c r="V78" s="540" t="e">
        <f>VLOOKUP($B78,#REF!,17,0)</f>
        <v>#REF!</v>
      </c>
      <c r="W78" s="540" t="e">
        <f>VLOOKUP($B78,#REF!,18,0)</f>
        <v>#REF!</v>
      </c>
      <c r="X78" s="540" t="e">
        <f>VLOOKUP($B78,#REF!,19,0)</f>
        <v>#REF!</v>
      </c>
      <c r="Y78" s="540" t="e">
        <f>VLOOKUP($B78,#REF!,20,0)</f>
        <v>#REF!</v>
      </c>
      <c r="Z78" s="540"/>
      <c r="AA78" s="540" t="e">
        <f>SUM(V78:V78)</f>
        <v>#REF!</v>
      </c>
      <c r="AB78" s="540" t="e">
        <f>+VLOOKUP($B78,GUM!C84:AC116,18,0)</f>
        <v>#REF!</v>
      </c>
      <c r="AC78" s="540" t="e">
        <f>ROUNDUP((AB78-AA78)/$V$3,0)</f>
        <v>#REF!</v>
      </c>
      <c r="AD78" s="862"/>
      <c r="AE78" s="541" t="e">
        <f>VLOOKUP($B78,#REF!,21,0)</f>
        <v>#REF!</v>
      </c>
      <c r="AF78" s="860" t="e">
        <f>VLOOKUP($B78,#REF!,22,0)</f>
        <v>#REF!</v>
      </c>
      <c r="AG78" s="860" t="e">
        <f>VLOOKUP($B78,#REF!,23,0)</f>
        <v>#REF!</v>
      </c>
      <c r="AH78" s="540" t="e">
        <f>VLOOKUP($B78,#REF!,24,0)</f>
        <v>#REF!</v>
      </c>
      <c r="AI78" s="540"/>
      <c r="AJ78" s="540" t="e">
        <f>SUM(AE78:AE78)</f>
        <v>#REF!</v>
      </c>
      <c r="AK78" s="540" t="e">
        <f>+VLOOKUP($B78,GUM!C84:AD116,21,0)</f>
        <v>#REF!</v>
      </c>
      <c r="AL78" s="540" t="e">
        <f>ROUNDUP((AK78-AJ78)/$AE$3,)</f>
        <v>#REF!</v>
      </c>
      <c r="AM78" s="862"/>
      <c r="AN78" s="540" t="e">
        <f>VLOOKUP($B78,#REF!,25,0)</f>
        <v>#REF!</v>
      </c>
      <c r="AO78" s="540" t="e">
        <f>VLOOKUP($B78,#REF!,26,0)</f>
        <v>#REF!</v>
      </c>
      <c r="AP78" s="861" t="e">
        <f>VLOOKUP($B78,#REF!,27,0)</f>
        <v>#REF!</v>
      </c>
      <c r="AQ78" s="861" t="e">
        <f>VLOOKUP($B78,#REF!,28,0)</f>
        <v>#REF!</v>
      </c>
      <c r="AR78" s="540" t="e">
        <f>VLOOKUP($B78,#REF!,29,0)</f>
        <v>#REF!</v>
      </c>
      <c r="AS78" s="540" t="e">
        <f>SUM(AN78:AN78)</f>
        <v>#REF!</v>
      </c>
      <c r="AT78" s="540" t="e">
        <f>+VLOOKUP($B78,GUM!C84:AD116,24,0)</f>
        <v>#REF!</v>
      </c>
      <c r="AU78" s="540" t="e">
        <f>ROUNDUP((AT78-AS78)/$AE$3,)</f>
        <v>#REF!</v>
      </c>
      <c r="AV78" s="862"/>
      <c r="AW78" s="860" t="e">
        <f>VLOOKUP($B78,#REF!,30,0)</f>
        <v>#REF!</v>
      </c>
      <c r="AX78" s="540" t="e">
        <f>VLOOKUP($B78,#REF!,31,0)</f>
        <v>#REF!</v>
      </c>
      <c r="AY78" s="861" t="e">
        <f>VLOOKUP($B78,#REF!,32,0)</f>
        <v>#REF!</v>
      </c>
      <c r="AZ78" s="861" t="e">
        <f>VLOOKUP($B78,#REF!,33,0)</f>
        <v>#REF!</v>
      </c>
      <c r="BA78" s="540"/>
      <c r="BB78" s="540" t="e">
        <f>SUM(AW78:AW78)</f>
        <v>#REF!</v>
      </c>
      <c r="BC78" s="540" t="e">
        <f>+VLOOKUP($B78,GUM!C84:AD116,27,0)</f>
        <v>#REF!</v>
      </c>
      <c r="BD78" s="540" t="e">
        <f>ROUNDUP((BC78-BB78)/$AE$3,)</f>
        <v>#REF!</v>
      </c>
      <c r="BE78" s="862"/>
    </row>
    <row r="79" spans="1:65" customHeight="1" ht="15" s="517" customFormat="1">
      <c r="A79" s="1287"/>
      <c r="B79" s="935" t="str">
        <f>+GUM!C85</f>
        <v>82115-0E531 B</v>
      </c>
      <c r="C79" s="724" t="str">
        <f>GUM!D85</f>
        <v>B 1001</v>
      </c>
      <c r="D79" s="563"/>
      <c r="E79" s="564"/>
      <c r="F79" s="564"/>
      <c r="G79" s="564"/>
      <c r="H79" s="564"/>
      <c r="I79" s="564"/>
      <c r="J79" s="564"/>
      <c r="K79" s="564"/>
      <c r="L79" s="565"/>
      <c r="M79" s="564" t="e">
        <f>VLOOKUP($B79,#REF!,12,0)</f>
        <v>#REF!</v>
      </c>
      <c r="N79" s="563" t="e">
        <f>VLOOKUP($B79,#REF!,13,0)</f>
        <v>#REF!</v>
      </c>
      <c r="O79" s="564" t="e">
        <f>VLOOKUP($B79,#REF!,14,0)</f>
        <v>#REF!</v>
      </c>
      <c r="P79" s="564" t="e">
        <f>VLOOKUP($B79,#REF!,15,0)</f>
        <v>#REF!</v>
      </c>
      <c r="Q79" s="565" t="e">
        <f>VLOOKUP($B79,#REF!,16,0)</f>
        <v>#REF!</v>
      </c>
      <c r="R79" s="564" t="e">
        <f>SUM(M79:M79)</f>
        <v>#REF!</v>
      </c>
      <c r="S79" s="564" t="e">
        <f>+VLOOKUP($B79,GUM!C85:AD117,15,0)</f>
        <v>#REF!</v>
      </c>
      <c r="T79" s="564" t="e">
        <f>ROUNDUP((S79-R79)/$M$3,0)</f>
        <v>#REF!</v>
      </c>
      <c r="U79" s="567"/>
      <c r="V79" s="564" t="e">
        <f>VLOOKUP($B79,#REF!,17,0)</f>
        <v>#REF!</v>
      </c>
      <c r="W79" s="564" t="e">
        <f>VLOOKUP($B79,#REF!,18,0)</f>
        <v>#REF!</v>
      </c>
      <c r="X79" s="564" t="e">
        <f>VLOOKUP($B79,#REF!,19,0)</f>
        <v>#REF!</v>
      </c>
      <c r="Y79" s="564" t="e">
        <f>VLOOKUP($B79,#REF!,20,0)</f>
        <v>#REF!</v>
      </c>
      <c r="Z79" s="534"/>
      <c r="AA79" s="564" t="e">
        <f>SUM(V79:V79)</f>
        <v>#REF!</v>
      </c>
      <c r="AB79" s="564" t="e">
        <f>+VLOOKUP($B79,GUM!C85:AC117,18,0)</f>
        <v>#REF!</v>
      </c>
      <c r="AC79" s="564" t="e">
        <f>ROUNDUP((AB79-AA79)/$V$3,0)</f>
        <v>#REF!</v>
      </c>
      <c r="AD79" s="569"/>
      <c r="AE79" s="570" t="e">
        <f>VLOOKUP($B79,#REF!,21,0)</f>
        <v>#REF!</v>
      </c>
      <c r="AF79" s="563" t="e">
        <f>VLOOKUP($B79,#REF!,22,0)</f>
        <v>#REF!</v>
      </c>
      <c r="AG79" s="533" t="e">
        <f>VLOOKUP($B79,#REF!,23,0)</f>
        <v>#REF!</v>
      </c>
      <c r="AH79" s="534" t="e">
        <f>VLOOKUP($B79,#REF!,24,0)</f>
        <v>#REF!</v>
      </c>
      <c r="AI79" s="534"/>
      <c r="AJ79" s="564" t="e">
        <f>SUM(AE79:AE79)</f>
        <v>#REF!</v>
      </c>
      <c r="AK79" s="564" t="e">
        <f>+VLOOKUP($B79,GUM!C85:AD117,21,0)</f>
        <v>#REF!</v>
      </c>
      <c r="AL79" s="564" t="e">
        <f>ROUNDUP((AK79-AJ79)/$AE$3,)</f>
        <v>#REF!</v>
      </c>
      <c r="AM79" s="569"/>
      <c r="AN79" s="534" t="e">
        <f>VLOOKUP($B79,#REF!,25,0)</f>
        <v>#REF!</v>
      </c>
      <c r="AO79" s="534" t="e">
        <f>VLOOKUP($B79,#REF!,26,0)</f>
        <v>#REF!</v>
      </c>
      <c r="AP79" s="535" t="e">
        <f>VLOOKUP($B79,#REF!,27,0)</f>
        <v>#REF!</v>
      </c>
      <c r="AQ79" s="535" t="e">
        <f>VLOOKUP($B79,#REF!,28,0)</f>
        <v>#REF!</v>
      </c>
      <c r="AR79" s="534" t="e">
        <f>VLOOKUP($B79,#REF!,29,0)</f>
        <v>#REF!</v>
      </c>
      <c r="AS79" s="564" t="e">
        <f>SUM(AN79:AN79)</f>
        <v>#REF!</v>
      </c>
      <c r="AT79" s="564" t="e">
        <f>+VLOOKUP($B79,GUM!C85:AD117,24,0)</f>
        <v>#REF!</v>
      </c>
      <c r="AU79" s="564" t="e">
        <f>ROUNDUP((AT79-AS79)/$AE$3,)</f>
        <v>#REF!</v>
      </c>
      <c r="AV79" s="569"/>
      <c r="AW79" s="533" t="e">
        <f>VLOOKUP($B79,#REF!,30,0)</f>
        <v>#REF!</v>
      </c>
      <c r="AX79" s="534" t="e">
        <f>VLOOKUP($B79,#REF!,31,0)</f>
        <v>#REF!</v>
      </c>
      <c r="AY79" s="535" t="e">
        <f>VLOOKUP($B79,#REF!,32,0)</f>
        <v>#REF!</v>
      </c>
      <c r="AZ79" s="535" t="e">
        <f>VLOOKUP($B79,#REF!,33,0)</f>
        <v>#REF!</v>
      </c>
      <c r="BA79" s="534"/>
      <c r="BB79" s="564" t="e">
        <f>SUM(AW79:AW79)</f>
        <v>#REF!</v>
      </c>
      <c r="BC79" s="564" t="e">
        <f>+VLOOKUP($B79,GUM!C85:AD117,27,0)</f>
        <v>#REF!</v>
      </c>
      <c r="BD79" s="564" t="e">
        <f>ROUNDUP((BC79-BB79)/$AE$3,)</f>
        <v>#REF!</v>
      </c>
      <c r="BE79" s="569"/>
    </row>
    <row r="80" spans="1:65" customHeight="1" ht="15.75" s="859" customFormat="1">
      <c r="A80" s="1287"/>
      <c r="B80" s="934" t="str">
        <f>+GUM!C86</f>
        <v>82115-0E541 B</v>
      </c>
      <c r="C80" s="495" t="str">
        <f>GUM!D86</f>
        <v>B 1001</v>
      </c>
      <c r="D80" s="563"/>
      <c r="E80" s="564"/>
      <c r="F80" s="564"/>
      <c r="G80" s="564"/>
      <c r="H80" s="564"/>
      <c r="I80" s="564"/>
      <c r="J80" s="564"/>
      <c r="K80" s="564"/>
      <c r="L80" s="565"/>
      <c r="M80" s="570" t="e">
        <f>VLOOKUP($B80,#REF!,12,0)</f>
        <v>#REF!</v>
      </c>
      <c r="N80" s="563" t="e">
        <f>VLOOKUP($B80,#REF!,13,0)</f>
        <v>#REF!</v>
      </c>
      <c r="O80" s="564" t="e">
        <f>VLOOKUP($B80,#REF!,14,0)</f>
        <v>#REF!</v>
      </c>
      <c r="P80" s="564" t="e">
        <f>VLOOKUP($B80,#REF!,15,0)</f>
        <v>#REF!</v>
      </c>
      <c r="Q80" s="535" t="e">
        <f>VLOOKUP($B80,#REF!,16,0)</f>
        <v>#REF!</v>
      </c>
      <c r="R80" s="564" t="e">
        <f>SUM(M80:M80)</f>
        <v>#REF!</v>
      </c>
      <c r="S80" s="564" t="e">
        <f>+VLOOKUP($B80,GUM!C86:AD118,15,0)</f>
        <v>#REF!</v>
      </c>
      <c r="T80" s="564" t="e">
        <f>ROUNDUP((S80-R80)/$M$3,0)</f>
        <v>#REF!</v>
      </c>
      <c r="U80" s="567"/>
      <c r="V80" s="534" t="e">
        <f>VLOOKUP($B80,#REF!,17,0)</f>
        <v>#REF!</v>
      </c>
      <c r="W80" s="534" t="e">
        <f>VLOOKUP($B80,#REF!,18,0)</f>
        <v>#REF!</v>
      </c>
      <c r="X80" s="534" t="e">
        <f>VLOOKUP($B80,#REF!,19,0)</f>
        <v>#REF!</v>
      </c>
      <c r="Y80" s="534" t="e">
        <f>VLOOKUP($B80,#REF!,20,0)</f>
        <v>#REF!</v>
      </c>
      <c r="Z80" s="534"/>
      <c r="AA80" s="564" t="e">
        <f>SUM(V80:V80)</f>
        <v>#REF!</v>
      </c>
      <c r="AB80" s="564" t="e">
        <f>+VLOOKUP($B80,GUM!C86:AC118,18,0)</f>
        <v>#REF!</v>
      </c>
      <c r="AC80" s="564" t="e">
        <f>ROUNDUP((AB80-AA80)/$V$3,0)</f>
        <v>#REF!</v>
      </c>
      <c r="AD80" s="569"/>
      <c r="AE80" s="570" t="e">
        <f>VLOOKUP($B80,#REF!,21,0)</f>
        <v>#REF!</v>
      </c>
      <c r="AF80" s="563" t="e">
        <f>VLOOKUP($B80,#REF!,22,0)</f>
        <v>#REF!</v>
      </c>
      <c r="AG80" s="533" t="e">
        <f>VLOOKUP($B80,#REF!,23,0)</f>
        <v>#REF!</v>
      </c>
      <c r="AH80" s="534" t="e">
        <f>VLOOKUP($B80,#REF!,24,0)</f>
        <v>#REF!</v>
      </c>
      <c r="AI80" s="534"/>
      <c r="AJ80" s="564" t="e">
        <f>SUM(AE80:AE80)</f>
        <v>#REF!</v>
      </c>
      <c r="AK80" s="564" t="e">
        <f>+VLOOKUP($B80,GUM!C86:AD118,21,0)</f>
        <v>#REF!</v>
      </c>
      <c r="AL80" s="564" t="e">
        <f>ROUNDUP((AK80-AJ80)/$AE$3,)</f>
        <v>#REF!</v>
      </c>
      <c r="AM80" s="569"/>
      <c r="AN80" s="534" t="e">
        <f>VLOOKUP($B80,#REF!,25,0)</f>
        <v>#REF!</v>
      </c>
      <c r="AO80" s="534" t="e">
        <f>VLOOKUP($B80,#REF!,26,0)</f>
        <v>#REF!</v>
      </c>
      <c r="AP80" s="535" t="e">
        <f>VLOOKUP($B80,#REF!,27,0)</f>
        <v>#REF!</v>
      </c>
      <c r="AQ80" s="535" t="e">
        <f>VLOOKUP($B80,#REF!,28,0)</f>
        <v>#REF!</v>
      </c>
      <c r="AR80" s="534" t="e">
        <f>VLOOKUP($B80,#REF!,29,0)</f>
        <v>#REF!</v>
      </c>
      <c r="AS80" s="564" t="e">
        <f>SUM(AN80:AN80)</f>
        <v>#REF!</v>
      </c>
      <c r="AT80" s="564" t="e">
        <f>+VLOOKUP($B80,GUM!C86:AD118,24,0)</f>
        <v>#REF!</v>
      </c>
      <c r="AU80" s="564" t="e">
        <f>ROUNDUP((AT80-AS80)/$AE$3,)</f>
        <v>#REF!</v>
      </c>
      <c r="AV80" s="569"/>
      <c r="AW80" s="533" t="e">
        <f>VLOOKUP($B80,#REF!,30,0)</f>
        <v>#REF!</v>
      </c>
      <c r="AX80" s="534" t="e">
        <f>VLOOKUP($B80,#REF!,31,0)</f>
        <v>#REF!</v>
      </c>
      <c r="AY80" s="535" t="e">
        <f>VLOOKUP($B80,#REF!,32,0)</f>
        <v>#REF!</v>
      </c>
      <c r="AZ80" s="535" t="e">
        <f>VLOOKUP($B80,#REF!,33,0)</f>
        <v>#REF!</v>
      </c>
      <c r="BA80" s="534"/>
      <c r="BB80" s="564" t="e">
        <f>SUM(AW80:AW80)</f>
        <v>#REF!</v>
      </c>
      <c r="BC80" s="564" t="e">
        <f>+VLOOKUP($B80,GUM!C86:AD118,27,0)</f>
        <v>#REF!</v>
      </c>
      <c r="BD80" s="564" t="e">
        <f>ROUNDUP((BC80-BB80)/$AE$3,)</f>
        <v>#REF!</v>
      </c>
      <c r="BE80" s="569"/>
    </row>
    <row r="81" spans="1:65" customHeight="1" ht="15.75" s="517" customFormat="1">
      <c r="A81" s="1287"/>
      <c r="B81" s="935" t="str">
        <f>+GUM!C87</f>
        <v>82115-0E551 B</v>
      </c>
      <c r="C81" s="724" t="str">
        <f>GUM!D87</f>
        <v>B 1001</v>
      </c>
      <c r="D81" s="563"/>
      <c r="E81" s="564"/>
      <c r="F81" s="564"/>
      <c r="G81" s="564"/>
      <c r="H81" s="564"/>
      <c r="I81" s="564"/>
      <c r="J81" s="564"/>
      <c r="K81" s="564"/>
      <c r="L81" s="565"/>
      <c r="M81" s="570" t="e">
        <f>VLOOKUP($B81,#REF!,12,0)</f>
        <v>#REF!</v>
      </c>
      <c r="N81" s="563" t="e">
        <f>VLOOKUP($B81,#REF!,13,0)</f>
        <v>#REF!</v>
      </c>
      <c r="O81" s="564" t="e">
        <f>VLOOKUP($B81,#REF!,14,0)</f>
        <v>#REF!</v>
      </c>
      <c r="P81" s="564" t="e">
        <f>VLOOKUP($B81,#REF!,15,0)</f>
        <v>#REF!</v>
      </c>
      <c r="Q81" s="535" t="e">
        <f>VLOOKUP($B81,#REF!,16,0)</f>
        <v>#REF!</v>
      </c>
      <c r="R81" s="564" t="e">
        <f>SUM(M81:M81)</f>
        <v>#REF!</v>
      </c>
      <c r="S81" s="564" t="e">
        <f>+VLOOKUP($B81,GUM!C87:AD119,15,0)</f>
        <v>#REF!</v>
      </c>
      <c r="T81" s="564" t="e">
        <f>ROUNDUP((S81-R81)/$M$3,0)</f>
        <v>#REF!</v>
      </c>
      <c r="U81" s="569"/>
      <c r="V81" s="534" t="e">
        <f>VLOOKUP($B81,#REF!,17,0)</f>
        <v>#REF!</v>
      </c>
      <c r="W81" s="534" t="e">
        <f>VLOOKUP($B81,#REF!,18,0)</f>
        <v>#REF!</v>
      </c>
      <c r="X81" s="534" t="e">
        <f>VLOOKUP($B81,#REF!,19,0)</f>
        <v>#REF!</v>
      </c>
      <c r="Y81" s="534" t="e">
        <f>VLOOKUP($B81,#REF!,20,0)</f>
        <v>#REF!</v>
      </c>
      <c r="Z81" s="534"/>
      <c r="AA81" s="564" t="e">
        <f>SUM(V81:V81)</f>
        <v>#REF!</v>
      </c>
      <c r="AB81" s="564" t="e">
        <f>+VLOOKUP($B81,GUM!C87:AC119,18,0)</f>
        <v>#REF!</v>
      </c>
      <c r="AC81" s="564" t="e">
        <f>ROUNDUP((AB81-AA81)/$V$3,0)</f>
        <v>#REF!</v>
      </c>
      <c r="AD81" s="569"/>
      <c r="AE81" s="570" t="e">
        <f>VLOOKUP($B81,#REF!,21,0)</f>
        <v>#REF!</v>
      </c>
      <c r="AF81" s="563" t="e">
        <f>VLOOKUP($B81,#REF!,22,0)</f>
        <v>#REF!</v>
      </c>
      <c r="AG81" s="533" t="e">
        <f>VLOOKUP($B81,#REF!,23,0)</f>
        <v>#REF!</v>
      </c>
      <c r="AH81" s="534" t="e">
        <f>VLOOKUP($B81,#REF!,24,0)</f>
        <v>#REF!</v>
      </c>
      <c r="AI81" s="534"/>
      <c r="AJ81" s="564" t="e">
        <f>SUM(AE81:AE81)</f>
        <v>#REF!</v>
      </c>
      <c r="AK81" s="564" t="e">
        <f>+VLOOKUP($B81,GUM!C87:AD119,21,0)</f>
        <v>#REF!</v>
      </c>
      <c r="AL81" s="564" t="e">
        <f>ROUNDUP((AK81-AJ81)/$AE$3,)</f>
        <v>#REF!</v>
      </c>
      <c r="AM81" s="569"/>
      <c r="AN81" s="534" t="e">
        <f>VLOOKUP($B81,#REF!,25,0)</f>
        <v>#REF!</v>
      </c>
      <c r="AO81" s="534" t="e">
        <f>VLOOKUP($B81,#REF!,26,0)</f>
        <v>#REF!</v>
      </c>
      <c r="AP81" s="535" t="e">
        <f>VLOOKUP($B81,#REF!,27,0)</f>
        <v>#REF!</v>
      </c>
      <c r="AQ81" s="535" t="e">
        <f>VLOOKUP($B81,#REF!,28,0)</f>
        <v>#REF!</v>
      </c>
      <c r="AR81" s="534" t="e">
        <f>VLOOKUP($B81,#REF!,29,0)</f>
        <v>#REF!</v>
      </c>
      <c r="AS81" s="564" t="e">
        <f>SUM(AN81:AN81)</f>
        <v>#REF!</v>
      </c>
      <c r="AT81" s="564" t="e">
        <f>+VLOOKUP($B81,GUM!C87:AD119,24,0)</f>
        <v>#REF!</v>
      </c>
      <c r="AU81" s="564" t="e">
        <f>ROUNDUP((AT81-AS81)/$AE$3,)</f>
        <v>#REF!</v>
      </c>
      <c r="AV81" s="569"/>
      <c r="AW81" s="533" t="e">
        <f>VLOOKUP($B81,#REF!,30,0)</f>
        <v>#REF!</v>
      </c>
      <c r="AX81" s="534" t="e">
        <f>VLOOKUP($B81,#REF!,31,0)</f>
        <v>#REF!</v>
      </c>
      <c r="AY81" s="535" t="e">
        <f>VLOOKUP($B81,#REF!,32,0)</f>
        <v>#REF!</v>
      </c>
      <c r="AZ81" s="535" t="e">
        <f>VLOOKUP($B81,#REF!,33,0)</f>
        <v>#REF!</v>
      </c>
      <c r="BA81" s="534"/>
      <c r="BB81" s="564" t="e">
        <f>SUM(AW81:AW81)</f>
        <v>#REF!</v>
      </c>
      <c r="BC81" s="564" t="e">
        <f>+VLOOKUP($B81,GUM!C87:AD119,27,0)</f>
        <v>#REF!</v>
      </c>
      <c r="BD81" s="564" t="e">
        <f>ROUNDUP((BC81-BB81)/$AE$3,)</f>
        <v>#REF!</v>
      </c>
      <c r="BE81" s="569"/>
    </row>
    <row r="82" spans="1:65" customHeight="1" ht="15.75" s="859" customFormat="1">
      <c r="A82" s="1287"/>
      <c r="B82" s="934" t="str">
        <f>+GUM!C88</f>
        <v>82115-0E561 B</v>
      </c>
      <c r="C82" s="495" t="str">
        <f>GUM!D88</f>
        <v>B 1001</v>
      </c>
      <c r="D82" s="524"/>
      <c r="E82" s="525"/>
      <c r="F82" s="525"/>
      <c r="G82" s="525"/>
      <c r="H82" s="525"/>
      <c r="I82" s="525"/>
      <c r="J82" s="525"/>
      <c r="K82" s="525"/>
      <c r="L82" s="526"/>
      <c r="M82" s="528" t="e">
        <f>VLOOKUP($B82,#REF!,12,0)</f>
        <v>#REF!</v>
      </c>
      <c r="N82" s="524" t="e">
        <f>VLOOKUP($B82,#REF!,13,0)</f>
        <v>#REF!</v>
      </c>
      <c r="O82" s="525" t="e">
        <f>VLOOKUP($B82,#REF!,14,0)</f>
        <v>#REF!</v>
      </c>
      <c r="P82" s="525" t="e">
        <f>VLOOKUP($B82,#REF!,15,0)</f>
        <v>#REF!</v>
      </c>
      <c r="Q82" s="861" t="e">
        <f>VLOOKUP($B82,#REF!,16,0)</f>
        <v>#REF!</v>
      </c>
      <c r="R82" s="525" t="e">
        <f>SUM(M82:M82)</f>
        <v>#REF!</v>
      </c>
      <c r="S82" s="525" t="e">
        <f>+VLOOKUP($B82,GUM!C88:AD120,15,0)</f>
        <v>#REF!</v>
      </c>
      <c r="T82" s="525" t="e">
        <f>ROUNDUP((S82-R82)/$M$3,0)</f>
        <v>#REF!</v>
      </c>
      <c r="U82" s="531"/>
      <c r="V82" s="540" t="e">
        <f>VLOOKUP($B82,#REF!,17,0)</f>
        <v>#REF!</v>
      </c>
      <c r="W82" s="540" t="e">
        <f>VLOOKUP($B82,#REF!,18,0)</f>
        <v>#REF!</v>
      </c>
      <c r="X82" s="540" t="e">
        <f>VLOOKUP($B82,#REF!,19,0)</f>
        <v>#REF!</v>
      </c>
      <c r="Y82" s="540" t="e">
        <f>VLOOKUP($B82,#REF!,20,0)</f>
        <v>#REF!</v>
      </c>
      <c r="Z82" s="540"/>
      <c r="AA82" s="525" t="e">
        <f>SUM(V82:V82)</f>
        <v>#REF!</v>
      </c>
      <c r="AB82" s="525" t="e">
        <f>+VLOOKUP($B82,GUM!C88:AC120,18,0)</f>
        <v>#REF!</v>
      </c>
      <c r="AC82" s="525" t="e">
        <f>ROUNDUP((AB82-AA82)/$V$3,0)</f>
        <v>#REF!</v>
      </c>
      <c r="AD82" s="527"/>
      <c r="AE82" s="528" t="e">
        <f>VLOOKUP($B82,#REF!,21,0)</f>
        <v>#REF!</v>
      </c>
      <c r="AF82" s="524" t="e">
        <f>VLOOKUP($B82,#REF!,22,0)</f>
        <v>#REF!</v>
      </c>
      <c r="AG82" s="860" t="e">
        <f>VLOOKUP($B82,#REF!,23,0)</f>
        <v>#REF!</v>
      </c>
      <c r="AH82" s="540" t="e">
        <f>VLOOKUP($B82,#REF!,24,0)</f>
        <v>#REF!</v>
      </c>
      <c r="AI82" s="540"/>
      <c r="AJ82" s="525" t="e">
        <f>SUM(AE82:AE82)</f>
        <v>#REF!</v>
      </c>
      <c r="AK82" s="525" t="e">
        <f>+VLOOKUP($B82,GUM!C88:AD120,21,0)</f>
        <v>#REF!</v>
      </c>
      <c r="AL82" s="525" t="e">
        <f>ROUNDUP((AK82-AJ82)/$AE$3,)</f>
        <v>#REF!</v>
      </c>
      <c r="AM82" s="527"/>
      <c r="AN82" s="540" t="e">
        <f>VLOOKUP($B82,#REF!,25,0)</f>
        <v>#REF!</v>
      </c>
      <c r="AO82" s="540" t="e">
        <f>VLOOKUP($B82,#REF!,26,0)</f>
        <v>#REF!</v>
      </c>
      <c r="AP82" s="861" t="e">
        <f>VLOOKUP($B82,#REF!,27,0)</f>
        <v>#REF!</v>
      </c>
      <c r="AQ82" s="861" t="e">
        <f>VLOOKUP($B82,#REF!,28,0)</f>
        <v>#REF!</v>
      </c>
      <c r="AR82" s="540" t="e">
        <f>VLOOKUP($B82,#REF!,29,0)</f>
        <v>#REF!</v>
      </c>
      <c r="AS82" s="525" t="e">
        <f>SUM(AN82:AN82)</f>
        <v>#REF!</v>
      </c>
      <c r="AT82" s="525" t="e">
        <f>+VLOOKUP($B82,GUM!C88:AD120,24,0)</f>
        <v>#REF!</v>
      </c>
      <c r="AU82" s="525" t="e">
        <f>ROUNDUP((AT82-AS82)/$AE$3,)</f>
        <v>#REF!</v>
      </c>
      <c r="AV82" s="527"/>
      <c r="AW82" s="860" t="e">
        <f>VLOOKUP($B82,#REF!,30,0)</f>
        <v>#REF!</v>
      </c>
      <c r="AX82" s="540" t="e">
        <f>VLOOKUP($B82,#REF!,31,0)</f>
        <v>#REF!</v>
      </c>
      <c r="AY82" s="861" t="e">
        <f>VLOOKUP($B82,#REF!,32,0)</f>
        <v>#REF!</v>
      </c>
      <c r="AZ82" s="861" t="e">
        <f>VLOOKUP($B82,#REF!,33,0)</f>
        <v>#REF!</v>
      </c>
      <c r="BA82" s="540"/>
      <c r="BB82" s="525" t="e">
        <f>SUM(AW82:AW82)</f>
        <v>#REF!</v>
      </c>
      <c r="BC82" s="525" t="e">
        <f>+VLOOKUP($B82,GUM!C88:AD120,27,0)</f>
        <v>#REF!</v>
      </c>
      <c r="BD82" s="525" t="e">
        <f>ROUNDUP((BC82-BB82)/$AE$3,)</f>
        <v>#REF!</v>
      </c>
      <c r="BE82" s="527"/>
    </row>
    <row r="83" spans="1:65" customHeight="1" ht="15.75" s="532" customFormat="1">
      <c r="A83" s="1287"/>
      <c r="B83" s="935" t="str">
        <f>+GUM!C89</f>
        <v>82115-0EA21 B</v>
      </c>
      <c r="C83" s="724" t="str">
        <f>GUM!D89</f>
        <v>B 1001</v>
      </c>
      <c r="D83" s="563"/>
      <c r="E83" s="564"/>
      <c r="F83" s="564"/>
      <c r="G83" s="564"/>
      <c r="H83" s="564"/>
      <c r="I83" s="564"/>
      <c r="J83" s="564"/>
      <c r="K83" s="564"/>
      <c r="L83" s="565"/>
      <c r="M83" s="570" t="e">
        <f>VLOOKUP($B83,#REF!,12,0)</f>
        <v>#REF!</v>
      </c>
      <c r="N83" s="563" t="e">
        <f>VLOOKUP($B83,#REF!,13,0)</f>
        <v>#REF!</v>
      </c>
      <c r="O83" s="564" t="e">
        <f>VLOOKUP($B83,#REF!,14,0)</f>
        <v>#REF!</v>
      </c>
      <c r="P83" s="564" t="e">
        <f>VLOOKUP($B83,#REF!,15,0)</f>
        <v>#REF!</v>
      </c>
      <c r="Q83" s="535" t="e">
        <f>VLOOKUP($B83,#REF!,16,0)</f>
        <v>#REF!</v>
      </c>
      <c r="R83" s="564" t="e">
        <f>SUM(M83:M83)</f>
        <v>#REF!</v>
      </c>
      <c r="S83" s="564" t="e">
        <f>+VLOOKUP($B83,GUM!C89:AD121,15,0)</f>
        <v>#REF!</v>
      </c>
      <c r="T83" s="564" t="e">
        <f>ROUNDUP((S83-R83)/$M$3,0)</f>
        <v>#REF!</v>
      </c>
      <c r="U83" s="569"/>
      <c r="V83" s="534" t="e">
        <f>VLOOKUP($B83,#REF!,17,0)</f>
        <v>#REF!</v>
      </c>
      <c r="W83" s="534" t="e">
        <f>VLOOKUP($B83,#REF!,18,0)</f>
        <v>#REF!</v>
      </c>
      <c r="X83" s="534" t="e">
        <f>VLOOKUP($B83,#REF!,19,0)</f>
        <v>#REF!</v>
      </c>
      <c r="Y83" s="534" t="e">
        <f>VLOOKUP($B83,#REF!,20,0)</f>
        <v>#REF!</v>
      </c>
      <c r="Z83" s="534"/>
      <c r="AA83" s="564" t="e">
        <f>SUM(V83:V83)</f>
        <v>#REF!</v>
      </c>
      <c r="AB83" s="564" t="e">
        <f>+VLOOKUP($B83,GUM!C89:AC121,18,0)</f>
        <v>#REF!</v>
      </c>
      <c r="AC83" s="564" t="e">
        <f>ROUNDUP((AB83-AA83)/$V$3,0)</f>
        <v>#REF!</v>
      </c>
      <c r="AD83" s="569"/>
      <c r="AE83" s="570" t="e">
        <f>VLOOKUP($B83,#REF!,21,0)</f>
        <v>#REF!</v>
      </c>
      <c r="AF83" s="563" t="e">
        <f>VLOOKUP($B83,#REF!,22,0)</f>
        <v>#REF!</v>
      </c>
      <c r="AG83" s="533" t="e">
        <f>VLOOKUP($B83,#REF!,23,0)</f>
        <v>#REF!</v>
      </c>
      <c r="AH83" s="534" t="e">
        <f>VLOOKUP($B83,#REF!,24,0)</f>
        <v>#REF!</v>
      </c>
      <c r="AI83" s="534"/>
      <c r="AJ83" s="564" t="e">
        <f>SUM(AE83:AE83)</f>
        <v>#REF!</v>
      </c>
      <c r="AK83" s="564" t="e">
        <f>+VLOOKUP($B83,GUM!C89:AD121,21,0)</f>
        <v>#REF!</v>
      </c>
      <c r="AL83" s="564" t="e">
        <f>ROUNDUP((AK83-AJ83)/$AE$3,)</f>
        <v>#REF!</v>
      </c>
      <c r="AM83" s="569"/>
      <c r="AN83" s="534" t="e">
        <f>VLOOKUP($B83,#REF!,25,0)</f>
        <v>#REF!</v>
      </c>
      <c r="AO83" s="534" t="e">
        <f>VLOOKUP($B83,#REF!,26,0)</f>
        <v>#REF!</v>
      </c>
      <c r="AP83" s="535" t="e">
        <f>VLOOKUP($B83,#REF!,27,0)</f>
        <v>#REF!</v>
      </c>
      <c r="AQ83" s="535" t="e">
        <f>VLOOKUP($B83,#REF!,28,0)</f>
        <v>#REF!</v>
      </c>
      <c r="AR83" s="534" t="e">
        <f>VLOOKUP($B83,#REF!,29,0)</f>
        <v>#REF!</v>
      </c>
      <c r="AS83" s="564" t="e">
        <f>SUM(AN83:AN83)</f>
        <v>#REF!</v>
      </c>
      <c r="AT83" s="564" t="e">
        <f>+VLOOKUP($B83,GUM!C89:AD121,24,0)</f>
        <v>#REF!</v>
      </c>
      <c r="AU83" s="564" t="e">
        <f>ROUNDUP((AT83-AS83)/$AE$3,)</f>
        <v>#REF!</v>
      </c>
      <c r="AV83" s="569"/>
      <c r="AW83" s="533" t="e">
        <f>VLOOKUP($B83,#REF!,30,0)</f>
        <v>#REF!</v>
      </c>
      <c r="AX83" s="534" t="e">
        <f>VLOOKUP($B83,#REF!,31,0)</f>
        <v>#REF!</v>
      </c>
      <c r="AY83" s="535" t="e">
        <f>VLOOKUP($B83,#REF!,32,0)</f>
        <v>#REF!</v>
      </c>
      <c r="AZ83" s="535" t="e">
        <f>VLOOKUP($B83,#REF!,33,0)</f>
        <v>#REF!</v>
      </c>
      <c r="BA83" s="534"/>
      <c r="BB83" s="564" t="e">
        <f>SUM(AW83:AW83)</f>
        <v>#REF!</v>
      </c>
      <c r="BC83" s="564" t="e">
        <f>+VLOOKUP($B83,GUM!C89:AD121,27,0)</f>
        <v>#REF!</v>
      </c>
      <c r="BD83" s="564" t="e">
        <f>ROUNDUP((BC83-BB83)/$AE$3,)</f>
        <v>#REF!</v>
      </c>
      <c r="BE83" s="569"/>
    </row>
    <row r="84" spans="1:65" customHeight="1" ht="15.75" s="539" customFormat="1">
      <c r="A84" s="1287"/>
      <c r="B84" s="934" t="str">
        <f>+GUM!C90</f>
        <v>82115-0EA31 B</v>
      </c>
      <c r="C84" s="495" t="str">
        <f>GUM!D90</f>
        <v>B 1001</v>
      </c>
      <c r="D84" s="533"/>
      <c r="E84" s="534"/>
      <c r="F84" s="534"/>
      <c r="G84" s="534"/>
      <c r="H84" s="534"/>
      <c r="I84" s="534"/>
      <c r="J84" s="534"/>
      <c r="K84" s="534"/>
      <c r="L84" s="535"/>
      <c r="M84" s="537" t="e">
        <f>VLOOKUP($B84,#REF!,12,0)</f>
        <v>#REF!</v>
      </c>
      <c r="N84" s="1005" t="e">
        <f>VLOOKUP($B84,#REF!,13,0)</f>
        <v>#REF!</v>
      </c>
      <c r="O84" s="534" t="e">
        <f>VLOOKUP($B84,#REF!,14,0)</f>
        <v>#REF!</v>
      </c>
      <c r="P84" s="534" t="e">
        <f>VLOOKUP($B84,#REF!,15,0)</f>
        <v>#REF!</v>
      </c>
      <c r="Q84" s="535" t="e">
        <f>VLOOKUP($B84,#REF!,16,0)</f>
        <v>#REF!</v>
      </c>
      <c r="R84" s="534" t="e">
        <f>SUM(M84:M84)</f>
        <v>#REF!</v>
      </c>
      <c r="S84" s="534" t="e">
        <f>+VLOOKUP($B84,GUM!C90:AD122,15,0)</f>
        <v>#REF!</v>
      </c>
      <c r="T84" s="534" t="e">
        <f>ROUNDUP((S84-R84)/$M$3,0)</f>
        <v>#REF!</v>
      </c>
      <c r="U84" s="536"/>
      <c r="V84" s="534" t="e">
        <f>VLOOKUP($B84,#REF!,17,0)</f>
        <v>#REF!</v>
      </c>
      <c r="W84" s="534" t="e">
        <f>VLOOKUP($B84,#REF!,18,0)</f>
        <v>#REF!</v>
      </c>
      <c r="X84" s="534" t="e">
        <f>VLOOKUP($B84,#REF!,19,0)</f>
        <v>#REF!</v>
      </c>
      <c r="Y84" s="540" t="e">
        <f>VLOOKUP($B84,#REF!,20,0)</f>
        <v>#REF!</v>
      </c>
      <c r="Z84" s="534"/>
      <c r="AA84" s="534" t="e">
        <f>SUM(V84:V84)</f>
        <v>#REF!</v>
      </c>
      <c r="AB84" s="534" t="e">
        <f>+VLOOKUP($B84,GUM!C90:AC122,18,0)</f>
        <v>#REF!</v>
      </c>
      <c r="AC84" s="534" t="e">
        <f>ROUNDUP((AB84-AA84)/$V$3,0)</f>
        <v>#REF!</v>
      </c>
      <c r="AD84" s="538"/>
      <c r="AE84" s="537" t="e">
        <f>VLOOKUP($B84,#REF!,21,0)</f>
        <v>#REF!</v>
      </c>
      <c r="AF84" s="533" t="e">
        <f>VLOOKUP($B84,#REF!,22,0)</f>
        <v>#REF!</v>
      </c>
      <c r="AG84" s="533" t="e">
        <f>VLOOKUP($B84,#REF!,23,0)</f>
        <v>#REF!</v>
      </c>
      <c r="AH84" s="534" t="e">
        <f>VLOOKUP($B84,#REF!,24,0)</f>
        <v>#REF!</v>
      </c>
      <c r="AI84" s="534"/>
      <c r="AJ84" s="534" t="e">
        <f>SUM(AE84:AE84)</f>
        <v>#REF!</v>
      </c>
      <c r="AK84" s="534" t="e">
        <f>+VLOOKUP($B84,GUM!C90:AD122,21,0)</f>
        <v>#REF!</v>
      </c>
      <c r="AL84" s="534" t="e">
        <f>ROUNDUP((AK84-AJ84)/$AE$3,)</f>
        <v>#REF!</v>
      </c>
      <c r="AM84" s="538"/>
      <c r="AN84" s="540" t="e">
        <f>VLOOKUP($B84,#REF!,25,0)</f>
        <v>#REF!</v>
      </c>
      <c r="AO84" s="534" t="e">
        <f>VLOOKUP($B84,#REF!,26,0)</f>
        <v>#REF!</v>
      </c>
      <c r="AP84" s="861" t="e">
        <f>VLOOKUP($B84,#REF!,27,0)</f>
        <v>#REF!</v>
      </c>
      <c r="AQ84" s="535" t="e">
        <f>VLOOKUP($B84,#REF!,28,0)</f>
        <v>#REF!</v>
      </c>
      <c r="AR84" s="534" t="e">
        <f>VLOOKUP($B84,#REF!,29,0)</f>
        <v>#REF!</v>
      </c>
      <c r="AS84" s="534" t="e">
        <f>SUM(AN84:AN84)</f>
        <v>#REF!</v>
      </c>
      <c r="AT84" s="534" t="e">
        <f>+VLOOKUP($B84,GUM!C90:AD122,24,0)</f>
        <v>#REF!</v>
      </c>
      <c r="AU84" s="534" t="e">
        <f>ROUNDUP((AT84-AS84)/$AE$3,)</f>
        <v>#REF!</v>
      </c>
      <c r="AV84" s="538"/>
      <c r="AW84" s="533" t="e">
        <f>VLOOKUP($B84,#REF!,30,0)</f>
        <v>#REF!</v>
      </c>
      <c r="AX84" s="534" t="e">
        <f>VLOOKUP($B84,#REF!,31,0)</f>
        <v>#REF!</v>
      </c>
      <c r="AY84" s="535" t="e">
        <f>VLOOKUP($B84,#REF!,32,0)</f>
        <v>#REF!</v>
      </c>
      <c r="AZ84" s="535" t="e">
        <f>VLOOKUP($B84,#REF!,33,0)</f>
        <v>#REF!</v>
      </c>
      <c r="BA84" s="534"/>
      <c r="BB84" s="534" t="e">
        <f>SUM(AW84:AW84)</f>
        <v>#REF!</v>
      </c>
      <c r="BC84" s="534" t="e">
        <f>+VLOOKUP($B84,GUM!C90:AD122,27,0)</f>
        <v>#REF!</v>
      </c>
      <c r="BD84" s="534" t="e">
        <f>ROUNDUP((BC84-BB84)/$AE$3,)</f>
        <v>#REF!</v>
      </c>
      <c r="BE84" s="538"/>
    </row>
    <row r="85" spans="1:65" customHeight="1" ht="15.75" s="517" customFormat="1">
      <c r="A85" s="1287"/>
      <c r="B85" s="934" t="str">
        <f>+GUM!C91</f>
        <v>82115-0EZ30 B</v>
      </c>
      <c r="C85" s="495" t="str">
        <f>GUM!D91</f>
        <v>B 1001</v>
      </c>
      <c r="D85" s="563"/>
      <c r="E85" s="564"/>
      <c r="F85" s="564"/>
      <c r="G85" s="564"/>
      <c r="H85" s="564"/>
      <c r="I85" s="564"/>
      <c r="J85" s="564"/>
      <c r="K85" s="564"/>
      <c r="L85" s="565"/>
      <c r="M85" s="570" t="e">
        <f>VLOOKUP($B85,#REF!,12,0)</f>
        <v>#REF!</v>
      </c>
      <c r="N85" s="563" t="e">
        <f>VLOOKUP($B85,#REF!,13,0)</f>
        <v>#REF!</v>
      </c>
      <c r="O85" s="564" t="e">
        <f>VLOOKUP($B85,#REF!,14,0)</f>
        <v>#REF!</v>
      </c>
      <c r="P85" s="564" t="e">
        <f>VLOOKUP($B85,#REF!,15,0)</f>
        <v>#REF!</v>
      </c>
      <c r="Q85" s="535" t="e">
        <f>VLOOKUP($B85,#REF!,16,0)</f>
        <v>#REF!</v>
      </c>
      <c r="R85" s="564" t="e">
        <f>SUM(M85:M85)</f>
        <v>#REF!</v>
      </c>
      <c r="S85" s="564" t="e">
        <f>+VLOOKUP($B85,GUM!C91:AD123,15,0)</f>
        <v>#REF!</v>
      </c>
      <c r="T85" s="564" t="e">
        <f>ROUNDUP((S85-R85)/$M$3,0)</f>
        <v>#REF!</v>
      </c>
      <c r="U85" s="567"/>
      <c r="V85" s="534" t="e">
        <f>VLOOKUP($B85,#REF!,17,0)</f>
        <v>#REF!</v>
      </c>
      <c r="W85" s="534" t="e">
        <f>VLOOKUP($B85,#REF!,18,0)</f>
        <v>#REF!</v>
      </c>
      <c r="X85" s="534" t="e">
        <f>VLOOKUP($B85,#REF!,19,0)</f>
        <v>#REF!</v>
      </c>
      <c r="Y85" s="534" t="e">
        <f>VLOOKUP($B85,#REF!,20,0)</f>
        <v>#REF!</v>
      </c>
      <c r="Z85" s="534"/>
      <c r="AA85" s="564" t="e">
        <f>SUM(V85:V85)</f>
        <v>#REF!</v>
      </c>
      <c r="AB85" s="564" t="e">
        <f>+VLOOKUP($B85,GUM!C91:AC123,18,0)</f>
        <v>#REF!</v>
      </c>
      <c r="AC85" s="564" t="e">
        <f>ROUNDUP((AB85-AA85)/$V$3,0)</f>
        <v>#REF!</v>
      </c>
      <c r="AD85" s="569"/>
      <c r="AE85" s="570" t="e">
        <f>VLOOKUP($B85,#REF!,21,0)</f>
        <v>#REF!</v>
      </c>
      <c r="AF85" s="563" t="e">
        <f>VLOOKUP($B85,#REF!,22,0)</f>
        <v>#REF!</v>
      </c>
      <c r="AG85" s="533" t="e">
        <f>VLOOKUP($B85,#REF!,23,0)</f>
        <v>#REF!</v>
      </c>
      <c r="AH85" s="534" t="e">
        <f>VLOOKUP($B85,#REF!,24,0)</f>
        <v>#REF!</v>
      </c>
      <c r="AI85" s="534"/>
      <c r="AJ85" s="564" t="e">
        <f>SUM(AE85:AE85)</f>
        <v>#REF!</v>
      </c>
      <c r="AK85" s="564" t="e">
        <f>+VLOOKUP($B85,GUM!C91:AD123,21,0)</f>
        <v>#REF!</v>
      </c>
      <c r="AL85" s="564" t="e">
        <f>ROUNDUP((AK85-AJ85)/$AE$3,)</f>
        <v>#REF!</v>
      </c>
      <c r="AM85" s="569"/>
      <c r="AN85" s="534" t="e">
        <f>VLOOKUP($B85,#REF!,25,0)</f>
        <v>#REF!</v>
      </c>
      <c r="AO85" s="534" t="e">
        <f>VLOOKUP($B85,#REF!,26,0)</f>
        <v>#REF!</v>
      </c>
      <c r="AP85" s="535" t="e">
        <f>VLOOKUP($B85,#REF!,27,0)</f>
        <v>#REF!</v>
      </c>
      <c r="AQ85" s="535" t="e">
        <f>VLOOKUP($B85,#REF!,28,0)</f>
        <v>#REF!</v>
      </c>
      <c r="AR85" s="534" t="e">
        <f>VLOOKUP($B85,#REF!,29,0)</f>
        <v>#REF!</v>
      </c>
      <c r="AS85" s="564" t="e">
        <f>SUM(AN85:AN85)</f>
        <v>#REF!</v>
      </c>
      <c r="AT85" s="564" t="e">
        <f>+VLOOKUP($B85,GUM!C91:AD123,24,0)</f>
        <v>#REF!</v>
      </c>
      <c r="AU85" s="564" t="e">
        <f>ROUNDUP((AT85-AS85)/$AE$3,)</f>
        <v>#REF!</v>
      </c>
      <c r="AV85" s="569"/>
      <c r="AW85" s="533" t="e">
        <f>VLOOKUP($B85,#REF!,30,0)</f>
        <v>#REF!</v>
      </c>
      <c r="AX85" s="534" t="e">
        <f>VLOOKUP($B85,#REF!,31,0)</f>
        <v>#REF!</v>
      </c>
      <c r="AY85" s="535" t="e">
        <f>VLOOKUP($B85,#REF!,32,0)</f>
        <v>#REF!</v>
      </c>
      <c r="AZ85" s="535" t="e">
        <f>VLOOKUP($B85,#REF!,33,0)</f>
        <v>#REF!</v>
      </c>
      <c r="BA85" s="534"/>
      <c r="BB85" s="564" t="e">
        <f>SUM(AW85:AW85)</f>
        <v>#REF!</v>
      </c>
      <c r="BC85" s="564" t="e">
        <f>+VLOOKUP($B85,GUM!C91:AD123,27,0)</f>
        <v>#REF!</v>
      </c>
      <c r="BD85" s="564" t="e">
        <f>ROUNDUP((BC85-BB85)/$AE$3,)</f>
        <v>#REF!</v>
      </c>
      <c r="BE85" s="569"/>
    </row>
    <row r="86" spans="1:65" customHeight="1" ht="15.75" s="517" customFormat="1">
      <c r="A86" s="1287"/>
      <c r="B86" s="934" t="str">
        <f>+GUM!C92</f>
        <v>82115-0EZ40 B</v>
      </c>
      <c r="C86" s="495" t="str">
        <f>GUM!D92</f>
        <v>B 1001</v>
      </c>
      <c r="D86" s="524"/>
      <c r="E86" s="525"/>
      <c r="F86" s="525"/>
      <c r="G86" s="525"/>
      <c r="H86" s="525"/>
      <c r="I86" s="525"/>
      <c r="J86" s="525"/>
      <c r="K86" s="525"/>
      <c r="L86" s="526"/>
      <c r="M86" s="528" t="e">
        <f>VLOOKUP($B86,#REF!,12,0)</f>
        <v>#REF!</v>
      </c>
      <c r="N86" s="524" t="e">
        <f>VLOOKUP($B86,#REF!,13,0)</f>
        <v>#REF!</v>
      </c>
      <c r="O86" s="525" t="e">
        <f>VLOOKUP($B86,#REF!,14,0)</f>
        <v>#REF!</v>
      </c>
      <c r="P86" s="525" t="e">
        <f>VLOOKUP($B86,#REF!,15,0)</f>
        <v>#REF!</v>
      </c>
      <c r="Q86" s="861" t="e">
        <f>VLOOKUP($B86,#REF!,16,0)</f>
        <v>#REF!</v>
      </c>
      <c r="R86" s="525" t="e">
        <f>SUM(M86:M86)</f>
        <v>#REF!</v>
      </c>
      <c r="S86" s="525" t="e">
        <f>+VLOOKUP($B86,GUM!C92:AD124,15,0)</f>
        <v>#REF!</v>
      </c>
      <c r="T86" s="525" t="e">
        <f>ROUNDUP((S86-R86)/$M$3,0)</f>
        <v>#REF!</v>
      </c>
      <c r="U86" s="527"/>
      <c r="V86" s="540" t="e">
        <f>VLOOKUP($B86,#REF!,17,0)</f>
        <v>#REF!</v>
      </c>
      <c r="W86" s="540" t="e">
        <f>VLOOKUP($B86,#REF!,18,0)</f>
        <v>#REF!</v>
      </c>
      <c r="X86" s="540" t="e">
        <f>VLOOKUP($B86,#REF!,19,0)</f>
        <v>#REF!</v>
      </c>
      <c r="Y86" s="540" t="e">
        <f>VLOOKUP($B86,#REF!,20,0)</f>
        <v>#REF!</v>
      </c>
      <c r="Z86" s="540"/>
      <c r="AA86" s="525" t="e">
        <f>SUM(V86:V86)</f>
        <v>#REF!</v>
      </c>
      <c r="AB86" s="525" t="e">
        <f>+VLOOKUP($B86,GUM!C92:AC124,18,0)</f>
        <v>#REF!</v>
      </c>
      <c r="AC86" s="525" t="e">
        <f>ROUNDUP((AB86-AA86)/$V$3,0)</f>
        <v>#REF!</v>
      </c>
      <c r="AD86" s="527"/>
      <c r="AE86" s="528" t="e">
        <f>VLOOKUP($B86,#REF!,21,0)</f>
        <v>#REF!</v>
      </c>
      <c r="AF86" s="524" t="e">
        <f>VLOOKUP($B86,#REF!,22,0)</f>
        <v>#REF!</v>
      </c>
      <c r="AG86" s="860" t="e">
        <f>VLOOKUP($B86,#REF!,23,0)</f>
        <v>#REF!</v>
      </c>
      <c r="AH86" s="540" t="e">
        <f>VLOOKUP($B86,#REF!,24,0)</f>
        <v>#REF!</v>
      </c>
      <c r="AI86" s="540"/>
      <c r="AJ86" s="525" t="e">
        <f>SUM(AE86:AE86)</f>
        <v>#REF!</v>
      </c>
      <c r="AK86" s="525" t="e">
        <f>+VLOOKUP($B86,GUM!C92:AD124,21,0)</f>
        <v>#REF!</v>
      </c>
      <c r="AL86" s="525" t="e">
        <f>ROUNDUP((AK86-AJ86)/$AE$3,)</f>
        <v>#REF!</v>
      </c>
      <c r="AM86" s="527"/>
      <c r="AN86" s="540" t="e">
        <f>VLOOKUP($B86,#REF!,25,0)</f>
        <v>#REF!</v>
      </c>
      <c r="AO86" s="540" t="e">
        <f>VLOOKUP($B86,#REF!,26,0)</f>
        <v>#REF!</v>
      </c>
      <c r="AP86" s="861" t="e">
        <f>VLOOKUP($B86,#REF!,27,0)</f>
        <v>#REF!</v>
      </c>
      <c r="AQ86" s="861" t="e">
        <f>VLOOKUP($B86,#REF!,28,0)</f>
        <v>#REF!</v>
      </c>
      <c r="AR86" s="540" t="e">
        <f>VLOOKUP($B86,#REF!,29,0)</f>
        <v>#REF!</v>
      </c>
      <c r="AS86" s="525" t="e">
        <f>SUM(AN86:AN86)</f>
        <v>#REF!</v>
      </c>
      <c r="AT86" s="525" t="e">
        <f>+VLOOKUP($B86,GUM!C92:AD124,24,0)</f>
        <v>#REF!</v>
      </c>
      <c r="AU86" s="525" t="e">
        <f>ROUNDUP((AT86-AS86)/$AE$3,)</f>
        <v>#REF!</v>
      </c>
      <c r="AV86" s="527"/>
      <c r="AW86" s="860" t="e">
        <f>VLOOKUP($B86,#REF!,30,0)</f>
        <v>#REF!</v>
      </c>
      <c r="AX86" s="540" t="e">
        <f>VLOOKUP($B86,#REF!,31,0)</f>
        <v>#REF!</v>
      </c>
      <c r="AY86" s="861" t="e">
        <f>VLOOKUP($B86,#REF!,32,0)</f>
        <v>#REF!</v>
      </c>
      <c r="AZ86" s="861" t="e">
        <f>VLOOKUP($B86,#REF!,33,0)</f>
        <v>#REF!</v>
      </c>
      <c r="BA86" s="540"/>
      <c r="BB86" s="525" t="e">
        <f>SUM(AW86:AW86)</f>
        <v>#REF!</v>
      </c>
      <c r="BC86" s="525" t="e">
        <f>+VLOOKUP($B86,GUM!C92:AD124,27,0)</f>
        <v>#REF!</v>
      </c>
      <c r="BD86" s="525" t="e">
        <f>ROUNDUP((BC86-BB86)/$AE$3,)</f>
        <v>#REF!</v>
      </c>
      <c r="BE86" s="527"/>
    </row>
    <row r="87" spans="1:65" customHeight="1" ht="15.75" s="517" customFormat="1">
      <c r="A87" s="1287"/>
      <c r="B87" s="934" t="str">
        <f>+GUM!C93</f>
        <v>82115-0EZ50 B</v>
      </c>
      <c r="C87" s="495" t="str">
        <f>GUM!D93</f>
        <v>B 1001</v>
      </c>
      <c r="D87" s="524"/>
      <c r="E87" s="525"/>
      <c r="F87" s="525"/>
      <c r="G87" s="525"/>
      <c r="H87" s="525"/>
      <c r="I87" s="525"/>
      <c r="J87" s="525"/>
      <c r="K87" s="525"/>
      <c r="L87" s="526"/>
      <c r="M87" s="528" t="e">
        <f>VLOOKUP($B87,#REF!,12,0)</f>
        <v>#REF!</v>
      </c>
      <c r="N87" s="524" t="e">
        <f>VLOOKUP($B87,#REF!,13,0)</f>
        <v>#REF!</v>
      </c>
      <c r="O87" s="525" t="e">
        <f>VLOOKUP($B87,#REF!,14,0)</f>
        <v>#REF!</v>
      </c>
      <c r="P87" s="525" t="e">
        <f>VLOOKUP($B87,#REF!,15,0)</f>
        <v>#REF!</v>
      </c>
      <c r="Q87" s="861" t="e">
        <f>VLOOKUP($B87,#REF!,16,0)</f>
        <v>#REF!</v>
      </c>
      <c r="R87" s="525" t="e">
        <f>SUM(M87:M87)</f>
        <v>#REF!</v>
      </c>
      <c r="S87" s="525" t="e">
        <f>+VLOOKUP($B87,GUM!C93:AD125,15,0)</f>
        <v>#REF!</v>
      </c>
      <c r="T87" s="525" t="e">
        <f>ROUNDUP((S87-R87)/$M$3,0)</f>
        <v>#REF!</v>
      </c>
      <c r="U87" s="531"/>
      <c r="V87" s="540" t="e">
        <f>VLOOKUP($B87,#REF!,17,0)</f>
        <v>#REF!</v>
      </c>
      <c r="W87" s="540" t="e">
        <f>VLOOKUP($B87,#REF!,18,0)</f>
        <v>#REF!</v>
      </c>
      <c r="X87" s="540" t="e">
        <f>VLOOKUP($B87,#REF!,19,0)</f>
        <v>#REF!</v>
      </c>
      <c r="Y87" s="540" t="e">
        <f>VLOOKUP($B87,#REF!,20,0)</f>
        <v>#REF!</v>
      </c>
      <c r="Z87" s="540"/>
      <c r="AA87" s="525" t="e">
        <f>SUM(V87:V87)</f>
        <v>#REF!</v>
      </c>
      <c r="AB87" s="525" t="e">
        <f>+VLOOKUP($B87,GUM!C93:AC125,18,0)</f>
        <v>#REF!</v>
      </c>
      <c r="AC87" s="525" t="e">
        <f>ROUNDUP((AB87-AA87)/$V$3,0)</f>
        <v>#REF!</v>
      </c>
      <c r="AD87" s="527"/>
      <c r="AE87" s="528" t="e">
        <f>VLOOKUP($B87,#REF!,21,0)</f>
        <v>#REF!</v>
      </c>
      <c r="AF87" s="524" t="e">
        <f>VLOOKUP($B87,#REF!,22,0)</f>
        <v>#REF!</v>
      </c>
      <c r="AG87" s="860" t="e">
        <f>VLOOKUP($B87,#REF!,23,0)</f>
        <v>#REF!</v>
      </c>
      <c r="AH87" s="540" t="e">
        <f>VLOOKUP($B87,#REF!,24,0)</f>
        <v>#REF!</v>
      </c>
      <c r="AI87" s="540"/>
      <c r="AJ87" s="525" t="e">
        <f>SUM(AE87:AE87)</f>
        <v>#REF!</v>
      </c>
      <c r="AK87" s="525" t="e">
        <f>+VLOOKUP($B87,GUM!C93:AD125,21,0)</f>
        <v>#REF!</v>
      </c>
      <c r="AL87" s="525" t="e">
        <f>ROUNDUP((AK87-AJ87)/$AE$3,)</f>
        <v>#REF!</v>
      </c>
      <c r="AM87" s="527"/>
      <c r="AN87" s="540" t="e">
        <f>VLOOKUP($B87,#REF!,25,0)</f>
        <v>#REF!</v>
      </c>
      <c r="AO87" s="540" t="e">
        <f>VLOOKUP($B87,#REF!,26,0)</f>
        <v>#REF!</v>
      </c>
      <c r="AP87" s="861" t="e">
        <f>VLOOKUP($B87,#REF!,27,0)</f>
        <v>#REF!</v>
      </c>
      <c r="AQ87" s="861" t="e">
        <f>VLOOKUP($B87,#REF!,28,0)</f>
        <v>#REF!</v>
      </c>
      <c r="AR87" s="540" t="e">
        <f>VLOOKUP($B87,#REF!,29,0)</f>
        <v>#REF!</v>
      </c>
      <c r="AS87" s="525" t="e">
        <f>SUM(AN87:AN87)</f>
        <v>#REF!</v>
      </c>
      <c r="AT87" s="525" t="e">
        <f>+VLOOKUP($B87,GUM!C93:AD125,24,0)</f>
        <v>#REF!</v>
      </c>
      <c r="AU87" s="525" t="e">
        <f>ROUNDUP((AT87-AS87)/$AE$3,)</f>
        <v>#REF!</v>
      </c>
      <c r="AV87" s="527"/>
      <c r="AW87" s="860" t="e">
        <f>VLOOKUP($B87,#REF!,30,0)</f>
        <v>#REF!</v>
      </c>
      <c r="AX87" s="540" t="e">
        <f>VLOOKUP($B87,#REF!,31,0)</f>
        <v>#REF!</v>
      </c>
      <c r="AY87" s="861" t="e">
        <f>VLOOKUP($B87,#REF!,32,0)</f>
        <v>#REF!</v>
      </c>
      <c r="AZ87" s="861" t="e">
        <f>VLOOKUP($B87,#REF!,33,0)</f>
        <v>#REF!</v>
      </c>
      <c r="BA87" s="540"/>
      <c r="BB87" s="525" t="e">
        <f>SUM(AW87:AW87)</f>
        <v>#REF!</v>
      </c>
      <c r="BC87" s="525" t="e">
        <f>+VLOOKUP($B87,GUM!C93:AD125,27,0)</f>
        <v>#REF!</v>
      </c>
      <c r="BD87" s="525" t="e">
        <f>ROUNDUP((BC87-BB87)/$AE$3,)</f>
        <v>#REF!</v>
      </c>
      <c r="BE87" s="527"/>
    </row>
    <row r="88" spans="1:65" customHeight="1" ht="15.75" s="833" customFormat="1">
      <c r="A88" s="1287"/>
      <c r="B88" s="934" t="str">
        <f>+GUM!C94</f>
        <v>82115-0EZ60 B</v>
      </c>
      <c r="C88" s="495" t="str">
        <f>GUM!D94</f>
        <v>B 1001</v>
      </c>
      <c r="D88" s="524"/>
      <c r="E88" s="525"/>
      <c r="F88" s="525"/>
      <c r="G88" s="525"/>
      <c r="H88" s="525"/>
      <c r="I88" s="525"/>
      <c r="J88" s="525"/>
      <c r="K88" s="525"/>
      <c r="L88" s="526"/>
      <c r="M88" s="528" t="e">
        <f>VLOOKUP($B88,#REF!,12,0)</f>
        <v>#REF!</v>
      </c>
      <c r="N88" s="524" t="e">
        <f>VLOOKUP($B88,#REF!,13,0)</f>
        <v>#REF!</v>
      </c>
      <c r="O88" s="525" t="e">
        <f>VLOOKUP($B88,#REF!,14,0)</f>
        <v>#REF!</v>
      </c>
      <c r="P88" s="525" t="e">
        <f>VLOOKUP($B88,#REF!,15,0)</f>
        <v>#REF!</v>
      </c>
      <c r="Q88" s="861" t="e">
        <f>VLOOKUP($B88,#REF!,16,0)</f>
        <v>#REF!</v>
      </c>
      <c r="R88" s="525" t="e">
        <f>SUM(M88:M88)</f>
        <v>#REF!</v>
      </c>
      <c r="S88" s="525" t="e">
        <f>+VLOOKUP($B88,GUM!C94:AD126,15,0)</f>
        <v>#REF!</v>
      </c>
      <c r="T88" s="525" t="e">
        <f>ROUNDUP((S88-R88)/$M$3,0)</f>
        <v>#REF!</v>
      </c>
      <c r="U88" s="531"/>
      <c r="V88" s="540" t="e">
        <f>VLOOKUP($B88,#REF!,17,0)</f>
        <v>#REF!</v>
      </c>
      <c r="W88" s="540" t="e">
        <f>VLOOKUP($B88,#REF!,18,0)</f>
        <v>#REF!</v>
      </c>
      <c r="X88" s="540" t="e">
        <f>VLOOKUP($B88,#REF!,19,0)</f>
        <v>#REF!</v>
      </c>
      <c r="Y88" s="540" t="e">
        <f>VLOOKUP($B88,#REF!,20,0)</f>
        <v>#REF!</v>
      </c>
      <c r="Z88" s="540"/>
      <c r="AA88" s="525" t="e">
        <f>SUM(V88:V88)</f>
        <v>#REF!</v>
      </c>
      <c r="AB88" s="525" t="e">
        <f>+VLOOKUP($B88,GUM!C94:AC126,18,0)</f>
        <v>#REF!</v>
      </c>
      <c r="AC88" s="525" t="e">
        <f>ROUNDUP((AB88-AA88)/$V$3,0)</f>
        <v>#REF!</v>
      </c>
      <c r="AD88" s="527"/>
      <c r="AE88" s="528" t="e">
        <f>VLOOKUP($B88,#REF!,21,0)</f>
        <v>#REF!</v>
      </c>
      <c r="AF88" s="524" t="e">
        <f>VLOOKUP($B88,#REF!,22,0)</f>
        <v>#REF!</v>
      </c>
      <c r="AG88" s="860" t="e">
        <f>VLOOKUP($B88,#REF!,23,0)</f>
        <v>#REF!</v>
      </c>
      <c r="AH88" s="540" t="e">
        <f>VLOOKUP($B88,#REF!,24,0)</f>
        <v>#REF!</v>
      </c>
      <c r="AI88" s="540"/>
      <c r="AJ88" s="525" t="e">
        <f>SUM(AE88:AE88)</f>
        <v>#REF!</v>
      </c>
      <c r="AK88" s="525" t="e">
        <f>+VLOOKUP($B88,GUM!C94:AD126,21,0)</f>
        <v>#REF!</v>
      </c>
      <c r="AL88" s="525" t="e">
        <f>ROUNDUP((AK88-AJ88)/$AE$3,)</f>
        <v>#REF!</v>
      </c>
      <c r="AM88" s="527"/>
      <c r="AN88" s="540" t="e">
        <f>VLOOKUP($B88,#REF!,25,0)</f>
        <v>#REF!</v>
      </c>
      <c r="AO88" s="540" t="e">
        <f>VLOOKUP($B88,#REF!,26,0)</f>
        <v>#REF!</v>
      </c>
      <c r="AP88" s="861" t="e">
        <f>VLOOKUP($B88,#REF!,27,0)</f>
        <v>#REF!</v>
      </c>
      <c r="AQ88" s="861" t="e">
        <f>VLOOKUP($B88,#REF!,28,0)</f>
        <v>#REF!</v>
      </c>
      <c r="AR88" s="540" t="e">
        <f>VLOOKUP($B88,#REF!,29,0)</f>
        <v>#REF!</v>
      </c>
      <c r="AS88" s="525" t="e">
        <f>SUM(AN88:AN88)</f>
        <v>#REF!</v>
      </c>
      <c r="AT88" s="525" t="e">
        <f>+VLOOKUP($B88,GUM!C94:AD126,24,0)</f>
        <v>#REF!</v>
      </c>
      <c r="AU88" s="525" t="e">
        <f>ROUNDUP((AT88-AS88)/$AE$3,)</f>
        <v>#REF!</v>
      </c>
      <c r="AV88" s="527"/>
      <c r="AW88" s="860" t="e">
        <f>VLOOKUP($B88,#REF!,30,0)</f>
        <v>#REF!</v>
      </c>
      <c r="AX88" s="540" t="e">
        <f>VLOOKUP($B88,#REF!,31,0)</f>
        <v>#REF!</v>
      </c>
      <c r="AY88" s="861" t="e">
        <f>VLOOKUP($B88,#REF!,32,0)</f>
        <v>#REF!</v>
      </c>
      <c r="AZ88" s="861" t="e">
        <f>VLOOKUP($B88,#REF!,33,0)</f>
        <v>#REF!</v>
      </c>
      <c r="BA88" s="540"/>
      <c r="BB88" s="525" t="e">
        <f>SUM(AW88:AW88)</f>
        <v>#REF!</v>
      </c>
      <c r="BC88" s="525" t="e">
        <f>+VLOOKUP($B88,GUM!C94:AD126,27,0)</f>
        <v>#REF!</v>
      </c>
      <c r="BD88" s="525" t="e">
        <f>ROUNDUP((BC88-BB88)/$AE$3,)</f>
        <v>#REF!</v>
      </c>
      <c r="BE88" s="527"/>
    </row>
    <row r="89" spans="1:65" customHeight="1" ht="15.75" s="539" customFormat="1">
      <c r="A89" s="1287"/>
      <c r="B89" s="934" t="str">
        <f>+GUM!C95</f>
        <v>82115-0EZ70 B</v>
      </c>
      <c r="C89" s="495" t="str">
        <f>GUM!D95</f>
        <v>B 1001</v>
      </c>
      <c r="D89" s="533"/>
      <c r="E89" s="534"/>
      <c r="F89" s="534"/>
      <c r="G89" s="534"/>
      <c r="H89" s="534"/>
      <c r="I89" s="534"/>
      <c r="J89" s="534"/>
      <c r="K89" s="534"/>
      <c r="L89" s="535"/>
      <c r="M89" s="537" t="e">
        <f>VLOOKUP($B89,#REF!,12,0)</f>
        <v>#REF!</v>
      </c>
      <c r="N89" s="1005" t="e">
        <f>VLOOKUP($B89,#REF!,13,0)</f>
        <v>#REF!</v>
      </c>
      <c r="O89" s="534" t="e">
        <f>VLOOKUP($B89,#REF!,14,0)</f>
        <v>#REF!</v>
      </c>
      <c r="P89" s="534" t="e">
        <f>VLOOKUP($B89,#REF!,15,0)</f>
        <v>#REF!</v>
      </c>
      <c r="Q89" s="535" t="e">
        <f>VLOOKUP($B89,#REF!,16,0)</f>
        <v>#REF!</v>
      </c>
      <c r="R89" s="534" t="e">
        <f>SUM(M89:M89)</f>
        <v>#REF!</v>
      </c>
      <c r="S89" s="534" t="e">
        <f>+VLOOKUP($B89,GUM!C95:AD127,15,0)</f>
        <v>#REF!</v>
      </c>
      <c r="T89" s="534" t="e">
        <f>ROUNDUP((S89-R89)/$M$3,0)</f>
        <v>#REF!</v>
      </c>
      <c r="U89" s="536"/>
      <c r="V89" s="534" t="e">
        <f>VLOOKUP($B89,#REF!,17,0)</f>
        <v>#REF!</v>
      </c>
      <c r="W89" s="534" t="e">
        <f>VLOOKUP($B89,#REF!,18,0)</f>
        <v>#REF!</v>
      </c>
      <c r="X89" s="534" t="e">
        <f>VLOOKUP($B89,#REF!,19,0)</f>
        <v>#REF!</v>
      </c>
      <c r="Y89" s="540" t="e">
        <f>VLOOKUP($B89,#REF!,20,0)</f>
        <v>#REF!</v>
      </c>
      <c r="Z89" s="534"/>
      <c r="AA89" s="534" t="e">
        <f>SUM(V89:V89)</f>
        <v>#REF!</v>
      </c>
      <c r="AB89" s="534" t="e">
        <f>+VLOOKUP($B89,GUM!C95:AC127,18,0)</f>
        <v>#REF!</v>
      </c>
      <c r="AC89" s="534" t="e">
        <f>ROUNDUP((AB89-AA89)/$V$3,0)</f>
        <v>#REF!</v>
      </c>
      <c r="AD89" s="538"/>
      <c r="AE89" s="537" t="e">
        <f>VLOOKUP($B89,#REF!,21,0)</f>
        <v>#REF!</v>
      </c>
      <c r="AF89" s="533" t="e">
        <f>VLOOKUP($B89,#REF!,22,0)</f>
        <v>#REF!</v>
      </c>
      <c r="AG89" s="533" t="e">
        <f>VLOOKUP($B89,#REF!,23,0)</f>
        <v>#REF!</v>
      </c>
      <c r="AH89" s="534" t="e">
        <f>VLOOKUP($B89,#REF!,24,0)</f>
        <v>#REF!</v>
      </c>
      <c r="AI89" s="534"/>
      <c r="AJ89" s="534" t="e">
        <f>SUM(AE89:AE89)</f>
        <v>#REF!</v>
      </c>
      <c r="AK89" s="534" t="e">
        <f>+VLOOKUP($B89,GUM!C95:AD127,21,0)</f>
        <v>#REF!</v>
      </c>
      <c r="AL89" s="534" t="e">
        <f>ROUNDUP((AK89-AJ89)/$AE$3,)</f>
        <v>#REF!</v>
      </c>
      <c r="AM89" s="538"/>
      <c r="AN89" s="540" t="e">
        <f>VLOOKUP($B89,#REF!,25,0)</f>
        <v>#REF!</v>
      </c>
      <c r="AO89" s="534" t="e">
        <f>VLOOKUP($B89,#REF!,26,0)</f>
        <v>#REF!</v>
      </c>
      <c r="AP89" s="861" t="e">
        <f>VLOOKUP($B89,#REF!,27,0)</f>
        <v>#REF!</v>
      </c>
      <c r="AQ89" s="535" t="e">
        <f>VLOOKUP($B89,#REF!,28,0)</f>
        <v>#REF!</v>
      </c>
      <c r="AR89" s="534" t="e">
        <f>VLOOKUP($B89,#REF!,29,0)</f>
        <v>#REF!</v>
      </c>
      <c r="AS89" s="534" t="e">
        <f>SUM(AN89:AN89)</f>
        <v>#REF!</v>
      </c>
      <c r="AT89" s="534" t="e">
        <f>+VLOOKUP($B89,GUM!C95:AD127,24,0)</f>
        <v>#REF!</v>
      </c>
      <c r="AU89" s="534" t="e">
        <f>ROUNDUP((AT89-AS89)/$AE$3,)</f>
        <v>#REF!</v>
      </c>
      <c r="AV89" s="538"/>
      <c r="AW89" s="533" t="e">
        <f>VLOOKUP($B89,#REF!,30,0)</f>
        <v>#REF!</v>
      </c>
      <c r="AX89" s="534" t="e">
        <f>VLOOKUP($B89,#REF!,31,0)</f>
        <v>#REF!</v>
      </c>
      <c r="AY89" s="535" t="e">
        <f>VLOOKUP($B89,#REF!,32,0)</f>
        <v>#REF!</v>
      </c>
      <c r="AZ89" s="535" t="e">
        <f>VLOOKUP($B89,#REF!,33,0)</f>
        <v>#REF!</v>
      </c>
      <c r="BA89" s="534"/>
      <c r="BB89" s="534" t="e">
        <f>SUM(AW89:AW89)</f>
        <v>#REF!</v>
      </c>
      <c r="BC89" s="534" t="e">
        <f>+VLOOKUP($B89,GUM!C95:AD127,27,0)</f>
        <v>#REF!</v>
      </c>
      <c r="BD89" s="534" t="e">
        <f>ROUNDUP((BC89-BB89)/$AE$3,)</f>
        <v>#REF!</v>
      </c>
      <c r="BE89" s="538"/>
    </row>
    <row r="90" spans="1:65" customHeight="1" ht="15.75" s="539" customFormat="1">
      <c r="A90" s="1287"/>
      <c r="B90" s="934" t="str">
        <f>+GUM!C96</f>
        <v>82115-0EZ80 B</v>
      </c>
      <c r="C90" s="495" t="str">
        <f>GUM!D96</f>
        <v>B 1001</v>
      </c>
      <c r="D90" s="533"/>
      <c r="E90" s="534"/>
      <c r="F90" s="534"/>
      <c r="G90" s="534"/>
      <c r="H90" s="534"/>
      <c r="I90" s="534"/>
      <c r="J90" s="534"/>
      <c r="K90" s="534"/>
      <c r="L90" s="535"/>
      <c r="M90" s="537" t="e">
        <f>VLOOKUP($B90,#REF!,12,0)</f>
        <v>#REF!</v>
      </c>
      <c r="N90" s="1005" t="e">
        <f>VLOOKUP($B90,#REF!,13,0)</f>
        <v>#REF!</v>
      </c>
      <c r="O90" s="534" t="e">
        <f>VLOOKUP($B90,#REF!,14,0)</f>
        <v>#REF!</v>
      </c>
      <c r="P90" s="534" t="e">
        <f>VLOOKUP($B90,#REF!,15,0)</f>
        <v>#REF!</v>
      </c>
      <c r="Q90" s="535" t="e">
        <f>VLOOKUP($B90,#REF!,16,0)</f>
        <v>#REF!</v>
      </c>
      <c r="R90" s="534" t="e">
        <f>SUM(M90:M90)</f>
        <v>#REF!</v>
      </c>
      <c r="S90" s="534" t="e">
        <f>+VLOOKUP($B90,GUM!C96:AD128,15,0)</f>
        <v>#REF!</v>
      </c>
      <c r="T90" s="534" t="e">
        <f>ROUNDUP((S90-R90)/$M$3,0)</f>
        <v>#REF!</v>
      </c>
      <c r="U90" s="536"/>
      <c r="V90" s="534" t="e">
        <f>VLOOKUP($B90,#REF!,17,0)</f>
        <v>#REF!</v>
      </c>
      <c r="W90" s="534" t="e">
        <f>VLOOKUP($B90,#REF!,18,0)</f>
        <v>#REF!</v>
      </c>
      <c r="X90" s="534" t="e">
        <f>VLOOKUP($B90,#REF!,19,0)</f>
        <v>#REF!</v>
      </c>
      <c r="Y90" s="540" t="e">
        <f>VLOOKUP($B90,#REF!,20,0)</f>
        <v>#REF!</v>
      </c>
      <c r="Z90" s="534"/>
      <c r="AA90" s="534" t="e">
        <f>SUM(V90:V90)</f>
        <v>#REF!</v>
      </c>
      <c r="AB90" s="534" t="e">
        <f>+VLOOKUP($B90,GUM!C96:AC128,18,0)</f>
        <v>#REF!</v>
      </c>
      <c r="AC90" s="534" t="e">
        <f>ROUNDUP((AB90-AA90)/$V$3,0)</f>
        <v>#REF!</v>
      </c>
      <c r="AD90" s="538"/>
      <c r="AE90" s="537" t="e">
        <f>VLOOKUP($B90,#REF!,21,0)</f>
        <v>#REF!</v>
      </c>
      <c r="AF90" s="533" t="e">
        <f>VLOOKUP($B90,#REF!,22,0)</f>
        <v>#REF!</v>
      </c>
      <c r="AG90" s="533" t="e">
        <f>VLOOKUP($B90,#REF!,23,0)</f>
        <v>#REF!</v>
      </c>
      <c r="AH90" s="534" t="e">
        <f>VLOOKUP($B90,#REF!,24,0)</f>
        <v>#REF!</v>
      </c>
      <c r="AI90" s="534"/>
      <c r="AJ90" s="534" t="e">
        <f>SUM(AE90:AE90)</f>
        <v>#REF!</v>
      </c>
      <c r="AK90" s="534" t="e">
        <f>+VLOOKUP($B90,GUM!C96:AD128,21,0)</f>
        <v>#REF!</v>
      </c>
      <c r="AL90" s="534" t="e">
        <f>ROUNDUP((AK90-AJ90)/$AE$3,)</f>
        <v>#REF!</v>
      </c>
      <c r="AM90" s="538"/>
      <c r="AN90" s="540" t="e">
        <f>VLOOKUP($B90,#REF!,25,0)</f>
        <v>#REF!</v>
      </c>
      <c r="AO90" s="534" t="e">
        <f>VLOOKUP($B90,#REF!,26,0)</f>
        <v>#REF!</v>
      </c>
      <c r="AP90" s="861" t="e">
        <f>VLOOKUP($B90,#REF!,27,0)</f>
        <v>#REF!</v>
      </c>
      <c r="AQ90" s="535" t="e">
        <f>VLOOKUP($B90,#REF!,28,0)</f>
        <v>#REF!</v>
      </c>
      <c r="AR90" s="534" t="e">
        <f>VLOOKUP($B90,#REF!,29,0)</f>
        <v>#REF!</v>
      </c>
      <c r="AS90" s="534" t="e">
        <f>SUM(AN90:AN90)</f>
        <v>#REF!</v>
      </c>
      <c r="AT90" s="534" t="e">
        <f>+VLOOKUP($B90,GUM!C96:AD128,24,0)</f>
        <v>#REF!</v>
      </c>
      <c r="AU90" s="534" t="e">
        <f>ROUNDUP((AT90-AS90)/$AE$3,)</f>
        <v>#REF!</v>
      </c>
      <c r="AV90" s="538"/>
      <c r="AW90" s="533" t="e">
        <f>VLOOKUP($B90,#REF!,30,0)</f>
        <v>#REF!</v>
      </c>
      <c r="AX90" s="534" t="e">
        <f>VLOOKUP($B90,#REF!,31,0)</f>
        <v>#REF!</v>
      </c>
      <c r="AY90" s="535" t="e">
        <f>VLOOKUP($B90,#REF!,32,0)</f>
        <v>#REF!</v>
      </c>
      <c r="AZ90" s="535" t="e">
        <f>VLOOKUP($B90,#REF!,33,0)</f>
        <v>#REF!</v>
      </c>
      <c r="BA90" s="534"/>
      <c r="BB90" s="534" t="e">
        <f>SUM(AW90:AW90)</f>
        <v>#REF!</v>
      </c>
      <c r="BC90" s="534" t="e">
        <f>+VLOOKUP($B90,GUM!C96:AD128,27,0)</f>
        <v>#REF!</v>
      </c>
      <c r="BD90" s="534" t="e">
        <f>ROUNDUP((BC90-BB90)/$AE$3,)</f>
        <v>#REF!</v>
      </c>
      <c r="BE90" s="538"/>
    </row>
    <row r="91" spans="1:65" customHeight="1" ht="15.75" s="539" customFormat="1">
      <c r="A91" s="1288"/>
      <c r="B91" s="936" t="str">
        <f>+GUM!C97</f>
        <v>82115-0EZ90 B</v>
      </c>
      <c r="C91" s="562" t="str">
        <f>GUM!D97</f>
        <v>B 1001</v>
      </c>
      <c r="D91" s="543"/>
      <c r="E91" s="544"/>
      <c r="F91" s="544"/>
      <c r="G91" s="544"/>
      <c r="H91" s="544"/>
      <c r="I91" s="544"/>
      <c r="J91" s="544"/>
      <c r="K91" s="544"/>
      <c r="L91" s="545"/>
      <c r="M91" s="547" t="e">
        <f>VLOOKUP($B91,#REF!,12,0)</f>
        <v>#REF!</v>
      </c>
      <c r="N91" s="543" t="e">
        <f>VLOOKUP($B91,#REF!,13,0)</f>
        <v>#REF!</v>
      </c>
      <c r="O91" s="544" t="e">
        <f>VLOOKUP($B91,#REF!,14,0)</f>
        <v>#REF!</v>
      </c>
      <c r="P91" s="544" t="e">
        <f>VLOOKUP($B91,#REF!,15,0)</f>
        <v>#REF!</v>
      </c>
      <c r="Q91" s="545" t="e">
        <f>VLOOKUP($B91,#REF!,16,0)</f>
        <v>#REF!</v>
      </c>
      <c r="R91" s="544" t="e">
        <f>SUM(M91:M91)</f>
        <v>#REF!</v>
      </c>
      <c r="S91" s="544" t="e">
        <f>+VLOOKUP($B91,GUM!C97:AD129,15,0)</f>
        <v>#REF!</v>
      </c>
      <c r="T91" s="544" t="e">
        <f>ROUNDUP((S91-R91)/$M$3,0)</f>
        <v>#REF!</v>
      </c>
      <c r="U91" s="546"/>
      <c r="V91" s="544" t="e">
        <f>VLOOKUP($B91,#REF!,17,0)</f>
        <v>#REF!</v>
      </c>
      <c r="W91" s="544" t="e">
        <f>VLOOKUP($B91,#REF!,18,0)</f>
        <v>#REF!</v>
      </c>
      <c r="X91" s="544" t="e">
        <f>VLOOKUP($B91,#REF!,19,0)</f>
        <v>#REF!</v>
      </c>
      <c r="Y91" s="544" t="e">
        <f>VLOOKUP($B91,#REF!,20,0)</f>
        <v>#REF!</v>
      </c>
      <c r="Z91" s="544"/>
      <c r="AA91" s="544" t="e">
        <f>SUM(V91:V91)</f>
        <v>#REF!</v>
      </c>
      <c r="AB91" s="544" t="e">
        <f>+VLOOKUP($B91,GUM!C97:AC129,18,0)</f>
        <v>#REF!</v>
      </c>
      <c r="AC91" s="544" t="e">
        <f>ROUNDUP((AB91-AA91)/$V$3,0)</f>
        <v>#REF!</v>
      </c>
      <c r="AD91" s="546"/>
      <c r="AE91" s="547" t="e">
        <f>VLOOKUP($B91,#REF!,21,0)</f>
        <v>#REF!</v>
      </c>
      <c r="AF91" s="543" t="e">
        <f>VLOOKUP($B91,#REF!,22,0)</f>
        <v>#REF!</v>
      </c>
      <c r="AG91" s="543" t="e">
        <f>VLOOKUP($B91,#REF!,23,0)</f>
        <v>#REF!</v>
      </c>
      <c r="AH91" s="544" t="e">
        <f>VLOOKUP($B91,#REF!,24,0)</f>
        <v>#REF!</v>
      </c>
      <c r="AI91" s="544"/>
      <c r="AJ91" s="544" t="e">
        <f>SUM(AE91:AE91)</f>
        <v>#REF!</v>
      </c>
      <c r="AK91" s="544" t="e">
        <f>+VLOOKUP($B91,GUM!C97:AD129,21,0)</f>
        <v>#REF!</v>
      </c>
      <c r="AL91" s="544" t="e">
        <f>ROUNDUP((AK91-AJ91)/$AE$3,)</f>
        <v>#REF!</v>
      </c>
      <c r="AM91" s="546"/>
      <c r="AN91" s="544" t="e">
        <f>VLOOKUP($B91,#REF!,25,0)</f>
        <v>#REF!</v>
      </c>
      <c r="AO91" s="544" t="e">
        <f>VLOOKUP($B91,#REF!,26,0)</f>
        <v>#REF!</v>
      </c>
      <c r="AP91" s="545" t="e">
        <f>VLOOKUP($B91,#REF!,27,0)</f>
        <v>#REF!</v>
      </c>
      <c r="AQ91" s="545" t="e">
        <f>VLOOKUP($B91,#REF!,28,0)</f>
        <v>#REF!</v>
      </c>
      <c r="AR91" s="544" t="e">
        <f>VLOOKUP($B91,#REF!,29,0)</f>
        <v>#REF!</v>
      </c>
      <c r="AS91" s="544" t="e">
        <f>SUM(AN91:AN91)</f>
        <v>#REF!</v>
      </c>
      <c r="AT91" s="544" t="e">
        <f>+VLOOKUP($B91,GUM!C97:AD129,24,0)</f>
        <v>#REF!</v>
      </c>
      <c r="AU91" s="544" t="e">
        <f>ROUNDUP((AT91-AS91)/$AE$3,)</f>
        <v>#REF!</v>
      </c>
      <c r="AV91" s="546"/>
      <c r="AW91" s="543" t="e">
        <f>VLOOKUP($B91,#REF!,30,0)</f>
        <v>#REF!</v>
      </c>
      <c r="AX91" s="544" t="e">
        <f>VLOOKUP($B91,#REF!,31,0)</f>
        <v>#REF!</v>
      </c>
      <c r="AY91" s="545" t="e">
        <f>VLOOKUP($B91,#REF!,32,0)</f>
        <v>#REF!</v>
      </c>
      <c r="AZ91" s="545" t="e">
        <f>VLOOKUP($B91,#REF!,33,0)</f>
        <v>#REF!</v>
      </c>
      <c r="BA91" s="544"/>
      <c r="BB91" s="544" t="e">
        <f>SUM(AW91:AW91)</f>
        <v>#REF!</v>
      </c>
      <c r="BC91" s="544" t="e">
        <f>+VLOOKUP($B91,GUM!C97:AD129,27,0)</f>
        <v>#REF!</v>
      </c>
      <c r="BD91" s="544" t="e">
        <f>ROUNDUP((BC91-BB91)/$AE$3,)</f>
        <v>#REF!</v>
      </c>
      <c r="BE91" s="546"/>
    </row>
    <row r="92" spans="1:65" customHeight="1" ht="13.15" s="517" customFormat="1">
      <c r="A92" s="548"/>
      <c r="B92" s="548" t="s">
        <v>340</v>
      </c>
      <c r="C92" s="548"/>
      <c r="D92" s="548" t="e">
        <f>SUM(D8:D50)</f>
        <v>#REF!</v>
      </c>
      <c r="E92" s="548" t="e">
        <f>SUM(E8:E50)</f>
        <v>#REF!</v>
      </c>
      <c r="F92" s="548" t="e">
        <f>SUM(F8:F50)</f>
        <v>#REF!</v>
      </c>
      <c r="G92" s="548" t="e">
        <f>SUM(G8:G50)</f>
        <v>#REF!</v>
      </c>
      <c r="H92" s="548">
        <f>SUM(H8:H50)</f>
        <v>0</v>
      </c>
      <c r="I92" s="548" t="e">
        <f>SUM(I8:I50)</f>
        <v>#REF!</v>
      </c>
      <c r="J92" s="548" t="e">
        <f>SUM(J8:J50)</f>
        <v>#REF!</v>
      </c>
      <c r="K92" s="548" t="e">
        <f>SUM(K8:K50)</f>
        <v>#REF!</v>
      </c>
      <c r="L92" s="548">
        <f>SUM(L8:L50)</f>
        <v>0</v>
      </c>
      <c r="M92" s="548" t="e">
        <f>SUM(M8:M91)</f>
        <v>#REF!</v>
      </c>
      <c r="N92" s="548" t="e">
        <f>SUM(N8:N91)</f>
        <v>#REF!</v>
      </c>
      <c r="O92" s="548" t="e">
        <f>SUM(O8:O91)</f>
        <v>#REF!</v>
      </c>
      <c r="P92" s="548" t="e">
        <f>SUM(P8:P91)</f>
        <v>#REF!</v>
      </c>
      <c r="Q92" s="548" t="e">
        <f>SUM(Q8:Q91)</f>
        <v>#REF!</v>
      </c>
      <c r="R92" s="548" t="e">
        <f>SUM(R8:R91)</f>
        <v>#REF!</v>
      </c>
      <c r="S92" s="548" t="e">
        <f>SUM(S8:S91)</f>
        <v>#REF!</v>
      </c>
      <c r="T92" s="548" t="e">
        <f>SUM(T8:T91)</f>
        <v>#REF!</v>
      </c>
      <c r="U92" s="548">
        <f>SUM(U8:U91)</f>
        <v>0</v>
      </c>
      <c r="V92" s="548" t="e">
        <f>SUM(V8:V91)</f>
        <v>#REF!</v>
      </c>
      <c r="W92" s="548" t="e">
        <f>SUM(W8:W91)</f>
        <v>#REF!</v>
      </c>
      <c r="X92" s="548" t="e">
        <f>SUM(X8:X91)</f>
        <v>#REF!</v>
      </c>
      <c r="Y92" s="548" t="e">
        <f>SUM(Y8:Y91)</f>
        <v>#REF!</v>
      </c>
      <c r="Z92" s="548">
        <f>SUM(Z8:Z91)</f>
        <v>0</v>
      </c>
      <c r="AA92" s="548" t="e">
        <f>SUM(AA8:AA91)</f>
        <v>#REF!</v>
      </c>
      <c r="AB92" s="548" t="e">
        <f>SUM(AB8:AB91)</f>
        <v>#REF!</v>
      </c>
      <c r="AC92" s="548" t="e">
        <f>SUM(AC8:AC91)</f>
        <v>#REF!</v>
      </c>
      <c r="AD92" s="548">
        <f>SUM(AD8:AD91)</f>
        <v>0</v>
      </c>
      <c r="AE92" s="548" t="e">
        <f>SUM(AE8:AE91)</f>
        <v>#REF!</v>
      </c>
      <c r="AF92" s="548" t="e">
        <f>SUM(AF8:AF91)</f>
        <v>#REF!</v>
      </c>
      <c r="AG92" s="548" t="e">
        <f>SUM(AG8:AG91)</f>
        <v>#REF!</v>
      </c>
      <c r="AH92" s="548" t="e">
        <f>SUM(AH8:AH91)</f>
        <v>#REF!</v>
      </c>
      <c r="AI92" s="548">
        <f>SUM(AI8:AI91)</f>
        <v>0</v>
      </c>
      <c r="AJ92" s="548" t="e">
        <f>SUM(AJ8:AJ91)</f>
        <v>#REF!</v>
      </c>
      <c r="AK92" s="548" t="e">
        <f>SUM(AK8:AK91)</f>
        <v>#REF!</v>
      </c>
      <c r="AL92" s="548" t="e">
        <f>SUM(AL8:AL91)</f>
        <v>#VALUE!</v>
      </c>
      <c r="AM92" s="548">
        <f>SUM(AM8:AM91)</f>
        <v>0</v>
      </c>
      <c r="AN92" s="548" t="e">
        <f>SUM(AN8:AN91)</f>
        <v>#REF!</v>
      </c>
      <c r="AO92" s="548" t="e">
        <f>SUM(AO8:AO91)</f>
        <v>#REF!</v>
      </c>
      <c r="AP92" s="548" t="e">
        <f>SUM(AP8:AP91)</f>
        <v>#REF!</v>
      </c>
      <c r="AQ92" s="548" t="e">
        <f>SUM(AQ8:AQ91)</f>
        <v>#REF!</v>
      </c>
      <c r="AR92" s="548" t="e">
        <f>SUM(AR8:AR91)</f>
        <v>#REF!</v>
      </c>
      <c r="AS92" s="548" t="e">
        <f>SUM(AS8:AS91)</f>
        <v>#REF!</v>
      </c>
      <c r="AT92" s="548" t="e">
        <f>SUM(AT8:AT91)</f>
        <v>#REF!</v>
      </c>
      <c r="AU92" s="548" t="e">
        <f>SUM(AU8:AU91)</f>
        <v>#VALUE!</v>
      </c>
      <c r="AV92" s="548">
        <f>SUM(AV8:AV91)</f>
        <v>0</v>
      </c>
      <c r="AW92" s="548" t="e">
        <f>SUM(AW8:AW91)</f>
        <v>#REF!</v>
      </c>
      <c r="AX92" s="548" t="e">
        <f>SUM(AX8:AX91)</f>
        <v>#REF!</v>
      </c>
      <c r="AY92" s="548" t="e">
        <f>SUM(AY8:AY91)</f>
        <v>#REF!</v>
      </c>
      <c r="AZ92" s="548" t="e">
        <f>SUM(AZ8:AZ91)</f>
        <v>#REF!</v>
      </c>
      <c r="BA92" s="548">
        <f>SUM(BA8:BA91)</f>
        <v>0</v>
      </c>
      <c r="BB92" s="548" t="e">
        <f>SUM(BB8:BB91)</f>
        <v>#REF!</v>
      </c>
      <c r="BC92" s="548" t="e">
        <f>SUM(BC8:BC91)</f>
        <v>#REF!</v>
      </c>
      <c r="BD92" s="548" t="e">
        <f>SUM(BD8:BD91)</f>
        <v>#VALUE!</v>
      </c>
      <c r="BE92" s="548">
        <f>SUM(BE8:BE91)</f>
        <v>0</v>
      </c>
    </row>
    <row r="93" spans="1:65" customHeight="1" ht="13.15" s="549" customFormat="1">
      <c r="B93" s="548" t="s">
        <v>341</v>
      </c>
      <c r="D93" s="548" t="e">
        <v>#REF!</v>
      </c>
      <c r="E93" s="548" t="e">
        <v>#REF!</v>
      </c>
      <c r="F93" s="548" t="e">
        <v>#REF!</v>
      </c>
      <c r="G93" s="548" t="e">
        <v>#REF!</v>
      </c>
      <c r="H93" s="548" t="e">
        <v>#REF!</v>
      </c>
      <c r="I93" s="548" t="e">
        <v>#REF!</v>
      </c>
      <c r="J93" s="548" t="e">
        <v>#REF!</v>
      </c>
      <c r="K93" s="548" t="e">
        <v>#REF!</v>
      </c>
      <c r="M93" s="548" t="e">
        <f>+M99</f>
        <v>#REF!</v>
      </c>
      <c r="N93" s="548" t="e">
        <f>+N99</f>
        <v>#REF!</v>
      </c>
      <c r="O93" s="548" t="e">
        <f>+O99</f>
        <v>#REF!</v>
      </c>
      <c r="P93" s="548" t="e">
        <f>+P99</f>
        <v>#REF!</v>
      </c>
      <c r="Q93" s="548" t="e">
        <f>+Q99</f>
        <v>#REF!</v>
      </c>
      <c r="R93" s="548">
        <f>+R99</f>
        <v>0</v>
      </c>
      <c r="S93" s="548">
        <f>+S99</f>
        <v>0</v>
      </c>
      <c r="T93" s="548">
        <f>+T99</f>
        <v>0</v>
      </c>
      <c r="U93" s="548">
        <f>+U99</f>
        <v>0</v>
      </c>
      <c r="V93" s="548" t="e">
        <f>+V99</f>
        <v>#REF!</v>
      </c>
      <c r="W93" s="548" t="e">
        <f>+W99</f>
        <v>#REF!</v>
      </c>
      <c r="X93" s="548" t="e">
        <f>+X99</f>
        <v>#REF!</v>
      </c>
      <c r="Y93" s="548" t="e">
        <f>+Y99</f>
        <v>#REF!</v>
      </c>
      <c r="Z93" s="548">
        <f>+Z99</f>
        <v>0</v>
      </c>
      <c r="AA93" s="548">
        <f>+AA99</f>
        <v>0</v>
      </c>
      <c r="AB93" s="548">
        <f>+AB99</f>
        <v>0</v>
      </c>
      <c r="AC93" s="548">
        <f>+AC99</f>
        <v>0</v>
      </c>
      <c r="AD93" s="548">
        <f>+AD99</f>
        <v>0</v>
      </c>
      <c r="AE93" s="548" t="e">
        <f>+AE99</f>
        <v>#REF!</v>
      </c>
      <c r="AF93" s="548" t="e">
        <f>+AF99</f>
        <v>#REF!</v>
      </c>
      <c r="AG93" s="548" t="e">
        <f>+AG99</f>
        <v>#REF!</v>
      </c>
      <c r="AH93" s="548" t="e">
        <f>+AH99</f>
        <v>#REF!</v>
      </c>
      <c r="AI93" s="548">
        <f>+AI99</f>
        <v>0</v>
      </c>
      <c r="AJ93" s="548">
        <f>+AJ99</f>
        <v>0</v>
      </c>
      <c r="AK93" s="548">
        <f>+AK99</f>
        <v>0</v>
      </c>
      <c r="AL93" s="548">
        <f>+AL99</f>
        <v>0</v>
      </c>
      <c r="AM93" s="548">
        <f>+AM99</f>
        <v>0</v>
      </c>
      <c r="AN93" s="548" t="e">
        <f>+AN99</f>
        <v>#REF!</v>
      </c>
      <c r="AO93" s="548" t="e">
        <f>+AO99</f>
        <v>#REF!</v>
      </c>
      <c r="AP93" s="548" t="e">
        <f>+AP99</f>
        <v>#REF!</v>
      </c>
      <c r="AQ93" s="548" t="e">
        <f>+AQ99</f>
        <v>#REF!</v>
      </c>
      <c r="AR93" s="548" t="e">
        <f>+AR99</f>
        <v>#REF!</v>
      </c>
      <c r="AS93" s="548">
        <f>+AS99</f>
        <v>0</v>
      </c>
      <c r="AT93" s="548">
        <f>+AT99</f>
        <v>0</v>
      </c>
      <c r="AU93" s="548">
        <f>+AU99</f>
        <v>0</v>
      </c>
      <c r="AV93" s="548">
        <f>+AV99</f>
        <v>0</v>
      </c>
      <c r="AW93" s="548" t="e">
        <f>+AW99</f>
        <v>#REF!</v>
      </c>
      <c r="AX93" s="548" t="e">
        <f>+AX99</f>
        <v>#REF!</v>
      </c>
      <c r="AY93" s="548" t="e">
        <f>+AY99</f>
        <v>#REF!</v>
      </c>
      <c r="AZ93" s="548" t="e">
        <f>+AZ99</f>
        <v>#REF!</v>
      </c>
      <c r="BA93" s="548">
        <f>+BA99</f>
        <v>0</v>
      </c>
      <c r="BB93" s="548">
        <f>+BB99</f>
        <v>0</v>
      </c>
      <c r="BC93" s="548">
        <f>+BC99</f>
        <v>0</v>
      </c>
      <c r="BD93" s="548">
        <f>+BD99</f>
        <v>0</v>
      </c>
      <c r="BE93" s="548">
        <f>+BE99</f>
        <v>0</v>
      </c>
    </row>
    <row r="94" spans="1:65" customHeight="1" ht="12.75" s="549" customFormat="1"/>
    <row r="95" spans="1:65" customHeight="1" ht="12.75" s="549" customFormat="1">
      <c r="C95" s="549" t="s">
        <v>27</v>
      </c>
      <c r="M95" s="497" t="e">
        <f>+SUM(M10:M11,M12:M14,M24:M26,M38:M41,M47:M50,M51:M54,M55:M58)</f>
        <v>#REF!</v>
      </c>
      <c r="N95" s="497" t="e">
        <f>+SUM(N10:N11,N12:N14,N24:N26,N38:N41,N47:N50,N51:N54,N55:N58)</f>
        <v>#REF!</v>
      </c>
      <c r="O95" s="497" t="e">
        <f>+SUM(O10:O11,O12:O14,O24:O26,O38:O41,O47:O50,O51:O54,O55:O58)</f>
        <v>#REF!</v>
      </c>
      <c r="P95" s="497" t="e">
        <f>+SUM(P10:P11,P12:P14,P24:P26,P38:P41,P47:P50,P51:P54,P55:P58)</f>
        <v>#REF!</v>
      </c>
      <c r="Q95" s="497" t="e">
        <f>+SUM(Q10:Q11,Q12:Q14,Q24:Q26,Q38:Q41,Q47:Q50,Q51:Q54,Q55:Q58)</f>
        <v>#REF!</v>
      </c>
      <c r="V95" s="497" t="e">
        <f>+SUM(V10:V11,V12:V14,V24:V26,V38:V41,V47:V50,V51:V54,V55:V58)</f>
        <v>#REF!</v>
      </c>
      <c r="W95" s="497" t="e">
        <f>+SUM(W10:W11,W12:W14,W24:W26,W38:W41,W47:W50,W51:W54,W55:W58)</f>
        <v>#REF!</v>
      </c>
      <c r="X95" s="497" t="e">
        <f>+SUM(X10:X11,X12:X14,X24:X26,X38:X41,X47:X50,X51:X54,X55:X58)</f>
        <v>#REF!</v>
      </c>
      <c r="Y95" s="497" t="e">
        <f>+SUM(Y10:Y11,Y12:Y14,Y24:Y26,Y38:Y41,Y47:Y50,Y51:Y54,Y55:Y58)</f>
        <v>#REF!</v>
      </c>
      <c r="Z95" s="497">
        <f>+SUM(Z10:Z11,Z12:Z14,Z24:Z26,Z38:Z41,Z47:Z50,Z51:Z54,Z55:Z58)</f>
        <v>0</v>
      </c>
      <c r="AE95" s="497" t="e">
        <f>+SUM(AE10:AE11,AE12:AE14,AE24:AE26,AE38:AE41,AE47:AE50,AE51:AE54,AE55:AE58)</f>
        <v>#REF!</v>
      </c>
      <c r="AF95" s="497" t="e">
        <f>+SUM(AF10:AF11,AF12:AF14,AF24:AF26,AF38:AF41,AF47:AF50,AF51:AF54,AF55:AF58)</f>
        <v>#REF!</v>
      </c>
      <c r="AG95" s="497" t="e">
        <f>+SUM(AG10:AG11,AG12:AG14,AG24:AG26,AG38:AG41,AG47:AG50,AG51:AG54,AG55:AG58)</f>
        <v>#REF!</v>
      </c>
      <c r="AH95" s="497" t="e">
        <f>+SUM(AH10:AH11,AH12:AH14,AH24:AH26,AH38:AH41,AH47:AH50,AH51:AH54,AH55:AH58)</f>
        <v>#REF!</v>
      </c>
      <c r="AI95" s="497">
        <f>+SUM(AI10:AI11,AI12:AI14,AI24:AI26,AI38:AI41,AI47:AI50,AI51:AI54,AI55:AI58)</f>
        <v>0</v>
      </c>
      <c r="AN95" s="497" t="e">
        <f>+SUM(AN10:AN11,AN12:AN14,AN24:AN26,AN38:AN41,AN47:AN50,AN51:AN54,AN55:AN58)</f>
        <v>#REF!</v>
      </c>
      <c r="AO95" s="497" t="e">
        <f>+SUM(AO10:AO11,AO12:AO14,AO24:AO26,AO38:AO41,AO47:AO50,AO51:AO54,AO55:AO58)</f>
        <v>#REF!</v>
      </c>
      <c r="AP95" s="497" t="e">
        <f>+SUM(AP10:AP11,AP12:AP14,AP24:AP26,AP38:AP41,AP47:AP50,AP51:AP54,AP55:AP58)</f>
        <v>#REF!</v>
      </c>
      <c r="AQ95" s="497" t="e">
        <f>+SUM(AQ10:AQ11,AQ12:AQ14,AQ24:AQ26,AQ38:AQ41,AQ47:AQ50,AQ51:AQ54,AQ55:AQ58)</f>
        <v>#REF!</v>
      </c>
      <c r="AR95" s="497" t="e">
        <f>+SUM(AR10:AR11,AR12:AR14,AR24:AR26,AR38:AR41,AR47:AR50,AR51:AR54,AR55:AR58)</f>
        <v>#REF!</v>
      </c>
      <c r="AW95" s="497" t="e">
        <f>+SUM(AW10:AW11,AW12:AW14,AW24:AW26,AW38:AW41,AW47:AW50,AW51:AW54,AW55:AW58)</f>
        <v>#REF!</v>
      </c>
      <c r="AX95" s="497" t="e">
        <f>+SUM(AX10:AX11,AX12:AX14,AX24:AX26,AX38:AX41,AX47:AX50,AX51:AX54,AX55:AX58)</f>
        <v>#REF!</v>
      </c>
      <c r="AY95" s="497" t="e">
        <f>+SUM(AY10:AY11,AY12:AY14,AY24:AY26,AY38:AY41,AY47:AY50,AY51:AY54,AY55:AY58)</f>
        <v>#REF!</v>
      </c>
      <c r="AZ95" s="497" t="e">
        <f>+SUM(AZ10:AZ11,AZ12:AZ14,AZ24:AZ26,AZ38:AZ41,AZ47:AZ50,AZ51:AZ54,AZ55:AZ58)</f>
        <v>#REF!</v>
      </c>
      <c r="BA95" s="497">
        <f>+SUM(BA10:BA11,BA12:BA14,BA24:BA26,BA38:BA41,BA47:BA50,BA51:BA54,BA55:BA58)</f>
        <v>0</v>
      </c>
    </row>
    <row r="96" spans="1:65" customHeight="1" ht="12.75" s="549" customFormat="1">
      <c r="C96" s="549" t="s">
        <v>342</v>
      </c>
      <c r="M96" s="497">
        <v>0.0</v>
      </c>
      <c r="N96" s="497">
        <v>0.0</v>
      </c>
      <c r="O96" s="497">
        <v>0.0</v>
      </c>
      <c r="P96" s="497">
        <v>0.0</v>
      </c>
      <c r="Q96" s="497">
        <v>0.0</v>
      </c>
      <c r="S96" s="561"/>
      <c r="V96" s="497">
        <v>0.0</v>
      </c>
      <c r="W96" s="497">
        <v>0.0</v>
      </c>
      <c r="X96" s="497">
        <v>0.0</v>
      </c>
      <c r="Y96" s="497">
        <v>0.0</v>
      </c>
      <c r="Z96" s="497">
        <v>0.0</v>
      </c>
      <c r="AE96" s="497">
        <v>0.0</v>
      </c>
      <c r="AF96" s="497">
        <v>0.0</v>
      </c>
      <c r="AG96" s="497">
        <v>0.0</v>
      </c>
      <c r="AH96" s="497">
        <v>0.0</v>
      </c>
      <c r="AI96" s="497">
        <v>0.0</v>
      </c>
      <c r="AN96" s="497">
        <v>0.0</v>
      </c>
      <c r="AO96" s="497">
        <v>0.0</v>
      </c>
      <c r="AP96" s="497">
        <v>0.0</v>
      </c>
      <c r="AQ96" s="497">
        <v>0.0</v>
      </c>
      <c r="AR96" s="497">
        <v>0.0</v>
      </c>
      <c r="AW96" s="497">
        <v>0.0</v>
      </c>
      <c r="AX96" s="497">
        <v>0.0</v>
      </c>
      <c r="AY96" s="497">
        <v>0.0</v>
      </c>
      <c r="AZ96" s="497">
        <v>0.0</v>
      </c>
      <c r="BA96" s="497">
        <v>0.0</v>
      </c>
    </row>
    <row r="97" spans="1:65" customHeight="1" ht="12.75" s="549" customFormat="1">
      <c r="C97" s="549" t="s">
        <v>145</v>
      </c>
      <c r="M97" s="497" t="e">
        <f>+SUM(M59:M91)</f>
        <v>#REF!</v>
      </c>
      <c r="N97" s="497" t="e">
        <f>+SUM(N59:N91)</f>
        <v>#REF!</v>
      </c>
      <c r="O97" s="497" t="e">
        <f>+SUM(O59:O91)</f>
        <v>#REF!</v>
      </c>
      <c r="P97" s="497" t="e">
        <f>+SUM(P59:P91)</f>
        <v>#REF!</v>
      </c>
      <c r="Q97" s="497" t="e">
        <f>+SUM(Q59:Q91)</f>
        <v>#REF!</v>
      </c>
      <c r="S97" s="561"/>
      <c r="V97" s="497" t="e">
        <f>+SUM(V59:V91)</f>
        <v>#REF!</v>
      </c>
      <c r="W97" s="497" t="e">
        <f>+SUM(W59:W91)</f>
        <v>#REF!</v>
      </c>
      <c r="X97" s="497" t="e">
        <f>+SUM(X59:X91)</f>
        <v>#REF!</v>
      </c>
      <c r="Y97" s="497" t="e">
        <f>+SUM(Y59:Y91)</f>
        <v>#REF!</v>
      </c>
      <c r="Z97" s="497">
        <f>+SUM(Z59:Z91)</f>
        <v>0</v>
      </c>
      <c r="AE97" s="497" t="e">
        <f>+SUM(AE59:AE91)</f>
        <v>#REF!</v>
      </c>
      <c r="AF97" s="497" t="e">
        <f>+SUM(AF59:AF91)</f>
        <v>#REF!</v>
      </c>
      <c r="AG97" s="497" t="e">
        <f>+SUM(AG59:AG91)</f>
        <v>#REF!</v>
      </c>
      <c r="AH97" s="497" t="e">
        <f>+SUM(AH59:AH91)</f>
        <v>#REF!</v>
      </c>
      <c r="AI97" s="497">
        <f>+SUM(AI59:AI91)</f>
        <v>0</v>
      </c>
      <c r="AN97" s="497" t="e">
        <f>+SUM(AN59:AN91)</f>
        <v>#REF!</v>
      </c>
      <c r="AO97" s="497" t="e">
        <f>+SUM(AO59:AO91)</f>
        <v>#REF!</v>
      </c>
      <c r="AP97" s="497" t="e">
        <f>+SUM(AP59:AP91)</f>
        <v>#REF!</v>
      </c>
      <c r="AQ97" s="497" t="e">
        <f>+SUM(AQ59:AQ91)</f>
        <v>#REF!</v>
      </c>
      <c r="AR97" s="497" t="e">
        <f>+SUM(AR59:AR91)</f>
        <v>#REF!</v>
      </c>
      <c r="AW97" s="497" t="e">
        <f>+SUM(AW59:AW91)</f>
        <v>#REF!</v>
      </c>
      <c r="AX97" s="497" t="e">
        <f>+SUM(AX59:AX91)</f>
        <v>#REF!</v>
      </c>
      <c r="AY97" s="497" t="e">
        <f>+SUM(AY59:AY91)</f>
        <v>#REF!</v>
      </c>
      <c r="AZ97" s="497" t="e">
        <f>+SUM(AZ59:AZ91)</f>
        <v>#REF!</v>
      </c>
      <c r="BA97" s="497">
        <f>+SUM(BA59:BA91)</f>
        <v>0</v>
      </c>
    </row>
    <row r="99" spans="1:65" customHeight="1" ht="12.75">
      <c r="M99" s="549" t="e">
        <f>+SUM(M95:M97)</f>
        <v>#REF!</v>
      </c>
      <c r="N99" s="549" t="e">
        <f>+SUM(N95:N97)</f>
        <v>#REF!</v>
      </c>
      <c r="O99" s="549" t="e">
        <f>+SUM(O95:O97)</f>
        <v>#REF!</v>
      </c>
      <c r="P99" s="549" t="e">
        <f>+SUM(P95:P97)</f>
        <v>#REF!</v>
      </c>
      <c r="Q99" s="549" t="e">
        <f>+SUM(Q95:Q97)</f>
        <v>#REF!</v>
      </c>
      <c r="V99" t="e">
        <f>+SUM(V95:V97)</f>
        <v>#REF!</v>
      </c>
      <c r="W99" t="e">
        <f>+SUM(W95:W97)</f>
        <v>#REF!</v>
      </c>
      <c r="X99" t="e">
        <f>+SUM(X95:X97)</f>
        <v>#REF!</v>
      </c>
      <c r="Y99" t="e">
        <f>+SUM(Y95:Y97)</f>
        <v>#REF!</v>
      </c>
      <c r="Z99">
        <f>+SUM(Z95:Z97)</f>
        <v>0</v>
      </c>
      <c r="AE99" t="e">
        <f>+SUM(AE95:AE97)</f>
        <v>#REF!</v>
      </c>
      <c r="AF99" t="e">
        <f>+SUM(AF95:AF97)</f>
        <v>#REF!</v>
      </c>
      <c r="AG99" t="e">
        <f>+SUM(AG95:AG97)</f>
        <v>#REF!</v>
      </c>
      <c r="AH99" t="e">
        <f>+SUM(AH95:AH97)</f>
        <v>#REF!</v>
      </c>
      <c r="AI99">
        <f>+SUM(AI95:AI97)</f>
        <v>0</v>
      </c>
      <c r="AN99" t="e">
        <f>+SUM(AN95:AN97)</f>
        <v>#REF!</v>
      </c>
      <c r="AO99" t="e">
        <f>+SUM(AO95:AO97)</f>
        <v>#REF!</v>
      </c>
      <c r="AP99" t="e">
        <f>+SUM(AP95:AP97)</f>
        <v>#REF!</v>
      </c>
      <c r="AQ99" t="e">
        <f>+SUM(AQ95:AQ97)</f>
        <v>#REF!</v>
      </c>
      <c r="AR99" t="e">
        <f>+SUM(AR95:AR97)</f>
        <v>#REF!</v>
      </c>
      <c r="AW99" t="e">
        <f>+SUM(AW95:AW97)</f>
        <v>#REF!</v>
      </c>
      <c r="AX99" t="e">
        <f>+SUM(AX95:AX97)</f>
        <v>#REF!</v>
      </c>
      <c r="AY99" t="e">
        <f>+SUM(AY95:AY97)</f>
        <v>#REF!</v>
      </c>
      <c r="AZ99" t="e">
        <f>+SUM(AZ95:AZ97)</f>
        <v>#REF!</v>
      </c>
      <c r="BA99">
        <f>+SUM(BA95:BA97)</f>
        <v>0</v>
      </c>
    </row>
    <row r="104" spans="1:65" customHeight="1" ht="12.75">
      <c r="P104" t="s">
        <v>343</v>
      </c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38:A58"/>
    <mergeCell ref="A59:A91"/>
    <mergeCell ref="AE5:AM6"/>
    <mergeCell ref="A5:A7"/>
    <mergeCell ref="B5:B7"/>
    <mergeCell ref="C5:C7"/>
    <mergeCell ref="AW5:BE6"/>
    <mergeCell ref="D5:L6"/>
    <mergeCell ref="M5:U6"/>
    <mergeCell ref="AN5:AV6"/>
    <mergeCell ref="V5:AD6"/>
    <mergeCell ref="A8:A26"/>
  </mergeCells>
  <conditionalFormatting sqref="C22:L22">
    <cfRule type="cellIs" dxfId="1" priority="1" operator="lessThan">
      <formula>0</formula>
    </cfRule>
  </conditionalFormatting>
  <conditionalFormatting sqref="C38:L43">
    <cfRule type="cellIs" dxfId="1" priority="2" operator="lessThan">
      <formula>0</formula>
    </cfRule>
  </conditionalFormatting>
  <conditionalFormatting sqref="C8:IV9">
    <cfRule type="cellIs" dxfId="1" priority="3" operator="lessThan">
      <formula>0</formula>
    </cfRule>
  </conditionalFormatting>
  <conditionalFormatting sqref="C10:L12">
    <cfRule type="cellIs" dxfId="1" priority="4" operator="lessThan">
      <formula>0</formula>
    </cfRule>
  </conditionalFormatting>
  <conditionalFormatting sqref="R10:U12">
    <cfRule type="cellIs" dxfId="1" priority="5" operator="lessThan">
      <formula>0</formula>
    </cfRule>
    <cfRule type="cellIs" dxfId="1" priority="6" operator="lessThan">
      <formula>0</formula>
    </cfRule>
  </conditionalFormatting>
  <conditionalFormatting sqref="R38:U43">
    <cfRule type="cellIs" dxfId="1" priority="7" operator="lessThan">
      <formula>0</formula>
    </cfRule>
    <cfRule type="cellIs" dxfId="1" priority="8" operator="lessThan">
      <formula>0</formula>
    </cfRule>
  </conditionalFormatting>
  <conditionalFormatting sqref="R22:U22">
    <cfRule type="cellIs" dxfId="1" priority="9" operator="lessThan">
      <formula>0</formula>
    </cfRule>
    <cfRule type="cellIs" dxfId="1" priority="10" operator="lessThan">
      <formula>0</formula>
    </cfRule>
  </conditionalFormatting>
  <conditionalFormatting sqref="AA22:AD22">
    <cfRule type="cellIs" dxfId="1" priority="11" operator="lessThan">
      <formula>0</formula>
    </cfRule>
    <cfRule type="cellIs" dxfId="1" priority="12" operator="lessThan">
      <formula>0</formula>
    </cfRule>
  </conditionalFormatting>
  <conditionalFormatting sqref="AA38:AD43">
    <cfRule type="cellIs" dxfId="1" priority="13" operator="lessThan">
      <formula>0</formula>
    </cfRule>
    <cfRule type="cellIs" dxfId="1" priority="14" operator="lessThan">
      <formula>0</formula>
    </cfRule>
  </conditionalFormatting>
  <conditionalFormatting sqref="AA10:AD12">
    <cfRule type="cellIs" dxfId="1" priority="15" operator="lessThan">
      <formula>0</formula>
    </cfRule>
    <cfRule type="cellIs" dxfId="1" priority="16" operator="lessThan">
      <formula>0</formula>
    </cfRule>
  </conditionalFormatting>
  <conditionalFormatting sqref="AJ10:AM12">
    <cfRule type="cellIs" dxfId="1" priority="17" operator="lessThan">
      <formula>0</formula>
    </cfRule>
    <cfRule type="cellIs" dxfId="1" priority="18" operator="lessThan">
      <formula>0</formula>
    </cfRule>
  </conditionalFormatting>
  <conditionalFormatting sqref="AJ38:AM43">
    <cfRule type="cellIs" dxfId="1" priority="19" operator="lessThan">
      <formula>0</formula>
    </cfRule>
    <cfRule type="cellIs" dxfId="1" priority="20" operator="lessThan">
      <formula>0</formula>
    </cfRule>
  </conditionalFormatting>
  <conditionalFormatting sqref="AJ22:AM22">
    <cfRule type="cellIs" dxfId="1" priority="21" operator="lessThan">
      <formula>0</formula>
    </cfRule>
    <cfRule type="cellIs" dxfId="1" priority="22" operator="lessThan">
      <formula>0</formula>
    </cfRule>
  </conditionalFormatting>
  <conditionalFormatting sqref="AS22:AV22">
    <cfRule type="cellIs" dxfId="1" priority="23" operator="lessThan">
      <formula>0</formula>
    </cfRule>
    <cfRule type="cellIs" dxfId="1" priority="24" operator="lessThan">
      <formula>0</formula>
    </cfRule>
  </conditionalFormatting>
  <conditionalFormatting sqref="AS38:AV43">
    <cfRule type="cellIs" dxfId="1" priority="25" operator="lessThan">
      <formula>0</formula>
    </cfRule>
    <cfRule type="cellIs" dxfId="1" priority="26" operator="lessThan">
      <formula>0</formula>
    </cfRule>
  </conditionalFormatting>
  <conditionalFormatting sqref="AS10:AV12">
    <cfRule type="cellIs" dxfId="1" priority="27" operator="lessThan">
      <formula>0</formula>
    </cfRule>
    <cfRule type="cellIs" dxfId="1" priority="28" operator="lessThan">
      <formula>0</formula>
    </cfRule>
  </conditionalFormatting>
  <conditionalFormatting sqref="BB11:IV11">
    <cfRule type="cellIs" dxfId="1" priority="29" operator="lessThan">
      <formula>0</formula>
    </cfRule>
    <cfRule type="cellIs" dxfId="1" priority="30" operator="lessThan">
      <formula>0</formula>
    </cfRule>
  </conditionalFormatting>
  <conditionalFormatting sqref="BA38:IV43">
    <cfRule type="cellIs" dxfId="1" priority="31" operator="lessThan">
      <formula>0</formula>
    </cfRule>
    <cfRule type="cellIs" dxfId="1" priority="32" operator="lessThan">
      <formula>0</formula>
    </cfRule>
  </conditionalFormatting>
  <conditionalFormatting sqref="BF50:IV50">
    <cfRule type="cellIs" dxfId="1" priority="33" operator="lessThan">
      <formula>0</formula>
    </cfRule>
    <cfRule type="cellIs" dxfId="1" priority="34" operator="lessThan">
      <formula>0</formula>
    </cfRule>
  </conditionalFormatting>
  <conditionalFormatting sqref="BA22:IV22">
    <cfRule type="cellIs" dxfId="1" priority="35" operator="lessThan">
      <formula>0</formula>
    </cfRule>
    <cfRule type="cellIs" dxfId="1" priority="36" operator="lessThan">
      <formula>0</formula>
    </cfRule>
  </conditionalFormatting>
  <conditionalFormatting sqref="BA10:IV10">
    <cfRule type="cellIs" dxfId="1" priority="37" operator="lessThan">
      <formula>0</formula>
    </cfRule>
    <cfRule type="cellIs" dxfId="1" priority="38" operator="lessThan">
      <formula>0</formula>
    </cfRule>
  </conditionalFormatting>
  <conditionalFormatting sqref="BA12:IV12">
    <cfRule type="cellIs" dxfId="1" priority="39" operator="lessThan">
      <formula>0</formula>
    </cfRule>
    <cfRule type="cellIs" dxfId="1" priority="40" operator="lessThan">
      <formula>0</formula>
    </cfRule>
  </conditionalFormatting>
  <conditionalFormatting sqref="BF13:IV14">
    <cfRule type="cellIs" dxfId="1" priority="41" operator="lessThan">
      <formula>0</formula>
    </cfRule>
    <cfRule type="cellIs" dxfId="1" priority="42" operator="lessThan">
      <formula>0</formula>
    </cfRule>
  </conditionalFormatting>
  <conditionalFormatting sqref="A38">
    <cfRule type="cellIs" dxfId="1" priority="43" operator="lessThan">
      <formula>0</formula>
    </cfRule>
  </conditionalFormatting>
  <conditionalFormatting sqref="B22:L22">
    <cfRule type="cellIs" dxfId="1" priority="44" operator="lessThan">
      <formula>0</formula>
    </cfRule>
  </conditionalFormatting>
  <conditionalFormatting sqref="B38:L43">
    <cfRule type="cellIs" dxfId="1" priority="45" operator="lessThan">
      <formula>0</formula>
    </cfRule>
  </conditionalFormatting>
  <conditionalFormatting sqref="B8:IV9">
    <cfRule type="cellIs" dxfId="1" priority="46" operator="lessThan">
      <formula>0</formula>
    </cfRule>
  </conditionalFormatting>
  <conditionalFormatting sqref="B10:L12">
    <cfRule type="cellIs" dxfId="1" priority="47" operator="lessThan">
      <formula>0</formula>
    </cfRule>
  </conditionalFormatting>
  <conditionalFormatting sqref="C15:L20">
    <cfRule type="cellIs" dxfId="1" priority="48" operator="lessThan">
      <formula>0</formula>
    </cfRule>
  </conditionalFormatting>
  <conditionalFormatting sqref="R15:U20">
    <cfRule type="cellIs" dxfId="1" priority="49" operator="lessThan">
      <formula>0</formula>
    </cfRule>
    <cfRule type="cellIs" dxfId="1" priority="50" operator="lessThan">
      <formula>0</formula>
    </cfRule>
  </conditionalFormatting>
  <conditionalFormatting sqref="AA15:AD20">
    <cfRule type="cellIs" dxfId="1" priority="51" operator="lessThan">
      <formula>0</formula>
    </cfRule>
    <cfRule type="cellIs" dxfId="1" priority="52" operator="lessThan">
      <formula>0</formula>
    </cfRule>
  </conditionalFormatting>
  <conditionalFormatting sqref="AJ15:AM20">
    <cfRule type="cellIs" dxfId="1" priority="53" operator="lessThan">
      <formula>0</formula>
    </cfRule>
    <cfRule type="cellIs" dxfId="1" priority="54" operator="lessThan">
      <formula>0</formula>
    </cfRule>
  </conditionalFormatting>
  <conditionalFormatting sqref="AS15:AV20">
    <cfRule type="cellIs" dxfId="1" priority="55" operator="lessThan">
      <formula>0</formula>
    </cfRule>
    <cfRule type="cellIs" dxfId="1" priority="56" operator="lessThan">
      <formula>0</formula>
    </cfRule>
  </conditionalFormatting>
  <conditionalFormatting sqref="BA15:IV20">
    <cfRule type="cellIs" dxfId="1" priority="57" operator="lessThan">
      <formula>0</formula>
    </cfRule>
    <cfRule type="cellIs" dxfId="1" priority="58" operator="lessThan">
      <formula>0</formula>
    </cfRule>
  </conditionalFormatting>
  <conditionalFormatting sqref="B15:L20">
    <cfRule type="cellIs" dxfId="1" priority="59" operator="lessThan">
      <formula>0</formula>
    </cfRule>
  </conditionalFormatting>
  <conditionalFormatting sqref="C21:L21">
    <cfRule type="cellIs" dxfId="1" priority="60" operator="lessThan">
      <formula>0</formula>
    </cfRule>
  </conditionalFormatting>
  <conditionalFormatting sqref="R21:U21">
    <cfRule type="cellIs" dxfId="1" priority="61" operator="lessThan">
      <formula>0</formula>
    </cfRule>
    <cfRule type="cellIs" dxfId="1" priority="62" operator="lessThan">
      <formula>0</formula>
    </cfRule>
  </conditionalFormatting>
  <conditionalFormatting sqref="AA21:AD21">
    <cfRule type="cellIs" dxfId="1" priority="63" operator="lessThan">
      <formula>0</formula>
    </cfRule>
    <cfRule type="cellIs" dxfId="1" priority="64" operator="lessThan">
      <formula>0</formula>
    </cfRule>
  </conditionalFormatting>
  <conditionalFormatting sqref="AJ21:AM21">
    <cfRule type="cellIs" dxfId="1" priority="65" operator="lessThan">
      <formula>0</formula>
    </cfRule>
    <cfRule type="cellIs" dxfId="1" priority="66" operator="lessThan">
      <formula>0</formula>
    </cfRule>
  </conditionalFormatting>
  <conditionalFormatting sqref="AS21:AV21">
    <cfRule type="cellIs" dxfId="1" priority="67" operator="lessThan">
      <formula>0</formula>
    </cfRule>
    <cfRule type="cellIs" dxfId="1" priority="68" operator="lessThan">
      <formula>0</formula>
    </cfRule>
  </conditionalFormatting>
  <conditionalFormatting sqref="BA21:IV21">
    <cfRule type="cellIs" dxfId="1" priority="69" operator="lessThan">
      <formula>0</formula>
    </cfRule>
    <cfRule type="cellIs" dxfId="1" priority="70" operator="lessThan">
      <formula>0</formula>
    </cfRule>
  </conditionalFormatting>
  <conditionalFormatting sqref="B21:L21">
    <cfRule type="cellIs" dxfId="1" priority="71" operator="lessThan">
      <formula>0</formula>
    </cfRule>
  </conditionalFormatting>
  <conditionalFormatting sqref="C44:L46">
    <cfRule type="cellIs" dxfId="1" priority="72" operator="lessThan">
      <formula>0</formula>
    </cfRule>
  </conditionalFormatting>
  <conditionalFormatting sqref="R44:U46">
    <cfRule type="cellIs" dxfId="1" priority="73" operator="lessThan">
      <formula>0</formula>
    </cfRule>
    <cfRule type="cellIs" dxfId="1" priority="74" operator="lessThan">
      <formula>0</formula>
    </cfRule>
  </conditionalFormatting>
  <conditionalFormatting sqref="AA44:AD46">
    <cfRule type="cellIs" dxfId="1" priority="75" operator="lessThan">
      <formula>0</formula>
    </cfRule>
    <cfRule type="cellIs" dxfId="1" priority="76" operator="lessThan">
      <formula>0</formula>
    </cfRule>
  </conditionalFormatting>
  <conditionalFormatting sqref="AJ44:AM46">
    <cfRule type="cellIs" dxfId="1" priority="77" operator="lessThan">
      <formula>0</formula>
    </cfRule>
    <cfRule type="cellIs" dxfId="1" priority="78" operator="lessThan">
      <formula>0</formula>
    </cfRule>
  </conditionalFormatting>
  <conditionalFormatting sqref="AS44:AV46">
    <cfRule type="cellIs" dxfId="1" priority="79" operator="lessThan">
      <formula>0</formula>
    </cfRule>
    <cfRule type="cellIs" dxfId="1" priority="80" operator="lessThan">
      <formula>0</formula>
    </cfRule>
  </conditionalFormatting>
  <conditionalFormatting sqref="BA44:IV46">
    <cfRule type="cellIs" dxfId="1" priority="81" operator="lessThan">
      <formula>0</formula>
    </cfRule>
    <cfRule type="cellIs" dxfId="1" priority="82" operator="lessThan">
      <formula>0</formula>
    </cfRule>
  </conditionalFormatting>
  <conditionalFormatting sqref="BF47:IV48">
    <cfRule type="cellIs" dxfId="1" priority="83" operator="lessThan">
      <formula>0</formula>
    </cfRule>
    <cfRule type="cellIs" dxfId="1" priority="84" operator="lessThan">
      <formula>0</formula>
    </cfRule>
  </conditionalFormatting>
  <conditionalFormatting sqref="B44:L46">
    <cfRule type="cellIs" dxfId="1" priority="85" operator="lessThan">
      <formula>0</formula>
    </cfRule>
  </conditionalFormatting>
  <conditionalFormatting sqref="BF49:IV49">
    <cfRule type="cellIs" dxfId="1" priority="86" operator="lessThan">
      <formula>0</formula>
    </cfRule>
    <cfRule type="cellIs" dxfId="1" priority="87" operator="lessThan">
      <formula>0</formula>
    </cfRule>
  </conditionalFormatting>
  <conditionalFormatting sqref="C30:L35">
    <cfRule type="cellIs" dxfId="1" priority="88" operator="lessThan">
      <formula>0</formula>
    </cfRule>
  </conditionalFormatting>
  <conditionalFormatting sqref="R30:U35">
    <cfRule type="cellIs" dxfId="1" priority="89" operator="lessThan">
      <formula>0</formula>
    </cfRule>
    <cfRule type="cellIs" dxfId="1" priority="90" operator="lessThan">
      <formula>0</formula>
    </cfRule>
  </conditionalFormatting>
  <conditionalFormatting sqref="AA30:AD35">
    <cfRule type="cellIs" dxfId="1" priority="91" operator="lessThan">
      <formula>0</formula>
    </cfRule>
    <cfRule type="cellIs" dxfId="1" priority="92" operator="lessThan">
      <formula>0</formula>
    </cfRule>
  </conditionalFormatting>
  <conditionalFormatting sqref="AJ30:AM35">
    <cfRule type="cellIs" dxfId="1" priority="93" operator="lessThan">
      <formula>0</formula>
    </cfRule>
    <cfRule type="cellIs" dxfId="1" priority="94" operator="lessThan">
      <formula>0</formula>
    </cfRule>
  </conditionalFormatting>
  <conditionalFormatting sqref="AS30:AV35">
    <cfRule type="cellIs" dxfId="1" priority="95" operator="lessThan">
      <formula>0</formula>
    </cfRule>
    <cfRule type="cellIs" dxfId="1" priority="96" operator="lessThan">
      <formula>0</formula>
    </cfRule>
  </conditionalFormatting>
  <conditionalFormatting sqref="BA30:IV35">
    <cfRule type="cellIs" dxfId="1" priority="97" operator="lessThan">
      <formula>0</formula>
    </cfRule>
    <cfRule type="cellIs" dxfId="1" priority="98" operator="lessThan">
      <formula>0</formula>
    </cfRule>
  </conditionalFormatting>
  <conditionalFormatting sqref="B30:L35">
    <cfRule type="cellIs" dxfId="1" priority="99" operator="lessThan">
      <formula>0</formula>
    </cfRule>
  </conditionalFormatting>
  <conditionalFormatting sqref="C36:L36">
    <cfRule type="cellIs" dxfId="1" priority="100" operator="lessThan">
      <formula>0</formula>
    </cfRule>
  </conditionalFormatting>
  <conditionalFormatting sqref="R36:U36">
    <cfRule type="cellIs" dxfId="1" priority="101" operator="lessThan">
      <formula>0</formula>
    </cfRule>
    <cfRule type="cellIs" dxfId="1" priority="102" operator="lessThan">
      <formula>0</formula>
    </cfRule>
  </conditionalFormatting>
  <conditionalFormatting sqref="AA36:AD36">
    <cfRule type="cellIs" dxfId="1" priority="103" operator="lessThan">
      <formula>0</formula>
    </cfRule>
    <cfRule type="cellIs" dxfId="1" priority="104" operator="lessThan">
      <formula>0</formula>
    </cfRule>
  </conditionalFormatting>
  <conditionalFormatting sqref="AJ36:AM36">
    <cfRule type="cellIs" dxfId="1" priority="105" operator="lessThan">
      <formula>0</formula>
    </cfRule>
    <cfRule type="cellIs" dxfId="1" priority="106" operator="lessThan">
      <formula>0</formula>
    </cfRule>
  </conditionalFormatting>
  <conditionalFormatting sqref="AS36:AV36">
    <cfRule type="cellIs" dxfId="1" priority="107" operator="lessThan">
      <formula>0</formula>
    </cfRule>
    <cfRule type="cellIs" dxfId="1" priority="108" operator="lessThan">
      <formula>0</formula>
    </cfRule>
  </conditionalFormatting>
  <conditionalFormatting sqref="BA36:IV36">
    <cfRule type="cellIs" dxfId="1" priority="109" operator="lessThan">
      <formula>0</formula>
    </cfRule>
    <cfRule type="cellIs" dxfId="1" priority="110" operator="lessThan">
      <formula>0</formula>
    </cfRule>
  </conditionalFormatting>
  <conditionalFormatting sqref="B36:L36">
    <cfRule type="cellIs" dxfId="1" priority="111" operator="lessThan">
      <formula>0</formula>
    </cfRule>
  </conditionalFormatting>
  <conditionalFormatting sqref="C37:L37">
    <cfRule type="cellIs" dxfId="1" priority="112" operator="lessThan">
      <formula>0</formula>
    </cfRule>
  </conditionalFormatting>
  <conditionalFormatting sqref="C23:L29">
    <cfRule type="cellIs" dxfId="1" priority="113" operator="lessThan">
      <formula>0</formula>
    </cfRule>
  </conditionalFormatting>
  <conditionalFormatting sqref="R23:U29">
    <cfRule type="cellIs" dxfId="1" priority="114" operator="lessThan">
      <formula>0</formula>
    </cfRule>
    <cfRule type="cellIs" dxfId="1" priority="115" operator="lessThan">
      <formula>0</formula>
    </cfRule>
  </conditionalFormatting>
  <conditionalFormatting sqref="R37:U37">
    <cfRule type="cellIs" dxfId="1" priority="116" operator="lessThan">
      <formula>0</formula>
    </cfRule>
    <cfRule type="cellIs" dxfId="1" priority="117" operator="lessThan">
      <formula>0</formula>
    </cfRule>
  </conditionalFormatting>
  <conditionalFormatting sqref="AA37:AD37">
    <cfRule type="cellIs" dxfId="1" priority="118" operator="lessThan">
      <formula>0</formula>
    </cfRule>
    <cfRule type="cellIs" dxfId="1" priority="119" operator="lessThan">
      <formula>0</formula>
    </cfRule>
  </conditionalFormatting>
  <conditionalFormatting sqref="AA23:AD29">
    <cfRule type="cellIs" dxfId="1" priority="120" operator="lessThan">
      <formula>0</formula>
    </cfRule>
    <cfRule type="cellIs" dxfId="1" priority="121" operator="lessThan">
      <formula>0</formula>
    </cfRule>
  </conditionalFormatting>
  <conditionalFormatting sqref="AJ23:AM29">
    <cfRule type="cellIs" dxfId="1" priority="122" operator="lessThan">
      <formula>0</formula>
    </cfRule>
    <cfRule type="cellIs" dxfId="1" priority="123" operator="lessThan">
      <formula>0</formula>
    </cfRule>
  </conditionalFormatting>
  <conditionalFormatting sqref="AJ37:AM37">
    <cfRule type="cellIs" dxfId="1" priority="124" operator="lessThan">
      <formula>0</formula>
    </cfRule>
    <cfRule type="cellIs" dxfId="1" priority="125" operator="lessThan">
      <formula>0</formula>
    </cfRule>
  </conditionalFormatting>
  <conditionalFormatting sqref="AS37:AV37">
    <cfRule type="cellIs" dxfId="1" priority="126" operator="lessThan">
      <formula>0</formula>
    </cfRule>
    <cfRule type="cellIs" dxfId="1" priority="127" operator="lessThan">
      <formula>0</formula>
    </cfRule>
  </conditionalFormatting>
  <conditionalFormatting sqref="AS23:AV29">
    <cfRule type="cellIs" dxfId="1" priority="128" operator="lessThan">
      <formula>0</formula>
    </cfRule>
    <cfRule type="cellIs" dxfId="1" priority="129" operator="lessThan">
      <formula>0</formula>
    </cfRule>
  </conditionalFormatting>
  <conditionalFormatting sqref="BA37:IV37">
    <cfRule type="cellIs" dxfId="1" priority="130" operator="lessThan">
      <formula>0</formula>
    </cfRule>
    <cfRule type="cellIs" dxfId="1" priority="131" operator="lessThan">
      <formula>0</formula>
    </cfRule>
  </conditionalFormatting>
  <conditionalFormatting sqref="BA23:IV23">
    <cfRule type="cellIs" dxfId="1" priority="132" operator="lessThan">
      <formula>0</formula>
    </cfRule>
    <cfRule type="cellIs" dxfId="1" priority="133" operator="lessThan">
      <formula>0</formula>
    </cfRule>
  </conditionalFormatting>
  <conditionalFormatting sqref="BA25:IV29">
    <cfRule type="cellIs" dxfId="1" priority="134" operator="lessThan">
      <formula>0</formula>
    </cfRule>
    <cfRule type="cellIs" dxfId="1" priority="135" operator="lessThan">
      <formula>0</formula>
    </cfRule>
  </conditionalFormatting>
  <conditionalFormatting sqref="BB24:IV24">
    <cfRule type="cellIs" dxfId="1" priority="136" operator="lessThan">
      <formula>0</formula>
    </cfRule>
    <cfRule type="cellIs" dxfId="1" priority="137" operator="lessThan">
      <formula>0</formula>
    </cfRule>
  </conditionalFormatting>
  <conditionalFormatting sqref="B37:L37">
    <cfRule type="cellIs" dxfId="1" priority="138" operator="lessThan">
      <formula>0</formula>
    </cfRule>
  </conditionalFormatting>
  <conditionalFormatting sqref="B23:L29">
    <cfRule type="cellIs" dxfId="1" priority="139" operator="lessThan">
      <formula>0</formula>
    </cfRule>
  </conditionalFormatting>
  <conditionalFormatting sqref="C63:L63">
    <cfRule type="cellIs" dxfId="1" priority="140" operator="lessThan">
      <formula>0</formula>
    </cfRule>
  </conditionalFormatting>
  <conditionalFormatting sqref="C51:L56">
    <cfRule type="cellIs" dxfId="1" priority="141" operator="lessThan">
      <formula>0</formula>
    </cfRule>
  </conditionalFormatting>
  <conditionalFormatting sqref="R51:U56">
    <cfRule type="cellIs" dxfId="1" priority="142" operator="lessThan">
      <formula>0</formula>
    </cfRule>
    <cfRule type="cellIs" dxfId="1" priority="143" operator="lessThan">
      <formula>0</formula>
    </cfRule>
  </conditionalFormatting>
  <conditionalFormatting sqref="R63:U63">
    <cfRule type="cellIs" dxfId="1" priority="144" operator="lessThan">
      <formula>0</formula>
    </cfRule>
    <cfRule type="cellIs" dxfId="1" priority="145" operator="lessThan">
      <formula>0</formula>
    </cfRule>
  </conditionalFormatting>
  <conditionalFormatting sqref="AA63:AD63">
    <cfRule type="cellIs" dxfId="1" priority="146" operator="lessThan">
      <formula>0</formula>
    </cfRule>
    <cfRule type="cellIs" dxfId="1" priority="147" operator="lessThan">
      <formula>0</formula>
    </cfRule>
  </conditionalFormatting>
  <conditionalFormatting sqref="AA51:AD56">
    <cfRule type="cellIs" dxfId="1" priority="148" operator="lessThan">
      <formula>0</formula>
    </cfRule>
    <cfRule type="cellIs" dxfId="1" priority="149" operator="lessThan">
      <formula>0</formula>
    </cfRule>
  </conditionalFormatting>
  <conditionalFormatting sqref="AJ51:AM56">
    <cfRule type="cellIs" dxfId="1" priority="150" operator="lessThan">
      <formula>0</formula>
    </cfRule>
    <cfRule type="cellIs" dxfId="1" priority="151" operator="lessThan">
      <formula>0</formula>
    </cfRule>
  </conditionalFormatting>
  <conditionalFormatting sqref="AJ63:AM63">
    <cfRule type="cellIs" dxfId="1" priority="152" operator="lessThan">
      <formula>0</formula>
    </cfRule>
    <cfRule type="cellIs" dxfId="1" priority="153" operator="lessThan">
      <formula>0</formula>
    </cfRule>
  </conditionalFormatting>
  <conditionalFormatting sqref="AS63:AV63">
    <cfRule type="cellIs" dxfId="1" priority="154" operator="lessThan">
      <formula>0</formula>
    </cfRule>
    <cfRule type="cellIs" dxfId="1" priority="155" operator="lessThan">
      <formula>0</formula>
    </cfRule>
  </conditionalFormatting>
  <conditionalFormatting sqref="AS51:AV56">
    <cfRule type="cellIs" dxfId="1" priority="156" operator="lessThan">
      <formula>0</formula>
    </cfRule>
    <cfRule type="cellIs" dxfId="1" priority="157" operator="lessThan">
      <formula>0</formula>
    </cfRule>
  </conditionalFormatting>
  <conditionalFormatting sqref="BA51:IV56">
    <cfRule type="cellIs" dxfId="1" priority="158" operator="lessThan">
      <formula>0</formula>
    </cfRule>
    <cfRule type="cellIs" dxfId="1" priority="159" operator="lessThan">
      <formula>0</formula>
    </cfRule>
  </conditionalFormatting>
  <conditionalFormatting sqref="BA63:IV63">
    <cfRule type="cellIs" dxfId="1" priority="160" operator="lessThan">
      <formula>0</formula>
    </cfRule>
    <cfRule type="cellIs" dxfId="1" priority="161" operator="lessThan">
      <formula>0</formula>
    </cfRule>
  </conditionalFormatting>
  <conditionalFormatting sqref="B63:L63">
    <cfRule type="cellIs" dxfId="1" priority="162" operator="lessThan">
      <formula>0</formula>
    </cfRule>
  </conditionalFormatting>
  <conditionalFormatting sqref="B51:L56">
    <cfRule type="cellIs" dxfId="1" priority="163" operator="lessThan">
      <formula>0</formula>
    </cfRule>
  </conditionalFormatting>
  <conditionalFormatting sqref="C57:L61">
    <cfRule type="cellIs" dxfId="1" priority="164" operator="lessThan">
      <formula>0</formula>
    </cfRule>
  </conditionalFormatting>
  <conditionalFormatting sqref="R57:U61">
    <cfRule type="cellIs" dxfId="1" priority="165" operator="lessThan">
      <formula>0</formula>
    </cfRule>
    <cfRule type="cellIs" dxfId="1" priority="166" operator="lessThan">
      <formula>0</formula>
    </cfRule>
  </conditionalFormatting>
  <conditionalFormatting sqref="AA57:AD61">
    <cfRule type="cellIs" dxfId="1" priority="167" operator="lessThan">
      <formula>0</formula>
    </cfRule>
    <cfRule type="cellIs" dxfId="1" priority="168" operator="lessThan">
      <formula>0</formula>
    </cfRule>
  </conditionalFormatting>
  <conditionalFormatting sqref="AJ57:AM61">
    <cfRule type="cellIs" dxfId="1" priority="169" operator="lessThan">
      <formula>0</formula>
    </cfRule>
    <cfRule type="cellIs" dxfId="1" priority="170" operator="lessThan">
      <formula>0</formula>
    </cfRule>
  </conditionalFormatting>
  <conditionalFormatting sqref="AS57:AV61">
    <cfRule type="cellIs" dxfId="1" priority="171" operator="lessThan">
      <formula>0</formula>
    </cfRule>
    <cfRule type="cellIs" dxfId="1" priority="172" operator="lessThan">
      <formula>0</formula>
    </cfRule>
  </conditionalFormatting>
  <conditionalFormatting sqref="BA57:IV61">
    <cfRule type="cellIs" dxfId="1" priority="173" operator="lessThan">
      <formula>0</formula>
    </cfRule>
    <cfRule type="cellIs" dxfId="1" priority="174" operator="lessThan">
      <formula>0</formula>
    </cfRule>
  </conditionalFormatting>
  <conditionalFormatting sqref="B57:L61">
    <cfRule type="cellIs" dxfId="1" priority="175" operator="lessThan">
      <formula>0</formula>
    </cfRule>
  </conditionalFormatting>
  <conditionalFormatting sqref="C62:L62">
    <cfRule type="cellIs" dxfId="1" priority="176" operator="lessThan">
      <formula>0</formula>
    </cfRule>
  </conditionalFormatting>
  <conditionalFormatting sqref="R62:U62">
    <cfRule type="cellIs" dxfId="1" priority="177" operator="lessThan">
      <formula>0</formula>
    </cfRule>
    <cfRule type="cellIs" dxfId="1" priority="178" operator="lessThan">
      <formula>0</formula>
    </cfRule>
  </conditionalFormatting>
  <conditionalFormatting sqref="AA62:AD62">
    <cfRule type="cellIs" dxfId="1" priority="179" operator="lessThan">
      <formula>0</formula>
    </cfRule>
    <cfRule type="cellIs" dxfId="1" priority="180" operator="lessThan">
      <formula>0</formula>
    </cfRule>
  </conditionalFormatting>
  <conditionalFormatting sqref="AJ62:AM62">
    <cfRule type="cellIs" dxfId="1" priority="181" operator="lessThan">
      <formula>0</formula>
    </cfRule>
    <cfRule type="cellIs" dxfId="1" priority="182" operator="lessThan">
      <formula>0</formula>
    </cfRule>
  </conditionalFormatting>
  <conditionalFormatting sqref="AS62:AV62">
    <cfRule type="cellIs" dxfId="1" priority="183" operator="lessThan">
      <formula>0</formula>
    </cfRule>
    <cfRule type="cellIs" dxfId="1" priority="184" operator="lessThan">
      <formula>0</formula>
    </cfRule>
  </conditionalFormatting>
  <conditionalFormatting sqref="BA62:IV62">
    <cfRule type="cellIs" dxfId="1" priority="185" operator="lessThan">
      <formula>0</formula>
    </cfRule>
    <cfRule type="cellIs" dxfId="1" priority="186" operator="lessThan">
      <formula>0</formula>
    </cfRule>
  </conditionalFormatting>
  <conditionalFormatting sqref="B62:L62">
    <cfRule type="cellIs" dxfId="1" priority="187" operator="lessThan">
      <formula>0</formula>
    </cfRule>
  </conditionalFormatting>
  <conditionalFormatting sqref="C78:L78">
    <cfRule type="cellIs" dxfId="1" priority="188" operator="lessThan">
      <formula>0</formula>
    </cfRule>
  </conditionalFormatting>
  <conditionalFormatting sqref="C66:L71">
    <cfRule type="cellIs" dxfId="1" priority="189" operator="lessThan">
      <formula>0</formula>
    </cfRule>
  </conditionalFormatting>
  <conditionalFormatting sqref="R66:U71">
    <cfRule type="cellIs" dxfId="1" priority="190" operator="lessThan">
      <formula>0</formula>
    </cfRule>
    <cfRule type="cellIs" dxfId="1" priority="191" operator="lessThan">
      <formula>0</formula>
    </cfRule>
  </conditionalFormatting>
  <conditionalFormatting sqref="R78:U78">
    <cfRule type="cellIs" dxfId="1" priority="192" operator="lessThan">
      <formula>0</formula>
    </cfRule>
    <cfRule type="cellIs" dxfId="1" priority="193" operator="lessThan">
      <formula>0</formula>
    </cfRule>
  </conditionalFormatting>
  <conditionalFormatting sqref="AA78:AD78">
    <cfRule type="cellIs" dxfId="1" priority="194" operator="lessThan">
      <formula>0</formula>
    </cfRule>
    <cfRule type="cellIs" dxfId="1" priority="195" operator="lessThan">
      <formula>0</formula>
    </cfRule>
  </conditionalFormatting>
  <conditionalFormatting sqref="AA66:AD71">
    <cfRule type="cellIs" dxfId="1" priority="196" operator="lessThan">
      <formula>0</formula>
    </cfRule>
    <cfRule type="cellIs" dxfId="1" priority="197" operator="lessThan">
      <formula>0</formula>
    </cfRule>
  </conditionalFormatting>
  <conditionalFormatting sqref="AJ66:AM71">
    <cfRule type="cellIs" dxfId="1" priority="198" operator="lessThan">
      <formula>0</formula>
    </cfRule>
    <cfRule type="cellIs" dxfId="1" priority="199" operator="lessThan">
      <formula>0</formula>
    </cfRule>
  </conditionalFormatting>
  <conditionalFormatting sqref="AJ78:AM78">
    <cfRule type="cellIs" dxfId="1" priority="200" operator="lessThan">
      <formula>0</formula>
    </cfRule>
    <cfRule type="cellIs" dxfId="1" priority="201" operator="lessThan">
      <formula>0</formula>
    </cfRule>
  </conditionalFormatting>
  <conditionalFormatting sqref="AS78:AV78">
    <cfRule type="cellIs" dxfId="1" priority="202" operator="lessThan">
      <formula>0</formula>
    </cfRule>
    <cfRule type="cellIs" dxfId="1" priority="203" operator="lessThan">
      <formula>0</formula>
    </cfRule>
  </conditionalFormatting>
  <conditionalFormatting sqref="AS66:AV71">
    <cfRule type="cellIs" dxfId="1" priority="204" operator="lessThan">
      <formula>0</formula>
    </cfRule>
    <cfRule type="cellIs" dxfId="1" priority="205" operator="lessThan">
      <formula>0</formula>
    </cfRule>
  </conditionalFormatting>
  <conditionalFormatting sqref="BA66:IV71">
    <cfRule type="cellIs" dxfId="1" priority="206" operator="lessThan">
      <formula>0</formula>
    </cfRule>
    <cfRule type="cellIs" dxfId="1" priority="207" operator="lessThan">
      <formula>0</formula>
    </cfRule>
  </conditionalFormatting>
  <conditionalFormatting sqref="BA78:IV78">
    <cfRule type="cellIs" dxfId="1" priority="208" operator="lessThan">
      <formula>0</formula>
    </cfRule>
    <cfRule type="cellIs" dxfId="1" priority="209" operator="lessThan">
      <formula>0</formula>
    </cfRule>
  </conditionalFormatting>
  <conditionalFormatting sqref="A59">
    <cfRule type="cellIs" dxfId="1" priority="210" operator="lessThan">
      <formula>0</formula>
    </cfRule>
  </conditionalFormatting>
  <conditionalFormatting sqref="B78:L78">
    <cfRule type="cellIs" dxfId="1" priority="211" operator="lessThan">
      <formula>0</formula>
    </cfRule>
  </conditionalFormatting>
  <conditionalFormatting sqref="B66:L71">
    <cfRule type="cellIs" dxfId="1" priority="212" operator="lessThan">
      <formula>0</formula>
    </cfRule>
  </conditionalFormatting>
  <conditionalFormatting sqref="C72:L76">
    <cfRule type="cellIs" dxfId="1" priority="213" operator="lessThan">
      <formula>0</formula>
    </cfRule>
  </conditionalFormatting>
  <conditionalFormatting sqref="R72:U76">
    <cfRule type="cellIs" dxfId="1" priority="214" operator="lessThan">
      <formula>0</formula>
    </cfRule>
    <cfRule type="cellIs" dxfId="1" priority="215" operator="lessThan">
      <formula>0</formula>
    </cfRule>
  </conditionalFormatting>
  <conditionalFormatting sqref="AA72:AD76">
    <cfRule type="cellIs" dxfId="1" priority="216" operator="lessThan">
      <formula>0</formula>
    </cfRule>
    <cfRule type="cellIs" dxfId="1" priority="217" operator="lessThan">
      <formula>0</formula>
    </cfRule>
  </conditionalFormatting>
  <conditionalFormatting sqref="AJ72:AM76">
    <cfRule type="cellIs" dxfId="1" priority="218" operator="lessThan">
      <formula>0</formula>
    </cfRule>
    <cfRule type="cellIs" dxfId="1" priority="219" operator="lessThan">
      <formula>0</formula>
    </cfRule>
  </conditionalFormatting>
  <conditionalFormatting sqref="AS72:AV76">
    <cfRule type="cellIs" dxfId="1" priority="220" operator="lessThan">
      <formula>0</formula>
    </cfRule>
    <cfRule type="cellIs" dxfId="1" priority="221" operator="lessThan">
      <formula>0</formula>
    </cfRule>
  </conditionalFormatting>
  <conditionalFormatting sqref="BA72:IV76">
    <cfRule type="cellIs" dxfId="1" priority="222" operator="lessThan">
      <formula>0</formula>
    </cfRule>
    <cfRule type="cellIs" dxfId="1" priority="223" operator="lessThan">
      <formula>0</formula>
    </cfRule>
  </conditionalFormatting>
  <conditionalFormatting sqref="B72:L76">
    <cfRule type="cellIs" dxfId="1" priority="224" operator="lessThan">
      <formula>0</formula>
    </cfRule>
  </conditionalFormatting>
  <conditionalFormatting sqref="C77:L77">
    <cfRule type="cellIs" dxfId="1" priority="225" operator="lessThan">
      <formula>0</formula>
    </cfRule>
  </conditionalFormatting>
  <conditionalFormatting sqref="R77:U77">
    <cfRule type="cellIs" dxfId="1" priority="226" operator="lessThan">
      <formula>0</formula>
    </cfRule>
    <cfRule type="cellIs" dxfId="1" priority="227" operator="lessThan">
      <formula>0</formula>
    </cfRule>
  </conditionalFormatting>
  <conditionalFormatting sqref="AA77:AD77">
    <cfRule type="cellIs" dxfId="1" priority="228" operator="lessThan">
      <formula>0</formula>
    </cfRule>
    <cfRule type="cellIs" dxfId="1" priority="229" operator="lessThan">
      <formula>0</formula>
    </cfRule>
  </conditionalFormatting>
  <conditionalFormatting sqref="AJ77:AM77">
    <cfRule type="cellIs" dxfId="1" priority="230" operator="lessThan">
      <formula>0</formula>
    </cfRule>
    <cfRule type="cellIs" dxfId="1" priority="231" operator="lessThan">
      <formula>0</formula>
    </cfRule>
  </conditionalFormatting>
  <conditionalFormatting sqref="AS77:AV77">
    <cfRule type="cellIs" dxfId="1" priority="232" operator="lessThan">
      <formula>0</formula>
    </cfRule>
    <cfRule type="cellIs" dxfId="1" priority="233" operator="lessThan">
      <formula>0</formula>
    </cfRule>
  </conditionalFormatting>
  <conditionalFormatting sqref="BA77:IV77">
    <cfRule type="cellIs" dxfId="1" priority="234" operator="lessThan">
      <formula>0</formula>
    </cfRule>
    <cfRule type="cellIs" dxfId="1" priority="235" operator="lessThan">
      <formula>0</formula>
    </cfRule>
  </conditionalFormatting>
  <conditionalFormatting sqref="B77:L77">
    <cfRule type="cellIs" dxfId="1" priority="236" operator="lessThan">
      <formula>0</formula>
    </cfRule>
  </conditionalFormatting>
  <conditionalFormatting sqref="C64:L64">
    <cfRule type="cellIs" dxfId="1" priority="237" operator="lessThan">
      <formula>0</formula>
    </cfRule>
  </conditionalFormatting>
  <conditionalFormatting sqref="R64:U64">
    <cfRule type="cellIs" dxfId="1" priority="238" operator="lessThan">
      <formula>0</formula>
    </cfRule>
    <cfRule type="cellIs" dxfId="1" priority="239" operator="lessThan">
      <formula>0</formula>
    </cfRule>
  </conditionalFormatting>
  <conditionalFormatting sqref="AA64:AD64">
    <cfRule type="cellIs" dxfId="1" priority="240" operator="lessThan">
      <formula>0</formula>
    </cfRule>
    <cfRule type="cellIs" dxfId="1" priority="241" operator="lessThan">
      <formula>0</formula>
    </cfRule>
  </conditionalFormatting>
  <conditionalFormatting sqref="AJ64:AM64">
    <cfRule type="cellIs" dxfId="1" priority="242" operator="lessThan">
      <formula>0</formula>
    </cfRule>
    <cfRule type="cellIs" dxfId="1" priority="243" operator="lessThan">
      <formula>0</formula>
    </cfRule>
  </conditionalFormatting>
  <conditionalFormatting sqref="AS64:AV64">
    <cfRule type="cellIs" dxfId="1" priority="244" operator="lessThan">
      <formula>0</formula>
    </cfRule>
    <cfRule type="cellIs" dxfId="1" priority="245" operator="lessThan">
      <formula>0</formula>
    </cfRule>
  </conditionalFormatting>
  <conditionalFormatting sqref="BA64:IV64">
    <cfRule type="cellIs" dxfId="1" priority="246" operator="lessThan">
      <formula>0</formula>
    </cfRule>
    <cfRule type="cellIs" dxfId="1" priority="247" operator="lessThan">
      <formula>0</formula>
    </cfRule>
  </conditionalFormatting>
  <conditionalFormatting sqref="B64:L64">
    <cfRule type="cellIs" dxfId="1" priority="248" operator="lessThan">
      <formula>0</formula>
    </cfRule>
  </conditionalFormatting>
  <conditionalFormatting sqref="C65:L65">
    <cfRule type="cellIs" dxfId="1" priority="249" operator="lessThan">
      <formula>0</formula>
    </cfRule>
  </conditionalFormatting>
  <conditionalFormatting sqref="R65:U65">
    <cfRule type="cellIs" dxfId="1" priority="250" operator="lessThan">
      <formula>0</formula>
    </cfRule>
    <cfRule type="cellIs" dxfId="1" priority="251" operator="lessThan">
      <formula>0</formula>
    </cfRule>
  </conditionalFormatting>
  <conditionalFormatting sqref="AA65:AD65">
    <cfRule type="cellIs" dxfId="1" priority="252" operator="lessThan">
      <formula>0</formula>
    </cfRule>
    <cfRule type="cellIs" dxfId="1" priority="253" operator="lessThan">
      <formula>0</formula>
    </cfRule>
  </conditionalFormatting>
  <conditionalFormatting sqref="AJ65:AM65">
    <cfRule type="cellIs" dxfId="1" priority="254" operator="lessThan">
      <formula>0</formula>
    </cfRule>
    <cfRule type="cellIs" dxfId="1" priority="255" operator="lessThan">
      <formula>0</formula>
    </cfRule>
  </conditionalFormatting>
  <conditionalFormatting sqref="AS65:AV65">
    <cfRule type="cellIs" dxfId="1" priority="256" operator="lessThan">
      <formula>0</formula>
    </cfRule>
    <cfRule type="cellIs" dxfId="1" priority="257" operator="lessThan">
      <formula>0</formula>
    </cfRule>
  </conditionalFormatting>
  <conditionalFormatting sqref="BA65:IV65">
    <cfRule type="cellIs" dxfId="1" priority="258" operator="lessThan">
      <formula>0</formula>
    </cfRule>
    <cfRule type="cellIs" dxfId="1" priority="259" operator="lessThan">
      <formula>0</formula>
    </cfRule>
  </conditionalFormatting>
  <conditionalFormatting sqref="B65:L65">
    <cfRule type="cellIs" dxfId="1" priority="260" operator="lessThan">
      <formula>0</formula>
    </cfRule>
  </conditionalFormatting>
  <conditionalFormatting sqref="C91:L91">
    <cfRule type="cellIs" dxfId="1" priority="261" operator="lessThan">
      <formula>0</formula>
    </cfRule>
  </conditionalFormatting>
  <conditionalFormatting sqref="C79:L84">
    <cfRule type="cellIs" dxfId="1" priority="262" operator="lessThan">
      <formula>0</formula>
    </cfRule>
  </conditionalFormatting>
  <conditionalFormatting sqref="R79:U84">
    <cfRule type="cellIs" dxfId="1" priority="263" operator="lessThan">
      <formula>0</formula>
    </cfRule>
    <cfRule type="cellIs" dxfId="1" priority="264" operator="lessThan">
      <formula>0</formula>
    </cfRule>
  </conditionalFormatting>
  <conditionalFormatting sqref="R91:U91">
    <cfRule type="cellIs" dxfId="1" priority="265" operator="lessThan">
      <formula>0</formula>
    </cfRule>
    <cfRule type="cellIs" dxfId="1" priority="266" operator="lessThan">
      <formula>0</formula>
    </cfRule>
  </conditionalFormatting>
  <conditionalFormatting sqref="AA91:AD91">
    <cfRule type="cellIs" dxfId="1" priority="267" operator="lessThan">
      <formula>0</formula>
    </cfRule>
    <cfRule type="cellIs" dxfId="1" priority="268" operator="lessThan">
      <formula>0</formula>
    </cfRule>
  </conditionalFormatting>
  <conditionalFormatting sqref="AA79:AD84">
    <cfRule type="cellIs" dxfId="1" priority="269" operator="lessThan">
      <formula>0</formula>
    </cfRule>
    <cfRule type="cellIs" dxfId="1" priority="270" operator="lessThan">
      <formula>0</formula>
    </cfRule>
  </conditionalFormatting>
  <conditionalFormatting sqref="AJ79:AM84">
    <cfRule type="cellIs" dxfId="1" priority="271" operator="lessThan">
      <formula>0</formula>
    </cfRule>
    <cfRule type="cellIs" dxfId="1" priority="272" operator="lessThan">
      <formula>0</formula>
    </cfRule>
  </conditionalFormatting>
  <conditionalFormatting sqref="AJ91:AM91">
    <cfRule type="cellIs" dxfId="1" priority="273" operator="lessThan">
      <formula>0</formula>
    </cfRule>
    <cfRule type="cellIs" dxfId="1" priority="274" operator="lessThan">
      <formula>0</formula>
    </cfRule>
  </conditionalFormatting>
  <conditionalFormatting sqref="AS91:AV91">
    <cfRule type="cellIs" dxfId="1" priority="275" operator="lessThan">
      <formula>0</formula>
    </cfRule>
    <cfRule type="cellIs" dxfId="1" priority="276" operator="lessThan">
      <formula>0</formula>
    </cfRule>
  </conditionalFormatting>
  <conditionalFormatting sqref="AS79:AV84">
    <cfRule type="cellIs" dxfId="1" priority="277" operator="lessThan">
      <formula>0</formula>
    </cfRule>
    <cfRule type="cellIs" dxfId="1" priority="278" operator="lessThan">
      <formula>0</formula>
    </cfRule>
  </conditionalFormatting>
  <conditionalFormatting sqref="BA79:IV84">
    <cfRule type="cellIs" dxfId="1" priority="279" operator="lessThan">
      <formula>0</formula>
    </cfRule>
    <cfRule type="cellIs" dxfId="1" priority="280" operator="lessThan">
      <formula>0</formula>
    </cfRule>
  </conditionalFormatting>
  <conditionalFormatting sqref="BA91:IV91">
    <cfRule type="cellIs" dxfId="1" priority="281" operator="lessThan">
      <formula>0</formula>
    </cfRule>
    <cfRule type="cellIs" dxfId="1" priority="282" operator="lessThan">
      <formula>0</formula>
    </cfRule>
  </conditionalFormatting>
  <conditionalFormatting sqref="B91:L91">
    <cfRule type="cellIs" dxfId="1" priority="283" operator="lessThan">
      <formula>0</formula>
    </cfRule>
  </conditionalFormatting>
  <conditionalFormatting sqref="B79:L84">
    <cfRule type="cellIs" dxfId="1" priority="284" operator="lessThan">
      <formula>0</formula>
    </cfRule>
  </conditionalFormatting>
  <conditionalFormatting sqref="C85:L89">
    <cfRule type="cellIs" dxfId="1" priority="285" operator="lessThan">
      <formula>0</formula>
    </cfRule>
  </conditionalFormatting>
  <conditionalFormatting sqref="R85:U89">
    <cfRule type="cellIs" dxfId="1" priority="286" operator="lessThan">
      <formula>0</formula>
    </cfRule>
    <cfRule type="cellIs" dxfId="1" priority="287" operator="lessThan">
      <formula>0</formula>
    </cfRule>
  </conditionalFormatting>
  <conditionalFormatting sqref="AA85:AD89">
    <cfRule type="cellIs" dxfId="1" priority="288" operator="lessThan">
      <formula>0</formula>
    </cfRule>
    <cfRule type="cellIs" dxfId="1" priority="289" operator="lessThan">
      <formula>0</formula>
    </cfRule>
  </conditionalFormatting>
  <conditionalFormatting sqref="AJ85:AM89">
    <cfRule type="cellIs" dxfId="1" priority="290" operator="lessThan">
      <formula>0</formula>
    </cfRule>
    <cfRule type="cellIs" dxfId="1" priority="291" operator="lessThan">
      <formula>0</formula>
    </cfRule>
  </conditionalFormatting>
  <conditionalFormatting sqref="AS85:AV89">
    <cfRule type="cellIs" dxfId="1" priority="292" operator="lessThan">
      <formula>0</formula>
    </cfRule>
    <cfRule type="cellIs" dxfId="1" priority="293" operator="lessThan">
      <formula>0</formula>
    </cfRule>
  </conditionalFormatting>
  <conditionalFormatting sqref="BA85:IV89">
    <cfRule type="cellIs" dxfId="1" priority="294" operator="lessThan">
      <formula>0</formula>
    </cfRule>
    <cfRule type="cellIs" dxfId="1" priority="295" operator="lessThan">
      <formula>0</formula>
    </cfRule>
  </conditionalFormatting>
  <conditionalFormatting sqref="B85:L89">
    <cfRule type="cellIs" dxfId="1" priority="296" operator="lessThan">
      <formula>0</formula>
    </cfRule>
  </conditionalFormatting>
  <conditionalFormatting sqref="C90:L90">
    <cfRule type="cellIs" dxfId="1" priority="297" operator="lessThan">
      <formula>0</formula>
    </cfRule>
  </conditionalFormatting>
  <conditionalFormatting sqref="R90:U90">
    <cfRule type="cellIs" dxfId="1" priority="298" operator="lessThan">
      <formula>0</formula>
    </cfRule>
    <cfRule type="cellIs" dxfId="1" priority="299" operator="lessThan">
      <formula>0</formula>
    </cfRule>
  </conditionalFormatting>
  <conditionalFormatting sqref="AA90:AD90">
    <cfRule type="cellIs" dxfId="1" priority="300" operator="lessThan">
      <formula>0</formula>
    </cfRule>
    <cfRule type="cellIs" dxfId="1" priority="301" operator="lessThan">
      <formula>0</formula>
    </cfRule>
  </conditionalFormatting>
  <conditionalFormatting sqref="AJ90:AM90">
    <cfRule type="cellIs" dxfId="1" priority="302" operator="lessThan">
      <formula>0</formula>
    </cfRule>
    <cfRule type="cellIs" dxfId="1" priority="303" operator="lessThan">
      <formula>0</formula>
    </cfRule>
  </conditionalFormatting>
  <conditionalFormatting sqref="AS90:AV90">
    <cfRule type="cellIs" dxfId="1" priority="304" operator="lessThan">
      <formula>0</formula>
    </cfRule>
    <cfRule type="cellIs" dxfId="1" priority="305" operator="lessThan">
      <formula>0</formula>
    </cfRule>
  </conditionalFormatting>
  <conditionalFormatting sqref="BA90:IV90">
    <cfRule type="cellIs" dxfId="1" priority="306" operator="lessThan">
      <formula>0</formula>
    </cfRule>
    <cfRule type="cellIs" dxfId="1" priority="307" operator="lessThan">
      <formula>0</formula>
    </cfRule>
  </conditionalFormatting>
  <conditionalFormatting sqref="B90:L90">
    <cfRule type="cellIs" dxfId="1" priority="308" operator="lessThan">
      <formula>0</formula>
    </cfRule>
  </conditionalFormatting>
  <conditionalFormatting sqref="BA11">
    <cfRule type="cellIs" dxfId="1" priority="309" operator="lessThan">
      <formula>0</formula>
    </cfRule>
    <cfRule type="cellIs" dxfId="1" priority="310" operator="lessThan">
      <formula>0</formula>
    </cfRule>
  </conditionalFormatting>
  <conditionalFormatting sqref="O10:Q12">
    <cfRule type="cellIs" dxfId="1" priority="311" operator="lessThan">
      <formula>0</formula>
    </cfRule>
    <cfRule type="cellIs" dxfId="1" priority="312" operator="lessThan">
      <formula>0</formula>
    </cfRule>
  </conditionalFormatting>
  <conditionalFormatting sqref="O38:Q43">
    <cfRule type="cellIs" dxfId="1" priority="313" operator="lessThan">
      <formula>0</formula>
    </cfRule>
    <cfRule type="cellIs" dxfId="1" priority="314" operator="lessThan">
      <formula>0</formula>
    </cfRule>
  </conditionalFormatting>
  <conditionalFormatting sqref="O22:Q22">
    <cfRule type="cellIs" dxfId="1" priority="315" operator="lessThan">
      <formula>0</formula>
    </cfRule>
    <cfRule type="cellIs" dxfId="1" priority="316" operator="lessThan">
      <formula>0</formula>
    </cfRule>
  </conditionalFormatting>
  <conditionalFormatting sqref="O15:Q20">
    <cfRule type="cellIs" dxfId="1" priority="317" operator="lessThan">
      <formula>0</formula>
    </cfRule>
    <cfRule type="cellIs" dxfId="1" priority="318" operator="lessThan">
      <formula>0</formula>
    </cfRule>
  </conditionalFormatting>
  <conditionalFormatting sqref="O21:Q21">
    <cfRule type="cellIs" dxfId="1" priority="319" operator="lessThan">
      <formula>0</formula>
    </cfRule>
    <cfRule type="cellIs" dxfId="1" priority="320" operator="lessThan">
      <formula>0</formula>
    </cfRule>
  </conditionalFormatting>
  <conditionalFormatting sqref="O44:Q46">
    <cfRule type="cellIs" dxfId="1" priority="321" operator="lessThan">
      <formula>0</formula>
    </cfRule>
    <cfRule type="cellIs" dxfId="1" priority="322" operator="lessThan">
      <formula>0</formula>
    </cfRule>
  </conditionalFormatting>
  <conditionalFormatting sqref="O30:Q35">
    <cfRule type="cellIs" dxfId="1" priority="323" operator="lessThan">
      <formula>0</formula>
    </cfRule>
    <cfRule type="cellIs" dxfId="1" priority="324" operator="lessThan">
      <formula>0</formula>
    </cfRule>
  </conditionalFormatting>
  <conditionalFormatting sqref="O36:Q36">
    <cfRule type="cellIs" dxfId="1" priority="325" operator="lessThan">
      <formula>0</formula>
    </cfRule>
    <cfRule type="cellIs" dxfId="1" priority="326" operator="lessThan">
      <formula>0</formula>
    </cfRule>
  </conditionalFormatting>
  <conditionalFormatting sqref="O37:Q37">
    <cfRule type="cellIs" dxfId="1" priority="327" operator="lessThan">
      <formula>0</formula>
    </cfRule>
    <cfRule type="cellIs" dxfId="1" priority="328" operator="lessThan">
      <formula>0</formula>
    </cfRule>
  </conditionalFormatting>
  <conditionalFormatting sqref="O23:Q29">
    <cfRule type="cellIs" dxfId="1" priority="329" operator="lessThan">
      <formula>0</formula>
    </cfRule>
    <cfRule type="cellIs" dxfId="1" priority="330" operator="lessThan">
      <formula>0</formula>
    </cfRule>
  </conditionalFormatting>
  <conditionalFormatting sqref="O51:Q56">
    <cfRule type="cellIs" dxfId="1" priority="331" operator="lessThan">
      <formula>0</formula>
    </cfRule>
    <cfRule type="cellIs" dxfId="1" priority="332" operator="lessThan">
      <formula>0</formula>
    </cfRule>
  </conditionalFormatting>
  <conditionalFormatting sqref="O63:Q63">
    <cfRule type="cellIs" dxfId="1" priority="333" operator="lessThan">
      <formula>0</formula>
    </cfRule>
    <cfRule type="cellIs" dxfId="1" priority="334" operator="lessThan">
      <formula>0</formula>
    </cfRule>
  </conditionalFormatting>
  <conditionalFormatting sqref="O57:Q61">
    <cfRule type="cellIs" dxfId="1" priority="335" operator="lessThan">
      <formula>0</formula>
    </cfRule>
    <cfRule type="cellIs" dxfId="1" priority="336" operator="lessThan">
      <formula>0</formula>
    </cfRule>
  </conditionalFormatting>
  <conditionalFormatting sqref="O62:Q62">
    <cfRule type="cellIs" dxfId="1" priority="337" operator="lessThan">
      <formula>0</formula>
    </cfRule>
    <cfRule type="cellIs" dxfId="1" priority="338" operator="lessThan">
      <formula>0</formula>
    </cfRule>
  </conditionalFormatting>
  <conditionalFormatting sqref="O66:Q71">
    <cfRule type="cellIs" dxfId="1" priority="339" operator="lessThan">
      <formula>0</formula>
    </cfRule>
    <cfRule type="cellIs" dxfId="1" priority="340" operator="lessThan">
      <formula>0</formula>
    </cfRule>
  </conditionalFormatting>
  <conditionalFormatting sqref="O78:Q78">
    <cfRule type="cellIs" dxfId="1" priority="341" operator="lessThan">
      <formula>0</formula>
    </cfRule>
    <cfRule type="cellIs" dxfId="1" priority="342" operator="lessThan">
      <formula>0</formula>
    </cfRule>
  </conditionalFormatting>
  <conditionalFormatting sqref="O72:Q76">
    <cfRule type="cellIs" dxfId="1" priority="343" operator="lessThan">
      <formula>0</formula>
    </cfRule>
    <cfRule type="cellIs" dxfId="1" priority="344" operator="lessThan">
      <formula>0</formula>
    </cfRule>
  </conditionalFormatting>
  <conditionalFormatting sqref="O77:Q77">
    <cfRule type="cellIs" dxfId="1" priority="345" operator="lessThan">
      <formula>0</formula>
    </cfRule>
    <cfRule type="cellIs" dxfId="1" priority="346" operator="lessThan">
      <formula>0</formula>
    </cfRule>
  </conditionalFormatting>
  <conditionalFormatting sqref="O64:Q64">
    <cfRule type="cellIs" dxfId="1" priority="347" operator="lessThan">
      <formula>0</formula>
    </cfRule>
    <cfRule type="cellIs" dxfId="1" priority="348" operator="lessThan">
      <formula>0</formula>
    </cfRule>
  </conditionalFormatting>
  <conditionalFormatting sqref="O65:Q65">
    <cfRule type="cellIs" dxfId="1" priority="349" operator="lessThan">
      <formula>0</formula>
    </cfRule>
    <cfRule type="cellIs" dxfId="1" priority="350" operator="lessThan">
      <formula>0</formula>
    </cfRule>
  </conditionalFormatting>
  <conditionalFormatting sqref="O79:Q84">
    <cfRule type="cellIs" dxfId="1" priority="351" operator="lessThan">
      <formula>0</formula>
    </cfRule>
    <cfRule type="cellIs" dxfId="1" priority="352" operator="lessThan">
      <formula>0</formula>
    </cfRule>
  </conditionalFormatting>
  <conditionalFormatting sqref="O91:Q91">
    <cfRule type="cellIs" dxfId="1" priority="353" operator="lessThan">
      <formula>0</formula>
    </cfRule>
    <cfRule type="cellIs" dxfId="1" priority="354" operator="lessThan">
      <formula>0</formula>
    </cfRule>
  </conditionalFormatting>
  <conditionalFormatting sqref="O85:Q89">
    <cfRule type="cellIs" dxfId="1" priority="355" operator="lessThan">
      <formula>0</formula>
    </cfRule>
    <cfRule type="cellIs" dxfId="1" priority="356" operator="lessThan">
      <formula>0</formula>
    </cfRule>
  </conditionalFormatting>
  <conditionalFormatting sqref="O90:Q90">
    <cfRule type="cellIs" dxfId="1" priority="357" operator="lessThan">
      <formula>0</formula>
    </cfRule>
    <cfRule type="cellIs" dxfId="1" priority="358" operator="lessThan">
      <formula>0</formula>
    </cfRule>
  </conditionalFormatting>
  <conditionalFormatting sqref="P22">
    <cfRule type="cellIs" dxfId="1" priority="359" operator="lessThan">
      <formula>0</formula>
    </cfRule>
    <cfRule type="cellIs" dxfId="1" priority="360" operator="lessThan">
      <formula>0</formula>
    </cfRule>
    <cfRule type="cellIs" dxfId="1" priority="361" operator="lessThan">
      <formula>0</formula>
    </cfRule>
  </conditionalFormatting>
  <conditionalFormatting sqref="P38:P43">
    <cfRule type="cellIs" dxfId="1" priority="362" operator="lessThan">
      <formula>0</formula>
    </cfRule>
    <cfRule type="cellIs" dxfId="1" priority="363" operator="lessThan">
      <formula>0</formula>
    </cfRule>
    <cfRule type="cellIs" dxfId="1" priority="364" operator="lessThan">
      <formula>0</formula>
    </cfRule>
  </conditionalFormatting>
  <conditionalFormatting sqref="P10:P12">
    <cfRule type="cellIs" dxfId="1" priority="365" operator="lessThan">
      <formula>0</formula>
    </cfRule>
    <cfRule type="cellIs" dxfId="1" priority="366" operator="lessThan">
      <formula>0</formula>
    </cfRule>
    <cfRule type="cellIs" dxfId="1" priority="367" operator="lessThan">
      <formula>0</formula>
    </cfRule>
  </conditionalFormatting>
  <conditionalFormatting sqref="P15:P20">
    <cfRule type="cellIs" dxfId="1" priority="368" operator="lessThan">
      <formula>0</formula>
    </cfRule>
    <cfRule type="cellIs" dxfId="1" priority="369" operator="lessThan">
      <formula>0</formula>
    </cfRule>
    <cfRule type="cellIs" dxfId="1" priority="370" operator="lessThan">
      <formula>0</formula>
    </cfRule>
  </conditionalFormatting>
  <conditionalFormatting sqref="P21">
    <cfRule type="cellIs" dxfId="1" priority="371" operator="lessThan">
      <formula>0</formula>
    </cfRule>
    <cfRule type="cellIs" dxfId="1" priority="372" operator="lessThan">
      <formula>0</formula>
    </cfRule>
    <cfRule type="cellIs" dxfId="1" priority="373" operator="lessThan">
      <formula>0</formula>
    </cfRule>
  </conditionalFormatting>
  <conditionalFormatting sqref="P44:P46">
    <cfRule type="cellIs" dxfId="1" priority="374" operator="lessThan">
      <formula>0</formula>
    </cfRule>
    <cfRule type="cellIs" dxfId="1" priority="375" operator="lessThan">
      <formula>0</formula>
    </cfRule>
    <cfRule type="cellIs" dxfId="1" priority="376" operator="lessThan">
      <formula>0</formula>
    </cfRule>
  </conditionalFormatting>
  <conditionalFormatting sqref="P30:P35">
    <cfRule type="cellIs" dxfId="1" priority="377" operator="lessThan">
      <formula>0</formula>
    </cfRule>
    <cfRule type="cellIs" dxfId="1" priority="378" operator="lessThan">
      <formula>0</formula>
    </cfRule>
    <cfRule type="cellIs" dxfId="1" priority="379" operator="lessThan">
      <formula>0</formula>
    </cfRule>
  </conditionalFormatting>
  <conditionalFormatting sqref="P36">
    <cfRule type="cellIs" dxfId="1" priority="380" operator="lessThan">
      <formula>0</formula>
    </cfRule>
    <cfRule type="cellIs" dxfId="1" priority="381" operator="lessThan">
      <formula>0</formula>
    </cfRule>
    <cfRule type="cellIs" dxfId="1" priority="382" operator="lessThan">
      <formula>0</formula>
    </cfRule>
  </conditionalFormatting>
  <conditionalFormatting sqref="P37">
    <cfRule type="cellIs" dxfId="1" priority="383" operator="lessThan">
      <formula>0</formula>
    </cfRule>
    <cfRule type="cellIs" dxfId="1" priority="384" operator="lessThan">
      <formula>0</formula>
    </cfRule>
    <cfRule type="cellIs" dxfId="1" priority="385" operator="lessThan">
      <formula>0</formula>
    </cfRule>
  </conditionalFormatting>
  <conditionalFormatting sqref="P23:P29">
    <cfRule type="cellIs" dxfId="1" priority="386" operator="lessThan">
      <formula>0</formula>
    </cfRule>
    <cfRule type="cellIs" dxfId="1" priority="387" operator="lessThan">
      <formula>0</formula>
    </cfRule>
    <cfRule type="cellIs" dxfId="1" priority="388" operator="lessThan">
      <formula>0</formula>
    </cfRule>
  </conditionalFormatting>
  <conditionalFormatting sqref="Q24">
    <cfRule type="cellIs" dxfId="1" priority="389" operator="lessThan">
      <formula>0</formula>
    </cfRule>
    <cfRule type="cellIs" dxfId="1" priority="390" operator="lessThan">
      <formula>0</formula>
    </cfRule>
    <cfRule type="cellIs" dxfId="1" priority="391" operator="lessThan">
      <formula>0</formula>
    </cfRule>
  </conditionalFormatting>
  <conditionalFormatting sqref="P63">
    <cfRule type="cellIs" dxfId="1" priority="392" operator="lessThan">
      <formula>0</formula>
    </cfRule>
    <cfRule type="cellIs" dxfId="1" priority="393" operator="lessThan">
      <formula>0</formula>
    </cfRule>
    <cfRule type="cellIs" dxfId="1" priority="394" operator="lessThan">
      <formula>0</formula>
    </cfRule>
  </conditionalFormatting>
  <conditionalFormatting sqref="P51:P56">
    <cfRule type="cellIs" dxfId="1" priority="395" operator="lessThan">
      <formula>0</formula>
    </cfRule>
    <cfRule type="cellIs" dxfId="1" priority="396" operator="lessThan">
      <formula>0</formula>
    </cfRule>
    <cfRule type="cellIs" dxfId="1" priority="397" operator="lessThan">
      <formula>0</formula>
    </cfRule>
  </conditionalFormatting>
  <conditionalFormatting sqref="P57:P61">
    <cfRule type="cellIs" dxfId="1" priority="398" operator="lessThan">
      <formula>0</formula>
    </cfRule>
    <cfRule type="cellIs" dxfId="1" priority="399" operator="lessThan">
      <formula>0</formula>
    </cfRule>
    <cfRule type="cellIs" dxfId="1" priority="400" operator="lessThan">
      <formula>0</formula>
    </cfRule>
  </conditionalFormatting>
  <conditionalFormatting sqref="P62">
    <cfRule type="cellIs" dxfId="1" priority="401" operator="lessThan">
      <formula>0</formula>
    </cfRule>
    <cfRule type="cellIs" dxfId="1" priority="402" operator="lessThan">
      <formula>0</formula>
    </cfRule>
    <cfRule type="cellIs" dxfId="1" priority="403" operator="lessThan">
      <formula>0</formula>
    </cfRule>
  </conditionalFormatting>
  <conditionalFormatting sqref="P78">
    <cfRule type="cellIs" dxfId="1" priority="404" operator="lessThan">
      <formula>0</formula>
    </cfRule>
    <cfRule type="cellIs" dxfId="1" priority="405" operator="lessThan">
      <formula>0</formula>
    </cfRule>
    <cfRule type="cellIs" dxfId="1" priority="406" operator="lessThan">
      <formula>0</formula>
    </cfRule>
  </conditionalFormatting>
  <conditionalFormatting sqref="P66:P71">
    <cfRule type="cellIs" dxfId="1" priority="407" operator="lessThan">
      <formula>0</formula>
    </cfRule>
    <cfRule type="cellIs" dxfId="1" priority="408" operator="lessThan">
      <formula>0</formula>
    </cfRule>
    <cfRule type="cellIs" dxfId="1" priority="409" operator="lessThan">
      <formula>0</formula>
    </cfRule>
  </conditionalFormatting>
  <conditionalFormatting sqref="P72:P76">
    <cfRule type="cellIs" dxfId="1" priority="410" operator="lessThan">
      <formula>0</formula>
    </cfRule>
    <cfRule type="cellIs" dxfId="1" priority="411" operator="lessThan">
      <formula>0</formula>
    </cfRule>
    <cfRule type="cellIs" dxfId="1" priority="412" operator="lessThan">
      <formula>0</formula>
    </cfRule>
  </conditionalFormatting>
  <conditionalFormatting sqref="P77">
    <cfRule type="cellIs" dxfId="1" priority="413" operator="lessThan">
      <formula>0</formula>
    </cfRule>
    <cfRule type="cellIs" dxfId="1" priority="414" operator="lessThan">
      <formula>0</formula>
    </cfRule>
    <cfRule type="cellIs" dxfId="1" priority="415" operator="lessThan">
      <formula>0</formula>
    </cfRule>
  </conditionalFormatting>
  <conditionalFormatting sqref="P64">
    <cfRule type="cellIs" dxfId="1" priority="416" operator="lessThan">
      <formula>0</formula>
    </cfRule>
    <cfRule type="cellIs" dxfId="1" priority="417" operator="lessThan">
      <formula>0</formula>
    </cfRule>
    <cfRule type="cellIs" dxfId="1" priority="418" operator="lessThan">
      <formula>0</formula>
    </cfRule>
  </conditionalFormatting>
  <conditionalFormatting sqref="P65">
    <cfRule type="cellIs" dxfId="1" priority="419" operator="lessThan">
      <formula>0</formula>
    </cfRule>
    <cfRule type="cellIs" dxfId="1" priority="420" operator="lessThan">
      <formula>0</formula>
    </cfRule>
    <cfRule type="cellIs" dxfId="1" priority="421" operator="lessThan">
      <formula>0</formula>
    </cfRule>
  </conditionalFormatting>
  <conditionalFormatting sqref="P91">
    <cfRule type="cellIs" dxfId="1" priority="422" operator="lessThan">
      <formula>0</formula>
    </cfRule>
    <cfRule type="cellIs" dxfId="1" priority="423" operator="lessThan">
      <formula>0</formula>
    </cfRule>
    <cfRule type="cellIs" dxfId="1" priority="424" operator="lessThan">
      <formula>0</formula>
    </cfRule>
  </conditionalFormatting>
  <conditionalFormatting sqref="P79:P84">
    <cfRule type="cellIs" dxfId="1" priority="425" operator="lessThan">
      <formula>0</formula>
    </cfRule>
    <cfRule type="cellIs" dxfId="1" priority="426" operator="lessThan">
      <formula>0</formula>
    </cfRule>
    <cfRule type="cellIs" dxfId="1" priority="427" operator="lessThan">
      <formula>0</formula>
    </cfRule>
  </conditionalFormatting>
  <conditionalFormatting sqref="P85:P89">
    <cfRule type="cellIs" dxfId="1" priority="428" operator="lessThan">
      <formula>0</formula>
    </cfRule>
    <cfRule type="cellIs" dxfId="1" priority="429" operator="lessThan">
      <formula>0</formula>
    </cfRule>
    <cfRule type="cellIs" dxfId="1" priority="430" operator="lessThan">
      <formula>0</formula>
    </cfRule>
  </conditionalFormatting>
  <conditionalFormatting sqref="P90">
    <cfRule type="cellIs" dxfId="1" priority="431" operator="lessThan">
      <formula>0</formula>
    </cfRule>
    <cfRule type="cellIs" dxfId="1" priority="432" operator="lessThan">
      <formula>0</formula>
    </cfRule>
    <cfRule type="cellIs" dxfId="1" priority="433" operator="lessThan">
      <formula>0</formula>
    </cfRule>
  </conditionalFormatting>
  <conditionalFormatting sqref="O22">
    <cfRule type="cellIs" dxfId="1" priority="434" operator="lessThan">
      <formula>0</formula>
    </cfRule>
    <cfRule type="cellIs" dxfId="1" priority="435" operator="lessThan">
      <formula>0</formula>
    </cfRule>
    <cfRule type="cellIs" dxfId="1" priority="436" operator="lessThan">
      <formula>0</formula>
    </cfRule>
  </conditionalFormatting>
  <conditionalFormatting sqref="O38:O43">
    <cfRule type="cellIs" dxfId="1" priority="437" operator="lessThan">
      <formula>0</formula>
    </cfRule>
    <cfRule type="cellIs" dxfId="1" priority="438" operator="lessThan">
      <formula>0</formula>
    </cfRule>
    <cfRule type="cellIs" dxfId="1" priority="439" operator="lessThan">
      <formula>0</formula>
    </cfRule>
  </conditionalFormatting>
  <conditionalFormatting sqref="O10:O12">
    <cfRule type="cellIs" dxfId="1" priority="440" operator="lessThan">
      <formula>0</formula>
    </cfRule>
    <cfRule type="cellIs" dxfId="1" priority="441" operator="lessThan">
      <formula>0</formula>
    </cfRule>
    <cfRule type="cellIs" dxfId="1" priority="442" operator="lessThan">
      <formula>0</formula>
    </cfRule>
  </conditionalFormatting>
  <conditionalFormatting sqref="O15:O20">
    <cfRule type="cellIs" dxfId="1" priority="443" operator="lessThan">
      <formula>0</formula>
    </cfRule>
    <cfRule type="cellIs" dxfId="1" priority="444" operator="lessThan">
      <formula>0</formula>
    </cfRule>
    <cfRule type="cellIs" dxfId="1" priority="445" operator="lessThan">
      <formula>0</formula>
    </cfRule>
  </conditionalFormatting>
  <conditionalFormatting sqref="O21">
    <cfRule type="cellIs" dxfId="1" priority="446" operator="lessThan">
      <formula>0</formula>
    </cfRule>
    <cfRule type="cellIs" dxfId="1" priority="447" operator="lessThan">
      <formula>0</formula>
    </cfRule>
    <cfRule type="cellIs" dxfId="1" priority="448" operator="lessThan">
      <formula>0</formula>
    </cfRule>
  </conditionalFormatting>
  <conditionalFormatting sqref="O44:O46">
    <cfRule type="cellIs" dxfId="1" priority="449" operator="lessThan">
      <formula>0</formula>
    </cfRule>
    <cfRule type="cellIs" dxfId="1" priority="450" operator="lessThan">
      <formula>0</formula>
    </cfRule>
    <cfRule type="cellIs" dxfId="1" priority="451" operator="lessThan">
      <formula>0</formula>
    </cfRule>
  </conditionalFormatting>
  <conditionalFormatting sqref="O30:O35">
    <cfRule type="cellIs" dxfId="1" priority="452" operator="lessThan">
      <formula>0</formula>
    </cfRule>
    <cfRule type="cellIs" dxfId="1" priority="453" operator="lessThan">
      <formula>0</formula>
    </cfRule>
    <cfRule type="cellIs" dxfId="1" priority="454" operator="lessThan">
      <formula>0</formula>
    </cfRule>
  </conditionalFormatting>
  <conditionalFormatting sqref="O36">
    <cfRule type="cellIs" dxfId="1" priority="455" operator="lessThan">
      <formula>0</formula>
    </cfRule>
    <cfRule type="cellIs" dxfId="1" priority="456" operator="lessThan">
      <formula>0</formula>
    </cfRule>
    <cfRule type="cellIs" dxfId="1" priority="457" operator="lessThan">
      <formula>0</formula>
    </cfRule>
  </conditionalFormatting>
  <conditionalFormatting sqref="O37">
    <cfRule type="cellIs" dxfId="1" priority="458" operator="lessThan">
      <formula>0</formula>
    </cfRule>
    <cfRule type="cellIs" dxfId="1" priority="459" operator="lessThan">
      <formula>0</formula>
    </cfRule>
    <cfRule type="cellIs" dxfId="1" priority="460" operator="lessThan">
      <formula>0</formula>
    </cfRule>
  </conditionalFormatting>
  <conditionalFormatting sqref="O23:O29">
    <cfRule type="cellIs" dxfId="1" priority="461" operator="lessThan">
      <formula>0</formula>
    </cfRule>
    <cfRule type="cellIs" dxfId="1" priority="462" operator="lessThan">
      <formula>0</formula>
    </cfRule>
    <cfRule type="cellIs" dxfId="1" priority="463" operator="lessThan">
      <formula>0</formula>
    </cfRule>
  </conditionalFormatting>
  <conditionalFormatting sqref="O63">
    <cfRule type="cellIs" dxfId="1" priority="464" operator="lessThan">
      <formula>0</formula>
    </cfRule>
    <cfRule type="cellIs" dxfId="1" priority="465" operator="lessThan">
      <formula>0</formula>
    </cfRule>
    <cfRule type="cellIs" dxfId="1" priority="466" operator="lessThan">
      <formula>0</formula>
    </cfRule>
  </conditionalFormatting>
  <conditionalFormatting sqref="O51:O56">
    <cfRule type="cellIs" dxfId="1" priority="467" operator="lessThan">
      <formula>0</formula>
    </cfRule>
    <cfRule type="cellIs" dxfId="1" priority="468" operator="lessThan">
      <formula>0</formula>
    </cfRule>
    <cfRule type="cellIs" dxfId="1" priority="469" operator="lessThan">
      <formula>0</formula>
    </cfRule>
  </conditionalFormatting>
  <conditionalFormatting sqref="O57:O61">
    <cfRule type="cellIs" dxfId="1" priority="470" operator="lessThan">
      <formula>0</formula>
    </cfRule>
    <cfRule type="cellIs" dxfId="1" priority="471" operator="lessThan">
      <formula>0</formula>
    </cfRule>
    <cfRule type="cellIs" dxfId="1" priority="472" operator="lessThan">
      <formula>0</formula>
    </cfRule>
  </conditionalFormatting>
  <conditionalFormatting sqref="O62">
    <cfRule type="cellIs" dxfId="1" priority="473" operator="lessThan">
      <formula>0</formula>
    </cfRule>
    <cfRule type="cellIs" dxfId="1" priority="474" operator="lessThan">
      <formula>0</formula>
    </cfRule>
    <cfRule type="cellIs" dxfId="1" priority="475" operator="lessThan">
      <formula>0</formula>
    </cfRule>
  </conditionalFormatting>
  <conditionalFormatting sqref="O78">
    <cfRule type="cellIs" dxfId="1" priority="476" operator="lessThan">
      <formula>0</formula>
    </cfRule>
    <cfRule type="cellIs" dxfId="1" priority="477" operator="lessThan">
      <formula>0</formula>
    </cfRule>
    <cfRule type="cellIs" dxfId="1" priority="478" operator="lessThan">
      <formula>0</formula>
    </cfRule>
  </conditionalFormatting>
  <conditionalFormatting sqref="O66:O71">
    <cfRule type="cellIs" dxfId="1" priority="479" operator="lessThan">
      <formula>0</formula>
    </cfRule>
    <cfRule type="cellIs" dxfId="1" priority="480" operator="lessThan">
      <formula>0</formula>
    </cfRule>
    <cfRule type="cellIs" dxfId="1" priority="481" operator="lessThan">
      <formula>0</formula>
    </cfRule>
  </conditionalFormatting>
  <conditionalFormatting sqref="O72:O76">
    <cfRule type="cellIs" dxfId="1" priority="482" operator="lessThan">
      <formula>0</formula>
    </cfRule>
    <cfRule type="cellIs" dxfId="1" priority="483" operator="lessThan">
      <formula>0</formula>
    </cfRule>
    <cfRule type="cellIs" dxfId="1" priority="484" operator="lessThan">
      <formula>0</formula>
    </cfRule>
  </conditionalFormatting>
  <conditionalFormatting sqref="O77">
    <cfRule type="cellIs" dxfId="1" priority="485" operator="lessThan">
      <formula>0</formula>
    </cfRule>
    <cfRule type="cellIs" dxfId="1" priority="486" operator="lessThan">
      <formula>0</formula>
    </cfRule>
    <cfRule type="cellIs" dxfId="1" priority="487" operator="lessThan">
      <formula>0</formula>
    </cfRule>
  </conditionalFormatting>
  <conditionalFormatting sqref="O64">
    <cfRule type="cellIs" dxfId="1" priority="488" operator="lessThan">
      <formula>0</formula>
    </cfRule>
    <cfRule type="cellIs" dxfId="1" priority="489" operator="lessThan">
      <formula>0</formula>
    </cfRule>
    <cfRule type="cellIs" dxfId="1" priority="490" operator="lessThan">
      <formula>0</formula>
    </cfRule>
  </conditionalFormatting>
  <conditionalFormatting sqref="O65">
    <cfRule type="cellIs" dxfId="1" priority="491" operator="lessThan">
      <formula>0</formula>
    </cfRule>
    <cfRule type="cellIs" dxfId="1" priority="492" operator="lessThan">
      <formula>0</formula>
    </cfRule>
    <cfRule type="cellIs" dxfId="1" priority="493" operator="lessThan">
      <formula>0</formula>
    </cfRule>
  </conditionalFormatting>
  <conditionalFormatting sqref="O91">
    <cfRule type="cellIs" dxfId="1" priority="494" operator="lessThan">
      <formula>0</formula>
    </cfRule>
    <cfRule type="cellIs" dxfId="1" priority="495" operator="lessThan">
      <formula>0</formula>
    </cfRule>
    <cfRule type="cellIs" dxfId="1" priority="496" operator="lessThan">
      <formula>0</formula>
    </cfRule>
  </conditionalFormatting>
  <conditionalFormatting sqref="O79:O84">
    <cfRule type="cellIs" dxfId="1" priority="497" operator="lessThan">
      <formula>0</formula>
    </cfRule>
    <cfRule type="cellIs" dxfId="1" priority="498" operator="lessThan">
      <formula>0</formula>
    </cfRule>
    <cfRule type="cellIs" dxfId="1" priority="499" operator="lessThan">
      <formula>0</formula>
    </cfRule>
  </conditionalFormatting>
  <conditionalFormatting sqref="O85:O89">
    <cfRule type="cellIs" dxfId="1" priority="500" operator="lessThan">
      <formula>0</formula>
    </cfRule>
    <cfRule type="cellIs" dxfId="1" priority="501" operator="lessThan">
      <formula>0</formula>
    </cfRule>
    <cfRule type="cellIs" dxfId="1" priority="502" operator="lessThan">
      <formula>0</formula>
    </cfRule>
  </conditionalFormatting>
  <conditionalFormatting sqref="O90">
    <cfRule type="cellIs" dxfId="1" priority="503" operator="lessThan">
      <formula>0</formula>
    </cfRule>
    <cfRule type="cellIs" dxfId="1" priority="504" operator="lessThan">
      <formula>0</formula>
    </cfRule>
    <cfRule type="cellIs" dxfId="1" priority="505" operator="lessThan">
      <formula>0</formula>
    </cfRule>
  </conditionalFormatting>
  <conditionalFormatting sqref="M22:O22">
    <cfRule type="cellIs" dxfId="1" priority="506" operator="lessThan">
      <formula>0</formula>
    </cfRule>
    <cfRule type="cellIs" dxfId="1" priority="507" operator="lessThan">
      <formula>0</formula>
    </cfRule>
  </conditionalFormatting>
  <conditionalFormatting sqref="M38:O43">
    <cfRule type="cellIs" dxfId="1" priority="508" operator="lessThan">
      <formula>0</formula>
    </cfRule>
    <cfRule type="cellIs" dxfId="1" priority="509" operator="lessThan">
      <formula>0</formula>
    </cfRule>
  </conditionalFormatting>
  <conditionalFormatting sqref="M10:O12">
    <cfRule type="cellIs" dxfId="1" priority="510" operator="lessThan">
      <formula>0</formula>
    </cfRule>
    <cfRule type="cellIs" dxfId="1" priority="511" operator="lessThan">
      <formula>0</formula>
    </cfRule>
  </conditionalFormatting>
  <conditionalFormatting sqref="M15:O20">
    <cfRule type="cellIs" dxfId="1" priority="512" operator="lessThan">
      <formula>0</formula>
    </cfRule>
    <cfRule type="cellIs" dxfId="1" priority="513" operator="lessThan">
      <formula>0</formula>
    </cfRule>
  </conditionalFormatting>
  <conditionalFormatting sqref="M21:O21">
    <cfRule type="cellIs" dxfId="1" priority="514" operator="lessThan">
      <formula>0</formula>
    </cfRule>
    <cfRule type="cellIs" dxfId="1" priority="515" operator="lessThan">
      <formula>0</formula>
    </cfRule>
  </conditionalFormatting>
  <conditionalFormatting sqref="M44:O46">
    <cfRule type="cellIs" dxfId="1" priority="516" operator="lessThan">
      <formula>0</formula>
    </cfRule>
    <cfRule type="cellIs" dxfId="1" priority="517" operator="lessThan">
      <formula>0</formula>
    </cfRule>
  </conditionalFormatting>
  <conditionalFormatting sqref="M30:O35">
    <cfRule type="cellIs" dxfId="1" priority="518" operator="lessThan">
      <formula>0</formula>
    </cfRule>
    <cfRule type="cellIs" dxfId="1" priority="519" operator="lessThan">
      <formula>0</formula>
    </cfRule>
  </conditionalFormatting>
  <conditionalFormatting sqref="M36:O36">
    <cfRule type="cellIs" dxfId="1" priority="520" operator="lessThan">
      <formula>0</formula>
    </cfRule>
    <cfRule type="cellIs" dxfId="1" priority="521" operator="lessThan">
      <formula>0</formula>
    </cfRule>
  </conditionalFormatting>
  <conditionalFormatting sqref="M37:O37">
    <cfRule type="cellIs" dxfId="1" priority="522" operator="lessThan">
      <formula>0</formula>
    </cfRule>
    <cfRule type="cellIs" dxfId="1" priority="523" operator="lessThan">
      <formula>0</formula>
    </cfRule>
  </conditionalFormatting>
  <conditionalFormatting sqref="M23:O29">
    <cfRule type="cellIs" dxfId="1" priority="524" operator="lessThan">
      <formula>0</formula>
    </cfRule>
    <cfRule type="cellIs" dxfId="1" priority="525" operator="lessThan">
      <formula>0</formula>
    </cfRule>
  </conditionalFormatting>
  <conditionalFormatting sqref="M63:O63">
    <cfRule type="cellIs" dxfId="1" priority="526" operator="lessThan">
      <formula>0</formula>
    </cfRule>
    <cfRule type="cellIs" dxfId="1" priority="527" operator="lessThan">
      <formula>0</formula>
    </cfRule>
  </conditionalFormatting>
  <conditionalFormatting sqref="M51:O56">
    <cfRule type="cellIs" dxfId="1" priority="528" operator="lessThan">
      <formula>0</formula>
    </cfRule>
    <cfRule type="cellIs" dxfId="1" priority="529" operator="lessThan">
      <formula>0</formula>
    </cfRule>
  </conditionalFormatting>
  <conditionalFormatting sqref="M57:O61">
    <cfRule type="cellIs" dxfId="1" priority="530" operator="lessThan">
      <formula>0</formula>
    </cfRule>
    <cfRule type="cellIs" dxfId="1" priority="531" operator="lessThan">
      <formula>0</formula>
    </cfRule>
  </conditionalFormatting>
  <conditionalFormatting sqref="M62:O62">
    <cfRule type="cellIs" dxfId="1" priority="532" operator="lessThan">
      <formula>0</formula>
    </cfRule>
    <cfRule type="cellIs" dxfId="1" priority="533" operator="lessThan">
      <formula>0</formula>
    </cfRule>
  </conditionalFormatting>
  <conditionalFormatting sqref="M78:O78">
    <cfRule type="cellIs" dxfId="1" priority="534" operator="lessThan">
      <formula>0</formula>
    </cfRule>
    <cfRule type="cellIs" dxfId="1" priority="535" operator="lessThan">
      <formula>0</formula>
    </cfRule>
  </conditionalFormatting>
  <conditionalFormatting sqref="M66:O71">
    <cfRule type="cellIs" dxfId="1" priority="536" operator="lessThan">
      <formula>0</formula>
    </cfRule>
    <cfRule type="cellIs" dxfId="1" priority="537" operator="lessThan">
      <formula>0</formula>
    </cfRule>
  </conditionalFormatting>
  <conditionalFormatting sqref="M72:O76">
    <cfRule type="cellIs" dxfId="1" priority="538" operator="lessThan">
      <formula>0</formula>
    </cfRule>
    <cfRule type="cellIs" dxfId="1" priority="539" operator="lessThan">
      <formula>0</formula>
    </cfRule>
  </conditionalFormatting>
  <conditionalFormatting sqref="M77:O77">
    <cfRule type="cellIs" dxfId="1" priority="540" operator="lessThan">
      <formula>0</formula>
    </cfRule>
    <cfRule type="cellIs" dxfId="1" priority="541" operator="lessThan">
      <formula>0</formula>
    </cfRule>
  </conditionalFormatting>
  <conditionalFormatting sqref="M64:O64">
    <cfRule type="cellIs" dxfId="1" priority="542" operator="lessThan">
      <formula>0</formula>
    </cfRule>
    <cfRule type="cellIs" dxfId="1" priority="543" operator="lessThan">
      <formula>0</formula>
    </cfRule>
  </conditionalFormatting>
  <conditionalFormatting sqref="M65:O65">
    <cfRule type="cellIs" dxfId="1" priority="544" operator="lessThan">
      <formula>0</formula>
    </cfRule>
    <cfRule type="cellIs" dxfId="1" priority="545" operator="lessThan">
      <formula>0</formula>
    </cfRule>
  </conditionalFormatting>
  <conditionalFormatting sqref="M91:O91">
    <cfRule type="cellIs" dxfId="1" priority="546" operator="lessThan">
      <formula>0</formula>
    </cfRule>
    <cfRule type="cellIs" dxfId="1" priority="547" operator="lessThan">
      <formula>0</formula>
    </cfRule>
  </conditionalFormatting>
  <conditionalFormatting sqref="M79:O84">
    <cfRule type="cellIs" dxfId="1" priority="548" operator="lessThan">
      <formula>0</formula>
    </cfRule>
    <cfRule type="cellIs" dxfId="1" priority="549" operator="lessThan">
      <formula>0</formula>
    </cfRule>
  </conditionalFormatting>
  <conditionalFormatting sqref="M85:O89">
    <cfRule type="cellIs" dxfId="1" priority="550" operator="lessThan">
      <formula>0</formula>
    </cfRule>
    <cfRule type="cellIs" dxfId="1" priority="551" operator="lessThan">
      <formula>0</formula>
    </cfRule>
  </conditionalFormatting>
  <conditionalFormatting sqref="M90:O90">
    <cfRule type="cellIs" dxfId="1" priority="552" operator="lessThan">
      <formula>0</formula>
    </cfRule>
    <cfRule type="cellIs" dxfId="1" priority="553" operator="lessThan">
      <formula>0</formula>
    </cfRule>
  </conditionalFormatting>
  <conditionalFormatting sqref="Z10:Z12">
    <cfRule type="cellIs" dxfId="1" priority="554" operator="lessThan">
      <formula>0</formula>
    </cfRule>
    <cfRule type="cellIs" dxfId="1" priority="555" operator="lessThan">
      <formula>0</formula>
    </cfRule>
  </conditionalFormatting>
  <conditionalFormatting sqref="Z38:Z43">
    <cfRule type="cellIs" dxfId="1" priority="556" operator="lessThan">
      <formula>0</formula>
    </cfRule>
    <cfRule type="cellIs" dxfId="1" priority="557" operator="lessThan">
      <formula>0</formula>
    </cfRule>
  </conditionalFormatting>
  <conditionalFormatting sqref="Z22">
    <cfRule type="cellIs" dxfId="1" priority="558" operator="lessThan">
      <formula>0</formula>
    </cfRule>
    <cfRule type="cellIs" dxfId="1" priority="559" operator="lessThan">
      <formula>0</formula>
    </cfRule>
  </conditionalFormatting>
  <conditionalFormatting sqref="Z15:Z20">
    <cfRule type="cellIs" dxfId="1" priority="560" operator="lessThan">
      <formula>0</formula>
    </cfRule>
    <cfRule type="cellIs" dxfId="1" priority="561" operator="lessThan">
      <formula>0</formula>
    </cfRule>
  </conditionalFormatting>
  <conditionalFormatting sqref="Z21">
    <cfRule type="cellIs" dxfId="1" priority="562" operator="lessThan">
      <formula>0</formula>
    </cfRule>
    <cfRule type="cellIs" dxfId="1" priority="563" operator="lessThan">
      <formula>0</formula>
    </cfRule>
  </conditionalFormatting>
  <conditionalFormatting sqref="Z44:Z46">
    <cfRule type="cellIs" dxfId="1" priority="564" operator="lessThan">
      <formula>0</formula>
    </cfRule>
    <cfRule type="cellIs" dxfId="1" priority="565" operator="lessThan">
      <formula>0</formula>
    </cfRule>
  </conditionalFormatting>
  <conditionalFormatting sqref="Z30:Z35">
    <cfRule type="cellIs" dxfId="1" priority="566" operator="lessThan">
      <formula>0</formula>
    </cfRule>
    <cfRule type="cellIs" dxfId="1" priority="567" operator="lessThan">
      <formula>0</formula>
    </cfRule>
  </conditionalFormatting>
  <conditionalFormatting sqref="Z36">
    <cfRule type="cellIs" dxfId="1" priority="568" operator="lessThan">
      <formula>0</formula>
    </cfRule>
    <cfRule type="cellIs" dxfId="1" priority="569" operator="lessThan">
      <formula>0</formula>
    </cfRule>
  </conditionalFormatting>
  <conditionalFormatting sqref="Z23">
    <cfRule type="cellIs" dxfId="1" priority="570" operator="lessThan">
      <formula>0</formula>
    </cfRule>
    <cfRule type="cellIs" dxfId="1" priority="571" operator="lessThan">
      <formula>0</formula>
    </cfRule>
  </conditionalFormatting>
  <conditionalFormatting sqref="Z37">
    <cfRule type="cellIs" dxfId="1" priority="572" operator="lessThan">
      <formula>0</formula>
    </cfRule>
    <cfRule type="cellIs" dxfId="1" priority="573" operator="lessThan">
      <formula>0</formula>
    </cfRule>
  </conditionalFormatting>
  <conditionalFormatting sqref="Z25:Z29">
    <cfRule type="cellIs" dxfId="1" priority="574" operator="lessThan">
      <formula>0</formula>
    </cfRule>
    <cfRule type="cellIs" dxfId="1" priority="575" operator="lessThan">
      <formula>0</formula>
    </cfRule>
  </conditionalFormatting>
  <conditionalFormatting sqref="Z51:Z56">
    <cfRule type="cellIs" dxfId="1" priority="576" operator="lessThan">
      <formula>0</formula>
    </cfRule>
    <cfRule type="cellIs" dxfId="1" priority="577" operator="lessThan">
      <formula>0</formula>
    </cfRule>
  </conditionalFormatting>
  <conditionalFormatting sqref="Z63">
    <cfRule type="cellIs" dxfId="1" priority="578" operator="lessThan">
      <formula>0</formula>
    </cfRule>
    <cfRule type="cellIs" dxfId="1" priority="579" operator="lessThan">
      <formula>0</formula>
    </cfRule>
  </conditionalFormatting>
  <conditionalFormatting sqref="Z57:Z61">
    <cfRule type="cellIs" dxfId="1" priority="580" operator="lessThan">
      <formula>0</formula>
    </cfRule>
    <cfRule type="cellIs" dxfId="1" priority="581" operator="lessThan">
      <formula>0</formula>
    </cfRule>
  </conditionalFormatting>
  <conditionalFormatting sqref="Z62">
    <cfRule type="cellIs" dxfId="1" priority="582" operator="lessThan">
      <formula>0</formula>
    </cfRule>
    <cfRule type="cellIs" dxfId="1" priority="583" operator="lessThan">
      <formula>0</formula>
    </cfRule>
  </conditionalFormatting>
  <conditionalFormatting sqref="Z66:Z71">
    <cfRule type="cellIs" dxfId="1" priority="584" operator="lessThan">
      <formula>0</formula>
    </cfRule>
    <cfRule type="cellIs" dxfId="1" priority="585" operator="lessThan">
      <formula>0</formula>
    </cfRule>
  </conditionalFormatting>
  <conditionalFormatting sqref="Z78">
    <cfRule type="cellIs" dxfId="1" priority="586" operator="lessThan">
      <formula>0</formula>
    </cfRule>
    <cfRule type="cellIs" dxfId="1" priority="587" operator="lessThan">
      <formula>0</formula>
    </cfRule>
  </conditionalFormatting>
  <conditionalFormatting sqref="Z72:Z76">
    <cfRule type="cellIs" dxfId="1" priority="588" operator="lessThan">
      <formula>0</formula>
    </cfRule>
    <cfRule type="cellIs" dxfId="1" priority="589" operator="lessThan">
      <formula>0</formula>
    </cfRule>
  </conditionalFormatting>
  <conditionalFormatting sqref="Z77">
    <cfRule type="cellIs" dxfId="1" priority="590" operator="lessThan">
      <formula>0</formula>
    </cfRule>
    <cfRule type="cellIs" dxfId="1" priority="591" operator="lessThan">
      <formula>0</formula>
    </cfRule>
  </conditionalFormatting>
  <conditionalFormatting sqref="Z64">
    <cfRule type="cellIs" dxfId="1" priority="592" operator="lessThan">
      <formula>0</formula>
    </cfRule>
    <cfRule type="cellIs" dxfId="1" priority="593" operator="lessThan">
      <formula>0</formula>
    </cfRule>
  </conditionalFormatting>
  <conditionalFormatting sqref="Z65">
    <cfRule type="cellIs" dxfId="1" priority="594" operator="lessThan">
      <formula>0</formula>
    </cfRule>
    <cfRule type="cellIs" dxfId="1" priority="595" operator="lessThan">
      <formula>0</formula>
    </cfRule>
  </conditionalFormatting>
  <conditionalFormatting sqref="Z79:Z84">
    <cfRule type="cellIs" dxfId="1" priority="596" operator="lessThan">
      <formula>0</formula>
    </cfRule>
    <cfRule type="cellIs" dxfId="1" priority="597" operator="lessThan">
      <formula>0</formula>
    </cfRule>
  </conditionalFormatting>
  <conditionalFormatting sqref="Z91">
    <cfRule type="cellIs" dxfId="1" priority="598" operator="lessThan">
      <formula>0</formula>
    </cfRule>
    <cfRule type="cellIs" dxfId="1" priority="599" operator="lessThan">
      <formula>0</formula>
    </cfRule>
  </conditionalFormatting>
  <conditionalFormatting sqref="Z85:Z89">
    <cfRule type="cellIs" dxfId="1" priority="600" operator="lessThan">
      <formula>0</formula>
    </cfRule>
    <cfRule type="cellIs" dxfId="1" priority="601" operator="lessThan">
      <formula>0</formula>
    </cfRule>
  </conditionalFormatting>
  <conditionalFormatting sqref="Z90">
    <cfRule type="cellIs" dxfId="1" priority="602" operator="lessThan">
      <formula>0</formula>
    </cfRule>
    <cfRule type="cellIs" dxfId="1" priority="603" operator="lessThan">
      <formula>0</formula>
    </cfRule>
  </conditionalFormatting>
  <conditionalFormatting sqref="Y22">
    <cfRule type="cellIs" dxfId="1" priority="604" operator="lessThan">
      <formula>0</formula>
    </cfRule>
    <cfRule type="cellIs" dxfId="1" priority="605" operator="lessThan">
      <formula>0</formula>
    </cfRule>
    <cfRule type="cellIs" dxfId="1" priority="606" operator="lessThan">
      <formula>0</formula>
    </cfRule>
    <cfRule type="cellIs" dxfId="1" priority="607" operator="lessThan">
      <formula>0</formula>
    </cfRule>
    <cfRule type="cellIs" dxfId="1" priority="608" operator="lessThan">
      <formula>0</formula>
    </cfRule>
    <cfRule type="cellIs" dxfId="1" priority="609" operator="lessThan">
      <formula>0</formula>
    </cfRule>
  </conditionalFormatting>
  <conditionalFormatting sqref="Y38:Y43">
    <cfRule type="cellIs" dxfId="1" priority="610" operator="lessThan">
      <formula>0</formula>
    </cfRule>
    <cfRule type="cellIs" dxfId="1" priority="611" operator="lessThan">
      <formula>0</formula>
    </cfRule>
    <cfRule type="cellIs" dxfId="1" priority="612" operator="lessThan">
      <formula>0</formula>
    </cfRule>
    <cfRule type="cellIs" dxfId="1" priority="613" operator="lessThan">
      <formula>0</formula>
    </cfRule>
    <cfRule type="cellIs" dxfId="1" priority="614" operator="lessThan">
      <formula>0</formula>
    </cfRule>
    <cfRule type="cellIs" dxfId="1" priority="615" operator="lessThan">
      <formula>0</formula>
    </cfRule>
  </conditionalFormatting>
  <conditionalFormatting sqref="Y10:Y12">
    <cfRule type="cellIs" dxfId="1" priority="616" operator="lessThan">
      <formula>0</formula>
    </cfRule>
    <cfRule type="cellIs" dxfId="1" priority="617" operator="lessThan">
      <formula>0</formula>
    </cfRule>
    <cfRule type="cellIs" dxfId="1" priority="618" operator="lessThan">
      <formula>0</formula>
    </cfRule>
    <cfRule type="cellIs" dxfId="1" priority="619" operator="lessThan">
      <formula>0</formula>
    </cfRule>
    <cfRule type="cellIs" dxfId="1" priority="620" operator="lessThan">
      <formula>0</formula>
    </cfRule>
    <cfRule type="cellIs" dxfId="1" priority="621" operator="lessThan">
      <formula>0</formula>
    </cfRule>
  </conditionalFormatting>
  <conditionalFormatting sqref="Y15:Y20">
    <cfRule type="cellIs" dxfId="1" priority="622" operator="lessThan">
      <formula>0</formula>
    </cfRule>
    <cfRule type="cellIs" dxfId="1" priority="623" operator="lessThan">
      <formula>0</formula>
    </cfRule>
    <cfRule type="cellIs" dxfId="1" priority="624" operator="lessThan">
      <formula>0</formula>
    </cfRule>
    <cfRule type="cellIs" dxfId="1" priority="625" operator="lessThan">
      <formula>0</formula>
    </cfRule>
    <cfRule type="cellIs" dxfId="1" priority="626" operator="lessThan">
      <formula>0</formula>
    </cfRule>
    <cfRule type="cellIs" dxfId="1" priority="627" operator="lessThan">
      <formula>0</formula>
    </cfRule>
  </conditionalFormatting>
  <conditionalFormatting sqref="Y21">
    <cfRule type="cellIs" dxfId="1" priority="628" operator="lessThan">
      <formula>0</formula>
    </cfRule>
    <cfRule type="cellIs" dxfId="1" priority="629" operator="lessThan">
      <formula>0</formula>
    </cfRule>
    <cfRule type="cellIs" dxfId="1" priority="630" operator="lessThan">
      <formula>0</formula>
    </cfRule>
    <cfRule type="cellIs" dxfId="1" priority="631" operator="lessThan">
      <formula>0</formula>
    </cfRule>
    <cfRule type="cellIs" dxfId="1" priority="632" operator="lessThan">
      <formula>0</formula>
    </cfRule>
    <cfRule type="cellIs" dxfId="1" priority="633" operator="lessThan">
      <formula>0</formula>
    </cfRule>
  </conditionalFormatting>
  <conditionalFormatting sqref="Y44:Y46">
    <cfRule type="cellIs" dxfId="1" priority="634" operator="lessThan">
      <formula>0</formula>
    </cfRule>
    <cfRule type="cellIs" dxfId="1" priority="635" operator="lessThan">
      <formula>0</formula>
    </cfRule>
    <cfRule type="cellIs" dxfId="1" priority="636" operator="lessThan">
      <formula>0</formula>
    </cfRule>
    <cfRule type="cellIs" dxfId="1" priority="637" operator="lessThan">
      <formula>0</formula>
    </cfRule>
    <cfRule type="cellIs" dxfId="1" priority="638" operator="lessThan">
      <formula>0</formula>
    </cfRule>
    <cfRule type="cellIs" dxfId="1" priority="639" operator="lessThan">
      <formula>0</formula>
    </cfRule>
  </conditionalFormatting>
  <conditionalFormatting sqref="Y30:Y35">
    <cfRule type="cellIs" dxfId="1" priority="640" operator="lessThan">
      <formula>0</formula>
    </cfRule>
    <cfRule type="cellIs" dxfId="1" priority="641" operator="lessThan">
      <formula>0</formula>
    </cfRule>
    <cfRule type="cellIs" dxfId="1" priority="642" operator="lessThan">
      <formula>0</formula>
    </cfRule>
    <cfRule type="cellIs" dxfId="1" priority="643" operator="lessThan">
      <formula>0</formula>
    </cfRule>
    <cfRule type="cellIs" dxfId="1" priority="644" operator="lessThan">
      <formula>0</formula>
    </cfRule>
    <cfRule type="cellIs" dxfId="1" priority="645" operator="lessThan">
      <formula>0</formula>
    </cfRule>
  </conditionalFormatting>
  <conditionalFormatting sqref="Y36">
    <cfRule type="cellIs" dxfId="1" priority="646" operator="lessThan">
      <formula>0</formula>
    </cfRule>
    <cfRule type="cellIs" dxfId="1" priority="647" operator="lessThan">
      <formula>0</formula>
    </cfRule>
    <cfRule type="cellIs" dxfId="1" priority="648" operator="lessThan">
      <formula>0</formula>
    </cfRule>
    <cfRule type="cellIs" dxfId="1" priority="649" operator="lessThan">
      <formula>0</formula>
    </cfRule>
    <cfRule type="cellIs" dxfId="1" priority="650" operator="lessThan">
      <formula>0</formula>
    </cfRule>
    <cfRule type="cellIs" dxfId="1" priority="651" operator="lessThan">
      <formula>0</formula>
    </cfRule>
  </conditionalFormatting>
  <conditionalFormatting sqref="Y37">
    <cfRule type="cellIs" dxfId="1" priority="652" operator="lessThan">
      <formula>0</formula>
    </cfRule>
    <cfRule type="cellIs" dxfId="1" priority="653" operator="lessThan">
      <formula>0</formula>
    </cfRule>
    <cfRule type="cellIs" dxfId="1" priority="654" operator="lessThan">
      <formula>0</formula>
    </cfRule>
    <cfRule type="cellIs" dxfId="1" priority="655" operator="lessThan">
      <formula>0</formula>
    </cfRule>
    <cfRule type="cellIs" dxfId="1" priority="656" operator="lessThan">
      <formula>0</formula>
    </cfRule>
    <cfRule type="cellIs" dxfId="1" priority="657" operator="lessThan">
      <formula>0</formula>
    </cfRule>
  </conditionalFormatting>
  <conditionalFormatting sqref="Y23:Y29">
    <cfRule type="cellIs" dxfId="1" priority="658" operator="lessThan">
      <formula>0</formula>
    </cfRule>
    <cfRule type="cellIs" dxfId="1" priority="659" operator="lessThan">
      <formula>0</formula>
    </cfRule>
    <cfRule type="cellIs" dxfId="1" priority="660" operator="lessThan">
      <formula>0</formula>
    </cfRule>
    <cfRule type="cellIs" dxfId="1" priority="661" operator="lessThan">
      <formula>0</formula>
    </cfRule>
    <cfRule type="cellIs" dxfId="1" priority="662" operator="lessThan">
      <formula>0</formula>
    </cfRule>
    <cfRule type="cellIs" dxfId="1" priority="663" operator="lessThan">
      <formula>0</formula>
    </cfRule>
  </conditionalFormatting>
  <conditionalFormatting sqref="Z24">
    <cfRule type="cellIs" dxfId="1" priority="664" operator="lessThan">
      <formula>0</formula>
    </cfRule>
    <cfRule type="cellIs" dxfId="1" priority="665" operator="lessThan">
      <formula>0</formula>
    </cfRule>
    <cfRule type="cellIs" dxfId="1" priority="666" operator="lessThan">
      <formula>0</formula>
    </cfRule>
    <cfRule type="cellIs" dxfId="1" priority="667" operator="lessThan">
      <formula>0</formula>
    </cfRule>
    <cfRule type="cellIs" dxfId="1" priority="668" operator="lessThan">
      <formula>0</formula>
    </cfRule>
    <cfRule type="cellIs" dxfId="1" priority="669" operator="lessThan">
      <formula>0</formula>
    </cfRule>
  </conditionalFormatting>
  <conditionalFormatting sqref="Y63">
    <cfRule type="cellIs" dxfId="1" priority="670" operator="lessThan">
      <formula>0</formula>
    </cfRule>
    <cfRule type="cellIs" dxfId="1" priority="671" operator="lessThan">
      <formula>0</formula>
    </cfRule>
    <cfRule type="cellIs" dxfId="1" priority="672" operator="lessThan">
      <formula>0</formula>
    </cfRule>
    <cfRule type="cellIs" dxfId="1" priority="673" operator="lessThan">
      <formula>0</formula>
    </cfRule>
    <cfRule type="cellIs" dxfId="1" priority="674" operator="lessThan">
      <formula>0</formula>
    </cfRule>
    <cfRule type="cellIs" dxfId="1" priority="675" operator="lessThan">
      <formula>0</formula>
    </cfRule>
  </conditionalFormatting>
  <conditionalFormatting sqref="Y51:Y56">
    <cfRule type="cellIs" dxfId="1" priority="676" operator="lessThan">
      <formula>0</formula>
    </cfRule>
    <cfRule type="cellIs" dxfId="1" priority="677" operator="lessThan">
      <formula>0</formula>
    </cfRule>
    <cfRule type="cellIs" dxfId="1" priority="678" operator="lessThan">
      <formula>0</formula>
    </cfRule>
    <cfRule type="cellIs" dxfId="1" priority="679" operator="lessThan">
      <formula>0</formula>
    </cfRule>
    <cfRule type="cellIs" dxfId="1" priority="680" operator="lessThan">
      <formula>0</formula>
    </cfRule>
    <cfRule type="cellIs" dxfId="1" priority="681" operator="lessThan">
      <formula>0</formula>
    </cfRule>
  </conditionalFormatting>
  <conditionalFormatting sqref="Y57:Y61">
    <cfRule type="cellIs" dxfId="1" priority="682" operator="lessThan">
      <formula>0</formula>
    </cfRule>
    <cfRule type="cellIs" dxfId="1" priority="683" operator="lessThan">
      <formula>0</formula>
    </cfRule>
    <cfRule type="cellIs" dxfId="1" priority="684" operator="lessThan">
      <formula>0</formula>
    </cfRule>
    <cfRule type="cellIs" dxfId="1" priority="685" operator="lessThan">
      <formula>0</formula>
    </cfRule>
    <cfRule type="cellIs" dxfId="1" priority="686" operator="lessThan">
      <formula>0</formula>
    </cfRule>
    <cfRule type="cellIs" dxfId="1" priority="687" operator="lessThan">
      <formula>0</formula>
    </cfRule>
  </conditionalFormatting>
  <conditionalFormatting sqref="Y62">
    <cfRule type="cellIs" dxfId="1" priority="688" operator="lessThan">
      <formula>0</formula>
    </cfRule>
    <cfRule type="cellIs" dxfId="1" priority="689" operator="lessThan">
      <formula>0</formula>
    </cfRule>
    <cfRule type="cellIs" dxfId="1" priority="690" operator="lessThan">
      <formula>0</formula>
    </cfRule>
    <cfRule type="cellIs" dxfId="1" priority="691" operator="lessThan">
      <formula>0</formula>
    </cfRule>
    <cfRule type="cellIs" dxfId="1" priority="692" operator="lessThan">
      <formula>0</formula>
    </cfRule>
    <cfRule type="cellIs" dxfId="1" priority="693" operator="lessThan">
      <formula>0</formula>
    </cfRule>
  </conditionalFormatting>
  <conditionalFormatting sqref="Y78">
    <cfRule type="cellIs" dxfId="1" priority="694" operator="lessThan">
      <formula>0</formula>
    </cfRule>
    <cfRule type="cellIs" dxfId="1" priority="695" operator="lessThan">
      <formula>0</formula>
    </cfRule>
    <cfRule type="cellIs" dxfId="1" priority="696" operator="lessThan">
      <formula>0</formula>
    </cfRule>
    <cfRule type="cellIs" dxfId="1" priority="697" operator="lessThan">
      <formula>0</formula>
    </cfRule>
    <cfRule type="cellIs" dxfId="1" priority="698" operator="lessThan">
      <formula>0</formula>
    </cfRule>
    <cfRule type="cellIs" dxfId="1" priority="699" operator="lessThan">
      <formula>0</formula>
    </cfRule>
  </conditionalFormatting>
  <conditionalFormatting sqref="Y66:Y71">
    <cfRule type="cellIs" dxfId="1" priority="700" operator="lessThan">
      <formula>0</formula>
    </cfRule>
    <cfRule type="cellIs" dxfId="1" priority="701" operator="lessThan">
      <formula>0</formula>
    </cfRule>
    <cfRule type="cellIs" dxfId="1" priority="702" operator="lessThan">
      <formula>0</formula>
    </cfRule>
    <cfRule type="cellIs" dxfId="1" priority="703" operator="lessThan">
      <formula>0</formula>
    </cfRule>
    <cfRule type="cellIs" dxfId="1" priority="704" operator="lessThan">
      <formula>0</formula>
    </cfRule>
    <cfRule type="cellIs" dxfId="1" priority="705" operator="lessThan">
      <formula>0</formula>
    </cfRule>
  </conditionalFormatting>
  <conditionalFormatting sqref="Y72:Y76">
    <cfRule type="cellIs" dxfId="1" priority="706" operator="lessThan">
      <formula>0</formula>
    </cfRule>
    <cfRule type="cellIs" dxfId="1" priority="707" operator="lessThan">
      <formula>0</formula>
    </cfRule>
    <cfRule type="cellIs" dxfId="1" priority="708" operator="lessThan">
      <formula>0</formula>
    </cfRule>
    <cfRule type="cellIs" dxfId="1" priority="709" operator="lessThan">
      <formula>0</formula>
    </cfRule>
    <cfRule type="cellIs" dxfId="1" priority="710" operator="lessThan">
      <formula>0</formula>
    </cfRule>
    <cfRule type="cellIs" dxfId="1" priority="711" operator="lessThan">
      <formula>0</formula>
    </cfRule>
  </conditionalFormatting>
  <conditionalFormatting sqref="Y77">
    <cfRule type="cellIs" dxfId="1" priority="712" operator="lessThan">
      <formula>0</formula>
    </cfRule>
    <cfRule type="cellIs" dxfId="1" priority="713" operator="lessThan">
      <formula>0</formula>
    </cfRule>
    <cfRule type="cellIs" dxfId="1" priority="714" operator="lessThan">
      <formula>0</formula>
    </cfRule>
    <cfRule type="cellIs" dxfId="1" priority="715" operator="lessThan">
      <formula>0</formula>
    </cfRule>
    <cfRule type="cellIs" dxfId="1" priority="716" operator="lessThan">
      <formula>0</formula>
    </cfRule>
    <cfRule type="cellIs" dxfId="1" priority="717" operator="lessThan">
      <formula>0</formula>
    </cfRule>
  </conditionalFormatting>
  <conditionalFormatting sqref="Y64">
    <cfRule type="cellIs" dxfId="1" priority="718" operator="lessThan">
      <formula>0</formula>
    </cfRule>
    <cfRule type="cellIs" dxfId="1" priority="719" operator="lessThan">
      <formula>0</formula>
    </cfRule>
    <cfRule type="cellIs" dxfId="1" priority="720" operator="lessThan">
      <formula>0</formula>
    </cfRule>
    <cfRule type="cellIs" dxfId="1" priority="721" operator="lessThan">
      <formula>0</formula>
    </cfRule>
    <cfRule type="cellIs" dxfId="1" priority="722" operator="lessThan">
      <formula>0</formula>
    </cfRule>
    <cfRule type="cellIs" dxfId="1" priority="723" operator="lessThan">
      <formula>0</formula>
    </cfRule>
  </conditionalFormatting>
  <conditionalFormatting sqref="Y65">
    <cfRule type="cellIs" dxfId="1" priority="724" operator="lessThan">
      <formula>0</formula>
    </cfRule>
    <cfRule type="cellIs" dxfId="1" priority="725" operator="lessThan">
      <formula>0</formula>
    </cfRule>
    <cfRule type="cellIs" dxfId="1" priority="726" operator="lessThan">
      <formula>0</formula>
    </cfRule>
    <cfRule type="cellIs" dxfId="1" priority="727" operator="lessThan">
      <formula>0</formula>
    </cfRule>
    <cfRule type="cellIs" dxfId="1" priority="728" operator="lessThan">
      <formula>0</formula>
    </cfRule>
    <cfRule type="cellIs" dxfId="1" priority="729" operator="lessThan">
      <formula>0</formula>
    </cfRule>
  </conditionalFormatting>
  <conditionalFormatting sqref="Y91">
    <cfRule type="cellIs" dxfId="1" priority="730" operator="lessThan">
      <formula>0</formula>
    </cfRule>
    <cfRule type="cellIs" dxfId="1" priority="731" operator="lessThan">
      <formula>0</formula>
    </cfRule>
    <cfRule type="cellIs" dxfId="1" priority="732" operator="lessThan">
      <formula>0</formula>
    </cfRule>
    <cfRule type="cellIs" dxfId="1" priority="733" operator="lessThan">
      <formula>0</formula>
    </cfRule>
    <cfRule type="cellIs" dxfId="1" priority="734" operator="lessThan">
      <formula>0</formula>
    </cfRule>
    <cfRule type="cellIs" dxfId="1" priority="735" operator="lessThan">
      <formula>0</formula>
    </cfRule>
  </conditionalFormatting>
  <conditionalFormatting sqref="Y79:Y84">
    <cfRule type="cellIs" dxfId="1" priority="736" operator="lessThan">
      <formula>0</formula>
    </cfRule>
    <cfRule type="cellIs" dxfId="1" priority="737" operator="lessThan">
      <formula>0</formula>
    </cfRule>
    <cfRule type="cellIs" dxfId="1" priority="738" operator="lessThan">
      <formula>0</formula>
    </cfRule>
    <cfRule type="cellIs" dxfId="1" priority="739" operator="lessThan">
      <formula>0</formula>
    </cfRule>
    <cfRule type="cellIs" dxfId="1" priority="740" operator="lessThan">
      <formula>0</formula>
    </cfRule>
    <cfRule type="cellIs" dxfId="1" priority="741" operator="lessThan">
      <formula>0</formula>
    </cfRule>
  </conditionalFormatting>
  <conditionalFormatting sqref="Y85:Y89">
    <cfRule type="cellIs" dxfId="1" priority="742" operator="lessThan">
      <formula>0</formula>
    </cfRule>
    <cfRule type="cellIs" dxfId="1" priority="743" operator="lessThan">
      <formula>0</formula>
    </cfRule>
    <cfRule type="cellIs" dxfId="1" priority="744" operator="lessThan">
      <formula>0</formula>
    </cfRule>
    <cfRule type="cellIs" dxfId="1" priority="745" operator="lessThan">
      <formula>0</formula>
    </cfRule>
    <cfRule type="cellIs" dxfId="1" priority="746" operator="lessThan">
      <formula>0</formula>
    </cfRule>
    <cfRule type="cellIs" dxfId="1" priority="747" operator="lessThan">
      <formula>0</formula>
    </cfRule>
  </conditionalFormatting>
  <conditionalFormatting sqref="Y90">
    <cfRule type="cellIs" dxfId="1" priority="748" operator="lessThan">
      <formula>0</formula>
    </cfRule>
    <cfRule type="cellIs" dxfId="1" priority="749" operator="lessThan">
      <formula>0</formula>
    </cfRule>
    <cfRule type="cellIs" dxfId="1" priority="750" operator="lessThan">
      <formula>0</formula>
    </cfRule>
    <cfRule type="cellIs" dxfId="1" priority="751" operator="lessThan">
      <formula>0</formula>
    </cfRule>
    <cfRule type="cellIs" dxfId="1" priority="752" operator="lessThan">
      <formula>0</formula>
    </cfRule>
    <cfRule type="cellIs" dxfId="1" priority="753" operator="lessThan">
      <formula>0</formula>
    </cfRule>
  </conditionalFormatting>
  <conditionalFormatting sqref="X10:X12">
    <cfRule type="cellIs" dxfId="1" priority="754" operator="lessThan">
      <formula>0</formula>
    </cfRule>
    <cfRule type="cellIs" dxfId="1" priority="755" operator="lessThan">
      <formula>0</formula>
    </cfRule>
  </conditionalFormatting>
  <conditionalFormatting sqref="X38:X43">
    <cfRule type="cellIs" dxfId="1" priority="756" operator="lessThan">
      <formula>0</formula>
    </cfRule>
    <cfRule type="cellIs" dxfId="1" priority="757" operator="lessThan">
      <formula>0</formula>
    </cfRule>
  </conditionalFormatting>
  <conditionalFormatting sqref="X22">
    <cfRule type="cellIs" dxfId="1" priority="758" operator="lessThan">
      <formula>0</formula>
    </cfRule>
    <cfRule type="cellIs" dxfId="1" priority="759" operator="lessThan">
      <formula>0</formula>
    </cfRule>
  </conditionalFormatting>
  <conditionalFormatting sqref="X15:X20">
    <cfRule type="cellIs" dxfId="1" priority="760" operator="lessThan">
      <formula>0</formula>
    </cfRule>
    <cfRule type="cellIs" dxfId="1" priority="761" operator="lessThan">
      <formula>0</formula>
    </cfRule>
  </conditionalFormatting>
  <conditionalFormatting sqref="X21">
    <cfRule type="cellIs" dxfId="1" priority="762" operator="lessThan">
      <formula>0</formula>
    </cfRule>
    <cfRule type="cellIs" dxfId="1" priority="763" operator="lessThan">
      <formula>0</formula>
    </cfRule>
  </conditionalFormatting>
  <conditionalFormatting sqref="X44:X46">
    <cfRule type="cellIs" dxfId="1" priority="764" operator="lessThan">
      <formula>0</formula>
    </cfRule>
    <cfRule type="cellIs" dxfId="1" priority="765" operator="lessThan">
      <formula>0</formula>
    </cfRule>
  </conditionalFormatting>
  <conditionalFormatting sqref="X30:X35">
    <cfRule type="cellIs" dxfId="1" priority="766" operator="lessThan">
      <formula>0</formula>
    </cfRule>
    <cfRule type="cellIs" dxfId="1" priority="767" operator="lessThan">
      <formula>0</formula>
    </cfRule>
  </conditionalFormatting>
  <conditionalFormatting sqref="X36">
    <cfRule type="cellIs" dxfId="1" priority="768" operator="lessThan">
      <formula>0</formula>
    </cfRule>
    <cfRule type="cellIs" dxfId="1" priority="769" operator="lessThan">
      <formula>0</formula>
    </cfRule>
  </conditionalFormatting>
  <conditionalFormatting sqref="X23:X29">
    <cfRule type="cellIs" dxfId="1" priority="770" operator="lessThan">
      <formula>0</formula>
    </cfRule>
    <cfRule type="cellIs" dxfId="1" priority="771" operator="lessThan">
      <formula>0</formula>
    </cfRule>
  </conditionalFormatting>
  <conditionalFormatting sqref="X37">
    <cfRule type="cellIs" dxfId="1" priority="772" operator="lessThan">
      <formula>0</formula>
    </cfRule>
    <cfRule type="cellIs" dxfId="1" priority="773" operator="lessThan">
      <formula>0</formula>
    </cfRule>
  </conditionalFormatting>
  <conditionalFormatting sqref="X51:X56">
    <cfRule type="cellIs" dxfId="1" priority="774" operator="lessThan">
      <formula>0</formula>
    </cfRule>
    <cfRule type="cellIs" dxfId="1" priority="775" operator="lessThan">
      <formula>0</formula>
    </cfRule>
  </conditionalFormatting>
  <conditionalFormatting sqref="X63">
    <cfRule type="cellIs" dxfId="1" priority="776" operator="lessThan">
      <formula>0</formula>
    </cfRule>
    <cfRule type="cellIs" dxfId="1" priority="777" operator="lessThan">
      <formula>0</formula>
    </cfRule>
  </conditionalFormatting>
  <conditionalFormatting sqref="X57:X61">
    <cfRule type="cellIs" dxfId="1" priority="778" operator="lessThan">
      <formula>0</formula>
    </cfRule>
    <cfRule type="cellIs" dxfId="1" priority="779" operator="lessThan">
      <formula>0</formula>
    </cfRule>
  </conditionalFormatting>
  <conditionalFormatting sqref="X62">
    <cfRule type="cellIs" dxfId="1" priority="780" operator="lessThan">
      <formula>0</formula>
    </cfRule>
    <cfRule type="cellIs" dxfId="1" priority="781" operator="lessThan">
      <formula>0</formula>
    </cfRule>
  </conditionalFormatting>
  <conditionalFormatting sqref="X66:X71">
    <cfRule type="cellIs" dxfId="1" priority="782" operator="lessThan">
      <formula>0</formula>
    </cfRule>
    <cfRule type="cellIs" dxfId="1" priority="783" operator="lessThan">
      <formula>0</formula>
    </cfRule>
  </conditionalFormatting>
  <conditionalFormatting sqref="X78">
    <cfRule type="cellIs" dxfId="1" priority="784" operator="lessThan">
      <formula>0</formula>
    </cfRule>
    <cfRule type="cellIs" dxfId="1" priority="785" operator="lessThan">
      <formula>0</formula>
    </cfRule>
  </conditionalFormatting>
  <conditionalFormatting sqref="X72:X76">
    <cfRule type="cellIs" dxfId="1" priority="786" operator="lessThan">
      <formula>0</formula>
    </cfRule>
    <cfRule type="cellIs" dxfId="1" priority="787" operator="lessThan">
      <formula>0</formula>
    </cfRule>
  </conditionalFormatting>
  <conditionalFormatting sqref="X77">
    <cfRule type="cellIs" dxfId="1" priority="788" operator="lessThan">
      <formula>0</formula>
    </cfRule>
    <cfRule type="cellIs" dxfId="1" priority="789" operator="lessThan">
      <formula>0</formula>
    </cfRule>
  </conditionalFormatting>
  <conditionalFormatting sqref="X64">
    <cfRule type="cellIs" dxfId="1" priority="790" operator="lessThan">
      <formula>0</formula>
    </cfRule>
    <cfRule type="cellIs" dxfId="1" priority="791" operator="lessThan">
      <formula>0</formula>
    </cfRule>
  </conditionalFormatting>
  <conditionalFormatting sqref="X65">
    <cfRule type="cellIs" dxfId="1" priority="792" operator="lessThan">
      <formula>0</formula>
    </cfRule>
    <cfRule type="cellIs" dxfId="1" priority="793" operator="lessThan">
      <formula>0</formula>
    </cfRule>
  </conditionalFormatting>
  <conditionalFormatting sqref="X79:X84">
    <cfRule type="cellIs" dxfId="1" priority="794" operator="lessThan">
      <formula>0</formula>
    </cfRule>
    <cfRule type="cellIs" dxfId="1" priority="795" operator="lessThan">
      <formula>0</formula>
    </cfRule>
  </conditionalFormatting>
  <conditionalFormatting sqref="X91">
    <cfRule type="cellIs" dxfId="1" priority="796" operator="lessThan">
      <formula>0</formula>
    </cfRule>
    <cfRule type="cellIs" dxfId="1" priority="797" operator="lessThan">
      <formula>0</formula>
    </cfRule>
  </conditionalFormatting>
  <conditionalFormatting sqref="X85:X89">
    <cfRule type="cellIs" dxfId="1" priority="798" operator="lessThan">
      <formula>0</formula>
    </cfRule>
    <cfRule type="cellIs" dxfId="1" priority="799" operator="lessThan">
      <formula>0</formula>
    </cfRule>
  </conditionalFormatting>
  <conditionalFormatting sqref="X90">
    <cfRule type="cellIs" dxfId="1" priority="800" operator="lessThan">
      <formula>0</formula>
    </cfRule>
    <cfRule type="cellIs" dxfId="1" priority="801" operator="lessThan">
      <formula>0</formula>
    </cfRule>
  </conditionalFormatting>
  <conditionalFormatting sqref="W10:X12">
    <cfRule type="cellIs" dxfId="1" priority="802" operator="lessThan">
      <formula>0</formula>
    </cfRule>
    <cfRule type="cellIs" dxfId="1" priority="803" operator="lessThan">
      <formula>0</formula>
    </cfRule>
  </conditionalFormatting>
  <conditionalFormatting sqref="W38:X43">
    <cfRule type="cellIs" dxfId="1" priority="804" operator="lessThan">
      <formula>0</formula>
    </cfRule>
    <cfRule type="cellIs" dxfId="1" priority="805" operator="lessThan">
      <formula>0</formula>
    </cfRule>
  </conditionalFormatting>
  <conditionalFormatting sqref="W22:X22">
    <cfRule type="cellIs" dxfId="1" priority="806" operator="lessThan">
      <formula>0</formula>
    </cfRule>
    <cfRule type="cellIs" dxfId="1" priority="807" operator="lessThan">
      <formula>0</formula>
    </cfRule>
  </conditionalFormatting>
  <conditionalFormatting sqref="W15:X20">
    <cfRule type="cellIs" dxfId="1" priority="808" operator="lessThan">
      <formula>0</formula>
    </cfRule>
    <cfRule type="cellIs" dxfId="1" priority="809" operator="lessThan">
      <formula>0</formula>
    </cfRule>
  </conditionalFormatting>
  <conditionalFormatting sqref="W21:X21">
    <cfRule type="cellIs" dxfId="1" priority="810" operator="lessThan">
      <formula>0</formula>
    </cfRule>
    <cfRule type="cellIs" dxfId="1" priority="811" operator="lessThan">
      <formula>0</formula>
    </cfRule>
  </conditionalFormatting>
  <conditionalFormatting sqref="W44:X46">
    <cfRule type="cellIs" dxfId="1" priority="812" operator="lessThan">
      <formula>0</formula>
    </cfRule>
    <cfRule type="cellIs" dxfId="1" priority="813" operator="lessThan">
      <formula>0</formula>
    </cfRule>
  </conditionalFormatting>
  <conditionalFormatting sqref="W30:X35">
    <cfRule type="cellIs" dxfId="1" priority="814" operator="lessThan">
      <formula>0</formula>
    </cfRule>
    <cfRule type="cellIs" dxfId="1" priority="815" operator="lessThan">
      <formula>0</formula>
    </cfRule>
  </conditionalFormatting>
  <conditionalFormatting sqref="W36:X36">
    <cfRule type="cellIs" dxfId="1" priority="816" operator="lessThan">
      <formula>0</formula>
    </cfRule>
    <cfRule type="cellIs" dxfId="1" priority="817" operator="lessThan">
      <formula>0</formula>
    </cfRule>
  </conditionalFormatting>
  <conditionalFormatting sqref="W23:X29">
    <cfRule type="cellIs" dxfId="1" priority="818" operator="lessThan">
      <formula>0</formula>
    </cfRule>
    <cfRule type="cellIs" dxfId="1" priority="819" operator="lessThan">
      <formula>0</formula>
    </cfRule>
  </conditionalFormatting>
  <conditionalFormatting sqref="W37:X37">
    <cfRule type="cellIs" dxfId="1" priority="820" operator="lessThan">
      <formula>0</formula>
    </cfRule>
    <cfRule type="cellIs" dxfId="1" priority="821" operator="lessThan">
      <formula>0</formula>
    </cfRule>
  </conditionalFormatting>
  <conditionalFormatting sqref="W51:X56">
    <cfRule type="cellIs" dxfId="1" priority="822" operator="lessThan">
      <formula>0</formula>
    </cfRule>
    <cfRule type="cellIs" dxfId="1" priority="823" operator="lessThan">
      <formula>0</formula>
    </cfRule>
  </conditionalFormatting>
  <conditionalFormatting sqref="W63:X63">
    <cfRule type="cellIs" dxfId="1" priority="824" operator="lessThan">
      <formula>0</formula>
    </cfRule>
    <cfRule type="cellIs" dxfId="1" priority="825" operator="lessThan">
      <formula>0</formula>
    </cfRule>
  </conditionalFormatting>
  <conditionalFormatting sqref="W57:X61">
    <cfRule type="cellIs" dxfId="1" priority="826" operator="lessThan">
      <formula>0</formula>
    </cfRule>
    <cfRule type="cellIs" dxfId="1" priority="827" operator="lessThan">
      <formula>0</formula>
    </cfRule>
  </conditionalFormatting>
  <conditionalFormatting sqref="W62:X62">
    <cfRule type="cellIs" dxfId="1" priority="828" operator="lessThan">
      <formula>0</formula>
    </cfRule>
    <cfRule type="cellIs" dxfId="1" priority="829" operator="lessThan">
      <formula>0</formula>
    </cfRule>
  </conditionalFormatting>
  <conditionalFormatting sqref="W66:X71">
    <cfRule type="cellIs" dxfId="1" priority="830" operator="lessThan">
      <formula>0</formula>
    </cfRule>
    <cfRule type="cellIs" dxfId="1" priority="831" operator="lessThan">
      <formula>0</formula>
    </cfRule>
  </conditionalFormatting>
  <conditionalFormatting sqref="W78:X78">
    <cfRule type="cellIs" dxfId="1" priority="832" operator="lessThan">
      <formula>0</formula>
    </cfRule>
    <cfRule type="cellIs" dxfId="1" priority="833" operator="lessThan">
      <formula>0</formula>
    </cfRule>
  </conditionalFormatting>
  <conditionalFormatting sqref="W72:X76">
    <cfRule type="cellIs" dxfId="1" priority="834" operator="lessThan">
      <formula>0</formula>
    </cfRule>
    <cfRule type="cellIs" dxfId="1" priority="835" operator="lessThan">
      <formula>0</formula>
    </cfRule>
  </conditionalFormatting>
  <conditionalFormatting sqref="W77:X77">
    <cfRule type="cellIs" dxfId="1" priority="836" operator="lessThan">
      <formula>0</formula>
    </cfRule>
    <cfRule type="cellIs" dxfId="1" priority="837" operator="lessThan">
      <formula>0</formula>
    </cfRule>
  </conditionalFormatting>
  <conditionalFormatting sqref="W64:X64">
    <cfRule type="cellIs" dxfId="1" priority="838" operator="lessThan">
      <formula>0</formula>
    </cfRule>
    <cfRule type="cellIs" dxfId="1" priority="839" operator="lessThan">
      <formula>0</formula>
    </cfRule>
  </conditionalFormatting>
  <conditionalFormatting sqref="W65:X65">
    <cfRule type="cellIs" dxfId="1" priority="840" operator="lessThan">
      <formula>0</formula>
    </cfRule>
    <cfRule type="cellIs" dxfId="1" priority="841" operator="lessThan">
      <formula>0</formula>
    </cfRule>
  </conditionalFormatting>
  <conditionalFormatting sqref="W79:X84">
    <cfRule type="cellIs" dxfId="1" priority="842" operator="lessThan">
      <formula>0</formula>
    </cfRule>
    <cfRule type="cellIs" dxfId="1" priority="843" operator="lessThan">
      <formula>0</formula>
    </cfRule>
  </conditionalFormatting>
  <conditionalFormatting sqref="W91:X91">
    <cfRule type="cellIs" dxfId="1" priority="844" operator="lessThan">
      <formula>0</formula>
    </cfRule>
    <cfRule type="cellIs" dxfId="1" priority="845" operator="lessThan">
      <formula>0</formula>
    </cfRule>
  </conditionalFormatting>
  <conditionalFormatting sqref="W85:X89">
    <cfRule type="cellIs" dxfId="1" priority="846" operator="lessThan">
      <formula>0</formula>
    </cfRule>
    <cfRule type="cellIs" dxfId="1" priority="847" operator="lessThan">
      <formula>0</formula>
    </cfRule>
  </conditionalFormatting>
  <conditionalFormatting sqref="W90:X90">
    <cfRule type="cellIs" dxfId="1" priority="848" operator="lessThan">
      <formula>0</formula>
    </cfRule>
    <cfRule type="cellIs" dxfId="1" priority="849" operator="lessThan">
      <formula>0</formula>
    </cfRule>
  </conditionalFormatting>
  <conditionalFormatting sqref="AG38:AI43">
    <cfRule type="cellIs" dxfId="1" priority="850" operator="lessThan">
      <formula>0</formula>
    </cfRule>
    <cfRule type="cellIs" dxfId="1" priority="851" operator="lessThan">
      <formula>0</formula>
    </cfRule>
  </conditionalFormatting>
  <conditionalFormatting sqref="AG22:AI22">
    <cfRule type="cellIs" dxfId="1" priority="852" operator="lessThan">
      <formula>0</formula>
    </cfRule>
    <cfRule type="cellIs" dxfId="1" priority="853" operator="lessThan">
      <formula>0</formula>
    </cfRule>
  </conditionalFormatting>
  <conditionalFormatting sqref="AG10:AI12">
    <cfRule type="cellIs" dxfId="1" priority="854" operator="lessThan">
      <formula>0</formula>
    </cfRule>
    <cfRule type="cellIs" dxfId="1" priority="855" operator="lessThan">
      <formula>0</formula>
    </cfRule>
  </conditionalFormatting>
  <conditionalFormatting sqref="AG15:AI20">
    <cfRule type="cellIs" dxfId="1" priority="856" operator="lessThan">
      <formula>0</formula>
    </cfRule>
    <cfRule type="cellIs" dxfId="1" priority="857" operator="lessThan">
      <formula>0</formula>
    </cfRule>
  </conditionalFormatting>
  <conditionalFormatting sqref="AG21:AI21">
    <cfRule type="cellIs" dxfId="1" priority="858" operator="lessThan">
      <formula>0</formula>
    </cfRule>
    <cfRule type="cellIs" dxfId="1" priority="859" operator="lessThan">
      <formula>0</formula>
    </cfRule>
  </conditionalFormatting>
  <conditionalFormatting sqref="AG44:AI46">
    <cfRule type="cellIs" dxfId="1" priority="860" operator="lessThan">
      <formula>0</formula>
    </cfRule>
    <cfRule type="cellIs" dxfId="1" priority="861" operator="lessThan">
      <formula>0</formula>
    </cfRule>
  </conditionalFormatting>
  <conditionalFormatting sqref="AG30:AI35">
    <cfRule type="cellIs" dxfId="1" priority="862" operator="lessThan">
      <formula>0</formula>
    </cfRule>
    <cfRule type="cellIs" dxfId="1" priority="863" operator="lessThan">
      <formula>0</formula>
    </cfRule>
  </conditionalFormatting>
  <conditionalFormatting sqref="AG36:AI36">
    <cfRule type="cellIs" dxfId="1" priority="864" operator="lessThan">
      <formula>0</formula>
    </cfRule>
    <cfRule type="cellIs" dxfId="1" priority="865" operator="lessThan">
      <formula>0</formula>
    </cfRule>
  </conditionalFormatting>
  <conditionalFormatting sqref="AG23:AI29">
    <cfRule type="cellIs" dxfId="1" priority="866" operator="lessThan">
      <formula>0</formula>
    </cfRule>
    <cfRule type="cellIs" dxfId="1" priority="867" operator="lessThan">
      <formula>0</formula>
    </cfRule>
  </conditionalFormatting>
  <conditionalFormatting sqref="AG37:AI37">
    <cfRule type="cellIs" dxfId="1" priority="868" operator="lessThan">
      <formula>0</formula>
    </cfRule>
    <cfRule type="cellIs" dxfId="1" priority="869" operator="lessThan">
      <formula>0</formula>
    </cfRule>
  </conditionalFormatting>
  <conditionalFormatting sqref="AG51:AI56">
    <cfRule type="cellIs" dxfId="1" priority="870" operator="lessThan">
      <formula>0</formula>
    </cfRule>
    <cfRule type="cellIs" dxfId="1" priority="871" operator="lessThan">
      <formula>0</formula>
    </cfRule>
  </conditionalFormatting>
  <conditionalFormatting sqref="AG63:AI63">
    <cfRule type="cellIs" dxfId="1" priority="872" operator="lessThan">
      <formula>0</formula>
    </cfRule>
    <cfRule type="cellIs" dxfId="1" priority="873" operator="lessThan">
      <formula>0</formula>
    </cfRule>
  </conditionalFormatting>
  <conditionalFormatting sqref="AG57:AI61">
    <cfRule type="cellIs" dxfId="1" priority="874" operator="lessThan">
      <formula>0</formula>
    </cfRule>
    <cfRule type="cellIs" dxfId="1" priority="875" operator="lessThan">
      <formula>0</formula>
    </cfRule>
  </conditionalFormatting>
  <conditionalFormatting sqref="AG62:AI62">
    <cfRule type="cellIs" dxfId="1" priority="876" operator="lessThan">
      <formula>0</formula>
    </cfRule>
    <cfRule type="cellIs" dxfId="1" priority="877" operator="lessThan">
      <formula>0</formula>
    </cfRule>
  </conditionalFormatting>
  <conditionalFormatting sqref="AG66:AI71">
    <cfRule type="cellIs" dxfId="1" priority="878" operator="lessThan">
      <formula>0</formula>
    </cfRule>
    <cfRule type="cellIs" dxfId="1" priority="879" operator="lessThan">
      <formula>0</formula>
    </cfRule>
  </conditionalFormatting>
  <conditionalFormatting sqref="AG78:AI78">
    <cfRule type="cellIs" dxfId="1" priority="880" operator="lessThan">
      <formula>0</formula>
    </cfRule>
    <cfRule type="cellIs" dxfId="1" priority="881" operator="lessThan">
      <formula>0</formula>
    </cfRule>
  </conditionalFormatting>
  <conditionalFormatting sqref="AG72:AI76">
    <cfRule type="cellIs" dxfId="1" priority="882" operator="lessThan">
      <formula>0</formula>
    </cfRule>
    <cfRule type="cellIs" dxfId="1" priority="883" operator="lessThan">
      <formula>0</formula>
    </cfRule>
  </conditionalFormatting>
  <conditionalFormatting sqref="AG77:AI77">
    <cfRule type="cellIs" dxfId="1" priority="884" operator="lessThan">
      <formula>0</formula>
    </cfRule>
    <cfRule type="cellIs" dxfId="1" priority="885" operator="lessThan">
      <formula>0</formula>
    </cfRule>
  </conditionalFormatting>
  <conditionalFormatting sqref="AG64:AI64">
    <cfRule type="cellIs" dxfId="1" priority="886" operator="lessThan">
      <formula>0</formula>
    </cfRule>
    <cfRule type="cellIs" dxfId="1" priority="887" operator="lessThan">
      <formula>0</formula>
    </cfRule>
  </conditionalFormatting>
  <conditionalFormatting sqref="AG65:AI65">
    <cfRule type="cellIs" dxfId="1" priority="888" operator="lessThan">
      <formula>0</formula>
    </cfRule>
    <cfRule type="cellIs" dxfId="1" priority="889" operator="lessThan">
      <formula>0</formula>
    </cfRule>
  </conditionalFormatting>
  <conditionalFormatting sqref="AG79:AI84">
    <cfRule type="cellIs" dxfId="1" priority="890" operator="lessThan">
      <formula>0</formula>
    </cfRule>
    <cfRule type="cellIs" dxfId="1" priority="891" operator="lessThan">
      <formula>0</formula>
    </cfRule>
  </conditionalFormatting>
  <conditionalFormatting sqref="AG91:AI91">
    <cfRule type="cellIs" dxfId="1" priority="892" operator="lessThan">
      <formula>0</formula>
    </cfRule>
    <cfRule type="cellIs" dxfId="1" priority="893" operator="lessThan">
      <formula>0</formula>
    </cfRule>
  </conditionalFormatting>
  <conditionalFormatting sqref="AG85:AI89">
    <cfRule type="cellIs" dxfId="1" priority="894" operator="lessThan">
      <formula>0</formula>
    </cfRule>
    <cfRule type="cellIs" dxfId="1" priority="895" operator="lessThan">
      <formula>0</formula>
    </cfRule>
  </conditionalFormatting>
  <conditionalFormatting sqref="AG90:AI90">
    <cfRule type="cellIs" dxfId="1" priority="896" operator="lessThan">
      <formula>0</formula>
    </cfRule>
    <cfRule type="cellIs" dxfId="1" priority="897" operator="lessThan">
      <formula>0</formula>
    </cfRule>
  </conditionalFormatting>
  <conditionalFormatting sqref="AH22">
    <cfRule type="cellIs" dxfId="1" priority="898" operator="lessThan">
      <formula>0</formula>
    </cfRule>
    <cfRule type="cellIs" dxfId="1" priority="899" operator="lessThan">
      <formula>0</formula>
    </cfRule>
    <cfRule type="cellIs" dxfId="1" priority="900" operator="lessThan">
      <formula>0</formula>
    </cfRule>
  </conditionalFormatting>
  <conditionalFormatting sqref="AH38:AH43">
    <cfRule type="cellIs" dxfId="1" priority="901" operator="lessThan">
      <formula>0</formula>
    </cfRule>
    <cfRule type="cellIs" dxfId="1" priority="902" operator="lessThan">
      <formula>0</formula>
    </cfRule>
    <cfRule type="cellIs" dxfId="1" priority="903" operator="lessThan">
      <formula>0</formula>
    </cfRule>
  </conditionalFormatting>
  <conditionalFormatting sqref="AH10:AH12">
    <cfRule type="cellIs" dxfId="1" priority="904" operator="lessThan">
      <formula>0</formula>
    </cfRule>
    <cfRule type="cellIs" dxfId="1" priority="905" operator="lessThan">
      <formula>0</formula>
    </cfRule>
    <cfRule type="cellIs" dxfId="1" priority="906" operator="lessThan">
      <formula>0</formula>
    </cfRule>
  </conditionalFormatting>
  <conditionalFormatting sqref="AH15:AH20">
    <cfRule type="cellIs" dxfId="1" priority="907" operator="lessThan">
      <formula>0</formula>
    </cfRule>
    <cfRule type="cellIs" dxfId="1" priority="908" operator="lessThan">
      <formula>0</formula>
    </cfRule>
    <cfRule type="cellIs" dxfId="1" priority="909" operator="lessThan">
      <formula>0</formula>
    </cfRule>
  </conditionalFormatting>
  <conditionalFormatting sqref="AH21">
    <cfRule type="cellIs" dxfId="1" priority="910" operator="lessThan">
      <formula>0</formula>
    </cfRule>
    <cfRule type="cellIs" dxfId="1" priority="911" operator="lessThan">
      <formula>0</formula>
    </cfRule>
    <cfRule type="cellIs" dxfId="1" priority="912" operator="lessThan">
      <formula>0</formula>
    </cfRule>
  </conditionalFormatting>
  <conditionalFormatting sqref="AH44:AH46">
    <cfRule type="cellIs" dxfId="1" priority="913" operator="lessThan">
      <formula>0</formula>
    </cfRule>
    <cfRule type="cellIs" dxfId="1" priority="914" operator="lessThan">
      <formula>0</formula>
    </cfRule>
    <cfRule type="cellIs" dxfId="1" priority="915" operator="lessThan">
      <formula>0</formula>
    </cfRule>
  </conditionalFormatting>
  <conditionalFormatting sqref="AH30:AH35">
    <cfRule type="cellIs" dxfId="1" priority="916" operator="lessThan">
      <formula>0</formula>
    </cfRule>
    <cfRule type="cellIs" dxfId="1" priority="917" operator="lessThan">
      <formula>0</formula>
    </cfRule>
    <cfRule type="cellIs" dxfId="1" priority="918" operator="lessThan">
      <formula>0</formula>
    </cfRule>
  </conditionalFormatting>
  <conditionalFormatting sqref="AH36">
    <cfRule type="cellIs" dxfId="1" priority="919" operator="lessThan">
      <formula>0</formula>
    </cfRule>
    <cfRule type="cellIs" dxfId="1" priority="920" operator="lessThan">
      <formula>0</formula>
    </cfRule>
    <cfRule type="cellIs" dxfId="1" priority="921" operator="lessThan">
      <formula>0</formula>
    </cfRule>
  </conditionalFormatting>
  <conditionalFormatting sqref="AH37">
    <cfRule type="cellIs" dxfId="1" priority="922" operator="lessThan">
      <formula>0</formula>
    </cfRule>
    <cfRule type="cellIs" dxfId="1" priority="923" operator="lessThan">
      <formula>0</formula>
    </cfRule>
    <cfRule type="cellIs" dxfId="1" priority="924" operator="lessThan">
      <formula>0</formula>
    </cfRule>
  </conditionalFormatting>
  <conditionalFormatting sqref="AH23:AH29">
    <cfRule type="cellIs" dxfId="1" priority="925" operator="lessThan">
      <formula>0</formula>
    </cfRule>
    <cfRule type="cellIs" dxfId="1" priority="926" operator="lessThan">
      <formula>0</formula>
    </cfRule>
    <cfRule type="cellIs" dxfId="1" priority="927" operator="lessThan">
      <formula>0</formula>
    </cfRule>
  </conditionalFormatting>
  <conditionalFormatting sqref="AH63">
    <cfRule type="cellIs" dxfId="1" priority="928" operator="lessThan">
      <formula>0</formula>
    </cfRule>
    <cfRule type="cellIs" dxfId="1" priority="929" operator="lessThan">
      <formula>0</formula>
    </cfRule>
    <cfRule type="cellIs" dxfId="1" priority="930" operator="lessThan">
      <formula>0</formula>
    </cfRule>
  </conditionalFormatting>
  <conditionalFormatting sqref="AH51:AH56">
    <cfRule type="cellIs" dxfId="1" priority="931" operator="lessThan">
      <formula>0</formula>
    </cfRule>
    <cfRule type="cellIs" dxfId="1" priority="932" operator="lessThan">
      <formula>0</formula>
    </cfRule>
    <cfRule type="cellIs" dxfId="1" priority="933" operator="lessThan">
      <formula>0</formula>
    </cfRule>
  </conditionalFormatting>
  <conditionalFormatting sqref="AH57:AH61">
    <cfRule type="cellIs" dxfId="1" priority="934" operator="lessThan">
      <formula>0</formula>
    </cfRule>
    <cfRule type="cellIs" dxfId="1" priority="935" operator="lessThan">
      <formula>0</formula>
    </cfRule>
    <cfRule type="cellIs" dxfId="1" priority="936" operator="lessThan">
      <formula>0</formula>
    </cfRule>
  </conditionalFormatting>
  <conditionalFormatting sqref="AH62">
    <cfRule type="cellIs" dxfId="1" priority="937" operator="lessThan">
      <formula>0</formula>
    </cfRule>
    <cfRule type="cellIs" dxfId="1" priority="938" operator="lessThan">
      <formula>0</formula>
    </cfRule>
    <cfRule type="cellIs" dxfId="1" priority="939" operator="lessThan">
      <formula>0</formula>
    </cfRule>
  </conditionalFormatting>
  <conditionalFormatting sqref="AH78">
    <cfRule type="cellIs" dxfId="1" priority="940" operator="lessThan">
      <formula>0</formula>
    </cfRule>
    <cfRule type="cellIs" dxfId="1" priority="941" operator="lessThan">
      <formula>0</formula>
    </cfRule>
    <cfRule type="cellIs" dxfId="1" priority="942" operator="lessThan">
      <formula>0</formula>
    </cfRule>
  </conditionalFormatting>
  <conditionalFormatting sqref="AH66:AH71">
    <cfRule type="cellIs" dxfId="1" priority="943" operator="lessThan">
      <formula>0</formula>
    </cfRule>
    <cfRule type="cellIs" dxfId="1" priority="944" operator="lessThan">
      <formula>0</formula>
    </cfRule>
    <cfRule type="cellIs" dxfId="1" priority="945" operator="lessThan">
      <formula>0</formula>
    </cfRule>
  </conditionalFormatting>
  <conditionalFormatting sqref="AH72:AH76">
    <cfRule type="cellIs" dxfId="1" priority="946" operator="lessThan">
      <formula>0</formula>
    </cfRule>
    <cfRule type="cellIs" dxfId="1" priority="947" operator="lessThan">
      <formula>0</formula>
    </cfRule>
    <cfRule type="cellIs" dxfId="1" priority="948" operator="lessThan">
      <formula>0</formula>
    </cfRule>
  </conditionalFormatting>
  <conditionalFormatting sqref="AH77">
    <cfRule type="cellIs" dxfId="1" priority="949" operator="lessThan">
      <formula>0</formula>
    </cfRule>
    <cfRule type="cellIs" dxfId="1" priority="950" operator="lessThan">
      <formula>0</formula>
    </cfRule>
    <cfRule type="cellIs" dxfId="1" priority="951" operator="lessThan">
      <formula>0</formula>
    </cfRule>
  </conditionalFormatting>
  <conditionalFormatting sqref="AH64">
    <cfRule type="cellIs" dxfId="1" priority="952" operator="lessThan">
      <formula>0</formula>
    </cfRule>
    <cfRule type="cellIs" dxfId="1" priority="953" operator="lessThan">
      <formula>0</formula>
    </cfRule>
    <cfRule type="cellIs" dxfId="1" priority="954" operator="lessThan">
      <formula>0</formula>
    </cfRule>
  </conditionalFormatting>
  <conditionalFormatting sqref="AH65">
    <cfRule type="cellIs" dxfId="1" priority="955" operator="lessThan">
      <formula>0</formula>
    </cfRule>
    <cfRule type="cellIs" dxfId="1" priority="956" operator="lessThan">
      <formula>0</formula>
    </cfRule>
    <cfRule type="cellIs" dxfId="1" priority="957" operator="lessThan">
      <formula>0</formula>
    </cfRule>
  </conditionalFormatting>
  <conditionalFormatting sqref="AH91">
    <cfRule type="cellIs" dxfId="1" priority="958" operator="lessThan">
      <formula>0</formula>
    </cfRule>
    <cfRule type="cellIs" dxfId="1" priority="959" operator="lessThan">
      <formula>0</formula>
    </cfRule>
    <cfRule type="cellIs" dxfId="1" priority="960" operator="lessThan">
      <formula>0</formula>
    </cfRule>
  </conditionalFormatting>
  <conditionalFormatting sqref="AH79:AH84">
    <cfRule type="cellIs" dxfId="1" priority="961" operator="lessThan">
      <formula>0</formula>
    </cfRule>
    <cfRule type="cellIs" dxfId="1" priority="962" operator="lessThan">
      <formula>0</formula>
    </cfRule>
    <cfRule type="cellIs" dxfId="1" priority="963" operator="lessThan">
      <formula>0</formula>
    </cfRule>
  </conditionalFormatting>
  <conditionalFormatting sqref="AH85:AH89">
    <cfRule type="cellIs" dxfId="1" priority="964" operator="lessThan">
      <formula>0</formula>
    </cfRule>
    <cfRule type="cellIs" dxfId="1" priority="965" operator="lessThan">
      <formula>0</formula>
    </cfRule>
    <cfRule type="cellIs" dxfId="1" priority="966" operator="lessThan">
      <formula>0</formula>
    </cfRule>
  </conditionalFormatting>
  <conditionalFormatting sqref="AH90">
    <cfRule type="cellIs" dxfId="1" priority="967" operator="lessThan">
      <formula>0</formula>
    </cfRule>
    <cfRule type="cellIs" dxfId="1" priority="968" operator="lessThan">
      <formula>0</formula>
    </cfRule>
    <cfRule type="cellIs" dxfId="1" priority="969" operator="lessThan">
      <formula>0</formula>
    </cfRule>
  </conditionalFormatting>
  <conditionalFormatting sqref="AG22">
    <cfRule type="cellIs" dxfId="1" priority="970" operator="lessThan">
      <formula>0</formula>
    </cfRule>
    <cfRule type="cellIs" dxfId="1" priority="971" operator="lessThan">
      <formula>0</formula>
    </cfRule>
    <cfRule type="cellIs" dxfId="1" priority="972" operator="lessThan">
      <formula>0</formula>
    </cfRule>
  </conditionalFormatting>
  <conditionalFormatting sqref="AG38:AG43">
    <cfRule type="cellIs" dxfId="1" priority="973" operator="lessThan">
      <formula>0</formula>
    </cfRule>
    <cfRule type="cellIs" dxfId="1" priority="974" operator="lessThan">
      <formula>0</formula>
    </cfRule>
    <cfRule type="cellIs" dxfId="1" priority="975" operator="lessThan">
      <formula>0</formula>
    </cfRule>
  </conditionalFormatting>
  <conditionalFormatting sqref="AG10:AG12">
    <cfRule type="cellIs" dxfId="1" priority="976" operator="lessThan">
      <formula>0</formula>
    </cfRule>
    <cfRule type="cellIs" dxfId="1" priority="977" operator="lessThan">
      <formula>0</formula>
    </cfRule>
    <cfRule type="cellIs" dxfId="1" priority="978" operator="lessThan">
      <formula>0</formula>
    </cfRule>
  </conditionalFormatting>
  <conditionalFormatting sqref="AG15:AG20">
    <cfRule type="cellIs" dxfId="1" priority="979" operator="lessThan">
      <formula>0</formula>
    </cfRule>
    <cfRule type="cellIs" dxfId="1" priority="980" operator="lessThan">
      <formula>0</formula>
    </cfRule>
    <cfRule type="cellIs" dxfId="1" priority="981" operator="lessThan">
      <formula>0</formula>
    </cfRule>
  </conditionalFormatting>
  <conditionalFormatting sqref="AG21">
    <cfRule type="cellIs" dxfId="1" priority="982" operator="lessThan">
      <formula>0</formula>
    </cfRule>
    <cfRule type="cellIs" dxfId="1" priority="983" operator="lessThan">
      <formula>0</formula>
    </cfRule>
    <cfRule type="cellIs" dxfId="1" priority="984" operator="lessThan">
      <formula>0</formula>
    </cfRule>
  </conditionalFormatting>
  <conditionalFormatting sqref="AG44:AG46">
    <cfRule type="cellIs" dxfId="1" priority="985" operator="lessThan">
      <formula>0</formula>
    </cfRule>
    <cfRule type="cellIs" dxfId="1" priority="986" operator="lessThan">
      <formula>0</formula>
    </cfRule>
    <cfRule type="cellIs" dxfId="1" priority="987" operator="lessThan">
      <formula>0</formula>
    </cfRule>
  </conditionalFormatting>
  <conditionalFormatting sqref="AG30:AG35">
    <cfRule type="cellIs" dxfId="1" priority="988" operator="lessThan">
      <formula>0</formula>
    </cfRule>
    <cfRule type="cellIs" dxfId="1" priority="989" operator="lessThan">
      <formula>0</formula>
    </cfRule>
    <cfRule type="cellIs" dxfId="1" priority="990" operator="lessThan">
      <formula>0</formula>
    </cfRule>
  </conditionalFormatting>
  <conditionalFormatting sqref="AG36">
    <cfRule type="cellIs" dxfId="1" priority="991" operator="lessThan">
      <formula>0</formula>
    </cfRule>
    <cfRule type="cellIs" dxfId="1" priority="992" operator="lessThan">
      <formula>0</formula>
    </cfRule>
    <cfRule type="cellIs" dxfId="1" priority="993" operator="lessThan">
      <formula>0</formula>
    </cfRule>
  </conditionalFormatting>
  <conditionalFormatting sqref="AG37">
    <cfRule type="cellIs" dxfId="1" priority="994" operator="lessThan">
      <formula>0</formula>
    </cfRule>
    <cfRule type="cellIs" dxfId="1" priority="995" operator="lessThan">
      <formula>0</formula>
    </cfRule>
    <cfRule type="cellIs" dxfId="1" priority="996" operator="lessThan">
      <formula>0</formula>
    </cfRule>
  </conditionalFormatting>
  <conditionalFormatting sqref="AG23:AG29">
    <cfRule type="cellIs" dxfId="1" priority="997" operator="lessThan">
      <formula>0</formula>
    </cfRule>
    <cfRule type="cellIs" dxfId="1" priority="998" operator="lessThan">
      <formula>0</formula>
    </cfRule>
    <cfRule type="cellIs" dxfId="1" priority="999" operator="lessThan">
      <formula>0</formula>
    </cfRule>
  </conditionalFormatting>
  <conditionalFormatting sqref="AG63">
    <cfRule type="cellIs" dxfId="1" priority="1000" operator="lessThan">
      <formula>0</formula>
    </cfRule>
    <cfRule type="cellIs" dxfId="1" priority="1001" operator="lessThan">
      <formula>0</formula>
    </cfRule>
    <cfRule type="cellIs" dxfId="1" priority="1002" operator="lessThan">
      <formula>0</formula>
    </cfRule>
  </conditionalFormatting>
  <conditionalFormatting sqref="AG51:AG56">
    <cfRule type="cellIs" dxfId="1" priority="1003" operator="lessThan">
      <formula>0</formula>
    </cfRule>
    <cfRule type="cellIs" dxfId="1" priority="1004" operator="lessThan">
      <formula>0</formula>
    </cfRule>
    <cfRule type="cellIs" dxfId="1" priority="1005" operator="lessThan">
      <formula>0</formula>
    </cfRule>
  </conditionalFormatting>
  <conditionalFormatting sqref="AG57:AG61">
    <cfRule type="cellIs" dxfId="1" priority="1006" operator="lessThan">
      <formula>0</formula>
    </cfRule>
    <cfRule type="cellIs" dxfId="1" priority="1007" operator="lessThan">
      <formula>0</formula>
    </cfRule>
    <cfRule type="cellIs" dxfId="1" priority="1008" operator="lessThan">
      <formula>0</formula>
    </cfRule>
  </conditionalFormatting>
  <conditionalFormatting sqref="AG62">
    <cfRule type="cellIs" dxfId="1" priority="1009" operator="lessThan">
      <formula>0</formula>
    </cfRule>
    <cfRule type="cellIs" dxfId="1" priority="1010" operator="lessThan">
      <formula>0</formula>
    </cfRule>
    <cfRule type="cellIs" dxfId="1" priority="1011" operator="lessThan">
      <formula>0</formula>
    </cfRule>
  </conditionalFormatting>
  <conditionalFormatting sqref="AG78">
    <cfRule type="cellIs" dxfId="1" priority="1012" operator="lessThan">
      <formula>0</formula>
    </cfRule>
    <cfRule type="cellIs" dxfId="1" priority="1013" operator="lessThan">
      <formula>0</formula>
    </cfRule>
    <cfRule type="cellIs" dxfId="1" priority="1014" operator="lessThan">
      <formula>0</formula>
    </cfRule>
  </conditionalFormatting>
  <conditionalFormatting sqref="AG66:AG71">
    <cfRule type="cellIs" dxfId="1" priority="1015" operator="lessThan">
      <formula>0</formula>
    </cfRule>
    <cfRule type="cellIs" dxfId="1" priority="1016" operator="lessThan">
      <formula>0</formula>
    </cfRule>
    <cfRule type="cellIs" dxfId="1" priority="1017" operator="lessThan">
      <formula>0</formula>
    </cfRule>
  </conditionalFormatting>
  <conditionalFormatting sqref="AG72:AG76">
    <cfRule type="cellIs" dxfId="1" priority="1018" operator="lessThan">
      <formula>0</formula>
    </cfRule>
    <cfRule type="cellIs" dxfId="1" priority="1019" operator="lessThan">
      <formula>0</formula>
    </cfRule>
    <cfRule type="cellIs" dxfId="1" priority="1020" operator="lessThan">
      <formula>0</formula>
    </cfRule>
  </conditionalFormatting>
  <conditionalFormatting sqref="AG77">
    <cfRule type="cellIs" dxfId="1" priority="1021" operator="lessThan">
      <formula>0</formula>
    </cfRule>
    <cfRule type="cellIs" dxfId="1" priority="1022" operator="lessThan">
      <formula>0</formula>
    </cfRule>
    <cfRule type="cellIs" dxfId="1" priority="1023" operator="lessThan">
      <formula>0</formula>
    </cfRule>
  </conditionalFormatting>
  <conditionalFormatting sqref="AG64">
    <cfRule type="cellIs" dxfId="1" priority="1024" operator="lessThan">
      <formula>0</formula>
    </cfRule>
    <cfRule type="cellIs" dxfId="1" priority="1025" operator="lessThan">
      <formula>0</formula>
    </cfRule>
    <cfRule type="cellIs" dxfId="1" priority="1026" operator="lessThan">
      <formula>0</formula>
    </cfRule>
  </conditionalFormatting>
  <conditionalFormatting sqref="AG65">
    <cfRule type="cellIs" dxfId="1" priority="1027" operator="lessThan">
      <formula>0</formula>
    </cfRule>
    <cfRule type="cellIs" dxfId="1" priority="1028" operator="lessThan">
      <formula>0</formula>
    </cfRule>
    <cfRule type="cellIs" dxfId="1" priority="1029" operator="lessThan">
      <formula>0</formula>
    </cfRule>
  </conditionalFormatting>
  <conditionalFormatting sqref="AG91">
    <cfRule type="cellIs" dxfId="1" priority="1030" operator="lessThan">
      <formula>0</formula>
    </cfRule>
    <cfRule type="cellIs" dxfId="1" priority="1031" operator="lessThan">
      <formula>0</formula>
    </cfRule>
    <cfRule type="cellIs" dxfId="1" priority="1032" operator="lessThan">
      <formula>0</formula>
    </cfRule>
  </conditionalFormatting>
  <conditionalFormatting sqref="AG79:AG84">
    <cfRule type="cellIs" dxfId="1" priority="1033" operator="lessThan">
      <formula>0</formula>
    </cfRule>
    <cfRule type="cellIs" dxfId="1" priority="1034" operator="lessThan">
      <formula>0</formula>
    </cfRule>
    <cfRule type="cellIs" dxfId="1" priority="1035" operator="lessThan">
      <formula>0</formula>
    </cfRule>
  </conditionalFormatting>
  <conditionalFormatting sqref="AG85:AG89">
    <cfRule type="cellIs" dxfId="1" priority="1036" operator="lessThan">
      <formula>0</formula>
    </cfRule>
    <cfRule type="cellIs" dxfId="1" priority="1037" operator="lessThan">
      <formula>0</formula>
    </cfRule>
    <cfRule type="cellIs" dxfId="1" priority="1038" operator="lessThan">
      <formula>0</formula>
    </cfRule>
  </conditionalFormatting>
  <conditionalFormatting sqref="AG90">
    <cfRule type="cellIs" dxfId="1" priority="1039" operator="lessThan">
      <formula>0</formula>
    </cfRule>
    <cfRule type="cellIs" dxfId="1" priority="1040" operator="lessThan">
      <formula>0</formula>
    </cfRule>
    <cfRule type="cellIs" dxfId="1" priority="1041" operator="lessThan">
      <formula>0</formula>
    </cfRule>
  </conditionalFormatting>
  <conditionalFormatting sqref="AF22:AH22">
    <cfRule type="cellIs" dxfId="1" priority="1042" operator="lessThan">
      <formula>0</formula>
    </cfRule>
    <cfRule type="cellIs" dxfId="1" priority="1043" operator="lessThan">
      <formula>0</formula>
    </cfRule>
  </conditionalFormatting>
  <conditionalFormatting sqref="AF38:AH43">
    <cfRule type="cellIs" dxfId="1" priority="1044" operator="lessThan">
      <formula>0</formula>
    </cfRule>
    <cfRule type="cellIs" dxfId="1" priority="1045" operator="lessThan">
      <formula>0</formula>
    </cfRule>
  </conditionalFormatting>
  <conditionalFormatting sqref="AF10:AH12">
    <cfRule type="cellIs" dxfId="1" priority="1046" operator="lessThan">
      <formula>0</formula>
    </cfRule>
    <cfRule type="cellIs" dxfId="1" priority="1047" operator="lessThan">
      <formula>0</formula>
    </cfRule>
  </conditionalFormatting>
  <conditionalFormatting sqref="AF15:AH20">
    <cfRule type="cellIs" dxfId="1" priority="1048" operator="lessThan">
      <formula>0</formula>
    </cfRule>
    <cfRule type="cellIs" dxfId="1" priority="1049" operator="lessThan">
      <formula>0</formula>
    </cfRule>
  </conditionalFormatting>
  <conditionalFormatting sqref="AF21:AH21">
    <cfRule type="cellIs" dxfId="1" priority="1050" operator="lessThan">
      <formula>0</formula>
    </cfRule>
    <cfRule type="cellIs" dxfId="1" priority="1051" operator="lessThan">
      <formula>0</formula>
    </cfRule>
  </conditionalFormatting>
  <conditionalFormatting sqref="AF44:AH46">
    <cfRule type="cellIs" dxfId="1" priority="1052" operator="lessThan">
      <formula>0</formula>
    </cfRule>
    <cfRule type="cellIs" dxfId="1" priority="1053" operator="lessThan">
      <formula>0</formula>
    </cfRule>
  </conditionalFormatting>
  <conditionalFormatting sqref="AF30:AH35">
    <cfRule type="cellIs" dxfId="1" priority="1054" operator="lessThan">
      <formula>0</formula>
    </cfRule>
    <cfRule type="cellIs" dxfId="1" priority="1055" operator="lessThan">
      <formula>0</formula>
    </cfRule>
  </conditionalFormatting>
  <conditionalFormatting sqref="AF36:AH36">
    <cfRule type="cellIs" dxfId="1" priority="1056" operator="lessThan">
      <formula>0</formula>
    </cfRule>
    <cfRule type="cellIs" dxfId="1" priority="1057" operator="lessThan">
      <formula>0</formula>
    </cfRule>
  </conditionalFormatting>
  <conditionalFormatting sqref="AF37:AH37">
    <cfRule type="cellIs" dxfId="1" priority="1058" operator="lessThan">
      <formula>0</formula>
    </cfRule>
    <cfRule type="cellIs" dxfId="1" priority="1059" operator="lessThan">
      <formula>0</formula>
    </cfRule>
  </conditionalFormatting>
  <conditionalFormatting sqref="AF23:AH29">
    <cfRule type="cellIs" dxfId="1" priority="1060" operator="lessThan">
      <formula>0</formula>
    </cfRule>
    <cfRule type="cellIs" dxfId="1" priority="1061" operator="lessThan">
      <formula>0</formula>
    </cfRule>
  </conditionalFormatting>
  <conditionalFormatting sqref="AF63:AH63">
    <cfRule type="cellIs" dxfId="1" priority="1062" operator="lessThan">
      <formula>0</formula>
    </cfRule>
    <cfRule type="cellIs" dxfId="1" priority="1063" operator="lessThan">
      <formula>0</formula>
    </cfRule>
  </conditionalFormatting>
  <conditionalFormatting sqref="AF51:AH56">
    <cfRule type="cellIs" dxfId="1" priority="1064" operator="lessThan">
      <formula>0</formula>
    </cfRule>
    <cfRule type="cellIs" dxfId="1" priority="1065" operator="lessThan">
      <formula>0</formula>
    </cfRule>
  </conditionalFormatting>
  <conditionalFormatting sqref="AF57:AH61">
    <cfRule type="cellIs" dxfId="1" priority="1066" operator="lessThan">
      <formula>0</formula>
    </cfRule>
    <cfRule type="cellIs" dxfId="1" priority="1067" operator="lessThan">
      <formula>0</formula>
    </cfRule>
  </conditionalFormatting>
  <conditionalFormatting sqref="AF62:AH62">
    <cfRule type="cellIs" dxfId="1" priority="1068" operator="lessThan">
      <formula>0</formula>
    </cfRule>
    <cfRule type="cellIs" dxfId="1" priority="1069" operator="lessThan">
      <formula>0</formula>
    </cfRule>
  </conditionalFormatting>
  <conditionalFormatting sqref="AF78:AH78">
    <cfRule type="cellIs" dxfId="1" priority="1070" operator="lessThan">
      <formula>0</formula>
    </cfRule>
    <cfRule type="cellIs" dxfId="1" priority="1071" operator="lessThan">
      <formula>0</formula>
    </cfRule>
  </conditionalFormatting>
  <conditionalFormatting sqref="AF66:AH71">
    <cfRule type="cellIs" dxfId="1" priority="1072" operator="lessThan">
      <formula>0</formula>
    </cfRule>
    <cfRule type="cellIs" dxfId="1" priority="1073" operator="lessThan">
      <formula>0</formula>
    </cfRule>
  </conditionalFormatting>
  <conditionalFormatting sqref="AF72:AH76">
    <cfRule type="cellIs" dxfId="1" priority="1074" operator="lessThan">
      <formula>0</formula>
    </cfRule>
    <cfRule type="cellIs" dxfId="1" priority="1075" operator="lessThan">
      <formula>0</formula>
    </cfRule>
  </conditionalFormatting>
  <conditionalFormatting sqref="AF77:AH77">
    <cfRule type="cellIs" dxfId="1" priority="1076" operator="lessThan">
      <formula>0</formula>
    </cfRule>
    <cfRule type="cellIs" dxfId="1" priority="1077" operator="lessThan">
      <formula>0</formula>
    </cfRule>
  </conditionalFormatting>
  <conditionalFormatting sqref="AF64:AH64">
    <cfRule type="cellIs" dxfId="1" priority="1078" operator="lessThan">
      <formula>0</formula>
    </cfRule>
    <cfRule type="cellIs" dxfId="1" priority="1079" operator="lessThan">
      <formula>0</formula>
    </cfRule>
  </conditionalFormatting>
  <conditionalFormatting sqref="AF65:AH65">
    <cfRule type="cellIs" dxfId="1" priority="1080" operator="lessThan">
      <formula>0</formula>
    </cfRule>
    <cfRule type="cellIs" dxfId="1" priority="1081" operator="lessThan">
      <formula>0</formula>
    </cfRule>
  </conditionalFormatting>
  <conditionalFormatting sqref="AF91:AH91">
    <cfRule type="cellIs" dxfId="1" priority="1082" operator="lessThan">
      <formula>0</formula>
    </cfRule>
    <cfRule type="cellIs" dxfId="1" priority="1083" operator="lessThan">
      <formula>0</formula>
    </cfRule>
  </conditionalFormatting>
  <conditionalFormatting sqref="AF79:AH84">
    <cfRule type="cellIs" dxfId="1" priority="1084" operator="lessThan">
      <formula>0</formula>
    </cfRule>
    <cfRule type="cellIs" dxfId="1" priority="1085" operator="lessThan">
      <formula>0</formula>
    </cfRule>
  </conditionalFormatting>
  <conditionalFormatting sqref="AF85:AH89">
    <cfRule type="cellIs" dxfId="1" priority="1086" operator="lessThan">
      <formula>0</formula>
    </cfRule>
    <cfRule type="cellIs" dxfId="1" priority="1087" operator="lessThan">
      <formula>0</formula>
    </cfRule>
  </conditionalFormatting>
  <conditionalFormatting sqref="AF90:AH90">
    <cfRule type="cellIs" dxfId="1" priority="1088" operator="lessThan">
      <formula>0</formula>
    </cfRule>
    <cfRule type="cellIs" dxfId="1" priority="1089" operator="lessThan">
      <formula>0</formula>
    </cfRule>
  </conditionalFormatting>
  <conditionalFormatting sqref="AI22">
    <cfRule type="cellIs" dxfId="1" priority="1090" operator="lessThan">
      <formula>0</formula>
    </cfRule>
    <cfRule type="cellIs" dxfId="1" priority="1091" operator="lessThan">
      <formula>0</formula>
    </cfRule>
    <cfRule type="cellIs" dxfId="1" priority="1092" operator="lessThan">
      <formula>0</formula>
    </cfRule>
  </conditionalFormatting>
  <conditionalFormatting sqref="AI38:AI43">
    <cfRule type="cellIs" dxfId="1" priority="1093" operator="lessThan">
      <formula>0</formula>
    </cfRule>
    <cfRule type="cellIs" dxfId="1" priority="1094" operator="lessThan">
      <formula>0</formula>
    </cfRule>
    <cfRule type="cellIs" dxfId="1" priority="1095" operator="lessThan">
      <formula>0</formula>
    </cfRule>
  </conditionalFormatting>
  <conditionalFormatting sqref="AI10:AI12">
    <cfRule type="cellIs" dxfId="1" priority="1096" operator="lessThan">
      <formula>0</formula>
    </cfRule>
    <cfRule type="cellIs" dxfId="1" priority="1097" operator="lessThan">
      <formula>0</formula>
    </cfRule>
    <cfRule type="cellIs" dxfId="1" priority="1098" operator="lessThan">
      <formula>0</formula>
    </cfRule>
  </conditionalFormatting>
  <conditionalFormatting sqref="AI15:AI20">
    <cfRule type="cellIs" dxfId="1" priority="1099" operator="lessThan">
      <formula>0</formula>
    </cfRule>
    <cfRule type="cellIs" dxfId="1" priority="1100" operator="lessThan">
      <formula>0</formula>
    </cfRule>
    <cfRule type="cellIs" dxfId="1" priority="1101" operator="lessThan">
      <formula>0</formula>
    </cfRule>
  </conditionalFormatting>
  <conditionalFormatting sqref="AI21">
    <cfRule type="cellIs" dxfId="1" priority="1102" operator="lessThan">
      <formula>0</formula>
    </cfRule>
    <cfRule type="cellIs" dxfId="1" priority="1103" operator="lessThan">
      <formula>0</formula>
    </cfRule>
    <cfRule type="cellIs" dxfId="1" priority="1104" operator="lessThan">
      <formula>0</formula>
    </cfRule>
  </conditionalFormatting>
  <conditionalFormatting sqref="AI44:AI46">
    <cfRule type="cellIs" dxfId="1" priority="1105" operator="lessThan">
      <formula>0</formula>
    </cfRule>
    <cfRule type="cellIs" dxfId="1" priority="1106" operator="lessThan">
      <formula>0</formula>
    </cfRule>
    <cfRule type="cellIs" dxfId="1" priority="1107" operator="lessThan">
      <formula>0</formula>
    </cfRule>
  </conditionalFormatting>
  <conditionalFormatting sqref="AI30:AI35">
    <cfRule type="cellIs" dxfId="1" priority="1108" operator="lessThan">
      <formula>0</formula>
    </cfRule>
    <cfRule type="cellIs" dxfId="1" priority="1109" operator="lessThan">
      <formula>0</formula>
    </cfRule>
    <cfRule type="cellIs" dxfId="1" priority="1110" operator="lessThan">
      <formula>0</formula>
    </cfRule>
  </conditionalFormatting>
  <conditionalFormatting sqref="AI36">
    <cfRule type="cellIs" dxfId="1" priority="1111" operator="lessThan">
      <formula>0</formula>
    </cfRule>
    <cfRule type="cellIs" dxfId="1" priority="1112" operator="lessThan">
      <formula>0</formula>
    </cfRule>
    <cfRule type="cellIs" dxfId="1" priority="1113" operator="lessThan">
      <formula>0</formula>
    </cfRule>
  </conditionalFormatting>
  <conditionalFormatting sqref="AI37">
    <cfRule type="cellIs" dxfId="1" priority="1114" operator="lessThan">
      <formula>0</formula>
    </cfRule>
    <cfRule type="cellIs" dxfId="1" priority="1115" operator="lessThan">
      <formula>0</formula>
    </cfRule>
    <cfRule type="cellIs" dxfId="1" priority="1116" operator="lessThan">
      <formula>0</formula>
    </cfRule>
  </conditionalFormatting>
  <conditionalFormatting sqref="AI23:AI29">
    <cfRule type="cellIs" dxfId="1" priority="1117" operator="lessThan">
      <formula>0</formula>
    </cfRule>
    <cfRule type="cellIs" dxfId="1" priority="1118" operator="lessThan">
      <formula>0</formula>
    </cfRule>
    <cfRule type="cellIs" dxfId="1" priority="1119" operator="lessThan">
      <formula>0</formula>
    </cfRule>
  </conditionalFormatting>
  <conditionalFormatting sqref="AI63">
    <cfRule type="cellIs" dxfId="1" priority="1120" operator="lessThan">
      <formula>0</formula>
    </cfRule>
    <cfRule type="cellIs" dxfId="1" priority="1121" operator="lessThan">
      <formula>0</formula>
    </cfRule>
    <cfRule type="cellIs" dxfId="1" priority="1122" operator="lessThan">
      <formula>0</formula>
    </cfRule>
  </conditionalFormatting>
  <conditionalFormatting sqref="AI51:AI56">
    <cfRule type="cellIs" dxfId="1" priority="1123" operator="lessThan">
      <formula>0</formula>
    </cfRule>
    <cfRule type="cellIs" dxfId="1" priority="1124" operator="lessThan">
      <formula>0</formula>
    </cfRule>
    <cfRule type="cellIs" dxfId="1" priority="1125" operator="lessThan">
      <formula>0</formula>
    </cfRule>
  </conditionalFormatting>
  <conditionalFormatting sqref="AI57:AI61">
    <cfRule type="cellIs" dxfId="1" priority="1126" operator="lessThan">
      <formula>0</formula>
    </cfRule>
    <cfRule type="cellIs" dxfId="1" priority="1127" operator="lessThan">
      <formula>0</formula>
    </cfRule>
    <cfRule type="cellIs" dxfId="1" priority="1128" operator="lessThan">
      <formula>0</formula>
    </cfRule>
  </conditionalFormatting>
  <conditionalFormatting sqref="AI62">
    <cfRule type="cellIs" dxfId="1" priority="1129" operator="lessThan">
      <formula>0</formula>
    </cfRule>
    <cfRule type="cellIs" dxfId="1" priority="1130" operator="lessThan">
      <formula>0</formula>
    </cfRule>
    <cfRule type="cellIs" dxfId="1" priority="1131" operator="lessThan">
      <formula>0</formula>
    </cfRule>
  </conditionalFormatting>
  <conditionalFormatting sqref="AI78">
    <cfRule type="cellIs" dxfId="1" priority="1132" operator="lessThan">
      <formula>0</formula>
    </cfRule>
    <cfRule type="cellIs" dxfId="1" priority="1133" operator="lessThan">
      <formula>0</formula>
    </cfRule>
    <cfRule type="cellIs" dxfId="1" priority="1134" operator="lessThan">
      <formula>0</formula>
    </cfRule>
  </conditionalFormatting>
  <conditionalFormatting sqref="AI66:AI71">
    <cfRule type="cellIs" dxfId="1" priority="1135" operator="lessThan">
      <formula>0</formula>
    </cfRule>
    <cfRule type="cellIs" dxfId="1" priority="1136" operator="lessThan">
      <formula>0</formula>
    </cfRule>
    <cfRule type="cellIs" dxfId="1" priority="1137" operator="lessThan">
      <formula>0</formula>
    </cfRule>
  </conditionalFormatting>
  <conditionalFormatting sqref="AI72:AI76">
    <cfRule type="cellIs" dxfId="1" priority="1138" operator="lessThan">
      <formula>0</formula>
    </cfRule>
    <cfRule type="cellIs" dxfId="1" priority="1139" operator="lessThan">
      <formula>0</formula>
    </cfRule>
    <cfRule type="cellIs" dxfId="1" priority="1140" operator="lessThan">
      <formula>0</formula>
    </cfRule>
  </conditionalFormatting>
  <conditionalFormatting sqref="AI77">
    <cfRule type="cellIs" dxfId="1" priority="1141" operator="lessThan">
      <formula>0</formula>
    </cfRule>
    <cfRule type="cellIs" dxfId="1" priority="1142" operator="lessThan">
      <formula>0</formula>
    </cfRule>
    <cfRule type="cellIs" dxfId="1" priority="1143" operator="lessThan">
      <formula>0</formula>
    </cfRule>
  </conditionalFormatting>
  <conditionalFormatting sqref="AI64">
    <cfRule type="cellIs" dxfId="1" priority="1144" operator="lessThan">
      <formula>0</formula>
    </cfRule>
    <cfRule type="cellIs" dxfId="1" priority="1145" operator="lessThan">
      <formula>0</formula>
    </cfRule>
    <cfRule type="cellIs" dxfId="1" priority="1146" operator="lessThan">
      <formula>0</formula>
    </cfRule>
  </conditionalFormatting>
  <conditionalFormatting sqref="AI65">
    <cfRule type="cellIs" dxfId="1" priority="1147" operator="lessThan">
      <formula>0</formula>
    </cfRule>
    <cfRule type="cellIs" dxfId="1" priority="1148" operator="lessThan">
      <formula>0</formula>
    </cfRule>
    <cfRule type="cellIs" dxfId="1" priority="1149" operator="lessThan">
      <formula>0</formula>
    </cfRule>
  </conditionalFormatting>
  <conditionalFormatting sqref="AI91">
    <cfRule type="cellIs" dxfId="1" priority="1150" operator="lessThan">
      <formula>0</formula>
    </cfRule>
    <cfRule type="cellIs" dxfId="1" priority="1151" operator="lessThan">
      <formula>0</formula>
    </cfRule>
    <cfRule type="cellIs" dxfId="1" priority="1152" operator="lessThan">
      <formula>0</formula>
    </cfRule>
  </conditionalFormatting>
  <conditionalFormatting sqref="AI79:AI84">
    <cfRule type="cellIs" dxfId="1" priority="1153" operator="lessThan">
      <formula>0</formula>
    </cfRule>
    <cfRule type="cellIs" dxfId="1" priority="1154" operator="lessThan">
      <formula>0</formula>
    </cfRule>
    <cfRule type="cellIs" dxfId="1" priority="1155" operator="lessThan">
      <formula>0</formula>
    </cfRule>
  </conditionalFormatting>
  <conditionalFormatting sqref="AI85:AI89">
    <cfRule type="cellIs" dxfId="1" priority="1156" operator="lessThan">
      <formula>0</formula>
    </cfRule>
    <cfRule type="cellIs" dxfId="1" priority="1157" operator="lessThan">
      <formula>0</formula>
    </cfRule>
    <cfRule type="cellIs" dxfId="1" priority="1158" operator="lessThan">
      <formula>0</formula>
    </cfRule>
  </conditionalFormatting>
  <conditionalFormatting sqref="AI90">
    <cfRule type="cellIs" dxfId="1" priority="1159" operator="lessThan">
      <formula>0</formula>
    </cfRule>
    <cfRule type="cellIs" dxfId="1" priority="1160" operator="lessThan">
      <formula>0</formula>
    </cfRule>
    <cfRule type="cellIs" dxfId="1" priority="1161" operator="lessThan">
      <formula>0</formula>
    </cfRule>
  </conditionalFormatting>
  <conditionalFormatting sqref="AR38:AR43">
    <cfRule type="cellIs" dxfId="1" priority="1162" operator="lessThan">
      <formula>0</formula>
    </cfRule>
    <cfRule type="cellIs" dxfId="1" priority="1163" operator="lessThan">
      <formula>0</formula>
    </cfRule>
  </conditionalFormatting>
  <conditionalFormatting sqref="AR22">
    <cfRule type="cellIs" dxfId="1" priority="1164" operator="lessThan">
      <formula>0</formula>
    </cfRule>
    <cfRule type="cellIs" dxfId="1" priority="1165" operator="lessThan">
      <formula>0</formula>
    </cfRule>
  </conditionalFormatting>
  <conditionalFormatting sqref="AR10">
    <cfRule type="cellIs" dxfId="1" priority="1166" operator="lessThan">
      <formula>0</formula>
    </cfRule>
    <cfRule type="cellIs" dxfId="1" priority="1167" operator="lessThan">
      <formula>0</formula>
    </cfRule>
  </conditionalFormatting>
  <conditionalFormatting sqref="AR12">
    <cfRule type="cellIs" dxfId="1" priority="1168" operator="lessThan">
      <formula>0</formula>
    </cfRule>
    <cfRule type="cellIs" dxfId="1" priority="1169" operator="lessThan">
      <formula>0</formula>
    </cfRule>
  </conditionalFormatting>
  <conditionalFormatting sqref="AR15:AR20">
    <cfRule type="cellIs" dxfId="1" priority="1170" operator="lessThan">
      <formula>0</formula>
    </cfRule>
    <cfRule type="cellIs" dxfId="1" priority="1171" operator="lessThan">
      <formula>0</formula>
    </cfRule>
  </conditionalFormatting>
  <conditionalFormatting sqref="AR21">
    <cfRule type="cellIs" dxfId="1" priority="1172" operator="lessThan">
      <formula>0</formula>
    </cfRule>
    <cfRule type="cellIs" dxfId="1" priority="1173" operator="lessThan">
      <formula>0</formula>
    </cfRule>
  </conditionalFormatting>
  <conditionalFormatting sqref="AR44:AR46">
    <cfRule type="cellIs" dxfId="1" priority="1174" operator="lessThan">
      <formula>0</formula>
    </cfRule>
    <cfRule type="cellIs" dxfId="1" priority="1175" operator="lessThan">
      <formula>0</formula>
    </cfRule>
  </conditionalFormatting>
  <conditionalFormatting sqref="AR30:AR35">
    <cfRule type="cellIs" dxfId="1" priority="1176" operator="lessThan">
      <formula>0</formula>
    </cfRule>
    <cfRule type="cellIs" dxfId="1" priority="1177" operator="lessThan">
      <formula>0</formula>
    </cfRule>
  </conditionalFormatting>
  <conditionalFormatting sqref="AR36">
    <cfRule type="cellIs" dxfId="1" priority="1178" operator="lessThan">
      <formula>0</formula>
    </cfRule>
    <cfRule type="cellIs" dxfId="1" priority="1179" operator="lessThan">
      <formula>0</formula>
    </cfRule>
  </conditionalFormatting>
  <conditionalFormatting sqref="AR23">
    <cfRule type="cellIs" dxfId="1" priority="1180" operator="lessThan">
      <formula>0</formula>
    </cfRule>
    <cfRule type="cellIs" dxfId="1" priority="1181" operator="lessThan">
      <formula>0</formula>
    </cfRule>
  </conditionalFormatting>
  <conditionalFormatting sqref="AR37">
    <cfRule type="cellIs" dxfId="1" priority="1182" operator="lessThan">
      <formula>0</formula>
    </cfRule>
    <cfRule type="cellIs" dxfId="1" priority="1183" operator="lessThan">
      <formula>0</formula>
    </cfRule>
  </conditionalFormatting>
  <conditionalFormatting sqref="AR25:AR29">
    <cfRule type="cellIs" dxfId="1" priority="1184" operator="lessThan">
      <formula>0</formula>
    </cfRule>
    <cfRule type="cellIs" dxfId="1" priority="1185" operator="lessThan">
      <formula>0</formula>
    </cfRule>
  </conditionalFormatting>
  <conditionalFormatting sqref="AR51:AR56">
    <cfRule type="cellIs" dxfId="1" priority="1186" operator="lessThan">
      <formula>0</formula>
    </cfRule>
    <cfRule type="cellIs" dxfId="1" priority="1187" operator="lessThan">
      <formula>0</formula>
    </cfRule>
  </conditionalFormatting>
  <conditionalFormatting sqref="AR63">
    <cfRule type="cellIs" dxfId="1" priority="1188" operator="lessThan">
      <formula>0</formula>
    </cfRule>
    <cfRule type="cellIs" dxfId="1" priority="1189" operator="lessThan">
      <formula>0</formula>
    </cfRule>
  </conditionalFormatting>
  <conditionalFormatting sqref="AR57:AR61">
    <cfRule type="cellIs" dxfId="1" priority="1190" operator="lessThan">
      <formula>0</formula>
    </cfRule>
    <cfRule type="cellIs" dxfId="1" priority="1191" operator="lessThan">
      <formula>0</formula>
    </cfRule>
  </conditionalFormatting>
  <conditionalFormatting sqref="AR62">
    <cfRule type="cellIs" dxfId="1" priority="1192" operator="lessThan">
      <formula>0</formula>
    </cfRule>
    <cfRule type="cellIs" dxfId="1" priority="1193" operator="lessThan">
      <formula>0</formula>
    </cfRule>
  </conditionalFormatting>
  <conditionalFormatting sqref="AR66:AR71">
    <cfRule type="cellIs" dxfId="1" priority="1194" operator="lessThan">
      <formula>0</formula>
    </cfRule>
    <cfRule type="cellIs" dxfId="1" priority="1195" operator="lessThan">
      <formula>0</formula>
    </cfRule>
  </conditionalFormatting>
  <conditionalFormatting sqref="AR78">
    <cfRule type="cellIs" dxfId="1" priority="1196" operator="lessThan">
      <formula>0</formula>
    </cfRule>
    <cfRule type="cellIs" dxfId="1" priority="1197" operator="lessThan">
      <formula>0</formula>
    </cfRule>
  </conditionalFormatting>
  <conditionalFormatting sqref="AR72:AR76">
    <cfRule type="cellIs" dxfId="1" priority="1198" operator="lessThan">
      <formula>0</formula>
    </cfRule>
    <cfRule type="cellIs" dxfId="1" priority="1199" operator="lessThan">
      <formula>0</formula>
    </cfRule>
  </conditionalFormatting>
  <conditionalFormatting sqref="AR77">
    <cfRule type="cellIs" dxfId="1" priority="1200" operator="lessThan">
      <formula>0</formula>
    </cfRule>
    <cfRule type="cellIs" dxfId="1" priority="1201" operator="lessThan">
      <formula>0</formula>
    </cfRule>
  </conditionalFormatting>
  <conditionalFormatting sqref="AR64">
    <cfRule type="cellIs" dxfId="1" priority="1202" operator="lessThan">
      <formula>0</formula>
    </cfRule>
    <cfRule type="cellIs" dxfId="1" priority="1203" operator="lessThan">
      <formula>0</formula>
    </cfRule>
  </conditionalFormatting>
  <conditionalFormatting sqref="AR65">
    <cfRule type="cellIs" dxfId="1" priority="1204" operator="lessThan">
      <formula>0</formula>
    </cfRule>
    <cfRule type="cellIs" dxfId="1" priority="1205" operator="lessThan">
      <formula>0</formula>
    </cfRule>
  </conditionalFormatting>
  <conditionalFormatting sqref="AR79:AR84">
    <cfRule type="cellIs" dxfId="1" priority="1206" operator="lessThan">
      <formula>0</formula>
    </cfRule>
    <cfRule type="cellIs" dxfId="1" priority="1207" operator="lessThan">
      <formula>0</formula>
    </cfRule>
  </conditionalFormatting>
  <conditionalFormatting sqref="AR91">
    <cfRule type="cellIs" dxfId="1" priority="1208" operator="lessThan">
      <formula>0</formula>
    </cfRule>
    <cfRule type="cellIs" dxfId="1" priority="1209" operator="lessThan">
      <formula>0</formula>
    </cfRule>
  </conditionalFormatting>
  <conditionalFormatting sqref="AR85:AR89">
    <cfRule type="cellIs" dxfId="1" priority="1210" operator="lessThan">
      <formula>0</formula>
    </cfRule>
    <cfRule type="cellIs" dxfId="1" priority="1211" operator="lessThan">
      <formula>0</formula>
    </cfRule>
  </conditionalFormatting>
  <conditionalFormatting sqref="AR90">
    <cfRule type="cellIs" dxfId="1" priority="1212" operator="lessThan">
      <formula>0</formula>
    </cfRule>
    <cfRule type="cellIs" dxfId="1" priority="1213" operator="lessThan">
      <formula>0</formula>
    </cfRule>
  </conditionalFormatting>
  <conditionalFormatting sqref="AR11">
    <cfRule type="cellIs" dxfId="1" priority="1214" operator="lessThan">
      <formula>0</formula>
    </cfRule>
    <cfRule type="cellIs" dxfId="1" priority="1215" operator="lessThan">
      <formula>0</formula>
    </cfRule>
  </conditionalFormatting>
  <conditionalFormatting sqref="AZ22">
    <cfRule type="cellIs" dxfId="1" priority="1216" operator="lessThan">
      <formula>0</formula>
    </cfRule>
    <cfRule type="cellIs" dxfId="1" priority="1217" operator="lessThan">
      <formula>0</formula>
    </cfRule>
    <cfRule type="cellIs" dxfId="1" priority="1218" operator="lessThan">
      <formula>0</formula>
    </cfRule>
    <cfRule type="cellIs" dxfId="1" priority="1219" operator="lessThan">
      <formula>0</formula>
    </cfRule>
  </conditionalFormatting>
  <conditionalFormatting sqref="AZ38:AZ43">
    <cfRule type="cellIs" dxfId="1" priority="1220" operator="lessThan">
      <formula>0</formula>
    </cfRule>
    <cfRule type="cellIs" dxfId="1" priority="1221" operator="lessThan">
      <formula>0</formula>
    </cfRule>
    <cfRule type="cellIs" dxfId="1" priority="1222" operator="lessThan">
      <formula>0</formula>
    </cfRule>
    <cfRule type="cellIs" dxfId="1" priority="1223" operator="lessThan">
      <formula>0</formula>
    </cfRule>
  </conditionalFormatting>
  <conditionalFormatting sqref="AZ10">
    <cfRule type="cellIs" dxfId="1" priority="1224" operator="lessThan">
      <formula>0</formula>
    </cfRule>
    <cfRule type="cellIs" dxfId="1" priority="1225" operator="lessThan">
      <formula>0</formula>
    </cfRule>
  </conditionalFormatting>
  <conditionalFormatting sqref="AZ12">
    <cfRule type="cellIs" dxfId="1" priority="1226" operator="lessThan">
      <formula>0</formula>
    </cfRule>
    <cfRule type="cellIs" dxfId="1" priority="1227" operator="lessThan">
      <formula>0</formula>
    </cfRule>
  </conditionalFormatting>
  <conditionalFormatting sqref="AZ15:AZ20">
    <cfRule type="cellIs" dxfId="1" priority="1228" operator="lessThan">
      <formula>0</formula>
    </cfRule>
    <cfRule type="cellIs" dxfId="1" priority="1229" operator="lessThan">
      <formula>0</formula>
    </cfRule>
    <cfRule type="cellIs" dxfId="1" priority="1230" operator="lessThan">
      <formula>0</formula>
    </cfRule>
    <cfRule type="cellIs" dxfId="1" priority="1231" operator="lessThan">
      <formula>0</formula>
    </cfRule>
  </conditionalFormatting>
  <conditionalFormatting sqref="AZ21">
    <cfRule type="cellIs" dxfId="1" priority="1232" operator="lessThan">
      <formula>0</formula>
    </cfRule>
    <cfRule type="cellIs" dxfId="1" priority="1233" operator="lessThan">
      <formula>0</formula>
    </cfRule>
    <cfRule type="cellIs" dxfId="1" priority="1234" operator="lessThan">
      <formula>0</formula>
    </cfRule>
    <cfRule type="cellIs" dxfId="1" priority="1235" operator="lessThan">
      <formula>0</formula>
    </cfRule>
  </conditionalFormatting>
  <conditionalFormatting sqref="AZ44:AZ46">
    <cfRule type="cellIs" dxfId="1" priority="1236" operator="lessThan">
      <formula>0</formula>
    </cfRule>
    <cfRule type="cellIs" dxfId="1" priority="1237" operator="lessThan">
      <formula>0</formula>
    </cfRule>
    <cfRule type="cellIs" dxfId="1" priority="1238" operator="lessThan">
      <formula>0</formula>
    </cfRule>
    <cfRule type="cellIs" dxfId="1" priority="1239" operator="lessThan">
      <formula>0</formula>
    </cfRule>
  </conditionalFormatting>
  <conditionalFormatting sqref="AZ30:AZ35">
    <cfRule type="cellIs" dxfId="1" priority="1240" operator="lessThan">
      <formula>0</formula>
    </cfRule>
    <cfRule type="cellIs" dxfId="1" priority="1241" operator="lessThan">
      <formula>0</formula>
    </cfRule>
    <cfRule type="cellIs" dxfId="1" priority="1242" operator="lessThan">
      <formula>0</formula>
    </cfRule>
    <cfRule type="cellIs" dxfId="1" priority="1243" operator="lessThan">
      <formula>0</formula>
    </cfRule>
  </conditionalFormatting>
  <conditionalFormatting sqref="AZ36">
    <cfRule type="cellIs" dxfId="1" priority="1244" operator="lessThan">
      <formula>0</formula>
    </cfRule>
    <cfRule type="cellIs" dxfId="1" priority="1245" operator="lessThan">
      <formula>0</formula>
    </cfRule>
    <cfRule type="cellIs" dxfId="1" priority="1246" operator="lessThan">
      <formula>0</formula>
    </cfRule>
    <cfRule type="cellIs" dxfId="1" priority="1247" operator="lessThan">
      <formula>0</formula>
    </cfRule>
  </conditionalFormatting>
  <conditionalFormatting sqref="AZ37">
    <cfRule type="cellIs" dxfId="1" priority="1248" operator="lessThan">
      <formula>0</formula>
    </cfRule>
    <cfRule type="cellIs" dxfId="1" priority="1249" operator="lessThan">
      <formula>0</formula>
    </cfRule>
    <cfRule type="cellIs" dxfId="1" priority="1250" operator="lessThan">
      <formula>0</formula>
    </cfRule>
    <cfRule type="cellIs" dxfId="1" priority="1251" operator="lessThan">
      <formula>0</formula>
    </cfRule>
  </conditionalFormatting>
  <conditionalFormatting sqref="AZ23:AZ24">
    <cfRule type="cellIs" dxfId="1" priority="1252" operator="lessThan">
      <formula>0</formula>
    </cfRule>
    <cfRule type="cellIs" dxfId="1" priority="1253" operator="lessThan">
      <formula>0</formula>
    </cfRule>
    <cfRule type="cellIs" dxfId="1" priority="1254" operator="lessThan">
      <formula>0</formula>
    </cfRule>
    <cfRule type="cellIs" dxfId="1" priority="1255" operator="lessThan">
      <formula>0</formula>
    </cfRule>
  </conditionalFormatting>
  <conditionalFormatting sqref="AZ27:AZ29">
    <cfRule type="cellIs" dxfId="1" priority="1256" operator="lessThan">
      <formula>0</formula>
    </cfRule>
    <cfRule type="cellIs" dxfId="1" priority="1257" operator="lessThan">
      <formula>0</formula>
    </cfRule>
    <cfRule type="cellIs" dxfId="1" priority="1258" operator="lessThan">
      <formula>0</formula>
    </cfRule>
    <cfRule type="cellIs" dxfId="1" priority="1259" operator="lessThan">
      <formula>0</formula>
    </cfRule>
  </conditionalFormatting>
  <conditionalFormatting sqref="BA24">
    <cfRule type="cellIs" dxfId="1" priority="1260" operator="lessThan">
      <formula>0</formula>
    </cfRule>
    <cfRule type="cellIs" dxfId="1" priority="1261" operator="lessThan">
      <formula>0</formula>
    </cfRule>
    <cfRule type="cellIs" dxfId="1" priority="1262" operator="lessThan">
      <formula>0</formula>
    </cfRule>
    <cfRule type="cellIs" dxfId="1" priority="1263" operator="lessThan">
      <formula>0</formula>
    </cfRule>
  </conditionalFormatting>
  <conditionalFormatting sqref="AZ63">
    <cfRule type="cellIs" dxfId="1" priority="1264" operator="lessThan">
      <formula>0</formula>
    </cfRule>
    <cfRule type="cellIs" dxfId="1" priority="1265" operator="lessThan">
      <formula>0</formula>
    </cfRule>
    <cfRule type="cellIs" dxfId="1" priority="1266" operator="lessThan">
      <formula>0</formula>
    </cfRule>
    <cfRule type="cellIs" dxfId="1" priority="1267" operator="lessThan">
      <formula>0</formula>
    </cfRule>
  </conditionalFormatting>
  <conditionalFormatting sqref="AZ51:AZ56">
    <cfRule type="cellIs" dxfId="1" priority="1268" operator="lessThan">
      <formula>0</formula>
    </cfRule>
    <cfRule type="cellIs" dxfId="1" priority="1269" operator="lessThan">
      <formula>0</formula>
    </cfRule>
    <cfRule type="cellIs" dxfId="1" priority="1270" operator="lessThan">
      <formula>0</formula>
    </cfRule>
    <cfRule type="cellIs" dxfId="1" priority="1271" operator="lessThan">
      <formula>0</formula>
    </cfRule>
  </conditionalFormatting>
  <conditionalFormatting sqref="AZ57:AZ61">
    <cfRule type="cellIs" dxfId="1" priority="1272" operator="lessThan">
      <formula>0</formula>
    </cfRule>
    <cfRule type="cellIs" dxfId="1" priority="1273" operator="lessThan">
      <formula>0</formula>
    </cfRule>
    <cfRule type="cellIs" dxfId="1" priority="1274" operator="lessThan">
      <formula>0</formula>
    </cfRule>
    <cfRule type="cellIs" dxfId="1" priority="1275" operator="lessThan">
      <formula>0</formula>
    </cfRule>
  </conditionalFormatting>
  <conditionalFormatting sqref="AZ62">
    <cfRule type="cellIs" dxfId="1" priority="1276" operator="lessThan">
      <formula>0</formula>
    </cfRule>
    <cfRule type="cellIs" dxfId="1" priority="1277" operator="lessThan">
      <formula>0</formula>
    </cfRule>
    <cfRule type="cellIs" dxfId="1" priority="1278" operator="lessThan">
      <formula>0</formula>
    </cfRule>
    <cfRule type="cellIs" dxfId="1" priority="1279" operator="lessThan">
      <formula>0</formula>
    </cfRule>
  </conditionalFormatting>
  <conditionalFormatting sqref="AZ78">
    <cfRule type="cellIs" dxfId="1" priority="1280" operator="lessThan">
      <formula>0</formula>
    </cfRule>
    <cfRule type="cellIs" dxfId="1" priority="1281" operator="lessThan">
      <formula>0</formula>
    </cfRule>
    <cfRule type="cellIs" dxfId="1" priority="1282" operator="lessThan">
      <formula>0</formula>
    </cfRule>
    <cfRule type="cellIs" dxfId="1" priority="1283" operator="lessThan">
      <formula>0</formula>
    </cfRule>
  </conditionalFormatting>
  <conditionalFormatting sqref="AZ66:AZ71">
    <cfRule type="cellIs" dxfId="1" priority="1284" operator="lessThan">
      <formula>0</formula>
    </cfRule>
    <cfRule type="cellIs" dxfId="1" priority="1285" operator="lessThan">
      <formula>0</formula>
    </cfRule>
    <cfRule type="cellIs" dxfId="1" priority="1286" operator="lessThan">
      <formula>0</formula>
    </cfRule>
    <cfRule type="cellIs" dxfId="1" priority="1287" operator="lessThan">
      <formula>0</formula>
    </cfRule>
  </conditionalFormatting>
  <conditionalFormatting sqref="AZ72:AZ76">
    <cfRule type="cellIs" dxfId="1" priority="1288" operator="lessThan">
      <formula>0</formula>
    </cfRule>
    <cfRule type="cellIs" dxfId="1" priority="1289" operator="lessThan">
      <formula>0</formula>
    </cfRule>
    <cfRule type="cellIs" dxfId="1" priority="1290" operator="lessThan">
      <formula>0</formula>
    </cfRule>
    <cfRule type="cellIs" dxfId="1" priority="1291" operator="lessThan">
      <formula>0</formula>
    </cfRule>
  </conditionalFormatting>
  <conditionalFormatting sqref="AZ77">
    <cfRule type="cellIs" dxfId="1" priority="1292" operator="lessThan">
      <formula>0</formula>
    </cfRule>
    <cfRule type="cellIs" dxfId="1" priority="1293" operator="lessThan">
      <formula>0</formula>
    </cfRule>
    <cfRule type="cellIs" dxfId="1" priority="1294" operator="lessThan">
      <formula>0</formula>
    </cfRule>
    <cfRule type="cellIs" dxfId="1" priority="1295" operator="lessThan">
      <formula>0</formula>
    </cfRule>
  </conditionalFormatting>
  <conditionalFormatting sqref="AZ64">
    <cfRule type="cellIs" dxfId="1" priority="1296" operator="lessThan">
      <formula>0</formula>
    </cfRule>
    <cfRule type="cellIs" dxfId="1" priority="1297" operator="lessThan">
      <formula>0</formula>
    </cfRule>
    <cfRule type="cellIs" dxfId="1" priority="1298" operator="lessThan">
      <formula>0</formula>
    </cfRule>
    <cfRule type="cellIs" dxfId="1" priority="1299" operator="lessThan">
      <formula>0</formula>
    </cfRule>
  </conditionalFormatting>
  <conditionalFormatting sqref="AZ65">
    <cfRule type="cellIs" dxfId="1" priority="1300" operator="lessThan">
      <formula>0</formula>
    </cfRule>
    <cfRule type="cellIs" dxfId="1" priority="1301" operator="lessThan">
      <formula>0</formula>
    </cfRule>
    <cfRule type="cellIs" dxfId="1" priority="1302" operator="lessThan">
      <formula>0</formula>
    </cfRule>
    <cfRule type="cellIs" dxfId="1" priority="1303" operator="lessThan">
      <formula>0</formula>
    </cfRule>
  </conditionalFormatting>
  <conditionalFormatting sqref="AZ91">
    <cfRule type="cellIs" dxfId="1" priority="1304" operator="lessThan">
      <formula>0</formula>
    </cfRule>
    <cfRule type="cellIs" dxfId="1" priority="1305" operator="lessThan">
      <formula>0</formula>
    </cfRule>
    <cfRule type="cellIs" dxfId="1" priority="1306" operator="lessThan">
      <formula>0</formula>
    </cfRule>
    <cfRule type="cellIs" dxfId="1" priority="1307" operator="lessThan">
      <formula>0</formula>
    </cfRule>
  </conditionalFormatting>
  <conditionalFormatting sqref="AZ79:AZ84">
    <cfRule type="cellIs" dxfId="1" priority="1308" operator="lessThan">
      <formula>0</formula>
    </cfRule>
    <cfRule type="cellIs" dxfId="1" priority="1309" operator="lessThan">
      <formula>0</formula>
    </cfRule>
    <cfRule type="cellIs" dxfId="1" priority="1310" operator="lessThan">
      <formula>0</formula>
    </cfRule>
    <cfRule type="cellIs" dxfId="1" priority="1311" operator="lessThan">
      <formula>0</formula>
    </cfRule>
  </conditionalFormatting>
  <conditionalFormatting sqref="AZ85:AZ89">
    <cfRule type="cellIs" dxfId="1" priority="1312" operator="lessThan">
      <formula>0</formula>
    </cfRule>
    <cfRule type="cellIs" dxfId="1" priority="1313" operator="lessThan">
      <formula>0</formula>
    </cfRule>
    <cfRule type="cellIs" dxfId="1" priority="1314" operator="lessThan">
      <formula>0</formula>
    </cfRule>
    <cfRule type="cellIs" dxfId="1" priority="1315" operator="lessThan">
      <formula>0</formula>
    </cfRule>
  </conditionalFormatting>
  <conditionalFormatting sqref="AZ90">
    <cfRule type="cellIs" dxfId="1" priority="1316" operator="lessThan">
      <formula>0</formula>
    </cfRule>
    <cfRule type="cellIs" dxfId="1" priority="1317" operator="lessThan">
      <formula>0</formula>
    </cfRule>
    <cfRule type="cellIs" dxfId="1" priority="1318" operator="lessThan">
      <formula>0</formula>
    </cfRule>
    <cfRule type="cellIs" dxfId="1" priority="1319" operator="lessThan">
      <formula>0</formula>
    </cfRule>
  </conditionalFormatting>
  <conditionalFormatting sqref="AZ11">
    <cfRule type="cellIs" dxfId="1" priority="1320" operator="lessThan">
      <formula>0</formula>
    </cfRule>
    <cfRule type="cellIs" dxfId="1" priority="1321" operator="lessThan">
      <formula>0</formula>
    </cfRule>
  </conditionalFormatting>
  <conditionalFormatting sqref="AY38:AY43">
    <cfRule type="cellIs" dxfId="1" priority="1322" operator="lessThan">
      <formula>0</formula>
    </cfRule>
    <cfRule type="cellIs" dxfId="1" priority="1323" operator="lessThan">
      <formula>0</formula>
    </cfRule>
    <cfRule type="cellIs" dxfId="1" priority="1324" operator="lessThan">
      <formula>0</formula>
    </cfRule>
    <cfRule type="cellIs" dxfId="1" priority="1325" operator="lessThan">
      <formula>0</formula>
    </cfRule>
    <cfRule type="cellIs" dxfId="1" priority="1326" operator="lessThan">
      <formula>0</formula>
    </cfRule>
    <cfRule type="cellIs" dxfId="1" priority="1327" operator="lessThan">
      <formula>0</formula>
    </cfRule>
  </conditionalFormatting>
  <conditionalFormatting sqref="AY22">
    <cfRule type="cellIs" dxfId="1" priority="1328" operator="lessThan">
      <formula>0</formula>
    </cfRule>
    <cfRule type="cellIs" dxfId="1" priority="1329" operator="lessThan">
      <formula>0</formula>
    </cfRule>
    <cfRule type="cellIs" dxfId="1" priority="1330" operator="lessThan">
      <formula>0</formula>
    </cfRule>
    <cfRule type="cellIs" dxfId="1" priority="1331" operator="lessThan">
      <formula>0</formula>
    </cfRule>
    <cfRule type="cellIs" dxfId="1" priority="1332" operator="lessThan">
      <formula>0</formula>
    </cfRule>
    <cfRule type="cellIs" dxfId="1" priority="1333" operator="lessThan">
      <formula>0</formula>
    </cfRule>
  </conditionalFormatting>
  <conditionalFormatting sqref="AY10:AY12">
    <cfRule type="cellIs" dxfId="1" priority="1334" operator="lessThan">
      <formula>0</formula>
    </cfRule>
    <cfRule type="cellIs" dxfId="1" priority="1335" operator="lessThan">
      <formula>0</formula>
    </cfRule>
  </conditionalFormatting>
  <conditionalFormatting sqref="AY15:AY20">
    <cfRule type="cellIs" dxfId="1" priority="1336" operator="lessThan">
      <formula>0</formula>
    </cfRule>
    <cfRule type="cellIs" dxfId="1" priority="1337" operator="lessThan">
      <formula>0</formula>
    </cfRule>
    <cfRule type="cellIs" dxfId="1" priority="1338" operator="lessThan">
      <formula>0</formula>
    </cfRule>
    <cfRule type="cellIs" dxfId="1" priority="1339" operator="lessThan">
      <formula>0</formula>
    </cfRule>
    <cfRule type="cellIs" dxfId="1" priority="1340" operator="lessThan">
      <formula>0</formula>
    </cfRule>
    <cfRule type="cellIs" dxfId="1" priority="1341" operator="lessThan">
      <formula>0</formula>
    </cfRule>
  </conditionalFormatting>
  <conditionalFormatting sqref="AY21">
    <cfRule type="cellIs" dxfId="1" priority="1342" operator="lessThan">
      <formula>0</formula>
    </cfRule>
    <cfRule type="cellIs" dxfId="1" priority="1343" operator="lessThan">
      <formula>0</formula>
    </cfRule>
    <cfRule type="cellIs" dxfId="1" priority="1344" operator="lessThan">
      <formula>0</formula>
    </cfRule>
    <cfRule type="cellIs" dxfId="1" priority="1345" operator="lessThan">
      <formula>0</formula>
    </cfRule>
    <cfRule type="cellIs" dxfId="1" priority="1346" operator="lessThan">
      <formula>0</formula>
    </cfRule>
    <cfRule type="cellIs" dxfId="1" priority="1347" operator="lessThan">
      <formula>0</formula>
    </cfRule>
  </conditionalFormatting>
  <conditionalFormatting sqref="AY44:AY46">
    <cfRule type="cellIs" dxfId="1" priority="1348" operator="lessThan">
      <formula>0</formula>
    </cfRule>
    <cfRule type="cellIs" dxfId="1" priority="1349" operator="lessThan">
      <formula>0</formula>
    </cfRule>
    <cfRule type="cellIs" dxfId="1" priority="1350" operator="lessThan">
      <formula>0</formula>
    </cfRule>
    <cfRule type="cellIs" dxfId="1" priority="1351" operator="lessThan">
      <formula>0</formula>
    </cfRule>
    <cfRule type="cellIs" dxfId="1" priority="1352" operator="lessThan">
      <formula>0</formula>
    </cfRule>
    <cfRule type="cellIs" dxfId="1" priority="1353" operator="lessThan">
      <formula>0</formula>
    </cfRule>
  </conditionalFormatting>
  <conditionalFormatting sqref="AY30:AY35">
    <cfRule type="cellIs" dxfId="1" priority="1354" operator="lessThan">
      <formula>0</formula>
    </cfRule>
    <cfRule type="cellIs" dxfId="1" priority="1355" operator="lessThan">
      <formula>0</formula>
    </cfRule>
    <cfRule type="cellIs" dxfId="1" priority="1356" operator="lessThan">
      <formula>0</formula>
    </cfRule>
    <cfRule type="cellIs" dxfId="1" priority="1357" operator="lessThan">
      <formula>0</formula>
    </cfRule>
    <cfRule type="cellIs" dxfId="1" priority="1358" operator="lessThan">
      <formula>0</formula>
    </cfRule>
    <cfRule type="cellIs" dxfId="1" priority="1359" operator="lessThan">
      <formula>0</formula>
    </cfRule>
  </conditionalFormatting>
  <conditionalFormatting sqref="AY36">
    <cfRule type="cellIs" dxfId="1" priority="1360" operator="lessThan">
      <formula>0</formula>
    </cfRule>
    <cfRule type="cellIs" dxfId="1" priority="1361" operator="lessThan">
      <formula>0</formula>
    </cfRule>
    <cfRule type="cellIs" dxfId="1" priority="1362" operator="lessThan">
      <formula>0</formula>
    </cfRule>
    <cfRule type="cellIs" dxfId="1" priority="1363" operator="lessThan">
      <formula>0</formula>
    </cfRule>
    <cfRule type="cellIs" dxfId="1" priority="1364" operator="lessThan">
      <formula>0</formula>
    </cfRule>
    <cfRule type="cellIs" dxfId="1" priority="1365" operator="lessThan">
      <formula>0</formula>
    </cfRule>
  </conditionalFormatting>
  <conditionalFormatting sqref="AY23:AY24">
    <cfRule type="cellIs" dxfId="1" priority="1366" operator="lessThan">
      <formula>0</formula>
    </cfRule>
    <cfRule type="cellIs" dxfId="1" priority="1367" operator="lessThan">
      <formula>0</formula>
    </cfRule>
  </conditionalFormatting>
  <conditionalFormatting sqref="AY37">
    <cfRule type="cellIs" dxfId="1" priority="1368" operator="lessThan">
      <formula>0</formula>
    </cfRule>
    <cfRule type="cellIs" dxfId="1" priority="1369" operator="lessThan">
      <formula>0</formula>
    </cfRule>
    <cfRule type="cellIs" dxfId="1" priority="1370" operator="lessThan">
      <formula>0</formula>
    </cfRule>
    <cfRule type="cellIs" dxfId="1" priority="1371" operator="lessThan">
      <formula>0</formula>
    </cfRule>
    <cfRule type="cellIs" dxfId="1" priority="1372" operator="lessThan">
      <formula>0</formula>
    </cfRule>
    <cfRule type="cellIs" dxfId="1" priority="1373" operator="lessThan">
      <formula>0</formula>
    </cfRule>
  </conditionalFormatting>
  <conditionalFormatting sqref="AY27:AY29">
    <cfRule type="cellIs" dxfId="1" priority="1374" operator="lessThan">
      <formula>0</formula>
    </cfRule>
    <cfRule type="cellIs" dxfId="1" priority="1375" operator="lessThan">
      <formula>0</formula>
    </cfRule>
  </conditionalFormatting>
  <conditionalFormatting sqref="AY51:AY56">
    <cfRule type="cellIs" dxfId="1" priority="1376" operator="lessThan">
      <formula>0</formula>
    </cfRule>
    <cfRule type="cellIs" dxfId="1" priority="1377" operator="lessThan">
      <formula>0</formula>
    </cfRule>
    <cfRule type="cellIs" dxfId="1" priority="1378" operator="lessThan">
      <formula>0</formula>
    </cfRule>
    <cfRule type="cellIs" dxfId="1" priority="1379" operator="lessThan">
      <formula>0</formula>
    </cfRule>
    <cfRule type="cellIs" dxfId="1" priority="1380" operator="lessThan">
      <formula>0</formula>
    </cfRule>
    <cfRule type="cellIs" dxfId="1" priority="1381" operator="lessThan">
      <formula>0</formula>
    </cfRule>
  </conditionalFormatting>
  <conditionalFormatting sqref="AY63">
    <cfRule type="cellIs" dxfId="1" priority="1382" operator="lessThan">
      <formula>0</formula>
    </cfRule>
    <cfRule type="cellIs" dxfId="1" priority="1383" operator="lessThan">
      <formula>0</formula>
    </cfRule>
    <cfRule type="cellIs" dxfId="1" priority="1384" operator="lessThan">
      <formula>0</formula>
    </cfRule>
    <cfRule type="cellIs" dxfId="1" priority="1385" operator="lessThan">
      <formula>0</formula>
    </cfRule>
    <cfRule type="cellIs" dxfId="1" priority="1386" operator="lessThan">
      <formula>0</formula>
    </cfRule>
    <cfRule type="cellIs" dxfId="1" priority="1387" operator="lessThan">
      <formula>0</formula>
    </cfRule>
  </conditionalFormatting>
  <conditionalFormatting sqref="AY57:AY61">
    <cfRule type="cellIs" dxfId="1" priority="1388" operator="lessThan">
      <formula>0</formula>
    </cfRule>
    <cfRule type="cellIs" dxfId="1" priority="1389" operator="lessThan">
      <formula>0</formula>
    </cfRule>
    <cfRule type="cellIs" dxfId="1" priority="1390" operator="lessThan">
      <formula>0</formula>
    </cfRule>
    <cfRule type="cellIs" dxfId="1" priority="1391" operator="lessThan">
      <formula>0</formula>
    </cfRule>
    <cfRule type="cellIs" dxfId="1" priority="1392" operator="lessThan">
      <formula>0</formula>
    </cfRule>
    <cfRule type="cellIs" dxfId="1" priority="1393" operator="lessThan">
      <formula>0</formula>
    </cfRule>
  </conditionalFormatting>
  <conditionalFormatting sqref="AY62">
    <cfRule type="cellIs" dxfId="1" priority="1394" operator="lessThan">
      <formula>0</formula>
    </cfRule>
    <cfRule type="cellIs" dxfId="1" priority="1395" operator="lessThan">
      <formula>0</formula>
    </cfRule>
    <cfRule type="cellIs" dxfId="1" priority="1396" operator="lessThan">
      <formula>0</formula>
    </cfRule>
    <cfRule type="cellIs" dxfId="1" priority="1397" operator="lessThan">
      <formula>0</formula>
    </cfRule>
    <cfRule type="cellIs" dxfId="1" priority="1398" operator="lessThan">
      <formula>0</formula>
    </cfRule>
    <cfRule type="cellIs" dxfId="1" priority="1399" operator="lessThan">
      <formula>0</formula>
    </cfRule>
  </conditionalFormatting>
  <conditionalFormatting sqref="AY66:AY71">
    <cfRule type="cellIs" dxfId="1" priority="1400" operator="lessThan">
      <formula>0</formula>
    </cfRule>
    <cfRule type="cellIs" dxfId="1" priority="1401" operator="lessThan">
      <formula>0</formula>
    </cfRule>
    <cfRule type="cellIs" dxfId="1" priority="1402" operator="lessThan">
      <formula>0</formula>
    </cfRule>
    <cfRule type="cellIs" dxfId="1" priority="1403" operator="lessThan">
      <formula>0</formula>
    </cfRule>
    <cfRule type="cellIs" dxfId="1" priority="1404" operator="lessThan">
      <formula>0</formula>
    </cfRule>
    <cfRule type="cellIs" dxfId="1" priority="1405" operator="lessThan">
      <formula>0</formula>
    </cfRule>
  </conditionalFormatting>
  <conditionalFormatting sqref="AY78">
    <cfRule type="cellIs" dxfId="1" priority="1406" operator="lessThan">
      <formula>0</formula>
    </cfRule>
    <cfRule type="cellIs" dxfId="1" priority="1407" operator="lessThan">
      <formula>0</formula>
    </cfRule>
    <cfRule type="cellIs" dxfId="1" priority="1408" operator="lessThan">
      <formula>0</formula>
    </cfRule>
    <cfRule type="cellIs" dxfId="1" priority="1409" operator="lessThan">
      <formula>0</formula>
    </cfRule>
    <cfRule type="cellIs" dxfId="1" priority="1410" operator="lessThan">
      <formula>0</formula>
    </cfRule>
    <cfRule type="cellIs" dxfId="1" priority="1411" operator="lessThan">
      <formula>0</formula>
    </cfRule>
  </conditionalFormatting>
  <conditionalFormatting sqref="AY72:AY76">
    <cfRule type="cellIs" dxfId="1" priority="1412" operator="lessThan">
      <formula>0</formula>
    </cfRule>
    <cfRule type="cellIs" dxfId="1" priority="1413" operator="lessThan">
      <formula>0</formula>
    </cfRule>
    <cfRule type="cellIs" dxfId="1" priority="1414" operator="lessThan">
      <formula>0</formula>
    </cfRule>
    <cfRule type="cellIs" dxfId="1" priority="1415" operator="lessThan">
      <formula>0</formula>
    </cfRule>
    <cfRule type="cellIs" dxfId="1" priority="1416" operator="lessThan">
      <formula>0</formula>
    </cfRule>
    <cfRule type="cellIs" dxfId="1" priority="1417" operator="lessThan">
      <formula>0</formula>
    </cfRule>
  </conditionalFormatting>
  <conditionalFormatting sqref="AY77">
    <cfRule type="cellIs" dxfId="1" priority="1418" operator="lessThan">
      <formula>0</formula>
    </cfRule>
    <cfRule type="cellIs" dxfId="1" priority="1419" operator="lessThan">
      <formula>0</formula>
    </cfRule>
    <cfRule type="cellIs" dxfId="1" priority="1420" operator="lessThan">
      <formula>0</formula>
    </cfRule>
    <cfRule type="cellIs" dxfId="1" priority="1421" operator="lessThan">
      <formula>0</formula>
    </cfRule>
    <cfRule type="cellIs" dxfId="1" priority="1422" operator="lessThan">
      <formula>0</formula>
    </cfRule>
    <cfRule type="cellIs" dxfId="1" priority="1423" operator="lessThan">
      <formula>0</formula>
    </cfRule>
  </conditionalFormatting>
  <conditionalFormatting sqref="AY64">
    <cfRule type="cellIs" dxfId="1" priority="1424" operator="lessThan">
      <formula>0</formula>
    </cfRule>
    <cfRule type="cellIs" dxfId="1" priority="1425" operator="lessThan">
      <formula>0</formula>
    </cfRule>
    <cfRule type="cellIs" dxfId="1" priority="1426" operator="lessThan">
      <formula>0</formula>
    </cfRule>
    <cfRule type="cellIs" dxfId="1" priority="1427" operator="lessThan">
      <formula>0</formula>
    </cfRule>
    <cfRule type="cellIs" dxfId="1" priority="1428" operator="lessThan">
      <formula>0</formula>
    </cfRule>
    <cfRule type="cellIs" dxfId="1" priority="1429" operator="lessThan">
      <formula>0</formula>
    </cfRule>
  </conditionalFormatting>
  <conditionalFormatting sqref="AY65">
    <cfRule type="cellIs" dxfId="1" priority="1430" operator="lessThan">
      <formula>0</formula>
    </cfRule>
    <cfRule type="cellIs" dxfId="1" priority="1431" operator="lessThan">
      <formula>0</formula>
    </cfRule>
    <cfRule type="cellIs" dxfId="1" priority="1432" operator="lessThan">
      <formula>0</formula>
    </cfRule>
    <cfRule type="cellIs" dxfId="1" priority="1433" operator="lessThan">
      <formula>0</formula>
    </cfRule>
    <cfRule type="cellIs" dxfId="1" priority="1434" operator="lessThan">
      <formula>0</formula>
    </cfRule>
    <cfRule type="cellIs" dxfId="1" priority="1435" operator="lessThan">
      <formula>0</formula>
    </cfRule>
  </conditionalFormatting>
  <conditionalFormatting sqref="AY79:AY84">
    <cfRule type="cellIs" dxfId="1" priority="1436" operator="lessThan">
      <formula>0</formula>
    </cfRule>
    <cfRule type="cellIs" dxfId="1" priority="1437" operator="lessThan">
      <formula>0</formula>
    </cfRule>
    <cfRule type="cellIs" dxfId="1" priority="1438" operator="lessThan">
      <formula>0</formula>
    </cfRule>
    <cfRule type="cellIs" dxfId="1" priority="1439" operator="lessThan">
      <formula>0</formula>
    </cfRule>
    <cfRule type="cellIs" dxfId="1" priority="1440" operator="lessThan">
      <formula>0</formula>
    </cfRule>
    <cfRule type="cellIs" dxfId="1" priority="1441" operator="lessThan">
      <formula>0</formula>
    </cfRule>
  </conditionalFormatting>
  <conditionalFormatting sqref="AY91">
    <cfRule type="cellIs" dxfId="1" priority="1442" operator="lessThan">
      <formula>0</formula>
    </cfRule>
    <cfRule type="cellIs" dxfId="1" priority="1443" operator="lessThan">
      <formula>0</formula>
    </cfRule>
    <cfRule type="cellIs" dxfId="1" priority="1444" operator="lessThan">
      <formula>0</formula>
    </cfRule>
    <cfRule type="cellIs" dxfId="1" priority="1445" operator="lessThan">
      <formula>0</formula>
    </cfRule>
    <cfRule type="cellIs" dxfId="1" priority="1446" operator="lessThan">
      <formula>0</formula>
    </cfRule>
    <cfRule type="cellIs" dxfId="1" priority="1447" operator="lessThan">
      <formula>0</formula>
    </cfRule>
  </conditionalFormatting>
  <conditionalFormatting sqref="AY85:AY89">
    <cfRule type="cellIs" dxfId="1" priority="1448" operator="lessThan">
      <formula>0</formula>
    </cfRule>
    <cfRule type="cellIs" dxfId="1" priority="1449" operator="lessThan">
      <formula>0</formula>
    </cfRule>
    <cfRule type="cellIs" dxfId="1" priority="1450" operator="lessThan">
      <formula>0</formula>
    </cfRule>
    <cfRule type="cellIs" dxfId="1" priority="1451" operator="lessThan">
      <formula>0</formula>
    </cfRule>
    <cfRule type="cellIs" dxfId="1" priority="1452" operator="lessThan">
      <formula>0</formula>
    </cfRule>
    <cfRule type="cellIs" dxfId="1" priority="1453" operator="lessThan">
      <formula>0</formula>
    </cfRule>
  </conditionalFormatting>
  <conditionalFormatting sqref="AY90">
    <cfRule type="cellIs" dxfId="1" priority="1454" operator="lessThan">
      <formula>0</formula>
    </cfRule>
    <cfRule type="cellIs" dxfId="1" priority="1455" operator="lessThan">
      <formula>0</formula>
    </cfRule>
    <cfRule type="cellIs" dxfId="1" priority="1456" operator="lessThan">
      <formula>0</formula>
    </cfRule>
    <cfRule type="cellIs" dxfId="1" priority="1457" operator="lessThan">
      <formula>0</formula>
    </cfRule>
    <cfRule type="cellIs" dxfId="1" priority="1458" operator="lessThan">
      <formula>0</formula>
    </cfRule>
    <cfRule type="cellIs" dxfId="1" priority="1459" operator="lessThan">
      <formula>0</formula>
    </cfRule>
  </conditionalFormatting>
  <conditionalFormatting sqref="AZ25:AZ26">
    <cfRule type="cellIs" dxfId="1" priority="1460" operator="lessThan">
      <formula>0</formula>
    </cfRule>
    <cfRule type="cellIs" dxfId="1" priority="1461" operator="lessThan">
      <formula>0</formula>
    </cfRule>
    <cfRule type="cellIs" dxfId="1" priority="1462" operator="lessThan">
      <formula>0</formula>
    </cfRule>
    <cfRule type="cellIs" dxfId="1" priority="1463" operator="lessThan">
      <formula>0</formula>
    </cfRule>
  </conditionalFormatting>
  <conditionalFormatting sqref="AY25:AY26">
    <cfRule type="cellIs" dxfId="1" priority="1464" operator="lessThan">
      <formula>0</formula>
    </cfRule>
    <cfRule type="cellIs" dxfId="1" priority="1465" operator="lessThan">
      <formula>0</formula>
    </cfRule>
  </conditionalFormatting>
  <conditionalFormatting sqref="AX38:AY43">
    <cfRule type="cellIs" dxfId="1" priority="1466" operator="lessThan">
      <formula>0</formula>
    </cfRule>
    <cfRule type="cellIs" dxfId="1" priority="1467" operator="lessThan">
      <formula>0</formula>
    </cfRule>
  </conditionalFormatting>
  <conditionalFormatting sqref="AX22:AY22">
    <cfRule type="cellIs" dxfId="1" priority="1468" operator="lessThan">
      <formula>0</formula>
    </cfRule>
    <cfRule type="cellIs" dxfId="1" priority="1469" operator="lessThan">
      <formula>0</formula>
    </cfRule>
  </conditionalFormatting>
  <conditionalFormatting sqref="AX10:AY10">
    <cfRule type="cellIs" dxfId="1" priority="1470" operator="lessThan">
      <formula>0</formula>
    </cfRule>
    <cfRule type="cellIs" dxfId="1" priority="1471" operator="lessThan">
      <formula>0</formula>
    </cfRule>
  </conditionalFormatting>
  <conditionalFormatting sqref="AX12:AY12">
    <cfRule type="cellIs" dxfId="1" priority="1472" operator="lessThan">
      <formula>0</formula>
    </cfRule>
    <cfRule type="cellIs" dxfId="1" priority="1473" operator="lessThan">
      <formula>0</formula>
    </cfRule>
  </conditionalFormatting>
  <conditionalFormatting sqref="AX15:AY20">
    <cfRule type="cellIs" dxfId="1" priority="1474" operator="lessThan">
      <formula>0</formula>
    </cfRule>
    <cfRule type="cellIs" dxfId="1" priority="1475" operator="lessThan">
      <formula>0</formula>
    </cfRule>
  </conditionalFormatting>
  <conditionalFormatting sqref="AX21:AY21">
    <cfRule type="cellIs" dxfId="1" priority="1476" operator="lessThan">
      <formula>0</formula>
    </cfRule>
    <cfRule type="cellIs" dxfId="1" priority="1477" operator="lessThan">
      <formula>0</formula>
    </cfRule>
  </conditionalFormatting>
  <conditionalFormatting sqref="AX44:AY46">
    <cfRule type="cellIs" dxfId="1" priority="1478" operator="lessThan">
      <formula>0</formula>
    </cfRule>
    <cfRule type="cellIs" dxfId="1" priority="1479" operator="lessThan">
      <formula>0</formula>
    </cfRule>
  </conditionalFormatting>
  <conditionalFormatting sqref="AX30:AY35">
    <cfRule type="cellIs" dxfId="1" priority="1480" operator="lessThan">
      <formula>0</formula>
    </cfRule>
    <cfRule type="cellIs" dxfId="1" priority="1481" operator="lessThan">
      <formula>0</formula>
    </cfRule>
  </conditionalFormatting>
  <conditionalFormatting sqref="AX36:AY36">
    <cfRule type="cellIs" dxfId="1" priority="1482" operator="lessThan">
      <formula>0</formula>
    </cfRule>
    <cfRule type="cellIs" dxfId="1" priority="1483" operator="lessThan">
      <formula>0</formula>
    </cfRule>
  </conditionalFormatting>
  <conditionalFormatting sqref="AX23:AY29">
    <cfRule type="cellIs" dxfId="1" priority="1484" operator="lessThan">
      <formula>0</formula>
    </cfRule>
    <cfRule type="cellIs" dxfId="1" priority="1485" operator="lessThan">
      <formula>0</formula>
    </cfRule>
  </conditionalFormatting>
  <conditionalFormatting sqref="AX37:AY37">
    <cfRule type="cellIs" dxfId="1" priority="1486" operator="lessThan">
      <formula>0</formula>
    </cfRule>
    <cfRule type="cellIs" dxfId="1" priority="1487" operator="lessThan">
      <formula>0</formula>
    </cfRule>
  </conditionalFormatting>
  <conditionalFormatting sqref="AX51:AY56">
    <cfRule type="cellIs" dxfId="1" priority="1488" operator="lessThan">
      <formula>0</formula>
    </cfRule>
    <cfRule type="cellIs" dxfId="1" priority="1489" operator="lessThan">
      <formula>0</formula>
    </cfRule>
  </conditionalFormatting>
  <conditionalFormatting sqref="AX63:AY63">
    <cfRule type="cellIs" dxfId="1" priority="1490" operator="lessThan">
      <formula>0</formula>
    </cfRule>
    <cfRule type="cellIs" dxfId="1" priority="1491" operator="lessThan">
      <formula>0</formula>
    </cfRule>
  </conditionalFormatting>
  <conditionalFormatting sqref="AX57:AY61">
    <cfRule type="cellIs" dxfId="1" priority="1492" operator="lessThan">
      <formula>0</formula>
    </cfRule>
    <cfRule type="cellIs" dxfId="1" priority="1493" operator="lessThan">
      <formula>0</formula>
    </cfRule>
  </conditionalFormatting>
  <conditionalFormatting sqref="AX62:AY62">
    <cfRule type="cellIs" dxfId="1" priority="1494" operator="lessThan">
      <formula>0</formula>
    </cfRule>
    <cfRule type="cellIs" dxfId="1" priority="1495" operator="lessThan">
      <formula>0</formula>
    </cfRule>
  </conditionalFormatting>
  <conditionalFormatting sqref="AX66:AY71">
    <cfRule type="cellIs" dxfId="1" priority="1496" operator="lessThan">
      <formula>0</formula>
    </cfRule>
    <cfRule type="cellIs" dxfId="1" priority="1497" operator="lessThan">
      <formula>0</formula>
    </cfRule>
  </conditionalFormatting>
  <conditionalFormatting sqref="AX78:AY78">
    <cfRule type="cellIs" dxfId="1" priority="1498" operator="lessThan">
      <formula>0</formula>
    </cfRule>
    <cfRule type="cellIs" dxfId="1" priority="1499" operator="lessThan">
      <formula>0</formula>
    </cfRule>
  </conditionalFormatting>
  <conditionalFormatting sqref="AX72:AY76">
    <cfRule type="cellIs" dxfId="1" priority="1500" operator="lessThan">
      <formula>0</formula>
    </cfRule>
    <cfRule type="cellIs" dxfId="1" priority="1501" operator="lessThan">
      <formula>0</formula>
    </cfRule>
  </conditionalFormatting>
  <conditionalFormatting sqref="AX77:AY77">
    <cfRule type="cellIs" dxfId="1" priority="1502" operator="lessThan">
      <formula>0</formula>
    </cfRule>
    <cfRule type="cellIs" dxfId="1" priority="1503" operator="lessThan">
      <formula>0</formula>
    </cfRule>
  </conditionalFormatting>
  <conditionalFormatting sqref="AX64:AY64">
    <cfRule type="cellIs" dxfId="1" priority="1504" operator="lessThan">
      <formula>0</formula>
    </cfRule>
    <cfRule type="cellIs" dxfId="1" priority="1505" operator="lessThan">
      <formula>0</formula>
    </cfRule>
  </conditionalFormatting>
  <conditionalFormatting sqref="AX65:AY65">
    <cfRule type="cellIs" dxfId="1" priority="1506" operator="lessThan">
      <formula>0</formula>
    </cfRule>
    <cfRule type="cellIs" dxfId="1" priority="1507" operator="lessThan">
      <formula>0</formula>
    </cfRule>
  </conditionalFormatting>
  <conditionalFormatting sqref="AX79:AY84">
    <cfRule type="cellIs" dxfId="1" priority="1508" operator="lessThan">
      <formula>0</formula>
    </cfRule>
    <cfRule type="cellIs" dxfId="1" priority="1509" operator="lessThan">
      <formula>0</formula>
    </cfRule>
  </conditionalFormatting>
  <conditionalFormatting sqref="AX91:AY91">
    <cfRule type="cellIs" dxfId="1" priority="1510" operator="lessThan">
      <formula>0</formula>
    </cfRule>
    <cfRule type="cellIs" dxfId="1" priority="1511" operator="lessThan">
      <formula>0</formula>
    </cfRule>
  </conditionalFormatting>
  <conditionalFormatting sqref="AX85:AY89">
    <cfRule type="cellIs" dxfId="1" priority="1512" operator="lessThan">
      <formula>0</formula>
    </cfRule>
    <cfRule type="cellIs" dxfId="1" priority="1513" operator="lessThan">
      <formula>0</formula>
    </cfRule>
  </conditionalFormatting>
  <conditionalFormatting sqref="AX90:AY90">
    <cfRule type="cellIs" dxfId="1" priority="1514" operator="lessThan">
      <formula>0</formula>
    </cfRule>
    <cfRule type="cellIs" dxfId="1" priority="1515" operator="lessThan">
      <formula>0</formula>
    </cfRule>
  </conditionalFormatting>
  <conditionalFormatting sqref="AX22">
    <cfRule type="cellIs" dxfId="1" priority="1516" operator="lessThan">
      <formula>0</formula>
    </cfRule>
    <cfRule type="cellIs" dxfId="1" priority="1517" operator="lessThan">
      <formula>0</formula>
    </cfRule>
    <cfRule type="cellIs" dxfId="1" priority="1518" operator="lessThan">
      <formula>0</formula>
    </cfRule>
  </conditionalFormatting>
  <conditionalFormatting sqref="AX38:AX43">
    <cfRule type="cellIs" dxfId="1" priority="1519" operator="lessThan">
      <formula>0</formula>
    </cfRule>
    <cfRule type="cellIs" dxfId="1" priority="1520" operator="lessThan">
      <formula>0</formula>
    </cfRule>
    <cfRule type="cellIs" dxfId="1" priority="1521" operator="lessThan">
      <formula>0</formula>
    </cfRule>
  </conditionalFormatting>
  <conditionalFormatting sqref="AX10">
    <cfRule type="cellIs" dxfId="1" priority="1522" operator="lessThan">
      <formula>0</formula>
    </cfRule>
    <cfRule type="cellIs" dxfId="1" priority="1523" operator="lessThan">
      <formula>0</formula>
    </cfRule>
    <cfRule type="cellIs" dxfId="1" priority="1524" operator="lessThan">
      <formula>0</formula>
    </cfRule>
  </conditionalFormatting>
  <conditionalFormatting sqref="AX12">
    <cfRule type="cellIs" dxfId="1" priority="1525" operator="lessThan">
      <formula>0</formula>
    </cfRule>
    <cfRule type="cellIs" dxfId="1" priority="1526" operator="lessThan">
      <formula>0</formula>
    </cfRule>
    <cfRule type="cellIs" dxfId="1" priority="1527" operator="lessThan">
      <formula>0</formula>
    </cfRule>
  </conditionalFormatting>
  <conditionalFormatting sqref="AX15:AX20">
    <cfRule type="cellIs" dxfId="1" priority="1528" operator="lessThan">
      <formula>0</formula>
    </cfRule>
    <cfRule type="cellIs" dxfId="1" priority="1529" operator="lessThan">
      <formula>0</formula>
    </cfRule>
    <cfRule type="cellIs" dxfId="1" priority="1530" operator="lessThan">
      <formula>0</formula>
    </cfRule>
  </conditionalFormatting>
  <conditionalFormatting sqref="AX21">
    <cfRule type="cellIs" dxfId="1" priority="1531" operator="lessThan">
      <formula>0</formula>
    </cfRule>
    <cfRule type="cellIs" dxfId="1" priority="1532" operator="lessThan">
      <formula>0</formula>
    </cfRule>
    <cfRule type="cellIs" dxfId="1" priority="1533" operator="lessThan">
      <formula>0</formula>
    </cfRule>
  </conditionalFormatting>
  <conditionalFormatting sqref="AX44:AX46">
    <cfRule type="cellIs" dxfId="1" priority="1534" operator="lessThan">
      <formula>0</formula>
    </cfRule>
    <cfRule type="cellIs" dxfId="1" priority="1535" operator="lessThan">
      <formula>0</formula>
    </cfRule>
    <cfRule type="cellIs" dxfId="1" priority="1536" operator="lessThan">
      <formula>0</formula>
    </cfRule>
  </conditionalFormatting>
  <conditionalFormatting sqref="AX30:AX35">
    <cfRule type="cellIs" dxfId="1" priority="1537" operator="lessThan">
      <formula>0</formula>
    </cfRule>
    <cfRule type="cellIs" dxfId="1" priority="1538" operator="lessThan">
      <formula>0</formula>
    </cfRule>
    <cfRule type="cellIs" dxfId="1" priority="1539" operator="lessThan">
      <formula>0</formula>
    </cfRule>
  </conditionalFormatting>
  <conditionalFormatting sqref="AX36">
    <cfRule type="cellIs" dxfId="1" priority="1540" operator="lessThan">
      <formula>0</formula>
    </cfRule>
    <cfRule type="cellIs" dxfId="1" priority="1541" operator="lessThan">
      <formula>0</formula>
    </cfRule>
    <cfRule type="cellIs" dxfId="1" priority="1542" operator="lessThan">
      <formula>0</formula>
    </cfRule>
  </conditionalFormatting>
  <conditionalFormatting sqref="AX37">
    <cfRule type="cellIs" dxfId="1" priority="1543" operator="lessThan">
      <formula>0</formula>
    </cfRule>
    <cfRule type="cellIs" dxfId="1" priority="1544" operator="lessThan">
      <formula>0</formula>
    </cfRule>
    <cfRule type="cellIs" dxfId="1" priority="1545" operator="lessThan">
      <formula>0</formula>
    </cfRule>
  </conditionalFormatting>
  <conditionalFormatting sqref="AX23:AX29">
    <cfRule type="cellIs" dxfId="1" priority="1546" operator="lessThan">
      <formula>0</formula>
    </cfRule>
    <cfRule type="cellIs" dxfId="1" priority="1547" operator="lessThan">
      <formula>0</formula>
    </cfRule>
    <cfRule type="cellIs" dxfId="1" priority="1548" operator="lessThan">
      <formula>0</formula>
    </cfRule>
  </conditionalFormatting>
  <conditionalFormatting sqref="AX63">
    <cfRule type="cellIs" dxfId="1" priority="1549" operator="lessThan">
      <formula>0</formula>
    </cfRule>
    <cfRule type="cellIs" dxfId="1" priority="1550" operator="lessThan">
      <formula>0</formula>
    </cfRule>
    <cfRule type="cellIs" dxfId="1" priority="1551" operator="lessThan">
      <formula>0</formula>
    </cfRule>
  </conditionalFormatting>
  <conditionalFormatting sqref="AX51:AX56">
    <cfRule type="cellIs" dxfId="1" priority="1552" operator="lessThan">
      <formula>0</formula>
    </cfRule>
    <cfRule type="cellIs" dxfId="1" priority="1553" operator="lessThan">
      <formula>0</formula>
    </cfRule>
    <cfRule type="cellIs" dxfId="1" priority="1554" operator="lessThan">
      <formula>0</formula>
    </cfRule>
  </conditionalFormatting>
  <conditionalFormatting sqref="AX57:AX61">
    <cfRule type="cellIs" dxfId="1" priority="1555" operator="lessThan">
      <formula>0</formula>
    </cfRule>
    <cfRule type="cellIs" dxfId="1" priority="1556" operator="lessThan">
      <formula>0</formula>
    </cfRule>
    <cfRule type="cellIs" dxfId="1" priority="1557" operator="lessThan">
      <formula>0</formula>
    </cfRule>
  </conditionalFormatting>
  <conditionalFormatting sqref="AX62">
    <cfRule type="cellIs" dxfId="1" priority="1558" operator="lessThan">
      <formula>0</formula>
    </cfRule>
    <cfRule type="cellIs" dxfId="1" priority="1559" operator="lessThan">
      <formula>0</formula>
    </cfRule>
    <cfRule type="cellIs" dxfId="1" priority="1560" operator="lessThan">
      <formula>0</formula>
    </cfRule>
  </conditionalFormatting>
  <conditionalFormatting sqref="AX78">
    <cfRule type="cellIs" dxfId="1" priority="1561" operator="lessThan">
      <formula>0</formula>
    </cfRule>
    <cfRule type="cellIs" dxfId="1" priority="1562" operator="lessThan">
      <formula>0</formula>
    </cfRule>
    <cfRule type="cellIs" dxfId="1" priority="1563" operator="lessThan">
      <formula>0</formula>
    </cfRule>
  </conditionalFormatting>
  <conditionalFormatting sqref="AX66:AX71">
    <cfRule type="cellIs" dxfId="1" priority="1564" operator="lessThan">
      <formula>0</formula>
    </cfRule>
    <cfRule type="cellIs" dxfId="1" priority="1565" operator="lessThan">
      <formula>0</formula>
    </cfRule>
    <cfRule type="cellIs" dxfId="1" priority="1566" operator="lessThan">
      <formula>0</formula>
    </cfRule>
  </conditionalFormatting>
  <conditionalFormatting sqref="AX72:AX76">
    <cfRule type="cellIs" dxfId="1" priority="1567" operator="lessThan">
      <formula>0</formula>
    </cfRule>
    <cfRule type="cellIs" dxfId="1" priority="1568" operator="lessThan">
      <formula>0</formula>
    </cfRule>
    <cfRule type="cellIs" dxfId="1" priority="1569" operator="lessThan">
      <formula>0</formula>
    </cfRule>
  </conditionalFormatting>
  <conditionalFormatting sqref="AX77">
    <cfRule type="cellIs" dxfId="1" priority="1570" operator="lessThan">
      <formula>0</formula>
    </cfRule>
    <cfRule type="cellIs" dxfId="1" priority="1571" operator="lessThan">
      <formula>0</formula>
    </cfRule>
    <cfRule type="cellIs" dxfId="1" priority="1572" operator="lessThan">
      <formula>0</formula>
    </cfRule>
  </conditionalFormatting>
  <conditionalFormatting sqref="AX64">
    <cfRule type="cellIs" dxfId="1" priority="1573" operator="lessThan">
      <formula>0</formula>
    </cfRule>
    <cfRule type="cellIs" dxfId="1" priority="1574" operator="lessThan">
      <formula>0</formula>
    </cfRule>
    <cfRule type="cellIs" dxfId="1" priority="1575" operator="lessThan">
      <formula>0</formula>
    </cfRule>
  </conditionalFormatting>
  <conditionalFormatting sqref="AX65">
    <cfRule type="cellIs" dxfId="1" priority="1576" operator="lessThan">
      <formula>0</formula>
    </cfRule>
    <cfRule type="cellIs" dxfId="1" priority="1577" operator="lessThan">
      <formula>0</formula>
    </cfRule>
    <cfRule type="cellIs" dxfId="1" priority="1578" operator="lessThan">
      <formula>0</formula>
    </cfRule>
  </conditionalFormatting>
  <conditionalFormatting sqref="AX91">
    <cfRule type="cellIs" dxfId="1" priority="1579" operator="lessThan">
      <formula>0</formula>
    </cfRule>
    <cfRule type="cellIs" dxfId="1" priority="1580" operator="lessThan">
      <formula>0</formula>
    </cfRule>
    <cfRule type="cellIs" dxfId="1" priority="1581" operator="lessThan">
      <formula>0</formula>
    </cfRule>
  </conditionalFormatting>
  <conditionalFormatting sqref="AX79:AX84">
    <cfRule type="cellIs" dxfId="1" priority="1582" operator="lessThan">
      <formula>0</formula>
    </cfRule>
    <cfRule type="cellIs" dxfId="1" priority="1583" operator="lessThan">
      <formula>0</formula>
    </cfRule>
    <cfRule type="cellIs" dxfId="1" priority="1584" operator="lessThan">
      <formula>0</formula>
    </cfRule>
  </conditionalFormatting>
  <conditionalFormatting sqref="AX85:AX89">
    <cfRule type="cellIs" dxfId="1" priority="1585" operator="lessThan">
      <formula>0</formula>
    </cfRule>
    <cfRule type="cellIs" dxfId="1" priority="1586" operator="lessThan">
      <formula>0</formula>
    </cfRule>
    <cfRule type="cellIs" dxfId="1" priority="1587" operator="lessThan">
      <formula>0</formula>
    </cfRule>
  </conditionalFormatting>
  <conditionalFormatting sqref="AX90">
    <cfRule type="cellIs" dxfId="1" priority="1588" operator="lessThan">
      <formula>0</formula>
    </cfRule>
    <cfRule type="cellIs" dxfId="1" priority="1589" operator="lessThan">
      <formula>0</formula>
    </cfRule>
    <cfRule type="cellIs" dxfId="1" priority="1590" operator="lessThan">
      <formula>0</formula>
    </cfRule>
  </conditionalFormatting>
  <conditionalFormatting sqref="AX11:AY11">
    <cfRule type="cellIs" dxfId="1" priority="1591" operator="lessThan">
      <formula>0</formula>
    </cfRule>
    <cfRule type="cellIs" dxfId="1" priority="1592" operator="lessThan">
      <formula>0</formula>
    </cfRule>
  </conditionalFormatting>
  <conditionalFormatting sqref="AX11">
    <cfRule type="cellIs" dxfId="1" priority="1593" operator="lessThan">
      <formula>0</formula>
    </cfRule>
    <cfRule type="cellIs" dxfId="1" priority="1594" operator="lessThan">
      <formula>0</formula>
    </cfRule>
    <cfRule type="cellIs" dxfId="1" priority="1595" operator="lessThan">
      <formula>0</formula>
    </cfRule>
  </conditionalFormatting>
  <conditionalFormatting sqref="AQ22">
    <cfRule type="cellIs" dxfId="1" priority="1596" operator="lessThan">
      <formula>0</formula>
    </cfRule>
    <cfRule type="cellIs" dxfId="1" priority="1597" operator="lessThan">
      <formula>0</formula>
    </cfRule>
    <cfRule type="cellIs" dxfId="1" priority="1598" operator="lessThan">
      <formula>0</formula>
    </cfRule>
    <cfRule type="cellIs" dxfId="1" priority="1599" operator="lessThan">
      <formula>0</formula>
    </cfRule>
  </conditionalFormatting>
  <conditionalFormatting sqref="AQ38:AQ43">
    <cfRule type="cellIs" dxfId="1" priority="1600" operator="lessThan">
      <formula>0</formula>
    </cfRule>
    <cfRule type="cellIs" dxfId="1" priority="1601" operator="lessThan">
      <formula>0</formula>
    </cfRule>
    <cfRule type="cellIs" dxfId="1" priority="1602" operator="lessThan">
      <formula>0</formula>
    </cfRule>
    <cfRule type="cellIs" dxfId="1" priority="1603" operator="lessThan">
      <formula>0</formula>
    </cfRule>
  </conditionalFormatting>
  <conditionalFormatting sqref="AQ10">
    <cfRule type="cellIs" dxfId="1" priority="1604" operator="lessThan">
      <formula>0</formula>
    </cfRule>
    <cfRule type="cellIs" dxfId="1" priority="1605" operator="lessThan">
      <formula>0</formula>
    </cfRule>
  </conditionalFormatting>
  <conditionalFormatting sqref="AQ12">
    <cfRule type="cellIs" dxfId="1" priority="1606" operator="lessThan">
      <formula>0</formula>
    </cfRule>
    <cfRule type="cellIs" dxfId="1" priority="1607" operator="lessThan">
      <formula>0</formula>
    </cfRule>
  </conditionalFormatting>
  <conditionalFormatting sqref="AQ15:AQ20">
    <cfRule type="cellIs" dxfId="1" priority="1608" operator="lessThan">
      <formula>0</formula>
    </cfRule>
    <cfRule type="cellIs" dxfId="1" priority="1609" operator="lessThan">
      <formula>0</formula>
    </cfRule>
    <cfRule type="cellIs" dxfId="1" priority="1610" operator="lessThan">
      <formula>0</formula>
    </cfRule>
    <cfRule type="cellIs" dxfId="1" priority="1611" operator="lessThan">
      <formula>0</formula>
    </cfRule>
  </conditionalFormatting>
  <conditionalFormatting sqref="AQ21">
    <cfRule type="cellIs" dxfId="1" priority="1612" operator="lessThan">
      <formula>0</formula>
    </cfRule>
    <cfRule type="cellIs" dxfId="1" priority="1613" operator="lessThan">
      <formula>0</formula>
    </cfRule>
    <cfRule type="cellIs" dxfId="1" priority="1614" operator="lessThan">
      <formula>0</formula>
    </cfRule>
    <cfRule type="cellIs" dxfId="1" priority="1615" operator="lessThan">
      <formula>0</formula>
    </cfRule>
  </conditionalFormatting>
  <conditionalFormatting sqref="AQ44:AQ46">
    <cfRule type="cellIs" dxfId="1" priority="1616" operator="lessThan">
      <formula>0</formula>
    </cfRule>
    <cfRule type="cellIs" dxfId="1" priority="1617" operator="lessThan">
      <formula>0</formula>
    </cfRule>
    <cfRule type="cellIs" dxfId="1" priority="1618" operator="lessThan">
      <formula>0</formula>
    </cfRule>
    <cfRule type="cellIs" dxfId="1" priority="1619" operator="lessThan">
      <formula>0</formula>
    </cfRule>
  </conditionalFormatting>
  <conditionalFormatting sqref="AQ30:AQ35">
    <cfRule type="cellIs" dxfId="1" priority="1620" operator="lessThan">
      <formula>0</formula>
    </cfRule>
    <cfRule type="cellIs" dxfId="1" priority="1621" operator="lessThan">
      <formula>0</formula>
    </cfRule>
    <cfRule type="cellIs" dxfId="1" priority="1622" operator="lessThan">
      <formula>0</formula>
    </cfRule>
    <cfRule type="cellIs" dxfId="1" priority="1623" operator="lessThan">
      <formula>0</formula>
    </cfRule>
  </conditionalFormatting>
  <conditionalFormatting sqref="AQ36">
    <cfRule type="cellIs" dxfId="1" priority="1624" operator="lessThan">
      <formula>0</formula>
    </cfRule>
    <cfRule type="cellIs" dxfId="1" priority="1625" operator="lessThan">
      <formula>0</formula>
    </cfRule>
    <cfRule type="cellIs" dxfId="1" priority="1626" operator="lessThan">
      <formula>0</formula>
    </cfRule>
    <cfRule type="cellIs" dxfId="1" priority="1627" operator="lessThan">
      <formula>0</formula>
    </cfRule>
  </conditionalFormatting>
  <conditionalFormatting sqref="AQ37">
    <cfRule type="cellIs" dxfId="1" priority="1628" operator="lessThan">
      <formula>0</formula>
    </cfRule>
    <cfRule type="cellIs" dxfId="1" priority="1629" operator="lessThan">
      <formula>0</formula>
    </cfRule>
    <cfRule type="cellIs" dxfId="1" priority="1630" operator="lessThan">
      <formula>0</formula>
    </cfRule>
    <cfRule type="cellIs" dxfId="1" priority="1631" operator="lessThan">
      <formula>0</formula>
    </cfRule>
  </conditionalFormatting>
  <conditionalFormatting sqref="AQ23:AQ29">
    <cfRule type="cellIs" dxfId="1" priority="1632" operator="lessThan">
      <formula>0</formula>
    </cfRule>
    <cfRule type="cellIs" dxfId="1" priority="1633" operator="lessThan">
      <formula>0</formula>
    </cfRule>
    <cfRule type="cellIs" dxfId="1" priority="1634" operator="lessThan">
      <formula>0</formula>
    </cfRule>
    <cfRule type="cellIs" dxfId="1" priority="1635" operator="lessThan">
      <formula>0</formula>
    </cfRule>
  </conditionalFormatting>
  <conditionalFormatting sqref="AR24">
    <cfRule type="cellIs" dxfId="1" priority="1636" operator="lessThan">
      <formula>0</formula>
    </cfRule>
    <cfRule type="cellIs" dxfId="1" priority="1637" operator="lessThan">
      <formula>0</formula>
    </cfRule>
    <cfRule type="cellIs" dxfId="1" priority="1638" operator="lessThan">
      <formula>0</formula>
    </cfRule>
    <cfRule type="cellIs" dxfId="1" priority="1639" operator="lessThan">
      <formula>0</formula>
    </cfRule>
  </conditionalFormatting>
  <conditionalFormatting sqref="AQ63">
    <cfRule type="cellIs" dxfId="1" priority="1640" operator="lessThan">
      <formula>0</formula>
    </cfRule>
    <cfRule type="cellIs" dxfId="1" priority="1641" operator="lessThan">
      <formula>0</formula>
    </cfRule>
    <cfRule type="cellIs" dxfId="1" priority="1642" operator="lessThan">
      <formula>0</formula>
    </cfRule>
    <cfRule type="cellIs" dxfId="1" priority="1643" operator="lessThan">
      <formula>0</formula>
    </cfRule>
  </conditionalFormatting>
  <conditionalFormatting sqref="AQ51:AQ56">
    <cfRule type="cellIs" dxfId="1" priority="1644" operator="lessThan">
      <formula>0</formula>
    </cfRule>
    <cfRule type="cellIs" dxfId="1" priority="1645" operator="lessThan">
      <formula>0</formula>
    </cfRule>
    <cfRule type="cellIs" dxfId="1" priority="1646" operator="lessThan">
      <formula>0</formula>
    </cfRule>
    <cfRule type="cellIs" dxfId="1" priority="1647" operator="lessThan">
      <formula>0</formula>
    </cfRule>
  </conditionalFormatting>
  <conditionalFormatting sqref="AQ57:AQ61">
    <cfRule type="cellIs" dxfId="1" priority="1648" operator="lessThan">
      <formula>0</formula>
    </cfRule>
    <cfRule type="cellIs" dxfId="1" priority="1649" operator="lessThan">
      <formula>0</formula>
    </cfRule>
    <cfRule type="cellIs" dxfId="1" priority="1650" operator="lessThan">
      <formula>0</formula>
    </cfRule>
    <cfRule type="cellIs" dxfId="1" priority="1651" operator="lessThan">
      <formula>0</formula>
    </cfRule>
  </conditionalFormatting>
  <conditionalFormatting sqref="AQ62">
    <cfRule type="cellIs" dxfId="1" priority="1652" operator="lessThan">
      <formula>0</formula>
    </cfRule>
    <cfRule type="cellIs" dxfId="1" priority="1653" operator="lessThan">
      <formula>0</formula>
    </cfRule>
    <cfRule type="cellIs" dxfId="1" priority="1654" operator="lessThan">
      <formula>0</formula>
    </cfRule>
    <cfRule type="cellIs" dxfId="1" priority="1655" operator="lessThan">
      <formula>0</formula>
    </cfRule>
  </conditionalFormatting>
  <conditionalFormatting sqref="AQ78">
    <cfRule type="cellIs" dxfId="1" priority="1656" operator="lessThan">
      <formula>0</formula>
    </cfRule>
    <cfRule type="cellIs" dxfId="1" priority="1657" operator="lessThan">
      <formula>0</formula>
    </cfRule>
    <cfRule type="cellIs" dxfId="1" priority="1658" operator="lessThan">
      <formula>0</formula>
    </cfRule>
    <cfRule type="cellIs" dxfId="1" priority="1659" operator="lessThan">
      <formula>0</formula>
    </cfRule>
  </conditionalFormatting>
  <conditionalFormatting sqref="AQ66:AQ71">
    <cfRule type="cellIs" dxfId="1" priority="1660" operator="lessThan">
      <formula>0</formula>
    </cfRule>
    <cfRule type="cellIs" dxfId="1" priority="1661" operator="lessThan">
      <formula>0</formula>
    </cfRule>
    <cfRule type="cellIs" dxfId="1" priority="1662" operator="lessThan">
      <formula>0</formula>
    </cfRule>
    <cfRule type="cellIs" dxfId="1" priority="1663" operator="lessThan">
      <formula>0</formula>
    </cfRule>
  </conditionalFormatting>
  <conditionalFormatting sqref="AQ72:AQ76">
    <cfRule type="cellIs" dxfId="1" priority="1664" operator="lessThan">
      <formula>0</formula>
    </cfRule>
    <cfRule type="cellIs" dxfId="1" priority="1665" operator="lessThan">
      <formula>0</formula>
    </cfRule>
    <cfRule type="cellIs" dxfId="1" priority="1666" operator="lessThan">
      <formula>0</formula>
    </cfRule>
    <cfRule type="cellIs" dxfId="1" priority="1667" operator="lessThan">
      <formula>0</formula>
    </cfRule>
  </conditionalFormatting>
  <conditionalFormatting sqref="AQ77">
    <cfRule type="cellIs" dxfId="1" priority="1668" operator="lessThan">
      <formula>0</formula>
    </cfRule>
    <cfRule type="cellIs" dxfId="1" priority="1669" operator="lessThan">
      <formula>0</formula>
    </cfRule>
    <cfRule type="cellIs" dxfId="1" priority="1670" operator="lessThan">
      <formula>0</formula>
    </cfRule>
    <cfRule type="cellIs" dxfId="1" priority="1671" operator="lessThan">
      <formula>0</formula>
    </cfRule>
  </conditionalFormatting>
  <conditionalFormatting sqref="AQ64">
    <cfRule type="cellIs" dxfId="1" priority="1672" operator="lessThan">
      <formula>0</formula>
    </cfRule>
    <cfRule type="cellIs" dxfId="1" priority="1673" operator="lessThan">
      <formula>0</formula>
    </cfRule>
    <cfRule type="cellIs" dxfId="1" priority="1674" operator="lessThan">
      <formula>0</formula>
    </cfRule>
    <cfRule type="cellIs" dxfId="1" priority="1675" operator="lessThan">
      <formula>0</formula>
    </cfRule>
  </conditionalFormatting>
  <conditionalFormatting sqref="AQ65">
    <cfRule type="cellIs" dxfId="1" priority="1676" operator="lessThan">
      <formula>0</formula>
    </cfRule>
    <cfRule type="cellIs" dxfId="1" priority="1677" operator="lessThan">
      <formula>0</formula>
    </cfRule>
    <cfRule type="cellIs" dxfId="1" priority="1678" operator="lessThan">
      <formula>0</formula>
    </cfRule>
    <cfRule type="cellIs" dxfId="1" priority="1679" operator="lessThan">
      <formula>0</formula>
    </cfRule>
  </conditionalFormatting>
  <conditionalFormatting sqref="AQ91">
    <cfRule type="cellIs" dxfId="1" priority="1680" operator="lessThan">
      <formula>0</formula>
    </cfRule>
    <cfRule type="cellIs" dxfId="1" priority="1681" operator="lessThan">
      <formula>0</formula>
    </cfRule>
    <cfRule type="cellIs" dxfId="1" priority="1682" operator="lessThan">
      <formula>0</formula>
    </cfRule>
    <cfRule type="cellIs" dxfId="1" priority="1683" operator="lessThan">
      <formula>0</formula>
    </cfRule>
  </conditionalFormatting>
  <conditionalFormatting sqref="AQ79:AQ84">
    <cfRule type="cellIs" dxfId="1" priority="1684" operator="lessThan">
      <formula>0</formula>
    </cfRule>
    <cfRule type="cellIs" dxfId="1" priority="1685" operator="lessThan">
      <formula>0</formula>
    </cfRule>
    <cfRule type="cellIs" dxfId="1" priority="1686" operator="lessThan">
      <formula>0</formula>
    </cfRule>
    <cfRule type="cellIs" dxfId="1" priority="1687" operator="lessThan">
      <formula>0</formula>
    </cfRule>
  </conditionalFormatting>
  <conditionalFormatting sqref="AQ85:AQ89">
    <cfRule type="cellIs" dxfId="1" priority="1688" operator="lessThan">
      <formula>0</formula>
    </cfRule>
    <cfRule type="cellIs" dxfId="1" priority="1689" operator="lessThan">
      <formula>0</formula>
    </cfRule>
    <cfRule type="cellIs" dxfId="1" priority="1690" operator="lessThan">
      <formula>0</formula>
    </cfRule>
    <cfRule type="cellIs" dxfId="1" priority="1691" operator="lessThan">
      <formula>0</formula>
    </cfRule>
  </conditionalFormatting>
  <conditionalFormatting sqref="AQ90">
    <cfRule type="cellIs" dxfId="1" priority="1692" operator="lessThan">
      <formula>0</formula>
    </cfRule>
    <cfRule type="cellIs" dxfId="1" priority="1693" operator="lessThan">
      <formula>0</formula>
    </cfRule>
    <cfRule type="cellIs" dxfId="1" priority="1694" operator="lessThan">
      <formula>0</formula>
    </cfRule>
    <cfRule type="cellIs" dxfId="1" priority="1695" operator="lessThan">
      <formula>0</formula>
    </cfRule>
  </conditionalFormatting>
  <conditionalFormatting sqref="AQ11">
    <cfRule type="cellIs" dxfId="1" priority="1696" operator="lessThan">
      <formula>0</formula>
    </cfRule>
    <cfRule type="cellIs" dxfId="1" priority="1697" operator="lessThan">
      <formula>0</formula>
    </cfRule>
  </conditionalFormatting>
  <conditionalFormatting sqref="AP38:AP43">
    <cfRule type="cellIs" dxfId="1" priority="1698" operator="lessThan">
      <formula>0</formula>
    </cfRule>
    <cfRule type="cellIs" dxfId="1" priority="1699" operator="lessThan">
      <formula>0</formula>
    </cfRule>
    <cfRule type="cellIs" dxfId="1" priority="1700" operator="lessThan">
      <formula>0</formula>
    </cfRule>
    <cfRule type="cellIs" dxfId="1" priority="1701" operator="lessThan">
      <formula>0</formula>
    </cfRule>
  </conditionalFormatting>
  <conditionalFormatting sqref="AP22">
    <cfRule type="cellIs" dxfId="1" priority="1702" operator="lessThan">
      <formula>0</formula>
    </cfRule>
    <cfRule type="cellIs" dxfId="1" priority="1703" operator="lessThan">
      <formula>0</formula>
    </cfRule>
    <cfRule type="cellIs" dxfId="1" priority="1704" operator="lessThan">
      <formula>0</formula>
    </cfRule>
    <cfRule type="cellIs" dxfId="1" priority="1705" operator="lessThan">
      <formula>0</formula>
    </cfRule>
  </conditionalFormatting>
  <conditionalFormatting sqref="AP10:AP12">
    <cfRule type="cellIs" dxfId="1" priority="1706" operator="lessThan">
      <formula>0</formula>
    </cfRule>
    <cfRule type="cellIs" dxfId="1" priority="1707" operator="lessThan">
      <formula>0</formula>
    </cfRule>
    <cfRule type="cellIs" dxfId="1" priority="1708" operator="lessThan">
      <formula>0</formula>
    </cfRule>
    <cfRule type="cellIs" dxfId="1" priority="1709" operator="lessThan">
      <formula>0</formula>
    </cfRule>
  </conditionalFormatting>
  <conditionalFormatting sqref="AP15:AP20">
    <cfRule type="cellIs" dxfId="1" priority="1710" operator="lessThan">
      <formula>0</formula>
    </cfRule>
    <cfRule type="cellIs" dxfId="1" priority="1711" operator="lessThan">
      <formula>0</formula>
    </cfRule>
    <cfRule type="cellIs" dxfId="1" priority="1712" operator="lessThan">
      <formula>0</formula>
    </cfRule>
    <cfRule type="cellIs" dxfId="1" priority="1713" operator="lessThan">
      <formula>0</formula>
    </cfRule>
  </conditionalFormatting>
  <conditionalFormatting sqref="AP21">
    <cfRule type="cellIs" dxfId="1" priority="1714" operator="lessThan">
      <formula>0</formula>
    </cfRule>
    <cfRule type="cellIs" dxfId="1" priority="1715" operator="lessThan">
      <formula>0</formula>
    </cfRule>
    <cfRule type="cellIs" dxfId="1" priority="1716" operator="lessThan">
      <formula>0</formula>
    </cfRule>
    <cfRule type="cellIs" dxfId="1" priority="1717" operator="lessThan">
      <formula>0</formula>
    </cfRule>
  </conditionalFormatting>
  <conditionalFormatting sqref="AP44:AP46">
    <cfRule type="cellIs" dxfId="1" priority="1718" operator="lessThan">
      <formula>0</formula>
    </cfRule>
    <cfRule type="cellIs" dxfId="1" priority="1719" operator="lessThan">
      <formula>0</formula>
    </cfRule>
    <cfRule type="cellIs" dxfId="1" priority="1720" operator="lessThan">
      <formula>0</formula>
    </cfRule>
    <cfRule type="cellIs" dxfId="1" priority="1721" operator="lessThan">
      <formula>0</formula>
    </cfRule>
  </conditionalFormatting>
  <conditionalFormatting sqref="AP30:AP35">
    <cfRule type="cellIs" dxfId="1" priority="1722" operator="lessThan">
      <formula>0</formula>
    </cfRule>
    <cfRule type="cellIs" dxfId="1" priority="1723" operator="lessThan">
      <formula>0</formula>
    </cfRule>
    <cfRule type="cellIs" dxfId="1" priority="1724" operator="lessThan">
      <formula>0</formula>
    </cfRule>
    <cfRule type="cellIs" dxfId="1" priority="1725" operator="lessThan">
      <formula>0</formula>
    </cfRule>
  </conditionalFormatting>
  <conditionalFormatting sqref="AP36">
    <cfRule type="cellIs" dxfId="1" priority="1726" operator="lessThan">
      <formula>0</formula>
    </cfRule>
    <cfRule type="cellIs" dxfId="1" priority="1727" operator="lessThan">
      <formula>0</formula>
    </cfRule>
    <cfRule type="cellIs" dxfId="1" priority="1728" operator="lessThan">
      <formula>0</formula>
    </cfRule>
    <cfRule type="cellIs" dxfId="1" priority="1729" operator="lessThan">
      <formula>0</formula>
    </cfRule>
  </conditionalFormatting>
  <conditionalFormatting sqref="AP23:AP29">
    <cfRule type="cellIs" dxfId="1" priority="1730" operator="lessThan">
      <formula>0</formula>
    </cfRule>
    <cfRule type="cellIs" dxfId="1" priority="1731" operator="lessThan">
      <formula>0</formula>
    </cfRule>
    <cfRule type="cellIs" dxfId="1" priority="1732" operator="lessThan">
      <formula>0</formula>
    </cfRule>
    <cfRule type="cellIs" dxfId="1" priority="1733" operator="lessThan">
      <formula>0</formula>
    </cfRule>
  </conditionalFormatting>
  <conditionalFormatting sqref="AP37">
    <cfRule type="cellIs" dxfId="1" priority="1734" operator="lessThan">
      <formula>0</formula>
    </cfRule>
    <cfRule type="cellIs" dxfId="1" priority="1735" operator="lessThan">
      <formula>0</formula>
    </cfRule>
    <cfRule type="cellIs" dxfId="1" priority="1736" operator="lessThan">
      <formula>0</formula>
    </cfRule>
    <cfRule type="cellIs" dxfId="1" priority="1737" operator="lessThan">
      <formula>0</formula>
    </cfRule>
  </conditionalFormatting>
  <conditionalFormatting sqref="AP51:AP56">
    <cfRule type="cellIs" dxfId="1" priority="1738" operator="lessThan">
      <formula>0</formula>
    </cfRule>
    <cfRule type="cellIs" dxfId="1" priority="1739" operator="lessThan">
      <formula>0</formula>
    </cfRule>
    <cfRule type="cellIs" dxfId="1" priority="1740" operator="lessThan">
      <formula>0</formula>
    </cfRule>
    <cfRule type="cellIs" dxfId="1" priority="1741" operator="lessThan">
      <formula>0</formula>
    </cfRule>
  </conditionalFormatting>
  <conditionalFormatting sqref="AP63">
    <cfRule type="cellIs" dxfId="1" priority="1742" operator="lessThan">
      <formula>0</formula>
    </cfRule>
    <cfRule type="cellIs" dxfId="1" priority="1743" operator="lessThan">
      <formula>0</formula>
    </cfRule>
    <cfRule type="cellIs" dxfId="1" priority="1744" operator="lessThan">
      <formula>0</formula>
    </cfRule>
    <cfRule type="cellIs" dxfId="1" priority="1745" operator="lessThan">
      <formula>0</formula>
    </cfRule>
  </conditionalFormatting>
  <conditionalFormatting sqref="AP57:AP61">
    <cfRule type="cellIs" dxfId="1" priority="1746" operator="lessThan">
      <formula>0</formula>
    </cfRule>
    <cfRule type="cellIs" dxfId="1" priority="1747" operator="lessThan">
      <formula>0</formula>
    </cfRule>
    <cfRule type="cellIs" dxfId="1" priority="1748" operator="lessThan">
      <formula>0</formula>
    </cfRule>
    <cfRule type="cellIs" dxfId="1" priority="1749" operator="lessThan">
      <formula>0</formula>
    </cfRule>
  </conditionalFormatting>
  <conditionalFormatting sqref="AP62">
    <cfRule type="cellIs" dxfId="1" priority="1750" operator="lessThan">
      <formula>0</formula>
    </cfRule>
    <cfRule type="cellIs" dxfId="1" priority="1751" operator="lessThan">
      <formula>0</formula>
    </cfRule>
    <cfRule type="cellIs" dxfId="1" priority="1752" operator="lessThan">
      <formula>0</formula>
    </cfRule>
    <cfRule type="cellIs" dxfId="1" priority="1753" operator="lessThan">
      <formula>0</formula>
    </cfRule>
  </conditionalFormatting>
  <conditionalFormatting sqref="AP66:AP71">
    <cfRule type="cellIs" dxfId="1" priority="1754" operator="lessThan">
      <formula>0</formula>
    </cfRule>
    <cfRule type="cellIs" dxfId="1" priority="1755" operator="lessThan">
      <formula>0</formula>
    </cfRule>
    <cfRule type="cellIs" dxfId="1" priority="1756" operator="lessThan">
      <formula>0</formula>
    </cfRule>
    <cfRule type="cellIs" dxfId="1" priority="1757" operator="lessThan">
      <formula>0</formula>
    </cfRule>
  </conditionalFormatting>
  <conditionalFormatting sqref="AP78">
    <cfRule type="cellIs" dxfId="1" priority="1758" operator="lessThan">
      <formula>0</formula>
    </cfRule>
    <cfRule type="cellIs" dxfId="1" priority="1759" operator="lessThan">
      <formula>0</formula>
    </cfRule>
    <cfRule type="cellIs" dxfId="1" priority="1760" operator="lessThan">
      <formula>0</formula>
    </cfRule>
    <cfRule type="cellIs" dxfId="1" priority="1761" operator="lessThan">
      <formula>0</formula>
    </cfRule>
  </conditionalFormatting>
  <conditionalFormatting sqref="AP72:AP76">
    <cfRule type="cellIs" dxfId="1" priority="1762" operator="lessThan">
      <formula>0</formula>
    </cfRule>
    <cfRule type="cellIs" dxfId="1" priority="1763" operator="lessThan">
      <formula>0</formula>
    </cfRule>
    <cfRule type="cellIs" dxfId="1" priority="1764" operator="lessThan">
      <formula>0</formula>
    </cfRule>
    <cfRule type="cellIs" dxfId="1" priority="1765" operator="lessThan">
      <formula>0</formula>
    </cfRule>
  </conditionalFormatting>
  <conditionalFormatting sqref="AP77">
    <cfRule type="cellIs" dxfId="1" priority="1766" operator="lessThan">
      <formula>0</formula>
    </cfRule>
    <cfRule type="cellIs" dxfId="1" priority="1767" operator="lessThan">
      <formula>0</formula>
    </cfRule>
    <cfRule type="cellIs" dxfId="1" priority="1768" operator="lessThan">
      <formula>0</formula>
    </cfRule>
    <cfRule type="cellIs" dxfId="1" priority="1769" operator="lessThan">
      <formula>0</formula>
    </cfRule>
  </conditionalFormatting>
  <conditionalFormatting sqref="AP64">
    <cfRule type="cellIs" dxfId="1" priority="1770" operator="lessThan">
      <formula>0</formula>
    </cfRule>
    <cfRule type="cellIs" dxfId="1" priority="1771" operator="lessThan">
      <formula>0</formula>
    </cfRule>
    <cfRule type="cellIs" dxfId="1" priority="1772" operator="lessThan">
      <formula>0</formula>
    </cfRule>
    <cfRule type="cellIs" dxfId="1" priority="1773" operator="lessThan">
      <formula>0</formula>
    </cfRule>
  </conditionalFormatting>
  <conditionalFormatting sqref="AP65">
    <cfRule type="cellIs" dxfId="1" priority="1774" operator="lessThan">
      <formula>0</formula>
    </cfRule>
    <cfRule type="cellIs" dxfId="1" priority="1775" operator="lessThan">
      <formula>0</formula>
    </cfRule>
    <cfRule type="cellIs" dxfId="1" priority="1776" operator="lessThan">
      <formula>0</formula>
    </cfRule>
    <cfRule type="cellIs" dxfId="1" priority="1777" operator="lessThan">
      <formula>0</formula>
    </cfRule>
  </conditionalFormatting>
  <conditionalFormatting sqref="AP79:AP84">
    <cfRule type="cellIs" dxfId="1" priority="1778" operator="lessThan">
      <formula>0</formula>
    </cfRule>
    <cfRule type="cellIs" dxfId="1" priority="1779" operator="lessThan">
      <formula>0</formula>
    </cfRule>
    <cfRule type="cellIs" dxfId="1" priority="1780" operator="lessThan">
      <formula>0</formula>
    </cfRule>
    <cfRule type="cellIs" dxfId="1" priority="1781" operator="lessThan">
      <formula>0</formula>
    </cfRule>
  </conditionalFormatting>
  <conditionalFormatting sqref="AP91">
    <cfRule type="cellIs" dxfId="1" priority="1782" operator="lessThan">
      <formula>0</formula>
    </cfRule>
    <cfRule type="cellIs" dxfId="1" priority="1783" operator="lessThan">
      <formula>0</formula>
    </cfRule>
    <cfRule type="cellIs" dxfId="1" priority="1784" operator="lessThan">
      <formula>0</formula>
    </cfRule>
    <cfRule type="cellIs" dxfId="1" priority="1785" operator="lessThan">
      <formula>0</formula>
    </cfRule>
  </conditionalFormatting>
  <conditionalFormatting sqref="AP85:AP89">
    <cfRule type="cellIs" dxfId="1" priority="1786" operator="lessThan">
      <formula>0</formula>
    </cfRule>
    <cfRule type="cellIs" dxfId="1" priority="1787" operator="lessThan">
      <formula>0</formula>
    </cfRule>
    <cfRule type="cellIs" dxfId="1" priority="1788" operator="lessThan">
      <formula>0</formula>
    </cfRule>
    <cfRule type="cellIs" dxfId="1" priority="1789" operator="lessThan">
      <formula>0</formula>
    </cfRule>
  </conditionalFormatting>
  <conditionalFormatting sqref="AP90">
    <cfRule type="cellIs" dxfId="1" priority="1790" operator="lessThan">
      <formula>0</formula>
    </cfRule>
    <cfRule type="cellIs" dxfId="1" priority="1791" operator="lessThan">
      <formula>0</formula>
    </cfRule>
    <cfRule type="cellIs" dxfId="1" priority="1792" operator="lessThan">
      <formula>0</formula>
    </cfRule>
    <cfRule type="cellIs" dxfId="1" priority="1793" operator="lessThan">
      <formula>0</formula>
    </cfRule>
  </conditionalFormatting>
  <conditionalFormatting sqref="AO38:AP43">
    <cfRule type="cellIs" dxfId="1" priority="1794" operator="lessThan">
      <formula>0</formula>
    </cfRule>
    <cfRule type="cellIs" dxfId="1" priority="1795" operator="lessThan">
      <formula>0</formula>
    </cfRule>
  </conditionalFormatting>
  <conditionalFormatting sqref="AO22:AP22">
    <cfRule type="cellIs" dxfId="1" priority="1796" operator="lessThan">
      <formula>0</formula>
    </cfRule>
    <cfRule type="cellIs" dxfId="1" priority="1797" operator="lessThan">
      <formula>0</formula>
    </cfRule>
  </conditionalFormatting>
  <conditionalFormatting sqref="AO10:AP12">
    <cfRule type="cellIs" dxfId="1" priority="1798" operator="lessThan">
      <formula>0</formula>
    </cfRule>
    <cfRule type="cellIs" dxfId="1" priority="1799" operator="lessThan">
      <formula>0</formula>
    </cfRule>
  </conditionalFormatting>
  <conditionalFormatting sqref="AO15:AP20">
    <cfRule type="cellIs" dxfId="1" priority="1800" operator="lessThan">
      <formula>0</formula>
    </cfRule>
    <cfRule type="cellIs" dxfId="1" priority="1801" operator="lessThan">
      <formula>0</formula>
    </cfRule>
  </conditionalFormatting>
  <conditionalFormatting sqref="AO21:AP21">
    <cfRule type="cellIs" dxfId="1" priority="1802" operator="lessThan">
      <formula>0</formula>
    </cfRule>
    <cfRule type="cellIs" dxfId="1" priority="1803" operator="lessThan">
      <formula>0</formula>
    </cfRule>
  </conditionalFormatting>
  <conditionalFormatting sqref="AO44:AP46">
    <cfRule type="cellIs" dxfId="1" priority="1804" operator="lessThan">
      <formula>0</formula>
    </cfRule>
    <cfRule type="cellIs" dxfId="1" priority="1805" operator="lessThan">
      <formula>0</formula>
    </cfRule>
  </conditionalFormatting>
  <conditionalFormatting sqref="AO30:AP35">
    <cfRule type="cellIs" dxfId="1" priority="1806" operator="lessThan">
      <formula>0</formula>
    </cfRule>
    <cfRule type="cellIs" dxfId="1" priority="1807" operator="lessThan">
      <formula>0</formula>
    </cfRule>
  </conditionalFormatting>
  <conditionalFormatting sqref="AO36:AP36">
    <cfRule type="cellIs" dxfId="1" priority="1808" operator="lessThan">
      <formula>0</formula>
    </cfRule>
    <cfRule type="cellIs" dxfId="1" priority="1809" operator="lessThan">
      <formula>0</formula>
    </cfRule>
  </conditionalFormatting>
  <conditionalFormatting sqref="AO23:AP29">
    <cfRule type="cellIs" dxfId="1" priority="1810" operator="lessThan">
      <formula>0</formula>
    </cfRule>
    <cfRule type="cellIs" dxfId="1" priority="1811" operator="lessThan">
      <formula>0</formula>
    </cfRule>
  </conditionalFormatting>
  <conditionalFormatting sqref="AO37:AP37">
    <cfRule type="cellIs" dxfId="1" priority="1812" operator="lessThan">
      <formula>0</formula>
    </cfRule>
    <cfRule type="cellIs" dxfId="1" priority="1813" operator="lessThan">
      <formula>0</formula>
    </cfRule>
  </conditionalFormatting>
  <conditionalFormatting sqref="AO51:AP56">
    <cfRule type="cellIs" dxfId="1" priority="1814" operator="lessThan">
      <formula>0</formula>
    </cfRule>
    <cfRule type="cellIs" dxfId="1" priority="1815" operator="lessThan">
      <formula>0</formula>
    </cfRule>
  </conditionalFormatting>
  <conditionalFormatting sqref="AO63:AP63">
    <cfRule type="cellIs" dxfId="1" priority="1816" operator="lessThan">
      <formula>0</formula>
    </cfRule>
    <cfRule type="cellIs" dxfId="1" priority="1817" operator="lessThan">
      <formula>0</formula>
    </cfRule>
  </conditionalFormatting>
  <conditionalFormatting sqref="AO57:AP61">
    <cfRule type="cellIs" dxfId="1" priority="1818" operator="lessThan">
      <formula>0</formula>
    </cfRule>
    <cfRule type="cellIs" dxfId="1" priority="1819" operator="lessThan">
      <formula>0</formula>
    </cfRule>
  </conditionalFormatting>
  <conditionalFormatting sqref="AO62:AP62">
    <cfRule type="cellIs" dxfId="1" priority="1820" operator="lessThan">
      <formula>0</formula>
    </cfRule>
    <cfRule type="cellIs" dxfId="1" priority="1821" operator="lessThan">
      <formula>0</formula>
    </cfRule>
  </conditionalFormatting>
  <conditionalFormatting sqref="AO66:AP71">
    <cfRule type="cellIs" dxfId="1" priority="1822" operator="lessThan">
      <formula>0</formula>
    </cfRule>
    <cfRule type="cellIs" dxfId="1" priority="1823" operator="lessThan">
      <formula>0</formula>
    </cfRule>
  </conditionalFormatting>
  <conditionalFormatting sqref="AO78:AP78">
    <cfRule type="cellIs" dxfId="1" priority="1824" operator="lessThan">
      <formula>0</formula>
    </cfRule>
    <cfRule type="cellIs" dxfId="1" priority="1825" operator="lessThan">
      <formula>0</formula>
    </cfRule>
  </conditionalFormatting>
  <conditionalFormatting sqref="AO72:AP76">
    <cfRule type="cellIs" dxfId="1" priority="1826" operator="lessThan">
      <formula>0</formula>
    </cfRule>
    <cfRule type="cellIs" dxfId="1" priority="1827" operator="lessThan">
      <formula>0</formula>
    </cfRule>
  </conditionalFormatting>
  <conditionalFormatting sqref="AO77:AP77">
    <cfRule type="cellIs" dxfId="1" priority="1828" operator="lessThan">
      <formula>0</formula>
    </cfRule>
    <cfRule type="cellIs" dxfId="1" priority="1829" operator="lessThan">
      <formula>0</formula>
    </cfRule>
  </conditionalFormatting>
  <conditionalFormatting sqref="AO64:AP64">
    <cfRule type="cellIs" dxfId="1" priority="1830" operator="lessThan">
      <formula>0</formula>
    </cfRule>
    <cfRule type="cellIs" dxfId="1" priority="1831" operator="lessThan">
      <formula>0</formula>
    </cfRule>
  </conditionalFormatting>
  <conditionalFormatting sqref="AO65:AP65">
    <cfRule type="cellIs" dxfId="1" priority="1832" operator="lessThan">
      <formula>0</formula>
    </cfRule>
    <cfRule type="cellIs" dxfId="1" priority="1833" operator="lessThan">
      <formula>0</formula>
    </cfRule>
  </conditionalFormatting>
  <conditionalFormatting sqref="AO79:AP84">
    <cfRule type="cellIs" dxfId="1" priority="1834" operator="lessThan">
      <formula>0</formula>
    </cfRule>
    <cfRule type="cellIs" dxfId="1" priority="1835" operator="lessThan">
      <formula>0</formula>
    </cfRule>
  </conditionalFormatting>
  <conditionalFormatting sqref="AO91:AP91">
    <cfRule type="cellIs" dxfId="1" priority="1836" operator="lessThan">
      <formula>0</formula>
    </cfRule>
    <cfRule type="cellIs" dxfId="1" priority="1837" operator="lessThan">
      <formula>0</formula>
    </cfRule>
  </conditionalFormatting>
  <conditionalFormatting sqref="AO85:AP89">
    <cfRule type="cellIs" dxfId="1" priority="1838" operator="lessThan">
      <formula>0</formula>
    </cfRule>
    <cfRule type="cellIs" dxfId="1" priority="1839" operator="lessThan">
      <formula>0</formula>
    </cfRule>
  </conditionalFormatting>
  <conditionalFormatting sqref="AO90:AP90">
    <cfRule type="cellIs" dxfId="1" priority="1840" operator="lessThan">
      <formula>0</formula>
    </cfRule>
    <cfRule type="cellIs" dxfId="1" priority="1841" operator="lessThan">
      <formula>0</formula>
    </cfRule>
  </conditionalFormatting>
  <conditionalFormatting sqref="AO22">
    <cfRule type="cellIs" dxfId="1" priority="1842" operator="lessThan">
      <formula>0</formula>
    </cfRule>
    <cfRule type="cellIs" dxfId="1" priority="1843" operator="lessThan">
      <formula>0</formula>
    </cfRule>
    <cfRule type="cellIs" dxfId="1" priority="1844" operator="lessThan">
      <formula>0</formula>
    </cfRule>
  </conditionalFormatting>
  <conditionalFormatting sqref="AO38:AO43">
    <cfRule type="cellIs" dxfId="1" priority="1845" operator="lessThan">
      <formula>0</formula>
    </cfRule>
    <cfRule type="cellIs" dxfId="1" priority="1846" operator="lessThan">
      <formula>0</formula>
    </cfRule>
    <cfRule type="cellIs" dxfId="1" priority="1847" operator="lessThan">
      <formula>0</formula>
    </cfRule>
  </conditionalFormatting>
  <conditionalFormatting sqref="AO10:AO12">
    <cfRule type="cellIs" dxfId="1" priority="1848" operator="lessThan">
      <formula>0</formula>
    </cfRule>
    <cfRule type="cellIs" dxfId="1" priority="1849" operator="lessThan">
      <formula>0</formula>
    </cfRule>
    <cfRule type="cellIs" dxfId="1" priority="1850" operator="lessThan">
      <formula>0</formula>
    </cfRule>
  </conditionalFormatting>
  <conditionalFormatting sqref="AO15:AO20">
    <cfRule type="cellIs" dxfId="1" priority="1851" operator="lessThan">
      <formula>0</formula>
    </cfRule>
    <cfRule type="cellIs" dxfId="1" priority="1852" operator="lessThan">
      <formula>0</formula>
    </cfRule>
    <cfRule type="cellIs" dxfId="1" priority="1853" operator="lessThan">
      <formula>0</formula>
    </cfRule>
  </conditionalFormatting>
  <conditionalFormatting sqref="AO21">
    <cfRule type="cellIs" dxfId="1" priority="1854" operator="lessThan">
      <formula>0</formula>
    </cfRule>
    <cfRule type="cellIs" dxfId="1" priority="1855" operator="lessThan">
      <formula>0</formula>
    </cfRule>
    <cfRule type="cellIs" dxfId="1" priority="1856" operator="lessThan">
      <formula>0</formula>
    </cfRule>
  </conditionalFormatting>
  <conditionalFormatting sqref="AO44:AO46">
    <cfRule type="cellIs" dxfId="1" priority="1857" operator="lessThan">
      <formula>0</formula>
    </cfRule>
    <cfRule type="cellIs" dxfId="1" priority="1858" operator="lessThan">
      <formula>0</formula>
    </cfRule>
    <cfRule type="cellIs" dxfId="1" priority="1859" operator="lessThan">
      <formula>0</formula>
    </cfRule>
  </conditionalFormatting>
  <conditionalFormatting sqref="AO30:AO35">
    <cfRule type="cellIs" dxfId="1" priority="1860" operator="lessThan">
      <formula>0</formula>
    </cfRule>
    <cfRule type="cellIs" dxfId="1" priority="1861" operator="lessThan">
      <formula>0</formula>
    </cfRule>
    <cfRule type="cellIs" dxfId="1" priority="1862" operator="lessThan">
      <formula>0</formula>
    </cfRule>
  </conditionalFormatting>
  <conditionalFormatting sqref="AO36">
    <cfRule type="cellIs" dxfId="1" priority="1863" operator="lessThan">
      <formula>0</formula>
    </cfRule>
    <cfRule type="cellIs" dxfId="1" priority="1864" operator="lessThan">
      <formula>0</formula>
    </cfRule>
    <cfRule type="cellIs" dxfId="1" priority="1865" operator="lessThan">
      <formula>0</formula>
    </cfRule>
  </conditionalFormatting>
  <conditionalFormatting sqref="AO37">
    <cfRule type="cellIs" dxfId="1" priority="1866" operator="lessThan">
      <formula>0</formula>
    </cfRule>
    <cfRule type="cellIs" dxfId="1" priority="1867" operator="lessThan">
      <formula>0</formula>
    </cfRule>
    <cfRule type="cellIs" dxfId="1" priority="1868" operator="lessThan">
      <formula>0</formula>
    </cfRule>
  </conditionalFormatting>
  <conditionalFormatting sqref="AO23:AO29">
    <cfRule type="cellIs" dxfId="1" priority="1869" operator="lessThan">
      <formula>0</formula>
    </cfRule>
    <cfRule type="cellIs" dxfId="1" priority="1870" operator="lessThan">
      <formula>0</formula>
    </cfRule>
    <cfRule type="cellIs" dxfId="1" priority="1871" operator="lessThan">
      <formula>0</formula>
    </cfRule>
  </conditionalFormatting>
  <conditionalFormatting sqref="AO63">
    <cfRule type="cellIs" dxfId="1" priority="1872" operator="lessThan">
      <formula>0</formula>
    </cfRule>
    <cfRule type="cellIs" dxfId="1" priority="1873" operator="lessThan">
      <formula>0</formula>
    </cfRule>
    <cfRule type="cellIs" dxfId="1" priority="1874" operator="lessThan">
      <formula>0</formula>
    </cfRule>
  </conditionalFormatting>
  <conditionalFormatting sqref="AO51:AO56">
    <cfRule type="cellIs" dxfId="1" priority="1875" operator="lessThan">
      <formula>0</formula>
    </cfRule>
    <cfRule type="cellIs" dxfId="1" priority="1876" operator="lessThan">
      <formula>0</formula>
    </cfRule>
    <cfRule type="cellIs" dxfId="1" priority="1877" operator="lessThan">
      <formula>0</formula>
    </cfRule>
  </conditionalFormatting>
  <conditionalFormatting sqref="AO57:AO61">
    <cfRule type="cellIs" dxfId="1" priority="1878" operator="lessThan">
      <formula>0</formula>
    </cfRule>
    <cfRule type="cellIs" dxfId="1" priority="1879" operator="lessThan">
      <formula>0</formula>
    </cfRule>
    <cfRule type="cellIs" dxfId="1" priority="1880" operator="lessThan">
      <formula>0</formula>
    </cfRule>
  </conditionalFormatting>
  <conditionalFormatting sqref="AO62">
    <cfRule type="cellIs" dxfId="1" priority="1881" operator="lessThan">
      <formula>0</formula>
    </cfRule>
    <cfRule type="cellIs" dxfId="1" priority="1882" operator="lessThan">
      <formula>0</formula>
    </cfRule>
    <cfRule type="cellIs" dxfId="1" priority="1883" operator="lessThan">
      <formula>0</formula>
    </cfRule>
  </conditionalFormatting>
  <conditionalFormatting sqref="AO78">
    <cfRule type="cellIs" dxfId="1" priority="1884" operator="lessThan">
      <formula>0</formula>
    </cfRule>
    <cfRule type="cellIs" dxfId="1" priority="1885" operator="lessThan">
      <formula>0</formula>
    </cfRule>
    <cfRule type="cellIs" dxfId="1" priority="1886" operator="lessThan">
      <formula>0</formula>
    </cfRule>
  </conditionalFormatting>
  <conditionalFormatting sqref="AO66:AO71">
    <cfRule type="cellIs" dxfId="1" priority="1887" operator="lessThan">
      <formula>0</formula>
    </cfRule>
    <cfRule type="cellIs" dxfId="1" priority="1888" operator="lessThan">
      <formula>0</formula>
    </cfRule>
    <cfRule type="cellIs" dxfId="1" priority="1889" operator="lessThan">
      <formula>0</formula>
    </cfRule>
  </conditionalFormatting>
  <conditionalFormatting sqref="AO72:AO76">
    <cfRule type="cellIs" dxfId="1" priority="1890" operator="lessThan">
      <formula>0</formula>
    </cfRule>
    <cfRule type="cellIs" dxfId="1" priority="1891" operator="lessThan">
      <formula>0</formula>
    </cfRule>
    <cfRule type="cellIs" dxfId="1" priority="1892" operator="lessThan">
      <formula>0</formula>
    </cfRule>
  </conditionalFormatting>
  <conditionalFormatting sqref="AO77">
    <cfRule type="cellIs" dxfId="1" priority="1893" operator="lessThan">
      <formula>0</formula>
    </cfRule>
    <cfRule type="cellIs" dxfId="1" priority="1894" operator="lessThan">
      <formula>0</formula>
    </cfRule>
    <cfRule type="cellIs" dxfId="1" priority="1895" operator="lessThan">
      <formula>0</formula>
    </cfRule>
  </conditionalFormatting>
  <conditionalFormatting sqref="AO64">
    <cfRule type="cellIs" dxfId="1" priority="1896" operator="lessThan">
      <formula>0</formula>
    </cfRule>
    <cfRule type="cellIs" dxfId="1" priority="1897" operator="lessThan">
      <formula>0</formula>
    </cfRule>
    <cfRule type="cellIs" dxfId="1" priority="1898" operator="lessThan">
      <formula>0</formula>
    </cfRule>
  </conditionalFormatting>
  <conditionalFormatting sqref="AO65">
    <cfRule type="cellIs" dxfId="1" priority="1899" operator="lessThan">
      <formula>0</formula>
    </cfRule>
    <cfRule type="cellIs" dxfId="1" priority="1900" operator="lessThan">
      <formula>0</formula>
    </cfRule>
    <cfRule type="cellIs" dxfId="1" priority="1901" operator="lessThan">
      <formula>0</formula>
    </cfRule>
  </conditionalFormatting>
  <conditionalFormatting sqref="AO91">
    <cfRule type="cellIs" dxfId="1" priority="1902" operator="lessThan">
      <formula>0</formula>
    </cfRule>
    <cfRule type="cellIs" dxfId="1" priority="1903" operator="lessThan">
      <formula>0</formula>
    </cfRule>
    <cfRule type="cellIs" dxfId="1" priority="1904" operator="lessThan">
      <formula>0</formula>
    </cfRule>
  </conditionalFormatting>
  <conditionalFormatting sqref="AO79:AO84">
    <cfRule type="cellIs" dxfId="1" priority="1905" operator="lessThan">
      <formula>0</formula>
    </cfRule>
    <cfRule type="cellIs" dxfId="1" priority="1906" operator="lessThan">
      <formula>0</formula>
    </cfRule>
    <cfRule type="cellIs" dxfId="1" priority="1907" operator="lessThan">
      <formula>0</formula>
    </cfRule>
  </conditionalFormatting>
  <conditionalFormatting sqref="AO85:AO89">
    <cfRule type="cellIs" dxfId="1" priority="1908" operator="lessThan">
      <formula>0</formula>
    </cfRule>
    <cfRule type="cellIs" dxfId="1" priority="1909" operator="lessThan">
      <formula>0</formula>
    </cfRule>
    <cfRule type="cellIs" dxfId="1" priority="1910" operator="lessThan">
      <formula>0</formula>
    </cfRule>
  </conditionalFormatting>
  <conditionalFormatting sqref="AO90">
    <cfRule type="cellIs" dxfId="1" priority="1911" operator="lessThan">
      <formula>0</formula>
    </cfRule>
    <cfRule type="cellIs" dxfId="1" priority="1912" operator="lessThan">
      <formula>0</formula>
    </cfRule>
    <cfRule type="cellIs" dxfId="1" priority="1913" operator="lessThan">
      <formula>0</formula>
    </cfRule>
  </conditionalFormatting>
  <conditionalFormatting sqref="AZ10:AZ12">
    <cfRule type="cellIs" dxfId="1" priority="1914" operator="lessThan">
      <formula>0</formula>
    </cfRule>
    <cfRule type="cellIs" dxfId="1" priority="1915" operator="lessThan">
      <formula>0</formula>
    </cfRule>
    <cfRule type="cellIs" dxfId="1" priority="1916" operator="lessThan">
      <formula>0</formula>
    </cfRule>
  </conditionalFormatting>
  <conditionalFormatting sqref="AY10">
    <cfRule type="cellIs" dxfId="1" priority="1917" operator="lessThan">
      <formula>0</formula>
    </cfRule>
    <cfRule type="cellIs" dxfId="1" priority="1918" operator="lessThan">
      <formula>0</formula>
    </cfRule>
    <cfRule type="cellIs" dxfId="1" priority="1919" operator="lessThan">
      <formula>0</formula>
    </cfRule>
  </conditionalFormatting>
  <conditionalFormatting sqref="AY12">
    <cfRule type="cellIs" dxfId="1" priority="1920" operator="lessThan">
      <formula>0</formula>
    </cfRule>
    <cfRule type="cellIs" dxfId="1" priority="1921" operator="lessThan">
      <formula>0</formula>
    </cfRule>
    <cfRule type="cellIs" dxfId="1" priority="1922" operator="lessThan">
      <formula>0</formula>
    </cfRule>
  </conditionalFormatting>
  <conditionalFormatting sqref="AY23:AY29">
    <cfRule type="cellIs" dxfId="1" priority="1923" operator="lessThan">
      <formula>0</formula>
    </cfRule>
    <cfRule type="cellIs" dxfId="1" priority="1924" operator="lessThan">
      <formula>0</formula>
    </cfRule>
    <cfRule type="cellIs" dxfId="1" priority="1925" operator="lessThan">
      <formula>0</formula>
    </cfRule>
  </conditionalFormatting>
  <conditionalFormatting sqref="AY11">
    <cfRule type="cellIs" dxfId="1" priority="1926" operator="lessThan">
      <formula>0</formula>
    </cfRule>
    <cfRule type="cellIs" dxfId="1" priority="1927" operator="lessThan">
      <formula>0</formula>
    </cfRule>
    <cfRule type="cellIs" dxfId="1" priority="1928" operator="lessThan">
      <formula>0</formula>
    </cfRule>
  </conditionalFormatting>
  <conditionalFormatting sqref="AW22">
    <cfRule type="cellIs" dxfId="1" priority="1929" operator="lessThan">
      <formula>0</formula>
    </cfRule>
    <cfRule type="cellIs" dxfId="1" priority="1930" operator="lessThan">
      <formula>0</formula>
    </cfRule>
  </conditionalFormatting>
  <conditionalFormatting sqref="AW38:AW43">
    <cfRule type="cellIs" dxfId="1" priority="1931" operator="lessThan">
      <formula>0</formula>
    </cfRule>
    <cfRule type="cellIs" dxfId="1" priority="1932" operator="lessThan">
      <formula>0</formula>
    </cfRule>
  </conditionalFormatting>
  <conditionalFormatting sqref="AW10">
    <cfRule type="cellIs" dxfId="1" priority="1933" operator="lessThan">
      <formula>0</formula>
    </cfRule>
    <cfRule type="cellIs" dxfId="1" priority="1934" operator="lessThan">
      <formula>0</formula>
    </cfRule>
  </conditionalFormatting>
  <conditionalFormatting sqref="AW12">
    <cfRule type="cellIs" dxfId="1" priority="1935" operator="lessThan">
      <formula>0</formula>
    </cfRule>
    <cfRule type="cellIs" dxfId="1" priority="1936" operator="lessThan">
      <formula>0</formula>
    </cfRule>
  </conditionalFormatting>
  <conditionalFormatting sqref="AW15:AW20">
    <cfRule type="cellIs" dxfId="1" priority="1937" operator="lessThan">
      <formula>0</formula>
    </cfRule>
    <cfRule type="cellIs" dxfId="1" priority="1938" operator="lessThan">
      <formula>0</formula>
    </cfRule>
  </conditionalFormatting>
  <conditionalFormatting sqref="AW21">
    <cfRule type="cellIs" dxfId="1" priority="1939" operator="lessThan">
      <formula>0</formula>
    </cfRule>
    <cfRule type="cellIs" dxfId="1" priority="1940" operator="lessThan">
      <formula>0</formula>
    </cfRule>
  </conditionalFormatting>
  <conditionalFormatting sqref="AW44:AW46">
    <cfRule type="cellIs" dxfId="1" priority="1941" operator="lessThan">
      <formula>0</formula>
    </cfRule>
    <cfRule type="cellIs" dxfId="1" priority="1942" operator="lessThan">
      <formula>0</formula>
    </cfRule>
  </conditionalFormatting>
  <conditionalFormatting sqref="AW30:AW35">
    <cfRule type="cellIs" dxfId="1" priority="1943" operator="lessThan">
      <formula>0</formula>
    </cfRule>
    <cfRule type="cellIs" dxfId="1" priority="1944" operator="lessThan">
      <formula>0</formula>
    </cfRule>
  </conditionalFormatting>
  <conditionalFormatting sqref="AW36">
    <cfRule type="cellIs" dxfId="1" priority="1945" operator="lessThan">
      <formula>0</formula>
    </cfRule>
    <cfRule type="cellIs" dxfId="1" priority="1946" operator="lessThan">
      <formula>0</formula>
    </cfRule>
  </conditionalFormatting>
  <conditionalFormatting sqref="AW37">
    <cfRule type="cellIs" dxfId="1" priority="1947" operator="lessThan">
      <formula>0</formula>
    </cfRule>
    <cfRule type="cellIs" dxfId="1" priority="1948" operator="lessThan">
      <formula>0</formula>
    </cfRule>
  </conditionalFormatting>
  <conditionalFormatting sqref="AW23:AW29">
    <cfRule type="cellIs" dxfId="1" priority="1949" operator="lessThan">
      <formula>0</formula>
    </cfRule>
    <cfRule type="cellIs" dxfId="1" priority="1950" operator="lessThan">
      <formula>0</formula>
    </cfRule>
  </conditionalFormatting>
  <conditionalFormatting sqref="AW63">
    <cfRule type="cellIs" dxfId="1" priority="1951" operator="lessThan">
      <formula>0</formula>
    </cfRule>
    <cfRule type="cellIs" dxfId="1" priority="1952" operator="lessThan">
      <formula>0</formula>
    </cfRule>
  </conditionalFormatting>
  <conditionalFormatting sqref="AW51:AW56">
    <cfRule type="cellIs" dxfId="1" priority="1953" operator="lessThan">
      <formula>0</formula>
    </cfRule>
    <cfRule type="cellIs" dxfId="1" priority="1954" operator="lessThan">
      <formula>0</formula>
    </cfRule>
  </conditionalFormatting>
  <conditionalFormatting sqref="AW57:AW61">
    <cfRule type="cellIs" dxfId="1" priority="1955" operator="lessThan">
      <formula>0</formula>
    </cfRule>
    <cfRule type="cellIs" dxfId="1" priority="1956" operator="lessThan">
      <formula>0</formula>
    </cfRule>
  </conditionalFormatting>
  <conditionalFormatting sqref="AW62">
    <cfRule type="cellIs" dxfId="1" priority="1957" operator="lessThan">
      <formula>0</formula>
    </cfRule>
    <cfRule type="cellIs" dxfId="1" priority="1958" operator="lessThan">
      <formula>0</formula>
    </cfRule>
  </conditionalFormatting>
  <conditionalFormatting sqref="AW78">
    <cfRule type="cellIs" dxfId="1" priority="1959" operator="lessThan">
      <formula>0</formula>
    </cfRule>
    <cfRule type="cellIs" dxfId="1" priority="1960" operator="lessThan">
      <formula>0</formula>
    </cfRule>
  </conditionalFormatting>
  <conditionalFormatting sqref="AW66:AW71">
    <cfRule type="cellIs" dxfId="1" priority="1961" operator="lessThan">
      <formula>0</formula>
    </cfRule>
    <cfRule type="cellIs" dxfId="1" priority="1962" operator="lessThan">
      <formula>0</formula>
    </cfRule>
  </conditionalFormatting>
  <conditionalFormatting sqref="AW72:AW76">
    <cfRule type="cellIs" dxfId="1" priority="1963" operator="lessThan">
      <formula>0</formula>
    </cfRule>
    <cfRule type="cellIs" dxfId="1" priority="1964" operator="lessThan">
      <formula>0</formula>
    </cfRule>
  </conditionalFormatting>
  <conditionalFormatting sqref="AW77">
    <cfRule type="cellIs" dxfId="1" priority="1965" operator="lessThan">
      <formula>0</formula>
    </cfRule>
    <cfRule type="cellIs" dxfId="1" priority="1966" operator="lessThan">
      <formula>0</formula>
    </cfRule>
  </conditionalFormatting>
  <conditionalFormatting sqref="AW64">
    <cfRule type="cellIs" dxfId="1" priority="1967" operator="lessThan">
      <formula>0</formula>
    </cfRule>
    <cfRule type="cellIs" dxfId="1" priority="1968" operator="lessThan">
      <formula>0</formula>
    </cfRule>
  </conditionalFormatting>
  <conditionalFormatting sqref="AW65">
    <cfRule type="cellIs" dxfId="1" priority="1969" operator="lessThan">
      <formula>0</formula>
    </cfRule>
    <cfRule type="cellIs" dxfId="1" priority="1970" operator="lessThan">
      <formula>0</formula>
    </cfRule>
  </conditionalFormatting>
  <conditionalFormatting sqref="AW91">
    <cfRule type="cellIs" dxfId="1" priority="1971" operator="lessThan">
      <formula>0</formula>
    </cfRule>
    <cfRule type="cellIs" dxfId="1" priority="1972" operator="lessThan">
      <formula>0</formula>
    </cfRule>
  </conditionalFormatting>
  <conditionalFormatting sqref="AW79:AW84">
    <cfRule type="cellIs" dxfId="1" priority="1973" operator="lessThan">
      <formula>0</formula>
    </cfRule>
    <cfRule type="cellIs" dxfId="1" priority="1974" operator="lessThan">
      <formula>0</formula>
    </cfRule>
  </conditionalFormatting>
  <conditionalFormatting sqref="AW85:AW89">
    <cfRule type="cellIs" dxfId="1" priority="1975" operator="lessThan">
      <formula>0</formula>
    </cfRule>
    <cfRule type="cellIs" dxfId="1" priority="1976" operator="lessThan">
      <formula>0</formula>
    </cfRule>
  </conditionalFormatting>
  <conditionalFormatting sqref="AW90">
    <cfRule type="cellIs" dxfId="1" priority="1977" operator="lessThan">
      <formula>0</formula>
    </cfRule>
    <cfRule type="cellIs" dxfId="1" priority="1978" operator="lessThan">
      <formula>0</formula>
    </cfRule>
  </conditionalFormatting>
  <conditionalFormatting sqref="AW11">
    <cfRule type="cellIs" dxfId="1" priority="1979" operator="lessThan">
      <formula>0</formula>
    </cfRule>
    <cfRule type="cellIs" dxfId="1" priority="1980" operator="lessThan">
      <formula>0</formula>
    </cfRule>
  </conditionalFormatting>
  <conditionalFormatting sqref="AQ10:AQ12">
    <cfRule type="cellIs" dxfId="1" priority="1981" operator="lessThan">
      <formula>0</formula>
    </cfRule>
    <cfRule type="cellIs" dxfId="1" priority="1982" operator="lessThan">
      <formula>0</formula>
    </cfRule>
    <cfRule type="cellIs" dxfId="1" priority="1983" operator="lessThan">
      <formula>0</formula>
    </cfRule>
  </conditionalFormatting>
  <conditionalFormatting sqref="AN38:AN43">
    <cfRule type="cellIs" dxfId="1" priority="1984" operator="lessThan">
      <formula>0</formula>
    </cfRule>
    <cfRule type="cellIs" dxfId="1" priority="1985" operator="lessThan">
      <formula>0</formula>
    </cfRule>
    <cfRule type="cellIs" dxfId="1" priority="1986" operator="lessThan">
      <formula>0</formula>
    </cfRule>
    <cfRule type="cellIs" dxfId="1" priority="1987" operator="lessThan">
      <formula>0</formula>
    </cfRule>
  </conditionalFormatting>
  <conditionalFormatting sqref="AN22">
    <cfRule type="cellIs" dxfId="1" priority="1988" operator="lessThan">
      <formula>0</formula>
    </cfRule>
    <cfRule type="cellIs" dxfId="1" priority="1989" operator="lessThan">
      <formula>0</formula>
    </cfRule>
    <cfRule type="cellIs" dxfId="1" priority="1990" operator="lessThan">
      <formula>0</formula>
    </cfRule>
    <cfRule type="cellIs" dxfId="1" priority="1991" operator="lessThan">
      <formula>0</formula>
    </cfRule>
  </conditionalFormatting>
  <conditionalFormatting sqref="AN10:AN12">
    <cfRule type="cellIs" dxfId="1" priority="1992" operator="lessThan">
      <formula>0</formula>
    </cfRule>
    <cfRule type="cellIs" dxfId="1" priority="1993" operator="lessThan">
      <formula>0</formula>
    </cfRule>
    <cfRule type="cellIs" dxfId="1" priority="1994" operator="lessThan">
      <formula>0</formula>
    </cfRule>
    <cfRule type="cellIs" dxfId="1" priority="1995" operator="lessThan">
      <formula>0</formula>
    </cfRule>
  </conditionalFormatting>
  <conditionalFormatting sqref="AN15:AN20">
    <cfRule type="cellIs" dxfId="1" priority="1996" operator="lessThan">
      <formula>0</formula>
    </cfRule>
    <cfRule type="cellIs" dxfId="1" priority="1997" operator="lessThan">
      <formula>0</formula>
    </cfRule>
    <cfRule type="cellIs" dxfId="1" priority="1998" operator="lessThan">
      <formula>0</formula>
    </cfRule>
    <cfRule type="cellIs" dxfId="1" priority="1999" operator="lessThan">
      <formula>0</formula>
    </cfRule>
  </conditionalFormatting>
  <conditionalFormatting sqref="AN21">
    <cfRule type="cellIs" dxfId="1" priority="2000" operator="lessThan">
      <formula>0</formula>
    </cfRule>
    <cfRule type="cellIs" dxfId="1" priority="2001" operator="lessThan">
      <formula>0</formula>
    </cfRule>
    <cfRule type="cellIs" dxfId="1" priority="2002" operator="lessThan">
      <formula>0</formula>
    </cfRule>
    <cfRule type="cellIs" dxfId="1" priority="2003" operator="lessThan">
      <formula>0</formula>
    </cfRule>
  </conditionalFormatting>
  <conditionalFormatting sqref="AN44:AN46">
    <cfRule type="cellIs" dxfId="1" priority="2004" operator="lessThan">
      <formula>0</formula>
    </cfRule>
    <cfRule type="cellIs" dxfId="1" priority="2005" operator="lessThan">
      <formula>0</formula>
    </cfRule>
    <cfRule type="cellIs" dxfId="1" priority="2006" operator="lessThan">
      <formula>0</formula>
    </cfRule>
    <cfRule type="cellIs" dxfId="1" priority="2007" operator="lessThan">
      <formula>0</formula>
    </cfRule>
  </conditionalFormatting>
  <conditionalFormatting sqref="AN30:AN35">
    <cfRule type="cellIs" dxfId="1" priority="2008" operator="lessThan">
      <formula>0</formula>
    </cfRule>
    <cfRule type="cellIs" dxfId="1" priority="2009" operator="lessThan">
      <formula>0</formula>
    </cfRule>
    <cfRule type="cellIs" dxfId="1" priority="2010" operator="lessThan">
      <formula>0</formula>
    </cfRule>
    <cfRule type="cellIs" dxfId="1" priority="2011" operator="lessThan">
      <formula>0</formula>
    </cfRule>
  </conditionalFormatting>
  <conditionalFormatting sqref="AN36">
    <cfRule type="cellIs" dxfId="1" priority="2012" operator="lessThan">
      <formula>0</formula>
    </cfRule>
    <cfRule type="cellIs" dxfId="1" priority="2013" operator="lessThan">
      <formula>0</formula>
    </cfRule>
    <cfRule type="cellIs" dxfId="1" priority="2014" operator="lessThan">
      <formula>0</formula>
    </cfRule>
    <cfRule type="cellIs" dxfId="1" priority="2015" operator="lessThan">
      <formula>0</formula>
    </cfRule>
  </conditionalFormatting>
  <conditionalFormatting sqref="AN23:AN29">
    <cfRule type="cellIs" dxfId="1" priority="2016" operator="lessThan">
      <formula>0</formula>
    </cfRule>
    <cfRule type="cellIs" dxfId="1" priority="2017" operator="lessThan">
      <formula>0</formula>
    </cfRule>
    <cfRule type="cellIs" dxfId="1" priority="2018" operator="lessThan">
      <formula>0</formula>
    </cfRule>
    <cfRule type="cellIs" dxfId="1" priority="2019" operator="lessThan">
      <formula>0</formula>
    </cfRule>
  </conditionalFormatting>
  <conditionalFormatting sqref="AN37">
    <cfRule type="cellIs" dxfId="1" priority="2020" operator="lessThan">
      <formula>0</formula>
    </cfRule>
    <cfRule type="cellIs" dxfId="1" priority="2021" operator="lessThan">
      <formula>0</formula>
    </cfRule>
    <cfRule type="cellIs" dxfId="1" priority="2022" operator="lessThan">
      <formula>0</formula>
    </cfRule>
    <cfRule type="cellIs" dxfId="1" priority="2023" operator="lessThan">
      <formula>0</formula>
    </cfRule>
  </conditionalFormatting>
  <conditionalFormatting sqref="AN51:AN56">
    <cfRule type="cellIs" dxfId="1" priority="2024" operator="lessThan">
      <formula>0</formula>
    </cfRule>
    <cfRule type="cellIs" dxfId="1" priority="2025" operator="lessThan">
      <formula>0</formula>
    </cfRule>
    <cfRule type="cellIs" dxfId="1" priority="2026" operator="lessThan">
      <formula>0</formula>
    </cfRule>
    <cfRule type="cellIs" dxfId="1" priority="2027" operator="lessThan">
      <formula>0</formula>
    </cfRule>
  </conditionalFormatting>
  <conditionalFormatting sqref="AN63">
    <cfRule type="cellIs" dxfId="1" priority="2028" operator="lessThan">
      <formula>0</formula>
    </cfRule>
    <cfRule type="cellIs" dxfId="1" priority="2029" operator="lessThan">
      <formula>0</formula>
    </cfRule>
    <cfRule type="cellIs" dxfId="1" priority="2030" operator="lessThan">
      <formula>0</formula>
    </cfRule>
    <cfRule type="cellIs" dxfId="1" priority="2031" operator="lessThan">
      <formula>0</formula>
    </cfRule>
  </conditionalFormatting>
  <conditionalFormatting sqref="AN57:AN61">
    <cfRule type="cellIs" dxfId="1" priority="2032" operator="lessThan">
      <formula>0</formula>
    </cfRule>
    <cfRule type="cellIs" dxfId="1" priority="2033" operator="lessThan">
      <formula>0</formula>
    </cfRule>
    <cfRule type="cellIs" dxfId="1" priority="2034" operator="lessThan">
      <formula>0</formula>
    </cfRule>
    <cfRule type="cellIs" dxfId="1" priority="2035" operator="lessThan">
      <formula>0</formula>
    </cfRule>
  </conditionalFormatting>
  <conditionalFormatting sqref="AN62">
    <cfRule type="cellIs" dxfId="1" priority="2036" operator="lessThan">
      <formula>0</formula>
    </cfRule>
    <cfRule type="cellIs" dxfId="1" priority="2037" operator="lessThan">
      <formula>0</formula>
    </cfRule>
    <cfRule type="cellIs" dxfId="1" priority="2038" operator="lessThan">
      <formula>0</formula>
    </cfRule>
    <cfRule type="cellIs" dxfId="1" priority="2039" operator="lessThan">
      <formula>0</formula>
    </cfRule>
  </conditionalFormatting>
  <conditionalFormatting sqref="AN66:AN71">
    <cfRule type="cellIs" dxfId="1" priority="2040" operator="lessThan">
      <formula>0</formula>
    </cfRule>
    <cfRule type="cellIs" dxfId="1" priority="2041" operator="lessThan">
      <formula>0</formula>
    </cfRule>
    <cfRule type="cellIs" dxfId="1" priority="2042" operator="lessThan">
      <formula>0</formula>
    </cfRule>
    <cfRule type="cellIs" dxfId="1" priority="2043" operator="lessThan">
      <formula>0</formula>
    </cfRule>
  </conditionalFormatting>
  <conditionalFormatting sqref="AN78">
    <cfRule type="cellIs" dxfId="1" priority="2044" operator="lessThan">
      <formula>0</formula>
    </cfRule>
    <cfRule type="cellIs" dxfId="1" priority="2045" operator="lessThan">
      <formula>0</formula>
    </cfRule>
    <cfRule type="cellIs" dxfId="1" priority="2046" operator="lessThan">
      <formula>0</formula>
    </cfRule>
    <cfRule type="cellIs" dxfId="1" priority="2047" operator="lessThan">
      <formula>0</formula>
    </cfRule>
  </conditionalFormatting>
  <conditionalFormatting sqref="AN72:AN76">
    <cfRule type="cellIs" dxfId="1" priority="2048" operator="lessThan">
      <formula>0</formula>
    </cfRule>
    <cfRule type="cellIs" dxfId="1" priority="2049" operator="lessThan">
      <formula>0</formula>
    </cfRule>
    <cfRule type="cellIs" dxfId="1" priority="2050" operator="lessThan">
      <formula>0</formula>
    </cfRule>
    <cfRule type="cellIs" dxfId="1" priority="2051" operator="lessThan">
      <formula>0</formula>
    </cfRule>
  </conditionalFormatting>
  <conditionalFormatting sqref="AN77">
    <cfRule type="cellIs" dxfId="1" priority="2052" operator="lessThan">
      <formula>0</formula>
    </cfRule>
    <cfRule type="cellIs" dxfId="1" priority="2053" operator="lessThan">
      <formula>0</formula>
    </cfRule>
    <cfRule type="cellIs" dxfId="1" priority="2054" operator="lessThan">
      <formula>0</formula>
    </cfRule>
    <cfRule type="cellIs" dxfId="1" priority="2055" operator="lessThan">
      <formula>0</formula>
    </cfRule>
  </conditionalFormatting>
  <conditionalFormatting sqref="AN64">
    <cfRule type="cellIs" dxfId="1" priority="2056" operator="lessThan">
      <formula>0</formula>
    </cfRule>
    <cfRule type="cellIs" dxfId="1" priority="2057" operator="lessThan">
      <formula>0</formula>
    </cfRule>
    <cfRule type="cellIs" dxfId="1" priority="2058" operator="lessThan">
      <formula>0</formula>
    </cfRule>
    <cfRule type="cellIs" dxfId="1" priority="2059" operator="lessThan">
      <formula>0</formula>
    </cfRule>
  </conditionalFormatting>
  <conditionalFormatting sqref="AN65">
    <cfRule type="cellIs" dxfId="1" priority="2060" operator="lessThan">
      <formula>0</formula>
    </cfRule>
    <cfRule type="cellIs" dxfId="1" priority="2061" operator="lessThan">
      <formula>0</formula>
    </cfRule>
    <cfRule type="cellIs" dxfId="1" priority="2062" operator="lessThan">
      <formula>0</formula>
    </cfRule>
    <cfRule type="cellIs" dxfId="1" priority="2063" operator="lessThan">
      <formula>0</formula>
    </cfRule>
  </conditionalFormatting>
  <conditionalFormatting sqref="AN79:AN84">
    <cfRule type="cellIs" dxfId="1" priority="2064" operator="lessThan">
      <formula>0</formula>
    </cfRule>
    <cfRule type="cellIs" dxfId="1" priority="2065" operator="lessThan">
      <formula>0</formula>
    </cfRule>
    <cfRule type="cellIs" dxfId="1" priority="2066" operator="lessThan">
      <formula>0</formula>
    </cfRule>
    <cfRule type="cellIs" dxfId="1" priority="2067" operator="lessThan">
      <formula>0</formula>
    </cfRule>
  </conditionalFormatting>
  <conditionalFormatting sqref="AN91">
    <cfRule type="cellIs" dxfId="1" priority="2068" operator="lessThan">
      <formula>0</formula>
    </cfRule>
    <cfRule type="cellIs" dxfId="1" priority="2069" operator="lessThan">
      <formula>0</formula>
    </cfRule>
    <cfRule type="cellIs" dxfId="1" priority="2070" operator="lessThan">
      <formula>0</formula>
    </cfRule>
    <cfRule type="cellIs" dxfId="1" priority="2071" operator="lessThan">
      <formula>0</formula>
    </cfRule>
  </conditionalFormatting>
  <conditionalFormatting sqref="AN85:AN89">
    <cfRule type="cellIs" dxfId="1" priority="2072" operator="lessThan">
      <formula>0</formula>
    </cfRule>
    <cfRule type="cellIs" dxfId="1" priority="2073" operator="lessThan">
      <formula>0</formula>
    </cfRule>
    <cfRule type="cellIs" dxfId="1" priority="2074" operator="lessThan">
      <formula>0</formula>
    </cfRule>
    <cfRule type="cellIs" dxfId="1" priority="2075" operator="lessThan">
      <formula>0</formula>
    </cfRule>
  </conditionalFormatting>
  <conditionalFormatting sqref="AN90">
    <cfRule type="cellIs" dxfId="1" priority="2076" operator="lessThan">
      <formula>0</formula>
    </cfRule>
    <cfRule type="cellIs" dxfId="1" priority="2077" operator="lessThan">
      <formula>0</formula>
    </cfRule>
    <cfRule type="cellIs" dxfId="1" priority="2078" operator="lessThan">
      <formula>0</formula>
    </cfRule>
    <cfRule type="cellIs" dxfId="1" priority="2079" operator="lessThan">
      <formula>0</formula>
    </cfRule>
  </conditionalFormatting>
  <conditionalFormatting sqref="AF22">
    <cfRule type="cellIs" dxfId="1" priority="2080" operator="lessThan">
      <formula>0</formula>
    </cfRule>
    <cfRule type="cellIs" dxfId="1" priority="2081" operator="lessThan">
      <formula>0</formula>
    </cfRule>
    <cfRule type="cellIs" dxfId="1" priority="2082" operator="lessThan">
      <formula>0</formula>
    </cfRule>
  </conditionalFormatting>
  <conditionalFormatting sqref="AF38:AF43">
    <cfRule type="cellIs" dxfId="1" priority="2083" operator="lessThan">
      <formula>0</formula>
    </cfRule>
    <cfRule type="cellIs" dxfId="1" priority="2084" operator="lessThan">
      <formula>0</formula>
    </cfRule>
    <cfRule type="cellIs" dxfId="1" priority="2085" operator="lessThan">
      <formula>0</formula>
    </cfRule>
  </conditionalFormatting>
  <conditionalFormatting sqref="AF10:AF12">
    <cfRule type="cellIs" dxfId="1" priority="2086" operator="lessThan">
      <formula>0</formula>
    </cfRule>
    <cfRule type="cellIs" dxfId="1" priority="2087" operator="lessThan">
      <formula>0</formula>
    </cfRule>
    <cfRule type="cellIs" dxfId="1" priority="2088" operator="lessThan">
      <formula>0</formula>
    </cfRule>
  </conditionalFormatting>
  <conditionalFormatting sqref="AF15:AF20">
    <cfRule type="cellIs" dxfId="1" priority="2089" operator="lessThan">
      <formula>0</formula>
    </cfRule>
    <cfRule type="cellIs" dxfId="1" priority="2090" operator="lessThan">
      <formula>0</formula>
    </cfRule>
    <cfRule type="cellIs" dxfId="1" priority="2091" operator="lessThan">
      <formula>0</formula>
    </cfRule>
  </conditionalFormatting>
  <conditionalFormatting sqref="AF21">
    <cfRule type="cellIs" dxfId="1" priority="2092" operator="lessThan">
      <formula>0</formula>
    </cfRule>
    <cfRule type="cellIs" dxfId="1" priority="2093" operator="lessThan">
      <formula>0</formula>
    </cfRule>
    <cfRule type="cellIs" dxfId="1" priority="2094" operator="lessThan">
      <formula>0</formula>
    </cfRule>
  </conditionalFormatting>
  <conditionalFormatting sqref="AF44:AF46">
    <cfRule type="cellIs" dxfId="1" priority="2095" operator="lessThan">
      <formula>0</formula>
    </cfRule>
    <cfRule type="cellIs" dxfId="1" priority="2096" operator="lessThan">
      <formula>0</formula>
    </cfRule>
    <cfRule type="cellIs" dxfId="1" priority="2097" operator="lessThan">
      <formula>0</formula>
    </cfRule>
  </conditionalFormatting>
  <conditionalFormatting sqref="AF30:AF35">
    <cfRule type="cellIs" dxfId="1" priority="2098" operator="lessThan">
      <formula>0</formula>
    </cfRule>
    <cfRule type="cellIs" dxfId="1" priority="2099" operator="lessThan">
      <formula>0</formula>
    </cfRule>
    <cfRule type="cellIs" dxfId="1" priority="2100" operator="lessThan">
      <formula>0</formula>
    </cfRule>
  </conditionalFormatting>
  <conditionalFormatting sqref="AF36">
    <cfRule type="cellIs" dxfId="1" priority="2101" operator="lessThan">
      <formula>0</formula>
    </cfRule>
    <cfRule type="cellIs" dxfId="1" priority="2102" operator="lessThan">
      <formula>0</formula>
    </cfRule>
    <cfRule type="cellIs" dxfId="1" priority="2103" operator="lessThan">
      <formula>0</formula>
    </cfRule>
  </conditionalFormatting>
  <conditionalFormatting sqref="AF37">
    <cfRule type="cellIs" dxfId="1" priority="2104" operator="lessThan">
      <formula>0</formula>
    </cfRule>
    <cfRule type="cellIs" dxfId="1" priority="2105" operator="lessThan">
      <formula>0</formula>
    </cfRule>
    <cfRule type="cellIs" dxfId="1" priority="2106" operator="lessThan">
      <formula>0</formula>
    </cfRule>
  </conditionalFormatting>
  <conditionalFormatting sqref="AF23:AF29">
    <cfRule type="cellIs" dxfId="1" priority="2107" operator="lessThan">
      <formula>0</formula>
    </cfRule>
    <cfRule type="cellIs" dxfId="1" priority="2108" operator="lessThan">
      <formula>0</formula>
    </cfRule>
    <cfRule type="cellIs" dxfId="1" priority="2109" operator="lessThan">
      <formula>0</formula>
    </cfRule>
  </conditionalFormatting>
  <conditionalFormatting sqref="AF63">
    <cfRule type="cellIs" dxfId="1" priority="2110" operator="lessThan">
      <formula>0</formula>
    </cfRule>
    <cfRule type="cellIs" dxfId="1" priority="2111" operator="lessThan">
      <formula>0</formula>
    </cfRule>
    <cfRule type="cellIs" dxfId="1" priority="2112" operator="lessThan">
      <formula>0</formula>
    </cfRule>
  </conditionalFormatting>
  <conditionalFormatting sqref="AF51:AF56">
    <cfRule type="cellIs" dxfId="1" priority="2113" operator="lessThan">
      <formula>0</formula>
    </cfRule>
    <cfRule type="cellIs" dxfId="1" priority="2114" operator="lessThan">
      <formula>0</formula>
    </cfRule>
    <cfRule type="cellIs" dxfId="1" priority="2115" operator="lessThan">
      <formula>0</formula>
    </cfRule>
  </conditionalFormatting>
  <conditionalFormatting sqref="AF57:AF61">
    <cfRule type="cellIs" dxfId="1" priority="2116" operator="lessThan">
      <formula>0</formula>
    </cfRule>
    <cfRule type="cellIs" dxfId="1" priority="2117" operator="lessThan">
      <formula>0</formula>
    </cfRule>
    <cfRule type="cellIs" dxfId="1" priority="2118" operator="lessThan">
      <formula>0</formula>
    </cfRule>
  </conditionalFormatting>
  <conditionalFormatting sqref="AF62">
    <cfRule type="cellIs" dxfId="1" priority="2119" operator="lessThan">
      <formula>0</formula>
    </cfRule>
    <cfRule type="cellIs" dxfId="1" priority="2120" operator="lessThan">
      <formula>0</formula>
    </cfRule>
    <cfRule type="cellIs" dxfId="1" priority="2121" operator="lessThan">
      <formula>0</formula>
    </cfRule>
  </conditionalFormatting>
  <conditionalFormatting sqref="AF78">
    <cfRule type="cellIs" dxfId="1" priority="2122" operator="lessThan">
      <formula>0</formula>
    </cfRule>
    <cfRule type="cellIs" dxfId="1" priority="2123" operator="lessThan">
      <formula>0</formula>
    </cfRule>
    <cfRule type="cellIs" dxfId="1" priority="2124" operator="lessThan">
      <formula>0</formula>
    </cfRule>
  </conditionalFormatting>
  <conditionalFormatting sqref="AF66:AF71">
    <cfRule type="cellIs" dxfId="1" priority="2125" operator="lessThan">
      <formula>0</formula>
    </cfRule>
    <cfRule type="cellIs" dxfId="1" priority="2126" operator="lessThan">
      <formula>0</formula>
    </cfRule>
    <cfRule type="cellIs" dxfId="1" priority="2127" operator="lessThan">
      <formula>0</formula>
    </cfRule>
  </conditionalFormatting>
  <conditionalFormatting sqref="AF72:AF76">
    <cfRule type="cellIs" dxfId="1" priority="2128" operator="lessThan">
      <formula>0</formula>
    </cfRule>
    <cfRule type="cellIs" dxfId="1" priority="2129" operator="lessThan">
      <formula>0</formula>
    </cfRule>
    <cfRule type="cellIs" dxfId="1" priority="2130" operator="lessThan">
      <formula>0</formula>
    </cfRule>
  </conditionalFormatting>
  <conditionalFormatting sqref="AF77">
    <cfRule type="cellIs" dxfId="1" priority="2131" operator="lessThan">
      <formula>0</formula>
    </cfRule>
    <cfRule type="cellIs" dxfId="1" priority="2132" operator="lessThan">
      <formula>0</formula>
    </cfRule>
    <cfRule type="cellIs" dxfId="1" priority="2133" operator="lessThan">
      <formula>0</formula>
    </cfRule>
  </conditionalFormatting>
  <conditionalFormatting sqref="AF64">
    <cfRule type="cellIs" dxfId="1" priority="2134" operator="lessThan">
      <formula>0</formula>
    </cfRule>
    <cfRule type="cellIs" dxfId="1" priority="2135" operator="lessThan">
      <formula>0</formula>
    </cfRule>
    <cfRule type="cellIs" dxfId="1" priority="2136" operator="lessThan">
      <formula>0</formula>
    </cfRule>
  </conditionalFormatting>
  <conditionalFormatting sqref="AF65">
    <cfRule type="cellIs" dxfId="1" priority="2137" operator="lessThan">
      <formula>0</formula>
    </cfRule>
    <cfRule type="cellIs" dxfId="1" priority="2138" operator="lessThan">
      <formula>0</formula>
    </cfRule>
    <cfRule type="cellIs" dxfId="1" priority="2139" operator="lessThan">
      <formula>0</formula>
    </cfRule>
  </conditionalFormatting>
  <conditionalFormatting sqref="AF91">
    <cfRule type="cellIs" dxfId="1" priority="2140" operator="lessThan">
      <formula>0</formula>
    </cfRule>
    <cfRule type="cellIs" dxfId="1" priority="2141" operator="lessThan">
      <formula>0</formula>
    </cfRule>
    <cfRule type="cellIs" dxfId="1" priority="2142" operator="lessThan">
      <formula>0</formula>
    </cfRule>
  </conditionalFormatting>
  <conditionalFormatting sqref="AF79:AF84">
    <cfRule type="cellIs" dxfId="1" priority="2143" operator="lessThan">
      <formula>0</formula>
    </cfRule>
    <cfRule type="cellIs" dxfId="1" priority="2144" operator="lessThan">
      <formula>0</formula>
    </cfRule>
    <cfRule type="cellIs" dxfId="1" priority="2145" operator="lessThan">
      <formula>0</formula>
    </cfRule>
  </conditionalFormatting>
  <conditionalFormatting sqref="AF85:AF89">
    <cfRule type="cellIs" dxfId="1" priority="2146" operator="lessThan">
      <formula>0</formula>
    </cfRule>
    <cfRule type="cellIs" dxfId="1" priority="2147" operator="lessThan">
      <formula>0</formula>
    </cfRule>
    <cfRule type="cellIs" dxfId="1" priority="2148" operator="lessThan">
      <formula>0</formula>
    </cfRule>
  </conditionalFormatting>
  <conditionalFormatting sqref="AF90">
    <cfRule type="cellIs" dxfId="1" priority="2149" operator="lessThan">
      <formula>0</formula>
    </cfRule>
    <cfRule type="cellIs" dxfId="1" priority="2150" operator="lessThan">
      <formula>0</formula>
    </cfRule>
    <cfRule type="cellIs" dxfId="1" priority="2151" operator="lessThan">
      <formula>0</formula>
    </cfRule>
  </conditionalFormatting>
  <conditionalFormatting sqref="AE22">
    <cfRule type="cellIs" dxfId="1" priority="2152" operator="lessThan">
      <formula>0</formula>
    </cfRule>
    <cfRule type="cellIs" dxfId="1" priority="2153" operator="lessThan">
      <formula>0</formula>
    </cfRule>
    <cfRule type="cellIs" dxfId="1" priority="2154" operator="lessThan">
      <formula>0</formula>
    </cfRule>
    <cfRule type="cellIs" dxfId="1" priority="2155" operator="lessThan">
      <formula>0</formula>
    </cfRule>
  </conditionalFormatting>
  <conditionalFormatting sqref="AE38:AE43">
    <cfRule type="cellIs" dxfId="1" priority="2156" operator="lessThan">
      <formula>0</formula>
    </cfRule>
    <cfRule type="cellIs" dxfId="1" priority="2157" operator="lessThan">
      <formula>0</formula>
    </cfRule>
    <cfRule type="cellIs" dxfId="1" priority="2158" operator="lessThan">
      <formula>0</formula>
    </cfRule>
    <cfRule type="cellIs" dxfId="1" priority="2159" operator="lessThan">
      <formula>0</formula>
    </cfRule>
  </conditionalFormatting>
  <conditionalFormatting sqref="AE10:AE12">
    <cfRule type="cellIs" dxfId="1" priority="2160" operator="lessThan">
      <formula>0</formula>
    </cfRule>
    <cfRule type="cellIs" dxfId="1" priority="2161" operator="lessThan">
      <formula>0</formula>
    </cfRule>
    <cfRule type="cellIs" dxfId="1" priority="2162" operator="lessThan">
      <formula>0</formula>
    </cfRule>
    <cfRule type="cellIs" dxfId="1" priority="2163" operator="lessThan">
      <formula>0</formula>
    </cfRule>
  </conditionalFormatting>
  <conditionalFormatting sqref="AE15:AE20">
    <cfRule type="cellIs" dxfId="1" priority="2164" operator="lessThan">
      <formula>0</formula>
    </cfRule>
    <cfRule type="cellIs" dxfId="1" priority="2165" operator="lessThan">
      <formula>0</formula>
    </cfRule>
    <cfRule type="cellIs" dxfId="1" priority="2166" operator="lessThan">
      <formula>0</formula>
    </cfRule>
    <cfRule type="cellIs" dxfId="1" priority="2167" operator="lessThan">
      <formula>0</formula>
    </cfRule>
  </conditionalFormatting>
  <conditionalFormatting sqref="AE21">
    <cfRule type="cellIs" dxfId="1" priority="2168" operator="lessThan">
      <formula>0</formula>
    </cfRule>
    <cfRule type="cellIs" dxfId="1" priority="2169" operator="lessThan">
      <formula>0</formula>
    </cfRule>
    <cfRule type="cellIs" dxfId="1" priority="2170" operator="lessThan">
      <formula>0</formula>
    </cfRule>
    <cfRule type="cellIs" dxfId="1" priority="2171" operator="lessThan">
      <formula>0</formula>
    </cfRule>
  </conditionalFormatting>
  <conditionalFormatting sqref="AE44:AE46">
    <cfRule type="cellIs" dxfId="1" priority="2172" operator="lessThan">
      <formula>0</formula>
    </cfRule>
    <cfRule type="cellIs" dxfId="1" priority="2173" operator="lessThan">
      <formula>0</formula>
    </cfRule>
    <cfRule type="cellIs" dxfId="1" priority="2174" operator="lessThan">
      <formula>0</formula>
    </cfRule>
    <cfRule type="cellIs" dxfId="1" priority="2175" operator="lessThan">
      <formula>0</formula>
    </cfRule>
  </conditionalFormatting>
  <conditionalFormatting sqref="AE30:AE35">
    <cfRule type="cellIs" dxfId="1" priority="2176" operator="lessThan">
      <formula>0</formula>
    </cfRule>
    <cfRule type="cellIs" dxfId="1" priority="2177" operator="lessThan">
      <formula>0</formula>
    </cfRule>
    <cfRule type="cellIs" dxfId="1" priority="2178" operator="lessThan">
      <formula>0</formula>
    </cfRule>
    <cfRule type="cellIs" dxfId="1" priority="2179" operator="lessThan">
      <formula>0</formula>
    </cfRule>
  </conditionalFormatting>
  <conditionalFormatting sqref="AE36">
    <cfRule type="cellIs" dxfId="1" priority="2180" operator="lessThan">
      <formula>0</formula>
    </cfRule>
    <cfRule type="cellIs" dxfId="1" priority="2181" operator="lessThan">
      <formula>0</formula>
    </cfRule>
    <cfRule type="cellIs" dxfId="1" priority="2182" operator="lessThan">
      <formula>0</formula>
    </cfRule>
    <cfRule type="cellIs" dxfId="1" priority="2183" operator="lessThan">
      <formula>0</formula>
    </cfRule>
  </conditionalFormatting>
  <conditionalFormatting sqref="AE37">
    <cfRule type="cellIs" dxfId="1" priority="2184" operator="lessThan">
      <formula>0</formula>
    </cfRule>
    <cfRule type="cellIs" dxfId="1" priority="2185" operator="lessThan">
      <formula>0</formula>
    </cfRule>
    <cfRule type="cellIs" dxfId="1" priority="2186" operator="lessThan">
      <formula>0</formula>
    </cfRule>
    <cfRule type="cellIs" dxfId="1" priority="2187" operator="lessThan">
      <formula>0</formula>
    </cfRule>
  </conditionalFormatting>
  <conditionalFormatting sqref="AE23:AE29">
    <cfRule type="cellIs" dxfId="1" priority="2188" operator="lessThan">
      <formula>0</formula>
    </cfRule>
    <cfRule type="cellIs" dxfId="1" priority="2189" operator="lessThan">
      <formula>0</formula>
    </cfRule>
    <cfRule type="cellIs" dxfId="1" priority="2190" operator="lessThan">
      <formula>0</formula>
    </cfRule>
    <cfRule type="cellIs" dxfId="1" priority="2191" operator="lessThan">
      <formula>0</formula>
    </cfRule>
  </conditionalFormatting>
  <conditionalFormatting sqref="AE63">
    <cfRule type="cellIs" dxfId="1" priority="2192" operator="lessThan">
      <formula>0</formula>
    </cfRule>
    <cfRule type="cellIs" dxfId="1" priority="2193" operator="lessThan">
      <formula>0</formula>
    </cfRule>
    <cfRule type="cellIs" dxfId="1" priority="2194" operator="lessThan">
      <formula>0</formula>
    </cfRule>
    <cfRule type="cellIs" dxfId="1" priority="2195" operator="lessThan">
      <formula>0</formula>
    </cfRule>
  </conditionalFormatting>
  <conditionalFormatting sqref="AE51:AE56">
    <cfRule type="cellIs" dxfId="1" priority="2196" operator="lessThan">
      <formula>0</formula>
    </cfRule>
    <cfRule type="cellIs" dxfId="1" priority="2197" operator="lessThan">
      <formula>0</formula>
    </cfRule>
    <cfRule type="cellIs" dxfId="1" priority="2198" operator="lessThan">
      <formula>0</formula>
    </cfRule>
    <cfRule type="cellIs" dxfId="1" priority="2199" operator="lessThan">
      <formula>0</formula>
    </cfRule>
  </conditionalFormatting>
  <conditionalFormatting sqref="AE57:AE61">
    <cfRule type="cellIs" dxfId="1" priority="2200" operator="lessThan">
      <formula>0</formula>
    </cfRule>
    <cfRule type="cellIs" dxfId="1" priority="2201" operator="lessThan">
      <formula>0</formula>
    </cfRule>
    <cfRule type="cellIs" dxfId="1" priority="2202" operator="lessThan">
      <formula>0</formula>
    </cfRule>
    <cfRule type="cellIs" dxfId="1" priority="2203" operator="lessThan">
      <formula>0</formula>
    </cfRule>
  </conditionalFormatting>
  <conditionalFormatting sqref="AE62">
    <cfRule type="cellIs" dxfId="1" priority="2204" operator="lessThan">
      <formula>0</formula>
    </cfRule>
    <cfRule type="cellIs" dxfId="1" priority="2205" operator="lessThan">
      <formula>0</formula>
    </cfRule>
    <cfRule type="cellIs" dxfId="1" priority="2206" operator="lessThan">
      <formula>0</formula>
    </cfRule>
    <cfRule type="cellIs" dxfId="1" priority="2207" operator="lessThan">
      <formula>0</formula>
    </cfRule>
  </conditionalFormatting>
  <conditionalFormatting sqref="AE78">
    <cfRule type="cellIs" dxfId="1" priority="2208" operator="lessThan">
      <formula>0</formula>
    </cfRule>
    <cfRule type="cellIs" dxfId="1" priority="2209" operator="lessThan">
      <formula>0</formula>
    </cfRule>
    <cfRule type="cellIs" dxfId="1" priority="2210" operator="lessThan">
      <formula>0</formula>
    </cfRule>
    <cfRule type="cellIs" dxfId="1" priority="2211" operator="lessThan">
      <formula>0</formula>
    </cfRule>
  </conditionalFormatting>
  <conditionalFormatting sqref="AE66:AE71">
    <cfRule type="cellIs" dxfId="1" priority="2212" operator="lessThan">
      <formula>0</formula>
    </cfRule>
    <cfRule type="cellIs" dxfId="1" priority="2213" operator="lessThan">
      <formula>0</formula>
    </cfRule>
    <cfRule type="cellIs" dxfId="1" priority="2214" operator="lessThan">
      <formula>0</formula>
    </cfRule>
    <cfRule type="cellIs" dxfId="1" priority="2215" operator="lessThan">
      <formula>0</formula>
    </cfRule>
  </conditionalFormatting>
  <conditionalFormatting sqref="AE72:AE76">
    <cfRule type="cellIs" dxfId="1" priority="2216" operator="lessThan">
      <formula>0</formula>
    </cfRule>
    <cfRule type="cellIs" dxfId="1" priority="2217" operator="lessThan">
      <formula>0</formula>
    </cfRule>
    <cfRule type="cellIs" dxfId="1" priority="2218" operator="lessThan">
      <formula>0</formula>
    </cfRule>
    <cfRule type="cellIs" dxfId="1" priority="2219" operator="lessThan">
      <formula>0</formula>
    </cfRule>
  </conditionalFormatting>
  <conditionalFormatting sqref="AE77">
    <cfRule type="cellIs" dxfId="1" priority="2220" operator="lessThan">
      <formula>0</formula>
    </cfRule>
    <cfRule type="cellIs" dxfId="1" priority="2221" operator="lessThan">
      <formula>0</formula>
    </cfRule>
    <cfRule type="cellIs" dxfId="1" priority="2222" operator="lessThan">
      <formula>0</formula>
    </cfRule>
    <cfRule type="cellIs" dxfId="1" priority="2223" operator="lessThan">
      <formula>0</formula>
    </cfRule>
  </conditionalFormatting>
  <conditionalFormatting sqref="AE64">
    <cfRule type="cellIs" dxfId="1" priority="2224" operator="lessThan">
      <formula>0</formula>
    </cfRule>
    <cfRule type="cellIs" dxfId="1" priority="2225" operator="lessThan">
      <formula>0</formula>
    </cfRule>
    <cfRule type="cellIs" dxfId="1" priority="2226" operator="lessThan">
      <formula>0</formula>
    </cfRule>
    <cfRule type="cellIs" dxfId="1" priority="2227" operator="lessThan">
      <formula>0</formula>
    </cfRule>
  </conditionalFormatting>
  <conditionalFormatting sqref="AE65">
    <cfRule type="cellIs" dxfId="1" priority="2228" operator="lessThan">
      <formula>0</formula>
    </cfRule>
    <cfRule type="cellIs" dxfId="1" priority="2229" operator="lessThan">
      <formula>0</formula>
    </cfRule>
    <cfRule type="cellIs" dxfId="1" priority="2230" operator="lessThan">
      <formula>0</formula>
    </cfRule>
    <cfRule type="cellIs" dxfId="1" priority="2231" operator="lessThan">
      <formula>0</formula>
    </cfRule>
  </conditionalFormatting>
  <conditionalFormatting sqref="AE91">
    <cfRule type="cellIs" dxfId="1" priority="2232" operator="lessThan">
      <formula>0</formula>
    </cfRule>
    <cfRule type="cellIs" dxfId="1" priority="2233" operator="lessThan">
      <formula>0</formula>
    </cfRule>
    <cfRule type="cellIs" dxfId="1" priority="2234" operator="lessThan">
      <formula>0</formula>
    </cfRule>
    <cfRule type="cellIs" dxfId="1" priority="2235" operator="lessThan">
      <formula>0</formula>
    </cfRule>
  </conditionalFormatting>
  <conditionalFormatting sqref="AE79:AE84">
    <cfRule type="cellIs" dxfId="1" priority="2236" operator="lessThan">
      <formula>0</formula>
    </cfRule>
    <cfRule type="cellIs" dxfId="1" priority="2237" operator="lessThan">
      <formula>0</formula>
    </cfRule>
    <cfRule type="cellIs" dxfId="1" priority="2238" operator="lessThan">
      <formula>0</formula>
    </cfRule>
    <cfRule type="cellIs" dxfId="1" priority="2239" operator="lessThan">
      <formula>0</formula>
    </cfRule>
  </conditionalFormatting>
  <conditionalFormatting sqref="AE85:AE89">
    <cfRule type="cellIs" dxfId="1" priority="2240" operator="lessThan">
      <formula>0</formula>
    </cfRule>
    <cfRule type="cellIs" dxfId="1" priority="2241" operator="lessThan">
      <formula>0</formula>
    </cfRule>
    <cfRule type="cellIs" dxfId="1" priority="2242" operator="lessThan">
      <formula>0</formula>
    </cfRule>
    <cfRule type="cellIs" dxfId="1" priority="2243" operator="lessThan">
      <formula>0</formula>
    </cfRule>
  </conditionalFormatting>
  <conditionalFormatting sqref="AE90">
    <cfRule type="cellIs" dxfId="1" priority="2244" operator="lessThan">
      <formula>0</formula>
    </cfRule>
    <cfRule type="cellIs" dxfId="1" priority="2245" operator="lessThan">
      <formula>0</formula>
    </cfRule>
    <cfRule type="cellIs" dxfId="1" priority="2246" operator="lessThan">
      <formula>0</formula>
    </cfRule>
    <cfRule type="cellIs" dxfId="1" priority="2247" operator="lessThan">
      <formula>0</formula>
    </cfRule>
  </conditionalFormatting>
  <conditionalFormatting sqref="V10:V12">
    <cfRule type="cellIs" dxfId="1" priority="2248" operator="lessThan">
      <formula>0</formula>
    </cfRule>
    <cfRule type="cellIs" dxfId="1" priority="2249" operator="lessThan">
      <formula>0</formula>
    </cfRule>
  </conditionalFormatting>
  <conditionalFormatting sqref="V38:V43">
    <cfRule type="cellIs" dxfId="1" priority="2250" operator="lessThan">
      <formula>0</formula>
    </cfRule>
    <cfRule type="cellIs" dxfId="1" priority="2251" operator="lessThan">
      <formula>0</formula>
    </cfRule>
  </conditionalFormatting>
  <conditionalFormatting sqref="V22">
    <cfRule type="cellIs" dxfId="1" priority="2252" operator="lessThan">
      <formula>0</formula>
    </cfRule>
    <cfRule type="cellIs" dxfId="1" priority="2253" operator="lessThan">
      <formula>0</formula>
    </cfRule>
  </conditionalFormatting>
  <conditionalFormatting sqref="V15:V20">
    <cfRule type="cellIs" dxfId="1" priority="2254" operator="lessThan">
      <formula>0</formula>
    </cfRule>
    <cfRule type="cellIs" dxfId="1" priority="2255" operator="lessThan">
      <formula>0</formula>
    </cfRule>
  </conditionalFormatting>
  <conditionalFormatting sqref="V21">
    <cfRule type="cellIs" dxfId="1" priority="2256" operator="lessThan">
      <formula>0</formula>
    </cfRule>
    <cfRule type="cellIs" dxfId="1" priority="2257" operator="lessThan">
      <formula>0</formula>
    </cfRule>
  </conditionalFormatting>
  <conditionalFormatting sqref="V44:V46">
    <cfRule type="cellIs" dxfId="1" priority="2258" operator="lessThan">
      <formula>0</formula>
    </cfRule>
    <cfRule type="cellIs" dxfId="1" priority="2259" operator="lessThan">
      <formula>0</formula>
    </cfRule>
  </conditionalFormatting>
  <conditionalFormatting sqref="V30:V35">
    <cfRule type="cellIs" dxfId="1" priority="2260" operator="lessThan">
      <formula>0</formula>
    </cfRule>
    <cfRule type="cellIs" dxfId="1" priority="2261" operator="lessThan">
      <formula>0</formula>
    </cfRule>
  </conditionalFormatting>
  <conditionalFormatting sqref="V36">
    <cfRule type="cellIs" dxfId="1" priority="2262" operator="lessThan">
      <formula>0</formula>
    </cfRule>
    <cfRule type="cellIs" dxfId="1" priority="2263" operator="lessThan">
      <formula>0</formula>
    </cfRule>
  </conditionalFormatting>
  <conditionalFormatting sqref="V23:V29">
    <cfRule type="cellIs" dxfId="1" priority="2264" operator="lessThan">
      <formula>0</formula>
    </cfRule>
    <cfRule type="cellIs" dxfId="1" priority="2265" operator="lessThan">
      <formula>0</formula>
    </cfRule>
  </conditionalFormatting>
  <conditionalFormatting sqref="V37">
    <cfRule type="cellIs" dxfId="1" priority="2266" operator="lessThan">
      <formula>0</formula>
    </cfRule>
    <cfRule type="cellIs" dxfId="1" priority="2267" operator="lessThan">
      <formula>0</formula>
    </cfRule>
  </conditionalFormatting>
  <conditionalFormatting sqref="V51:V56">
    <cfRule type="cellIs" dxfId="1" priority="2268" operator="lessThan">
      <formula>0</formula>
    </cfRule>
    <cfRule type="cellIs" dxfId="1" priority="2269" operator="lessThan">
      <formula>0</formula>
    </cfRule>
  </conditionalFormatting>
  <conditionalFormatting sqref="V63">
    <cfRule type="cellIs" dxfId="1" priority="2270" operator="lessThan">
      <formula>0</formula>
    </cfRule>
    <cfRule type="cellIs" dxfId="1" priority="2271" operator="lessThan">
      <formula>0</formula>
    </cfRule>
  </conditionalFormatting>
  <conditionalFormatting sqref="V57:V61">
    <cfRule type="cellIs" dxfId="1" priority="2272" operator="lessThan">
      <formula>0</formula>
    </cfRule>
    <cfRule type="cellIs" dxfId="1" priority="2273" operator="lessThan">
      <formula>0</formula>
    </cfRule>
  </conditionalFormatting>
  <conditionalFormatting sqref="V62">
    <cfRule type="cellIs" dxfId="1" priority="2274" operator="lessThan">
      <formula>0</formula>
    </cfRule>
    <cfRule type="cellIs" dxfId="1" priority="2275" operator="lessThan">
      <formula>0</formula>
    </cfRule>
  </conditionalFormatting>
  <conditionalFormatting sqref="V66:V71">
    <cfRule type="cellIs" dxfId="1" priority="2276" operator="lessThan">
      <formula>0</formula>
    </cfRule>
    <cfRule type="cellIs" dxfId="1" priority="2277" operator="lessThan">
      <formula>0</formula>
    </cfRule>
  </conditionalFormatting>
  <conditionalFormatting sqref="V78">
    <cfRule type="cellIs" dxfId="1" priority="2278" operator="lessThan">
      <formula>0</formula>
    </cfRule>
    <cfRule type="cellIs" dxfId="1" priority="2279" operator="lessThan">
      <formula>0</formula>
    </cfRule>
  </conditionalFormatting>
  <conditionalFormatting sqref="V72:V76">
    <cfRule type="cellIs" dxfId="1" priority="2280" operator="lessThan">
      <formula>0</formula>
    </cfRule>
    <cfRule type="cellIs" dxfId="1" priority="2281" operator="lessThan">
      <formula>0</formula>
    </cfRule>
  </conditionalFormatting>
  <conditionalFormatting sqref="V77">
    <cfRule type="cellIs" dxfId="1" priority="2282" operator="lessThan">
      <formula>0</formula>
    </cfRule>
    <cfRule type="cellIs" dxfId="1" priority="2283" operator="lessThan">
      <formula>0</formula>
    </cfRule>
  </conditionalFormatting>
  <conditionalFormatting sqref="V64">
    <cfRule type="cellIs" dxfId="1" priority="2284" operator="lessThan">
      <formula>0</formula>
    </cfRule>
    <cfRule type="cellIs" dxfId="1" priority="2285" operator="lessThan">
      <formula>0</formula>
    </cfRule>
  </conditionalFormatting>
  <conditionalFormatting sqref="V65">
    <cfRule type="cellIs" dxfId="1" priority="2286" operator="lessThan">
      <formula>0</formula>
    </cfRule>
    <cfRule type="cellIs" dxfId="1" priority="2287" operator="lessThan">
      <formula>0</formula>
    </cfRule>
  </conditionalFormatting>
  <conditionalFormatting sqref="V79:V84">
    <cfRule type="cellIs" dxfId="1" priority="2288" operator="lessThan">
      <formula>0</formula>
    </cfRule>
    <cfRule type="cellIs" dxfId="1" priority="2289" operator="lessThan">
      <formula>0</formula>
    </cfRule>
  </conditionalFormatting>
  <conditionalFormatting sqref="V91">
    <cfRule type="cellIs" dxfId="1" priority="2290" operator="lessThan">
      <formula>0</formula>
    </cfRule>
    <cfRule type="cellIs" dxfId="1" priority="2291" operator="lessThan">
      <formula>0</formula>
    </cfRule>
  </conditionalFormatting>
  <conditionalFormatting sqref="V85:V89">
    <cfRule type="cellIs" dxfId="1" priority="2292" operator="lessThan">
      <formula>0</formula>
    </cfRule>
    <cfRule type="cellIs" dxfId="1" priority="2293" operator="lessThan">
      <formula>0</formula>
    </cfRule>
  </conditionalFormatting>
  <conditionalFormatting sqref="V90">
    <cfRule type="cellIs" dxfId="1" priority="2294" operator="lessThan">
      <formula>0</formula>
    </cfRule>
    <cfRule type="cellIs" dxfId="1" priority="2295" operator="lessThan">
      <formula>0</formula>
    </cfRule>
  </conditionalFormatting>
  <conditionalFormatting sqref="Q22">
    <cfRule type="cellIs" dxfId="1" priority="2296" operator="lessThan">
      <formula>0</formula>
    </cfRule>
    <cfRule type="cellIs" dxfId="1" priority="2297" operator="lessThan">
      <formula>0</formula>
    </cfRule>
    <cfRule type="cellIs" dxfId="1" priority="2298" operator="lessThan">
      <formula>0</formula>
    </cfRule>
  </conditionalFormatting>
  <conditionalFormatting sqref="Q38:Q43">
    <cfRule type="cellIs" dxfId="1" priority="2299" operator="lessThan">
      <formula>0</formula>
    </cfRule>
    <cfRule type="cellIs" dxfId="1" priority="2300" operator="lessThan">
      <formula>0</formula>
    </cfRule>
    <cfRule type="cellIs" dxfId="1" priority="2301" operator="lessThan">
      <formula>0</formula>
    </cfRule>
  </conditionalFormatting>
  <conditionalFormatting sqref="Q10:Q12">
    <cfRule type="cellIs" dxfId="1" priority="2302" operator="lessThan">
      <formula>0</formula>
    </cfRule>
    <cfRule type="cellIs" dxfId="1" priority="2303" operator="lessThan">
      <formula>0</formula>
    </cfRule>
    <cfRule type="cellIs" dxfId="1" priority="2304" operator="lessThan">
      <formula>0</formula>
    </cfRule>
  </conditionalFormatting>
  <conditionalFormatting sqref="Q15:Q20">
    <cfRule type="cellIs" dxfId="1" priority="2305" operator="lessThan">
      <formula>0</formula>
    </cfRule>
    <cfRule type="cellIs" dxfId="1" priority="2306" operator="lessThan">
      <formula>0</formula>
    </cfRule>
    <cfRule type="cellIs" dxfId="1" priority="2307" operator="lessThan">
      <formula>0</formula>
    </cfRule>
  </conditionalFormatting>
  <conditionalFormatting sqref="Q21">
    <cfRule type="cellIs" dxfId="1" priority="2308" operator="lessThan">
      <formula>0</formula>
    </cfRule>
    <cfRule type="cellIs" dxfId="1" priority="2309" operator="lessThan">
      <formula>0</formula>
    </cfRule>
    <cfRule type="cellIs" dxfId="1" priority="2310" operator="lessThan">
      <formula>0</formula>
    </cfRule>
  </conditionalFormatting>
  <conditionalFormatting sqref="Q44:Q46">
    <cfRule type="cellIs" dxfId="1" priority="2311" operator="lessThan">
      <formula>0</formula>
    </cfRule>
    <cfRule type="cellIs" dxfId="1" priority="2312" operator="lessThan">
      <formula>0</formula>
    </cfRule>
    <cfRule type="cellIs" dxfId="1" priority="2313" operator="lessThan">
      <formula>0</formula>
    </cfRule>
  </conditionalFormatting>
  <conditionalFormatting sqref="Q30:Q35">
    <cfRule type="cellIs" dxfId="1" priority="2314" operator="lessThan">
      <formula>0</formula>
    </cfRule>
    <cfRule type="cellIs" dxfId="1" priority="2315" operator="lessThan">
      <formula>0</formula>
    </cfRule>
    <cfRule type="cellIs" dxfId="1" priority="2316" operator="lessThan">
      <formula>0</formula>
    </cfRule>
  </conditionalFormatting>
  <conditionalFormatting sqref="Q36">
    <cfRule type="cellIs" dxfId="1" priority="2317" operator="lessThan">
      <formula>0</formula>
    </cfRule>
    <cfRule type="cellIs" dxfId="1" priority="2318" operator="lessThan">
      <formula>0</formula>
    </cfRule>
    <cfRule type="cellIs" dxfId="1" priority="2319" operator="lessThan">
      <formula>0</formula>
    </cfRule>
  </conditionalFormatting>
  <conditionalFormatting sqref="Q37">
    <cfRule type="cellIs" dxfId="1" priority="2320" operator="lessThan">
      <formula>0</formula>
    </cfRule>
    <cfRule type="cellIs" dxfId="1" priority="2321" operator="lessThan">
      <formula>0</formula>
    </cfRule>
    <cfRule type="cellIs" dxfId="1" priority="2322" operator="lessThan">
      <formula>0</formula>
    </cfRule>
  </conditionalFormatting>
  <conditionalFormatting sqref="Q23:Q29">
    <cfRule type="cellIs" dxfId="1" priority="2323" operator="lessThan">
      <formula>0</formula>
    </cfRule>
    <cfRule type="cellIs" dxfId="1" priority="2324" operator="lessThan">
      <formula>0</formula>
    </cfRule>
    <cfRule type="cellIs" dxfId="1" priority="2325" operator="lessThan">
      <formula>0</formula>
    </cfRule>
  </conditionalFormatting>
  <conditionalFormatting sqref="Q63">
    <cfRule type="cellIs" dxfId="1" priority="2326" operator="lessThan">
      <formula>0</formula>
    </cfRule>
    <cfRule type="cellIs" dxfId="1" priority="2327" operator="lessThan">
      <formula>0</formula>
    </cfRule>
    <cfRule type="cellIs" dxfId="1" priority="2328" operator="lessThan">
      <formula>0</formula>
    </cfRule>
  </conditionalFormatting>
  <conditionalFormatting sqref="Q51:Q56">
    <cfRule type="cellIs" dxfId="1" priority="2329" operator="lessThan">
      <formula>0</formula>
    </cfRule>
    <cfRule type="cellIs" dxfId="1" priority="2330" operator="lessThan">
      <formula>0</formula>
    </cfRule>
    <cfRule type="cellIs" dxfId="1" priority="2331" operator="lessThan">
      <formula>0</formula>
    </cfRule>
  </conditionalFormatting>
  <conditionalFormatting sqref="Q57:Q61">
    <cfRule type="cellIs" dxfId="1" priority="2332" operator="lessThan">
      <formula>0</formula>
    </cfRule>
    <cfRule type="cellIs" dxfId="1" priority="2333" operator="lessThan">
      <formula>0</formula>
    </cfRule>
    <cfRule type="cellIs" dxfId="1" priority="2334" operator="lessThan">
      <formula>0</formula>
    </cfRule>
  </conditionalFormatting>
  <conditionalFormatting sqref="Q62">
    <cfRule type="cellIs" dxfId="1" priority="2335" operator="lessThan">
      <formula>0</formula>
    </cfRule>
    <cfRule type="cellIs" dxfId="1" priority="2336" operator="lessThan">
      <formula>0</formula>
    </cfRule>
    <cfRule type="cellIs" dxfId="1" priority="2337" operator="lessThan">
      <formula>0</formula>
    </cfRule>
  </conditionalFormatting>
  <conditionalFormatting sqref="Q78">
    <cfRule type="cellIs" dxfId="1" priority="2338" operator="lessThan">
      <formula>0</formula>
    </cfRule>
    <cfRule type="cellIs" dxfId="1" priority="2339" operator="lessThan">
      <formula>0</formula>
    </cfRule>
    <cfRule type="cellIs" dxfId="1" priority="2340" operator="lessThan">
      <formula>0</formula>
    </cfRule>
  </conditionalFormatting>
  <conditionalFormatting sqref="Q66:Q71">
    <cfRule type="cellIs" dxfId="1" priority="2341" operator="lessThan">
      <formula>0</formula>
    </cfRule>
    <cfRule type="cellIs" dxfId="1" priority="2342" operator="lessThan">
      <formula>0</formula>
    </cfRule>
    <cfRule type="cellIs" dxfId="1" priority="2343" operator="lessThan">
      <formula>0</formula>
    </cfRule>
  </conditionalFormatting>
  <conditionalFormatting sqref="Q72:Q76">
    <cfRule type="cellIs" dxfId="1" priority="2344" operator="lessThan">
      <formula>0</formula>
    </cfRule>
    <cfRule type="cellIs" dxfId="1" priority="2345" operator="lessThan">
      <formula>0</formula>
    </cfRule>
    <cfRule type="cellIs" dxfId="1" priority="2346" operator="lessThan">
      <formula>0</formula>
    </cfRule>
  </conditionalFormatting>
  <conditionalFormatting sqref="Q77">
    <cfRule type="cellIs" dxfId="1" priority="2347" operator="lessThan">
      <formula>0</formula>
    </cfRule>
    <cfRule type="cellIs" dxfId="1" priority="2348" operator="lessThan">
      <formula>0</formula>
    </cfRule>
    <cfRule type="cellIs" dxfId="1" priority="2349" operator="lessThan">
      <formula>0</formula>
    </cfRule>
  </conditionalFormatting>
  <conditionalFormatting sqref="Q64">
    <cfRule type="cellIs" dxfId="1" priority="2350" operator="lessThan">
      <formula>0</formula>
    </cfRule>
    <cfRule type="cellIs" dxfId="1" priority="2351" operator="lessThan">
      <formula>0</formula>
    </cfRule>
    <cfRule type="cellIs" dxfId="1" priority="2352" operator="lessThan">
      <formula>0</formula>
    </cfRule>
  </conditionalFormatting>
  <conditionalFormatting sqref="Q65">
    <cfRule type="cellIs" dxfId="1" priority="2353" operator="lessThan">
      <formula>0</formula>
    </cfRule>
    <cfRule type="cellIs" dxfId="1" priority="2354" operator="lessThan">
      <formula>0</formula>
    </cfRule>
    <cfRule type="cellIs" dxfId="1" priority="2355" operator="lessThan">
      <formula>0</formula>
    </cfRule>
  </conditionalFormatting>
  <conditionalFormatting sqref="Q91">
    <cfRule type="cellIs" dxfId="1" priority="2356" operator="lessThan">
      <formula>0</formula>
    </cfRule>
    <cfRule type="cellIs" dxfId="1" priority="2357" operator="lessThan">
      <formula>0</formula>
    </cfRule>
    <cfRule type="cellIs" dxfId="1" priority="2358" operator="lessThan">
      <formula>0</formula>
    </cfRule>
  </conditionalFormatting>
  <conditionalFormatting sqref="Q79:Q84">
    <cfRule type="cellIs" dxfId="1" priority="2359" operator="lessThan">
      <formula>0</formula>
    </cfRule>
    <cfRule type="cellIs" dxfId="1" priority="2360" operator="lessThan">
      <formula>0</formula>
    </cfRule>
    <cfRule type="cellIs" dxfId="1" priority="2361" operator="lessThan">
      <formula>0</formula>
    </cfRule>
  </conditionalFormatting>
  <conditionalFormatting sqref="Q85:Q89">
    <cfRule type="cellIs" dxfId="1" priority="2362" operator="lessThan">
      <formula>0</formula>
    </cfRule>
    <cfRule type="cellIs" dxfId="1" priority="2363" operator="lessThan">
      <formula>0</formula>
    </cfRule>
    <cfRule type="cellIs" dxfId="1" priority="2364" operator="lessThan">
      <formula>0</formula>
    </cfRule>
  </conditionalFormatting>
  <conditionalFormatting sqref="Q90">
    <cfRule type="cellIs" dxfId="1" priority="2365" operator="lessThan">
      <formula>0</formula>
    </cfRule>
    <cfRule type="cellIs" dxfId="1" priority="2366" operator="lessThan">
      <formula>0</formula>
    </cfRule>
    <cfRule type="cellIs" dxfId="1" priority="2367" operator="lessThan">
      <formula>0</formula>
    </cfRule>
  </conditionalFormatting>
  <conditionalFormatting sqref="C13:L14">
    <cfRule type="cellIs" dxfId="1" priority="2368" operator="lessThan">
      <formula>0</formula>
    </cfRule>
  </conditionalFormatting>
  <conditionalFormatting sqref="R13:U14">
    <cfRule type="cellIs" dxfId="1" priority="2369" operator="lessThan">
      <formula>0</formula>
    </cfRule>
    <cfRule type="cellIs" dxfId="1" priority="2370" operator="lessThan">
      <formula>0</formula>
    </cfRule>
  </conditionalFormatting>
  <conditionalFormatting sqref="AA13:AD14">
    <cfRule type="cellIs" dxfId="1" priority="2371" operator="lessThan">
      <formula>0</formula>
    </cfRule>
    <cfRule type="cellIs" dxfId="1" priority="2372" operator="lessThan">
      <formula>0</formula>
    </cfRule>
  </conditionalFormatting>
  <conditionalFormatting sqref="AJ13:AM14">
    <cfRule type="cellIs" dxfId="1" priority="2373" operator="lessThan">
      <formula>0</formula>
    </cfRule>
    <cfRule type="cellIs" dxfId="1" priority="2374" operator="lessThan">
      <formula>0</formula>
    </cfRule>
  </conditionalFormatting>
  <conditionalFormatting sqref="AS13:AV14">
    <cfRule type="cellIs" dxfId="1" priority="2375" operator="lessThan">
      <formula>0</formula>
    </cfRule>
    <cfRule type="cellIs" dxfId="1" priority="2376" operator="lessThan">
      <formula>0</formula>
    </cfRule>
  </conditionalFormatting>
  <conditionalFormatting sqref="BA14:BE14">
    <cfRule type="cellIs" dxfId="1" priority="2377" operator="lessThan">
      <formula>0</formula>
    </cfRule>
    <cfRule type="cellIs" dxfId="1" priority="2378" operator="lessThan">
      <formula>0</formula>
    </cfRule>
  </conditionalFormatting>
  <conditionalFormatting sqref="BB13:BE13">
    <cfRule type="cellIs" dxfId="1" priority="2379" operator="lessThan">
      <formula>0</formula>
    </cfRule>
    <cfRule type="cellIs" dxfId="1" priority="2380" operator="lessThan">
      <formula>0</formula>
    </cfRule>
  </conditionalFormatting>
  <conditionalFormatting sqref="B13:L14">
    <cfRule type="cellIs" dxfId="1" priority="2381" operator="lessThan">
      <formula>0</formula>
    </cfRule>
  </conditionalFormatting>
  <conditionalFormatting sqref="O13:Q14">
    <cfRule type="cellIs" dxfId="1" priority="2382" operator="lessThan">
      <formula>0</formula>
    </cfRule>
    <cfRule type="cellIs" dxfId="1" priority="2383" operator="lessThan">
      <formula>0</formula>
    </cfRule>
  </conditionalFormatting>
  <conditionalFormatting sqref="P13:P14">
    <cfRule type="cellIs" dxfId="1" priority="2384" operator="lessThan">
      <formula>0</formula>
    </cfRule>
    <cfRule type="cellIs" dxfId="1" priority="2385" operator="lessThan">
      <formula>0</formula>
    </cfRule>
    <cfRule type="cellIs" dxfId="1" priority="2386" operator="lessThan">
      <formula>0</formula>
    </cfRule>
  </conditionalFormatting>
  <conditionalFormatting sqref="O13:O14">
    <cfRule type="cellIs" dxfId="1" priority="2387" operator="lessThan">
      <formula>0</formula>
    </cfRule>
    <cfRule type="cellIs" dxfId="1" priority="2388" operator="lessThan">
      <formula>0</formula>
    </cfRule>
    <cfRule type="cellIs" dxfId="1" priority="2389" operator="lessThan">
      <formula>0</formula>
    </cfRule>
  </conditionalFormatting>
  <conditionalFormatting sqref="M13:O14">
    <cfRule type="cellIs" dxfId="1" priority="2390" operator="lessThan">
      <formula>0</formula>
    </cfRule>
    <cfRule type="cellIs" dxfId="1" priority="2391" operator="lessThan">
      <formula>0</formula>
    </cfRule>
  </conditionalFormatting>
  <conditionalFormatting sqref="Z14">
    <cfRule type="cellIs" dxfId="1" priority="2392" operator="lessThan">
      <formula>0</formula>
    </cfRule>
    <cfRule type="cellIs" dxfId="1" priority="2393" operator="lessThan">
      <formula>0</formula>
    </cfRule>
  </conditionalFormatting>
  <conditionalFormatting sqref="Y13:Y14">
    <cfRule type="cellIs" dxfId="1" priority="2394" operator="lessThan">
      <formula>0</formula>
    </cfRule>
    <cfRule type="cellIs" dxfId="1" priority="2395" operator="lessThan">
      <formula>0</formula>
    </cfRule>
    <cfRule type="cellIs" dxfId="1" priority="2396" operator="lessThan">
      <formula>0</formula>
    </cfRule>
    <cfRule type="cellIs" dxfId="1" priority="2397" operator="lessThan">
      <formula>0</formula>
    </cfRule>
    <cfRule type="cellIs" dxfId="1" priority="2398" operator="lessThan">
      <formula>0</formula>
    </cfRule>
    <cfRule type="cellIs" dxfId="1" priority="2399" operator="lessThan">
      <formula>0</formula>
    </cfRule>
  </conditionalFormatting>
  <conditionalFormatting sqref="Z13">
    <cfRule type="cellIs" dxfId="1" priority="2400" operator="lessThan">
      <formula>0</formula>
    </cfRule>
    <cfRule type="cellIs" dxfId="1" priority="2401" operator="lessThan">
      <formula>0</formula>
    </cfRule>
    <cfRule type="cellIs" dxfId="1" priority="2402" operator="lessThan">
      <formula>0</formula>
    </cfRule>
    <cfRule type="cellIs" dxfId="1" priority="2403" operator="lessThan">
      <formula>0</formula>
    </cfRule>
    <cfRule type="cellIs" dxfId="1" priority="2404" operator="lessThan">
      <formula>0</formula>
    </cfRule>
    <cfRule type="cellIs" dxfId="1" priority="2405" operator="lessThan">
      <formula>0</formula>
    </cfRule>
  </conditionalFormatting>
  <conditionalFormatting sqref="X13:X14">
    <cfRule type="cellIs" dxfId="1" priority="2406" operator="lessThan">
      <formula>0</formula>
    </cfRule>
    <cfRule type="cellIs" dxfId="1" priority="2407" operator="lessThan">
      <formula>0</formula>
    </cfRule>
  </conditionalFormatting>
  <conditionalFormatting sqref="W13:X14">
    <cfRule type="cellIs" dxfId="1" priority="2408" operator="lessThan">
      <formula>0</formula>
    </cfRule>
    <cfRule type="cellIs" dxfId="1" priority="2409" operator="lessThan">
      <formula>0</formula>
    </cfRule>
  </conditionalFormatting>
  <conditionalFormatting sqref="AG13:AI14">
    <cfRule type="cellIs" dxfId="1" priority="2410" operator="lessThan">
      <formula>0</formula>
    </cfRule>
    <cfRule type="cellIs" dxfId="1" priority="2411" operator="lessThan">
      <formula>0</formula>
    </cfRule>
  </conditionalFormatting>
  <conditionalFormatting sqref="AH13:AH14">
    <cfRule type="cellIs" dxfId="1" priority="2412" operator="lessThan">
      <formula>0</formula>
    </cfRule>
    <cfRule type="cellIs" dxfId="1" priority="2413" operator="lessThan">
      <formula>0</formula>
    </cfRule>
    <cfRule type="cellIs" dxfId="1" priority="2414" operator="lessThan">
      <formula>0</formula>
    </cfRule>
  </conditionalFormatting>
  <conditionalFormatting sqref="AI13">
    <cfRule type="cellIs" dxfId="1" priority="2415" operator="lessThan">
      <formula>0</formula>
    </cfRule>
    <cfRule type="cellIs" dxfId="1" priority="2416" operator="lessThan">
      <formula>0</formula>
    </cfRule>
    <cfRule type="cellIs" dxfId="1" priority="2417" operator="lessThan">
      <formula>0</formula>
    </cfRule>
  </conditionalFormatting>
  <conditionalFormatting sqref="AG13:AG14">
    <cfRule type="cellIs" dxfId="1" priority="2418" operator="lessThan">
      <formula>0</formula>
    </cfRule>
    <cfRule type="cellIs" dxfId="1" priority="2419" operator="lessThan">
      <formula>0</formula>
    </cfRule>
    <cfRule type="cellIs" dxfId="1" priority="2420" operator="lessThan">
      <formula>0</formula>
    </cfRule>
  </conditionalFormatting>
  <conditionalFormatting sqref="AF13:AH14">
    <cfRule type="cellIs" dxfId="1" priority="2421" operator="lessThan">
      <formula>0</formula>
    </cfRule>
    <cfRule type="cellIs" dxfId="1" priority="2422" operator="lessThan">
      <formula>0</formula>
    </cfRule>
  </conditionalFormatting>
  <conditionalFormatting sqref="AI13:AI14">
    <cfRule type="cellIs" dxfId="1" priority="2423" operator="lessThan">
      <formula>0</formula>
    </cfRule>
    <cfRule type="cellIs" dxfId="1" priority="2424" operator="lessThan">
      <formula>0</formula>
    </cfRule>
    <cfRule type="cellIs" dxfId="1" priority="2425" operator="lessThan">
      <formula>0</formula>
    </cfRule>
  </conditionalFormatting>
  <conditionalFormatting sqref="AR13:AR14">
    <cfRule type="cellIs" dxfId="1" priority="2426" operator="lessThan">
      <formula>0</formula>
    </cfRule>
    <cfRule type="cellIs" dxfId="1" priority="2427" operator="lessThan">
      <formula>0</formula>
    </cfRule>
  </conditionalFormatting>
  <conditionalFormatting sqref="AZ14">
    <cfRule type="cellIs" dxfId="1" priority="2428" operator="lessThan">
      <formula>0</formula>
    </cfRule>
    <cfRule type="cellIs" dxfId="1" priority="2429" operator="lessThan">
      <formula>0</formula>
    </cfRule>
    <cfRule type="cellIs" dxfId="1" priority="2430" operator="lessThan">
      <formula>0</formula>
    </cfRule>
    <cfRule type="cellIs" dxfId="1" priority="2431" operator="lessThan">
      <formula>0</formula>
    </cfRule>
  </conditionalFormatting>
  <conditionalFormatting sqref="AY14">
    <cfRule type="cellIs" dxfId="1" priority="2432" operator="lessThan">
      <formula>0</formula>
    </cfRule>
    <cfRule type="cellIs" dxfId="1" priority="2433" operator="lessThan">
      <formula>0</formula>
    </cfRule>
    <cfRule type="cellIs" dxfId="1" priority="2434" operator="lessThan">
      <formula>0</formula>
    </cfRule>
    <cfRule type="cellIs" dxfId="1" priority="2435" operator="lessThan">
      <formula>0</formula>
    </cfRule>
    <cfRule type="cellIs" dxfId="1" priority="2436" operator="lessThan">
      <formula>0</formula>
    </cfRule>
    <cfRule type="cellIs" dxfId="1" priority="2437" operator="lessThan">
      <formula>0</formula>
    </cfRule>
  </conditionalFormatting>
  <conditionalFormatting sqref="AX14:AY14">
    <cfRule type="cellIs" dxfId="1" priority="2438" operator="lessThan">
      <formula>0</formula>
    </cfRule>
    <cfRule type="cellIs" dxfId="1" priority="2439" operator="lessThan">
      <formula>0</formula>
    </cfRule>
  </conditionalFormatting>
  <conditionalFormatting sqref="AX13:BA13">
    <cfRule type="cellIs" dxfId="1" priority="2440" operator="lessThan">
      <formula>0</formula>
    </cfRule>
    <cfRule type="cellIs" dxfId="1" priority="2441" operator="lessThan">
      <formula>0</formula>
    </cfRule>
  </conditionalFormatting>
  <conditionalFormatting sqref="AX13:AX14">
    <cfRule type="cellIs" dxfId="1" priority="2442" operator="lessThan">
      <formula>0</formula>
    </cfRule>
    <cfRule type="cellIs" dxfId="1" priority="2443" operator="lessThan">
      <formula>0</formula>
    </cfRule>
    <cfRule type="cellIs" dxfId="1" priority="2444" operator="lessThan">
      <formula>0</formula>
    </cfRule>
  </conditionalFormatting>
  <conditionalFormatting sqref="AY13:BA13">
    <cfRule type="cellIs" dxfId="1" priority="2445" operator="lessThan">
      <formula>0</formula>
    </cfRule>
    <cfRule type="cellIs" dxfId="1" priority="2446" operator="lessThan">
      <formula>0</formula>
    </cfRule>
    <cfRule type="cellIs" dxfId="1" priority="2447" operator="lessThan">
      <formula>0</formula>
    </cfRule>
  </conditionalFormatting>
  <conditionalFormatting sqref="AQ13:AQ14">
    <cfRule type="cellIs" dxfId="1" priority="2448" operator="lessThan">
      <formula>0</formula>
    </cfRule>
    <cfRule type="cellIs" dxfId="1" priority="2449" operator="lessThan">
      <formula>0</formula>
    </cfRule>
    <cfRule type="cellIs" dxfId="1" priority="2450" operator="lessThan">
      <formula>0</formula>
    </cfRule>
    <cfRule type="cellIs" dxfId="1" priority="2451" operator="lessThan">
      <formula>0</formula>
    </cfRule>
  </conditionalFormatting>
  <conditionalFormatting sqref="AP13:AP14">
    <cfRule type="cellIs" dxfId="1" priority="2452" operator="lessThan">
      <formula>0</formula>
    </cfRule>
    <cfRule type="cellIs" dxfId="1" priority="2453" operator="lessThan">
      <formula>0</formula>
    </cfRule>
    <cfRule type="cellIs" dxfId="1" priority="2454" operator="lessThan">
      <formula>0</formula>
    </cfRule>
    <cfRule type="cellIs" dxfId="1" priority="2455" operator="lessThan">
      <formula>0</formula>
    </cfRule>
  </conditionalFormatting>
  <conditionalFormatting sqref="AO13:AP14">
    <cfRule type="cellIs" dxfId="1" priority="2456" operator="lessThan">
      <formula>0</formula>
    </cfRule>
    <cfRule type="cellIs" dxfId="1" priority="2457" operator="lessThan">
      <formula>0</formula>
    </cfRule>
  </conditionalFormatting>
  <conditionalFormatting sqref="AO13:AO14">
    <cfRule type="cellIs" dxfId="1" priority="2458" operator="lessThan">
      <formula>0</formula>
    </cfRule>
    <cfRule type="cellIs" dxfId="1" priority="2459" operator="lessThan">
      <formula>0</formula>
    </cfRule>
    <cfRule type="cellIs" dxfId="1" priority="2460" operator="lessThan">
      <formula>0</formula>
    </cfRule>
  </conditionalFormatting>
  <conditionalFormatting sqref="AW13:AW14">
    <cfRule type="cellIs" dxfId="1" priority="2461" operator="lessThan">
      <formula>0</formula>
    </cfRule>
    <cfRule type="cellIs" dxfId="1" priority="2462" operator="lessThan">
      <formula>0</formula>
    </cfRule>
  </conditionalFormatting>
  <conditionalFormatting sqref="AN13:AN14">
    <cfRule type="cellIs" dxfId="1" priority="2463" operator="lessThan">
      <formula>0</formula>
    </cfRule>
    <cfRule type="cellIs" dxfId="1" priority="2464" operator="lessThan">
      <formula>0</formula>
    </cfRule>
    <cfRule type="cellIs" dxfId="1" priority="2465" operator="lessThan">
      <formula>0</formula>
    </cfRule>
    <cfRule type="cellIs" dxfId="1" priority="2466" operator="lessThan">
      <formula>0</formula>
    </cfRule>
  </conditionalFormatting>
  <conditionalFormatting sqref="AF13:AF14">
    <cfRule type="cellIs" dxfId="1" priority="2467" operator="lessThan">
      <formula>0</formula>
    </cfRule>
    <cfRule type="cellIs" dxfId="1" priority="2468" operator="lessThan">
      <formula>0</formula>
    </cfRule>
    <cfRule type="cellIs" dxfId="1" priority="2469" operator="lessThan">
      <formula>0</formula>
    </cfRule>
  </conditionalFormatting>
  <conditionalFormatting sqref="AE13:AE14">
    <cfRule type="cellIs" dxfId="1" priority="2470" operator="lessThan">
      <formula>0</formula>
    </cfRule>
    <cfRule type="cellIs" dxfId="1" priority="2471" operator="lessThan">
      <formula>0</formula>
    </cfRule>
    <cfRule type="cellIs" dxfId="1" priority="2472" operator="lessThan">
      <formula>0</formula>
    </cfRule>
    <cfRule type="cellIs" dxfId="1" priority="2473" operator="lessThan">
      <formula>0</formula>
    </cfRule>
  </conditionalFormatting>
  <conditionalFormatting sqref="V13:V14">
    <cfRule type="cellIs" dxfId="1" priority="2474" operator="lessThan">
      <formula>0</formula>
    </cfRule>
    <cfRule type="cellIs" dxfId="1" priority="2475" operator="lessThan">
      <formula>0</formula>
    </cfRule>
  </conditionalFormatting>
  <conditionalFormatting sqref="Q13:Q14">
    <cfRule type="cellIs" dxfId="1" priority="2476" operator="lessThan">
      <formula>0</formula>
    </cfRule>
    <cfRule type="cellIs" dxfId="1" priority="2477" operator="lessThan">
      <formula>0</formula>
    </cfRule>
    <cfRule type="cellIs" dxfId="1" priority="2478" operator="lessThan">
      <formula>0</formula>
    </cfRule>
  </conditionalFormatting>
  <conditionalFormatting sqref="C47:L50">
    <cfRule type="cellIs" dxfId="1" priority="2479" operator="lessThan">
      <formula>0</formula>
    </cfRule>
  </conditionalFormatting>
  <conditionalFormatting sqref="R47:U50">
    <cfRule type="cellIs" dxfId="1" priority="2480" operator="lessThan">
      <formula>0</formula>
    </cfRule>
    <cfRule type="cellIs" dxfId="1" priority="2481" operator="lessThan">
      <formula>0</formula>
    </cfRule>
  </conditionalFormatting>
  <conditionalFormatting sqref="AA47:AD50">
    <cfRule type="cellIs" dxfId="1" priority="2482" operator="lessThan">
      <formula>0</formula>
    </cfRule>
    <cfRule type="cellIs" dxfId="1" priority="2483" operator="lessThan">
      <formula>0</formula>
    </cfRule>
  </conditionalFormatting>
  <conditionalFormatting sqref="AJ47:AM50">
    <cfRule type="cellIs" dxfId="1" priority="2484" operator="lessThan">
      <formula>0</formula>
    </cfRule>
    <cfRule type="cellIs" dxfId="1" priority="2485" operator="lessThan">
      <formula>0</formula>
    </cfRule>
  </conditionalFormatting>
  <conditionalFormatting sqref="AS47:AV50">
    <cfRule type="cellIs" dxfId="1" priority="2486" operator="lessThan">
      <formula>0</formula>
    </cfRule>
    <cfRule type="cellIs" dxfId="1" priority="2487" operator="lessThan">
      <formula>0</formula>
    </cfRule>
  </conditionalFormatting>
  <conditionalFormatting sqref="BA47:BE50">
    <cfRule type="cellIs" dxfId="1" priority="2488" operator="lessThan">
      <formula>0</formula>
    </cfRule>
    <cfRule type="cellIs" dxfId="1" priority="2489" operator="lessThan">
      <formula>0</formula>
    </cfRule>
  </conditionalFormatting>
  <conditionalFormatting sqref="B47:L50">
    <cfRule type="cellIs" dxfId="1" priority="2490" operator="lessThan">
      <formula>0</formula>
    </cfRule>
  </conditionalFormatting>
  <conditionalFormatting sqref="O47:Q50">
    <cfRule type="cellIs" dxfId="1" priority="2491" operator="lessThan">
      <formula>0</formula>
    </cfRule>
    <cfRule type="cellIs" dxfId="1" priority="2492" operator="lessThan">
      <formula>0</formula>
    </cfRule>
  </conditionalFormatting>
  <conditionalFormatting sqref="P47:P50">
    <cfRule type="cellIs" dxfId="1" priority="2493" operator="lessThan">
      <formula>0</formula>
    </cfRule>
    <cfRule type="cellIs" dxfId="1" priority="2494" operator="lessThan">
      <formula>0</formula>
    </cfRule>
    <cfRule type="cellIs" dxfId="1" priority="2495" operator="lessThan">
      <formula>0</formula>
    </cfRule>
  </conditionalFormatting>
  <conditionalFormatting sqref="O47:O50">
    <cfRule type="cellIs" dxfId="1" priority="2496" operator="lessThan">
      <formula>0</formula>
    </cfRule>
    <cfRule type="cellIs" dxfId="1" priority="2497" operator="lessThan">
      <formula>0</formula>
    </cfRule>
    <cfRule type="cellIs" dxfId="1" priority="2498" operator="lessThan">
      <formula>0</formula>
    </cfRule>
  </conditionalFormatting>
  <conditionalFormatting sqref="M47:O50">
    <cfRule type="cellIs" dxfId="1" priority="2499" operator="lessThan">
      <formula>0</formula>
    </cfRule>
    <cfRule type="cellIs" dxfId="1" priority="2500" operator="lessThan">
      <formula>0</formula>
    </cfRule>
  </conditionalFormatting>
  <conditionalFormatting sqref="Z47:Z50">
    <cfRule type="cellIs" dxfId="1" priority="2501" operator="lessThan">
      <formula>0</formula>
    </cfRule>
    <cfRule type="cellIs" dxfId="1" priority="2502" operator="lessThan">
      <formula>0</formula>
    </cfRule>
  </conditionalFormatting>
  <conditionalFormatting sqref="Y47:Y50">
    <cfRule type="cellIs" dxfId="1" priority="2503" operator="lessThan">
      <formula>0</formula>
    </cfRule>
    <cfRule type="cellIs" dxfId="1" priority="2504" operator="lessThan">
      <formula>0</formula>
    </cfRule>
    <cfRule type="cellIs" dxfId="1" priority="2505" operator="lessThan">
      <formula>0</formula>
    </cfRule>
    <cfRule type="cellIs" dxfId="1" priority="2506" operator="lessThan">
      <formula>0</formula>
    </cfRule>
    <cfRule type="cellIs" dxfId="1" priority="2507" operator="lessThan">
      <formula>0</formula>
    </cfRule>
    <cfRule type="cellIs" dxfId="1" priority="2508" operator="lessThan">
      <formula>0</formula>
    </cfRule>
  </conditionalFormatting>
  <conditionalFormatting sqref="X47:X50">
    <cfRule type="cellIs" dxfId="1" priority="2509" operator="lessThan">
      <formula>0</formula>
    </cfRule>
    <cfRule type="cellIs" dxfId="1" priority="2510" operator="lessThan">
      <formula>0</formula>
    </cfRule>
  </conditionalFormatting>
  <conditionalFormatting sqref="W47:X50">
    <cfRule type="cellIs" dxfId="1" priority="2511" operator="lessThan">
      <formula>0</formula>
    </cfRule>
    <cfRule type="cellIs" dxfId="1" priority="2512" operator="lessThan">
      <formula>0</formula>
    </cfRule>
  </conditionalFormatting>
  <conditionalFormatting sqref="AG47:AI50">
    <cfRule type="cellIs" dxfId="1" priority="2513" operator="lessThan">
      <formula>0</formula>
    </cfRule>
    <cfRule type="cellIs" dxfId="1" priority="2514" operator="lessThan">
      <formula>0</formula>
    </cfRule>
  </conditionalFormatting>
  <conditionalFormatting sqref="AH47:AH50">
    <cfRule type="cellIs" dxfId="1" priority="2515" operator="lessThan">
      <formula>0</formula>
    </cfRule>
    <cfRule type="cellIs" dxfId="1" priority="2516" operator="lessThan">
      <formula>0</formula>
    </cfRule>
    <cfRule type="cellIs" dxfId="1" priority="2517" operator="lessThan">
      <formula>0</formula>
    </cfRule>
  </conditionalFormatting>
  <conditionalFormatting sqref="AG47:AG50">
    <cfRule type="cellIs" dxfId="1" priority="2518" operator="lessThan">
      <formula>0</formula>
    </cfRule>
    <cfRule type="cellIs" dxfId="1" priority="2519" operator="lessThan">
      <formula>0</formula>
    </cfRule>
    <cfRule type="cellIs" dxfId="1" priority="2520" operator="lessThan">
      <formula>0</formula>
    </cfRule>
  </conditionalFormatting>
  <conditionalFormatting sqref="AF47:AH50">
    <cfRule type="cellIs" dxfId="1" priority="2521" operator="lessThan">
      <formula>0</formula>
    </cfRule>
    <cfRule type="cellIs" dxfId="1" priority="2522" operator="lessThan">
      <formula>0</formula>
    </cfRule>
  </conditionalFormatting>
  <conditionalFormatting sqref="AI47:AI50">
    <cfRule type="cellIs" dxfId="1" priority="2523" operator="lessThan">
      <formula>0</formula>
    </cfRule>
    <cfRule type="cellIs" dxfId="1" priority="2524" operator="lessThan">
      <formula>0</formula>
    </cfRule>
    <cfRule type="cellIs" dxfId="1" priority="2525" operator="lessThan">
      <formula>0</formula>
    </cfRule>
  </conditionalFormatting>
  <conditionalFormatting sqref="AR47:AR50">
    <cfRule type="cellIs" dxfId="1" priority="2526" operator="lessThan">
      <formula>0</formula>
    </cfRule>
    <cfRule type="cellIs" dxfId="1" priority="2527" operator="lessThan">
      <formula>0</formula>
    </cfRule>
  </conditionalFormatting>
  <conditionalFormatting sqref="AZ47:AZ50">
    <cfRule type="cellIs" dxfId="1" priority="2528" operator="lessThan">
      <formula>0</formula>
    </cfRule>
    <cfRule type="cellIs" dxfId="1" priority="2529" operator="lessThan">
      <formula>0</formula>
    </cfRule>
    <cfRule type="cellIs" dxfId="1" priority="2530" operator="lessThan">
      <formula>0</formula>
    </cfRule>
    <cfRule type="cellIs" dxfId="1" priority="2531" operator="lessThan">
      <formula>0</formula>
    </cfRule>
  </conditionalFormatting>
  <conditionalFormatting sqref="AY47:AY50">
    <cfRule type="cellIs" dxfId="1" priority="2532" operator="lessThan">
      <formula>0</formula>
    </cfRule>
    <cfRule type="cellIs" dxfId="1" priority="2533" operator="lessThan">
      <formula>0</formula>
    </cfRule>
    <cfRule type="cellIs" dxfId="1" priority="2534" operator="lessThan">
      <formula>0</formula>
    </cfRule>
    <cfRule type="cellIs" dxfId="1" priority="2535" operator="lessThan">
      <formula>0</formula>
    </cfRule>
    <cfRule type="cellIs" dxfId="1" priority="2536" operator="lessThan">
      <formula>0</formula>
    </cfRule>
    <cfRule type="cellIs" dxfId="1" priority="2537" operator="lessThan">
      <formula>0</formula>
    </cfRule>
  </conditionalFormatting>
  <conditionalFormatting sqref="AX47:AY50">
    <cfRule type="cellIs" dxfId="1" priority="2538" operator="lessThan">
      <formula>0</formula>
    </cfRule>
    <cfRule type="cellIs" dxfId="1" priority="2539" operator="lessThan">
      <formula>0</formula>
    </cfRule>
  </conditionalFormatting>
  <conditionalFormatting sqref="AX47:AX50">
    <cfRule type="cellIs" dxfId="1" priority="2540" operator="lessThan">
      <formula>0</formula>
    </cfRule>
    <cfRule type="cellIs" dxfId="1" priority="2541" operator="lessThan">
      <formula>0</formula>
    </cfRule>
    <cfRule type="cellIs" dxfId="1" priority="2542" operator="lessThan">
      <formula>0</formula>
    </cfRule>
  </conditionalFormatting>
  <conditionalFormatting sqref="AQ47:AQ50">
    <cfRule type="cellIs" dxfId="1" priority="2543" operator="lessThan">
      <formula>0</formula>
    </cfRule>
    <cfRule type="cellIs" dxfId="1" priority="2544" operator="lessThan">
      <formula>0</formula>
    </cfRule>
    <cfRule type="cellIs" dxfId="1" priority="2545" operator="lessThan">
      <formula>0</formula>
    </cfRule>
    <cfRule type="cellIs" dxfId="1" priority="2546" operator="lessThan">
      <formula>0</formula>
    </cfRule>
  </conditionalFormatting>
  <conditionalFormatting sqref="AP47:AP50">
    <cfRule type="cellIs" dxfId="1" priority="2547" operator="lessThan">
      <formula>0</formula>
    </cfRule>
    <cfRule type="cellIs" dxfId="1" priority="2548" operator="lessThan">
      <formula>0</formula>
    </cfRule>
    <cfRule type="cellIs" dxfId="1" priority="2549" operator="lessThan">
      <formula>0</formula>
    </cfRule>
    <cfRule type="cellIs" dxfId="1" priority="2550" operator="lessThan">
      <formula>0</formula>
    </cfRule>
  </conditionalFormatting>
  <conditionalFormatting sqref="AO47:AP50">
    <cfRule type="cellIs" dxfId="1" priority="2551" operator="lessThan">
      <formula>0</formula>
    </cfRule>
    <cfRule type="cellIs" dxfId="1" priority="2552" operator="lessThan">
      <formula>0</formula>
    </cfRule>
  </conditionalFormatting>
  <conditionalFormatting sqref="AO47:AO50">
    <cfRule type="cellIs" dxfId="1" priority="2553" operator="lessThan">
      <formula>0</formula>
    </cfRule>
    <cfRule type="cellIs" dxfId="1" priority="2554" operator="lessThan">
      <formula>0</formula>
    </cfRule>
    <cfRule type="cellIs" dxfId="1" priority="2555" operator="lessThan">
      <formula>0</formula>
    </cfRule>
  </conditionalFormatting>
  <conditionalFormatting sqref="AW47:AW50">
    <cfRule type="cellIs" dxfId="1" priority="2556" operator="lessThan">
      <formula>0</formula>
    </cfRule>
    <cfRule type="cellIs" dxfId="1" priority="2557" operator="lessThan">
      <formula>0</formula>
    </cfRule>
  </conditionalFormatting>
  <conditionalFormatting sqref="AN47:AN50">
    <cfRule type="cellIs" dxfId="1" priority="2558" operator="lessThan">
      <formula>0</formula>
    </cfRule>
    <cfRule type="cellIs" dxfId="1" priority="2559" operator="lessThan">
      <formula>0</formula>
    </cfRule>
    <cfRule type="cellIs" dxfId="1" priority="2560" operator="lessThan">
      <formula>0</formula>
    </cfRule>
    <cfRule type="cellIs" dxfId="1" priority="2561" operator="lessThan">
      <formula>0</formula>
    </cfRule>
  </conditionalFormatting>
  <conditionalFormatting sqref="AF47:AF50">
    <cfRule type="cellIs" dxfId="1" priority="2562" operator="lessThan">
      <formula>0</formula>
    </cfRule>
    <cfRule type="cellIs" dxfId="1" priority="2563" operator="lessThan">
      <formula>0</formula>
    </cfRule>
    <cfRule type="cellIs" dxfId="1" priority="2564" operator="lessThan">
      <formula>0</formula>
    </cfRule>
  </conditionalFormatting>
  <conditionalFormatting sqref="AE47:AE50">
    <cfRule type="cellIs" dxfId="1" priority="2565" operator="lessThan">
      <formula>0</formula>
    </cfRule>
    <cfRule type="cellIs" dxfId="1" priority="2566" operator="lessThan">
      <formula>0</formula>
    </cfRule>
    <cfRule type="cellIs" dxfId="1" priority="2567" operator="lessThan">
      <formula>0</formula>
    </cfRule>
    <cfRule type="cellIs" dxfId="1" priority="2568" operator="lessThan">
      <formula>0</formula>
    </cfRule>
  </conditionalFormatting>
  <conditionalFormatting sqref="V47:V50">
    <cfRule type="cellIs" dxfId="1" priority="2569" operator="lessThan">
      <formula>0</formula>
    </cfRule>
    <cfRule type="cellIs" dxfId="1" priority="2570" operator="lessThan">
      <formula>0</formula>
    </cfRule>
  </conditionalFormatting>
  <conditionalFormatting sqref="Q47:Q50">
    <cfRule type="cellIs" dxfId="1" priority="2571" operator="lessThan">
      <formula>0</formula>
    </cfRule>
    <cfRule type="cellIs" dxfId="1" priority="2572" operator="lessThan">
      <formula>0</formula>
    </cfRule>
    <cfRule type="cellIs" dxfId="1" priority="2573" operator="lessThan">
      <formula>0</formula>
    </cfRule>
  </conditionalFormatting>
  <printOptions gridLines="false" gridLinesSet="true"/>
  <pageMargins left="0.7" right="0.7" top="0.75" bottom="0.7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L96"/>
  <sheetViews>
    <sheetView tabSelected="0" workbookViewId="0" showGridLines="true" showRowColHeaders="1">
      <pane xSplit="2" ySplit="7" topLeftCell="C80" activePane="bottomRight" state="frozen"/>
      <selection pane="topRight"/>
      <selection pane="bottomLeft"/>
      <selection pane="bottomRight" activeCell="B47" sqref="B47:B50"/>
    </sheetView>
  </sheetViews>
  <sheetFormatPr customHeight="true" defaultRowHeight="12.75" outlineLevelRow="0" outlineLevelCol="0"/>
  <cols>
    <col min="1" max="1" width="17.86328125" customWidth="true" style="0"/>
    <col min="2" max="2" width="21" customWidth="true" style="0"/>
    <col min="4" max="4" width="11" hidden="true" customWidth="true" style="0"/>
    <col min="5" max="5" width="9.265625" hidden="true" customWidth="true" style="0"/>
    <col min="6" max="6" width="9.265625" hidden="true" customWidth="true" style="0"/>
    <col min="7" max="7" width="11" hidden="true" customWidth="true" style="0"/>
    <col min="8" max="8" width="11" hidden="true" customWidth="true" style="0"/>
    <col min="9" max="9" width="9.73046875" hidden="true" customWidth="true" style="0"/>
    <col min="10" max="10" width="9.73046875" hidden="true" customWidth="true" style="0"/>
    <col min="11" max="11" width="10.1328125" hidden="true" customWidth="true" style="0"/>
    <col min="12" max="12" width="10.1328125" hidden="true" customWidth="true" style="0"/>
    <col min="13" max="13" width="10.1328125" hidden="true" customWidth="true" style="0"/>
    <col min="14" max="14" width="9.1328125" hidden="true" customWidth="true" style="0"/>
    <col min="15" max="15" width="11.86328125" customWidth="true" style="0"/>
    <col min="16" max="16" width="9.265625" customWidth="true" style="0"/>
    <col min="17" max="17" width="9.265625" customWidth="true" style="0"/>
    <col min="18" max="18" width="10.86328125" customWidth="true" style="0"/>
    <col min="19" max="19" width="9.265625" customWidth="true" style="0"/>
    <col min="20" max="20" width="11" customWidth="true" style="0"/>
    <col min="21" max="21" width="11" customWidth="true" style="0"/>
    <col min="22" max="22" width="10.86328125" customWidth="true" style="0"/>
    <col min="23" max="23" width="10.86328125" customWidth="true" style="0"/>
    <col min="24" max="24" width="10.86328125" customWidth="true" style="0"/>
    <col min="25" max="25" width="10.86328125" customWidth="true" style="0"/>
    <col min="26" max="26" width="11.86328125" customWidth="true" style="0"/>
    <col min="27" max="27" width="10.73046875" customWidth="true" style="0"/>
    <col min="28" max="28" width="9.265625" customWidth="true" style="0"/>
    <col min="29" max="29" width="10.265625" customWidth="true" style="0"/>
    <col min="31" max="31" width="10.86328125" customWidth="true" style="0"/>
    <col min="32" max="32" width="11.86328125" customWidth="true" style="0"/>
    <col min="33" max="33" width="10.86328125" customWidth="true" style="0"/>
    <col min="34" max="34" width="10.86328125" customWidth="true" style="0"/>
    <col min="35" max="35" width="10.86328125" customWidth="true" style="0"/>
    <col min="36" max="36" width="9.265625" customWidth="true" style="0"/>
    <col min="37" max="37" width="11" customWidth="true" style="0"/>
    <col min="38" max="38" width="9.265625" customWidth="true" style="0"/>
    <col min="39" max="39" width="9.265625" customWidth="true" style="0"/>
    <col min="40" max="40" width="9.265625" customWidth="true" style="0"/>
    <col min="41" max="41" width="9.265625" customWidth="true" style="0"/>
    <col min="42" max="42" width="10.1328125" customWidth="true" style="0"/>
    <col min="43" max="43" width="11" customWidth="true" style="0"/>
    <col min="44" max="44" width="10.86328125" customWidth="true" style="0"/>
    <col min="45" max="45" width="10.86328125" customWidth="true" style="0"/>
    <col min="46" max="46" width="10.86328125" customWidth="true" style="0"/>
    <col min="47" max="47" width="10.1328125" customWidth="true" style="0"/>
    <col min="48" max="48" width="11.1328125" customWidth="true" style="0"/>
    <col min="49" max="49" width="9.265625" customWidth="true" style="0"/>
    <col min="50" max="50" width="9.265625" customWidth="true" style="0"/>
    <col min="51" max="51" width="9.265625" customWidth="true" style="0"/>
    <col min="52" max="52" width="9.265625" customWidth="true" style="0"/>
    <col min="53" max="53" width="11.1328125" customWidth="true" style="0"/>
    <col min="54" max="54" width="11.265625" customWidth="true" style="0"/>
    <col min="55" max="55" width="10.86328125" customWidth="true" style="0"/>
    <col min="56" max="56" width="10.86328125" customWidth="true" style="0"/>
    <col min="57" max="57" width="10.86328125" customWidth="true" style="0"/>
    <col min="58" max="58" width="10.3984375" customWidth="true" style="0"/>
    <col min="59" max="59" width="11.1328125" customWidth="true" style="0"/>
    <col min="60" max="60" width="9.265625" customWidth="true" style="0"/>
    <col min="61" max="61" width="9.265625" customWidth="true" style="0"/>
    <col min="62" max="62" width="9.265625" customWidth="true" style="0"/>
    <col min="63" max="63" width="9.265625" customWidth="true" style="0"/>
    <col min="64" max="64" width="11.1328125" customWidth="true" style="0"/>
    <col min="65" max="65" width="10.3984375" customWidth="true" style="0"/>
    <col min="66" max="66" width="10.86328125" customWidth="true" style="0"/>
    <col min="67" max="67" width="10.86328125" customWidth="true" style="0"/>
    <col min="68" max="68" width="10.86328125" customWidth="true" style="0"/>
    <col min="69" max="69" width="11" customWidth="true" style="0"/>
    <col min="70" max="70" width="9.1328125" customWidth="true" style="486"/>
    <col min="71" max="71" width="9.1328125" customWidth="true" style="486"/>
    <col min="72" max="72" width="9.1328125" customWidth="true" style="486"/>
    <col min="73" max="73" width="9.1328125" customWidth="true" style="486"/>
    <col min="74" max="74" width="9.1328125" customWidth="true" style="486"/>
    <col min="75" max="75" width="9.1328125" customWidth="true" style="486"/>
    <col min="76" max="76" width="9.1328125" customWidth="true" style="486"/>
    <col min="77" max="77" width="9.1328125" customWidth="true" style="486"/>
    <col min="78" max="78" width="9.1328125" customWidth="true" style="486"/>
    <col min="79" max="79" width="9.1328125" customWidth="true" style="486"/>
    <col min="80" max="80" width="9.1328125" customWidth="true" style="486"/>
    <col min="81" max="81" width="9.1328125" customWidth="true" style="486"/>
    <col min="82" max="82" width="9.1328125" customWidth="true" style="486"/>
    <col min="83" max="83" width="9.1328125" customWidth="true" style="486"/>
    <col min="84" max="84" width="9.1328125" customWidth="true" style="486"/>
    <col min="85" max="85" width="9.1328125" customWidth="true" style="486"/>
    <col min="86" max="86" width="9.1328125" customWidth="true" style="486"/>
    <col min="87" max="87" width="9.1328125" customWidth="true" style="486"/>
    <col min="88" max="88" width="9.1328125" customWidth="true" style="486"/>
    <col min="89" max="89" width="9.1328125" customWidth="true" style="486"/>
    <col min="90" max="90" width="9.1328125" customWidth="true" style="486"/>
    <col min="91" max="91" width="9.1328125" customWidth="true" style="486"/>
    <col min="92" max="92" width="9.1328125" customWidth="true" style="486"/>
    <col min="93" max="93" width="9.1328125" customWidth="true" style="486"/>
    <col min="94" max="94" width="9.1328125" customWidth="true" style="486"/>
    <col min="95" max="95" width="9.1328125" customWidth="true" style="486"/>
    <col min="96" max="96" width="9.1328125" customWidth="true" style="486"/>
    <col min="97" max="97" width="9.1328125" customWidth="true" style="486"/>
    <col min="98" max="98" width="9.1328125" customWidth="true" style="486"/>
    <col min="99" max="99" width="9.1328125" customWidth="true" style="486"/>
    <col min="100" max="100" width="9.1328125" customWidth="true" style="486"/>
    <col min="101" max="101" width="9.1328125" customWidth="true" style="486"/>
    <col min="102" max="102" width="9.1328125" customWidth="true" style="486"/>
    <col min="103" max="103" width="9.1328125" customWidth="true" style="486"/>
    <col min="104" max="104" width="9.1328125" customWidth="true" style="486"/>
    <col min="105" max="105" width="9.1328125" customWidth="true" style="486"/>
    <col min="106" max="106" width="9.1328125" customWidth="true" style="486"/>
    <col min="107" max="107" width="9.1328125" customWidth="true" style="486"/>
    <col min="108" max="108" width="9.1328125" customWidth="true" style="486"/>
    <col min="109" max="109" width="9.1328125" customWidth="true" style="486"/>
    <col min="110" max="110" width="9.1328125" customWidth="true" style="486"/>
    <col min="111" max="111" width="9.1328125" customWidth="true" style="486"/>
    <col min="112" max="112" width="9.1328125" customWidth="true" style="486"/>
    <col min="113" max="113" width="9.1328125" customWidth="true" style="486"/>
    <col min="114" max="114" width="9.1328125" customWidth="true" style="486"/>
    <col min="115" max="115" width="9.1328125" customWidth="true" style="486"/>
    <col min="116" max="116" width="9.1328125" customWidth="true" style="486"/>
    <col min="117" max="117" width="9.1328125" customWidth="true" style="486"/>
    <col min="118" max="118" width="9.1328125" customWidth="true" style="486"/>
    <col min="119" max="119" width="9.1328125" customWidth="true" style="486"/>
    <col min="120" max="120" width="9.1328125" customWidth="true" style="486"/>
    <col min="121" max="121" width="9.1328125" customWidth="true" style="486"/>
    <col min="122" max="122" width="9.1328125" customWidth="true" style="486"/>
    <col min="123" max="123" width="9.1328125" customWidth="true" style="486"/>
    <col min="124" max="124" width="9.1328125" customWidth="true" style="486"/>
    <col min="125" max="125" width="9.1328125" customWidth="true" style="486"/>
    <col min="126" max="126" width="9.1328125" customWidth="true" style="486"/>
    <col min="127" max="127" width="9.1328125" customWidth="true" style="486"/>
    <col min="128" max="128" width="9.1328125" customWidth="true" style="486"/>
    <col min="129" max="129" width="9.1328125" customWidth="true" style="486"/>
    <col min="130" max="130" width="9.1328125" customWidth="true" style="486"/>
    <col min="131" max="131" width="9.1328125" customWidth="true" style="486"/>
    <col min="132" max="132" width="9.1328125" customWidth="true" style="486"/>
    <col min="133" max="133" width="9.1328125" customWidth="true" style="486"/>
    <col min="134" max="134" width="9.1328125" customWidth="true" style="486"/>
    <col min="135" max="135" width="9.1328125" customWidth="true" style="486"/>
    <col min="136" max="136" width="9.1328125" customWidth="true" style="486"/>
    <col min="137" max="137" width="9.1328125" customWidth="true" style="486"/>
    <col min="138" max="138" width="9.1328125" customWidth="true" style="486"/>
    <col min="139" max="139" width="9.1328125" customWidth="true" style="486"/>
    <col min="140" max="140" width="9.1328125" customWidth="true" style="486"/>
    <col min="141" max="141" width="9.1328125" customWidth="true" style="486"/>
  </cols>
  <sheetData>
    <row r="1" spans="1:142" customHeight="1" ht="15" s="83" customFormat="1">
      <c r="A1" s="457"/>
      <c r="B1" s="458"/>
      <c r="C1" s="459"/>
      <c r="D1" s="460"/>
      <c r="E1" s="461"/>
      <c r="F1" s="461"/>
      <c r="G1" s="461"/>
      <c r="H1" s="461"/>
      <c r="I1" s="461"/>
      <c r="J1" s="462"/>
      <c r="K1" s="462"/>
      <c r="L1" s="462"/>
      <c r="M1" s="462"/>
      <c r="N1" s="462"/>
      <c r="O1" s="461"/>
      <c r="P1" s="461"/>
      <c r="Q1" s="461"/>
      <c r="R1" s="461"/>
      <c r="S1" s="461"/>
      <c r="T1" s="461"/>
      <c r="U1" s="461"/>
      <c r="V1" s="461"/>
      <c r="W1" s="462"/>
      <c r="X1" s="462"/>
      <c r="Y1" s="461"/>
      <c r="Z1" s="461"/>
      <c r="AA1" s="461"/>
      <c r="AB1" s="461"/>
      <c r="AC1" s="461"/>
      <c r="AD1" s="461"/>
      <c r="AE1" s="461"/>
      <c r="AF1" s="461"/>
      <c r="AG1" s="461"/>
      <c r="AH1" s="462"/>
      <c r="AI1" s="462"/>
      <c r="AJ1" s="461"/>
      <c r="AK1" s="461"/>
      <c r="AL1" s="461"/>
      <c r="AM1" s="461"/>
      <c r="AN1" s="461"/>
      <c r="AO1" s="461"/>
      <c r="AP1" s="461"/>
      <c r="AQ1" s="461"/>
      <c r="AR1" s="461"/>
      <c r="AS1" s="462"/>
      <c r="AT1" s="462"/>
      <c r="AU1" s="461"/>
      <c r="AV1" s="461"/>
      <c r="AW1" s="461"/>
      <c r="AX1" s="461"/>
      <c r="AY1" s="461"/>
      <c r="AZ1" s="461"/>
      <c r="BA1" s="461"/>
      <c r="BB1" s="461"/>
      <c r="BC1" s="461"/>
      <c r="BD1" s="462"/>
      <c r="BE1" s="462"/>
      <c r="BF1" s="461"/>
      <c r="BG1" s="461"/>
      <c r="BH1" s="461"/>
      <c r="BI1" s="461"/>
      <c r="BJ1" s="461"/>
      <c r="BK1" s="461"/>
      <c r="BL1" s="461"/>
      <c r="BM1" s="461"/>
      <c r="BN1" s="461"/>
      <c r="BO1" s="462"/>
      <c r="BP1" s="462"/>
      <c r="BQ1" s="461"/>
      <c r="BR1" s="485"/>
      <c r="BS1" s="485"/>
      <c r="BT1" s="485"/>
      <c r="BU1" s="485"/>
      <c r="BV1" s="485"/>
      <c r="BW1" s="485"/>
      <c r="BX1" s="485"/>
      <c r="BY1" s="485"/>
      <c r="BZ1" s="485"/>
      <c r="CA1" s="485"/>
      <c r="CB1" s="485"/>
      <c r="CC1" s="485"/>
      <c r="CD1" s="485"/>
      <c r="CE1" s="485"/>
      <c r="CF1" s="485"/>
      <c r="CG1" s="485"/>
      <c r="CH1" s="485"/>
      <c r="CI1" s="485"/>
      <c r="CJ1" s="485"/>
      <c r="CK1" s="485"/>
      <c r="CL1" s="485"/>
      <c r="CM1" s="485"/>
      <c r="CN1" s="485"/>
      <c r="CO1" s="485"/>
      <c r="CP1" s="485"/>
      <c r="CQ1" s="485"/>
      <c r="CR1" s="485"/>
      <c r="CS1" s="485"/>
      <c r="CT1" s="485"/>
      <c r="CU1" s="485"/>
      <c r="CV1" s="485"/>
      <c r="CW1" s="485"/>
      <c r="CX1" s="485"/>
      <c r="CY1" s="485"/>
      <c r="CZ1" s="485"/>
      <c r="DA1" s="485"/>
      <c r="DB1" s="485"/>
      <c r="DC1" s="485"/>
      <c r="DD1" s="485"/>
      <c r="DE1" s="485"/>
      <c r="DF1" s="485"/>
      <c r="DG1" s="485"/>
      <c r="DH1" s="485"/>
      <c r="DI1" s="485"/>
      <c r="DJ1" s="485"/>
      <c r="DK1" s="485"/>
      <c r="DL1" s="485"/>
      <c r="DM1" s="485"/>
      <c r="DN1" s="485"/>
      <c r="DO1" s="485"/>
      <c r="DP1" s="485"/>
      <c r="DQ1" s="485"/>
      <c r="DR1" s="485"/>
      <c r="DS1" s="485"/>
      <c r="DT1" s="485"/>
      <c r="DU1" s="485"/>
      <c r="DV1" s="485"/>
      <c r="DW1" s="485"/>
      <c r="DX1" s="485"/>
      <c r="DY1" s="485"/>
      <c r="DZ1" s="485"/>
      <c r="EA1" s="485"/>
      <c r="EB1" s="485"/>
      <c r="EC1" s="485"/>
      <c r="ED1" s="485"/>
      <c r="EE1" s="485"/>
      <c r="EF1" s="485"/>
      <c r="EG1" s="485"/>
      <c r="EH1" s="485"/>
      <c r="EI1" s="485"/>
      <c r="EJ1" s="485"/>
      <c r="EK1" s="485"/>
    </row>
    <row r="2" spans="1:142" customHeight="1" ht="15" s="83" customFormat="1">
      <c r="A2" s="457"/>
      <c r="B2" s="458"/>
      <c r="C2" s="459"/>
      <c r="D2" s="463"/>
      <c r="E2" s="463"/>
      <c r="F2" s="463"/>
      <c r="G2" s="463"/>
      <c r="H2" s="463"/>
      <c r="I2" s="463"/>
      <c r="J2" s="462"/>
      <c r="K2" s="462"/>
      <c r="L2" s="462"/>
      <c r="M2" s="462"/>
      <c r="N2" s="462"/>
      <c r="O2" s="463"/>
      <c r="P2" s="463"/>
      <c r="Q2" s="463"/>
      <c r="R2" s="463"/>
      <c r="S2" s="463"/>
      <c r="T2" s="463"/>
      <c r="U2" s="472"/>
      <c r="V2" s="463"/>
      <c r="W2" s="462"/>
      <c r="X2" s="462"/>
      <c r="Y2" s="463"/>
      <c r="Z2" s="463"/>
      <c r="AA2" s="463"/>
      <c r="AB2" s="463"/>
      <c r="AC2" s="463"/>
      <c r="AD2" s="463"/>
      <c r="AE2" s="463"/>
      <c r="AF2" s="463"/>
      <c r="AG2" s="463"/>
      <c r="AH2" s="462"/>
      <c r="AI2" s="462"/>
      <c r="AJ2" s="463"/>
      <c r="AK2" s="463"/>
      <c r="AL2" s="463"/>
      <c r="AM2" s="463"/>
      <c r="AN2" s="463"/>
      <c r="AO2" s="463"/>
      <c r="AP2" s="472"/>
      <c r="AQ2" s="472"/>
      <c r="AR2" s="463"/>
      <c r="AS2" s="462"/>
      <c r="AT2" s="462"/>
      <c r="AU2" s="463"/>
      <c r="AV2" s="463"/>
      <c r="AW2" s="463"/>
      <c r="AX2" s="463"/>
      <c r="AY2" s="463"/>
      <c r="AZ2" s="463"/>
      <c r="BA2" s="463"/>
      <c r="BB2" s="463"/>
      <c r="BC2" s="463"/>
      <c r="BD2" s="462"/>
      <c r="BE2" s="462"/>
      <c r="BF2" s="463"/>
      <c r="BG2" s="463"/>
      <c r="BH2" s="463"/>
      <c r="BI2" s="463"/>
      <c r="BJ2" s="463"/>
      <c r="BK2" s="463"/>
      <c r="BL2" s="463"/>
      <c r="BM2" s="463"/>
      <c r="BN2" s="463"/>
      <c r="BO2" s="462"/>
      <c r="BP2" s="462"/>
      <c r="BQ2" s="463"/>
      <c r="BR2" s="485"/>
      <c r="BS2" s="485"/>
      <c r="BT2" s="485"/>
      <c r="BU2" s="485"/>
      <c r="BV2" s="485"/>
      <c r="BW2" s="485"/>
      <c r="BX2" s="485"/>
      <c r="BY2" s="485"/>
      <c r="BZ2" s="485"/>
      <c r="CA2" s="485"/>
      <c r="CB2" s="485"/>
      <c r="CC2" s="485"/>
      <c r="CD2" s="485"/>
      <c r="CE2" s="485"/>
      <c r="CF2" s="485"/>
      <c r="CG2" s="485"/>
      <c r="CH2" s="485"/>
      <c r="CI2" s="485"/>
      <c r="CJ2" s="485"/>
      <c r="CK2" s="485"/>
      <c r="CL2" s="485"/>
      <c r="CM2" s="485"/>
      <c r="CN2" s="485"/>
      <c r="CO2" s="485"/>
      <c r="CP2" s="485"/>
      <c r="CQ2" s="485"/>
      <c r="CR2" s="485"/>
      <c r="CS2" s="485"/>
      <c r="CT2" s="485"/>
      <c r="CU2" s="485"/>
      <c r="CV2" s="485"/>
      <c r="CW2" s="485"/>
      <c r="CX2" s="485"/>
      <c r="CY2" s="485"/>
      <c r="CZ2" s="485"/>
      <c r="DA2" s="485"/>
      <c r="DB2" s="485"/>
      <c r="DC2" s="485"/>
      <c r="DD2" s="485"/>
      <c r="DE2" s="485"/>
      <c r="DF2" s="485"/>
      <c r="DG2" s="485"/>
      <c r="DH2" s="485"/>
      <c r="DI2" s="485"/>
      <c r="DJ2" s="485"/>
      <c r="DK2" s="485"/>
      <c r="DL2" s="485"/>
      <c r="DM2" s="485"/>
      <c r="DN2" s="485"/>
      <c r="DO2" s="485"/>
      <c r="DP2" s="485"/>
      <c r="DQ2" s="485"/>
      <c r="DR2" s="485"/>
      <c r="DS2" s="485"/>
      <c r="DT2" s="485"/>
      <c r="DU2" s="485"/>
      <c r="DV2" s="485"/>
      <c r="DW2" s="485"/>
      <c r="DX2" s="485"/>
      <c r="DY2" s="485"/>
      <c r="DZ2" s="485"/>
      <c r="EA2" s="485"/>
      <c r="EB2" s="485"/>
      <c r="EC2" s="485"/>
      <c r="ED2" s="485"/>
      <c r="EE2" s="485"/>
      <c r="EF2" s="485"/>
      <c r="EG2" s="485"/>
      <c r="EH2" s="485"/>
      <c r="EI2" s="485"/>
      <c r="EJ2" s="485"/>
      <c r="EK2" s="485"/>
    </row>
    <row r="3" spans="1:142" customHeight="1" ht="15" s="83" customFormat="1">
      <c r="A3" s="464"/>
      <c r="B3" s="458">
        <v>1</v>
      </c>
      <c r="C3" s="459">
        <f>+B3+1</f>
        <v>2</v>
      </c>
      <c r="D3" s="465">
        <f>+C3+1</f>
        <v>3</v>
      </c>
      <c r="E3" s="463">
        <f>+D3+1</f>
        <v>4</v>
      </c>
      <c r="F3" s="465">
        <f>+E3+1</f>
        <v>5</v>
      </c>
      <c r="G3" s="465">
        <f>+F3+1</f>
        <v>6</v>
      </c>
      <c r="H3" s="465">
        <f>+G3+1</f>
        <v>7</v>
      </c>
      <c r="I3" s="465">
        <f>+H3+1</f>
        <v>8</v>
      </c>
      <c r="J3" s="466">
        <f>+I3+1</f>
        <v>9</v>
      </c>
      <c r="K3" s="466">
        <f>+J3+1</f>
        <v>10</v>
      </c>
      <c r="L3" s="466">
        <f>+K3+1</f>
        <v>11</v>
      </c>
      <c r="M3" s="466">
        <f>+L3+1</f>
        <v>12</v>
      </c>
      <c r="N3" s="466">
        <f>+M3+1</f>
        <v>13</v>
      </c>
      <c r="O3" s="463">
        <f>+N3+1</f>
        <v>14</v>
      </c>
      <c r="P3" s="465">
        <f>+O3+1</f>
        <v>15</v>
      </c>
      <c r="Q3" s="465">
        <f>+P3+1</f>
        <v>16</v>
      </c>
      <c r="R3" s="465">
        <f>+Q3+1</f>
        <v>17</v>
      </c>
      <c r="S3" s="465">
        <f>+R3+1</f>
        <v>18</v>
      </c>
      <c r="T3" s="465">
        <f>+S3+1</f>
        <v>19</v>
      </c>
      <c r="U3" s="465">
        <f>+T3+1</f>
        <v>20</v>
      </c>
      <c r="V3" s="465">
        <f>+U3+1</f>
        <v>21</v>
      </c>
      <c r="W3" s="466">
        <f>+V3+1</f>
        <v>22</v>
      </c>
      <c r="X3" s="466">
        <f>+W3+1</f>
        <v>23</v>
      </c>
      <c r="Y3" s="465">
        <f>+X3+1</f>
        <v>24</v>
      </c>
      <c r="Z3" s="465">
        <f>+Y3+1</f>
        <v>25</v>
      </c>
      <c r="AA3" s="465">
        <f>+Z3+1</f>
        <v>26</v>
      </c>
      <c r="AB3" s="465">
        <f>+AA3+1</f>
        <v>27</v>
      </c>
      <c r="AC3" s="465">
        <f>+AB3+1</f>
        <v>28</v>
      </c>
      <c r="AD3" s="465">
        <f>+AC3+1</f>
        <v>29</v>
      </c>
      <c r="AE3" s="465">
        <f>+AD3+1</f>
        <v>30</v>
      </c>
      <c r="AF3" s="465">
        <f>+AE3+1</f>
        <v>31</v>
      </c>
      <c r="AG3" s="465">
        <f>+AF3+1</f>
        <v>32</v>
      </c>
      <c r="AH3" s="466">
        <f>+AG3+1</f>
        <v>33</v>
      </c>
      <c r="AI3" s="466">
        <f>+AH3+1</f>
        <v>34</v>
      </c>
      <c r="AJ3" s="465">
        <f>+AI3+1</f>
        <v>35</v>
      </c>
      <c r="AK3" s="465">
        <f>+AJ3+1</f>
        <v>36</v>
      </c>
      <c r="AL3" s="465">
        <f>+AK3+1</f>
        <v>37</v>
      </c>
      <c r="AM3" s="465">
        <f>+AL3+1</f>
        <v>38</v>
      </c>
      <c r="AN3" s="465">
        <f>+AM3+1</f>
        <v>39</v>
      </c>
      <c r="AO3" s="465">
        <f>+AN3+1</f>
        <v>40</v>
      </c>
      <c r="AP3" s="465">
        <f>+AO3+1</f>
        <v>41</v>
      </c>
      <c r="AQ3" s="465">
        <f>+AP3+1</f>
        <v>42</v>
      </c>
      <c r="AR3" s="465">
        <f>+AQ3+1</f>
        <v>43</v>
      </c>
      <c r="AS3" s="466">
        <f>+AR3+1</f>
        <v>44</v>
      </c>
      <c r="AT3" s="466">
        <f>+AS3+1</f>
        <v>45</v>
      </c>
      <c r="AU3" s="465">
        <f>+AT3+1</f>
        <v>46</v>
      </c>
      <c r="AV3" s="465">
        <f>+AU3+1</f>
        <v>47</v>
      </c>
      <c r="AW3" s="465">
        <f>+AV3+1</f>
        <v>48</v>
      </c>
      <c r="AX3" s="465">
        <f>+AW3+1</f>
        <v>49</v>
      </c>
      <c r="AY3" s="465">
        <f>+AX3+1</f>
        <v>50</v>
      </c>
      <c r="AZ3" s="465">
        <f>+AY3+1</f>
        <v>51</v>
      </c>
      <c r="BA3" s="465">
        <f>+AZ3+1</f>
        <v>52</v>
      </c>
      <c r="BB3" s="465">
        <f>+BA3+1</f>
        <v>53</v>
      </c>
      <c r="BC3" s="465">
        <f>+BB3+1</f>
        <v>54</v>
      </c>
      <c r="BD3" s="466">
        <f>+BC3+1</f>
        <v>55</v>
      </c>
      <c r="BE3" s="466">
        <f>+BD3+1</f>
        <v>56</v>
      </c>
      <c r="BF3" s="465">
        <f>+BE3+1</f>
        <v>57</v>
      </c>
      <c r="BG3" s="465">
        <f>+BF3+1</f>
        <v>58</v>
      </c>
      <c r="BH3" s="465">
        <f>+BG3+1</f>
        <v>59</v>
      </c>
      <c r="BI3" s="465">
        <f>+BH3+1</f>
        <v>60</v>
      </c>
      <c r="BJ3" s="465">
        <f>+BI3+1</f>
        <v>61</v>
      </c>
      <c r="BK3" s="465">
        <f>+BJ3+1</f>
        <v>62</v>
      </c>
      <c r="BL3" s="465">
        <f>+BK3+1</f>
        <v>63</v>
      </c>
      <c r="BM3" s="465">
        <f>+BL3+1</f>
        <v>64</v>
      </c>
      <c r="BN3" s="465">
        <f>+BM3+1</f>
        <v>65</v>
      </c>
      <c r="BO3" s="466">
        <f>+BN3+1</f>
        <v>66</v>
      </c>
      <c r="BP3" s="466">
        <f>+BO3+1</f>
        <v>67</v>
      </c>
      <c r="BQ3" s="465">
        <f>+BP3+1</f>
        <v>68</v>
      </c>
      <c r="BR3" s="485"/>
      <c r="BS3" s="485"/>
      <c r="BT3" s="485"/>
      <c r="BU3" s="485"/>
      <c r="BV3" s="485"/>
      <c r="BW3" s="485"/>
      <c r="BX3" s="485"/>
      <c r="BY3" s="485"/>
      <c r="BZ3" s="485"/>
      <c r="CA3" s="485"/>
      <c r="CB3" s="485"/>
      <c r="CC3" s="485"/>
      <c r="CD3" s="485"/>
      <c r="CE3" s="485"/>
      <c r="CF3" s="485"/>
      <c r="CG3" s="485"/>
      <c r="CH3" s="485"/>
      <c r="CI3" s="485"/>
      <c r="CJ3" s="485"/>
      <c r="CK3" s="485"/>
      <c r="CL3" s="485"/>
      <c r="CM3" s="485"/>
      <c r="CN3" s="485"/>
      <c r="CO3" s="485"/>
      <c r="CP3" s="485"/>
      <c r="CQ3" s="485"/>
      <c r="CR3" s="485"/>
      <c r="CS3" s="485"/>
      <c r="CT3" s="485"/>
      <c r="CU3" s="485"/>
      <c r="CV3" s="485"/>
      <c r="CW3" s="485"/>
      <c r="CX3" s="485"/>
      <c r="CY3" s="485"/>
      <c r="CZ3" s="485"/>
      <c r="DA3" s="485"/>
      <c r="DB3" s="485"/>
      <c r="DC3" s="485"/>
      <c r="DD3" s="485"/>
      <c r="DE3" s="485"/>
      <c r="DF3" s="485"/>
      <c r="DG3" s="485"/>
      <c r="DH3" s="485"/>
      <c r="DI3" s="485"/>
      <c r="DJ3" s="485"/>
      <c r="DK3" s="485"/>
      <c r="DL3" s="485"/>
      <c r="DM3" s="485"/>
      <c r="DN3" s="485"/>
      <c r="DO3" s="485"/>
      <c r="DP3" s="485"/>
      <c r="DQ3" s="485"/>
      <c r="DR3" s="485"/>
      <c r="DS3" s="485"/>
      <c r="DT3" s="485"/>
      <c r="DU3" s="485"/>
      <c r="DV3" s="485"/>
      <c r="DW3" s="485"/>
      <c r="DX3" s="485"/>
      <c r="DY3" s="485"/>
      <c r="DZ3" s="485"/>
      <c r="EA3" s="485"/>
      <c r="EB3" s="485"/>
      <c r="EC3" s="485"/>
      <c r="ED3" s="485"/>
      <c r="EE3" s="485"/>
      <c r="EF3" s="485"/>
      <c r="EG3" s="485"/>
      <c r="EH3" s="485"/>
      <c r="EI3" s="485"/>
      <c r="EJ3" s="485"/>
      <c r="EK3" s="485"/>
    </row>
    <row r="4" spans="1:142" customHeight="1" ht="15.4" s="83" customFormat="1">
      <c r="A4" s="462" t="s">
        <v>332</v>
      </c>
      <c r="B4" s="467">
        <f>NOW()</f>
        <v>46195.104675926</v>
      </c>
      <c r="C4" s="467"/>
      <c r="D4" s="468" t="s">
        <v>344</v>
      </c>
      <c r="E4" s="468"/>
      <c r="F4" s="468"/>
      <c r="G4" s="468"/>
      <c r="H4" s="468"/>
      <c r="I4" s="468"/>
      <c r="J4" s="467"/>
      <c r="K4" s="467"/>
      <c r="L4" s="467"/>
      <c r="M4" s="467"/>
      <c r="N4" s="467"/>
      <c r="O4" s="468" t="s">
        <v>333</v>
      </c>
      <c r="P4" s="468"/>
      <c r="Q4" s="468"/>
      <c r="R4" s="468"/>
      <c r="S4" s="468"/>
      <c r="T4" s="468"/>
      <c r="U4" s="468"/>
      <c r="V4" s="468"/>
      <c r="W4" s="467"/>
      <c r="X4" s="467"/>
      <c r="Y4" s="468"/>
      <c r="Z4" s="468" t="s">
        <v>334</v>
      </c>
      <c r="AA4" s="468"/>
      <c r="AB4" s="468"/>
      <c r="AC4" s="468"/>
      <c r="AD4" s="468"/>
      <c r="AE4" s="468"/>
      <c r="AF4" s="468"/>
      <c r="AG4" s="468"/>
      <c r="AH4" s="467"/>
      <c r="AI4" s="467"/>
      <c r="AJ4" s="468"/>
      <c r="AK4" s="468" t="s">
        <v>335</v>
      </c>
      <c r="AL4" s="468"/>
      <c r="AM4" s="468"/>
      <c r="AN4" s="468"/>
      <c r="AO4" s="468"/>
      <c r="AP4" s="468"/>
      <c r="AQ4" s="468"/>
      <c r="AR4" s="468"/>
      <c r="AS4" s="467"/>
      <c r="AT4" s="467"/>
      <c r="AU4" s="468"/>
      <c r="AV4" s="468" t="s">
        <v>335</v>
      </c>
      <c r="AW4" s="468"/>
      <c r="AX4" s="468"/>
      <c r="AY4" s="468"/>
      <c r="AZ4" s="468"/>
      <c r="BA4" s="468"/>
      <c r="BB4" s="468"/>
      <c r="BC4" s="468"/>
      <c r="BD4" s="467"/>
      <c r="BE4" s="467"/>
      <c r="BF4" s="468"/>
      <c r="BG4" s="468" t="s">
        <v>335</v>
      </c>
      <c r="BH4" s="468"/>
      <c r="BI4" s="468"/>
      <c r="BJ4" s="468"/>
      <c r="BK4" s="468"/>
      <c r="BL4" s="468"/>
      <c r="BM4" s="468"/>
      <c r="BN4" s="468"/>
      <c r="BO4" s="467"/>
      <c r="BP4" s="467"/>
      <c r="BQ4" s="468"/>
      <c r="BR4" s="485"/>
      <c r="BS4" s="485"/>
      <c r="BT4" s="485"/>
      <c r="BU4" s="485"/>
      <c r="BV4" s="485"/>
      <c r="BW4" s="485"/>
      <c r="BX4" s="485"/>
      <c r="BY4" s="485"/>
      <c r="BZ4" s="485"/>
      <c r="CA4" s="485"/>
      <c r="CB4" s="485"/>
      <c r="CC4" s="485"/>
      <c r="CD4" s="485"/>
      <c r="CE4" s="485"/>
      <c r="CF4" s="485"/>
      <c r="CG4" s="485"/>
      <c r="CH4" s="485"/>
      <c r="CI4" s="485"/>
      <c r="CJ4" s="485"/>
      <c r="CK4" s="485"/>
      <c r="CL4" s="485"/>
      <c r="CM4" s="485"/>
      <c r="CN4" s="485"/>
      <c r="CO4" s="485"/>
      <c r="CP4" s="485"/>
      <c r="CQ4" s="485"/>
      <c r="CR4" s="485"/>
      <c r="CS4" s="485"/>
      <c r="CT4" s="485"/>
      <c r="CU4" s="485"/>
      <c r="CV4" s="485"/>
      <c r="CW4" s="485"/>
      <c r="CX4" s="485"/>
      <c r="CY4" s="485"/>
      <c r="CZ4" s="485"/>
      <c r="DA4" s="485"/>
      <c r="DB4" s="485"/>
      <c r="DC4" s="485"/>
      <c r="DD4" s="485"/>
      <c r="DE4" s="485"/>
      <c r="DF4" s="485"/>
      <c r="DG4" s="485"/>
      <c r="DH4" s="485"/>
      <c r="DI4" s="485"/>
      <c r="DJ4" s="485"/>
      <c r="DK4" s="485"/>
      <c r="DL4" s="485"/>
      <c r="DM4" s="485"/>
      <c r="DN4" s="485"/>
      <c r="DO4" s="485"/>
      <c r="DP4" s="485"/>
      <c r="DQ4" s="485"/>
      <c r="DR4" s="485"/>
      <c r="DS4" s="485"/>
      <c r="DT4" s="485"/>
      <c r="DU4" s="485"/>
      <c r="DV4" s="485"/>
      <c r="DW4" s="485"/>
      <c r="DX4" s="485"/>
      <c r="DY4" s="485"/>
      <c r="DZ4" s="485"/>
      <c r="EA4" s="485"/>
      <c r="EB4" s="485"/>
      <c r="EC4" s="485"/>
      <c r="ED4" s="485"/>
      <c r="EE4" s="485"/>
      <c r="EF4" s="485"/>
      <c r="EG4" s="485"/>
      <c r="EH4" s="485"/>
      <c r="EI4" s="485"/>
      <c r="EJ4" s="485"/>
      <c r="EK4" s="485"/>
    </row>
    <row r="5" spans="1:142" customHeight="1" ht="14.25" s="470" customFormat="1">
      <c r="A5" s="1302" t="s">
        <v>8</v>
      </c>
      <c r="B5" s="1304" t="s">
        <v>9</v>
      </c>
      <c r="C5" s="1306" t="s">
        <v>10</v>
      </c>
      <c r="D5" s="1281" t="str">
        <f>+'(AS-400 Jembatan)'!D5:L6</f>
        <v>MAR</v>
      </c>
      <c r="E5" s="1276"/>
      <c r="F5" s="1276"/>
      <c r="G5" s="1276"/>
      <c r="H5" s="1276"/>
      <c r="I5" s="1276"/>
      <c r="J5" s="1276"/>
      <c r="K5" s="1276"/>
      <c r="L5" s="1276"/>
      <c r="M5" s="1276"/>
      <c r="N5" s="1276"/>
      <c r="O5" s="1275" t="str">
        <f>+'(AS-400 Jembatan)'!M5</f>
        <v>APR</v>
      </c>
      <c r="P5" s="1276"/>
      <c r="Q5" s="1276"/>
      <c r="R5" s="1276"/>
      <c r="S5" s="1276"/>
      <c r="T5" s="1276"/>
      <c r="U5" s="1276"/>
      <c r="V5" s="1276"/>
      <c r="W5" s="1276"/>
      <c r="X5" s="1276"/>
      <c r="Y5" s="1277"/>
      <c r="Z5" s="1275" t="str">
        <f>+'(AS-400 Jembatan)'!V5</f>
        <v>MAY</v>
      </c>
      <c r="AA5" s="1276"/>
      <c r="AB5" s="1276"/>
      <c r="AC5" s="1276"/>
      <c r="AD5" s="1276"/>
      <c r="AE5" s="1276"/>
      <c r="AF5" s="1276"/>
      <c r="AG5" s="1276"/>
      <c r="AH5" s="1276"/>
      <c r="AI5" s="1276"/>
      <c r="AJ5" s="1277"/>
      <c r="AK5" s="1275" t="str">
        <f>+'(AS-400 Jembatan)'!AE5</f>
        <v>JUN</v>
      </c>
      <c r="AL5" s="1276"/>
      <c r="AM5" s="1276"/>
      <c r="AN5" s="1276"/>
      <c r="AO5" s="1276"/>
      <c r="AP5" s="1276"/>
      <c r="AQ5" s="1276"/>
      <c r="AR5" s="1276"/>
      <c r="AS5" s="1276"/>
      <c r="AT5" s="1276"/>
      <c r="AU5" s="1277"/>
      <c r="AV5" s="1275" t="str">
        <f>+'(AS-400 Jembatan)'!AN5</f>
        <v>JUL</v>
      </c>
      <c r="AW5" s="1276"/>
      <c r="AX5" s="1276"/>
      <c r="AY5" s="1276"/>
      <c r="AZ5" s="1276"/>
      <c r="BA5" s="1276"/>
      <c r="BB5" s="1276"/>
      <c r="BC5" s="1276"/>
      <c r="BD5" s="1276"/>
      <c r="BE5" s="1276"/>
      <c r="BF5" s="1277"/>
      <c r="BG5" s="1275" t="str">
        <f>+'(AS-400 Jembatan)'!AW5</f>
        <v>AUG</v>
      </c>
      <c r="BH5" s="1276"/>
      <c r="BI5" s="1276"/>
      <c r="BJ5" s="1276"/>
      <c r="BK5" s="1276"/>
      <c r="BL5" s="1276"/>
      <c r="BM5" s="1276"/>
      <c r="BN5" s="1276"/>
      <c r="BO5" s="1276"/>
      <c r="BP5" s="1276"/>
      <c r="BQ5" s="1277"/>
      <c r="BR5" s="485"/>
      <c r="BS5" s="485"/>
      <c r="BT5" s="485"/>
      <c r="BU5" s="485"/>
      <c r="BV5" s="485"/>
      <c r="BW5" s="485"/>
      <c r="BX5" s="485"/>
      <c r="BY5" s="485"/>
      <c r="BZ5" s="485"/>
      <c r="CA5" s="485"/>
      <c r="CB5" s="485"/>
      <c r="CC5" s="485"/>
      <c r="CD5" s="485"/>
      <c r="CE5" s="485"/>
      <c r="CF5" s="485"/>
      <c r="CG5" s="485"/>
      <c r="CH5" s="485"/>
      <c r="CI5" s="485"/>
      <c r="CJ5" s="485"/>
      <c r="CK5" s="485"/>
      <c r="CL5" s="485"/>
      <c r="CM5" s="485"/>
      <c r="CN5" s="485"/>
      <c r="CO5" s="485"/>
      <c r="CP5" s="485"/>
      <c r="CQ5" s="485"/>
      <c r="CR5" s="485"/>
      <c r="CS5" s="485"/>
      <c r="CT5" s="485"/>
      <c r="CU5" s="485"/>
      <c r="CV5" s="485"/>
      <c r="CW5" s="485"/>
      <c r="CX5" s="485"/>
      <c r="CY5" s="485"/>
      <c r="CZ5" s="485"/>
      <c r="DA5" s="485"/>
      <c r="DB5" s="485"/>
      <c r="DC5" s="485"/>
      <c r="DD5" s="485"/>
      <c r="DE5" s="485"/>
      <c r="DF5" s="485"/>
      <c r="DG5" s="485"/>
      <c r="DH5" s="485"/>
      <c r="DI5" s="485"/>
      <c r="DJ5" s="485"/>
      <c r="DK5" s="485"/>
      <c r="DL5" s="485"/>
      <c r="DM5" s="485"/>
      <c r="DN5" s="485"/>
      <c r="DO5" s="485"/>
      <c r="DP5" s="485"/>
      <c r="DQ5" s="485"/>
      <c r="DR5" s="485"/>
      <c r="DS5" s="485"/>
      <c r="DT5" s="485"/>
      <c r="DU5" s="485"/>
      <c r="DV5" s="485"/>
      <c r="DW5" s="485"/>
      <c r="DX5" s="485"/>
      <c r="DY5" s="485"/>
      <c r="DZ5" s="485"/>
      <c r="EA5" s="485"/>
      <c r="EB5" s="485"/>
      <c r="EC5" s="485"/>
      <c r="ED5" s="485"/>
      <c r="EE5" s="485"/>
      <c r="EF5" s="485"/>
      <c r="EG5" s="485"/>
      <c r="EH5" s="485"/>
      <c r="EI5" s="485"/>
      <c r="EJ5" s="485"/>
      <c r="EK5" s="485"/>
      <c r="EL5" s="469"/>
    </row>
    <row r="6" spans="1:142" customHeight="1" ht="14.25" s="470" customFormat="1">
      <c r="A6" s="1302"/>
      <c r="B6" s="1304"/>
      <c r="C6" s="1306"/>
      <c r="D6" s="1282"/>
      <c r="E6" s="1279"/>
      <c r="F6" s="1279"/>
      <c r="G6" s="1279"/>
      <c r="H6" s="1279"/>
      <c r="I6" s="1279"/>
      <c r="J6" s="1279"/>
      <c r="K6" s="1279"/>
      <c r="L6" s="1279"/>
      <c r="M6" s="1279"/>
      <c r="N6" s="1279"/>
      <c r="O6" s="1278"/>
      <c r="P6" s="1279"/>
      <c r="Q6" s="1279"/>
      <c r="R6" s="1279"/>
      <c r="S6" s="1279"/>
      <c r="T6" s="1279"/>
      <c r="U6" s="1279"/>
      <c r="V6" s="1279"/>
      <c r="W6" s="1279"/>
      <c r="X6" s="1279"/>
      <c r="Y6" s="1280"/>
      <c r="Z6" s="1278"/>
      <c r="AA6" s="1279"/>
      <c r="AB6" s="1279"/>
      <c r="AC6" s="1279"/>
      <c r="AD6" s="1279"/>
      <c r="AE6" s="1279"/>
      <c r="AF6" s="1279"/>
      <c r="AG6" s="1279"/>
      <c r="AH6" s="1279"/>
      <c r="AI6" s="1279"/>
      <c r="AJ6" s="1280"/>
      <c r="AK6" s="1278"/>
      <c r="AL6" s="1279"/>
      <c r="AM6" s="1279"/>
      <c r="AN6" s="1279"/>
      <c r="AO6" s="1279"/>
      <c r="AP6" s="1279"/>
      <c r="AQ6" s="1279"/>
      <c r="AR6" s="1279"/>
      <c r="AS6" s="1279"/>
      <c r="AT6" s="1279"/>
      <c r="AU6" s="1280"/>
      <c r="AV6" s="1278"/>
      <c r="AW6" s="1279"/>
      <c r="AX6" s="1279"/>
      <c r="AY6" s="1279"/>
      <c r="AZ6" s="1279"/>
      <c r="BA6" s="1279"/>
      <c r="BB6" s="1279"/>
      <c r="BC6" s="1279"/>
      <c r="BD6" s="1279"/>
      <c r="BE6" s="1279"/>
      <c r="BF6" s="1280"/>
      <c r="BG6" s="1278"/>
      <c r="BH6" s="1279"/>
      <c r="BI6" s="1279"/>
      <c r="BJ6" s="1279"/>
      <c r="BK6" s="1279"/>
      <c r="BL6" s="1279"/>
      <c r="BM6" s="1279"/>
      <c r="BN6" s="1279"/>
      <c r="BO6" s="1279"/>
      <c r="BP6" s="1279"/>
      <c r="BQ6" s="1280"/>
      <c r="BR6" s="485"/>
      <c r="BS6" s="485"/>
      <c r="BT6" s="485"/>
      <c r="BU6" s="485"/>
      <c r="BV6" s="485"/>
      <c r="BW6" s="485"/>
      <c r="BX6" s="485"/>
      <c r="BY6" s="485"/>
      <c r="BZ6" s="485"/>
      <c r="CA6" s="485"/>
      <c r="CB6" s="485"/>
      <c r="CC6" s="485"/>
      <c r="CD6" s="485"/>
      <c r="CE6" s="485"/>
      <c r="CF6" s="485"/>
      <c r="CG6" s="485"/>
      <c r="CH6" s="485"/>
      <c r="CI6" s="485"/>
      <c r="CJ6" s="485"/>
      <c r="CK6" s="485"/>
      <c r="CL6" s="485"/>
      <c r="CM6" s="485"/>
      <c r="CN6" s="485"/>
      <c r="CO6" s="485"/>
      <c r="CP6" s="485"/>
      <c r="CQ6" s="485"/>
      <c r="CR6" s="485"/>
      <c r="CS6" s="485"/>
      <c r="CT6" s="485"/>
      <c r="CU6" s="485"/>
      <c r="CV6" s="485"/>
      <c r="CW6" s="485"/>
      <c r="CX6" s="485"/>
      <c r="CY6" s="485"/>
      <c r="CZ6" s="485"/>
      <c r="DA6" s="485"/>
      <c r="DB6" s="485"/>
      <c r="DC6" s="485"/>
      <c r="DD6" s="485"/>
      <c r="DE6" s="485"/>
      <c r="DF6" s="485"/>
      <c r="DG6" s="485"/>
      <c r="DH6" s="485"/>
      <c r="DI6" s="485"/>
      <c r="DJ6" s="485"/>
      <c r="DK6" s="485"/>
      <c r="DL6" s="485"/>
      <c r="DM6" s="485"/>
      <c r="DN6" s="485"/>
      <c r="DO6" s="485"/>
      <c r="DP6" s="485"/>
      <c r="DQ6" s="485"/>
      <c r="DR6" s="485"/>
      <c r="DS6" s="485"/>
      <c r="DT6" s="485"/>
      <c r="DU6" s="485"/>
      <c r="DV6" s="485"/>
      <c r="DW6" s="485"/>
      <c r="DX6" s="485"/>
      <c r="DY6" s="485"/>
      <c r="DZ6" s="485"/>
      <c r="EA6" s="485"/>
      <c r="EB6" s="485"/>
      <c r="EC6" s="485"/>
      <c r="ED6" s="485"/>
      <c r="EE6" s="485"/>
      <c r="EF6" s="485"/>
      <c r="EG6" s="485"/>
      <c r="EH6" s="485"/>
      <c r="EI6" s="485"/>
      <c r="EJ6" s="485"/>
      <c r="EK6" s="485"/>
      <c r="EL6" s="469"/>
    </row>
    <row r="7" spans="1:142" customHeight="1" ht="31.5" s="470" customFormat="1">
      <c r="A7" s="1303"/>
      <c r="B7" s="1305"/>
      <c r="C7" s="1307"/>
      <c r="D7" s="507">
        <v>1</v>
      </c>
      <c r="E7" s="507">
        <v>2</v>
      </c>
      <c r="F7" s="507">
        <v>3</v>
      </c>
      <c r="G7" s="507">
        <v>4</v>
      </c>
      <c r="H7" s="507">
        <v>5</v>
      </c>
      <c r="I7" s="508" t="s">
        <v>337</v>
      </c>
      <c r="J7" s="509" t="s">
        <v>338</v>
      </c>
      <c r="K7" s="509" t="s">
        <v>22</v>
      </c>
      <c r="L7" s="552" t="s">
        <v>345</v>
      </c>
      <c r="M7" s="553" t="s">
        <v>346</v>
      </c>
      <c r="N7" s="512" t="s">
        <v>339</v>
      </c>
      <c r="O7" s="506">
        <v>1</v>
      </c>
      <c r="P7" s="507">
        <v>2</v>
      </c>
      <c r="Q7" s="507">
        <v>3</v>
      </c>
      <c r="R7" s="507">
        <v>4</v>
      </c>
      <c r="S7" s="507">
        <v>5</v>
      </c>
      <c r="T7" s="508" t="s">
        <v>337</v>
      </c>
      <c r="U7" s="508" t="s">
        <v>338</v>
      </c>
      <c r="V7" s="509" t="s">
        <v>22</v>
      </c>
      <c r="W7" s="552" t="s">
        <v>345</v>
      </c>
      <c r="X7" s="553" t="s">
        <v>346</v>
      </c>
      <c r="Y7" s="510" t="s">
        <v>339</v>
      </c>
      <c r="Z7" s="551">
        <v>1</v>
      </c>
      <c r="AA7" s="507">
        <v>2</v>
      </c>
      <c r="AB7" s="507">
        <v>3</v>
      </c>
      <c r="AC7" s="507">
        <v>4</v>
      </c>
      <c r="AD7" s="507">
        <v>5</v>
      </c>
      <c r="AE7" s="508" t="s">
        <v>337</v>
      </c>
      <c r="AF7" s="508" t="s">
        <v>338</v>
      </c>
      <c r="AG7" s="509" t="s">
        <v>22</v>
      </c>
      <c r="AH7" s="552" t="s">
        <v>345</v>
      </c>
      <c r="AI7" s="553" t="s">
        <v>346</v>
      </c>
      <c r="AJ7" s="510" t="s">
        <v>339</v>
      </c>
      <c r="AK7" s="506">
        <v>1</v>
      </c>
      <c r="AL7" s="507">
        <v>2</v>
      </c>
      <c r="AM7" s="507">
        <v>3</v>
      </c>
      <c r="AN7" s="507">
        <v>4</v>
      </c>
      <c r="AO7" s="507">
        <v>5</v>
      </c>
      <c r="AP7" s="508" t="s">
        <v>337</v>
      </c>
      <c r="AQ7" s="508" t="s">
        <v>338</v>
      </c>
      <c r="AR7" s="509" t="s">
        <v>22</v>
      </c>
      <c r="AS7" s="552" t="s">
        <v>345</v>
      </c>
      <c r="AT7" s="553" t="s">
        <v>346</v>
      </c>
      <c r="AU7" s="512" t="s">
        <v>339</v>
      </c>
      <c r="AV7" s="506">
        <v>1</v>
      </c>
      <c r="AW7" s="507">
        <v>2</v>
      </c>
      <c r="AX7" s="507">
        <v>3</v>
      </c>
      <c r="AY7" s="507">
        <v>4</v>
      </c>
      <c r="AZ7" s="507">
        <v>5</v>
      </c>
      <c r="BA7" s="508" t="s">
        <v>337</v>
      </c>
      <c r="BB7" s="508" t="s">
        <v>338</v>
      </c>
      <c r="BC7" s="509" t="s">
        <v>22</v>
      </c>
      <c r="BD7" s="552" t="s">
        <v>345</v>
      </c>
      <c r="BE7" s="553" t="s">
        <v>346</v>
      </c>
      <c r="BF7" s="512" t="s">
        <v>339</v>
      </c>
      <c r="BG7" s="506">
        <v>1</v>
      </c>
      <c r="BH7" s="507">
        <v>2</v>
      </c>
      <c r="BI7" s="507">
        <v>3</v>
      </c>
      <c r="BJ7" s="507">
        <v>4</v>
      </c>
      <c r="BK7" s="507">
        <v>5</v>
      </c>
      <c r="BL7" s="508" t="s">
        <v>337</v>
      </c>
      <c r="BM7" s="508" t="s">
        <v>338</v>
      </c>
      <c r="BN7" s="509" t="s">
        <v>22</v>
      </c>
      <c r="BO7" s="552" t="s">
        <v>345</v>
      </c>
      <c r="BP7" s="553" t="s">
        <v>346</v>
      </c>
      <c r="BQ7" s="510" t="s">
        <v>339</v>
      </c>
      <c r="BR7" s="485"/>
      <c r="BS7" s="485"/>
      <c r="BT7" s="485"/>
      <c r="BU7" s="485"/>
      <c r="BV7" s="485"/>
      <c r="BW7" s="485"/>
      <c r="BX7" s="485"/>
      <c r="BY7" s="485"/>
      <c r="BZ7" s="485"/>
      <c r="CA7" s="485"/>
      <c r="CB7" s="485"/>
      <c r="CC7" s="485"/>
      <c r="CD7" s="485"/>
      <c r="CE7" s="485"/>
      <c r="CF7" s="485"/>
      <c r="CG7" s="485"/>
      <c r="CH7" s="485"/>
      <c r="CI7" s="485"/>
      <c r="CJ7" s="485"/>
      <c r="CK7" s="485"/>
      <c r="CL7" s="485"/>
      <c r="CM7" s="485"/>
      <c r="CN7" s="485"/>
      <c r="CO7" s="485"/>
      <c r="CP7" s="485"/>
      <c r="CQ7" s="485"/>
      <c r="CR7" s="485"/>
      <c r="CS7" s="485"/>
      <c r="CT7" s="485"/>
      <c r="CU7" s="485"/>
      <c r="CV7" s="485"/>
      <c r="CW7" s="485"/>
      <c r="CX7" s="485"/>
      <c r="CY7" s="485"/>
      <c r="CZ7" s="485"/>
      <c r="DA7" s="485"/>
      <c r="DB7" s="485"/>
      <c r="DC7" s="485"/>
      <c r="DD7" s="485"/>
      <c r="DE7" s="485"/>
      <c r="DF7" s="485"/>
      <c r="DG7" s="485"/>
      <c r="DH7" s="485"/>
      <c r="DI7" s="485"/>
      <c r="DJ7" s="485"/>
      <c r="DK7" s="485"/>
      <c r="DL7" s="485"/>
      <c r="DM7" s="485"/>
      <c r="DN7" s="485"/>
      <c r="DO7" s="485"/>
      <c r="DP7" s="485"/>
      <c r="DQ7" s="485"/>
      <c r="DR7" s="485"/>
      <c r="DS7" s="485"/>
      <c r="DT7" s="485"/>
      <c r="DU7" s="485"/>
      <c r="DV7" s="485"/>
      <c r="DW7" s="485"/>
      <c r="DX7" s="485"/>
      <c r="DY7" s="485"/>
      <c r="DZ7" s="485"/>
      <c r="EA7" s="485"/>
      <c r="EB7" s="485"/>
      <c r="EC7" s="485"/>
      <c r="ED7" s="485"/>
      <c r="EE7" s="485"/>
      <c r="EF7" s="485"/>
      <c r="EG7" s="485"/>
      <c r="EH7" s="485"/>
      <c r="EI7" s="485"/>
      <c r="EJ7" s="485"/>
      <c r="EK7" s="485"/>
      <c r="EL7" s="469"/>
    </row>
    <row r="8" spans="1:142" customHeight="1" ht="15.75" hidden="true" s="473" customFormat="1">
      <c r="A8" s="1299" t="str">
        <f>'(AS-400 Jembatan)'!A8:A14</f>
        <v> LHD HEV</v>
      </c>
      <c r="B8" s="910" t="str">
        <f>+GUM!C14</f>
        <v>82115-0E470</v>
      </c>
      <c r="C8" s="911" t="str">
        <f>'(AS-400 Jembatan)'!C8</f>
        <v>H 0001</v>
      </c>
      <c r="D8" s="557" t="s">
        <v>343</v>
      </c>
      <c r="E8" s="511" t="s">
        <v>343</v>
      </c>
      <c r="F8" s="511" t="s">
        <v>343</v>
      </c>
      <c r="G8" s="511" t="s">
        <v>343</v>
      </c>
      <c r="H8" s="511" t="s">
        <v>343</v>
      </c>
      <c r="I8" s="511">
        <f>SUM(D8:D8)</f>
        <v>0</v>
      </c>
      <c r="J8" s="558">
        <f>+'(AS-400 Jembatan)'!J8</f>
        <v>0</v>
      </c>
      <c r="K8" s="734" t="e">
        <f>(J8-I8)/L8</f>
        <v>#DIV/0!</v>
      </c>
      <c r="L8" s="554"/>
      <c r="M8" s="554"/>
      <c r="N8" s="554"/>
      <c r="O8" s="559"/>
      <c r="P8" s="511"/>
      <c r="Q8" s="560"/>
      <c r="R8" s="511"/>
      <c r="S8" s="511"/>
      <c r="T8" s="511"/>
      <c r="U8" s="511"/>
      <c r="V8" s="747"/>
      <c r="W8" s="554"/>
      <c r="X8" s="554"/>
      <c r="Y8" s="556"/>
      <c r="Z8" s="559"/>
      <c r="AA8" s="699"/>
      <c r="AB8" s="560"/>
      <c r="AC8" s="511"/>
      <c r="AD8" s="511"/>
      <c r="AE8" s="511"/>
      <c r="AF8" s="511"/>
      <c r="AG8" s="511"/>
      <c r="AH8" s="554"/>
      <c r="AI8" s="554"/>
      <c r="AJ8" s="741"/>
      <c r="AK8" s="559"/>
      <c r="AL8" s="511"/>
      <c r="AM8" s="560"/>
      <c r="AN8" s="511"/>
      <c r="AO8" s="511"/>
      <c r="AP8" s="511"/>
      <c r="AQ8" s="511"/>
      <c r="AR8" s="511"/>
      <c r="AS8" s="554"/>
      <c r="AT8" s="554"/>
      <c r="AU8" s="554"/>
      <c r="AV8" s="559"/>
      <c r="AW8" s="511"/>
      <c r="AX8" s="560"/>
      <c r="AY8" s="511"/>
      <c r="AZ8" s="511"/>
      <c r="BA8" s="511"/>
      <c r="BB8" s="511"/>
      <c r="BC8" s="511"/>
      <c r="BD8" s="554"/>
      <c r="BE8" s="554"/>
      <c r="BF8" s="556"/>
      <c r="BG8" s="559"/>
      <c r="BH8" s="511"/>
      <c r="BI8" s="560"/>
      <c r="BJ8" s="511"/>
      <c r="BK8" s="511"/>
      <c r="BL8" s="511"/>
      <c r="BM8" s="511"/>
      <c r="BN8" s="511"/>
      <c r="BO8" s="554"/>
      <c r="BP8" s="554"/>
      <c r="BQ8" s="556"/>
    </row>
    <row r="9" spans="1:142" customHeight="1" ht="15" hidden="true" s="473" customFormat="1">
      <c r="A9" s="1300"/>
      <c r="B9" s="914" t="str">
        <f>+GUM!C15</f>
        <v>82115-0E480 G</v>
      </c>
      <c r="C9" s="725" t="str">
        <f>'(AS-400 Jembatan)'!C9</f>
        <v>G 0101</v>
      </c>
      <c r="D9" s="550" t="e">
        <f>+IF('(AS-400 Jembatan)'!D9=0," ",'(AS-400 Jembatan)'!D$9+'(AS-400 Transfer)'!$N9)</f>
        <v>#REF!</v>
      </c>
      <c r="E9" s="476" t="e">
        <f>+IF('(AS-400 Jembatan)'!E9=0," ",'(AS-400 Jembatan)'!E$9+'(AS-400 Transfer)'!$N9)</f>
        <v>#REF!</v>
      </c>
      <c r="F9" s="476" t="e">
        <f>+IF('(AS-400 Jembatan)'!F9=0," ",'(AS-400 Jembatan)'!F$9+'(AS-400 Transfer)'!$N9)</f>
        <v>#REF!</v>
      </c>
      <c r="G9" s="476" t="e">
        <f>+IF('(AS-400 Jembatan)'!G9=0," ",'(AS-400 Jembatan)'!G$9+'(AS-400 Transfer)'!$N9)</f>
        <v>#REF!</v>
      </c>
      <c r="H9" s="476" t="str">
        <f>+IF('(AS-400 Jembatan)'!H9=0," ",'(AS-400 Jembatan)'!H$9+'(AS-400 Transfer)'!$N9)</f>
        <v> </v>
      </c>
      <c r="I9" s="476" t="e">
        <f>SUM(D9:D9)</f>
        <v>#REF!</v>
      </c>
      <c r="J9" s="477">
        <f>+'(AS-400 Jembatan)'!J9</f>
        <v>0</v>
      </c>
      <c r="K9" s="477" t="e">
        <f>(J9-I9)/L9</f>
        <v>#REF!</v>
      </c>
      <c r="L9" s="479">
        <f>+COUNT(D9:D9)</f>
        <v>0</v>
      </c>
      <c r="M9" s="479" t="e">
        <f>+IF(K9&lt;0,(ROUNDDOWN(K9,0)),(ROUNDUP(K9,0)))</f>
        <v>#REF!</v>
      </c>
      <c r="N9" s="479">
        <v>0.0</v>
      </c>
      <c r="O9" s="484" t="str">
        <f>+IF('(AS-400 Jembatan)'!M9=0," ",'(AS-400 Jembatan)'!M9+'(AS-400 Transfer)'!$Y9)</f>
        <v> </v>
      </c>
      <c r="P9" s="476" t="str">
        <f>+IF('(AS-400 Jembatan)'!N9=0," ",'(AS-400 Jembatan)'!N9+'(AS-400 Transfer)'!$Y9)</f>
        <v> </v>
      </c>
      <c r="Q9" s="504" t="str">
        <f>+IF('(AS-400 Jembatan)'!O9=0," ",'(AS-400 Jembatan)'!O9+'(AS-400 Transfer)'!$Y9)</f>
        <v> </v>
      </c>
      <c r="R9" s="476" t="str">
        <f>+IF('(AS-400 Jembatan)'!P9=0," ",'(AS-400 Jembatan)'!P9+'(AS-400 Transfer)'!$Y9)</f>
        <v> </v>
      </c>
      <c r="S9" s="476" t="str">
        <f>+IF('(AS-400 Jembatan)'!Q9=0," ",'(AS-400 Jembatan)'!Q9+'(AS-400 Transfer)'!$Y9)</f>
        <v> </v>
      </c>
      <c r="T9" s="476">
        <f>SUM(O9:O9)</f>
        <v>0</v>
      </c>
      <c r="U9" s="476">
        <f>+'(AS-400 Jembatan)'!S9</f>
        <v>0</v>
      </c>
      <c r="V9" s="476" t="e">
        <f>(U9-T9)/W9</f>
        <v>#DIV/0!</v>
      </c>
      <c r="W9" s="479">
        <f>+COUNT(O9:O9)</f>
        <v>0</v>
      </c>
      <c r="X9" s="479" t="e">
        <f>+IF(V9&lt;0,(ROUNDDOWN(V9,0)),(ROUNDUP(V9,0)))</f>
        <v>#DIV/0!</v>
      </c>
      <c r="Y9" s="480"/>
      <c r="Z9" s="484" t="str">
        <f>+IF('(AS-400 Jembatan)'!V9=0," ",'(AS-400 Jembatan)'!V9+'(AS-400 Transfer)'!$AJ9)</f>
        <v> </v>
      </c>
      <c r="AA9" s="500" t="str">
        <f>+IF('(AS-400 Jembatan)'!W9=0," ",'(AS-400 Jembatan)'!W9+'(AS-400 Transfer)'!$AJ9)</f>
        <v> </v>
      </c>
      <c r="AB9" s="504" t="str">
        <f>+IF('(AS-400 Jembatan)'!X9=0," ",'(AS-400 Jembatan)'!X9+'(AS-400 Transfer)'!$AJ9)</f>
        <v> </v>
      </c>
      <c r="AC9" s="476" t="str">
        <f>+IF('(AS-400 Jembatan)'!Y9=0," ",'(AS-400 Jembatan)'!Y9+'(AS-400 Transfer)'!$AJ9)</f>
        <v> </v>
      </c>
      <c r="AD9" s="476"/>
      <c r="AE9" s="476">
        <f>SUM(Z9:Z9)</f>
        <v>0</v>
      </c>
      <c r="AF9" s="476">
        <f>+'(AS-400 Jembatan)'!AB9</f>
        <v>0</v>
      </c>
      <c r="AG9" s="476" t="e">
        <f>(AF9-AE9)/AH9</f>
        <v>#DIV/0!</v>
      </c>
      <c r="AH9" s="479">
        <f>+COUNT(Z9:Z9)</f>
        <v>0</v>
      </c>
      <c r="AI9" s="477" t="e">
        <f>+IF(AG9&lt;0,(ROUNDDOWN(AG9,0)),(ROUNDUP(AG9,0)))</f>
        <v>#DIV/0!</v>
      </c>
      <c r="AJ9" s="487"/>
      <c r="AK9" s="484" t="str">
        <f>+IF('(AS-400 Jembatan)'!AE9=0," ",'(AS-400 Jembatan)'!AE9+'(AS-400 Transfer)'!$AU9)</f>
        <v> </v>
      </c>
      <c r="AL9" s="476" t="str">
        <f>+IF('(AS-400 Jembatan)'!AF9=0," ",'(AS-400 Jembatan)'!AF9+'(AS-400 Transfer)'!$AU9)</f>
        <v> </v>
      </c>
      <c r="AM9" s="504" t="str">
        <f>+IF('(AS-400 Jembatan)'!AG9=0," ",'(AS-400 Jembatan)'!AG9+'(AS-400 Transfer)'!$AU9)</f>
        <v> </v>
      </c>
      <c r="AN9" s="476" t="str">
        <f>+IF('(AS-400 Jembatan)'!AH9=0," ",'(AS-400 Jembatan)'!AH9+'(AS-400 Transfer)'!$AU9)</f>
        <v> </v>
      </c>
      <c r="AO9" s="476"/>
      <c r="AP9" s="476">
        <f>SUM(AK9:AK9)</f>
        <v>0</v>
      </c>
      <c r="AQ9" s="476">
        <f>+'(AS-400 Jembatan)'!AK9</f>
        <v>0</v>
      </c>
      <c r="AR9" s="476" t="e">
        <f>(AQ9-AP9)/AS9</f>
        <v>#DIV/0!</v>
      </c>
      <c r="AS9" s="479">
        <f>+COUNT(AK9:AK9)</f>
        <v>0</v>
      </c>
      <c r="AT9" s="479" t="e">
        <f>+IF(AR9&lt;0,(ROUNDDOWN(AR9,0)),(ROUNDUP(AR9,0)))</f>
        <v>#DIV/0!</v>
      </c>
      <c r="AU9" s="479"/>
      <c r="AV9" s="484" t="str">
        <f>+IF('(AS-400 Jembatan)'!AN9=0," ",'(AS-400 Jembatan)'!AN9+'(AS-400 Transfer)'!$BF9)</f>
        <v> </v>
      </c>
      <c r="AW9" s="476" t="str">
        <f>+IF('(AS-400 Jembatan)'!AO9=0," ",'(AS-400 Jembatan)'!AO9+'(AS-400 Transfer)'!$BF9)</f>
        <v> </v>
      </c>
      <c r="AX9" s="504" t="str">
        <f>+IF('(AS-400 Jembatan)'!AP9=0," ",'(AS-400 Jembatan)'!AP9+'(AS-400 Transfer)'!$BF9)</f>
        <v> </v>
      </c>
      <c r="AY9" s="476" t="str">
        <f>+IF('(AS-400 Jembatan)'!AQ9=0," ",'(AS-400 Jembatan)'!AQ9+'(AS-400 Transfer)'!$BF9)</f>
        <v> </v>
      </c>
      <c r="AZ9" s="476"/>
      <c r="BA9" s="476">
        <f>SUM(AV9:AV9)</f>
        <v>0</v>
      </c>
      <c r="BB9" s="476">
        <f>+GUM!Z15</f>
        <v>0</v>
      </c>
      <c r="BC9" s="476" t="e">
        <f>(BB9-BA9)/BD9</f>
        <v>#DIV/0!</v>
      </c>
      <c r="BD9" s="479">
        <f>+COUNT(AV9:AV9)</f>
        <v>0</v>
      </c>
      <c r="BE9" s="479" t="e">
        <f>+IF(BC9&lt;0,(ROUNDDOWN(BC9,0)),(ROUNDUP(BC9,0)))</f>
        <v>#DIV/0!</v>
      </c>
      <c r="BF9" s="480"/>
      <c r="BG9" s="484" t="str">
        <f>+IF('(AS-400 Jembatan)'!AW9=0," ",'(AS-400 Jembatan)'!AW9+'(AS-400 Transfer)'!$BQ9)</f>
        <v> </v>
      </c>
      <c r="BH9" s="476" t="str">
        <f>+IF('(AS-400 Jembatan)'!AX9=0," ",'(AS-400 Jembatan)'!AX9+'(AS-400 Transfer)'!$BQ9)</f>
        <v> </v>
      </c>
      <c r="BI9" s="504" t="str">
        <f>+IF('(AS-400 Jembatan)'!AY9=0," ",'(AS-400 Jembatan)'!AY9+'(AS-400 Transfer)'!$BQ9)</f>
        <v> </v>
      </c>
      <c r="BJ9" s="476" t="str">
        <f>+IF('(AS-400 Jembatan)'!AZ9=0," ",'(AS-400 Jembatan)'!AZ9+'(AS-400 Transfer)'!$BQ9)</f>
        <v> </v>
      </c>
      <c r="BK9" s="476"/>
      <c r="BL9" s="476">
        <f>SUM(BG9:BG9)</f>
        <v>0</v>
      </c>
      <c r="BM9" s="476">
        <f>+'(AS-400 Jembatan)'!BC9</f>
        <v>0</v>
      </c>
      <c r="BN9" s="476" t="e">
        <f>(BM9-BL9)/BO9</f>
        <v>#DIV/0!</v>
      </c>
      <c r="BO9" s="479">
        <f>+COUNT(BG9:BG9)</f>
        <v>0</v>
      </c>
      <c r="BP9" s="479" t="e">
        <f>+IF(BN9&lt;0,(ROUNDDOWN(BN9,0)),(ROUNDUP(BN9,0)))</f>
        <v>#DIV/0!</v>
      </c>
      <c r="BQ9" s="480"/>
    </row>
    <row r="10" spans="1:142" customHeight="1" ht="15" hidden="true" s="473" customFormat="1">
      <c r="A10" s="1300"/>
      <c r="B10" s="805" t="str">
        <f>+GUM!C16</f>
        <v>82115-0E490 H</v>
      </c>
      <c r="C10" s="496" t="str">
        <f>'(AS-400 Jembatan)'!C10</f>
        <v>H 0001</v>
      </c>
      <c r="D10" s="505" t="e">
        <f>+IF('(AS-400 Jembatan)'!D10=0," ",'(AS-400 Jembatan)'!D$10+'(AS-400 Transfer)'!$N10)</f>
        <v>#REF!</v>
      </c>
      <c r="E10" s="474" t="e">
        <f>+IF('(AS-400 Jembatan)'!E10=0," ",'(AS-400 Jembatan)'!E$10+'(AS-400 Transfer)'!$N10)</f>
        <v>#REF!</v>
      </c>
      <c r="F10" s="474" t="e">
        <f>+IF('(AS-400 Jembatan)'!F10=0," ",'(AS-400 Jembatan)'!F$10+'(AS-400 Transfer)'!$N10)</f>
        <v>#REF!</v>
      </c>
      <c r="G10" s="474" t="e">
        <f>+IF('(AS-400 Jembatan)'!G10=0," ",'(AS-400 Jembatan)'!G$10+'(AS-400 Transfer)'!$N10)</f>
        <v>#REF!</v>
      </c>
      <c r="H10" s="474" t="str">
        <f>+IF('(AS-400 Jembatan)'!H10=0," ",'(AS-400 Jembatan)'!H$9+'(AS-400 Transfer)'!$N10)</f>
        <v> </v>
      </c>
      <c r="I10" s="474" t="e">
        <f>SUM(D10:D10)</f>
        <v>#REF!</v>
      </c>
      <c r="J10" s="475">
        <f>+'(AS-400 Jembatan)'!J10</f>
        <v>0</v>
      </c>
      <c r="K10" s="475" t="e">
        <f>(J10-I10)/L10</f>
        <v>#REF!</v>
      </c>
      <c r="L10" s="478">
        <f>+COUNT(D10:D10)</f>
        <v>0</v>
      </c>
      <c r="M10" s="478" t="e">
        <f>+IF(K10&lt;0,(ROUNDDOWN(K10,0)),(ROUNDUP(K10,0)))</f>
        <v>#REF!</v>
      </c>
      <c r="N10" s="478" t="e">
        <v>#DIV/0!</v>
      </c>
      <c r="O10" s="482"/>
      <c r="P10" s="474"/>
      <c r="Q10" s="483"/>
      <c r="R10" s="474"/>
      <c r="S10" s="474"/>
      <c r="T10" s="474"/>
      <c r="U10" s="474"/>
      <c r="V10" s="474"/>
      <c r="W10" s="478"/>
      <c r="X10" s="478"/>
      <c r="Y10" s="488"/>
      <c r="Z10" s="482"/>
      <c r="AA10" s="494"/>
      <c r="AB10" s="483"/>
      <c r="AC10" s="474"/>
      <c r="AD10" s="474"/>
      <c r="AE10" s="474"/>
      <c r="AF10" s="474"/>
      <c r="AG10" s="474"/>
      <c r="AH10" s="478"/>
      <c r="AI10" s="475"/>
      <c r="AJ10" s="481"/>
      <c r="AK10" s="482"/>
      <c r="AL10" s="474"/>
      <c r="AM10" s="483"/>
      <c r="AN10" s="474"/>
      <c r="AO10" s="474"/>
      <c r="AP10" s="474"/>
      <c r="AQ10" s="474"/>
      <c r="AR10" s="474"/>
      <c r="AS10" s="478"/>
      <c r="AT10" s="478"/>
      <c r="AU10" s="478"/>
      <c r="AV10" s="482"/>
      <c r="AW10" s="474"/>
      <c r="AX10" s="483"/>
      <c r="AY10" s="474"/>
      <c r="AZ10" s="474"/>
      <c r="BA10" s="474"/>
      <c r="BB10" s="474"/>
      <c r="BC10" s="474"/>
      <c r="BD10" s="478"/>
      <c r="BE10" s="478"/>
      <c r="BF10" s="488"/>
      <c r="BG10" s="482"/>
      <c r="BH10" s="474"/>
      <c r="BI10" s="483"/>
      <c r="BJ10" s="474"/>
      <c r="BK10" s="474"/>
      <c r="BL10" s="474"/>
      <c r="BM10" s="474"/>
      <c r="BN10" s="474"/>
      <c r="BO10" s="478"/>
      <c r="BP10" s="478"/>
      <c r="BQ10" s="488"/>
    </row>
    <row r="11" spans="1:142" customHeight="1" ht="15.75" hidden="true" s="473" customFormat="1">
      <c r="A11" s="1300"/>
      <c r="B11" s="806" t="str">
        <f>+GUM!C17</f>
        <v>82115-0EA10 H</v>
      </c>
      <c r="C11" s="807" t="str">
        <f>'(AS-400 Jembatan)'!C11</f>
        <v>H 0001</v>
      </c>
      <c r="D11" s="808" t="e">
        <f>+IF('(AS-400 Jembatan)'!D11=0," ",'(AS-400 Jembatan)'!D$10+'(AS-400 Transfer)'!$N11)</f>
        <v>#REF!</v>
      </c>
      <c r="E11" s="809" t="e">
        <f>+IF('(AS-400 Jembatan)'!E11=0," ",'(AS-400 Jembatan)'!E$10+'(AS-400 Transfer)'!$N11)</f>
        <v>#REF!</v>
      </c>
      <c r="F11" s="809" t="e">
        <f>+IF('(AS-400 Jembatan)'!F11=0," ",'(AS-400 Jembatan)'!F$10+'(AS-400 Transfer)'!$N11)</f>
        <v>#REF!</v>
      </c>
      <c r="G11" s="809" t="e">
        <f>+IF('(AS-400 Jembatan)'!G11=0," ",'(AS-400 Jembatan)'!G$10+'(AS-400 Transfer)'!$N11)</f>
        <v>#REF!</v>
      </c>
      <c r="H11" s="809" t="str">
        <f>+IF('(AS-400 Jembatan)'!H11=0," ",'(AS-400 Jembatan)'!H$9+'(AS-400 Transfer)'!$N11)</f>
        <v> </v>
      </c>
      <c r="I11" s="809" t="e">
        <f>SUM(D11:D11)</f>
        <v>#REF!</v>
      </c>
      <c r="J11" s="810">
        <f>+'(AS-400 Jembatan)'!J11</f>
        <v>0</v>
      </c>
      <c r="K11" s="810" t="e">
        <f>(J11-I11)/L11</f>
        <v>#REF!</v>
      </c>
      <c r="L11" s="811">
        <f>+COUNT(D11:H11)</f>
        <v>0</v>
      </c>
      <c r="M11" s="811" t="e">
        <f>+IF(K11&lt;0,(ROUNDDOWN(K11,0)),(ROUNDUP(K11,0)))</f>
        <v>#REF!</v>
      </c>
      <c r="N11" s="811" t="e">
        <v>#DIV/0!</v>
      </c>
      <c r="O11" s="812"/>
      <c r="P11" s="809"/>
      <c r="Q11" s="813"/>
      <c r="R11" s="809"/>
      <c r="S11" s="809"/>
      <c r="T11" s="809"/>
      <c r="U11" s="809"/>
      <c r="V11" s="809"/>
      <c r="W11" s="811"/>
      <c r="X11" s="811"/>
      <c r="Y11" s="814"/>
      <c r="Z11" s="812"/>
      <c r="AA11" s="815"/>
      <c r="AB11" s="813"/>
      <c r="AC11" s="809"/>
      <c r="AD11" s="809"/>
      <c r="AE11" s="809"/>
      <c r="AF11" s="809"/>
      <c r="AG11" s="809"/>
      <c r="AH11" s="811"/>
      <c r="AI11" s="810"/>
      <c r="AJ11" s="816"/>
      <c r="AK11" s="812"/>
      <c r="AL11" s="809"/>
      <c r="AM11" s="813"/>
      <c r="AN11" s="809"/>
      <c r="AO11" s="809"/>
      <c r="AP11" s="809"/>
      <c r="AQ11" s="809"/>
      <c r="AR11" s="809"/>
      <c r="AS11" s="811"/>
      <c r="AT11" s="811"/>
      <c r="AU11" s="811"/>
      <c r="AV11" s="812"/>
      <c r="AW11" s="809"/>
      <c r="AX11" s="813"/>
      <c r="AY11" s="809"/>
      <c r="AZ11" s="809"/>
      <c r="BA11" s="809"/>
      <c r="BB11" s="809"/>
      <c r="BC11" s="809"/>
      <c r="BD11" s="811"/>
      <c r="BE11" s="811"/>
      <c r="BF11" s="814"/>
      <c r="BG11" s="812"/>
      <c r="BH11" s="809"/>
      <c r="BI11" s="813"/>
      <c r="BJ11" s="809"/>
      <c r="BK11" s="809"/>
      <c r="BL11" s="809"/>
      <c r="BM11" s="809"/>
      <c r="BN11" s="809"/>
      <c r="BO11" s="811"/>
      <c r="BP11" s="811"/>
      <c r="BQ11" s="814"/>
    </row>
    <row r="12" spans="1:142" customHeight="1" ht="15.75" hidden="true" s="473" customFormat="1">
      <c r="A12" s="1300"/>
      <c r="B12" s="758" t="str">
        <f>+GUM!C18</f>
        <v>82115-0E480</v>
      </c>
      <c r="C12" s="725" t="str">
        <f>'(AS-400 Jembatan)'!C12</f>
        <v>J 0101</v>
      </c>
      <c r="D12" s="550" t="e">
        <f>+IF('(AS-400 Jembatan)'!D12=0," ",'(AS-400 Jembatan)'!D$12+'(AS-400 Transfer)'!$N12)</f>
        <v>#REF!</v>
      </c>
      <c r="E12" s="476" t="e">
        <f>+IF('(AS-400 Jembatan)'!E12=0," ",'(AS-400 Jembatan)'!E$12+'(AS-400 Transfer)'!$N12)</f>
        <v>#REF!</v>
      </c>
      <c r="F12" s="476" t="e">
        <f>+IF('(AS-400 Jembatan)'!F12=0," ",'(AS-400 Jembatan)'!F$12+'(AS-400 Transfer)'!$N12)</f>
        <v>#REF!</v>
      </c>
      <c r="G12" s="476" t="e">
        <f>+IF('(AS-400 Jembatan)'!G12=0," ",'(AS-400 Jembatan)'!G$12+'(AS-400 Transfer)'!$N12)</f>
        <v>#REF!</v>
      </c>
      <c r="H12" s="476" t="str">
        <f>+IF('(AS-400 Jembatan)'!H12=0," ",'(AS-400 Jembatan)'!H$12+'(AS-400 Transfer)'!$N12)</f>
        <v> </v>
      </c>
      <c r="I12" s="476" t="e">
        <f>SUM(D12:D12)</f>
        <v>#REF!</v>
      </c>
      <c r="J12" s="477">
        <f>+'(AS-400 Jembatan)'!J12</f>
        <v>0</v>
      </c>
      <c r="K12" s="477" t="e">
        <f>(J12-I12)/L12</f>
        <v>#REF!</v>
      </c>
      <c r="L12" s="479">
        <f>+COUNT(D12:D12)</f>
        <v>0</v>
      </c>
      <c r="M12" s="479" t="e">
        <f>+IF(K12&lt;0,(ROUNDDOWN(K12,0)),(ROUNDUP(K12,0)))</f>
        <v>#REF!</v>
      </c>
      <c r="N12" s="479">
        <v>0.0</v>
      </c>
      <c r="O12" s="482"/>
      <c r="P12" s="474"/>
      <c r="Q12" s="483"/>
      <c r="R12" s="474"/>
      <c r="S12" s="474"/>
      <c r="T12" s="476"/>
      <c r="U12" s="476"/>
      <c r="V12" s="501"/>
      <c r="W12" s="479"/>
      <c r="X12" s="479"/>
      <c r="Y12" s="480"/>
      <c r="Z12" s="484"/>
      <c r="AA12" s="500"/>
      <c r="AB12" s="504"/>
      <c r="AC12" s="476"/>
      <c r="AD12" s="476"/>
      <c r="AE12" s="476"/>
      <c r="AF12" s="476"/>
      <c r="AG12" s="476"/>
      <c r="AH12" s="479"/>
      <c r="AI12" s="477"/>
      <c r="AJ12" s="487"/>
      <c r="AK12" s="484"/>
      <c r="AL12" s="476"/>
      <c r="AM12" s="504"/>
      <c r="AN12" s="476"/>
      <c r="AO12" s="476"/>
      <c r="AP12" s="476"/>
      <c r="AQ12" s="476"/>
      <c r="AR12" s="476"/>
      <c r="AS12" s="479"/>
      <c r="AT12" s="479"/>
      <c r="AU12" s="479"/>
      <c r="AV12" s="484"/>
      <c r="AW12" s="476"/>
      <c r="AX12" s="504"/>
      <c r="AY12" s="476"/>
      <c r="AZ12" s="476"/>
      <c r="BA12" s="476"/>
      <c r="BB12" s="476"/>
      <c r="BC12" s="476"/>
      <c r="BD12" s="479"/>
      <c r="BE12" s="479"/>
      <c r="BF12" s="480"/>
      <c r="BG12" s="484"/>
      <c r="BH12" s="476"/>
      <c r="BI12" s="504"/>
      <c r="BJ12" s="476"/>
      <c r="BK12" s="476"/>
      <c r="BL12" s="476"/>
      <c r="BM12" s="476"/>
      <c r="BN12" s="476"/>
      <c r="BO12" s="479"/>
      <c r="BP12" s="479"/>
      <c r="BQ12" s="480"/>
    </row>
    <row r="13" spans="1:142" customHeight="1" ht="15" s="473" customFormat="1">
      <c r="A13" s="1300"/>
      <c r="B13" s="931" t="str">
        <f>+GUM!C19</f>
        <v>82115-0E490 K</v>
      </c>
      <c r="C13" s="496" t="str">
        <f>'(AS-400 Jembatan)'!C13</f>
        <v>K 0001</v>
      </c>
      <c r="D13" s="505" t="str">
        <f>+IF('(AS-400 Jembatan)'!D13=0," ",'(AS-400 Jembatan)'!D$13+'(AS-400 Transfer)'!$N13)</f>
        <v> </v>
      </c>
      <c r="E13" s="474" t="str">
        <f>+IF('(AS-400 Jembatan)'!E13=0," ",'(AS-400 Jembatan)'!E$13+'(AS-400 Transfer)'!$N13)</f>
        <v> </v>
      </c>
      <c r="F13" s="474" t="str">
        <f>+IF('(AS-400 Jembatan)'!F13=0," ",'(AS-400 Jembatan)'!F$13+'(AS-400 Transfer)'!$N13)</f>
        <v> </v>
      </c>
      <c r="G13" s="474" t="str">
        <f>+IF('(AS-400 Jembatan)'!G13=0," ",'(AS-400 Jembatan)'!G$13+'(AS-400 Transfer)'!$N13)</f>
        <v> </v>
      </c>
      <c r="H13" s="474" t="str">
        <f>+IF('(AS-400 Jembatan)'!H13=0," ",'(AS-400 Jembatan)'!H$9+'(AS-400 Transfer)'!$N13)</f>
        <v> </v>
      </c>
      <c r="I13" s="474">
        <f>SUM(D13:D13)</f>
        <v>0</v>
      </c>
      <c r="J13" s="475">
        <f>+'(AS-400 Jembatan)'!J13</f>
        <v/>
      </c>
      <c r="K13" s="475" t="e">
        <f>(J13-I13)/L13</f>
        <v>#DIV/0!</v>
      </c>
      <c r="L13" s="478">
        <f>+COUNT(D13:D13)</f>
        <v>0</v>
      </c>
      <c r="M13" s="478" t="e">
        <f>+IF(K13&lt;0,(ROUNDDOWN(K13,0)),(ROUNDUP(K13,0)))</f>
        <v>#DIV/0!</v>
      </c>
      <c r="N13" s="478" t="e">
        <v>#DIV/0!</v>
      </c>
      <c r="O13" s="482" t="e">
        <f>+IF('(AS-400 Jembatan)'!M13=0," ",'(AS-400 Jembatan)'!M13+'(AS-400 Transfer)'!$Y13)</f>
        <v>#REF!</v>
      </c>
      <c r="P13" s="474" t="e">
        <f>+IF('(AS-400 Jembatan)'!N13=0," ",'(AS-400 Jembatan)'!N13+'(AS-400 Transfer)'!$Y13)</f>
        <v>#REF!</v>
      </c>
      <c r="Q13" s="483" t="e">
        <f>+IF('(AS-400 Jembatan)'!O13=0," ",'(AS-400 Jembatan)'!O13+'(AS-400 Transfer)'!$Y13)</f>
        <v>#REF!</v>
      </c>
      <c r="R13" s="474" t="e">
        <f>+IF('(AS-400 Jembatan)'!P13=0," ",'(AS-400 Jembatan)'!P13+'(AS-400 Transfer)'!$Y13)</f>
        <v>#REF!</v>
      </c>
      <c r="S13" s="474" t="e">
        <f>+IF('(AS-400 Jembatan)'!Q13=0," ",'(AS-400 Jembatan)'!Q13+'(AS-400 Transfer)'!$Y13)</f>
        <v>#REF!</v>
      </c>
      <c r="T13" s="474" t="e">
        <f>SUM(O13:S13)</f>
        <v>#REF!</v>
      </c>
      <c r="U13" s="474" t="e">
        <f>+'(AS-400 Jembatan)'!S13</f>
        <v>#REF!</v>
      </c>
      <c r="V13" s="474" t="e">
        <f>(U13-T13)/W13</f>
        <v>#REF!</v>
      </c>
      <c r="W13" s="478">
        <f>+COUNT(O13:S13)</f>
        <v>0</v>
      </c>
      <c r="X13" s="478" t="e">
        <f>+IF(V13&lt;0,(ROUNDDOWN(V13,0)),(ROUNDUP(V13,0)))</f>
        <v>#REF!</v>
      </c>
      <c r="Y13" s="488">
        <v>-8</v>
      </c>
      <c r="Z13" s="482" t="e">
        <f>+IF('(AS-400 Jembatan)'!V13=0," ",'(AS-400 Jembatan)'!V13+'(AS-400 Transfer)'!$AJ13)</f>
        <v>#REF!</v>
      </c>
      <c r="AA13" s="494" t="e">
        <f>+IF('(AS-400 Jembatan)'!W13=0," ",'(AS-400 Jembatan)'!W13+'(AS-400 Transfer)'!$AJ13)</f>
        <v>#REF!</v>
      </c>
      <c r="AB13" s="483" t="e">
        <f>+IF('(AS-400 Jembatan)'!X13=0," ",'(AS-400 Jembatan)'!X13+'(AS-400 Transfer)'!$AJ13)</f>
        <v>#REF!</v>
      </c>
      <c r="AC13" s="474" t="e">
        <f>+IF('(AS-400 Jembatan)'!Y13=0," ",'(AS-400 Jembatan)'!Y13+'(AS-400 Transfer)'!$AJ13)</f>
        <v>#REF!</v>
      </c>
      <c r="AD13" s="474" t="str">
        <f>+IF('(AS-400 Jembatan)'!Z13=0," ",'(AS-400 Jembatan)'!Z13+'(AS-400 Transfer)'!$AJ13)</f>
        <v> </v>
      </c>
      <c r="AE13" s="474" t="e">
        <f>SUM(Z13:AD13)</f>
        <v>#REF!</v>
      </c>
      <c r="AF13" s="474" t="e">
        <f>+'(AS-400 Jembatan)'!AB13</f>
        <v>#REF!</v>
      </c>
      <c r="AG13" s="474" t="e">
        <f>(AF13-AE13)/AH13</f>
        <v>#REF!</v>
      </c>
      <c r="AH13" s="478">
        <f>+COUNT(Z13:AD13)</f>
        <v>0</v>
      </c>
      <c r="AI13" s="475" t="e">
        <f>+IF(AG13&lt;0,(ROUNDDOWN(AG13,0)),(ROUNDUP(AG13,0)))</f>
        <v>#REF!</v>
      </c>
      <c r="AJ13" s="481">
        <v>0.0</v>
      </c>
      <c r="AK13" s="482" t="e">
        <f>+IF('(AS-400 Jembatan)'!AE13=0," ",'(AS-400 Jembatan)'!AE13+'(AS-400 Transfer)'!$AU13)</f>
        <v>#REF!</v>
      </c>
      <c r="AL13" s="474" t="e">
        <f>+IF('(AS-400 Jembatan)'!AF13=0," ",'(AS-400 Jembatan)'!AF13+'(AS-400 Transfer)'!$AU13)</f>
        <v>#REF!</v>
      </c>
      <c r="AM13" s="483" t="e">
        <f>+IF('(AS-400 Jembatan)'!AG13=0," ",'(AS-400 Jembatan)'!AG13+'(AS-400 Transfer)'!$AU13)</f>
        <v>#REF!</v>
      </c>
      <c r="AN13" s="474" t="e">
        <f>+IF('(AS-400 Jembatan)'!AH13=0," ",'(AS-400 Jembatan)'!AH13+'(AS-400 Transfer)'!$AU13)</f>
        <v>#REF!</v>
      </c>
      <c r="AO13" s="474" t="str">
        <f>+IF('(AS-400 Jembatan)'!AI13=0," ",'(AS-400 Jembatan)'!AI13+'(AS-400 Transfer)'!$AU13)</f>
        <v> </v>
      </c>
      <c r="AP13" s="474" t="e">
        <f>SUM(AK13:AO13)</f>
        <v>#REF!</v>
      </c>
      <c r="AQ13" s="474" t="e">
        <f>+'(AS-400 Jembatan)'!AK13</f>
        <v>#REF!</v>
      </c>
      <c r="AR13" s="474" t="e">
        <f>(AQ13-AP13)/AS13</f>
        <v>#REF!</v>
      </c>
      <c r="AS13" s="478">
        <f>+COUNT(AK13:AO13)</f>
        <v>0</v>
      </c>
      <c r="AT13" s="478" t="e">
        <f>+IF(AR13&lt;0,(ROUNDDOWN(AR13,0)),(ROUNDUP(AR13,0)))</f>
        <v>#REF!</v>
      </c>
      <c r="AU13" s="478">
        <v>0.0</v>
      </c>
      <c r="AV13" s="482" t="e">
        <f>+IF('(AS-400 Jembatan)'!AN13=0," ",'(AS-400 Jembatan)'!AN13+'(AS-400 Transfer)'!$BF13)</f>
        <v>#REF!</v>
      </c>
      <c r="AW13" s="474" t="e">
        <f>+IF('(AS-400 Jembatan)'!AO13=0," ",'(AS-400 Jembatan)'!AO13+'(AS-400 Transfer)'!$BF13)</f>
        <v>#REF!</v>
      </c>
      <c r="AX13" s="483" t="e">
        <f>+IF('(AS-400 Jembatan)'!AP13=0," ",'(AS-400 Jembatan)'!AP13+'(AS-400 Transfer)'!$BF13)</f>
        <v>#REF!</v>
      </c>
      <c r="AY13" s="474" t="e">
        <f>+IF('(AS-400 Jembatan)'!AQ13=0," ",'(AS-400 Jembatan)'!AQ13+'(AS-400 Transfer)'!$BF13)</f>
        <v>#REF!</v>
      </c>
      <c r="AZ13" s="474" t="e">
        <f>+IF('(AS-400 Jembatan)'!AR13=0," ",'(AS-400 Jembatan)'!AR13+'(AS-400 Transfer)'!$BF13)</f>
        <v>#REF!</v>
      </c>
      <c r="BA13" s="474" t="e">
        <f>SUM(AV13:AZ13)</f>
        <v>#REF!</v>
      </c>
      <c r="BB13" s="474" t="e">
        <f>+GUM!Z19</f>
        <v>#REF!</v>
      </c>
      <c r="BC13" s="474" t="e">
        <f>(BB13-BA13)/BD13</f>
        <v>#REF!</v>
      </c>
      <c r="BD13" s="478">
        <f>+COUNT(AV13:AZ13)</f>
        <v>0</v>
      </c>
      <c r="BE13" s="478" t="e">
        <f>+IF(BC13&lt;0,(ROUNDDOWN(BC13,0)),(ROUNDUP(BC13,0)))</f>
        <v>#REF!</v>
      </c>
      <c r="BF13" s="488">
        <v>0.0</v>
      </c>
      <c r="BG13" s="482" t="e">
        <f>+IF('(AS-400 Jembatan)'!AW13=0," ",'(AS-400 Jembatan)'!AW13+'(AS-400 Transfer)'!$BQ13)</f>
        <v>#REF!</v>
      </c>
      <c r="BH13" s="474" t="e">
        <f>+IF('(AS-400 Jembatan)'!AX13=0," ",'(AS-400 Jembatan)'!AX13+'(AS-400 Transfer)'!$BQ13)</f>
        <v>#REF!</v>
      </c>
      <c r="BI13" s="483" t="e">
        <f>+IF('(AS-400 Jembatan)'!AY13=0," ",'(AS-400 Jembatan)'!AY13+'(AS-400 Transfer)'!$BQ13)</f>
        <v>#REF!</v>
      </c>
      <c r="BJ13" s="474" t="e">
        <f>+IF('(AS-400 Jembatan)'!AZ13=0," ",'(AS-400 Jembatan)'!AZ13+'(AS-400 Transfer)'!$BQ13)</f>
        <v>#REF!</v>
      </c>
      <c r="BK13" s="474" t="str">
        <f>+IF('(AS-400 Jembatan)'!BA13=0," ",'(AS-400 Jembatan)'!BA13+'(AS-400 Transfer)'!$BQ13)</f>
        <v> </v>
      </c>
      <c r="BL13" s="474" t="e">
        <f>SUM(BG13:BK13)</f>
        <v>#REF!</v>
      </c>
      <c r="BM13" s="474" t="e">
        <f>+'(AS-400 Jembatan)'!BC13</f>
        <v>#REF!</v>
      </c>
      <c r="BN13" s="474" t="e">
        <f>(BM13-BL13)/BO13</f>
        <v>#REF!</v>
      </c>
      <c r="BO13" s="478">
        <f>+COUNT(BG13:BK13)</f>
        <v>0</v>
      </c>
      <c r="BP13" s="478" t="e">
        <f>+IF(BN13&lt;0,(ROUNDDOWN(BN13,0)),(ROUNDUP(BN13,0)))</f>
        <v>#REF!</v>
      </c>
      <c r="BQ13" s="488">
        <v>0.0</v>
      </c>
    </row>
    <row r="14" spans="1:142" customHeight="1" ht="15" s="503" customFormat="1">
      <c r="A14" s="1300"/>
      <c r="B14" s="932" t="str">
        <f>+GUM!C20</f>
        <v>82115-0EA10 K</v>
      </c>
      <c r="C14" s="807" t="str">
        <f>'(AS-400 Jembatan)'!C14</f>
        <v>K 0001</v>
      </c>
      <c r="D14" s="808" t="str">
        <f>+IF('(AS-400 Jembatan)'!D14=0," ",'(AS-400 Jembatan)'!D$14+'(AS-400 Transfer)'!$N14)</f>
        <v> </v>
      </c>
      <c r="E14" s="809" t="str">
        <f>+IF('(AS-400 Jembatan)'!E14=0," ",'(AS-400 Jembatan)'!E$14+'(AS-400 Transfer)'!$N14)</f>
        <v> </v>
      </c>
      <c r="F14" s="809" t="str">
        <f>+IF('(AS-400 Jembatan)'!F14=0," ",'(AS-400 Jembatan)'!F$14+'(AS-400 Transfer)'!$N14)</f>
        <v> </v>
      </c>
      <c r="G14" s="809" t="str">
        <f>+IF('(AS-400 Jembatan)'!G14=0," ",'(AS-400 Jembatan)'!G$14+'(AS-400 Transfer)'!$N14)</f>
        <v> </v>
      </c>
      <c r="H14" s="809" t="str">
        <f>+IF('(AS-400 Jembatan)'!H14=0," ",'(AS-400 Jembatan)'!H$14+'(AS-400 Transfer)'!$N14)</f>
        <v> </v>
      </c>
      <c r="I14" s="809">
        <f>SUM(D14:D14)</f>
        <v>0</v>
      </c>
      <c r="J14" s="810">
        <f>+'(AS-400 Jembatan)'!J14</f>
        <v/>
      </c>
      <c r="K14" s="810" t="e">
        <f>(J14-I14)/L14</f>
        <v>#DIV/0!</v>
      </c>
      <c r="L14" s="811">
        <f>+COUNT(D14:D14)</f>
        <v>0</v>
      </c>
      <c r="M14" s="811" t="e">
        <f>+IF(K14&lt;0,(ROUNDDOWN(K14,0)),(ROUNDUP(K14,0)))</f>
        <v>#DIV/0!</v>
      </c>
      <c r="N14" s="811">
        <v>0.0</v>
      </c>
      <c r="O14" s="812" t="e">
        <f>+IF('(AS-400 Jembatan)'!M14=0," ",'(AS-400 Jembatan)'!M14+'(AS-400 Transfer)'!$Y14)</f>
        <v>#REF!</v>
      </c>
      <c r="P14" s="809" t="e">
        <f>+IF('(AS-400 Jembatan)'!N14=0," ",'(AS-400 Jembatan)'!N14+'(AS-400 Transfer)'!$Y14)</f>
        <v>#REF!</v>
      </c>
      <c r="Q14" s="813" t="e">
        <f>+IF('(AS-400 Jembatan)'!O14=0," ",'(AS-400 Jembatan)'!O14+'(AS-400 Transfer)'!$Y14)</f>
        <v>#REF!</v>
      </c>
      <c r="R14" s="809" t="e">
        <f>+IF('(AS-400 Jembatan)'!P14=0," ",'(AS-400 Jembatan)'!P14+'(AS-400 Transfer)'!$Y14)</f>
        <v>#REF!</v>
      </c>
      <c r="S14" s="809" t="e">
        <f>+IF('(AS-400 Jembatan)'!Q14=0," ",'(AS-400 Jembatan)'!Q14+'(AS-400 Transfer)'!$Y14)</f>
        <v>#REF!</v>
      </c>
      <c r="T14" s="809" t="e">
        <f>SUM(O14:S14)</f>
        <v>#REF!</v>
      </c>
      <c r="U14" s="809" t="e">
        <f>+'(AS-400 Jembatan)'!S14</f>
        <v>#REF!</v>
      </c>
      <c r="V14" s="809" t="e">
        <f>(U14-T14)/W14</f>
        <v>#REF!</v>
      </c>
      <c r="W14" s="811">
        <f>+COUNT(O14:S14)</f>
        <v>0</v>
      </c>
      <c r="X14" s="811" t="e">
        <f>+IF(V14&lt;0,(ROUNDDOWN(V14,0)),(ROUNDUP(V14,0)))</f>
        <v>#REF!</v>
      </c>
      <c r="Y14" s="814">
        <v>1</v>
      </c>
      <c r="Z14" s="812" t="e">
        <f>+IF('(AS-400 Jembatan)'!V14=0," ",'(AS-400 Jembatan)'!V14+'(AS-400 Transfer)'!$AJ14)</f>
        <v>#REF!</v>
      </c>
      <c r="AA14" s="815" t="e">
        <f>+IF('(AS-400 Jembatan)'!W14=0," ",'(AS-400 Jembatan)'!W14+'(AS-400 Transfer)'!$AJ14)</f>
        <v>#REF!</v>
      </c>
      <c r="AB14" s="813" t="e">
        <f>+IF('(AS-400 Jembatan)'!X14=0," ",'(AS-400 Jembatan)'!X14+'(AS-400 Transfer)'!$AJ14)</f>
        <v>#REF!</v>
      </c>
      <c r="AC14" s="809" t="e">
        <f>+IF('(AS-400 Jembatan)'!Y14=0," ",'(AS-400 Jembatan)'!Y14+'(AS-400 Transfer)'!$AJ14)</f>
        <v>#REF!</v>
      </c>
      <c r="AD14" s="809" t="str">
        <f>+IF('(AS-400 Jembatan)'!Z14=0," ",'(AS-400 Jembatan)'!Z14+'(AS-400 Transfer)'!$AJ14)</f>
        <v> </v>
      </c>
      <c r="AE14" s="809" t="e">
        <f>SUM(Z14:AD14)</f>
        <v>#REF!</v>
      </c>
      <c r="AF14" s="809" t="e">
        <f>+'(AS-400 Jembatan)'!AB14</f>
        <v>#REF!</v>
      </c>
      <c r="AG14" s="809" t="e">
        <f>(AF14-AE14)/AH14</f>
        <v>#REF!</v>
      </c>
      <c r="AH14" s="811">
        <f>+COUNT(Z14:AD14)</f>
        <v>0</v>
      </c>
      <c r="AI14" s="810" t="e">
        <f>+IF(AG14&lt;0,(ROUNDDOWN(AG14,0)),(ROUNDUP(AG14,0)))</f>
        <v>#REF!</v>
      </c>
      <c r="AJ14" s="816">
        <v>5</v>
      </c>
      <c r="AK14" s="812" t="e">
        <f>+IF('(AS-400 Jembatan)'!AE14=0," ",'(AS-400 Jembatan)'!AE14+'(AS-400 Transfer)'!$AU14)</f>
        <v>#REF!</v>
      </c>
      <c r="AL14" s="809" t="e">
        <f>+IF('(AS-400 Jembatan)'!AF14=0," ",'(AS-400 Jembatan)'!AF14+'(AS-400 Transfer)'!$AU14)</f>
        <v>#REF!</v>
      </c>
      <c r="AM14" s="813" t="e">
        <f>+IF('(AS-400 Jembatan)'!AG14=0," ",'(AS-400 Jembatan)'!AG14+'(AS-400 Transfer)'!$AU14)</f>
        <v>#REF!</v>
      </c>
      <c r="AN14" s="809" t="e">
        <f>+IF('(AS-400 Jembatan)'!AH14=0," ",'(AS-400 Jembatan)'!AH14+'(AS-400 Transfer)'!$AU14)</f>
        <v>#REF!</v>
      </c>
      <c r="AO14" s="809" t="str">
        <f>+IF('(AS-400 Jembatan)'!AI14=0," ",'(AS-400 Jembatan)'!AI14+'(AS-400 Transfer)'!$AU14)</f>
        <v> </v>
      </c>
      <c r="AP14" s="809" t="e">
        <f>SUM(AK14:AO14)</f>
        <v>#REF!</v>
      </c>
      <c r="AQ14" s="809" t="e">
        <f>+'(AS-400 Jembatan)'!AK14</f>
        <v>#REF!</v>
      </c>
      <c r="AR14" s="809" t="e">
        <f>(AQ14-AP14)/AS14</f>
        <v>#REF!</v>
      </c>
      <c r="AS14" s="811">
        <f>+COUNT(AK14:AO14)</f>
        <v>0</v>
      </c>
      <c r="AT14" s="811" t="e">
        <f>+IF(AR14&lt;0,(ROUNDDOWN(AR14,0)),(ROUNDUP(AR14,0)))</f>
        <v>#REF!</v>
      </c>
      <c r="AU14" s="811">
        <v>76</v>
      </c>
      <c r="AV14" s="812" t="e">
        <f>+IF('(AS-400 Jembatan)'!AN14=0," ",'(AS-400 Jembatan)'!AN14+'(AS-400 Transfer)'!$BF14)</f>
        <v>#REF!</v>
      </c>
      <c r="AW14" s="809" t="e">
        <f>+IF('(AS-400 Jembatan)'!AO14=0," ",'(AS-400 Jembatan)'!AO14+'(AS-400 Transfer)'!$BF14)</f>
        <v>#REF!</v>
      </c>
      <c r="AX14" s="813" t="e">
        <f>+IF('(AS-400 Jembatan)'!AP14=0," ",'(AS-400 Jembatan)'!AP14+'(AS-400 Transfer)'!$BF14)</f>
        <v>#REF!</v>
      </c>
      <c r="AY14" s="809" t="e">
        <f>+IF('(AS-400 Jembatan)'!AQ14=0," ",'(AS-400 Jembatan)'!AQ14+'(AS-400 Transfer)'!$BF14)</f>
        <v>#REF!</v>
      </c>
      <c r="AZ14" s="809" t="e">
        <f>+IF('(AS-400 Jembatan)'!AR14=0," ",'(AS-400 Jembatan)'!AR14+'(AS-400 Transfer)'!$BF14)</f>
        <v>#REF!</v>
      </c>
      <c r="BA14" s="809" t="e">
        <f>SUM(AV14:AZ14)</f>
        <v>#REF!</v>
      </c>
      <c r="BB14" s="809" t="e">
        <f>+GUM!Z20</f>
        <v>#REF!</v>
      </c>
      <c r="BC14" s="809" t="e">
        <f>(BB14-BA14)/BD14</f>
        <v>#REF!</v>
      </c>
      <c r="BD14" s="811">
        <f>+COUNT(AV14:AZ14)</f>
        <v>0</v>
      </c>
      <c r="BE14" s="811" t="e">
        <f>+IF(BC14&lt;0,(ROUNDDOWN(BC14,0)),(ROUNDUP(BC14,0)))</f>
        <v>#REF!</v>
      </c>
      <c r="BF14" s="814">
        <v>-8</v>
      </c>
      <c r="BG14" s="812" t="e">
        <f>+IF('(AS-400 Jembatan)'!AW14=0," ",'(AS-400 Jembatan)'!AW14+'(AS-400 Transfer)'!$BQ14)</f>
        <v>#REF!</v>
      </c>
      <c r="BH14" s="809" t="e">
        <f>+IF('(AS-400 Jembatan)'!AX14=0," ",'(AS-400 Jembatan)'!AX14+'(AS-400 Transfer)'!$BQ14)</f>
        <v>#REF!</v>
      </c>
      <c r="BI14" s="813" t="e">
        <f>+IF('(AS-400 Jembatan)'!AY14=0," ",'(AS-400 Jembatan)'!AY14+'(AS-400 Transfer)'!$BQ14)</f>
        <v>#REF!</v>
      </c>
      <c r="BJ14" s="809" t="e">
        <f>+IF('(AS-400 Jembatan)'!AZ14=0," ",'(AS-400 Jembatan)'!AZ14+'(AS-400 Transfer)'!$BQ14)</f>
        <v>#REF!</v>
      </c>
      <c r="BK14" s="809" t="str">
        <f>+IF('(AS-400 Jembatan)'!BA14=0," ",'(AS-400 Jembatan)'!BA14+'(AS-400 Transfer)'!$BQ14)</f>
        <v> </v>
      </c>
      <c r="BL14" s="809" t="e">
        <f>SUM(BG14:BK14)</f>
        <v>#REF!</v>
      </c>
      <c r="BM14" s="809" t="e">
        <f>+'(AS-400 Jembatan)'!BC14</f>
        <v>#REF!</v>
      </c>
      <c r="BN14" s="809" t="e">
        <f>(BM14-BL14)/BO14</f>
        <v>#REF!</v>
      </c>
      <c r="BO14" s="811">
        <f>+COUNT(BG14:BK14)</f>
        <v>0</v>
      </c>
      <c r="BP14" s="811" t="e">
        <f>+IF(BN14&lt;0,(ROUNDDOWN(BN14,0)),(ROUNDUP(BN14,0)))</f>
        <v>#REF!</v>
      </c>
      <c r="BQ14" s="814">
        <v>-124</v>
      </c>
    </row>
    <row r="15" spans="1:142" customHeight="1" ht="15" hidden="true" s="473" customFormat="1">
      <c r="A15" s="1300"/>
      <c r="B15" s="891" t="str">
        <f>+GUM!C21</f>
        <v>82115-0E600</v>
      </c>
      <c r="C15" s="725" t="str">
        <f>'(AS-400 Jembatan)'!C15</f>
        <v>H 0201</v>
      </c>
      <c r="D15" s="550" t="e">
        <f>+IF('(AS-400 Jembatan)'!D15=0," ",'(AS-400 Jembatan)'!D$9+'(AS-400 Transfer)'!$N15)</f>
        <v>#REF!</v>
      </c>
      <c r="E15" s="476" t="e">
        <f>+IF('(AS-400 Jembatan)'!E15=0," ",'(AS-400 Jembatan)'!E$9+'(AS-400 Transfer)'!$N15)</f>
        <v>#REF!</v>
      </c>
      <c r="F15" s="476" t="e">
        <f>+IF('(AS-400 Jembatan)'!F15=0," ",'(AS-400 Jembatan)'!F$9+'(AS-400 Transfer)'!$N15)</f>
        <v>#REF!</v>
      </c>
      <c r="G15" s="476" t="e">
        <f>+IF('(AS-400 Jembatan)'!G15=0," ",'(AS-400 Jembatan)'!G$9+'(AS-400 Transfer)'!$N15)</f>
        <v>#REF!</v>
      </c>
      <c r="H15" s="476" t="str">
        <f>+IF('(AS-400 Jembatan)'!H15=0," ",'(AS-400 Jembatan)'!H$9+'(AS-400 Transfer)'!$N15)</f>
        <v> </v>
      </c>
      <c r="I15" s="476" t="e">
        <f>SUM(D15:D15)</f>
        <v>#REF!</v>
      </c>
      <c r="J15" s="477">
        <f>+'(AS-400 Jembatan)'!J15</f>
        <v>0</v>
      </c>
      <c r="K15" s="477" t="e">
        <f>(J15-I15)/L15</f>
        <v>#REF!</v>
      </c>
      <c r="L15" s="479">
        <f>+COUNT(D15:D15)</f>
        <v>0</v>
      </c>
      <c r="M15" s="479" t="e">
        <f>+IF(K15&lt;0,(ROUNDDOWN(K15,0)),(ROUNDUP(K15,0)))</f>
        <v>#REF!</v>
      </c>
      <c r="N15" s="479">
        <v>0.0</v>
      </c>
      <c r="O15" s="484" t="str">
        <f>+IF('(AS-400 Jembatan)'!M15=0," ",'(AS-400 Jembatan)'!M15+'(AS-400 Transfer)'!$Y15)</f>
        <v> </v>
      </c>
      <c r="P15" s="476" t="str">
        <f>+IF('(AS-400 Jembatan)'!N15=0," ",'(AS-400 Jembatan)'!N15+'(AS-400 Transfer)'!$Y15)</f>
        <v> </v>
      </c>
      <c r="Q15" s="504" t="str">
        <f>+IF('(AS-400 Jembatan)'!O15=0," ",'(AS-400 Jembatan)'!O15+'(AS-400 Transfer)'!$Y15)</f>
        <v> </v>
      </c>
      <c r="R15" s="476" t="str">
        <f>+IF('(AS-400 Jembatan)'!P15=0," ",'(AS-400 Jembatan)'!P15+'(AS-400 Transfer)'!$Y15)</f>
        <v> </v>
      </c>
      <c r="S15" s="476" t="str">
        <f>+IF('(AS-400 Jembatan)'!Q15=0," ",'(AS-400 Jembatan)'!Q15+'(AS-400 Transfer)'!$Y15)</f>
        <v> </v>
      </c>
      <c r="T15" s="476">
        <f>SUM(O15:O15)</f>
        <v>0</v>
      </c>
      <c r="U15" s="476">
        <f>+'(AS-400 Jembatan)'!S15</f>
        <v/>
      </c>
      <c r="V15" s="476" t="e">
        <f>(U15-T15)/W15</f>
        <v>#DIV/0!</v>
      </c>
      <c r="W15" s="479">
        <f>+COUNT(O15:O15)</f>
        <v>0</v>
      </c>
      <c r="X15" s="479" t="e">
        <f>+IF(V15&lt;0,(ROUNDDOWN(V15,0)),(ROUNDUP(V15,0)))</f>
        <v>#DIV/0!</v>
      </c>
      <c r="Y15" s="480" t="e">
        <v>#DIV/0!</v>
      </c>
      <c r="Z15" s="484" t="str">
        <f>+IF('(AS-400 Jembatan)'!V15=0," ",'(AS-400 Jembatan)'!V15+'(AS-400 Transfer)'!$AJ15)</f>
        <v> </v>
      </c>
      <c r="AA15" s="500" t="str">
        <f>+IF('(AS-400 Jembatan)'!W15=0," ",'(AS-400 Jembatan)'!W15+'(AS-400 Transfer)'!$AJ15)</f>
        <v> </v>
      </c>
      <c r="AB15" s="504" t="str">
        <f>+IF('(AS-400 Jembatan)'!X15=0," ",'(AS-400 Jembatan)'!X15+'(AS-400 Transfer)'!$AJ15)</f>
        <v> </v>
      </c>
      <c r="AC15" s="476" t="str">
        <f>+IF('(AS-400 Jembatan)'!Y15=0," ",'(AS-400 Jembatan)'!Y15+'(AS-400 Transfer)'!$AJ15)</f>
        <v> </v>
      </c>
      <c r="AD15" s="476" t="str">
        <f>+IF('(AS-400 Jembatan)'!Z15=0," ",'(AS-400 Jembatan)'!Z15+'(AS-400 Transfer)'!$AJ15)</f>
        <v> </v>
      </c>
      <c r="AE15" s="476">
        <f>SUM(Z15:Z15)</f>
        <v>0</v>
      </c>
      <c r="AF15" s="476">
        <f>+'(AS-400 Jembatan)'!AB15</f>
        <v/>
      </c>
      <c r="AG15" s="476" t="e">
        <f>(AF15-AE15)/AH15</f>
        <v>#DIV/0!</v>
      </c>
      <c r="AH15" s="479">
        <f>+COUNT(Z15:Z15)</f>
        <v>0</v>
      </c>
      <c r="AI15" s="477" t="e">
        <f>+IF(AG15&lt;0,(ROUNDDOWN(AG15,0)),(ROUNDUP(AG15,0)))</f>
        <v>#DIV/0!</v>
      </c>
      <c r="AJ15" s="487" t="e">
        <v>#DIV/0!</v>
      </c>
      <c r="AK15" s="484" t="str">
        <f>+IF('(AS-400 Jembatan)'!AE15=0," ",'(AS-400 Jembatan)'!AE15+'(AS-400 Transfer)'!$AU15)</f>
        <v> </v>
      </c>
      <c r="AL15" s="476" t="str">
        <f>+IF('(AS-400 Jembatan)'!AF15=0," ",'(AS-400 Jembatan)'!AF15+'(AS-400 Transfer)'!$AU15)</f>
        <v> </v>
      </c>
      <c r="AM15" s="504" t="str">
        <f>+IF('(AS-400 Jembatan)'!AG15=0," ",'(AS-400 Jembatan)'!AG15+'(AS-400 Transfer)'!$AU15)</f>
        <v> </v>
      </c>
      <c r="AN15" s="476" t="str">
        <f>+IF('(AS-400 Jembatan)'!AH15=0," ",'(AS-400 Jembatan)'!AH15+'(AS-400 Transfer)'!$AU15)</f>
        <v> </v>
      </c>
      <c r="AO15" s="476" t="str">
        <f>+IF('(AS-400 Jembatan)'!AI15=0," ",'(AS-400 Jembatan)'!AI15+'(AS-400 Transfer)'!$AU15)</f>
        <v> </v>
      </c>
      <c r="AP15" s="476">
        <f>SUM(AK15:AK15)</f>
        <v>0</v>
      </c>
      <c r="AQ15" s="476">
        <f>+'(AS-400 Jembatan)'!AK15</f>
        <v/>
      </c>
      <c r="AR15" s="476" t="e">
        <f>(AQ15-AP15)/AS15</f>
        <v>#DIV/0!</v>
      </c>
      <c r="AS15" s="479">
        <f>+COUNT(AK15:AK15)</f>
        <v>0</v>
      </c>
      <c r="AT15" s="479" t="e">
        <f>+IF(AR15&lt;0,(ROUNDDOWN(AR15,0)),(ROUNDUP(AR15,0)))</f>
        <v>#DIV/0!</v>
      </c>
      <c r="AU15" s="479" t="e">
        <v>#DIV/0!</v>
      </c>
      <c r="AV15" s="484" t="str">
        <f>+IF('(AS-400 Jembatan)'!AN15=0," ",'(AS-400 Jembatan)'!AN15+'(AS-400 Transfer)'!$BF15)</f>
        <v> </v>
      </c>
      <c r="AW15" s="476" t="str">
        <f>+IF('(AS-400 Jembatan)'!AO15=0," ",'(AS-400 Jembatan)'!AO15+'(AS-400 Transfer)'!$BF15)</f>
        <v> </v>
      </c>
      <c r="AX15" s="504" t="str">
        <f>+IF('(AS-400 Jembatan)'!AP15=0," ",'(AS-400 Jembatan)'!AP15+'(AS-400 Transfer)'!$BF15)</f>
        <v> </v>
      </c>
      <c r="AY15" s="476" t="str">
        <f>+IF('(AS-400 Jembatan)'!AQ15=0," ",'(AS-400 Jembatan)'!AQ15+'(AS-400 Transfer)'!$BF15)</f>
        <v> </v>
      </c>
      <c r="AZ15" s="476" t="str">
        <f>+IF('(AS-400 Jembatan)'!AR15=0," ",'(AS-400 Jembatan)'!AR15+'(AS-400 Transfer)'!$BF15)</f>
        <v> </v>
      </c>
      <c r="BA15" s="476">
        <f>SUM(AV15:AV15)</f>
        <v>0</v>
      </c>
      <c r="BB15" s="476">
        <f>+GUM!Z21</f>
        <v>0</v>
      </c>
      <c r="BC15" s="476" t="e">
        <f>(BB15-BA15)/BD15</f>
        <v>#DIV/0!</v>
      </c>
      <c r="BD15" s="479">
        <f>+COUNT(AV15:AV15)</f>
        <v>0</v>
      </c>
      <c r="BE15" s="479" t="e">
        <f>+IF(BC15&lt;0,(ROUNDDOWN(BC15,0)),(ROUNDUP(BC15,0)))</f>
        <v>#DIV/0!</v>
      </c>
      <c r="BF15" s="480" t="e">
        <v>#DIV/0!</v>
      </c>
      <c r="BG15" s="484" t="str">
        <f>+IF('(AS-400 Jembatan)'!AW15=0," ",'(AS-400 Jembatan)'!AW15+'(AS-400 Transfer)'!$BQ15)</f>
        <v> </v>
      </c>
      <c r="BH15" s="476" t="str">
        <f>+IF('(AS-400 Jembatan)'!AX15=0," ",'(AS-400 Jembatan)'!AX15+'(AS-400 Transfer)'!$BQ15)</f>
        <v> </v>
      </c>
      <c r="BI15" s="504" t="str">
        <f>+IF('(AS-400 Jembatan)'!AY15=0," ",'(AS-400 Jembatan)'!AY15+'(AS-400 Transfer)'!$BQ15)</f>
        <v> </v>
      </c>
      <c r="BJ15" s="476" t="str">
        <f>+IF('(AS-400 Jembatan)'!AZ15=0," ",'(AS-400 Jembatan)'!AZ15+'(AS-400 Transfer)'!$BQ15)</f>
        <v> </v>
      </c>
      <c r="BK15" s="476" t="str">
        <f>+IF('(AS-400 Jembatan)'!BA15=0," ",'(AS-400 Jembatan)'!BA15+'(AS-400 Transfer)'!$BQ15)</f>
        <v> </v>
      </c>
      <c r="BL15" s="476">
        <f>SUM(BG15:BG15)</f>
        <v>0</v>
      </c>
      <c r="BM15" s="476">
        <f>+'(AS-400 Jembatan)'!BC15</f>
        <v/>
      </c>
      <c r="BN15" s="476" t="e">
        <f>(BM15-BL15)/BO15</f>
        <v>#DIV/0!</v>
      </c>
      <c r="BO15" s="479">
        <f>+COUNT(BG15:BG15)</f>
        <v>0</v>
      </c>
      <c r="BP15" s="479" t="e">
        <f>+IF(BN15&lt;0,(ROUNDDOWN(BN15,0)),(ROUNDUP(BN15,0)))</f>
        <v>#DIV/0!</v>
      </c>
      <c r="BQ15" s="480" t="e">
        <v>#DIV/0!</v>
      </c>
    </row>
    <row r="16" spans="1:142" customHeight="1" ht="15" hidden="true" s="473" customFormat="1">
      <c r="A16" s="1300"/>
      <c r="B16" s="892" t="str">
        <f>+GUM!C22</f>
        <v>82115-0E610</v>
      </c>
      <c r="C16" s="496" t="str">
        <f>'(AS-400 Jembatan)'!C16</f>
        <v>H 0201</v>
      </c>
      <c r="D16" s="505" t="e">
        <f>+IF('(AS-400 Jembatan)'!D16=0," ",'(AS-400 Jembatan)'!D$10+'(AS-400 Transfer)'!$N16)</f>
        <v>#REF!</v>
      </c>
      <c r="E16" s="474" t="e">
        <f>+IF('(AS-400 Jembatan)'!E16=0," ",'(AS-400 Jembatan)'!E$10+'(AS-400 Transfer)'!$N16)</f>
        <v>#REF!</v>
      </c>
      <c r="F16" s="474" t="e">
        <f>+IF('(AS-400 Jembatan)'!F16=0," ",'(AS-400 Jembatan)'!F$10+'(AS-400 Transfer)'!$N16)</f>
        <v>#REF!</v>
      </c>
      <c r="G16" s="474" t="e">
        <f>+IF('(AS-400 Jembatan)'!G16=0," ",'(AS-400 Jembatan)'!G$10+'(AS-400 Transfer)'!$N16)</f>
        <v>#REF!</v>
      </c>
      <c r="H16" s="474" t="str">
        <f>+IF('(AS-400 Jembatan)'!H16=0," ",'(AS-400 Jembatan)'!H$9+'(AS-400 Transfer)'!$N16)</f>
        <v> </v>
      </c>
      <c r="I16" s="474" t="e">
        <f>SUM(D16:D16)</f>
        <v>#REF!</v>
      </c>
      <c r="J16" s="475">
        <f>+'(AS-400 Jembatan)'!J16</f>
        <v>0</v>
      </c>
      <c r="K16" s="475" t="e">
        <f>(J16-I16)/L16</f>
        <v>#REF!</v>
      </c>
      <c r="L16" s="478">
        <f>+COUNT(D16:D16)</f>
        <v>0</v>
      </c>
      <c r="M16" s="478" t="e">
        <f>+IF(K16&lt;0,(ROUNDDOWN(K16,0)),(ROUNDUP(K16,0)))</f>
        <v>#REF!</v>
      </c>
      <c r="N16" s="478" t="e">
        <v>#DIV/0!</v>
      </c>
      <c r="O16" s="482" t="str">
        <f>+IF('(AS-400 Jembatan)'!M16=0," ",'(AS-400 Jembatan)'!M16+'(AS-400 Transfer)'!$Y16)</f>
        <v> </v>
      </c>
      <c r="P16" s="474" t="str">
        <f>+IF('(AS-400 Jembatan)'!N16=0," ",'(AS-400 Jembatan)'!N16+'(AS-400 Transfer)'!$Y16)</f>
        <v> </v>
      </c>
      <c r="Q16" s="483" t="str">
        <f>+IF('(AS-400 Jembatan)'!O16=0," ",'(AS-400 Jembatan)'!O16+'(AS-400 Transfer)'!$Y16)</f>
        <v> </v>
      </c>
      <c r="R16" s="474" t="str">
        <f>+IF('(AS-400 Jembatan)'!P16=0," ",'(AS-400 Jembatan)'!P16+'(AS-400 Transfer)'!$Y16)</f>
        <v> </v>
      </c>
      <c r="S16" s="474" t="str">
        <f>+IF('(AS-400 Jembatan)'!Q16=0," ",'(AS-400 Jembatan)'!Q16+'(AS-400 Transfer)'!$Y16)</f>
        <v> </v>
      </c>
      <c r="T16" s="474">
        <f>SUM(O16:O16)</f>
        <v>0</v>
      </c>
      <c r="U16" s="474">
        <f>+'(AS-400 Jembatan)'!S16</f>
        <v/>
      </c>
      <c r="V16" s="474" t="e">
        <f>(U16-T16)/W16</f>
        <v>#DIV/0!</v>
      </c>
      <c r="W16" s="478">
        <f>+COUNT(O16:O16)</f>
        <v>0</v>
      </c>
      <c r="X16" s="478" t="e">
        <f>+IF(V16&lt;0,(ROUNDDOWN(V16,0)),(ROUNDUP(V16,0)))</f>
        <v>#DIV/0!</v>
      </c>
      <c r="Y16" s="488" t="e">
        <v>#DIV/0!</v>
      </c>
      <c r="Z16" s="482" t="str">
        <f>+IF('(AS-400 Jembatan)'!V16=0," ",'(AS-400 Jembatan)'!V16+'(AS-400 Transfer)'!$AJ16)</f>
        <v> </v>
      </c>
      <c r="AA16" s="494" t="str">
        <f>+IF('(AS-400 Jembatan)'!W16=0," ",'(AS-400 Jembatan)'!W16+'(AS-400 Transfer)'!$AJ16)</f>
        <v> </v>
      </c>
      <c r="AB16" s="483" t="str">
        <f>+IF('(AS-400 Jembatan)'!X16=0," ",'(AS-400 Jembatan)'!X16+'(AS-400 Transfer)'!$AJ16)</f>
        <v> </v>
      </c>
      <c r="AC16" s="474" t="str">
        <f>+IF('(AS-400 Jembatan)'!Y16=0," ",'(AS-400 Jembatan)'!Y16+'(AS-400 Transfer)'!$AJ16)</f>
        <v> </v>
      </c>
      <c r="AD16" s="474" t="str">
        <f>+IF('(AS-400 Jembatan)'!Z16=0," ",'(AS-400 Jembatan)'!Z16+'(AS-400 Transfer)'!$AJ16)</f>
        <v> </v>
      </c>
      <c r="AE16" s="474">
        <f>SUM(Z16:Z16)</f>
        <v>0</v>
      </c>
      <c r="AF16" s="474">
        <f>+'(AS-400 Jembatan)'!AB16</f>
        <v/>
      </c>
      <c r="AG16" s="474" t="e">
        <f>(AF16-AE16)/AH16</f>
        <v>#DIV/0!</v>
      </c>
      <c r="AH16" s="478">
        <f>+COUNT(Z16:Z16)</f>
        <v>0</v>
      </c>
      <c r="AI16" s="475" t="e">
        <f>+IF(AG16&lt;0,(ROUNDDOWN(AG16,0)),(ROUNDUP(AG16,0)))</f>
        <v>#DIV/0!</v>
      </c>
      <c r="AJ16" s="481" t="e">
        <v>#DIV/0!</v>
      </c>
      <c r="AK16" s="482" t="str">
        <f>+IF('(AS-400 Jembatan)'!AE16=0," ",'(AS-400 Jembatan)'!AE16+'(AS-400 Transfer)'!$AU16)</f>
        <v> </v>
      </c>
      <c r="AL16" s="474" t="str">
        <f>+IF('(AS-400 Jembatan)'!AF16=0," ",'(AS-400 Jembatan)'!AF16+'(AS-400 Transfer)'!$AU16)</f>
        <v> </v>
      </c>
      <c r="AM16" s="483" t="str">
        <f>+IF('(AS-400 Jembatan)'!AG16=0," ",'(AS-400 Jembatan)'!AG16+'(AS-400 Transfer)'!$AU16)</f>
        <v> </v>
      </c>
      <c r="AN16" s="474" t="str">
        <f>+IF('(AS-400 Jembatan)'!AH16=0," ",'(AS-400 Jembatan)'!AH16+'(AS-400 Transfer)'!$AU16)</f>
        <v> </v>
      </c>
      <c r="AO16" s="474" t="str">
        <f>+IF('(AS-400 Jembatan)'!AI16=0," ",'(AS-400 Jembatan)'!AI16+'(AS-400 Transfer)'!$AU16)</f>
        <v> </v>
      </c>
      <c r="AP16" s="474">
        <f>SUM(AK16:AK16)</f>
        <v>0</v>
      </c>
      <c r="AQ16" s="474">
        <f>+'(AS-400 Jembatan)'!AK16</f>
        <v/>
      </c>
      <c r="AR16" s="474" t="e">
        <f>(AQ16-AP16)/AS16</f>
        <v>#DIV/0!</v>
      </c>
      <c r="AS16" s="478">
        <f>+COUNT(AK16:AK16)</f>
        <v>0</v>
      </c>
      <c r="AT16" s="478" t="e">
        <f>+IF(AR16&lt;0,(ROUNDDOWN(AR16,0)),(ROUNDUP(AR16,0)))</f>
        <v>#DIV/0!</v>
      </c>
      <c r="AU16" s="478" t="e">
        <v>#DIV/0!</v>
      </c>
      <c r="AV16" s="482" t="str">
        <f>+IF('(AS-400 Jembatan)'!AN16=0," ",'(AS-400 Jembatan)'!AN16+'(AS-400 Transfer)'!$BF16)</f>
        <v> </v>
      </c>
      <c r="AW16" s="474" t="str">
        <f>+IF('(AS-400 Jembatan)'!AO16=0," ",'(AS-400 Jembatan)'!AO16+'(AS-400 Transfer)'!$BF16)</f>
        <v> </v>
      </c>
      <c r="AX16" s="483" t="str">
        <f>+IF('(AS-400 Jembatan)'!AP16=0," ",'(AS-400 Jembatan)'!AP16+'(AS-400 Transfer)'!$BF16)</f>
        <v> </v>
      </c>
      <c r="AY16" s="474" t="str">
        <f>+IF('(AS-400 Jembatan)'!AQ16=0," ",'(AS-400 Jembatan)'!AQ16+'(AS-400 Transfer)'!$BF16)</f>
        <v> </v>
      </c>
      <c r="AZ16" s="474" t="str">
        <f>+IF('(AS-400 Jembatan)'!AR16=0," ",'(AS-400 Jembatan)'!AR16+'(AS-400 Transfer)'!$BF16)</f>
        <v> </v>
      </c>
      <c r="BA16" s="474">
        <f>SUM(AV16:AV16)</f>
        <v>0</v>
      </c>
      <c r="BB16" s="474">
        <f>+GUM!Z22</f>
        <v>0</v>
      </c>
      <c r="BC16" s="474" t="e">
        <f>(BB16-BA16)/BD16</f>
        <v>#DIV/0!</v>
      </c>
      <c r="BD16" s="478">
        <f>+COUNT(AV16:AV16)</f>
        <v>0</v>
      </c>
      <c r="BE16" s="478" t="e">
        <f>+IF(BC16&lt;0,(ROUNDDOWN(BC16,0)),(ROUNDUP(BC16,0)))</f>
        <v>#DIV/0!</v>
      </c>
      <c r="BF16" s="488" t="e">
        <v>#DIV/0!</v>
      </c>
      <c r="BG16" s="482" t="str">
        <f>+IF('(AS-400 Jembatan)'!AW16=0," ",'(AS-400 Jembatan)'!AW16+'(AS-400 Transfer)'!$BQ16)</f>
        <v> </v>
      </c>
      <c r="BH16" s="474" t="str">
        <f>+IF('(AS-400 Jembatan)'!AX16=0," ",'(AS-400 Jembatan)'!AX16+'(AS-400 Transfer)'!$BQ16)</f>
        <v> </v>
      </c>
      <c r="BI16" s="483" t="str">
        <f>+IF('(AS-400 Jembatan)'!AY16=0," ",'(AS-400 Jembatan)'!AY16+'(AS-400 Transfer)'!$BQ16)</f>
        <v> </v>
      </c>
      <c r="BJ16" s="474" t="str">
        <f>+IF('(AS-400 Jembatan)'!AZ16=0," ",'(AS-400 Jembatan)'!AZ16+'(AS-400 Transfer)'!$BQ16)</f>
        <v> </v>
      </c>
      <c r="BK16" s="474" t="str">
        <f>+IF('(AS-400 Jembatan)'!BA16=0," ",'(AS-400 Jembatan)'!BA16+'(AS-400 Transfer)'!$BQ16)</f>
        <v> </v>
      </c>
      <c r="BL16" s="474">
        <f>SUM(BG16:BG16)</f>
        <v>0</v>
      </c>
      <c r="BM16" s="474">
        <f>+'(AS-400 Jembatan)'!BC16</f>
        <v/>
      </c>
      <c r="BN16" s="474" t="e">
        <f>(BM16-BL16)/BO16</f>
        <v>#DIV/0!</v>
      </c>
      <c r="BO16" s="478">
        <f>+COUNT(BG16:BG16)</f>
        <v>0</v>
      </c>
      <c r="BP16" s="478" t="e">
        <f>+IF(BN16&lt;0,(ROUNDDOWN(BN16,0)),(ROUNDUP(BN16,0)))</f>
        <v>#DIV/0!</v>
      </c>
      <c r="BQ16" s="488" t="e">
        <v>#DIV/0!</v>
      </c>
    </row>
    <row r="17" spans="1:142" customHeight="1" ht="15" hidden="true" s="473" customFormat="1">
      <c r="A17" s="1300"/>
      <c r="B17" s="892" t="str">
        <f>+GUM!C23</f>
        <v>82115-0E620</v>
      </c>
      <c r="C17" s="496" t="str">
        <f>'(AS-400 Jembatan)'!C17</f>
        <v>H 0201</v>
      </c>
      <c r="D17" s="505" t="e">
        <f>+IF('(AS-400 Jembatan)'!D17=0," ",'(AS-400 Jembatan)'!D$10+'(AS-400 Transfer)'!$N17)</f>
        <v>#REF!</v>
      </c>
      <c r="E17" s="474" t="e">
        <f>+IF('(AS-400 Jembatan)'!E17=0," ",'(AS-400 Jembatan)'!E$10+'(AS-400 Transfer)'!$N17)</f>
        <v>#REF!</v>
      </c>
      <c r="F17" s="474" t="e">
        <f>+IF('(AS-400 Jembatan)'!F17=0," ",'(AS-400 Jembatan)'!F$10+'(AS-400 Transfer)'!$N17)</f>
        <v>#REF!</v>
      </c>
      <c r="G17" s="474" t="e">
        <f>+IF('(AS-400 Jembatan)'!G17=0," ",'(AS-400 Jembatan)'!G$10+'(AS-400 Transfer)'!$N17)</f>
        <v>#REF!</v>
      </c>
      <c r="H17" s="474" t="str">
        <f>+IF('(AS-400 Jembatan)'!H17=0," ",'(AS-400 Jembatan)'!H$9+'(AS-400 Transfer)'!$N17)</f>
        <v> </v>
      </c>
      <c r="I17" s="474" t="e">
        <f>SUM(D17:D17)</f>
        <v>#REF!</v>
      </c>
      <c r="J17" s="475">
        <f>+'(AS-400 Jembatan)'!J17</f>
        <v>0</v>
      </c>
      <c r="K17" s="475" t="e">
        <f>(J17-I17)/L17</f>
        <v>#REF!</v>
      </c>
      <c r="L17" s="478">
        <f>+COUNT(D17:D17)</f>
        <v>0</v>
      </c>
      <c r="M17" s="478" t="e">
        <f>+IF(K17&lt;0,(ROUNDDOWN(K17,0)),(ROUNDUP(K17,0)))</f>
        <v>#REF!</v>
      </c>
      <c r="N17" s="478" t="e">
        <v>#DIV/0!</v>
      </c>
      <c r="O17" s="482" t="str">
        <f>+IF('(AS-400 Jembatan)'!M17=0," ",'(AS-400 Jembatan)'!M17+'(AS-400 Transfer)'!$Y17)</f>
        <v> </v>
      </c>
      <c r="P17" s="474" t="str">
        <f>+IF('(AS-400 Jembatan)'!N17=0," ",'(AS-400 Jembatan)'!N17+'(AS-400 Transfer)'!$Y17)</f>
        <v> </v>
      </c>
      <c r="Q17" s="483" t="str">
        <f>+IF('(AS-400 Jembatan)'!O17=0," ",'(AS-400 Jembatan)'!O17+'(AS-400 Transfer)'!$Y17)</f>
        <v> </v>
      </c>
      <c r="R17" s="474" t="str">
        <f>+IF('(AS-400 Jembatan)'!P17=0," ",'(AS-400 Jembatan)'!P17+'(AS-400 Transfer)'!$Y17)</f>
        <v> </v>
      </c>
      <c r="S17" s="474" t="str">
        <f>+IF('(AS-400 Jembatan)'!Q17=0," ",'(AS-400 Jembatan)'!Q17+'(AS-400 Transfer)'!$Y17)</f>
        <v> </v>
      </c>
      <c r="T17" s="474">
        <f>SUM(O17:O17)</f>
        <v>0</v>
      </c>
      <c r="U17" s="474">
        <f>+'(AS-400 Jembatan)'!S17</f>
        <v/>
      </c>
      <c r="V17" s="474" t="e">
        <f>(U17-T17)/W17</f>
        <v>#DIV/0!</v>
      </c>
      <c r="W17" s="478">
        <f>+COUNT(O17:O17)</f>
        <v>0</v>
      </c>
      <c r="X17" s="478" t="e">
        <f>+IF(V17&lt;0,(ROUNDDOWN(V17,0)),(ROUNDUP(V17,0)))</f>
        <v>#DIV/0!</v>
      </c>
      <c r="Y17" s="488" t="e">
        <v>#DIV/0!</v>
      </c>
      <c r="Z17" s="482" t="str">
        <f>+IF('(AS-400 Jembatan)'!V17=0," ",'(AS-400 Jembatan)'!V17+'(AS-400 Transfer)'!$AJ17)</f>
        <v> </v>
      </c>
      <c r="AA17" s="494" t="str">
        <f>+IF('(AS-400 Jembatan)'!W17=0," ",'(AS-400 Jembatan)'!W17+'(AS-400 Transfer)'!$AJ17)</f>
        <v> </v>
      </c>
      <c r="AB17" s="483" t="str">
        <f>+IF('(AS-400 Jembatan)'!X17=0," ",'(AS-400 Jembatan)'!X17+'(AS-400 Transfer)'!$AJ17)</f>
        <v> </v>
      </c>
      <c r="AC17" s="474" t="str">
        <f>+IF('(AS-400 Jembatan)'!Y17=0," ",'(AS-400 Jembatan)'!Y17+'(AS-400 Transfer)'!$AJ17)</f>
        <v> </v>
      </c>
      <c r="AD17" s="474" t="str">
        <f>+IF('(AS-400 Jembatan)'!Z17=0," ",'(AS-400 Jembatan)'!Z17+'(AS-400 Transfer)'!$AJ17)</f>
        <v> </v>
      </c>
      <c r="AE17" s="474">
        <f>SUM(Z17:Z17)</f>
        <v>0</v>
      </c>
      <c r="AF17" s="474">
        <f>+'(AS-400 Jembatan)'!AB17</f>
        <v/>
      </c>
      <c r="AG17" s="474" t="e">
        <f>(AF17-AE17)/AH17</f>
        <v>#DIV/0!</v>
      </c>
      <c r="AH17" s="478">
        <f>+COUNT(Z17:Z17)</f>
        <v>0</v>
      </c>
      <c r="AI17" s="475" t="e">
        <f>+IF(AG17&lt;0,(ROUNDDOWN(AG17,0)),(ROUNDUP(AG17,0)))</f>
        <v>#DIV/0!</v>
      </c>
      <c r="AJ17" s="481" t="e">
        <v>#DIV/0!</v>
      </c>
      <c r="AK17" s="482" t="str">
        <f>+IF('(AS-400 Jembatan)'!AE17=0," ",'(AS-400 Jembatan)'!AE17+'(AS-400 Transfer)'!$AU17)</f>
        <v> </v>
      </c>
      <c r="AL17" s="474" t="str">
        <f>+IF('(AS-400 Jembatan)'!AF17=0," ",'(AS-400 Jembatan)'!AF17+'(AS-400 Transfer)'!$AU17)</f>
        <v> </v>
      </c>
      <c r="AM17" s="483" t="str">
        <f>+IF('(AS-400 Jembatan)'!AG17=0," ",'(AS-400 Jembatan)'!AG17+'(AS-400 Transfer)'!$AU17)</f>
        <v> </v>
      </c>
      <c r="AN17" s="474" t="str">
        <f>+IF('(AS-400 Jembatan)'!AH17=0," ",'(AS-400 Jembatan)'!AH17+'(AS-400 Transfer)'!$AU17)</f>
        <v> </v>
      </c>
      <c r="AO17" s="474" t="str">
        <f>+IF('(AS-400 Jembatan)'!AI17=0," ",'(AS-400 Jembatan)'!AI17+'(AS-400 Transfer)'!$AU17)</f>
        <v> </v>
      </c>
      <c r="AP17" s="474">
        <f>SUM(AK17:AK17)</f>
        <v>0</v>
      </c>
      <c r="AQ17" s="474">
        <f>+'(AS-400 Jembatan)'!AK17</f>
        <v/>
      </c>
      <c r="AR17" s="474" t="e">
        <f>(AQ17-AP17)/AS17</f>
        <v>#DIV/0!</v>
      </c>
      <c r="AS17" s="478">
        <f>+COUNT(AK17:AK17)</f>
        <v>0</v>
      </c>
      <c r="AT17" s="478" t="e">
        <f>+IF(AR17&lt;0,(ROUNDDOWN(AR17,0)),(ROUNDUP(AR17,0)))</f>
        <v>#DIV/0!</v>
      </c>
      <c r="AU17" s="478" t="e">
        <v>#DIV/0!</v>
      </c>
      <c r="AV17" s="482" t="str">
        <f>+IF('(AS-400 Jembatan)'!AN17=0," ",'(AS-400 Jembatan)'!AN17+'(AS-400 Transfer)'!$BF17)</f>
        <v> </v>
      </c>
      <c r="AW17" s="474" t="str">
        <f>+IF('(AS-400 Jembatan)'!AO17=0," ",'(AS-400 Jembatan)'!AO17+'(AS-400 Transfer)'!$BF17)</f>
        <v> </v>
      </c>
      <c r="AX17" s="483" t="str">
        <f>+IF('(AS-400 Jembatan)'!AP17=0," ",'(AS-400 Jembatan)'!AP17+'(AS-400 Transfer)'!$BF17)</f>
        <v> </v>
      </c>
      <c r="AY17" s="474" t="str">
        <f>+IF('(AS-400 Jembatan)'!AQ17=0," ",'(AS-400 Jembatan)'!AQ17+'(AS-400 Transfer)'!$BF17)</f>
        <v> </v>
      </c>
      <c r="AZ17" s="474" t="str">
        <f>+IF('(AS-400 Jembatan)'!AR17=0," ",'(AS-400 Jembatan)'!AR17+'(AS-400 Transfer)'!$BF17)</f>
        <v> </v>
      </c>
      <c r="BA17" s="474">
        <f>SUM(AV17:AV17)</f>
        <v>0</v>
      </c>
      <c r="BB17" s="474">
        <f>+GUM!Z23</f>
        <v>0</v>
      </c>
      <c r="BC17" s="474" t="e">
        <f>(BB17-BA17)/BD17</f>
        <v>#DIV/0!</v>
      </c>
      <c r="BD17" s="478">
        <f>+COUNT(AV17:AV17)</f>
        <v>0</v>
      </c>
      <c r="BE17" s="478" t="e">
        <f>+IF(BC17&lt;0,(ROUNDDOWN(BC17,0)),(ROUNDUP(BC17,0)))</f>
        <v>#DIV/0!</v>
      </c>
      <c r="BF17" s="488" t="e">
        <v>#DIV/0!</v>
      </c>
      <c r="BG17" s="482" t="str">
        <f>+IF('(AS-400 Jembatan)'!AW17=0," ",'(AS-400 Jembatan)'!AW17+'(AS-400 Transfer)'!$BQ17)</f>
        <v> </v>
      </c>
      <c r="BH17" s="474" t="str">
        <f>+IF('(AS-400 Jembatan)'!AX17=0," ",'(AS-400 Jembatan)'!AX17+'(AS-400 Transfer)'!$BQ17)</f>
        <v> </v>
      </c>
      <c r="BI17" s="483" t="str">
        <f>+IF('(AS-400 Jembatan)'!AY17=0," ",'(AS-400 Jembatan)'!AY17+'(AS-400 Transfer)'!$BQ17)</f>
        <v> </v>
      </c>
      <c r="BJ17" s="474" t="str">
        <f>+IF('(AS-400 Jembatan)'!AZ17=0," ",'(AS-400 Jembatan)'!AZ17+'(AS-400 Transfer)'!$BQ17)</f>
        <v> </v>
      </c>
      <c r="BK17" s="474" t="str">
        <f>+IF('(AS-400 Jembatan)'!BA17=0," ",'(AS-400 Jembatan)'!BA17+'(AS-400 Transfer)'!$BQ17)</f>
        <v> </v>
      </c>
      <c r="BL17" s="474">
        <f>SUM(BG17:BG17)</f>
        <v>0</v>
      </c>
      <c r="BM17" s="474">
        <f>+'(AS-400 Jembatan)'!BC17</f>
        <v/>
      </c>
      <c r="BN17" s="474" t="e">
        <f>(BM17-BL17)/BO17</f>
        <v>#DIV/0!</v>
      </c>
      <c r="BO17" s="478">
        <f>+COUNT(BG17:BG17)</f>
        <v>0</v>
      </c>
      <c r="BP17" s="478" t="e">
        <f>+IF(BN17&lt;0,(ROUNDDOWN(BN17,0)),(ROUNDUP(BN17,0)))</f>
        <v>#DIV/0!</v>
      </c>
      <c r="BQ17" s="488" t="e">
        <v>#DIV/0!</v>
      </c>
    </row>
    <row r="18" spans="1:142" customHeight="1" ht="15" hidden="true" s="473" customFormat="1">
      <c r="A18" s="1300"/>
      <c r="B18" s="892" t="str">
        <f>+GUM!C24</f>
        <v>82115-0EA40</v>
      </c>
      <c r="C18" s="496" t="str">
        <f>'(AS-400 Jembatan)'!C18</f>
        <v>H 0201</v>
      </c>
      <c r="D18" s="505" t="e">
        <f>+IF('(AS-400 Jembatan)'!D18=0," ",'(AS-400 Jembatan)'!D$10+'(AS-400 Transfer)'!$N18)</f>
        <v>#REF!</v>
      </c>
      <c r="E18" s="474" t="e">
        <f>+IF('(AS-400 Jembatan)'!E18=0," ",'(AS-400 Jembatan)'!E$10+'(AS-400 Transfer)'!$N18)</f>
        <v>#REF!</v>
      </c>
      <c r="F18" s="474" t="e">
        <f>+IF('(AS-400 Jembatan)'!F18=0," ",'(AS-400 Jembatan)'!F$10+'(AS-400 Transfer)'!$N18)</f>
        <v>#REF!</v>
      </c>
      <c r="G18" s="474" t="e">
        <f>+IF('(AS-400 Jembatan)'!G18=0," ",'(AS-400 Jembatan)'!G$10+'(AS-400 Transfer)'!$N18)</f>
        <v>#REF!</v>
      </c>
      <c r="H18" s="474" t="str">
        <f>+IF('(AS-400 Jembatan)'!H18=0," ",'(AS-400 Jembatan)'!H$9+'(AS-400 Transfer)'!$N18)</f>
        <v> </v>
      </c>
      <c r="I18" s="474" t="e">
        <f>SUM(D18:H18)</f>
        <v>#REF!</v>
      </c>
      <c r="J18" s="475">
        <f>+'(AS-400 Jembatan)'!J18</f>
        <v>0</v>
      </c>
      <c r="K18" s="475" t="e">
        <f>(J18-I18)/L18</f>
        <v>#REF!</v>
      </c>
      <c r="L18" s="478">
        <f>+COUNT(D18:D18)</f>
        <v>0</v>
      </c>
      <c r="M18" s="478" t="e">
        <f>+IF(K18&lt;0,(ROUNDDOWN(K18,0)),(ROUNDUP(K18,0)))</f>
        <v>#REF!</v>
      </c>
      <c r="N18" s="478" t="e">
        <v>#DIV/0!</v>
      </c>
      <c r="O18" s="482" t="str">
        <f>+IF('(AS-400 Jembatan)'!M18=0," ",'(AS-400 Jembatan)'!M18+'(AS-400 Transfer)'!$Y18)</f>
        <v> </v>
      </c>
      <c r="P18" s="474" t="str">
        <f>+IF('(AS-400 Jembatan)'!N18=0," ",'(AS-400 Jembatan)'!N18+'(AS-400 Transfer)'!$Y18)</f>
        <v> </v>
      </c>
      <c r="Q18" s="483" t="str">
        <f>+IF('(AS-400 Jembatan)'!O18=0," ",'(AS-400 Jembatan)'!O18+'(AS-400 Transfer)'!$Y18)</f>
        <v> </v>
      </c>
      <c r="R18" s="474" t="str">
        <f>+IF('(AS-400 Jembatan)'!P18=0," ",'(AS-400 Jembatan)'!P18+'(AS-400 Transfer)'!$Y18)</f>
        <v> </v>
      </c>
      <c r="S18" s="474" t="str">
        <f>+IF('(AS-400 Jembatan)'!Q18=0," ",'(AS-400 Jembatan)'!Q18+'(AS-400 Transfer)'!$Y18)</f>
        <v> </v>
      </c>
      <c r="T18" s="474">
        <f>SUM(O18:O18)</f>
        <v>0</v>
      </c>
      <c r="U18" s="474">
        <f>+'(AS-400 Jembatan)'!S18</f>
        <v/>
      </c>
      <c r="V18" s="474" t="e">
        <f>(U18-T18)/W18</f>
        <v>#DIV/0!</v>
      </c>
      <c r="W18" s="478">
        <f>+COUNT(O18:O18)</f>
        <v>0</v>
      </c>
      <c r="X18" s="478" t="e">
        <f>+IF(V18&lt;0,(ROUNDDOWN(V18,0)),(ROUNDUP(V18,0)))</f>
        <v>#DIV/0!</v>
      </c>
      <c r="Y18" s="488" t="e">
        <v>#DIV/0!</v>
      </c>
      <c r="Z18" s="482" t="str">
        <f>+IF('(AS-400 Jembatan)'!V18=0," ",'(AS-400 Jembatan)'!V18+'(AS-400 Transfer)'!$AJ18)</f>
        <v> </v>
      </c>
      <c r="AA18" s="494" t="str">
        <f>+IF('(AS-400 Jembatan)'!W18=0," ",'(AS-400 Jembatan)'!W18+'(AS-400 Transfer)'!$AJ18)</f>
        <v> </v>
      </c>
      <c r="AB18" s="483" t="str">
        <f>+IF('(AS-400 Jembatan)'!X18=0," ",'(AS-400 Jembatan)'!X18+'(AS-400 Transfer)'!$AJ18)</f>
        <v> </v>
      </c>
      <c r="AC18" s="474" t="str">
        <f>+IF('(AS-400 Jembatan)'!Y18=0," ",'(AS-400 Jembatan)'!Y18+'(AS-400 Transfer)'!$AJ18)</f>
        <v> </v>
      </c>
      <c r="AD18" s="474" t="str">
        <f>+IF('(AS-400 Jembatan)'!Z18=0," ",'(AS-400 Jembatan)'!Z18+'(AS-400 Transfer)'!$AJ18)</f>
        <v> </v>
      </c>
      <c r="AE18" s="474">
        <f>SUM(Z18:Z18)</f>
        <v>0</v>
      </c>
      <c r="AF18" s="474">
        <f>+'(AS-400 Jembatan)'!AB18</f>
        <v/>
      </c>
      <c r="AG18" s="474" t="e">
        <f>(AF18-AE18)/AH18</f>
        <v>#DIV/0!</v>
      </c>
      <c r="AH18" s="478">
        <f>+COUNT(Z18:Z18)</f>
        <v>0</v>
      </c>
      <c r="AI18" s="475" t="e">
        <f>+IF(AG18&lt;0,(ROUNDDOWN(AG18,0)),(ROUNDUP(AG18,0)))</f>
        <v>#DIV/0!</v>
      </c>
      <c r="AJ18" s="481" t="e">
        <v>#DIV/0!</v>
      </c>
      <c r="AK18" s="482" t="str">
        <f>+IF('(AS-400 Jembatan)'!AE18=0," ",'(AS-400 Jembatan)'!AE18+'(AS-400 Transfer)'!$AU18)</f>
        <v> </v>
      </c>
      <c r="AL18" s="474" t="str">
        <f>+IF('(AS-400 Jembatan)'!AF18=0," ",'(AS-400 Jembatan)'!AF18+'(AS-400 Transfer)'!$AU18)</f>
        <v> </v>
      </c>
      <c r="AM18" s="483" t="str">
        <f>+IF('(AS-400 Jembatan)'!AG18=0," ",'(AS-400 Jembatan)'!AG18+'(AS-400 Transfer)'!$AU18)</f>
        <v> </v>
      </c>
      <c r="AN18" s="474" t="str">
        <f>+IF('(AS-400 Jembatan)'!AH18=0," ",'(AS-400 Jembatan)'!AH18+'(AS-400 Transfer)'!$AU18)</f>
        <v> </v>
      </c>
      <c r="AO18" s="474" t="str">
        <f>+IF('(AS-400 Jembatan)'!AI18=0," ",'(AS-400 Jembatan)'!AI18+'(AS-400 Transfer)'!$AU18)</f>
        <v> </v>
      </c>
      <c r="AP18" s="474">
        <f>SUM(AK18:AK18)</f>
        <v>0</v>
      </c>
      <c r="AQ18" s="474">
        <f>+'(AS-400 Jembatan)'!AK18</f>
        <v/>
      </c>
      <c r="AR18" s="474" t="e">
        <f>(AQ18-AP18)/AS18</f>
        <v>#DIV/0!</v>
      </c>
      <c r="AS18" s="478">
        <f>+COUNT(AK18:AK18)</f>
        <v>0</v>
      </c>
      <c r="AT18" s="478" t="e">
        <f>+IF(AR18&lt;0,(ROUNDDOWN(AR18,0)),(ROUNDUP(AR18,0)))</f>
        <v>#DIV/0!</v>
      </c>
      <c r="AU18" s="478" t="e">
        <v>#DIV/0!</v>
      </c>
      <c r="AV18" s="482" t="str">
        <f>+IF('(AS-400 Jembatan)'!AN18=0," ",'(AS-400 Jembatan)'!AN18+'(AS-400 Transfer)'!$BF18)</f>
        <v> </v>
      </c>
      <c r="AW18" s="474" t="str">
        <f>+IF('(AS-400 Jembatan)'!AO18=0," ",'(AS-400 Jembatan)'!AO18+'(AS-400 Transfer)'!$BF18)</f>
        <v> </v>
      </c>
      <c r="AX18" s="483" t="str">
        <f>+IF('(AS-400 Jembatan)'!AP18=0," ",'(AS-400 Jembatan)'!AP18+'(AS-400 Transfer)'!$BF18)</f>
        <v> </v>
      </c>
      <c r="AY18" s="474" t="str">
        <f>+IF('(AS-400 Jembatan)'!AQ18=0," ",'(AS-400 Jembatan)'!AQ18+'(AS-400 Transfer)'!$BF18)</f>
        <v> </v>
      </c>
      <c r="AZ18" s="474" t="str">
        <f>+IF('(AS-400 Jembatan)'!AR18=0," ",'(AS-400 Jembatan)'!AR18+'(AS-400 Transfer)'!$BF18)</f>
        <v> </v>
      </c>
      <c r="BA18" s="474">
        <f>SUM(AV18:AV18)</f>
        <v>0</v>
      </c>
      <c r="BB18" s="474">
        <f>+GUM!Z24</f>
        <v>0</v>
      </c>
      <c r="BC18" s="474" t="e">
        <f>(BB18-BA18)/BD18</f>
        <v>#DIV/0!</v>
      </c>
      <c r="BD18" s="478">
        <f>+COUNT(AV18:AV18)</f>
        <v>0</v>
      </c>
      <c r="BE18" s="478" t="e">
        <f>+IF(BC18&lt;0,(ROUNDDOWN(BC18,0)),(ROUNDUP(BC18,0)))</f>
        <v>#DIV/0!</v>
      </c>
      <c r="BF18" s="488" t="e">
        <v>#DIV/0!</v>
      </c>
      <c r="BG18" s="482" t="str">
        <f>+IF('(AS-400 Jembatan)'!AW18=0," ",'(AS-400 Jembatan)'!AW18+'(AS-400 Transfer)'!$BQ18)</f>
        <v> </v>
      </c>
      <c r="BH18" s="474" t="str">
        <f>+IF('(AS-400 Jembatan)'!AX18=0," ",'(AS-400 Jembatan)'!AX18+'(AS-400 Transfer)'!$BQ18)</f>
        <v> </v>
      </c>
      <c r="BI18" s="483" t="str">
        <f>+IF('(AS-400 Jembatan)'!AY18=0," ",'(AS-400 Jembatan)'!AY18+'(AS-400 Transfer)'!$BQ18)</f>
        <v> </v>
      </c>
      <c r="BJ18" s="474" t="str">
        <f>+IF('(AS-400 Jembatan)'!AZ18=0," ",'(AS-400 Jembatan)'!AZ18+'(AS-400 Transfer)'!$BQ18)</f>
        <v> </v>
      </c>
      <c r="BK18" s="474" t="str">
        <f>+IF('(AS-400 Jembatan)'!BA18=0," ",'(AS-400 Jembatan)'!BA18+'(AS-400 Transfer)'!$BQ18)</f>
        <v> </v>
      </c>
      <c r="BL18" s="474">
        <f>SUM(BG18:BG18)</f>
        <v>0</v>
      </c>
      <c r="BM18" s="474">
        <f>+'(AS-400 Jembatan)'!BC18</f>
        <v/>
      </c>
      <c r="BN18" s="474" t="e">
        <f>(BM18-BL18)/BO18</f>
        <v>#DIV/0!</v>
      </c>
      <c r="BO18" s="478">
        <f>+COUNT(BG18:BG18)</f>
        <v>0</v>
      </c>
      <c r="BP18" s="478" t="e">
        <f>+IF(BN18&lt;0,(ROUNDDOWN(BN18,0)),(ROUNDUP(BN18,0)))</f>
        <v>#DIV/0!</v>
      </c>
      <c r="BQ18" s="488" t="e">
        <v>#DIV/0!</v>
      </c>
    </row>
    <row r="19" spans="1:142" customHeight="1" ht="15" hidden="true" s="473" customFormat="1">
      <c r="A19" s="1300"/>
      <c r="B19" s="892" t="str">
        <f>+GUM!C25</f>
        <v>82115-0EA50</v>
      </c>
      <c r="C19" s="496" t="str">
        <f>'(AS-400 Jembatan)'!C18</f>
        <v>H 0201</v>
      </c>
      <c r="D19" s="505" t="e">
        <f>+IF('(AS-400 Jembatan)'!D18=0," ",'(AS-400 Jembatan)'!D$12+'(AS-400 Transfer)'!$N19)</f>
        <v>#REF!</v>
      </c>
      <c r="E19" s="474" t="e">
        <f>+IF('(AS-400 Jembatan)'!E18=0," ",'(AS-400 Jembatan)'!E$12+'(AS-400 Transfer)'!$N19)</f>
        <v>#REF!</v>
      </c>
      <c r="F19" s="474" t="e">
        <f>+IF('(AS-400 Jembatan)'!F18=0," ",'(AS-400 Jembatan)'!F$12+'(AS-400 Transfer)'!$N19)</f>
        <v>#REF!</v>
      </c>
      <c r="G19" s="474" t="e">
        <f>+IF('(AS-400 Jembatan)'!G18=0," ",'(AS-400 Jembatan)'!G$12+'(AS-400 Transfer)'!$N19)</f>
        <v>#REF!</v>
      </c>
      <c r="H19" s="474" t="str">
        <f>+IF('(AS-400 Jembatan)'!H18=0," ",'(AS-400 Jembatan)'!H$12+'(AS-400 Transfer)'!$N19)</f>
        <v> </v>
      </c>
      <c r="I19" s="474" t="e">
        <f>SUM(D19:D19)</f>
        <v>#REF!</v>
      </c>
      <c r="J19" s="475">
        <f>+'(AS-400 Jembatan)'!J18</f>
        <v>0</v>
      </c>
      <c r="K19" s="475" t="e">
        <f>(J19-I19)/L19</f>
        <v>#REF!</v>
      </c>
      <c r="L19" s="478">
        <f>+COUNT(D19:D19)</f>
        <v>0</v>
      </c>
      <c r="M19" s="478" t="e">
        <f>+IF(K19&lt;0,(ROUNDDOWN(K19,0)),(ROUNDUP(K19,0)))</f>
        <v>#REF!</v>
      </c>
      <c r="N19" s="478">
        <v>0.0</v>
      </c>
      <c r="O19" s="482" t="str">
        <f>+IF('(AS-400 Jembatan)'!M19=0," ",'(AS-400 Jembatan)'!M19+'(AS-400 Transfer)'!$Y19)</f>
        <v> </v>
      </c>
      <c r="P19" s="474" t="str">
        <f>+IF('(AS-400 Jembatan)'!N19=0," ",'(AS-400 Jembatan)'!N19+'(AS-400 Transfer)'!$Y19)</f>
        <v> </v>
      </c>
      <c r="Q19" s="483" t="str">
        <f>+IF('(AS-400 Jembatan)'!O19=0," ",'(AS-400 Jembatan)'!O19+'(AS-400 Transfer)'!$Y19)</f>
        <v> </v>
      </c>
      <c r="R19" s="474" t="str">
        <f>+IF('(AS-400 Jembatan)'!P19=0," ",'(AS-400 Jembatan)'!P19+'(AS-400 Transfer)'!$Y19)</f>
        <v> </v>
      </c>
      <c r="S19" s="474" t="str">
        <f>+IF('(AS-400 Jembatan)'!Q19=0," ",'(AS-400 Jembatan)'!Q19+'(AS-400 Transfer)'!$Y19)</f>
        <v> </v>
      </c>
      <c r="T19" s="474">
        <f>SUM(O19:O19)</f>
        <v>0</v>
      </c>
      <c r="U19" s="474">
        <f>+'(AS-400 Jembatan)'!S19</f>
        <v/>
      </c>
      <c r="V19" s="493" t="e">
        <f>(U19-T19)/W19</f>
        <v>#DIV/0!</v>
      </c>
      <c r="W19" s="478">
        <f>+COUNT(O19:O19)</f>
        <v>0</v>
      </c>
      <c r="X19" s="478" t="e">
        <f>+IF(V19&lt;0,(ROUNDDOWN(V19,0)),(ROUNDUP(V19,0)))</f>
        <v>#DIV/0!</v>
      </c>
      <c r="Y19" s="488" t="e">
        <v>#DIV/0!</v>
      </c>
      <c r="Z19" s="482" t="str">
        <f>+IF('(AS-400 Jembatan)'!V19=0," ",'(AS-400 Jembatan)'!V19+'(AS-400 Transfer)'!$AJ19)</f>
        <v> </v>
      </c>
      <c r="AA19" s="494" t="str">
        <f>+IF('(AS-400 Jembatan)'!W19=0," ",'(AS-400 Jembatan)'!W19+'(AS-400 Transfer)'!$AJ19)</f>
        <v> </v>
      </c>
      <c r="AB19" s="483" t="str">
        <f>+IF('(AS-400 Jembatan)'!X19=0," ",'(AS-400 Jembatan)'!X19+'(AS-400 Transfer)'!$AJ19)</f>
        <v> </v>
      </c>
      <c r="AC19" s="474" t="str">
        <f>+IF('(AS-400 Jembatan)'!Y19=0," ",'(AS-400 Jembatan)'!Y19+'(AS-400 Transfer)'!$AJ19)</f>
        <v> </v>
      </c>
      <c r="AD19" s="474" t="str">
        <f>+IF('(AS-400 Jembatan)'!Z19=0," ",'(AS-400 Jembatan)'!Z19+'(AS-400 Transfer)'!$AJ19)</f>
        <v> </v>
      </c>
      <c r="AE19" s="474">
        <f>SUM(Z19:Z19)</f>
        <v>0</v>
      </c>
      <c r="AF19" s="474">
        <f>+'(AS-400 Jembatan)'!AB19</f>
        <v/>
      </c>
      <c r="AG19" s="474" t="e">
        <f>(AF19-AE19)/AH19</f>
        <v>#DIV/0!</v>
      </c>
      <c r="AH19" s="478">
        <f>+COUNT(Z19:Z19)</f>
        <v>0</v>
      </c>
      <c r="AI19" s="475" t="e">
        <f>+IF(AG19&lt;0,(ROUNDDOWN(AG19,0)),(ROUNDUP(AG19,0)))</f>
        <v>#DIV/0!</v>
      </c>
      <c r="AJ19" s="481" t="e">
        <v>#DIV/0!</v>
      </c>
      <c r="AK19" s="482" t="str">
        <f>+IF('(AS-400 Jembatan)'!AE19=0," ",'(AS-400 Jembatan)'!AE19+'(AS-400 Transfer)'!$AU19)</f>
        <v> </v>
      </c>
      <c r="AL19" s="474" t="str">
        <f>+IF('(AS-400 Jembatan)'!AF19=0," ",'(AS-400 Jembatan)'!AF19+'(AS-400 Transfer)'!$AU19)</f>
        <v> </v>
      </c>
      <c r="AM19" s="483" t="str">
        <f>+IF('(AS-400 Jembatan)'!AG19=0," ",'(AS-400 Jembatan)'!AG19+'(AS-400 Transfer)'!$AU19)</f>
        <v> </v>
      </c>
      <c r="AN19" s="474" t="str">
        <f>+IF('(AS-400 Jembatan)'!AH19=0," ",'(AS-400 Jembatan)'!AH19+'(AS-400 Transfer)'!$AU19)</f>
        <v> </v>
      </c>
      <c r="AO19" s="474" t="str">
        <f>+IF('(AS-400 Jembatan)'!AI19=0," ",'(AS-400 Jembatan)'!AI19+'(AS-400 Transfer)'!$AU19)</f>
        <v> </v>
      </c>
      <c r="AP19" s="474">
        <f>SUM(AK19:AK19)</f>
        <v>0</v>
      </c>
      <c r="AQ19" s="474">
        <f>+'(AS-400 Jembatan)'!AK19</f>
        <v/>
      </c>
      <c r="AR19" s="474" t="e">
        <f>(AQ19-AP19)/AS19</f>
        <v>#DIV/0!</v>
      </c>
      <c r="AS19" s="478">
        <f>+COUNT(AK19:AK19)</f>
        <v>0</v>
      </c>
      <c r="AT19" s="478" t="e">
        <f>+IF(AR19&lt;0,(ROUNDDOWN(AR19,0)),(ROUNDUP(AR19,0)))</f>
        <v>#DIV/0!</v>
      </c>
      <c r="AU19" s="478" t="e">
        <v>#DIV/0!</v>
      </c>
      <c r="AV19" s="482" t="str">
        <f>+IF('(AS-400 Jembatan)'!AN19=0," ",'(AS-400 Jembatan)'!AN19+'(AS-400 Transfer)'!$BF19)</f>
        <v> </v>
      </c>
      <c r="AW19" s="474" t="str">
        <f>+IF('(AS-400 Jembatan)'!AO19=0," ",'(AS-400 Jembatan)'!AO19+'(AS-400 Transfer)'!$BF19)</f>
        <v> </v>
      </c>
      <c r="AX19" s="483" t="str">
        <f>+IF('(AS-400 Jembatan)'!AP19=0," ",'(AS-400 Jembatan)'!AP19+'(AS-400 Transfer)'!$BF19)</f>
        <v> </v>
      </c>
      <c r="AY19" s="474" t="str">
        <f>+IF('(AS-400 Jembatan)'!AQ19=0," ",'(AS-400 Jembatan)'!AQ19+'(AS-400 Transfer)'!$BF19)</f>
        <v> </v>
      </c>
      <c r="AZ19" s="474" t="str">
        <f>+IF('(AS-400 Jembatan)'!AR19=0," ",'(AS-400 Jembatan)'!AR19+'(AS-400 Transfer)'!$BF19)</f>
        <v> </v>
      </c>
      <c r="BA19" s="474">
        <f>SUM(AV19:AV19)</f>
        <v>0</v>
      </c>
      <c r="BB19" s="474">
        <f>+GUM!Z25</f>
        <v>0</v>
      </c>
      <c r="BC19" s="474" t="e">
        <f>(BB19-BA19)/BD19</f>
        <v>#DIV/0!</v>
      </c>
      <c r="BD19" s="478">
        <f>+COUNT(AV19:AV19)</f>
        <v>0</v>
      </c>
      <c r="BE19" s="478" t="e">
        <f>+IF(BC19&lt;0,(ROUNDDOWN(BC19,0)),(ROUNDUP(BC19,0)))</f>
        <v>#DIV/0!</v>
      </c>
      <c r="BF19" s="488" t="e">
        <v>#DIV/0!</v>
      </c>
      <c r="BG19" s="482" t="str">
        <f>+IF('(AS-400 Jembatan)'!AW19=0," ",'(AS-400 Jembatan)'!AW19+'(AS-400 Transfer)'!$BQ19)</f>
        <v> </v>
      </c>
      <c r="BH19" s="474" t="str">
        <f>+IF('(AS-400 Jembatan)'!AX19=0," ",'(AS-400 Jembatan)'!AX19+'(AS-400 Transfer)'!$BQ19)</f>
        <v> </v>
      </c>
      <c r="BI19" s="483" t="str">
        <f>+IF('(AS-400 Jembatan)'!AY19=0," ",'(AS-400 Jembatan)'!AY19+'(AS-400 Transfer)'!$BQ19)</f>
        <v> </v>
      </c>
      <c r="BJ19" s="474" t="str">
        <f>+IF('(AS-400 Jembatan)'!AZ19=0," ",'(AS-400 Jembatan)'!AZ19+'(AS-400 Transfer)'!$BQ19)</f>
        <v> </v>
      </c>
      <c r="BK19" s="474" t="str">
        <f>+IF('(AS-400 Jembatan)'!BA19=0," ",'(AS-400 Jembatan)'!BA19+'(AS-400 Transfer)'!$BQ19)</f>
        <v> </v>
      </c>
      <c r="BL19" s="474">
        <f>SUM(BG19:BG19)</f>
        <v>0</v>
      </c>
      <c r="BM19" s="474">
        <f>+'(AS-400 Jembatan)'!BC19</f>
        <v/>
      </c>
      <c r="BN19" s="474" t="e">
        <f>(BM19-BL19)/BO19</f>
        <v>#DIV/0!</v>
      </c>
      <c r="BO19" s="478">
        <f>+COUNT(BG19:BG19)</f>
        <v>0</v>
      </c>
      <c r="BP19" s="478" t="e">
        <f>+IF(BN19&lt;0,(ROUNDDOWN(BN19,0)),(ROUNDUP(BN19,0)))</f>
        <v>#DIV/0!</v>
      </c>
      <c r="BQ19" s="488" t="e">
        <v>#DIV/0!</v>
      </c>
    </row>
    <row r="20" spans="1:142" customHeight="1" ht="15" hidden="true" s="473" customFormat="1">
      <c r="A20" s="1300"/>
      <c r="B20" s="892" t="str">
        <f>+GUM!C26</f>
        <v>82115-0EA60</v>
      </c>
      <c r="C20" s="496" t="str">
        <f>'(AS-400 Jembatan)'!C19</f>
        <v>H 0201</v>
      </c>
      <c r="D20" s="505" t="str">
        <f>+IF('(AS-400 Jembatan)'!D19=0," ",'(AS-400 Jembatan)'!D$13+'(AS-400 Transfer)'!$N20)</f>
        <v> </v>
      </c>
      <c r="E20" s="474" t="str">
        <f>+IF('(AS-400 Jembatan)'!E19=0," ",'(AS-400 Jembatan)'!E$13+'(AS-400 Transfer)'!$N20)</f>
        <v> </v>
      </c>
      <c r="F20" s="474" t="str">
        <f>+IF('(AS-400 Jembatan)'!F19=0," ",'(AS-400 Jembatan)'!F$13+'(AS-400 Transfer)'!$N20)</f>
        <v> </v>
      </c>
      <c r="G20" s="474" t="str">
        <f>+IF('(AS-400 Jembatan)'!G19=0," ",'(AS-400 Jembatan)'!G$13+'(AS-400 Transfer)'!$N20)</f>
        <v> </v>
      </c>
      <c r="H20" s="474" t="str">
        <f>+IF('(AS-400 Jembatan)'!H19=0," ",'(AS-400 Jembatan)'!H$9+'(AS-400 Transfer)'!$N20)</f>
        <v> </v>
      </c>
      <c r="I20" s="474">
        <f>SUM(D20:D20)</f>
        <v>0</v>
      </c>
      <c r="J20" s="475">
        <f>+'(AS-400 Jembatan)'!J19</f>
        <v/>
      </c>
      <c r="K20" s="475" t="e">
        <f>(J20-I20)/L20</f>
        <v>#DIV/0!</v>
      </c>
      <c r="L20" s="478">
        <f>+COUNT(D20:D20)</f>
        <v>0</v>
      </c>
      <c r="M20" s="478" t="e">
        <f>+IF(K20&lt;0,(ROUNDDOWN(K20,0)),(ROUNDUP(K20,0)))</f>
        <v>#DIV/0!</v>
      </c>
      <c r="N20" s="478" t="e">
        <v>#DIV/0!</v>
      </c>
      <c r="O20" s="482" t="str">
        <f>+IF('(AS-400 Jembatan)'!M20=0," ",'(AS-400 Jembatan)'!M20+'(AS-400 Transfer)'!$Y20)</f>
        <v> </v>
      </c>
      <c r="P20" s="474" t="str">
        <f>+IF('(AS-400 Jembatan)'!N20=0," ",'(AS-400 Jembatan)'!N20+'(AS-400 Transfer)'!$Y20)</f>
        <v> </v>
      </c>
      <c r="Q20" s="483" t="str">
        <f>+IF('(AS-400 Jembatan)'!O20=0," ",'(AS-400 Jembatan)'!O20+'(AS-400 Transfer)'!$Y20)</f>
        <v> </v>
      </c>
      <c r="R20" s="474" t="str">
        <f>+IF('(AS-400 Jembatan)'!P20=0," ",'(AS-400 Jembatan)'!P20+'(AS-400 Transfer)'!$Y20)</f>
        <v> </v>
      </c>
      <c r="S20" s="474" t="str">
        <f>+IF('(AS-400 Jembatan)'!Q20=0," ",'(AS-400 Jembatan)'!Q20+'(AS-400 Transfer)'!$Y20)</f>
        <v> </v>
      </c>
      <c r="T20" s="474">
        <f>SUM(O20:O20)</f>
        <v>0</v>
      </c>
      <c r="U20" s="474">
        <f>+'(AS-400 Jembatan)'!S20</f>
        <v/>
      </c>
      <c r="V20" s="474" t="e">
        <f>(U20-T20)/W20</f>
        <v>#DIV/0!</v>
      </c>
      <c r="W20" s="478">
        <f>+COUNT(O20:O20)</f>
        <v>0</v>
      </c>
      <c r="X20" s="478" t="e">
        <f>+IF(V20&lt;0,(ROUNDDOWN(V20,0)),(ROUNDUP(V20,0)))</f>
        <v>#DIV/0!</v>
      </c>
      <c r="Y20" s="488" t="e">
        <v>#DIV/0!</v>
      </c>
      <c r="Z20" s="482" t="str">
        <f>+IF('(AS-400 Jembatan)'!V20=0," ",'(AS-400 Jembatan)'!V20+'(AS-400 Transfer)'!$AJ20)</f>
        <v> </v>
      </c>
      <c r="AA20" s="494" t="str">
        <f>+IF('(AS-400 Jembatan)'!W20=0," ",'(AS-400 Jembatan)'!W20+'(AS-400 Transfer)'!$AJ20)</f>
        <v> </v>
      </c>
      <c r="AB20" s="483" t="str">
        <f>+IF('(AS-400 Jembatan)'!X20=0," ",'(AS-400 Jembatan)'!X20+'(AS-400 Transfer)'!$AJ20)</f>
        <v> </v>
      </c>
      <c r="AC20" s="474" t="str">
        <f>+IF('(AS-400 Jembatan)'!Y20=0," ",'(AS-400 Jembatan)'!Y20+'(AS-400 Transfer)'!$AJ20)</f>
        <v> </v>
      </c>
      <c r="AD20" s="474" t="str">
        <f>+IF('(AS-400 Jembatan)'!Z20=0," ",'(AS-400 Jembatan)'!Z20+'(AS-400 Transfer)'!$AJ20)</f>
        <v> </v>
      </c>
      <c r="AE20" s="474">
        <f>SUM(Z20:Z20)</f>
        <v>0</v>
      </c>
      <c r="AF20" s="474">
        <f>+'(AS-400 Jembatan)'!AB20</f>
        <v/>
      </c>
      <c r="AG20" s="474" t="e">
        <f>(AF20-AE20)/AH20</f>
        <v>#DIV/0!</v>
      </c>
      <c r="AH20" s="478">
        <f>+COUNT(Z20:Z20)</f>
        <v>0</v>
      </c>
      <c r="AI20" s="475" t="e">
        <f>+IF(AG20&lt;0,(ROUNDDOWN(AG20,0)),(ROUNDUP(AG20,0)))</f>
        <v>#DIV/0!</v>
      </c>
      <c r="AJ20" s="481" t="e">
        <v>#DIV/0!</v>
      </c>
      <c r="AK20" s="482" t="str">
        <f>+IF('(AS-400 Jembatan)'!AE20=0," ",'(AS-400 Jembatan)'!AE20+'(AS-400 Transfer)'!$AU20)</f>
        <v> </v>
      </c>
      <c r="AL20" s="474" t="str">
        <f>+IF('(AS-400 Jembatan)'!AF20=0," ",'(AS-400 Jembatan)'!AF20+'(AS-400 Transfer)'!$AU20)</f>
        <v> </v>
      </c>
      <c r="AM20" s="483" t="str">
        <f>+IF('(AS-400 Jembatan)'!AG20=0," ",'(AS-400 Jembatan)'!AG20+'(AS-400 Transfer)'!$AU20)</f>
        <v> </v>
      </c>
      <c r="AN20" s="474" t="str">
        <f>+IF('(AS-400 Jembatan)'!AH20=0," ",'(AS-400 Jembatan)'!AH20+'(AS-400 Transfer)'!$AU20)</f>
        <v> </v>
      </c>
      <c r="AO20" s="474" t="str">
        <f>+IF('(AS-400 Jembatan)'!AI20=0," ",'(AS-400 Jembatan)'!AI20+'(AS-400 Transfer)'!$AU20)</f>
        <v> </v>
      </c>
      <c r="AP20" s="474">
        <f>SUM(AK20:AK20)</f>
        <v>0</v>
      </c>
      <c r="AQ20" s="474">
        <f>+'(AS-400 Jembatan)'!AK20</f>
        <v/>
      </c>
      <c r="AR20" s="474" t="e">
        <f>(AQ20-AP20)/AS20</f>
        <v>#DIV/0!</v>
      </c>
      <c r="AS20" s="478">
        <f>+COUNT(AK20:AK20)</f>
        <v>0</v>
      </c>
      <c r="AT20" s="478" t="e">
        <f>+IF(AR20&lt;0,(ROUNDDOWN(AR20,0)),(ROUNDUP(AR20,0)))</f>
        <v>#DIV/0!</v>
      </c>
      <c r="AU20" s="478" t="e">
        <v>#DIV/0!</v>
      </c>
      <c r="AV20" s="482" t="str">
        <f>+IF('(AS-400 Jembatan)'!AN20=0," ",'(AS-400 Jembatan)'!AN20+'(AS-400 Transfer)'!$BF20)</f>
        <v> </v>
      </c>
      <c r="AW20" s="474" t="str">
        <f>+IF('(AS-400 Jembatan)'!AO20=0," ",'(AS-400 Jembatan)'!AO20+'(AS-400 Transfer)'!$BF20)</f>
        <v> </v>
      </c>
      <c r="AX20" s="483" t="str">
        <f>+IF('(AS-400 Jembatan)'!AP20=0," ",'(AS-400 Jembatan)'!AP20+'(AS-400 Transfer)'!$BF20)</f>
        <v> </v>
      </c>
      <c r="AY20" s="474" t="str">
        <f>+IF('(AS-400 Jembatan)'!AQ20=0," ",'(AS-400 Jembatan)'!AQ20+'(AS-400 Transfer)'!$BF20)</f>
        <v> </v>
      </c>
      <c r="AZ20" s="474" t="str">
        <f>+IF('(AS-400 Jembatan)'!AR20=0," ",'(AS-400 Jembatan)'!AR20+'(AS-400 Transfer)'!$BF20)</f>
        <v> </v>
      </c>
      <c r="BA20" s="474">
        <f>SUM(AV20:AV20)</f>
        <v>0</v>
      </c>
      <c r="BB20" s="474">
        <f>+GUM!Z26</f>
        <v>0</v>
      </c>
      <c r="BC20" s="474" t="e">
        <f>(BB20-BA20)/BD20</f>
        <v>#DIV/0!</v>
      </c>
      <c r="BD20" s="478">
        <f>+COUNT(AV20:AV20)</f>
        <v>0</v>
      </c>
      <c r="BE20" s="478" t="e">
        <f>+IF(BC20&lt;0,(ROUNDDOWN(BC20,0)),(ROUNDUP(BC20,0)))</f>
        <v>#DIV/0!</v>
      </c>
      <c r="BF20" s="488" t="e">
        <v>#DIV/0!</v>
      </c>
      <c r="BG20" s="482" t="str">
        <f>+IF('(AS-400 Jembatan)'!AW20=0," ",'(AS-400 Jembatan)'!AW20+'(AS-400 Transfer)'!$BQ20)</f>
        <v> </v>
      </c>
      <c r="BH20" s="474" t="str">
        <f>+IF('(AS-400 Jembatan)'!AX20=0," ",'(AS-400 Jembatan)'!AX20+'(AS-400 Transfer)'!$BQ20)</f>
        <v> </v>
      </c>
      <c r="BI20" s="483" t="str">
        <f>+IF('(AS-400 Jembatan)'!AY20=0," ",'(AS-400 Jembatan)'!AY20+'(AS-400 Transfer)'!$BQ20)</f>
        <v> </v>
      </c>
      <c r="BJ20" s="474" t="str">
        <f>+IF('(AS-400 Jembatan)'!AZ20=0," ",'(AS-400 Jembatan)'!AZ20+'(AS-400 Transfer)'!$BQ20)</f>
        <v> </v>
      </c>
      <c r="BK20" s="474" t="str">
        <f>+IF('(AS-400 Jembatan)'!BA20=0," ",'(AS-400 Jembatan)'!BA20+'(AS-400 Transfer)'!$BQ20)</f>
        <v> </v>
      </c>
      <c r="BL20" s="474">
        <f>SUM(BG20:BG20)</f>
        <v>0</v>
      </c>
      <c r="BM20" s="474">
        <f>+'(AS-400 Jembatan)'!BC20</f>
        <v/>
      </c>
      <c r="BN20" s="474" t="e">
        <f>(BM20-BL20)/BO20</f>
        <v>#DIV/0!</v>
      </c>
      <c r="BO20" s="478">
        <f>+COUNT(BG20:BG20)</f>
        <v>0</v>
      </c>
      <c r="BP20" s="478" t="e">
        <f>+IF(BN20&lt;0,(ROUNDDOWN(BN20,0)),(ROUNDUP(BN20,0)))</f>
        <v>#DIV/0!</v>
      </c>
      <c r="BQ20" s="488" t="e">
        <v>#DIV/0!</v>
      </c>
    </row>
    <row r="21" spans="1:142" customHeight="1" ht="15" hidden="true" s="473" customFormat="1">
      <c r="A21" s="1300"/>
      <c r="B21" s="892" t="str">
        <f>+GUM!C27</f>
        <v>82115-0EA70</v>
      </c>
      <c r="C21" s="496" t="str">
        <f>'(AS-400 Jembatan)'!C20</f>
        <v>H 0201</v>
      </c>
      <c r="D21" s="505" t="str">
        <f>+IF('(AS-400 Jembatan)'!D20=0," ",'(AS-400 Jembatan)'!D$14+'(AS-400 Transfer)'!$N21)</f>
        <v> </v>
      </c>
      <c r="E21" s="474" t="str">
        <f>+IF('(AS-400 Jembatan)'!E20=0," ",'(AS-400 Jembatan)'!E$14+'(AS-400 Transfer)'!$N21)</f>
        <v> </v>
      </c>
      <c r="F21" s="474" t="str">
        <f>+IF('(AS-400 Jembatan)'!F20=0," ",'(AS-400 Jembatan)'!F$14+'(AS-400 Transfer)'!$N21)</f>
        <v> </v>
      </c>
      <c r="G21" s="474" t="str">
        <f>+IF('(AS-400 Jembatan)'!G20=0," ",'(AS-400 Jembatan)'!G$14+'(AS-400 Transfer)'!$N21)</f>
        <v> </v>
      </c>
      <c r="H21" s="474" t="str">
        <f>+IF('(AS-400 Jembatan)'!H20=0," ",'(AS-400 Jembatan)'!H$14+'(AS-400 Transfer)'!$N21)</f>
        <v> </v>
      </c>
      <c r="I21" s="474">
        <f>SUM(D21:D21)</f>
        <v>0</v>
      </c>
      <c r="J21" s="475">
        <f>+'(AS-400 Jembatan)'!J20</f>
        <v/>
      </c>
      <c r="K21" s="475" t="e">
        <f>(J21-I21)/L21</f>
        <v>#DIV/0!</v>
      </c>
      <c r="L21" s="478">
        <f>+COUNT(D21:D21)</f>
        <v>0</v>
      </c>
      <c r="M21" s="478" t="e">
        <f>+IF(K21&lt;0,(ROUNDDOWN(K21,0)),(ROUNDUP(K21,0)))</f>
        <v>#DIV/0!</v>
      </c>
      <c r="N21" s="478">
        <v>0.0</v>
      </c>
      <c r="O21" s="482" t="str">
        <f>+IF('(AS-400 Jembatan)'!M21=0," ",'(AS-400 Jembatan)'!M21+'(AS-400 Transfer)'!$Y21)</f>
        <v> </v>
      </c>
      <c r="P21" s="474" t="str">
        <f>+IF('(AS-400 Jembatan)'!N21=0," ",'(AS-400 Jembatan)'!N21+'(AS-400 Transfer)'!$Y21)</f>
        <v> </v>
      </c>
      <c r="Q21" s="483" t="str">
        <f>+IF('(AS-400 Jembatan)'!O21=0," ",'(AS-400 Jembatan)'!O21+'(AS-400 Transfer)'!$Y21)</f>
        <v> </v>
      </c>
      <c r="R21" s="474" t="str">
        <f>+IF('(AS-400 Jembatan)'!P21=0," ",'(AS-400 Jembatan)'!P21+'(AS-400 Transfer)'!$Y21)</f>
        <v> </v>
      </c>
      <c r="S21" s="474" t="str">
        <f>+IF('(AS-400 Jembatan)'!Q21=0," ",'(AS-400 Jembatan)'!Q21+'(AS-400 Transfer)'!$Y21)</f>
        <v> </v>
      </c>
      <c r="T21" s="474">
        <f>SUM(O21:O21)</f>
        <v>0</v>
      </c>
      <c r="U21" s="474">
        <f>+'(AS-400 Jembatan)'!S21</f>
        <v/>
      </c>
      <c r="V21" s="474" t="e">
        <f>(U21-T21)/W21</f>
        <v>#DIV/0!</v>
      </c>
      <c r="W21" s="478">
        <f>+COUNT(O21:O21)</f>
        <v>0</v>
      </c>
      <c r="X21" s="478" t="e">
        <f>+IF(V21&lt;0,(ROUNDDOWN(V21,0)),(ROUNDUP(V21,0)))</f>
        <v>#DIV/0!</v>
      </c>
      <c r="Y21" s="488" t="e">
        <v>#DIV/0!</v>
      </c>
      <c r="Z21" s="482" t="str">
        <f>+IF('(AS-400 Jembatan)'!V21=0," ",'(AS-400 Jembatan)'!V21+'(AS-400 Transfer)'!$AJ21)</f>
        <v> </v>
      </c>
      <c r="AA21" s="494" t="str">
        <f>+IF('(AS-400 Jembatan)'!W21=0," ",'(AS-400 Jembatan)'!W21+'(AS-400 Transfer)'!$AJ21)</f>
        <v> </v>
      </c>
      <c r="AB21" s="483" t="str">
        <f>+IF('(AS-400 Jembatan)'!X21=0," ",'(AS-400 Jembatan)'!X21+'(AS-400 Transfer)'!$AJ21)</f>
        <v> </v>
      </c>
      <c r="AC21" s="474" t="str">
        <f>+IF('(AS-400 Jembatan)'!Y21=0," ",'(AS-400 Jembatan)'!Y21+'(AS-400 Transfer)'!$AJ21)</f>
        <v> </v>
      </c>
      <c r="AD21" s="474" t="str">
        <f>+IF('(AS-400 Jembatan)'!Z21=0," ",'(AS-400 Jembatan)'!Z21+'(AS-400 Transfer)'!$AJ21)</f>
        <v> </v>
      </c>
      <c r="AE21" s="474">
        <f>SUM(Z21:Z21)</f>
        <v>0</v>
      </c>
      <c r="AF21" s="474">
        <f>+'(AS-400 Jembatan)'!AB21</f>
        <v/>
      </c>
      <c r="AG21" s="474" t="e">
        <f>(AF21-AE21)/AH21</f>
        <v>#DIV/0!</v>
      </c>
      <c r="AH21" s="478">
        <f>+COUNT(Z21:Z21)</f>
        <v>0</v>
      </c>
      <c r="AI21" s="475" t="e">
        <f>+IF(AG21&lt;0,(ROUNDDOWN(AG21,0)),(ROUNDUP(AG21,0)))</f>
        <v>#DIV/0!</v>
      </c>
      <c r="AJ21" s="481" t="e">
        <v>#DIV/0!</v>
      </c>
      <c r="AK21" s="482" t="str">
        <f>+IF('(AS-400 Jembatan)'!AE21=0," ",'(AS-400 Jembatan)'!AE21+'(AS-400 Transfer)'!$AU21)</f>
        <v> </v>
      </c>
      <c r="AL21" s="474" t="str">
        <f>+IF('(AS-400 Jembatan)'!AF21=0," ",'(AS-400 Jembatan)'!AF21+'(AS-400 Transfer)'!$AU21)</f>
        <v> </v>
      </c>
      <c r="AM21" s="483" t="str">
        <f>+IF('(AS-400 Jembatan)'!AG21=0," ",'(AS-400 Jembatan)'!AG21+'(AS-400 Transfer)'!$AU21)</f>
        <v> </v>
      </c>
      <c r="AN21" s="474" t="str">
        <f>+IF('(AS-400 Jembatan)'!AH21=0," ",'(AS-400 Jembatan)'!AH21+'(AS-400 Transfer)'!$AU21)</f>
        <v> </v>
      </c>
      <c r="AO21" s="474" t="str">
        <f>+IF('(AS-400 Jembatan)'!AI21=0," ",'(AS-400 Jembatan)'!AI21+'(AS-400 Transfer)'!$AU21)</f>
        <v> </v>
      </c>
      <c r="AP21" s="474">
        <f>SUM(AK21:AK21)</f>
        <v>0</v>
      </c>
      <c r="AQ21" s="474">
        <f>+'(AS-400 Jembatan)'!AK21</f>
        <v/>
      </c>
      <c r="AR21" s="474" t="e">
        <f>(AQ21-AP21)/AS21</f>
        <v>#DIV/0!</v>
      </c>
      <c r="AS21" s="478">
        <f>+COUNT(AK21:AK21)</f>
        <v>0</v>
      </c>
      <c r="AT21" s="478" t="e">
        <f>+IF(AR21&lt;0,(ROUNDDOWN(AR21,0)),(ROUNDUP(AR21,0)))</f>
        <v>#DIV/0!</v>
      </c>
      <c r="AU21" s="478" t="e">
        <v>#DIV/0!</v>
      </c>
      <c r="AV21" s="482" t="str">
        <f>+IF('(AS-400 Jembatan)'!AN21=0," ",'(AS-400 Jembatan)'!AN21+'(AS-400 Transfer)'!$BF21)</f>
        <v> </v>
      </c>
      <c r="AW21" s="474" t="str">
        <f>+IF('(AS-400 Jembatan)'!AO21=0," ",'(AS-400 Jembatan)'!AO21+'(AS-400 Transfer)'!$BF21)</f>
        <v> </v>
      </c>
      <c r="AX21" s="483" t="str">
        <f>+IF('(AS-400 Jembatan)'!AP21=0," ",'(AS-400 Jembatan)'!AP21+'(AS-400 Transfer)'!$BF21)</f>
        <v> </v>
      </c>
      <c r="AY21" s="474" t="str">
        <f>+IF('(AS-400 Jembatan)'!AQ21=0," ",'(AS-400 Jembatan)'!AQ21+'(AS-400 Transfer)'!$BF21)</f>
        <v> </v>
      </c>
      <c r="AZ21" s="474" t="str">
        <f>+IF('(AS-400 Jembatan)'!AR21=0," ",'(AS-400 Jembatan)'!AR21+'(AS-400 Transfer)'!$BF21)</f>
        <v> </v>
      </c>
      <c r="BA21" s="474">
        <f>SUM(AV21:AV21)</f>
        <v>0</v>
      </c>
      <c r="BB21" s="474">
        <f>+GUM!Z27</f>
        <v>0</v>
      </c>
      <c r="BC21" s="474" t="e">
        <f>(BB21-BA21)/BD21</f>
        <v>#DIV/0!</v>
      </c>
      <c r="BD21" s="478">
        <f>+COUNT(AV21:AV21)</f>
        <v>0</v>
      </c>
      <c r="BE21" s="478" t="e">
        <f>+IF(BC21&lt;0,(ROUNDDOWN(BC21,0)),(ROUNDUP(BC21,0)))</f>
        <v>#DIV/0!</v>
      </c>
      <c r="BF21" s="488" t="e">
        <v>#DIV/0!</v>
      </c>
      <c r="BG21" s="482" t="str">
        <f>+IF('(AS-400 Jembatan)'!AW21=0," ",'(AS-400 Jembatan)'!AW21+'(AS-400 Transfer)'!$BQ21)</f>
        <v> </v>
      </c>
      <c r="BH21" s="474" t="str">
        <f>+IF('(AS-400 Jembatan)'!AX21=0," ",'(AS-400 Jembatan)'!AX21+'(AS-400 Transfer)'!$BQ21)</f>
        <v> </v>
      </c>
      <c r="BI21" s="483" t="str">
        <f>+IF('(AS-400 Jembatan)'!AY21=0," ",'(AS-400 Jembatan)'!AY21+'(AS-400 Transfer)'!$BQ21)</f>
        <v> </v>
      </c>
      <c r="BJ21" s="474" t="str">
        <f>+IF('(AS-400 Jembatan)'!AZ21=0," ",'(AS-400 Jembatan)'!AZ21+'(AS-400 Transfer)'!$BQ21)</f>
        <v> </v>
      </c>
      <c r="BK21" s="474" t="str">
        <f>+IF('(AS-400 Jembatan)'!BA21=0," ",'(AS-400 Jembatan)'!BA21+'(AS-400 Transfer)'!$BQ21)</f>
        <v> </v>
      </c>
      <c r="BL21" s="474">
        <f>SUM(BG21:BG21)</f>
        <v>0</v>
      </c>
      <c r="BM21" s="474">
        <f>+'(AS-400 Jembatan)'!BC21</f>
        <v/>
      </c>
      <c r="BN21" s="474" t="e">
        <f>(BM21-BL21)/BO21</f>
        <v>#DIV/0!</v>
      </c>
      <c r="BO21" s="478">
        <f>+COUNT(BG21:BG21)</f>
        <v>0</v>
      </c>
      <c r="BP21" s="478" t="e">
        <f>+IF(BN21&lt;0,(ROUNDDOWN(BN21,0)),(ROUNDUP(BN21,0)))</f>
        <v>#DIV/0!</v>
      </c>
      <c r="BQ21" s="488" t="e">
        <v>#DIV/0!</v>
      </c>
    </row>
    <row r="22" spans="1:142" customHeight="1" ht="15.75" hidden="true" s="473" customFormat="1">
      <c r="A22" s="1300"/>
      <c r="B22" s="893" t="str">
        <f>+GUM!C28</f>
        <v>82115-0EG40</v>
      </c>
      <c r="C22" s="726" t="str">
        <f>'(AS-400 Jembatan)'!C22</f>
        <v>H 0201</v>
      </c>
      <c r="D22" s="693" t="str">
        <f>+IF('(AS-400 Jembatan)'!D22=0," ",'(AS-400 Jembatan)'!D$14+'(AS-400 Transfer)'!$N22)</f>
        <v> </v>
      </c>
      <c r="E22" s="694" t="str">
        <f>+IF('(AS-400 Jembatan)'!E22=0," ",'(AS-400 Jembatan)'!E$14+'(AS-400 Transfer)'!$N22)</f>
        <v> </v>
      </c>
      <c r="F22" s="694" t="str">
        <f>+IF('(AS-400 Jembatan)'!F22=0," ",'(AS-400 Jembatan)'!F$14+'(AS-400 Transfer)'!$N22)</f>
        <v> </v>
      </c>
      <c r="G22" s="694" t="str">
        <f>+IF('(AS-400 Jembatan)'!G22=0," ",'(AS-400 Jembatan)'!G$14+'(AS-400 Transfer)'!$N22)</f>
        <v> </v>
      </c>
      <c r="H22" s="694" t="str">
        <f>+IF('(AS-400 Jembatan)'!H22=0," ",'(AS-400 Jembatan)'!H$14+'(AS-400 Transfer)'!$N22)</f>
        <v> </v>
      </c>
      <c r="I22" s="694">
        <f>SUM(D22:H22)</f>
        <v>0</v>
      </c>
      <c r="J22" s="695">
        <f>+'(AS-400 Jembatan)'!J22</f>
        <v/>
      </c>
      <c r="K22" s="695" t="e">
        <f>(J22-I22)/L22</f>
        <v>#DIV/0!</v>
      </c>
      <c r="L22" s="555">
        <f>+COUNT(D22:D22)</f>
        <v>0</v>
      </c>
      <c r="M22" s="555" t="e">
        <f>+IF(K22&lt;0,(ROUNDDOWN(K22,0)),(ROUNDUP(K22,0)))</f>
        <v>#DIV/0!</v>
      </c>
      <c r="N22" s="555">
        <v>0.0</v>
      </c>
      <c r="O22" s="696" t="str">
        <f>+IF('(AS-400 Jembatan)'!M22=0," ",'(AS-400 Jembatan)'!M22+'(AS-400 Transfer)'!$Y22)</f>
        <v> </v>
      </c>
      <c r="P22" s="694" t="str">
        <f>+IF('(AS-400 Jembatan)'!N22=0," ",'(AS-400 Jembatan)'!N22+'(AS-400 Transfer)'!$Y22)</f>
        <v> </v>
      </c>
      <c r="Q22" s="697" t="str">
        <f>+IF('(AS-400 Jembatan)'!O22=0," ",'(AS-400 Jembatan)'!O22+'(AS-400 Transfer)'!$Y22)</f>
        <v> </v>
      </c>
      <c r="R22" s="694" t="str">
        <f>+IF('(AS-400 Jembatan)'!P22=0," ",'(AS-400 Jembatan)'!P22+'(AS-400 Transfer)'!$Y22)</f>
        <v> </v>
      </c>
      <c r="S22" s="694" t="str">
        <f>+IF('(AS-400 Jembatan)'!Q22=0," ",'(AS-400 Jembatan)'!Q22+'(AS-400 Transfer)'!$Y22)</f>
        <v> </v>
      </c>
      <c r="T22" s="694">
        <f>SUM(O22:O22)</f>
        <v>0</v>
      </c>
      <c r="U22" s="694">
        <f>+'(AS-400 Jembatan)'!S22</f>
        <v/>
      </c>
      <c r="V22" s="694" t="e">
        <f>(U22-T22)/W22</f>
        <v>#DIV/0!</v>
      </c>
      <c r="W22" s="555">
        <f>+COUNT(O22:O22)</f>
        <v>0</v>
      </c>
      <c r="X22" s="555" t="e">
        <f>+IF(V22&lt;0,(ROUNDDOWN(V22,0)),(ROUNDUP(V22,0)))</f>
        <v>#DIV/0!</v>
      </c>
      <c r="Y22" s="698" t="e">
        <v>#DIV/0!</v>
      </c>
      <c r="Z22" s="696" t="str">
        <f>+IF('(AS-400 Jembatan)'!V22=0," ",'(AS-400 Jembatan)'!V22+'(AS-400 Transfer)'!$AJ22)</f>
        <v> </v>
      </c>
      <c r="AA22" s="700" t="str">
        <f>+IF('(AS-400 Jembatan)'!W22=0," ",'(AS-400 Jembatan)'!W22+'(AS-400 Transfer)'!$AJ22)</f>
        <v> </v>
      </c>
      <c r="AB22" s="697" t="str">
        <f>+IF('(AS-400 Jembatan)'!X22=0," ",'(AS-400 Jembatan)'!X22+'(AS-400 Transfer)'!$AJ22)</f>
        <v> </v>
      </c>
      <c r="AC22" s="694" t="str">
        <f>+IF('(AS-400 Jembatan)'!Y22=0," ",'(AS-400 Jembatan)'!Y22+'(AS-400 Transfer)'!$AJ22)</f>
        <v> </v>
      </c>
      <c r="AD22" s="694" t="str">
        <f>+IF('(AS-400 Jembatan)'!Z22=0," ",'(AS-400 Jembatan)'!Z22+'(AS-400 Transfer)'!$AJ22)</f>
        <v> </v>
      </c>
      <c r="AE22" s="694">
        <f>SUM(Z22:Z22)</f>
        <v>0</v>
      </c>
      <c r="AF22" s="694">
        <f>+'(AS-400 Jembatan)'!AB22</f>
        <v/>
      </c>
      <c r="AG22" s="694" t="e">
        <f>(AF22-AE22)/AH22</f>
        <v>#DIV/0!</v>
      </c>
      <c r="AH22" s="555">
        <f>+COUNT(Z22:Z22)</f>
        <v>0</v>
      </c>
      <c r="AI22" s="695" t="e">
        <f>+IF(AG22&lt;0,(ROUNDDOWN(AG22,0)),(ROUNDUP(AG22,0)))</f>
        <v>#DIV/0!</v>
      </c>
      <c r="AJ22" s="701" t="e">
        <v>#DIV/0!</v>
      </c>
      <c r="AK22" s="696" t="str">
        <f>+IF('(AS-400 Jembatan)'!AE22=0," ",'(AS-400 Jembatan)'!AE22+'(AS-400 Transfer)'!$AU22)</f>
        <v> </v>
      </c>
      <c r="AL22" s="694" t="str">
        <f>+IF('(AS-400 Jembatan)'!AF22=0," ",'(AS-400 Jembatan)'!AF22+'(AS-400 Transfer)'!$AU22)</f>
        <v> </v>
      </c>
      <c r="AM22" s="697" t="str">
        <f>+IF('(AS-400 Jembatan)'!AG22=0," ",'(AS-400 Jembatan)'!AG22+'(AS-400 Transfer)'!$AU22)</f>
        <v> </v>
      </c>
      <c r="AN22" s="694" t="str">
        <f>+IF('(AS-400 Jembatan)'!AH22=0," ",'(AS-400 Jembatan)'!AH22+'(AS-400 Transfer)'!$AU22)</f>
        <v> </v>
      </c>
      <c r="AO22" s="694" t="str">
        <f>+IF('(AS-400 Jembatan)'!AI22=0," ",'(AS-400 Jembatan)'!AI22+'(AS-400 Transfer)'!$AU22)</f>
        <v> </v>
      </c>
      <c r="AP22" s="694">
        <f>SUM(AK22:AK22)</f>
        <v>0</v>
      </c>
      <c r="AQ22" s="694">
        <f>+'(AS-400 Jembatan)'!AK22</f>
        <v/>
      </c>
      <c r="AR22" s="694" t="e">
        <f>(AQ22-AP22)/AS22</f>
        <v>#DIV/0!</v>
      </c>
      <c r="AS22" s="555">
        <f>+COUNT(AK22:AK22)</f>
        <v>0</v>
      </c>
      <c r="AT22" s="555" t="e">
        <f>+IF(AR22&lt;0,(ROUNDDOWN(AR22,0)),(ROUNDUP(AR22,0)))</f>
        <v>#DIV/0!</v>
      </c>
      <c r="AU22" s="555" t="e">
        <v>#DIV/0!</v>
      </c>
      <c r="AV22" s="696" t="str">
        <f>+IF('(AS-400 Jembatan)'!AN22=0," ",'(AS-400 Jembatan)'!AN22+'(AS-400 Transfer)'!$BF22)</f>
        <v> </v>
      </c>
      <c r="AW22" s="694" t="str">
        <f>+IF('(AS-400 Jembatan)'!AO22=0," ",'(AS-400 Jembatan)'!AO22+'(AS-400 Transfer)'!$BF22)</f>
        <v> </v>
      </c>
      <c r="AX22" s="697" t="str">
        <f>+IF('(AS-400 Jembatan)'!AP22=0," ",'(AS-400 Jembatan)'!AP22+'(AS-400 Transfer)'!$BF22)</f>
        <v> </v>
      </c>
      <c r="AY22" s="694" t="str">
        <f>+IF('(AS-400 Jembatan)'!AQ22=0," ",'(AS-400 Jembatan)'!AQ22+'(AS-400 Transfer)'!$BF22)</f>
        <v> </v>
      </c>
      <c r="AZ22" s="694" t="str">
        <f>+IF('(AS-400 Jembatan)'!AR22=0," ",'(AS-400 Jembatan)'!AR22+'(AS-400 Transfer)'!$BF22)</f>
        <v> </v>
      </c>
      <c r="BA22" s="694">
        <f>SUM(AV22:AV22)</f>
        <v>0</v>
      </c>
      <c r="BB22" s="694">
        <f>+GUM!Z28</f>
        <v>0</v>
      </c>
      <c r="BC22" s="694" t="e">
        <f>(BB22-BA22)/BD22</f>
        <v>#DIV/0!</v>
      </c>
      <c r="BD22" s="555">
        <f>+COUNT(AV22:AV22)</f>
        <v>0</v>
      </c>
      <c r="BE22" s="555" t="e">
        <f>+IF(BC22&lt;0,(ROUNDDOWN(BC22,0)),(ROUNDUP(BC22,0)))</f>
        <v>#DIV/0!</v>
      </c>
      <c r="BF22" s="698" t="e">
        <v>#DIV/0!</v>
      </c>
      <c r="BG22" s="696" t="str">
        <f>+IF('(AS-400 Jembatan)'!AW22=0," ",'(AS-400 Jembatan)'!AW22+'(AS-400 Transfer)'!$BQ22)</f>
        <v> </v>
      </c>
      <c r="BH22" s="694" t="str">
        <f>+IF('(AS-400 Jembatan)'!AX22=0," ",'(AS-400 Jembatan)'!AX22+'(AS-400 Transfer)'!$BQ22)</f>
        <v> </v>
      </c>
      <c r="BI22" s="697" t="str">
        <f>+IF('(AS-400 Jembatan)'!AY22=0," ",'(AS-400 Jembatan)'!AY22+'(AS-400 Transfer)'!$BQ22)</f>
        <v> </v>
      </c>
      <c r="BJ22" s="694" t="str">
        <f>+IF('(AS-400 Jembatan)'!AZ22=0," ",'(AS-400 Jembatan)'!AZ22+'(AS-400 Transfer)'!$BQ22)</f>
        <v> </v>
      </c>
      <c r="BK22" s="694" t="str">
        <f>+IF('(AS-400 Jembatan)'!BA22=0," ",'(AS-400 Jembatan)'!BA22+'(AS-400 Transfer)'!$BQ22)</f>
        <v> </v>
      </c>
      <c r="BL22" s="694">
        <f>SUM(BG22:BG22)</f>
        <v>0</v>
      </c>
      <c r="BM22" s="694">
        <f>+'(AS-400 Jembatan)'!BC22</f>
        <v/>
      </c>
      <c r="BN22" s="694" t="e">
        <f>(BM22-BL22)/BO22</f>
        <v>#DIV/0!</v>
      </c>
      <c r="BO22" s="555">
        <f>+COUNT(BG22:BG22)</f>
        <v>0</v>
      </c>
      <c r="BP22" s="555" t="e">
        <f>+IF(BN22&lt;0,(ROUNDDOWN(BN22,0)),(ROUNDUP(BN22,0)))</f>
        <v>#DIV/0!</v>
      </c>
      <c r="BQ22" s="698" t="e">
        <v>#DIV/0!</v>
      </c>
    </row>
    <row r="23" spans="1:142" customHeight="1" ht="15" hidden="true" s="473" customFormat="1">
      <c r="A23" s="1300"/>
      <c r="B23" s="894" t="str">
        <f>+GUM!C29</f>
        <v>82115-0E470 F</v>
      </c>
      <c r="C23" s="911" t="str">
        <f>'(AS-400 Jembatan)'!C23</f>
        <v>G 0001</v>
      </c>
      <c r="D23" s="557" t="s">
        <v>343</v>
      </c>
      <c r="E23" s="511" t="s">
        <v>343</v>
      </c>
      <c r="F23" s="511" t="s">
        <v>343</v>
      </c>
      <c r="G23" s="511" t="s">
        <v>343</v>
      </c>
      <c r="H23" s="511" t="s">
        <v>343</v>
      </c>
      <c r="I23" s="511">
        <f>SUM(D23:D23)</f>
        <v>0</v>
      </c>
      <c r="J23" s="558">
        <f>+'(AS-400 Jembatan)'!J23</f>
        <v>0</v>
      </c>
      <c r="K23" s="734" t="e">
        <f>(J23-I23)/L23</f>
        <v>#DIV/0!</v>
      </c>
      <c r="L23" s="554"/>
      <c r="M23" s="554"/>
      <c r="N23" s="554"/>
      <c r="O23" s="482" t="str">
        <f>+IF('(AS-400 Jembatan)'!M23=0," ",'(AS-400 Jembatan)'!M23+'(AS-400 Transfer)'!$Y23)</f>
        <v> </v>
      </c>
      <c r="P23" s="474" t="str">
        <f>+IF('(AS-400 Jembatan)'!N23=0," ",'(AS-400 Jembatan)'!N23+'(AS-400 Transfer)'!$Y23)</f>
        <v> </v>
      </c>
      <c r="Q23" s="483" t="str">
        <f>+IF('(AS-400 Jembatan)'!O23=0," ",'(AS-400 Jembatan)'!O23+'(AS-400 Transfer)'!$Y23)</f>
        <v> </v>
      </c>
      <c r="R23" s="474" t="str">
        <f>+IF('(AS-400 Jembatan)'!P23=0," ",'(AS-400 Jembatan)'!P23+'(AS-400 Transfer)'!$Y23)</f>
        <v> </v>
      </c>
      <c r="S23" s="474" t="str">
        <f>+IF('(AS-400 Jembatan)'!Q23=0," ",'(AS-400 Jembatan)'!Q23+'(AS-400 Transfer)'!$Y23)</f>
        <v> </v>
      </c>
      <c r="T23" s="511">
        <f>SUM(O23:O23)</f>
        <v>0</v>
      </c>
      <c r="U23" s="511">
        <f>+'(AS-400 Jembatan)'!S23</f>
        <v/>
      </c>
      <c r="V23" s="747" t="e">
        <f>(U23-T23)/W23</f>
        <v>#DIV/0!</v>
      </c>
      <c r="W23" s="554">
        <f>+COUNT(O23:O23)</f>
        <v>0</v>
      </c>
      <c r="X23" s="554" t="e">
        <f>+IF(V23&lt;0,(ROUNDDOWN(V23,0)),(ROUNDUP(V23,0)))</f>
        <v>#DIV/0!</v>
      </c>
      <c r="Y23" s="556" t="e">
        <v>#DIV/0!</v>
      </c>
      <c r="Z23" s="559" t="str">
        <f>+IF('(AS-400 Jembatan)'!V23=0," ",'(AS-400 Jembatan)'!V23+'(AS-400 Transfer)'!$AJ23)</f>
        <v> </v>
      </c>
      <c r="AA23" s="699" t="str">
        <f>+IF('(AS-400 Jembatan)'!W23=0," ",'(AS-400 Jembatan)'!W23+'(AS-400 Transfer)'!$AJ23)</f>
        <v> </v>
      </c>
      <c r="AB23" s="560" t="str">
        <f>+IF('(AS-400 Jembatan)'!X23=0," ",'(AS-400 Jembatan)'!X23+'(AS-400 Transfer)'!$AJ23)</f>
        <v> </v>
      </c>
      <c r="AC23" s="511" t="str">
        <f>+IF('(AS-400 Jembatan)'!Y23=0," ",'(AS-400 Jembatan)'!Y23+'(AS-400 Transfer)'!$AJ23)</f>
        <v> </v>
      </c>
      <c r="AD23" s="511" t="str">
        <f>+IF('(AS-400 Jembatan)'!Z23=0," ",'(AS-400 Jembatan)'!Z23+'(AS-400 Transfer)'!$AJ23)</f>
        <v> </v>
      </c>
      <c r="AE23" s="511">
        <f>SUM(Z23:Z23)</f>
        <v>0</v>
      </c>
      <c r="AF23" s="511">
        <f>+'(AS-400 Jembatan)'!AB23</f>
        <v/>
      </c>
      <c r="AG23" s="511" t="e">
        <f>(AF23-AE23)/AH23</f>
        <v>#DIV/0!</v>
      </c>
      <c r="AH23" s="554">
        <f>+COUNT(Z23:Z23)</f>
        <v>0</v>
      </c>
      <c r="AI23" s="554" t="e">
        <f>+IF(AG23&lt;0,(ROUNDDOWN(AG23,0)),(ROUNDUP(AG23,0)))</f>
        <v>#DIV/0!</v>
      </c>
      <c r="AJ23" s="741" t="e">
        <v>#DIV/0!</v>
      </c>
      <c r="AK23" s="559" t="str">
        <f>+IF('(AS-400 Jembatan)'!AE23=0," ",'(AS-400 Jembatan)'!AE23+'(AS-400 Transfer)'!$AU23)</f>
        <v> </v>
      </c>
      <c r="AL23" s="511" t="str">
        <f>+IF('(AS-400 Jembatan)'!AF23=0," ",'(AS-400 Jembatan)'!AF23+'(AS-400 Transfer)'!$AU23)</f>
        <v> </v>
      </c>
      <c r="AM23" s="560" t="str">
        <f>+IF('(AS-400 Jembatan)'!AG23=0," ",'(AS-400 Jembatan)'!AG23+'(AS-400 Transfer)'!$AU23)</f>
        <v> </v>
      </c>
      <c r="AN23" s="511" t="str">
        <f>+IF('(AS-400 Jembatan)'!AH23=0," ",'(AS-400 Jembatan)'!AH23+'(AS-400 Transfer)'!$AU23)</f>
        <v> </v>
      </c>
      <c r="AO23" s="511" t="str">
        <f>+IF('(AS-400 Jembatan)'!AI23=0," ",'(AS-400 Jembatan)'!AI23+'(AS-400 Transfer)'!$AU23)</f>
        <v> </v>
      </c>
      <c r="AP23" s="511">
        <f>SUM(AK23:AK23)</f>
        <v>0</v>
      </c>
      <c r="AQ23" s="511">
        <f>+'(AS-400 Jembatan)'!AK23</f>
        <v/>
      </c>
      <c r="AR23" s="511" t="e">
        <f>(AQ23-AP23)/AS23</f>
        <v>#DIV/0!</v>
      </c>
      <c r="AS23" s="554">
        <f>+COUNT(AK23:AK23)</f>
        <v>0</v>
      </c>
      <c r="AT23" s="554" t="e">
        <f>+IF(AR23&lt;0,(ROUNDDOWN(AR23,0)),(ROUNDUP(AR23,0)))</f>
        <v>#DIV/0!</v>
      </c>
      <c r="AU23" s="554" t="e">
        <v>#DIV/0!</v>
      </c>
      <c r="AV23" s="559" t="str">
        <f>+IF('(AS-400 Jembatan)'!AN23=0," ",'(AS-400 Jembatan)'!AN23+'(AS-400 Transfer)'!$BF23)</f>
        <v> </v>
      </c>
      <c r="AW23" s="511" t="str">
        <f>+IF('(AS-400 Jembatan)'!AO23=0," ",'(AS-400 Jembatan)'!AO23+'(AS-400 Transfer)'!$BF23)</f>
        <v> </v>
      </c>
      <c r="AX23" s="560" t="str">
        <f>+IF('(AS-400 Jembatan)'!AP23=0," ",'(AS-400 Jembatan)'!AP23+'(AS-400 Transfer)'!$BF23)</f>
        <v> </v>
      </c>
      <c r="AY23" s="511" t="str">
        <f>+IF('(AS-400 Jembatan)'!AQ23=0," ",'(AS-400 Jembatan)'!AQ23+'(AS-400 Transfer)'!$BF23)</f>
        <v> </v>
      </c>
      <c r="AZ23" s="511" t="str">
        <f>+IF('(AS-400 Jembatan)'!AR23=0," ",'(AS-400 Jembatan)'!AR23+'(AS-400 Transfer)'!$BF23)</f>
        <v> </v>
      </c>
      <c r="BA23" s="511">
        <f>SUM(AV23:AV23)</f>
        <v>0</v>
      </c>
      <c r="BB23" s="511">
        <f>+GUM!Z29</f>
        <v>0</v>
      </c>
      <c r="BC23" s="511" t="e">
        <f>(BB23-BA23)/BD23</f>
        <v>#DIV/0!</v>
      </c>
      <c r="BD23" s="554">
        <f>+COUNT(AV23:AV23)</f>
        <v>0</v>
      </c>
      <c r="BE23" s="554" t="e">
        <f>+IF(BC23&lt;0,(ROUNDDOWN(BC23,0)),(ROUNDUP(BC23,0)))</f>
        <v>#DIV/0!</v>
      </c>
      <c r="BF23" s="556" t="e">
        <v>#DIV/0!</v>
      </c>
      <c r="BG23" s="559" t="str">
        <f>+IF('(AS-400 Jembatan)'!AW23=0," ",'(AS-400 Jembatan)'!AW23+'(AS-400 Transfer)'!$BQ23)</f>
        <v> </v>
      </c>
      <c r="BH23" s="511" t="str">
        <f>+IF('(AS-400 Jembatan)'!AX23=0," ",'(AS-400 Jembatan)'!AX23+'(AS-400 Transfer)'!$BQ23)</f>
        <v> </v>
      </c>
      <c r="BI23" s="560" t="str">
        <f>+IF('(AS-400 Jembatan)'!AY23=0," ",'(AS-400 Jembatan)'!AY23+'(AS-400 Transfer)'!$BQ23)</f>
        <v> </v>
      </c>
      <c r="BJ23" s="511" t="str">
        <f>+IF('(AS-400 Jembatan)'!AZ23=0," ",'(AS-400 Jembatan)'!AZ23+'(AS-400 Transfer)'!$BQ23)</f>
        <v> </v>
      </c>
      <c r="BK23" s="511" t="str">
        <f>+IF('(AS-400 Jembatan)'!BA23=0," ",'(AS-400 Jembatan)'!BA23+'(AS-400 Transfer)'!$BQ23)</f>
        <v> </v>
      </c>
      <c r="BL23" s="511">
        <f>SUM(BG23:BG23)</f>
        <v>0</v>
      </c>
      <c r="BM23" s="511">
        <f>+'(AS-400 Jembatan)'!BC23</f>
        <v/>
      </c>
      <c r="BN23" s="511" t="e">
        <f>(BM23-BL23)/BO23</f>
        <v>#DIV/0!</v>
      </c>
      <c r="BO23" s="554">
        <f>+COUNT(BG23:BG23)</f>
        <v>0</v>
      </c>
      <c r="BP23" s="554" t="e">
        <f>+IF(BN23&lt;0,(ROUNDDOWN(BN23,0)),(ROUNDUP(BN23,0)))</f>
        <v>#DIV/0!</v>
      </c>
      <c r="BQ23" s="556" t="e">
        <v>#DIV/0!</v>
      </c>
    </row>
    <row r="24" spans="1:142" customHeight="1" ht="15" s="473" customFormat="1">
      <c r="A24" s="1300"/>
      <c r="B24" s="933" t="str">
        <f>+GUM!C30</f>
        <v>82115-0E480 K</v>
      </c>
      <c r="C24" s="725" t="str">
        <f>'(AS-400 Jembatan)'!C24</f>
        <v>K 0301</v>
      </c>
      <c r="D24" s="550" t="e">
        <f>+IF('(AS-400 Jembatan)'!D24=0," ",'(AS-400 Jembatan)'!D$9+'(AS-400 Transfer)'!$N24)</f>
        <v>#REF!</v>
      </c>
      <c r="E24" s="476" t="e">
        <f>+IF('(AS-400 Jembatan)'!E24=0," ",'(AS-400 Jembatan)'!E$9+'(AS-400 Transfer)'!$N24)</f>
        <v>#REF!</v>
      </c>
      <c r="F24" s="476" t="e">
        <f>+IF('(AS-400 Jembatan)'!F24=0," ",'(AS-400 Jembatan)'!F$9+'(AS-400 Transfer)'!$N24)</f>
        <v>#REF!</v>
      </c>
      <c r="G24" s="476" t="e">
        <f>+IF('(AS-400 Jembatan)'!G24=0," ",'(AS-400 Jembatan)'!G$9+'(AS-400 Transfer)'!$N24)</f>
        <v>#REF!</v>
      </c>
      <c r="H24" s="476" t="str">
        <f>+IF('(AS-400 Jembatan)'!H24=0," ",'(AS-400 Jembatan)'!H$9+'(AS-400 Transfer)'!$N24)</f>
        <v> </v>
      </c>
      <c r="I24" s="476" t="e">
        <f>SUM(D24:D24)</f>
        <v>#REF!</v>
      </c>
      <c r="J24" s="477" t="e">
        <f>+'(AS-400 Jembatan)'!J24</f>
        <v>#REF!</v>
      </c>
      <c r="K24" s="477" t="e">
        <f>(J24-I24)/L24</f>
        <v>#REF!</v>
      </c>
      <c r="L24" s="479">
        <f>+COUNT(D24:H24)</f>
        <v>0</v>
      </c>
      <c r="M24" s="479" t="e">
        <f>+IF(K24&lt;0,(ROUNDDOWN(K24,0)),(ROUNDUP(K24,0)))</f>
        <v>#REF!</v>
      </c>
      <c r="N24" s="479">
        <v>0.0</v>
      </c>
      <c r="O24" s="482" t="e">
        <f>+IF('(AS-400 Jembatan)'!M24=0," ",'(AS-400 Jembatan)'!M24+'(AS-400 Transfer)'!$Y24)</f>
        <v>#REF!</v>
      </c>
      <c r="P24" s="474" t="e">
        <f>+IF('(AS-400 Jembatan)'!N24=0," ",'(AS-400 Jembatan)'!N24+'(AS-400 Transfer)'!$Y24)</f>
        <v>#REF!</v>
      </c>
      <c r="Q24" s="483" t="e">
        <f>+IF('(AS-400 Jembatan)'!O24=0," ",'(AS-400 Jembatan)'!O24+'(AS-400 Transfer)'!$Y24)</f>
        <v>#REF!</v>
      </c>
      <c r="R24" s="474" t="e">
        <f>+IF('(AS-400 Jembatan)'!P24=0," ",'(AS-400 Jembatan)'!P24+'(AS-400 Transfer)'!$Y24)</f>
        <v>#REF!</v>
      </c>
      <c r="S24" s="474" t="e">
        <f>+IF('(AS-400 Jembatan)'!Q24=0," ",'(AS-400 Jembatan)'!Q24+'(AS-400 Transfer)'!$Y24)</f>
        <v>#REF!</v>
      </c>
      <c r="T24" s="476" t="e">
        <f>SUM(O24:O24)</f>
        <v>#REF!</v>
      </c>
      <c r="U24" s="476" t="e">
        <f>+'(AS-400 Jembatan)'!S24</f>
        <v>#REF!</v>
      </c>
      <c r="V24" s="476" t="e">
        <f>(U24-T24)/W24</f>
        <v>#REF!</v>
      </c>
      <c r="W24" s="479">
        <f>+COUNT(O24:O24)</f>
        <v>0</v>
      </c>
      <c r="X24" s="479" t="e">
        <f>+IF(V24&lt;0,(ROUNDDOWN(V24,0)),(ROUNDUP(V24,0)))</f>
        <v>#REF!</v>
      </c>
      <c r="Y24" s="480">
        <v>-1</v>
      </c>
      <c r="Z24" s="484" t="e">
        <f>+IF('(AS-400 Jembatan)'!V24=0," ",'(AS-400 Jembatan)'!V24+'(AS-400 Transfer)'!$AJ24)</f>
        <v>#REF!</v>
      </c>
      <c r="AA24" s="500" t="e">
        <f>+IF('(AS-400 Jembatan)'!W24=0," ",'(AS-400 Jembatan)'!W24+'(AS-400 Transfer)'!$AJ24)</f>
        <v>#REF!</v>
      </c>
      <c r="AB24" s="504" t="e">
        <f>+IF('(AS-400 Jembatan)'!X24=0," ",'(AS-400 Jembatan)'!X24+'(AS-400 Transfer)'!$AJ24)</f>
        <v>#REF!</v>
      </c>
      <c r="AC24" s="476" t="e">
        <f>+IF('(AS-400 Jembatan)'!Y24=0," ",'(AS-400 Jembatan)'!Y24+'(AS-400 Transfer)'!$AJ24)</f>
        <v>#REF!</v>
      </c>
      <c r="AD24" s="476" t="str">
        <f>+IF('(AS-400 Jembatan)'!Z24=0," ",'(AS-400 Jembatan)'!Z24+'(AS-400 Transfer)'!$AJ24)</f>
        <v> </v>
      </c>
      <c r="AE24" s="476" t="e">
        <f>SUM(Z24:Z24)</f>
        <v>#REF!</v>
      </c>
      <c r="AF24" s="476" t="e">
        <f>+'(AS-400 Jembatan)'!AB24</f>
        <v>#REF!</v>
      </c>
      <c r="AG24" s="476" t="e">
        <f>(AF24-AE24)/AH24</f>
        <v>#REF!</v>
      </c>
      <c r="AH24" s="479">
        <f>+COUNT(Z24:Z24)</f>
        <v>0</v>
      </c>
      <c r="AI24" s="477" t="e">
        <f>+IF(AG24&lt;0,(ROUNDDOWN(AG24,0)),(ROUNDUP(AG24,0)))</f>
        <v>#REF!</v>
      </c>
      <c r="AJ24" s="487">
        <v>0.0</v>
      </c>
      <c r="AK24" s="484" t="e">
        <f>+IF('(AS-400 Jembatan)'!AE24=0," ",'(AS-400 Jembatan)'!AE24+'(AS-400 Transfer)'!$AU24)</f>
        <v>#REF!</v>
      </c>
      <c r="AL24" s="476" t="e">
        <f>+IF('(AS-400 Jembatan)'!AF24=0," ",'(AS-400 Jembatan)'!AF24+'(AS-400 Transfer)'!$AU24)</f>
        <v>#REF!</v>
      </c>
      <c r="AM24" s="504" t="e">
        <f>+IF('(AS-400 Jembatan)'!AG24=0," ",'(AS-400 Jembatan)'!AG24+'(AS-400 Transfer)'!$AU24)</f>
        <v>#REF!</v>
      </c>
      <c r="AN24" s="476" t="e">
        <f>+IF('(AS-400 Jembatan)'!AH24=0," ",'(AS-400 Jembatan)'!AH24+'(AS-400 Transfer)'!$AU24)</f>
        <v>#REF!</v>
      </c>
      <c r="AO24" s="476" t="str">
        <f>+IF('(AS-400 Jembatan)'!AI24=0," ",'(AS-400 Jembatan)'!AI24+'(AS-400 Transfer)'!$AU24)</f>
        <v> </v>
      </c>
      <c r="AP24" s="476" t="e">
        <f>SUM(AK24:AK24)</f>
        <v>#REF!</v>
      </c>
      <c r="AQ24" s="476" t="e">
        <f>+'(AS-400 Jembatan)'!AK24</f>
        <v>#REF!</v>
      </c>
      <c r="AR24" s="476" t="e">
        <f>(AQ24-AP24)/AS24</f>
        <v>#REF!</v>
      </c>
      <c r="AS24" s="479">
        <f>+COUNT(AK24:AK24)</f>
        <v>0</v>
      </c>
      <c r="AT24" s="479" t="e">
        <f>+IF(AR24&lt;0,(ROUNDDOWN(AR24,0)),(ROUNDUP(AR24,0)))</f>
        <v>#REF!</v>
      </c>
      <c r="AU24" s="479">
        <v>0.0</v>
      </c>
      <c r="AV24" s="484" t="e">
        <f>+IF('(AS-400 Jembatan)'!AN24=0," ",'(AS-400 Jembatan)'!AN24+'(AS-400 Transfer)'!$BF24)</f>
        <v>#REF!</v>
      </c>
      <c r="AW24" s="476" t="e">
        <f>+IF('(AS-400 Jembatan)'!AO24=0," ",'(AS-400 Jembatan)'!AO24+'(AS-400 Transfer)'!$BF24)</f>
        <v>#REF!</v>
      </c>
      <c r="AX24" s="504" t="e">
        <f>+IF('(AS-400 Jembatan)'!AP24=0," ",'(AS-400 Jembatan)'!AP24+'(AS-400 Transfer)'!$BF24)</f>
        <v>#REF!</v>
      </c>
      <c r="AY24" s="476" t="e">
        <f>+IF('(AS-400 Jembatan)'!AQ24=0," ",'(AS-400 Jembatan)'!AQ24+'(AS-400 Transfer)'!$BF24)</f>
        <v>#REF!</v>
      </c>
      <c r="AZ24" s="476" t="e">
        <f>+IF('(AS-400 Jembatan)'!AR24=0," ",'(AS-400 Jembatan)'!AR24+'(AS-400 Transfer)'!$BF24)</f>
        <v>#REF!</v>
      </c>
      <c r="BA24" s="476" t="e">
        <f>SUM(AV24:AV24)</f>
        <v>#REF!</v>
      </c>
      <c r="BB24" s="476" t="e">
        <f>+GUM!Z30</f>
        <v>#REF!</v>
      </c>
      <c r="BC24" s="476" t="e">
        <f>(BB24-BA24)/BD24</f>
        <v>#REF!</v>
      </c>
      <c r="BD24" s="479">
        <f>+COUNT(AV24:AV24)</f>
        <v>0</v>
      </c>
      <c r="BE24" s="479" t="e">
        <f>+IF(BC24&lt;0,(ROUNDDOWN(BC24,0)),(ROUNDUP(BC24,0)))</f>
        <v>#REF!</v>
      </c>
      <c r="BF24" s="480">
        <v>0.0</v>
      </c>
      <c r="BG24" s="484" t="e">
        <f>+IF('(AS-400 Jembatan)'!AW24=0," ",'(AS-400 Jembatan)'!AW24+'(AS-400 Transfer)'!$BQ24)</f>
        <v>#REF!</v>
      </c>
      <c r="BH24" s="476" t="e">
        <f>+IF('(AS-400 Jembatan)'!AX24=0," ",'(AS-400 Jembatan)'!AX24+'(AS-400 Transfer)'!$BQ24)</f>
        <v>#REF!</v>
      </c>
      <c r="BI24" s="504" t="e">
        <f>+IF('(AS-400 Jembatan)'!AY24=0," ",'(AS-400 Jembatan)'!AY24+'(AS-400 Transfer)'!$BQ24)</f>
        <v>#REF!</v>
      </c>
      <c r="BJ24" s="476" t="e">
        <f>+IF('(AS-400 Jembatan)'!AZ24=0," ",'(AS-400 Jembatan)'!AZ24+'(AS-400 Transfer)'!$BQ24)</f>
        <v>#REF!</v>
      </c>
      <c r="BK24" s="476" t="str">
        <f>+IF('(AS-400 Jembatan)'!BA24=0," ",'(AS-400 Jembatan)'!BA24+'(AS-400 Transfer)'!$BQ24)</f>
        <v> </v>
      </c>
      <c r="BL24" s="476" t="e">
        <f>SUM(BG24:BG24)</f>
        <v>#REF!</v>
      </c>
      <c r="BM24" s="476" t="e">
        <f>+'(AS-400 Jembatan)'!BC24</f>
        <v>#REF!</v>
      </c>
      <c r="BN24" s="476" t="e">
        <f>(BM24-BL24)/BO24</f>
        <v>#REF!</v>
      </c>
      <c r="BO24" s="479">
        <f>+COUNT(BG24:BG24)</f>
        <v>0</v>
      </c>
      <c r="BP24" s="479" t="e">
        <f>+IF(BN24&lt;0,(ROUNDDOWN(BN24,0)),(ROUNDUP(BN24,0)))</f>
        <v>#REF!</v>
      </c>
      <c r="BQ24" s="480">
        <v>-50</v>
      </c>
    </row>
    <row r="25" spans="1:142" customHeight="1" ht="15" s="473" customFormat="1">
      <c r="A25" s="1300"/>
      <c r="B25" s="931" t="str">
        <f>+GUM!C31</f>
        <v>82115-0E490 J</v>
      </c>
      <c r="C25" s="496" t="str">
        <f>'(AS-400 Jembatan)'!C25</f>
        <v>J 1101</v>
      </c>
      <c r="D25" s="505" t="e">
        <f>+IF('(AS-400 Jembatan)'!D25=0," ",'(AS-400 Jembatan)'!D$10+'(AS-400 Transfer)'!$N25)</f>
        <v>#REF!</v>
      </c>
      <c r="E25" s="474" t="e">
        <f>+IF('(AS-400 Jembatan)'!E25=0," ",'(AS-400 Jembatan)'!E$10+'(AS-400 Transfer)'!$N25)</f>
        <v>#REF!</v>
      </c>
      <c r="F25" s="474" t="e">
        <f>+IF('(AS-400 Jembatan)'!F25=0," ",'(AS-400 Jembatan)'!F$10+'(AS-400 Transfer)'!$N25)</f>
        <v>#REF!</v>
      </c>
      <c r="G25" s="474" t="e">
        <f>+IF('(AS-400 Jembatan)'!G25=0," ",'(AS-400 Jembatan)'!G$10+'(AS-400 Transfer)'!$N25)</f>
        <v>#REF!</v>
      </c>
      <c r="H25" s="474" t="str">
        <f>+IF('(AS-400 Jembatan)'!H25=0," ",'(AS-400 Jembatan)'!H$9+'(AS-400 Transfer)'!$N25)</f>
        <v> </v>
      </c>
      <c r="I25" s="474" t="e">
        <f>SUM(D25:D25)</f>
        <v>#REF!</v>
      </c>
      <c r="J25" s="475" t="e">
        <f>+'(AS-400 Jembatan)'!J25</f>
        <v>#REF!</v>
      </c>
      <c r="K25" s="475" t="e">
        <f>(J25-I25)/L25</f>
        <v>#REF!</v>
      </c>
      <c r="L25" s="478">
        <f>+COUNT(D25:H25)</f>
        <v>0</v>
      </c>
      <c r="M25" s="478" t="e">
        <f>+IF(K25&lt;0,(ROUNDDOWN(K25,0)),(ROUNDUP(K25,0)))</f>
        <v>#REF!</v>
      </c>
      <c r="N25" s="478" t="e">
        <v>#DIV/0!</v>
      </c>
      <c r="O25" s="482" t="e">
        <f>+IF('(AS-400 Jembatan)'!M25=0," ",'(AS-400 Jembatan)'!M25+'(AS-400 Transfer)'!$Y25)</f>
        <v>#REF!</v>
      </c>
      <c r="P25" s="474" t="e">
        <f>+IF('(AS-400 Jembatan)'!N25=0," ",'(AS-400 Jembatan)'!N25+'(AS-400 Transfer)'!$Y25)</f>
        <v>#REF!</v>
      </c>
      <c r="Q25" s="483" t="e">
        <f>+IF('(AS-400 Jembatan)'!O25=0," ",'(AS-400 Jembatan)'!O25+'(AS-400 Transfer)'!$Y25)</f>
        <v>#REF!</v>
      </c>
      <c r="R25" s="474" t="e">
        <f>+IF('(AS-400 Jembatan)'!P25=0," ",'(AS-400 Jembatan)'!P25+'(AS-400 Transfer)'!$Y25)</f>
        <v>#REF!</v>
      </c>
      <c r="S25" s="474" t="e">
        <f>+IF('(AS-400 Jembatan)'!Q25=0," ",'(AS-400 Jembatan)'!Q25+'(AS-400 Transfer)'!$Y25)</f>
        <v>#REF!</v>
      </c>
      <c r="T25" s="474" t="e">
        <f>SUM(O25:O25)</f>
        <v>#REF!</v>
      </c>
      <c r="U25" s="474" t="e">
        <f>+'(AS-400 Jembatan)'!S25</f>
        <v>#REF!</v>
      </c>
      <c r="V25" s="474" t="e">
        <f>(U25-T25)/W25</f>
        <v>#REF!</v>
      </c>
      <c r="W25" s="478">
        <f>+COUNT(O25:O25)</f>
        <v>0</v>
      </c>
      <c r="X25" s="478" t="e">
        <f>+IF(V25&lt;0,(ROUNDDOWN(V25,0)),(ROUNDUP(V25,0)))</f>
        <v>#REF!</v>
      </c>
      <c r="Y25" s="488" t="e">
        <v>#DIV/0!</v>
      </c>
      <c r="Z25" s="482" t="e">
        <f>+IF('(AS-400 Jembatan)'!V25=0," ",'(AS-400 Jembatan)'!V25+'(AS-400 Transfer)'!$AJ25)</f>
        <v>#REF!</v>
      </c>
      <c r="AA25" s="494" t="e">
        <f>+IF('(AS-400 Jembatan)'!W25=0," ",'(AS-400 Jembatan)'!W25+'(AS-400 Transfer)'!$AJ25)</f>
        <v>#REF!</v>
      </c>
      <c r="AB25" s="483" t="e">
        <f>+IF('(AS-400 Jembatan)'!X25=0," ",'(AS-400 Jembatan)'!X25+'(AS-400 Transfer)'!$AJ25)</f>
        <v>#REF!</v>
      </c>
      <c r="AC25" s="474" t="e">
        <f>+IF('(AS-400 Jembatan)'!Y25=0," ",'(AS-400 Jembatan)'!Y25+'(AS-400 Transfer)'!$AJ25)</f>
        <v>#REF!</v>
      </c>
      <c r="AD25" s="474" t="str">
        <f>+IF('(AS-400 Jembatan)'!Z25=0," ",'(AS-400 Jembatan)'!Z25+'(AS-400 Transfer)'!$AJ25)</f>
        <v> </v>
      </c>
      <c r="AE25" s="474" t="e">
        <f>SUM(Z25:Z25)</f>
        <v>#REF!</v>
      </c>
      <c r="AF25" s="474" t="e">
        <f>+'(AS-400 Jembatan)'!AB25</f>
        <v>#REF!</v>
      </c>
      <c r="AG25" s="474" t="e">
        <f>(AF25-AE25)/AH25</f>
        <v>#REF!</v>
      </c>
      <c r="AH25" s="478">
        <f>+COUNT(Z25:Z25)</f>
        <v>0</v>
      </c>
      <c r="AI25" s="475" t="e">
        <f>+IF(AG25&lt;0,(ROUNDDOWN(AG25,0)),(ROUNDUP(AG25,0)))</f>
        <v>#REF!</v>
      </c>
      <c r="AJ25" s="481" t="e">
        <v>#DIV/0!</v>
      </c>
      <c r="AK25" s="482" t="e">
        <f>+IF('(AS-400 Jembatan)'!AE25=0," ",'(AS-400 Jembatan)'!AE25+'(AS-400 Transfer)'!$AU25)</f>
        <v>#REF!</v>
      </c>
      <c r="AL25" s="474" t="e">
        <f>+IF('(AS-400 Jembatan)'!AF25=0," ",'(AS-400 Jembatan)'!AF25+'(AS-400 Transfer)'!$AU25)</f>
        <v>#REF!</v>
      </c>
      <c r="AM25" s="483" t="e">
        <f>+IF('(AS-400 Jembatan)'!AG25=0," ",'(AS-400 Jembatan)'!AG25+'(AS-400 Transfer)'!$AU25)</f>
        <v>#REF!</v>
      </c>
      <c r="AN25" s="474" t="e">
        <f>+IF('(AS-400 Jembatan)'!AH25=0," ",'(AS-400 Jembatan)'!AH25+'(AS-400 Transfer)'!$AU25)</f>
        <v>#REF!</v>
      </c>
      <c r="AO25" s="474" t="str">
        <f>+IF('(AS-400 Jembatan)'!AI25=0," ",'(AS-400 Jembatan)'!AI25+'(AS-400 Transfer)'!$AU25)</f>
        <v> </v>
      </c>
      <c r="AP25" s="474" t="e">
        <f>SUM(AK25:AK25)</f>
        <v>#REF!</v>
      </c>
      <c r="AQ25" s="474" t="e">
        <f>+'(AS-400 Jembatan)'!AK25</f>
        <v>#REF!</v>
      </c>
      <c r="AR25" s="474" t="e">
        <f>(AQ25-AP25)/AS25</f>
        <v>#REF!</v>
      </c>
      <c r="AS25" s="478">
        <f>+COUNT(AK25:AK25)</f>
        <v>0</v>
      </c>
      <c r="AT25" s="478" t="e">
        <f>+IF(AR25&lt;0,(ROUNDDOWN(AR25,0)),(ROUNDUP(AR25,0)))</f>
        <v>#REF!</v>
      </c>
      <c r="AU25" s="478" t="e">
        <v>#DIV/0!</v>
      </c>
      <c r="AV25" s="482" t="e">
        <f>+IF('(AS-400 Jembatan)'!AN25=0," ",'(AS-400 Jembatan)'!AN25+'(AS-400 Transfer)'!$BF25)</f>
        <v>#REF!</v>
      </c>
      <c r="AW25" s="474" t="e">
        <f>+IF('(AS-400 Jembatan)'!AO25=0," ",'(AS-400 Jembatan)'!AO25+'(AS-400 Transfer)'!$BF25)</f>
        <v>#REF!</v>
      </c>
      <c r="AX25" s="483" t="e">
        <f>+IF('(AS-400 Jembatan)'!AP25=0," ",'(AS-400 Jembatan)'!AP25+'(AS-400 Transfer)'!$BF25)</f>
        <v>#REF!</v>
      </c>
      <c r="AY25" s="474" t="e">
        <f>+IF('(AS-400 Jembatan)'!AQ25=0," ",'(AS-400 Jembatan)'!AQ25+'(AS-400 Transfer)'!$BF25)</f>
        <v>#REF!</v>
      </c>
      <c r="AZ25" s="474" t="e">
        <f>+IF('(AS-400 Jembatan)'!AR25=0," ",'(AS-400 Jembatan)'!AR25+'(AS-400 Transfer)'!$BF25)</f>
        <v>#REF!</v>
      </c>
      <c r="BA25" s="474" t="e">
        <f>SUM(AV25:AV25)</f>
        <v>#REF!</v>
      </c>
      <c r="BB25" s="474" t="e">
        <f>+GUM!Z31</f>
        <v>#REF!</v>
      </c>
      <c r="BC25" s="474" t="e">
        <f>(BB25-BA25)/BD25</f>
        <v>#REF!</v>
      </c>
      <c r="BD25" s="478">
        <f>+COUNT(AV25:AV25)</f>
        <v>0</v>
      </c>
      <c r="BE25" s="478" t="e">
        <f>+IF(BC25&lt;0,(ROUNDDOWN(BC25,0)),(ROUNDUP(BC25,0)))</f>
        <v>#REF!</v>
      </c>
      <c r="BF25" s="488" t="e">
        <v>#DIV/0!</v>
      </c>
      <c r="BG25" s="482" t="e">
        <f>+IF('(AS-400 Jembatan)'!AW25=0," ",'(AS-400 Jembatan)'!AW25+'(AS-400 Transfer)'!$BQ25)</f>
        <v>#REF!</v>
      </c>
      <c r="BH25" s="474" t="e">
        <f>+IF('(AS-400 Jembatan)'!AX25=0," ",'(AS-400 Jembatan)'!AX25+'(AS-400 Transfer)'!$BQ25)</f>
        <v>#REF!</v>
      </c>
      <c r="BI25" s="483" t="e">
        <f>+IF('(AS-400 Jembatan)'!AY25=0," ",'(AS-400 Jembatan)'!AY25+'(AS-400 Transfer)'!$BQ25)</f>
        <v>#REF!</v>
      </c>
      <c r="BJ25" s="474" t="e">
        <f>+IF('(AS-400 Jembatan)'!AZ25=0," ",'(AS-400 Jembatan)'!AZ25+'(AS-400 Transfer)'!$BQ25)</f>
        <v>#REF!</v>
      </c>
      <c r="BK25" s="474" t="str">
        <f>+IF('(AS-400 Jembatan)'!BA25=0," ",'(AS-400 Jembatan)'!BA25+'(AS-400 Transfer)'!$BQ25)</f>
        <v> </v>
      </c>
      <c r="BL25" s="474" t="e">
        <f>SUM(BG25:BG25)</f>
        <v>#REF!</v>
      </c>
      <c r="BM25" s="474" t="e">
        <f>+'(AS-400 Jembatan)'!BC25</f>
        <v>#REF!</v>
      </c>
      <c r="BN25" s="474" t="e">
        <f>(BM25-BL25)/BO25</f>
        <v>#REF!</v>
      </c>
      <c r="BO25" s="478">
        <f>+COUNT(BG25:BG25)</f>
        <v>0</v>
      </c>
      <c r="BP25" s="478" t="e">
        <f>+IF(BN25&lt;0,(ROUNDDOWN(BN25,0)),(ROUNDUP(BN25,0)))</f>
        <v>#REF!</v>
      </c>
      <c r="BQ25" s="488" t="e">
        <v>#DIV/0!</v>
      </c>
    </row>
    <row r="26" spans="1:142" customHeight="1" ht="15.75" s="881" customFormat="1">
      <c r="A26" s="1300"/>
      <c r="B26" s="932" t="str">
        <f>+GUM!C32</f>
        <v>82115-0EA10 J</v>
      </c>
      <c r="C26" s="726" t="str">
        <f>'(AS-400 Jembatan)'!C26</f>
        <v>J 1101</v>
      </c>
      <c r="D26" s="869" t="e">
        <f>+IF('(AS-400 Jembatan)'!D26=0," ",'(AS-400 Jembatan)'!D$10+'(AS-400 Transfer)'!$N26)</f>
        <v>#REF!</v>
      </c>
      <c r="E26" s="870" t="e">
        <f>+IF('(AS-400 Jembatan)'!E26=0," ",'(AS-400 Jembatan)'!E$10+'(AS-400 Transfer)'!$N26)</f>
        <v>#REF!</v>
      </c>
      <c r="F26" s="870" t="e">
        <f>+IF('(AS-400 Jembatan)'!F26=0," ",'(AS-400 Jembatan)'!F$10+'(AS-400 Transfer)'!$N26)</f>
        <v>#REF!</v>
      </c>
      <c r="G26" s="870" t="e">
        <f>+IF('(AS-400 Jembatan)'!G26=0," ",'(AS-400 Jembatan)'!G$10+'(AS-400 Transfer)'!$N26)</f>
        <v>#REF!</v>
      </c>
      <c r="H26" s="870" t="str">
        <f>+IF('(AS-400 Jembatan)'!H26=0," ",'(AS-400 Jembatan)'!H$9+'(AS-400 Transfer)'!$N26)</f>
        <v> </v>
      </c>
      <c r="I26" s="870" t="e">
        <f>SUM(D26:D26)</f>
        <v>#REF!</v>
      </c>
      <c r="J26" s="871" t="e">
        <f>+'(AS-400 Jembatan)'!J26</f>
        <v>#REF!</v>
      </c>
      <c r="K26" s="871" t="e">
        <f>(J26-I26)/L26</f>
        <v>#REF!</v>
      </c>
      <c r="L26" s="872">
        <f>+COUNT(D26:H26)</f>
        <v>0</v>
      </c>
      <c r="M26" s="872" t="e">
        <f>+IF(K26&lt;0,(ROUNDDOWN(K26,0)),(ROUNDUP(K26,0)))</f>
        <v>#REF!</v>
      </c>
      <c r="N26" s="872" t="e">
        <v>#DIV/0!</v>
      </c>
      <c r="O26" s="873" t="e">
        <f>+IF('(AS-400 Jembatan)'!M26=0," ",'(AS-400 Jembatan)'!M26+'(AS-400 Transfer)'!$Y26)</f>
        <v>#REF!</v>
      </c>
      <c r="P26" s="874" t="e">
        <f>+IF('(AS-400 Jembatan)'!N26=0," ",'(AS-400 Jembatan)'!N26+'(AS-400 Transfer)'!$Y26)</f>
        <v>#REF!</v>
      </c>
      <c r="Q26" s="875" t="e">
        <f>+IF('(AS-400 Jembatan)'!O26=0," ",'(AS-400 Jembatan)'!O26+'(AS-400 Transfer)'!$Y26)</f>
        <v>#REF!</v>
      </c>
      <c r="R26" s="874" t="e">
        <f>+IF('(AS-400 Jembatan)'!P26=0," ",'(AS-400 Jembatan)'!P26+'(AS-400 Transfer)'!$Y26)</f>
        <v>#REF!</v>
      </c>
      <c r="S26" s="874" t="e">
        <f>+IF('(AS-400 Jembatan)'!Q26=0," ",'(AS-400 Jembatan)'!Q26+'(AS-400 Transfer)'!$Y26)</f>
        <v>#REF!</v>
      </c>
      <c r="T26" s="870" t="e">
        <f>SUM(O26:O26)</f>
        <v>#REF!</v>
      </c>
      <c r="U26" s="870" t="e">
        <f>+'(AS-400 Jembatan)'!S26</f>
        <v>#REF!</v>
      </c>
      <c r="V26" s="870" t="e">
        <f>(U26-T26)/W26</f>
        <v>#REF!</v>
      </c>
      <c r="W26" s="872">
        <f>+COUNT(O26:O26)</f>
        <v>0</v>
      </c>
      <c r="X26" s="872" t="e">
        <f>+IF(V26&lt;0,(ROUNDDOWN(V26,0)),(ROUNDUP(V26,0)))</f>
        <v>#REF!</v>
      </c>
      <c r="Y26" s="876" t="e">
        <v>#DIV/0!</v>
      </c>
      <c r="Z26" s="873" t="e">
        <f>+IF('(AS-400 Jembatan)'!V26=0," ",'(AS-400 Jembatan)'!V26+'(AS-400 Transfer)'!$AJ26)</f>
        <v>#REF!</v>
      </c>
      <c r="AA26" s="877" t="e">
        <f>+IF('(AS-400 Jembatan)'!W26=0," ",'(AS-400 Jembatan)'!W26+'(AS-400 Transfer)'!$AJ26)</f>
        <v>#REF!</v>
      </c>
      <c r="AB26" s="875" t="e">
        <f>+IF('(AS-400 Jembatan)'!X26=0," ",'(AS-400 Jembatan)'!X26+'(AS-400 Transfer)'!$AJ26)</f>
        <v>#REF!</v>
      </c>
      <c r="AC26" s="874" t="e">
        <f>+IF('(AS-400 Jembatan)'!Y26=0," ",'(AS-400 Jembatan)'!Y26+'(AS-400 Transfer)'!$AJ26)</f>
        <v>#REF!</v>
      </c>
      <c r="AD26" s="874" t="str">
        <f>+IF('(AS-400 Jembatan)'!Z26=0," ",'(AS-400 Jembatan)'!Z26+'(AS-400 Transfer)'!$AJ26)</f>
        <v> </v>
      </c>
      <c r="AE26" s="870" t="e">
        <f>SUM(Z26:Z26)</f>
        <v>#REF!</v>
      </c>
      <c r="AF26" s="870" t="e">
        <f>+'(AS-400 Jembatan)'!AB26</f>
        <v>#REF!</v>
      </c>
      <c r="AG26" s="870" t="e">
        <f>(AF26-AE26)/AH26</f>
        <v>#REF!</v>
      </c>
      <c r="AH26" s="872">
        <f>+COUNT(Z26:Z26)</f>
        <v>0</v>
      </c>
      <c r="AI26" s="871" t="e">
        <f>+IF(AG26&lt;0,(ROUNDDOWN(AG26,0)),(ROUNDUP(AG26,0)))</f>
        <v>#REF!</v>
      </c>
      <c r="AJ26" s="878" t="e">
        <v>#DIV/0!</v>
      </c>
      <c r="AK26" s="879" t="e">
        <f>+IF('(AS-400 Jembatan)'!AE26=0," ",'(AS-400 Jembatan)'!AE26+'(AS-400 Transfer)'!$AU26)</f>
        <v>#REF!</v>
      </c>
      <c r="AL26" s="870" t="e">
        <f>+IF('(AS-400 Jembatan)'!AF26=0," ",'(AS-400 Jembatan)'!AF26+'(AS-400 Transfer)'!$AU26)</f>
        <v>#REF!</v>
      </c>
      <c r="AM26" s="880" t="e">
        <f>+IF('(AS-400 Jembatan)'!AG26=0," ",'(AS-400 Jembatan)'!AG26+'(AS-400 Transfer)'!$AU26)</f>
        <v>#REF!</v>
      </c>
      <c r="AN26" s="870" t="e">
        <f>+IF('(AS-400 Jembatan)'!AH26=0," ",'(AS-400 Jembatan)'!AH26+'(AS-400 Transfer)'!$AU26)</f>
        <v>#REF!</v>
      </c>
      <c r="AO26" s="870" t="str">
        <f>+IF('(AS-400 Jembatan)'!AI26=0," ",'(AS-400 Jembatan)'!AI26+'(AS-400 Transfer)'!$AU26)</f>
        <v> </v>
      </c>
      <c r="AP26" s="870" t="e">
        <f>SUM(AK26:AK26)</f>
        <v>#REF!</v>
      </c>
      <c r="AQ26" s="870" t="e">
        <f>+'(AS-400 Jembatan)'!AK26</f>
        <v>#REF!</v>
      </c>
      <c r="AR26" s="870" t="e">
        <f>(AQ26-AP26)/AS26</f>
        <v>#REF!</v>
      </c>
      <c r="AS26" s="872">
        <f>+COUNT(AK26:AK26)</f>
        <v>0</v>
      </c>
      <c r="AT26" s="872" t="e">
        <f>+IF(AR26&lt;0,(ROUNDDOWN(AR26,0)),(ROUNDUP(AR26,0)))</f>
        <v>#REF!</v>
      </c>
      <c r="AU26" s="872" t="e">
        <v>#DIV/0!</v>
      </c>
      <c r="AV26" s="879" t="e">
        <f>+IF('(AS-400 Jembatan)'!AN26=0," ",'(AS-400 Jembatan)'!AN26+'(AS-400 Transfer)'!$BF26)</f>
        <v>#REF!</v>
      </c>
      <c r="AW26" s="870" t="e">
        <f>+IF('(AS-400 Jembatan)'!AO26=0," ",'(AS-400 Jembatan)'!AO26+'(AS-400 Transfer)'!$BF26)</f>
        <v>#REF!</v>
      </c>
      <c r="AX26" s="880" t="e">
        <f>+IF('(AS-400 Jembatan)'!AP26=0," ",'(AS-400 Jembatan)'!AP26+'(AS-400 Transfer)'!$BF26)</f>
        <v>#REF!</v>
      </c>
      <c r="AY26" s="870" t="e">
        <f>+IF('(AS-400 Jembatan)'!AQ26=0," ",'(AS-400 Jembatan)'!AQ26+'(AS-400 Transfer)'!$BF26)</f>
        <v>#REF!</v>
      </c>
      <c r="AZ26" s="870" t="e">
        <f>+IF('(AS-400 Jembatan)'!AR26=0," ",'(AS-400 Jembatan)'!AR26+'(AS-400 Transfer)'!$BF26)</f>
        <v>#REF!</v>
      </c>
      <c r="BA26" s="870" t="e">
        <f>SUM(AV26:AV26)</f>
        <v>#REF!</v>
      </c>
      <c r="BB26" s="870" t="e">
        <f>+GUM!Z32</f>
        <v>#REF!</v>
      </c>
      <c r="BC26" s="870" t="e">
        <f>(BB26-BA26)/BD26</f>
        <v>#REF!</v>
      </c>
      <c r="BD26" s="872">
        <f>+COUNT(AV26:AV26)</f>
        <v>0</v>
      </c>
      <c r="BE26" s="872" t="e">
        <f>+IF(BC26&lt;0,(ROUNDDOWN(BC26,0)),(ROUNDUP(BC26,0)))</f>
        <v>#REF!</v>
      </c>
      <c r="BF26" s="876" t="e">
        <v>#DIV/0!</v>
      </c>
      <c r="BG26" s="879" t="e">
        <f>+IF('(AS-400 Jembatan)'!AW26=0," ",'(AS-400 Jembatan)'!AW26+'(AS-400 Transfer)'!$BQ26)</f>
        <v>#REF!</v>
      </c>
      <c r="BH26" s="870" t="e">
        <f>+IF('(AS-400 Jembatan)'!AX26=0," ",'(AS-400 Jembatan)'!AX26+'(AS-400 Transfer)'!$BQ26)</f>
        <v>#REF!</v>
      </c>
      <c r="BI26" s="880" t="e">
        <f>+IF('(AS-400 Jembatan)'!AY26=0," ",'(AS-400 Jembatan)'!AY26+'(AS-400 Transfer)'!$BQ26)</f>
        <v>#REF!</v>
      </c>
      <c r="BJ26" s="870" t="e">
        <f>+IF('(AS-400 Jembatan)'!AZ26=0," ",'(AS-400 Jembatan)'!AZ26+'(AS-400 Transfer)'!$BQ26)</f>
        <v>#REF!</v>
      </c>
      <c r="BK26" s="870" t="str">
        <f>+IF('(AS-400 Jembatan)'!BA26=0," ",'(AS-400 Jembatan)'!BA26+'(AS-400 Transfer)'!$BQ26)</f>
        <v> </v>
      </c>
      <c r="BL26" s="870" t="e">
        <f>SUM(BG26:BG26)</f>
        <v>#REF!</v>
      </c>
      <c r="BM26" s="870" t="e">
        <f>+'(AS-400 Jembatan)'!BC26</f>
        <v>#REF!</v>
      </c>
      <c r="BN26" s="870" t="e">
        <f>(BM26-BL26)/BO26</f>
        <v>#REF!</v>
      </c>
      <c r="BO26" s="872">
        <f>+COUNT(BG26:BG26)</f>
        <v>0</v>
      </c>
      <c r="BP26" s="872" t="e">
        <f>+IF(BN26&lt;0,(ROUNDDOWN(BN26,0)),(ROUNDUP(BN26,0)))</f>
        <v>#REF!</v>
      </c>
      <c r="BQ26" s="876" t="e">
        <v>#DIV/0!</v>
      </c>
    </row>
    <row r="27" spans="1:142" customHeight="1" ht="15.75" hidden="true" s="473" customFormat="1">
      <c r="A27" s="1300"/>
      <c r="B27" s="895" t="str">
        <f>+GUM!C33</f>
        <v>82115-0E570 G</v>
      </c>
      <c r="C27" s="725" t="str">
        <f>'(AS-400 Jembatan)'!C27</f>
        <v>G 1001</v>
      </c>
      <c r="D27" s="550" t="e">
        <f>+IF('(AS-400 Jembatan)'!D27=0," ",'(AS-400 Jembatan)'!D$12+'(AS-400 Transfer)'!$N27)</f>
        <v>#REF!</v>
      </c>
      <c r="E27" s="476" t="e">
        <f>+IF('(AS-400 Jembatan)'!E27=0," ",'(AS-400 Jembatan)'!E$12+'(AS-400 Transfer)'!$N27)</f>
        <v>#REF!</v>
      </c>
      <c r="F27" s="476" t="e">
        <f>+IF('(AS-400 Jembatan)'!F27=0," ",'(AS-400 Jembatan)'!F$12+'(AS-400 Transfer)'!$N27)</f>
        <v>#REF!</v>
      </c>
      <c r="G27" s="476" t="e">
        <f>+IF('(AS-400 Jembatan)'!G27=0," ",'(AS-400 Jembatan)'!G$12+'(AS-400 Transfer)'!$N27)</f>
        <v>#REF!</v>
      </c>
      <c r="H27" s="476" t="str">
        <f>+IF('(AS-400 Jembatan)'!H27=0," ",'(AS-400 Jembatan)'!H$12+'(AS-400 Transfer)'!$N27)</f>
        <v> </v>
      </c>
      <c r="I27" s="476" t="e">
        <f>SUM(D27:D27)</f>
        <v>#REF!</v>
      </c>
      <c r="J27" s="477">
        <f>+'(AS-400 Jembatan)'!J27</f>
        <v>0</v>
      </c>
      <c r="K27" s="477" t="e">
        <f>(J27-I27)/L27</f>
        <v>#REF!</v>
      </c>
      <c r="L27" s="479">
        <f>+COUNT(D27:D27)</f>
        <v>0</v>
      </c>
      <c r="M27" s="479" t="e">
        <f>+IF(K27&lt;0,(ROUNDDOWN(K27,0)),(ROUNDUP(K27,0)))</f>
        <v>#REF!</v>
      </c>
      <c r="N27" s="479">
        <v>0.0</v>
      </c>
      <c r="O27" s="484" t="str">
        <f>+IF('(AS-400 Jembatan)'!M27=0," ",'(AS-400 Jembatan)'!M27+'(AS-400 Transfer)'!$Y27)</f>
        <v> </v>
      </c>
      <c r="P27" s="476" t="str">
        <f>+IF('(AS-400 Jembatan)'!N27=0," ",'(AS-400 Jembatan)'!N27+'(AS-400 Transfer)'!$Y27)</f>
        <v> </v>
      </c>
      <c r="Q27" s="504" t="str">
        <f>+IF('(AS-400 Jembatan)'!O27=0," ",'(AS-400 Jembatan)'!O27+'(AS-400 Transfer)'!$Y27)</f>
        <v> </v>
      </c>
      <c r="R27" s="476" t="str">
        <f>+IF('(AS-400 Jembatan)'!P27=0," ",'(AS-400 Jembatan)'!P27+'(AS-400 Transfer)'!$Y27)</f>
        <v> </v>
      </c>
      <c r="S27" s="476" t="str">
        <f>+IF('(AS-400 Jembatan)'!Q27=0," ",'(AS-400 Jembatan)'!Q27+'(AS-400 Transfer)'!$Y27)</f>
        <v> </v>
      </c>
      <c r="T27" s="476">
        <f>SUM(O27:O27)</f>
        <v>0</v>
      </c>
      <c r="U27" s="476">
        <f>+'(AS-400 Jembatan)'!S27</f>
        <v/>
      </c>
      <c r="V27" s="501" t="e">
        <f>(U27-T27)/W27</f>
        <v>#DIV/0!</v>
      </c>
      <c r="W27" s="479">
        <f>+COUNT(O27:O27)</f>
        <v>0</v>
      </c>
      <c r="X27" s="479" t="e">
        <f>+IF(V27&lt;0,(ROUNDDOWN(V27,0)),(ROUNDUP(V27,0)))</f>
        <v>#DIV/0!</v>
      </c>
      <c r="Y27" s="480" t="e">
        <v>#DIV/0!</v>
      </c>
      <c r="Z27" s="484" t="str">
        <f>+IF('(AS-400 Jembatan)'!V27=0," ",'(AS-400 Jembatan)'!V27+'(AS-400 Transfer)'!$AJ27)</f>
        <v> </v>
      </c>
      <c r="AA27" s="500" t="str">
        <f>+IF('(AS-400 Jembatan)'!W27=0," ",'(AS-400 Jembatan)'!W27+'(AS-400 Transfer)'!$AJ27)</f>
        <v> </v>
      </c>
      <c r="AB27" s="504" t="str">
        <f>+IF('(AS-400 Jembatan)'!X27=0," ",'(AS-400 Jembatan)'!X27+'(AS-400 Transfer)'!$AJ27)</f>
        <v> </v>
      </c>
      <c r="AC27" s="476" t="str">
        <f>+IF('(AS-400 Jembatan)'!Y27=0," ",'(AS-400 Jembatan)'!Y27+'(AS-400 Transfer)'!$AJ27)</f>
        <v> </v>
      </c>
      <c r="AD27" s="476" t="str">
        <f>+IF('(AS-400 Jembatan)'!Z27=0," ",'(AS-400 Jembatan)'!Z27+'(AS-400 Transfer)'!$AJ27)</f>
        <v> </v>
      </c>
      <c r="AE27" s="476">
        <f>SUM(Z27:Z27)</f>
        <v>0</v>
      </c>
      <c r="AF27" s="476">
        <f>+'(AS-400 Jembatan)'!AB27</f>
        <v/>
      </c>
      <c r="AG27" s="476" t="e">
        <f>(AF27-AE27)/AH27</f>
        <v>#DIV/0!</v>
      </c>
      <c r="AH27" s="479">
        <f>+COUNT(Z27:Z27)</f>
        <v>0</v>
      </c>
      <c r="AI27" s="477" t="e">
        <f>+IF(AG27&lt;0,(ROUNDDOWN(AG27,0)),(ROUNDUP(AG27,0)))</f>
        <v>#DIV/0!</v>
      </c>
      <c r="AJ27" s="487" t="e">
        <v>#DIV/0!</v>
      </c>
      <c r="AK27" s="484" t="str">
        <f>+IF('(AS-400 Jembatan)'!AE27=0," ",'(AS-400 Jembatan)'!AE27+'(AS-400 Transfer)'!$AU27)</f>
        <v> </v>
      </c>
      <c r="AL27" s="476" t="str">
        <f>+IF('(AS-400 Jembatan)'!AF27=0," ",'(AS-400 Jembatan)'!AF27+'(AS-400 Transfer)'!$AU27)</f>
        <v> </v>
      </c>
      <c r="AM27" s="504" t="str">
        <f>+IF('(AS-400 Jembatan)'!AG27=0," ",'(AS-400 Jembatan)'!AG27+'(AS-400 Transfer)'!$AU27)</f>
        <v> </v>
      </c>
      <c r="AN27" s="476" t="str">
        <f>+IF('(AS-400 Jembatan)'!AH27=0," ",'(AS-400 Jembatan)'!AH27+'(AS-400 Transfer)'!$AU27)</f>
        <v> </v>
      </c>
      <c r="AO27" s="476" t="str">
        <f>+IF('(AS-400 Jembatan)'!AI27=0," ",'(AS-400 Jembatan)'!AI27+'(AS-400 Transfer)'!$AU27)</f>
        <v> </v>
      </c>
      <c r="AP27" s="476">
        <f>SUM(AK27:AK27)</f>
        <v>0</v>
      </c>
      <c r="AQ27" s="476">
        <f>+'(AS-400 Jembatan)'!AK27</f>
        <v/>
      </c>
      <c r="AR27" s="476" t="e">
        <f>(AQ27-AP27)/AS27</f>
        <v>#DIV/0!</v>
      </c>
      <c r="AS27" s="479">
        <f>+COUNT(AK27:AK27)</f>
        <v>0</v>
      </c>
      <c r="AT27" s="479" t="e">
        <f>+IF(AR27&lt;0,(ROUNDDOWN(AR27,0)),(ROUNDUP(AR27,0)))</f>
        <v>#DIV/0!</v>
      </c>
      <c r="AU27" s="479" t="e">
        <v>#DIV/0!</v>
      </c>
      <c r="AV27" s="484" t="str">
        <f>+IF('(AS-400 Jembatan)'!AN27=0," ",'(AS-400 Jembatan)'!AN27+'(AS-400 Transfer)'!$BF27)</f>
        <v> </v>
      </c>
      <c r="AW27" s="476" t="str">
        <f>+IF('(AS-400 Jembatan)'!AO27=0," ",'(AS-400 Jembatan)'!AO27+'(AS-400 Transfer)'!$BF27)</f>
        <v> </v>
      </c>
      <c r="AX27" s="504" t="str">
        <f>+IF('(AS-400 Jembatan)'!AP27=0," ",'(AS-400 Jembatan)'!AP27+'(AS-400 Transfer)'!$BF27)</f>
        <v> </v>
      </c>
      <c r="AY27" s="476" t="str">
        <f>+IF('(AS-400 Jembatan)'!AQ27=0," ",'(AS-400 Jembatan)'!AQ27+'(AS-400 Transfer)'!$BF27)</f>
        <v> </v>
      </c>
      <c r="AZ27" s="476" t="str">
        <f>+IF('(AS-400 Jembatan)'!AR27=0," ",'(AS-400 Jembatan)'!AR27+'(AS-400 Transfer)'!$BF27)</f>
        <v> </v>
      </c>
      <c r="BA27" s="476">
        <f>SUM(AV27:AV27)</f>
        <v>0</v>
      </c>
      <c r="BB27" s="476">
        <f>+GUM!Z33</f>
        <v>0</v>
      </c>
      <c r="BC27" s="476" t="e">
        <f>(BB27-BA27)/BD27</f>
        <v>#DIV/0!</v>
      </c>
      <c r="BD27" s="479">
        <f>+COUNT(AV27:AV27)</f>
        <v>0</v>
      </c>
      <c r="BE27" s="479" t="e">
        <f>+IF(BC27&lt;0,(ROUNDDOWN(BC27,0)),(ROUNDUP(BC27,0)))</f>
        <v>#DIV/0!</v>
      </c>
      <c r="BF27" s="480" t="e">
        <v>#DIV/0!</v>
      </c>
      <c r="BG27" s="484" t="str">
        <f>+IF('(AS-400 Jembatan)'!AW27=0," ",'(AS-400 Jembatan)'!AW27+'(AS-400 Transfer)'!$BQ27)</f>
        <v> </v>
      </c>
      <c r="BH27" s="476" t="str">
        <f>+IF('(AS-400 Jembatan)'!AX27=0," ",'(AS-400 Jembatan)'!AX27+'(AS-400 Transfer)'!$BQ27)</f>
        <v> </v>
      </c>
      <c r="BI27" s="504" t="str">
        <f>+IF('(AS-400 Jembatan)'!AY27=0," ",'(AS-400 Jembatan)'!AY27+'(AS-400 Transfer)'!$BQ27)</f>
        <v> </v>
      </c>
      <c r="BJ27" s="476" t="str">
        <f>+IF('(AS-400 Jembatan)'!AZ27=0," ",'(AS-400 Jembatan)'!AZ27+'(AS-400 Transfer)'!$BQ27)</f>
        <v> </v>
      </c>
      <c r="BK27" s="476" t="str">
        <f>+IF('(AS-400 Jembatan)'!BA27=0," ",'(AS-400 Jembatan)'!BA27+'(AS-400 Transfer)'!$BQ27)</f>
        <v> </v>
      </c>
      <c r="BL27" s="476">
        <f>SUM(BG27:BG27)</f>
        <v>0</v>
      </c>
      <c r="BM27" s="476">
        <f>+'(AS-400 Jembatan)'!BC27</f>
        <v/>
      </c>
      <c r="BN27" s="476" t="e">
        <f>(BM27-BL27)/BO27</f>
        <v>#DIV/0!</v>
      </c>
      <c r="BO27" s="479">
        <f>+COUNT(BG27:BG27)</f>
        <v>0</v>
      </c>
      <c r="BP27" s="479" t="e">
        <f>+IF(BN27&lt;0,(ROUNDDOWN(BN27,0)),(ROUNDUP(BN27,0)))</f>
        <v>#DIV/0!</v>
      </c>
      <c r="BQ27" s="480" t="e">
        <v>#DIV/0!</v>
      </c>
    </row>
    <row r="28" spans="1:142" customHeight="1" ht="15" hidden="true" s="473" customFormat="1">
      <c r="A28" s="1300"/>
      <c r="B28" s="896" t="str">
        <f>+GUM!C34</f>
        <v>82115-0E580 G</v>
      </c>
      <c r="C28" s="496" t="str">
        <f>'(AS-400 Jembatan)'!C28</f>
        <v>G 1001</v>
      </c>
      <c r="D28" s="505" t="str">
        <f>+IF('(AS-400 Jembatan)'!D28=0," ",'(AS-400 Jembatan)'!D$13+'(AS-400 Transfer)'!$N28)</f>
        <v> </v>
      </c>
      <c r="E28" s="474" t="str">
        <f>+IF('(AS-400 Jembatan)'!E28=0," ",'(AS-400 Jembatan)'!E$13+'(AS-400 Transfer)'!$N28)</f>
        <v> </v>
      </c>
      <c r="F28" s="474" t="str">
        <f>+IF('(AS-400 Jembatan)'!F28=0," ",'(AS-400 Jembatan)'!F$13+'(AS-400 Transfer)'!$N28)</f>
        <v> </v>
      </c>
      <c r="G28" s="474" t="str">
        <f>+IF('(AS-400 Jembatan)'!G28=0," ",'(AS-400 Jembatan)'!G$13+'(AS-400 Transfer)'!$N28)</f>
        <v> </v>
      </c>
      <c r="H28" s="474" t="str">
        <f>+IF('(AS-400 Jembatan)'!H28=0," ",'(AS-400 Jembatan)'!H$9+'(AS-400 Transfer)'!$N28)</f>
        <v> </v>
      </c>
      <c r="I28" s="474">
        <f>SUM(D28:D28)</f>
        <v>0</v>
      </c>
      <c r="J28" s="475">
        <f>+'(AS-400 Jembatan)'!J28</f>
        <v/>
      </c>
      <c r="K28" s="475" t="e">
        <f>(J28-I28)/L28</f>
        <v>#DIV/0!</v>
      </c>
      <c r="L28" s="478">
        <f>+COUNT(D28:D28)</f>
        <v>0</v>
      </c>
      <c r="M28" s="478" t="e">
        <f>+IF(K28&lt;0,(ROUNDDOWN(K28,0)),(ROUNDUP(K28,0)))</f>
        <v>#DIV/0!</v>
      </c>
      <c r="N28" s="478" t="e">
        <v>#DIV/0!</v>
      </c>
      <c r="O28" s="482" t="str">
        <f>+IF('(AS-400 Jembatan)'!M28=0," ",'(AS-400 Jembatan)'!M28+'(AS-400 Transfer)'!$Y28)</f>
        <v> </v>
      </c>
      <c r="P28" s="474" t="str">
        <f>+IF('(AS-400 Jembatan)'!N28=0," ",'(AS-400 Jembatan)'!N28+'(AS-400 Transfer)'!$Y28)</f>
        <v> </v>
      </c>
      <c r="Q28" s="483" t="str">
        <f>+IF('(AS-400 Jembatan)'!O28=0," ",'(AS-400 Jembatan)'!O28+'(AS-400 Transfer)'!$Y28)</f>
        <v> </v>
      </c>
      <c r="R28" s="474" t="str">
        <f>+IF('(AS-400 Jembatan)'!P28=0," ",'(AS-400 Jembatan)'!P28+'(AS-400 Transfer)'!$Y28)</f>
        <v> </v>
      </c>
      <c r="S28" s="474" t="str">
        <f>+IF('(AS-400 Jembatan)'!Q28=0," ",'(AS-400 Jembatan)'!Q28+'(AS-400 Transfer)'!$Y28)</f>
        <v> </v>
      </c>
      <c r="T28" s="474">
        <f>SUM(O28:O28)</f>
        <v>0</v>
      </c>
      <c r="U28" s="474">
        <f>+'(AS-400 Jembatan)'!S28</f>
        <v/>
      </c>
      <c r="V28" s="474" t="e">
        <f>(U28-T28)/W28</f>
        <v>#DIV/0!</v>
      </c>
      <c r="W28" s="478">
        <f>+COUNT(O28:O28)</f>
        <v>0</v>
      </c>
      <c r="X28" s="478" t="e">
        <f>+IF(V28&lt;0,(ROUNDDOWN(V28,0)),(ROUNDUP(V28,0)))</f>
        <v>#DIV/0!</v>
      </c>
      <c r="Y28" s="488" t="e">
        <v>#DIV/0!</v>
      </c>
      <c r="Z28" s="482" t="str">
        <f>+IF('(AS-400 Jembatan)'!V28=0," ",'(AS-400 Jembatan)'!V28+'(AS-400 Transfer)'!$AJ28)</f>
        <v> </v>
      </c>
      <c r="AA28" s="494" t="str">
        <f>+IF('(AS-400 Jembatan)'!W28=0," ",'(AS-400 Jembatan)'!W28+'(AS-400 Transfer)'!$AJ28)</f>
        <v> </v>
      </c>
      <c r="AB28" s="483" t="str">
        <f>+IF('(AS-400 Jembatan)'!X28=0," ",'(AS-400 Jembatan)'!X28+'(AS-400 Transfer)'!$AJ28)</f>
        <v> </v>
      </c>
      <c r="AC28" s="474" t="str">
        <f>+IF('(AS-400 Jembatan)'!Y28=0," ",'(AS-400 Jembatan)'!Y28+'(AS-400 Transfer)'!$AJ28)</f>
        <v> </v>
      </c>
      <c r="AD28" s="474" t="str">
        <f>+IF('(AS-400 Jembatan)'!Z28=0," ",'(AS-400 Jembatan)'!Z28+'(AS-400 Transfer)'!$AJ28)</f>
        <v> </v>
      </c>
      <c r="AE28" s="474">
        <f>SUM(Z28:Z28)</f>
        <v>0</v>
      </c>
      <c r="AF28" s="474">
        <f>+'(AS-400 Jembatan)'!AB28</f>
        <v/>
      </c>
      <c r="AG28" s="474" t="e">
        <f>(AF28-AE28)/AH28</f>
        <v>#DIV/0!</v>
      </c>
      <c r="AH28" s="478">
        <f>+COUNT(Z28:Z28)</f>
        <v>0</v>
      </c>
      <c r="AI28" s="475" t="e">
        <f>+IF(AG28&lt;0,(ROUNDDOWN(AG28,0)),(ROUNDUP(AG28,0)))</f>
        <v>#DIV/0!</v>
      </c>
      <c r="AJ28" s="481" t="e">
        <v>#DIV/0!</v>
      </c>
      <c r="AK28" s="482" t="str">
        <f>+IF('(AS-400 Jembatan)'!AE28=0," ",'(AS-400 Jembatan)'!AE28+'(AS-400 Transfer)'!$AU28)</f>
        <v> </v>
      </c>
      <c r="AL28" s="474" t="str">
        <f>+IF('(AS-400 Jembatan)'!AF28=0," ",'(AS-400 Jembatan)'!AF28+'(AS-400 Transfer)'!$AU28)</f>
        <v> </v>
      </c>
      <c r="AM28" s="483" t="str">
        <f>+IF('(AS-400 Jembatan)'!AG28=0," ",'(AS-400 Jembatan)'!AG28+'(AS-400 Transfer)'!$AU28)</f>
        <v> </v>
      </c>
      <c r="AN28" s="474" t="str">
        <f>+IF('(AS-400 Jembatan)'!AH28=0," ",'(AS-400 Jembatan)'!AH28+'(AS-400 Transfer)'!$AU28)</f>
        <v> </v>
      </c>
      <c r="AO28" s="474" t="str">
        <f>+IF('(AS-400 Jembatan)'!AI28=0," ",'(AS-400 Jembatan)'!AI28+'(AS-400 Transfer)'!$AU28)</f>
        <v> </v>
      </c>
      <c r="AP28" s="474">
        <f>SUM(AK28:AK28)</f>
        <v>0</v>
      </c>
      <c r="AQ28" s="474">
        <f>+'(AS-400 Jembatan)'!AK28</f>
        <v/>
      </c>
      <c r="AR28" s="474" t="e">
        <f>(AQ28-AP28)/AS28</f>
        <v>#DIV/0!</v>
      </c>
      <c r="AS28" s="478">
        <f>+COUNT(AK28:AK28)</f>
        <v>0</v>
      </c>
      <c r="AT28" s="478" t="e">
        <f>+IF(AR28&lt;0,(ROUNDDOWN(AR28,0)),(ROUNDUP(AR28,0)))</f>
        <v>#DIV/0!</v>
      </c>
      <c r="AU28" s="478" t="e">
        <v>#DIV/0!</v>
      </c>
      <c r="AV28" s="482" t="str">
        <f>+IF('(AS-400 Jembatan)'!AN28=0," ",'(AS-400 Jembatan)'!AN28+'(AS-400 Transfer)'!$BF28)</f>
        <v> </v>
      </c>
      <c r="AW28" s="474" t="str">
        <f>+IF('(AS-400 Jembatan)'!AO28=0," ",'(AS-400 Jembatan)'!AO28+'(AS-400 Transfer)'!$BF28)</f>
        <v> </v>
      </c>
      <c r="AX28" s="483" t="str">
        <f>+IF('(AS-400 Jembatan)'!AP28=0," ",'(AS-400 Jembatan)'!AP28+'(AS-400 Transfer)'!$BF28)</f>
        <v> </v>
      </c>
      <c r="AY28" s="474" t="str">
        <f>+IF('(AS-400 Jembatan)'!AQ28=0," ",'(AS-400 Jembatan)'!AQ28+'(AS-400 Transfer)'!$BF28)</f>
        <v> </v>
      </c>
      <c r="AZ28" s="474" t="str">
        <f>+IF('(AS-400 Jembatan)'!AR28=0," ",'(AS-400 Jembatan)'!AR28+'(AS-400 Transfer)'!$BF28)</f>
        <v> </v>
      </c>
      <c r="BA28" s="474">
        <f>SUM(AV28:AV28)</f>
        <v>0</v>
      </c>
      <c r="BB28" s="474">
        <f>+GUM!Z34</f>
        <v>0</v>
      </c>
      <c r="BC28" s="474" t="e">
        <f>(BB28-BA28)/BD28</f>
        <v>#DIV/0!</v>
      </c>
      <c r="BD28" s="478">
        <f>+COUNT(AV28:AV28)</f>
        <v>0</v>
      </c>
      <c r="BE28" s="478" t="e">
        <f>+IF(BC28&lt;0,(ROUNDDOWN(BC28,0)),(ROUNDUP(BC28,0)))</f>
        <v>#DIV/0!</v>
      </c>
      <c r="BF28" s="488" t="e">
        <v>#DIV/0!</v>
      </c>
      <c r="BG28" s="482" t="str">
        <f>+IF('(AS-400 Jembatan)'!AW28=0," ",'(AS-400 Jembatan)'!AW28+'(AS-400 Transfer)'!$BQ28)</f>
        <v> </v>
      </c>
      <c r="BH28" s="474" t="str">
        <f>+IF('(AS-400 Jembatan)'!AX28=0," ",'(AS-400 Jembatan)'!AX28+'(AS-400 Transfer)'!$BQ28)</f>
        <v> </v>
      </c>
      <c r="BI28" s="483" t="str">
        <f>+IF('(AS-400 Jembatan)'!AY28=0," ",'(AS-400 Jembatan)'!AY28+'(AS-400 Transfer)'!$BQ28)</f>
        <v> </v>
      </c>
      <c r="BJ28" s="474" t="str">
        <f>+IF('(AS-400 Jembatan)'!AZ28=0," ",'(AS-400 Jembatan)'!AZ28+'(AS-400 Transfer)'!$BQ28)</f>
        <v> </v>
      </c>
      <c r="BK28" s="474" t="str">
        <f>+IF('(AS-400 Jembatan)'!BA28=0," ",'(AS-400 Jembatan)'!BA28+'(AS-400 Transfer)'!$BQ28)</f>
        <v> </v>
      </c>
      <c r="BL28" s="474">
        <f>SUM(BG28:BG28)</f>
        <v>0</v>
      </c>
      <c r="BM28" s="474">
        <f>+'(AS-400 Jembatan)'!BC28</f>
        <v/>
      </c>
      <c r="BN28" s="474" t="e">
        <f>(BM28-BL28)/BO28</f>
        <v>#DIV/0!</v>
      </c>
      <c r="BO28" s="478">
        <f>+COUNT(BG28:BG28)</f>
        <v>0</v>
      </c>
      <c r="BP28" s="478" t="e">
        <f>+IF(BN28&lt;0,(ROUNDDOWN(BN28,0)),(ROUNDUP(BN28,0)))</f>
        <v>#DIV/0!</v>
      </c>
      <c r="BQ28" s="488" t="e">
        <v>#DIV/0!</v>
      </c>
    </row>
    <row r="29" spans="1:142" customHeight="1" ht="15" hidden="true" s="473" customFormat="1">
      <c r="A29" s="1300"/>
      <c r="B29" s="896" t="str">
        <f>+GUM!C35</f>
        <v>82115-0E590 G</v>
      </c>
      <c r="C29" s="496" t="str">
        <f>'(AS-400 Jembatan)'!C29</f>
        <v>G 1001</v>
      </c>
      <c r="D29" s="505" t="str">
        <f>+IF('(AS-400 Jembatan)'!D29=0," ",'(AS-400 Jembatan)'!D$14+'(AS-400 Transfer)'!$N29)</f>
        <v> </v>
      </c>
      <c r="E29" s="474" t="str">
        <f>+IF('(AS-400 Jembatan)'!E29=0," ",'(AS-400 Jembatan)'!E$14+'(AS-400 Transfer)'!$N29)</f>
        <v> </v>
      </c>
      <c r="F29" s="474" t="str">
        <f>+IF('(AS-400 Jembatan)'!F29=0," ",'(AS-400 Jembatan)'!F$14+'(AS-400 Transfer)'!$N29)</f>
        <v> </v>
      </c>
      <c r="G29" s="474" t="str">
        <f>+IF('(AS-400 Jembatan)'!G29=0," ",'(AS-400 Jembatan)'!G$14+'(AS-400 Transfer)'!$N29)</f>
        <v> </v>
      </c>
      <c r="H29" s="474" t="str">
        <f>+IF('(AS-400 Jembatan)'!H29=0," ",'(AS-400 Jembatan)'!H$14+'(AS-400 Transfer)'!$N29)</f>
        <v> </v>
      </c>
      <c r="I29" s="474">
        <f>SUM(D29:D29)</f>
        <v>0</v>
      </c>
      <c r="J29" s="475">
        <f>+'(AS-400 Jembatan)'!J29</f>
        <v/>
      </c>
      <c r="K29" s="475" t="e">
        <f>(J29-I29)/L29</f>
        <v>#DIV/0!</v>
      </c>
      <c r="L29" s="478">
        <f>+COUNT(D29:D29)</f>
        <v>0</v>
      </c>
      <c r="M29" s="478" t="e">
        <f>+IF(K29&lt;0,(ROUNDDOWN(K29,0)),(ROUNDUP(K29,0)))</f>
        <v>#DIV/0!</v>
      </c>
      <c r="N29" s="478">
        <v>0.0</v>
      </c>
      <c r="O29" s="482" t="str">
        <f>+IF('(AS-400 Jembatan)'!M29=0," ",'(AS-400 Jembatan)'!M29+'(AS-400 Transfer)'!$Y29)</f>
        <v> </v>
      </c>
      <c r="P29" s="474" t="str">
        <f>+IF('(AS-400 Jembatan)'!N29=0," ",'(AS-400 Jembatan)'!N29+'(AS-400 Transfer)'!$Y29)</f>
        <v> </v>
      </c>
      <c r="Q29" s="483" t="str">
        <f>+IF('(AS-400 Jembatan)'!O29=0," ",'(AS-400 Jembatan)'!O29+'(AS-400 Transfer)'!$Y29)</f>
        <v> </v>
      </c>
      <c r="R29" s="474" t="str">
        <f>+IF('(AS-400 Jembatan)'!P29=0," ",'(AS-400 Jembatan)'!P29+'(AS-400 Transfer)'!$Y29)</f>
        <v> </v>
      </c>
      <c r="S29" s="474" t="str">
        <f>+IF('(AS-400 Jembatan)'!Q29=0," ",'(AS-400 Jembatan)'!Q29+'(AS-400 Transfer)'!$Y29)</f>
        <v> </v>
      </c>
      <c r="T29" s="474">
        <f>SUM(O29:O29)</f>
        <v>0</v>
      </c>
      <c r="U29" s="474">
        <f>+'(AS-400 Jembatan)'!S29</f>
        <v/>
      </c>
      <c r="V29" s="474" t="e">
        <f>(U29-T29)/W29</f>
        <v>#DIV/0!</v>
      </c>
      <c r="W29" s="478">
        <f>+COUNT(O29:O29)</f>
        <v>0</v>
      </c>
      <c r="X29" s="478" t="e">
        <f>+IF(V29&lt;0,(ROUNDDOWN(V29,0)),(ROUNDUP(V29,0)))</f>
        <v>#DIV/0!</v>
      </c>
      <c r="Y29" s="488" t="e">
        <v>#DIV/0!</v>
      </c>
      <c r="Z29" s="482" t="str">
        <f>+IF('(AS-400 Jembatan)'!V29=0," ",'(AS-400 Jembatan)'!V29+'(AS-400 Transfer)'!$AJ29)</f>
        <v> </v>
      </c>
      <c r="AA29" s="494" t="str">
        <f>+IF('(AS-400 Jembatan)'!W29=0," ",'(AS-400 Jembatan)'!W29+'(AS-400 Transfer)'!$AJ29)</f>
        <v> </v>
      </c>
      <c r="AB29" s="483" t="str">
        <f>+IF('(AS-400 Jembatan)'!X29=0," ",'(AS-400 Jembatan)'!X29+'(AS-400 Transfer)'!$AJ29)</f>
        <v> </v>
      </c>
      <c r="AC29" s="474" t="str">
        <f>+IF('(AS-400 Jembatan)'!Y29=0," ",'(AS-400 Jembatan)'!Y29+'(AS-400 Transfer)'!$AJ29)</f>
        <v> </v>
      </c>
      <c r="AD29" s="474" t="str">
        <f>+IF('(AS-400 Jembatan)'!Z29=0," ",'(AS-400 Jembatan)'!Z29+'(AS-400 Transfer)'!$AJ29)</f>
        <v> </v>
      </c>
      <c r="AE29" s="474">
        <f>SUM(Z29:Z29)</f>
        <v>0</v>
      </c>
      <c r="AF29" s="474">
        <f>+'(AS-400 Jembatan)'!AB29</f>
        <v/>
      </c>
      <c r="AG29" s="474" t="e">
        <f>(AF29-AE29)/AH29</f>
        <v>#DIV/0!</v>
      </c>
      <c r="AH29" s="478">
        <f>+COUNT(Z29:Z29)</f>
        <v>0</v>
      </c>
      <c r="AI29" s="475" t="e">
        <f>+IF(AG29&lt;0,(ROUNDDOWN(AG29,0)),(ROUNDUP(AG29,0)))</f>
        <v>#DIV/0!</v>
      </c>
      <c r="AJ29" s="481" t="e">
        <v>#DIV/0!</v>
      </c>
      <c r="AK29" s="482" t="str">
        <f>+IF('(AS-400 Jembatan)'!AE29=0," ",'(AS-400 Jembatan)'!AE29+'(AS-400 Transfer)'!$AU29)</f>
        <v> </v>
      </c>
      <c r="AL29" s="474" t="str">
        <f>+IF('(AS-400 Jembatan)'!AF29=0," ",'(AS-400 Jembatan)'!AF29+'(AS-400 Transfer)'!$AU29)</f>
        <v> </v>
      </c>
      <c r="AM29" s="483" t="str">
        <f>+IF('(AS-400 Jembatan)'!AG29=0," ",'(AS-400 Jembatan)'!AG29+'(AS-400 Transfer)'!$AU29)</f>
        <v> </v>
      </c>
      <c r="AN29" s="474" t="str">
        <f>+IF('(AS-400 Jembatan)'!AH29=0," ",'(AS-400 Jembatan)'!AH29+'(AS-400 Transfer)'!$AU29)</f>
        <v> </v>
      </c>
      <c r="AO29" s="474" t="str">
        <f>+IF('(AS-400 Jembatan)'!AI29=0," ",'(AS-400 Jembatan)'!AI29+'(AS-400 Transfer)'!$AU29)</f>
        <v> </v>
      </c>
      <c r="AP29" s="474">
        <f>SUM(AK29:AK29)</f>
        <v>0</v>
      </c>
      <c r="AQ29" s="474">
        <f>+'(AS-400 Jembatan)'!AK29</f>
        <v/>
      </c>
      <c r="AR29" s="474" t="e">
        <f>(AQ29-AP29)/AS29</f>
        <v>#DIV/0!</v>
      </c>
      <c r="AS29" s="478">
        <f>+COUNT(AK29:AK29)</f>
        <v>0</v>
      </c>
      <c r="AT29" s="478" t="e">
        <f>+IF(AR29&lt;0,(ROUNDDOWN(AR29,0)),(ROUNDUP(AR29,0)))</f>
        <v>#DIV/0!</v>
      </c>
      <c r="AU29" s="478" t="e">
        <v>#DIV/0!</v>
      </c>
      <c r="AV29" s="482" t="str">
        <f>+IF('(AS-400 Jembatan)'!AN29=0," ",'(AS-400 Jembatan)'!AN29+'(AS-400 Transfer)'!$BF29)</f>
        <v> </v>
      </c>
      <c r="AW29" s="474" t="str">
        <f>+IF('(AS-400 Jembatan)'!AO29=0," ",'(AS-400 Jembatan)'!AO29+'(AS-400 Transfer)'!$BF29)</f>
        <v> </v>
      </c>
      <c r="AX29" s="483" t="str">
        <f>+IF('(AS-400 Jembatan)'!AP29=0," ",'(AS-400 Jembatan)'!AP29+'(AS-400 Transfer)'!$BF29)</f>
        <v> </v>
      </c>
      <c r="AY29" s="474" t="str">
        <f>+IF('(AS-400 Jembatan)'!AQ29=0," ",'(AS-400 Jembatan)'!AQ29+'(AS-400 Transfer)'!$BF29)</f>
        <v> </v>
      </c>
      <c r="AZ29" s="474" t="str">
        <f>+IF('(AS-400 Jembatan)'!AR29=0," ",'(AS-400 Jembatan)'!AR29+'(AS-400 Transfer)'!$BF29)</f>
        <v> </v>
      </c>
      <c r="BA29" s="474">
        <f>SUM(AV29:AV29)</f>
        <v>0</v>
      </c>
      <c r="BB29" s="474">
        <f>+GUM!Z35</f>
        <v>0</v>
      </c>
      <c r="BC29" s="474" t="e">
        <f>(BB29-BA29)/BD29</f>
        <v>#DIV/0!</v>
      </c>
      <c r="BD29" s="478">
        <f>+COUNT(AV29:AV29)</f>
        <v>0</v>
      </c>
      <c r="BE29" s="478" t="e">
        <f>+IF(BC29&lt;0,(ROUNDDOWN(BC29,0)),(ROUNDUP(BC29,0)))</f>
        <v>#DIV/0!</v>
      </c>
      <c r="BF29" s="488" t="e">
        <v>#DIV/0!</v>
      </c>
      <c r="BG29" s="482" t="str">
        <f>+IF('(AS-400 Jembatan)'!AW29=0," ",'(AS-400 Jembatan)'!AW29+'(AS-400 Transfer)'!$BQ29)</f>
        <v> </v>
      </c>
      <c r="BH29" s="474" t="str">
        <f>+IF('(AS-400 Jembatan)'!AX29=0," ",'(AS-400 Jembatan)'!AX29+'(AS-400 Transfer)'!$BQ29)</f>
        <v> </v>
      </c>
      <c r="BI29" s="483" t="str">
        <f>+IF('(AS-400 Jembatan)'!AY29=0," ",'(AS-400 Jembatan)'!AY29+'(AS-400 Transfer)'!$BQ29)</f>
        <v> </v>
      </c>
      <c r="BJ29" s="474" t="str">
        <f>+IF('(AS-400 Jembatan)'!AZ29=0," ",'(AS-400 Jembatan)'!AZ29+'(AS-400 Transfer)'!$BQ29)</f>
        <v> </v>
      </c>
      <c r="BK29" s="474" t="str">
        <f>+IF('(AS-400 Jembatan)'!BA29=0," ",'(AS-400 Jembatan)'!BA29+'(AS-400 Transfer)'!$BQ29)</f>
        <v> </v>
      </c>
      <c r="BL29" s="474">
        <f>SUM(BG29:BG29)</f>
        <v>0</v>
      </c>
      <c r="BM29" s="474">
        <f>+'(AS-400 Jembatan)'!BC29</f>
        <v/>
      </c>
      <c r="BN29" s="474" t="e">
        <f>(BM29-BL29)/BO29</f>
        <v>#DIV/0!</v>
      </c>
      <c r="BO29" s="478">
        <f>+COUNT(BG29:BG29)</f>
        <v>0</v>
      </c>
      <c r="BP29" s="478" t="e">
        <f>+IF(BN29&lt;0,(ROUNDDOWN(BN29,0)),(ROUNDUP(BN29,0)))</f>
        <v>#DIV/0!</v>
      </c>
      <c r="BQ29" s="488" t="e">
        <v>#DIV/0!</v>
      </c>
    </row>
    <row r="30" spans="1:142" customHeight="1" ht="15" hidden="true" s="473" customFormat="1">
      <c r="A30" s="1300"/>
      <c r="B30" s="895" t="str">
        <f>+GUM!C36</f>
        <v>82115-0E600 G</v>
      </c>
      <c r="C30" s="725" t="str">
        <f>'(AS-400 Jembatan)'!C30</f>
        <v>G 1001</v>
      </c>
      <c r="D30" s="550" t="e">
        <f>+IF('(AS-400 Jembatan)'!D30=0," ",'(AS-400 Jembatan)'!D$9+'(AS-400 Transfer)'!$N30)</f>
        <v>#REF!</v>
      </c>
      <c r="E30" s="476" t="e">
        <f>+IF('(AS-400 Jembatan)'!E30=0," ",'(AS-400 Jembatan)'!E$9+'(AS-400 Transfer)'!$N30)</f>
        <v>#REF!</v>
      </c>
      <c r="F30" s="476" t="e">
        <f>+IF('(AS-400 Jembatan)'!F30=0," ",'(AS-400 Jembatan)'!F$9+'(AS-400 Transfer)'!$N30)</f>
        <v>#REF!</v>
      </c>
      <c r="G30" s="476" t="e">
        <f>+IF('(AS-400 Jembatan)'!G30=0," ",'(AS-400 Jembatan)'!G$9+'(AS-400 Transfer)'!$N30)</f>
        <v>#REF!</v>
      </c>
      <c r="H30" s="476" t="str">
        <f>+IF('(AS-400 Jembatan)'!H30=0," ",'(AS-400 Jembatan)'!H$9+'(AS-400 Transfer)'!$N30)</f>
        <v> </v>
      </c>
      <c r="I30" s="476" t="e">
        <f>SUM(D30:D30)</f>
        <v>#REF!</v>
      </c>
      <c r="J30" s="477">
        <f>+'(AS-400 Jembatan)'!J30</f>
        <v>0</v>
      </c>
      <c r="K30" s="477" t="e">
        <f>(J30-I30)/L30</f>
        <v>#REF!</v>
      </c>
      <c r="L30" s="479">
        <f>+COUNT(D30:D30)</f>
        <v>0</v>
      </c>
      <c r="M30" s="479" t="e">
        <f>+IF(K30&lt;0,(ROUNDDOWN(K30,0)),(ROUNDUP(K30,0)))</f>
        <v>#REF!</v>
      </c>
      <c r="N30" s="479">
        <v>0.0</v>
      </c>
      <c r="O30" s="484" t="str">
        <f>+IF('(AS-400 Jembatan)'!M30=0," ",'(AS-400 Jembatan)'!M30+'(AS-400 Transfer)'!$Y30)</f>
        <v> </v>
      </c>
      <c r="P30" s="476" t="str">
        <f>+IF('(AS-400 Jembatan)'!N30=0," ",'(AS-400 Jembatan)'!N30+'(AS-400 Transfer)'!$Y30)</f>
        <v> </v>
      </c>
      <c r="Q30" s="504" t="str">
        <f>+IF('(AS-400 Jembatan)'!O30=0," ",'(AS-400 Jembatan)'!O30+'(AS-400 Transfer)'!$Y30)</f>
        <v> </v>
      </c>
      <c r="R30" s="476" t="str">
        <f>+IF('(AS-400 Jembatan)'!P30=0," ",'(AS-400 Jembatan)'!P30+'(AS-400 Transfer)'!$Y30)</f>
        <v> </v>
      </c>
      <c r="S30" s="476" t="str">
        <f>+IF('(AS-400 Jembatan)'!Q30=0," ",'(AS-400 Jembatan)'!Q30+'(AS-400 Transfer)'!$Y30)</f>
        <v> </v>
      </c>
      <c r="T30" s="476">
        <f>SUM(O30:O30)</f>
        <v>0</v>
      </c>
      <c r="U30" s="476">
        <f>+'(AS-400 Jembatan)'!S30</f>
        <v/>
      </c>
      <c r="V30" s="476" t="e">
        <f>(U30-T30)/W30</f>
        <v>#DIV/0!</v>
      </c>
      <c r="W30" s="479">
        <f>+COUNT(O30:O30)</f>
        <v>0</v>
      </c>
      <c r="X30" s="479" t="e">
        <f>+IF(V30&lt;0,(ROUNDDOWN(V30,0)),(ROUNDUP(V30,0)))</f>
        <v>#DIV/0!</v>
      </c>
      <c r="Y30" s="480" t="e">
        <v>#DIV/0!</v>
      </c>
      <c r="Z30" s="484" t="str">
        <f>+IF('(AS-400 Jembatan)'!V30=0," ",'(AS-400 Jembatan)'!V30+'(AS-400 Transfer)'!$AJ30)</f>
        <v> </v>
      </c>
      <c r="AA30" s="500" t="str">
        <f>+IF('(AS-400 Jembatan)'!W30=0," ",'(AS-400 Jembatan)'!W30+'(AS-400 Transfer)'!$AJ30)</f>
        <v> </v>
      </c>
      <c r="AB30" s="504" t="str">
        <f>+IF('(AS-400 Jembatan)'!X30=0," ",'(AS-400 Jembatan)'!X30+'(AS-400 Transfer)'!$AJ30)</f>
        <v> </v>
      </c>
      <c r="AC30" s="476" t="str">
        <f>+IF('(AS-400 Jembatan)'!Y30=0," ",'(AS-400 Jembatan)'!Y30+'(AS-400 Transfer)'!$AJ30)</f>
        <v> </v>
      </c>
      <c r="AD30" s="476" t="str">
        <f>+IF('(AS-400 Jembatan)'!Z30=0," ",'(AS-400 Jembatan)'!Z30+'(AS-400 Transfer)'!$AJ30)</f>
        <v> </v>
      </c>
      <c r="AE30" s="476">
        <f>SUM(Z30:Z30)</f>
        <v>0</v>
      </c>
      <c r="AF30" s="476">
        <f>+'(AS-400 Jembatan)'!AB30</f>
        <v/>
      </c>
      <c r="AG30" s="476" t="e">
        <f>(AF30-AE30)/AH30</f>
        <v>#DIV/0!</v>
      </c>
      <c r="AH30" s="479">
        <f>+COUNT(Z30:Z30)</f>
        <v>0</v>
      </c>
      <c r="AI30" s="477" t="e">
        <f>+IF(AG30&lt;0,(ROUNDDOWN(AG30,0)),(ROUNDUP(AG30,0)))</f>
        <v>#DIV/0!</v>
      </c>
      <c r="AJ30" s="487" t="e">
        <v>#DIV/0!</v>
      </c>
      <c r="AK30" s="484" t="str">
        <f>+IF('(AS-400 Jembatan)'!AE30=0," ",'(AS-400 Jembatan)'!AE30+'(AS-400 Transfer)'!$AU30)</f>
        <v> </v>
      </c>
      <c r="AL30" s="476" t="str">
        <f>+IF('(AS-400 Jembatan)'!AF30=0," ",'(AS-400 Jembatan)'!AF30+'(AS-400 Transfer)'!$AU30)</f>
        <v> </v>
      </c>
      <c r="AM30" s="504" t="str">
        <f>+IF('(AS-400 Jembatan)'!AG30=0," ",'(AS-400 Jembatan)'!AG30+'(AS-400 Transfer)'!$AU30)</f>
        <v> </v>
      </c>
      <c r="AN30" s="476" t="str">
        <f>+IF('(AS-400 Jembatan)'!AH30=0," ",'(AS-400 Jembatan)'!AH30+'(AS-400 Transfer)'!$AU30)</f>
        <v> </v>
      </c>
      <c r="AO30" s="476" t="str">
        <f>+IF('(AS-400 Jembatan)'!AI30=0," ",'(AS-400 Jembatan)'!AI30+'(AS-400 Transfer)'!$AU30)</f>
        <v> </v>
      </c>
      <c r="AP30" s="476">
        <f>SUM(AK30:AK30)</f>
        <v>0</v>
      </c>
      <c r="AQ30" s="476">
        <f>+'(AS-400 Jembatan)'!AK30</f>
        <v/>
      </c>
      <c r="AR30" s="476" t="e">
        <f>(AQ30-AP30)/AS30</f>
        <v>#DIV/0!</v>
      </c>
      <c r="AS30" s="479">
        <f>+COUNT(AK30:AK30)</f>
        <v>0</v>
      </c>
      <c r="AT30" s="479" t="e">
        <f>+IF(AR30&lt;0,(ROUNDDOWN(AR30,0)),(ROUNDUP(AR30,0)))</f>
        <v>#DIV/0!</v>
      </c>
      <c r="AU30" s="479" t="e">
        <v>#DIV/0!</v>
      </c>
      <c r="AV30" s="484" t="str">
        <f>+IF('(AS-400 Jembatan)'!AN30=0," ",'(AS-400 Jembatan)'!AN30+'(AS-400 Transfer)'!$BF30)</f>
        <v> </v>
      </c>
      <c r="AW30" s="476" t="str">
        <f>+IF('(AS-400 Jembatan)'!AO30=0," ",'(AS-400 Jembatan)'!AO30+'(AS-400 Transfer)'!$BF30)</f>
        <v> </v>
      </c>
      <c r="AX30" s="504" t="str">
        <f>+IF('(AS-400 Jembatan)'!AP30=0," ",'(AS-400 Jembatan)'!AP30+'(AS-400 Transfer)'!$BF30)</f>
        <v> </v>
      </c>
      <c r="AY30" s="476" t="str">
        <f>+IF('(AS-400 Jembatan)'!AQ30=0," ",'(AS-400 Jembatan)'!AQ30+'(AS-400 Transfer)'!$BF30)</f>
        <v> </v>
      </c>
      <c r="AZ30" s="476" t="str">
        <f>+IF('(AS-400 Jembatan)'!AR30=0," ",'(AS-400 Jembatan)'!AR30+'(AS-400 Transfer)'!$BF30)</f>
        <v> </v>
      </c>
      <c r="BA30" s="476">
        <f>SUM(AV30:AV30)</f>
        <v>0</v>
      </c>
      <c r="BB30" s="476">
        <f>+GUM!Z36</f>
        <v>0</v>
      </c>
      <c r="BC30" s="476" t="e">
        <f>(BB30-BA30)/BD30</f>
        <v>#DIV/0!</v>
      </c>
      <c r="BD30" s="479">
        <f>+COUNT(AV30:AV30)</f>
        <v>0</v>
      </c>
      <c r="BE30" s="479" t="e">
        <f>+IF(BC30&lt;0,(ROUNDDOWN(BC30,0)),(ROUNDUP(BC30,0)))</f>
        <v>#DIV/0!</v>
      </c>
      <c r="BF30" s="480" t="e">
        <v>#DIV/0!</v>
      </c>
      <c r="BG30" s="484" t="str">
        <f>+IF('(AS-400 Jembatan)'!AW30=0," ",'(AS-400 Jembatan)'!AW30+'(AS-400 Transfer)'!$BQ30)</f>
        <v> </v>
      </c>
      <c r="BH30" s="476" t="str">
        <f>+IF('(AS-400 Jembatan)'!AX30=0," ",'(AS-400 Jembatan)'!AX30+'(AS-400 Transfer)'!$BQ30)</f>
        <v> </v>
      </c>
      <c r="BI30" s="504" t="str">
        <f>+IF('(AS-400 Jembatan)'!AY30=0," ",'(AS-400 Jembatan)'!AY30+'(AS-400 Transfer)'!$BQ30)</f>
        <v> </v>
      </c>
      <c r="BJ30" s="476" t="str">
        <f>+IF('(AS-400 Jembatan)'!AZ30=0," ",'(AS-400 Jembatan)'!AZ30+'(AS-400 Transfer)'!$BQ30)</f>
        <v> </v>
      </c>
      <c r="BK30" s="476" t="str">
        <f>+IF('(AS-400 Jembatan)'!BA30=0," ",'(AS-400 Jembatan)'!BA30+'(AS-400 Transfer)'!$BQ30)</f>
        <v> </v>
      </c>
      <c r="BL30" s="476">
        <f>SUM(BG30:BG30)</f>
        <v>0</v>
      </c>
      <c r="BM30" s="476">
        <f>+'(AS-400 Jembatan)'!BC30</f>
        <v/>
      </c>
      <c r="BN30" s="476" t="e">
        <f>(BM30-BL30)/BO30</f>
        <v>#DIV/0!</v>
      </c>
      <c r="BO30" s="479">
        <f>+COUNT(BG30:BG30)</f>
        <v>0</v>
      </c>
      <c r="BP30" s="479" t="e">
        <f>+IF(BN30&lt;0,(ROUNDDOWN(BN30,0)),(ROUNDUP(BN30,0)))</f>
        <v>#DIV/0!</v>
      </c>
      <c r="BQ30" s="480" t="e">
        <v>#DIV/0!</v>
      </c>
    </row>
    <row r="31" spans="1:142" customHeight="1" ht="15" hidden="true" s="473" customFormat="1">
      <c r="A31" s="1300"/>
      <c r="B31" s="896" t="str">
        <f>+GUM!C37</f>
        <v>82115-0E610 G</v>
      </c>
      <c r="C31" s="496" t="str">
        <f>'(AS-400 Jembatan)'!C31</f>
        <v>G 1001</v>
      </c>
      <c r="D31" s="505" t="e">
        <f>+IF('(AS-400 Jembatan)'!D31=0," ",'(AS-400 Jembatan)'!D$10+'(AS-400 Transfer)'!$N31)</f>
        <v>#REF!</v>
      </c>
      <c r="E31" s="474" t="e">
        <f>+IF('(AS-400 Jembatan)'!E31=0," ",'(AS-400 Jembatan)'!E$10+'(AS-400 Transfer)'!$N31)</f>
        <v>#REF!</v>
      </c>
      <c r="F31" s="474" t="e">
        <f>+IF('(AS-400 Jembatan)'!F31=0," ",'(AS-400 Jembatan)'!F$10+'(AS-400 Transfer)'!$N31)</f>
        <v>#REF!</v>
      </c>
      <c r="G31" s="474" t="e">
        <f>+IF('(AS-400 Jembatan)'!G31=0," ",'(AS-400 Jembatan)'!G$10+'(AS-400 Transfer)'!$N31)</f>
        <v>#REF!</v>
      </c>
      <c r="H31" s="474" t="str">
        <f>+IF('(AS-400 Jembatan)'!H31=0," ",'(AS-400 Jembatan)'!H$9+'(AS-400 Transfer)'!$N31)</f>
        <v> </v>
      </c>
      <c r="I31" s="474" t="e">
        <f>SUM(D31:D31)</f>
        <v>#REF!</v>
      </c>
      <c r="J31" s="475">
        <f>+'(AS-400 Jembatan)'!J31</f>
        <v>0</v>
      </c>
      <c r="K31" s="475" t="e">
        <f>(J31-I31)/L31</f>
        <v>#REF!</v>
      </c>
      <c r="L31" s="478">
        <f>+COUNT(D31:D31)</f>
        <v>0</v>
      </c>
      <c r="M31" s="478" t="e">
        <f>+IF(K31&lt;0,(ROUNDDOWN(K31,0)),(ROUNDUP(K31,0)))</f>
        <v>#REF!</v>
      </c>
      <c r="N31" s="478" t="e">
        <v>#DIV/0!</v>
      </c>
      <c r="O31" s="482" t="str">
        <f>+IF('(AS-400 Jembatan)'!M31=0," ",'(AS-400 Jembatan)'!M31+'(AS-400 Transfer)'!$Y31)</f>
        <v> </v>
      </c>
      <c r="P31" s="474" t="str">
        <f>+IF('(AS-400 Jembatan)'!N31=0," ",'(AS-400 Jembatan)'!N31+'(AS-400 Transfer)'!$Y31)</f>
        <v> </v>
      </c>
      <c r="Q31" s="483" t="str">
        <f>+IF('(AS-400 Jembatan)'!O31=0," ",'(AS-400 Jembatan)'!O31+'(AS-400 Transfer)'!$Y31)</f>
        <v> </v>
      </c>
      <c r="R31" s="474" t="str">
        <f>+IF('(AS-400 Jembatan)'!P31=0," ",'(AS-400 Jembatan)'!P31+'(AS-400 Transfer)'!$Y31)</f>
        <v> </v>
      </c>
      <c r="S31" s="474" t="str">
        <f>+IF('(AS-400 Jembatan)'!Q31=0," ",'(AS-400 Jembatan)'!Q31+'(AS-400 Transfer)'!$Y31)</f>
        <v> </v>
      </c>
      <c r="T31" s="474">
        <f>SUM(O31:O31)</f>
        <v>0</v>
      </c>
      <c r="U31" s="474">
        <f>+'(AS-400 Jembatan)'!S31</f>
        <v/>
      </c>
      <c r="V31" s="474" t="e">
        <f>(U31-T31)/W31</f>
        <v>#DIV/0!</v>
      </c>
      <c r="W31" s="478">
        <f>+COUNT(O31:O31)</f>
        <v>0</v>
      </c>
      <c r="X31" s="478" t="e">
        <f>+IF(V31&lt;0,(ROUNDDOWN(V31,0)),(ROUNDUP(V31,0)))</f>
        <v>#DIV/0!</v>
      </c>
      <c r="Y31" s="488" t="e">
        <v>#DIV/0!</v>
      </c>
      <c r="Z31" s="482" t="str">
        <f>+IF('(AS-400 Jembatan)'!V31=0," ",'(AS-400 Jembatan)'!V31+'(AS-400 Transfer)'!$AJ31)</f>
        <v> </v>
      </c>
      <c r="AA31" s="494" t="str">
        <f>+IF('(AS-400 Jembatan)'!W31=0," ",'(AS-400 Jembatan)'!W31+'(AS-400 Transfer)'!$AJ31)</f>
        <v> </v>
      </c>
      <c r="AB31" s="483" t="str">
        <f>+IF('(AS-400 Jembatan)'!X31=0," ",'(AS-400 Jembatan)'!X31+'(AS-400 Transfer)'!$AJ31)</f>
        <v> </v>
      </c>
      <c r="AC31" s="474" t="str">
        <f>+IF('(AS-400 Jembatan)'!Y31=0," ",'(AS-400 Jembatan)'!Y31+'(AS-400 Transfer)'!$AJ31)</f>
        <v> </v>
      </c>
      <c r="AD31" s="474" t="str">
        <f>+IF('(AS-400 Jembatan)'!Z31=0," ",'(AS-400 Jembatan)'!Z31+'(AS-400 Transfer)'!$AJ31)</f>
        <v> </v>
      </c>
      <c r="AE31" s="474">
        <f>SUM(Z31:Z31)</f>
        <v>0</v>
      </c>
      <c r="AF31" s="474">
        <f>+'(AS-400 Jembatan)'!AB31</f>
        <v/>
      </c>
      <c r="AG31" s="474" t="e">
        <f>(AF31-AE31)/AH31</f>
        <v>#DIV/0!</v>
      </c>
      <c r="AH31" s="478">
        <f>+COUNT(Z31:Z31)</f>
        <v>0</v>
      </c>
      <c r="AI31" s="475" t="e">
        <f>+IF(AG31&lt;0,(ROUNDDOWN(AG31,0)),(ROUNDUP(AG31,0)))</f>
        <v>#DIV/0!</v>
      </c>
      <c r="AJ31" s="481" t="e">
        <v>#DIV/0!</v>
      </c>
      <c r="AK31" s="482" t="str">
        <f>+IF('(AS-400 Jembatan)'!AE31=0," ",'(AS-400 Jembatan)'!AE31+'(AS-400 Transfer)'!$AU31)</f>
        <v> </v>
      </c>
      <c r="AL31" s="474" t="str">
        <f>+IF('(AS-400 Jembatan)'!AF31=0," ",'(AS-400 Jembatan)'!AF31+'(AS-400 Transfer)'!$AU31)</f>
        <v> </v>
      </c>
      <c r="AM31" s="483" t="str">
        <f>+IF('(AS-400 Jembatan)'!AG31=0," ",'(AS-400 Jembatan)'!AG31+'(AS-400 Transfer)'!$AU31)</f>
        <v> </v>
      </c>
      <c r="AN31" s="474" t="str">
        <f>+IF('(AS-400 Jembatan)'!AH31=0," ",'(AS-400 Jembatan)'!AH31+'(AS-400 Transfer)'!$AU31)</f>
        <v> </v>
      </c>
      <c r="AO31" s="474" t="str">
        <f>+IF('(AS-400 Jembatan)'!AI31=0," ",'(AS-400 Jembatan)'!AI31+'(AS-400 Transfer)'!$AU31)</f>
        <v> </v>
      </c>
      <c r="AP31" s="474">
        <f>SUM(AK31:AK31)</f>
        <v>0</v>
      </c>
      <c r="AQ31" s="474">
        <f>+'(AS-400 Jembatan)'!AK31</f>
        <v/>
      </c>
      <c r="AR31" s="474" t="e">
        <f>(AQ31-AP31)/AS31</f>
        <v>#DIV/0!</v>
      </c>
      <c r="AS31" s="478">
        <f>+COUNT(AK31:AK31)</f>
        <v>0</v>
      </c>
      <c r="AT31" s="478" t="e">
        <f>+IF(AR31&lt;0,(ROUNDDOWN(AR31,0)),(ROUNDUP(AR31,0)))</f>
        <v>#DIV/0!</v>
      </c>
      <c r="AU31" s="478" t="e">
        <v>#DIV/0!</v>
      </c>
      <c r="AV31" s="482" t="str">
        <f>+IF('(AS-400 Jembatan)'!AN31=0," ",'(AS-400 Jembatan)'!AN31+'(AS-400 Transfer)'!$BF31)</f>
        <v> </v>
      </c>
      <c r="AW31" s="474" t="str">
        <f>+IF('(AS-400 Jembatan)'!AO31=0," ",'(AS-400 Jembatan)'!AO31+'(AS-400 Transfer)'!$BF31)</f>
        <v> </v>
      </c>
      <c r="AX31" s="483" t="str">
        <f>+IF('(AS-400 Jembatan)'!AP31=0," ",'(AS-400 Jembatan)'!AP31+'(AS-400 Transfer)'!$BF31)</f>
        <v> </v>
      </c>
      <c r="AY31" s="474" t="str">
        <f>+IF('(AS-400 Jembatan)'!AQ31=0," ",'(AS-400 Jembatan)'!AQ31+'(AS-400 Transfer)'!$BF31)</f>
        <v> </v>
      </c>
      <c r="AZ31" s="474" t="str">
        <f>+IF('(AS-400 Jembatan)'!AR31=0," ",'(AS-400 Jembatan)'!AR31+'(AS-400 Transfer)'!$BF31)</f>
        <v> </v>
      </c>
      <c r="BA31" s="474">
        <f>SUM(AV31:AV31)</f>
        <v>0</v>
      </c>
      <c r="BB31" s="474">
        <f>+GUM!Z37</f>
        <v>0</v>
      </c>
      <c r="BC31" s="474" t="e">
        <f>(BB31-BA31)/BD31</f>
        <v>#DIV/0!</v>
      </c>
      <c r="BD31" s="478">
        <f>+COUNT(AV31:AV31)</f>
        <v>0</v>
      </c>
      <c r="BE31" s="478" t="e">
        <f>+IF(BC31&lt;0,(ROUNDDOWN(BC31,0)),(ROUNDUP(BC31,0)))</f>
        <v>#DIV/0!</v>
      </c>
      <c r="BF31" s="488" t="e">
        <v>#DIV/0!</v>
      </c>
      <c r="BG31" s="482" t="str">
        <f>+IF('(AS-400 Jembatan)'!AW31=0," ",'(AS-400 Jembatan)'!AW31+'(AS-400 Transfer)'!$BQ31)</f>
        <v> </v>
      </c>
      <c r="BH31" s="474" t="str">
        <f>+IF('(AS-400 Jembatan)'!AX31=0," ",'(AS-400 Jembatan)'!AX31+'(AS-400 Transfer)'!$BQ31)</f>
        <v> </v>
      </c>
      <c r="BI31" s="483" t="str">
        <f>+IF('(AS-400 Jembatan)'!AY31=0," ",'(AS-400 Jembatan)'!AY31+'(AS-400 Transfer)'!$BQ31)</f>
        <v> </v>
      </c>
      <c r="BJ31" s="474" t="str">
        <f>+IF('(AS-400 Jembatan)'!AZ31=0," ",'(AS-400 Jembatan)'!AZ31+'(AS-400 Transfer)'!$BQ31)</f>
        <v> </v>
      </c>
      <c r="BK31" s="474" t="str">
        <f>+IF('(AS-400 Jembatan)'!BA31=0," ",'(AS-400 Jembatan)'!BA31+'(AS-400 Transfer)'!$BQ31)</f>
        <v> </v>
      </c>
      <c r="BL31" s="474">
        <f>SUM(BG31:BG31)</f>
        <v>0</v>
      </c>
      <c r="BM31" s="474">
        <f>+'(AS-400 Jembatan)'!BC31</f>
        <v/>
      </c>
      <c r="BN31" s="474" t="e">
        <f>(BM31-BL31)/BO31</f>
        <v>#DIV/0!</v>
      </c>
      <c r="BO31" s="478">
        <f>+COUNT(BG31:BG31)</f>
        <v>0</v>
      </c>
      <c r="BP31" s="478" t="e">
        <f>+IF(BN31&lt;0,(ROUNDDOWN(BN31,0)),(ROUNDUP(BN31,0)))</f>
        <v>#DIV/0!</v>
      </c>
      <c r="BQ31" s="488" t="e">
        <v>#DIV/0!</v>
      </c>
    </row>
    <row r="32" spans="1:142" customHeight="1" ht="15" hidden="true" s="473" customFormat="1">
      <c r="A32" s="1300"/>
      <c r="B32" s="896" t="str">
        <f>+GUM!C38</f>
        <v>82115-0E620 G</v>
      </c>
      <c r="C32" s="496" t="str">
        <f>'(AS-400 Jembatan)'!C32</f>
        <v>G 1001</v>
      </c>
      <c r="D32" s="505" t="e">
        <f>+IF('(AS-400 Jembatan)'!D32=0," ",'(AS-400 Jembatan)'!D$10+'(AS-400 Transfer)'!$N32)</f>
        <v>#REF!</v>
      </c>
      <c r="E32" s="474" t="e">
        <f>+IF('(AS-400 Jembatan)'!E32=0," ",'(AS-400 Jembatan)'!E$10+'(AS-400 Transfer)'!$N32)</f>
        <v>#REF!</v>
      </c>
      <c r="F32" s="474" t="e">
        <f>+IF('(AS-400 Jembatan)'!F32=0," ",'(AS-400 Jembatan)'!F$10+'(AS-400 Transfer)'!$N32)</f>
        <v>#REF!</v>
      </c>
      <c r="G32" s="474" t="e">
        <f>+IF('(AS-400 Jembatan)'!G32=0," ",'(AS-400 Jembatan)'!G$10+'(AS-400 Transfer)'!$N32)</f>
        <v>#REF!</v>
      </c>
      <c r="H32" s="474" t="str">
        <f>+IF('(AS-400 Jembatan)'!H32=0," ",'(AS-400 Jembatan)'!H$9+'(AS-400 Transfer)'!$N32)</f>
        <v> </v>
      </c>
      <c r="I32" s="474" t="e">
        <f>SUM(D32:D32)</f>
        <v>#REF!</v>
      </c>
      <c r="J32" s="475">
        <f>+'(AS-400 Jembatan)'!J32</f>
        <v>0</v>
      </c>
      <c r="K32" s="475" t="e">
        <f>(J32-I32)/L32</f>
        <v>#REF!</v>
      </c>
      <c r="L32" s="478">
        <f>+COUNT(D32:D32)</f>
        <v>0</v>
      </c>
      <c r="M32" s="478" t="e">
        <f>+IF(K32&lt;0,(ROUNDDOWN(K32,0)),(ROUNDUP(K32,0)))</f>
        <v>#REF!</v>
      </c>
      <c r="N32" s="478" t="e">
        <v>#DIV/0!</v>
      </c>
      <c r="O32" s="482" t="str">
        <f>+IF('(AS-400 Jembatan)'!M32=0," ",'(AS-400 Jembatan)'!M32+'(AS-400 Transfer)'!$Y32)</f>
        <v> </v>
      </c>
      <c r="P32" s="474" t="str">
        <f>+IF('(AS-400 Jembatan)'!N32=0," ",'(AS-400 Jembatan)'!N32+'(AS-400 Transfer)'!$Y32)</f>
        <v> </v>
      </c>
      <c r="Q32" s="483" t="str">
        <f>+IF('(AS-400 Jembatan)'!O32=0," ",'(AS-400 Jembatan)'!O32+'(AS-400 Transfer)'!$Y32)</f>
        <v> </v>
      </c>
      <c r="R32" s="474" t="str">
        <f>+IF('(AS-400 Jembatan)'!P32=0," ",'(AS-400 Jembatan)'!P32+'(AS-400 Transfer)'!$Y32)</f>
        <v> </v>
      </c>
      <c r="S32" s="474" t="str">
        <f>+IF('(AS-400 Jembatan)'!Q32=0," ",'(AS-400 Jembatan)'!Q32+'(AS-400 Transfer)'!$Y32)</f>
        <v> </v>
      </c>
      <c r="T32" s="474">
        <f>SUM(O32:O32)</f>
        <v>0</v>
      </c>
      <c r="U32" s="474">
        <f>+'(AS-400 Jembatan)'!S32</f>
        <v/>
      </c>
      <c r="V32" s="474" t="e">
        <f>(U32-T32)/W32</f>
        <v>#DIV/0!</v>
      </c>
      <c r="W32" s="478">
        <f>+COUNT(O32:O32)</f>
        <v>0</v>
      </c>
      <c r="X32" s="478" t="e">
        <f>+IF(V32&lt;0,(ROUNDDOWN(V32,0)),(ROUNDUP(V32,0)))</f>
        <v>#DIV/0!</v>
      </c>
      <c r="Y32" s="488" t="e">
        <v>#DIV/0!</v>
      </c>
      <c r="Z32" s="482" t="str">
        <f>+IF('(AS-400 Jembatan)'!V32=0," ",'(AS-400 Jembatan)'!V32+'(AS-400 Transfer)'!$AJ32)</f>
        <v> </v>
      </c>
      <c r="AA32" s="494" t="str">
        <f>+IF('(AS-400 Jembatan)'!W32=0," ",'(AS-400 Jembatan)'!W32+'(AS-400 Transfer)'!$AJ32)</f>
        <v> </v>
      </c>
      <c r="AB32" s="483" t="str">
        <f>+IF('(AS-400 Jembatan)'!X32=0," ",'(AS-400 Jembatan)'!X32+'(AS-400 Transfer)'!$AJ32)</f>
        <v> </v>
      </c>
      <c r="AC32" s="474" t="str">
        <f>+IF('(AS-400 Jembatan)'!Y32=0," ",'(AS-400 Jembatan)'!Y32+'(AS-400 Transfer)'!$AJ32)</f>
        <v> </v>
      </c>
      <c r="AD32" s="474" t="str">
        <f>+IF('(AS-400 Jembatan)'!Z32=0," ",'(AS-400 Jembatan)'!Z32+'(AS-400 Transfer)'!$AJ32)</f>
        <v> </v>
      </c>
      <c r="AE32" s="474">
        <f>SUM(Z32:Z32)</f>
        <v>0</v>
      </c>
      <c r="AF32" s="474">
        <f>+'(AS-400 Jembatan)'!AB32</f>
        <v/>
      </c>
      <c r="AG32" s="474" t="e">
        <f>(AF32-AE32)/AH32</f>
        <v>#DIV/0!</v>
      </c>
      <c r="AH32" s="478">
        <f>+COUNT(Z32:Z32)</f>
        <v>0</v>
      </c>
      <c r="AI32" s="475" t="e">
        <f>+IF(AG32&lt;0,(ROUNDDOWN(AG32,0)),(ROUNDUP(AG32,0)))</f>
        <v>#DIV/0!</v>
      </c>
      <c r="AJ32" s="481" t="e">
        <v>#DIV/0!</v>
      </c>
      <c r="AK32" s="482" t="str">
        <f>+IF('(AS-400 Jembatan)'!AE32=0," ",'(AS-400 Jembatan)'!AE32+'(AS-400 Transfer)'!$AU32)</f>
        <v> </v>
      </c>
      <c r="AL32" s="474" t="str">
        <f>+IF('(AS-400 Jembatan)'!AF32=0," ",'(AS-400 Jembatan)'!AF32+'(AS-400 Transfer)'!$AU32)</f>
        <v> </v>
      </c>
      <c r="AM32" s="483" t="str">
        <f>+IF('(AS-400 Jembatan)'!AG32=0," ",'(AS-400 Jembatan)'!AG32+'(AS-400 Transfer)'!$AU32)</f>
        <v> </v>
      </c>
      <c r="AN32" s="474" t="str">
        <f>+IF('(AS-400 Jembatan)'!AH32=0," ",'(AS-400 Jembatan)'!AH32+'(AS-400 Transfer)'!$AU32)</f>
        <v> </v>
      </c>
      <c r="AO32" s="474" t="str">
        <f>+IF('(AS-400 Jembatan)'!AI32=0," ",'(AS-400 Jembatan)'!AI32+'(AS-400 Transfer)'!$AU32)</f>
        <v> </v>
      </c>
      <c r="AP32" s="474">
        <f>SUM(AK32:AK32)</f>
        <v>0</v>
      </c>
      <c r="AQ32" s="474">
        <f>+'(AS-400 Jembatan)'!AK32</f>
        <v/>
      </c>
      <c r="AR32" s="474" t="e">
        <f>(AQ32-AP32)/AS32</f>
        <v>#DIV/0!</v>
      </c>
      <c r="AS32" s="478">
        <f>+COUNT(AK32:AK32)</f>
        <v>0</v>
      </c>
      <c r="AT32" s="478" t="e">
        <f>+IF(AR32&lt;0,(ROUNDDOWN(AR32,0)),(ROUNDUP(AR32,0)))</f>
        <v>#DIV/0!</v>
      </c>
      <c r="AU32" s="478" t="e">
        <v>#DIV/0!</v>
      </c>
      <c r="AV32" s="482" t="str">
        <f>+IF('(AS-400 Jembatan)'!AN32=0," ",'(AS-400 Jembatan)'!AN32+'(AS-400 Transfer)'!$BF32)</f>
        <v> </v>
      </c>
      <c r="AW32" s="474" t="str">
        <f>+IF('(AS-400 Jembatan)'!AO32=0," ",'(AS-400 Jembatan)'!AO32+'(AS-400 Transfer)'!$BF32)</f>
        <v> </v>
      </c>
      <c r="AX32" s="483" t="str">
        <f>+IF('(AS-400 Jembatan)'!AP32=0," ",'(AS-400 Jembatan)'!AP32+'(AS-400 Transfer)'!$BF32)</f>
        <v> </v>
      </c>
      <c r="AY32" s="474" t="str">
        <f>+IF('(AS-400 Jembatan)'!AQ32=0," ",'(AS-400 Jembatan)'!AQ32+'(AS-400 Transfer)'!$BF32)</f>
        <v> </v>
      </c>
      <c r="AZ32" s="474" t="str">
        <f>+IF('(AS-400 Jembatan)'!AR32=0," ",'(AS-400 Jembatan)'!AR32+'(AS-400 Transfer)'!$BF32)</f>
        <v> </v>
      </c>
      <c r="BA32" s="474">
        <f>SUM(AV32:AV32)</f>
        <v>0</v>
      </c>
      <c r="BB32" s="474">
        <f>+GUM!Z38</f>
        <v>0</v>
      </c>
      <c r="BC32" s="474" t="e">
        <f>(BB32-BA32)/BD32</f>
        <v>#DIV/0!</v>
      </c>
      <c r="BD32" s="478">
        <f>+COUNT(AV32:AV32)</f>
        <v>0</v>
      </c>
      <c r="BE32" s="478" t="e">
        <f>+IF(BC32&lt;0,(ROUNDDOWN(BC32,0)),(ROUNDUP(BC32,0)))</f>
        <v>#DIV/0!</v>
      </c>
      <c r="BF32" s="488" t="e">
        <v>#DIV/0!</v>
      </c>
      <c r="BG32" s="482" t="str">
        <f>+IF('(AS-400 Jembatan)'!AW32=0," ",'(AS-400 Jembatan)'!AW32+'(AS-400 Transfer)'!$BQ32)</f>
        <v> </v>
      </c>
      <c r="BH32" s="474" t="str">
        <f>+IF('(AS-400 Jembatan)'!AX32=0," ",'(AS-400 Jembatan)'!AX32+'(AS-400 Transfer)'!$BQ32)</f>
        <v> </v>
      </c>
      <c r="BI32" s="483" t="str">
        <f>+IF('(AS-400 Jembatan)'!AY32=0," ",'(AS-400 Jembatan)'!AY32+'(AS-400 Transfer)'!$BQ32)</f>
        <v> </v>
      </c>
      <c r="BJ32" s="474" t="str">
        <f>+IF('(AS-400 Jembatan)'!AZ32=0," ",'(AS-400 Jembatan)'!AZ32+'(AS-400 Transfer)'!$BQ32)</f>
        <v> </v>
      </c>
      <c r="BK32" s="474" t="str">
        <f>+IF('(AS-400 Jembatan)'!BA32=0," ",'(AS-400 Jembatan)'!BA32+'(AS-400 Transfer)'!$BQ32)</f>
        <v> </v>
      </c>
      <c r="BL32" s="474">
        <f>SUM(BG32:BG32)</f>
        <v>0</v>
      </c>
      <c r="BM32" s="474">
        <f>+'(AS-400 Jembatan)'!BC32</f>
        <v/>
      </c>
      <c r="BN32" s="474" t="e">
        <f>(BM32-BL32)/BO32</f>
        <v>#DIV/0!</v>
      </c>
      <c r="BO32" s="478">
        <f>+COUNT(BG32:BG32)</f>
        <v>0</v>
      </c>
      <c r="BP32" s="478" t="e">
        <f>+IF(BN32&lt;0,(ROUNDDOWN(BN32,0)),(ROUNDUP(BN32,0)))</f>
        <v>#DIV/0!</v>
      </c>
      <c r="BQ32" s="488" t="e">
        <v>#DIV/0!</v>
      </c>
    </row>
    <row r="33" spans="1:142" customHeight="1" ht="15" hidden="true" s="473" customFormat="1">
      <c r="A33" s="1300"/>
      <c r="B33" s="896" t="str">
        <f>+GUM!C39</f>
        <v>82115-0EA40 G</v>
      </c>
      <c r="C33" s="496" t="str">
        <f>'(AS-400 Jembatan)'!C33</f>
        <v>G 1001</v>
      </c>
      <c r="D33" s="505" t="e">
        <f>+IF('(AS-400 Jembatan)'!D33=0," ",'(AS-400 Jembatan)'!D$10+'(AS-400 Transfer)'!$N33)</f>
        <v>#REF!</v>
      </c>
      <c r="E33" s="474" t="e">
        <f>+IF('(AS-400 Jembatan)'!E33=0," ",'(AS-400 Jembatan)'!E$10+'(AS-400 Transfer)'!$N33)</f>
        <v>#REF!</v>
      </c>
      <c r="F33" s="474" t="e">
        <f>+IF('(AS-400 Jembatan)'!F33=0," ",'(AS-400 Jembatan)'!F$10+'(AS-400 Transfer)'!$N33)</f>
        <v>#REF!</v>
      </c>
      <c r="G33" s="474" t="e">
        <f>+IF('(AS-400 Jembatan)'!G33=0," ",'(AS-400 Jembatan)'!G$10+'(AS-400 Transfer)'!$N33)</f>
        <v>#REF!</v>
      </c>
      <c r="H33" s="474" t="str">
        <f>+IF('(AS-400 Jembatan)'!H33=0," ",'(AS-400 Jembatan)'!H$9+'(AS-400 Transfer)'!$N33)</f>
        <v> </v>
      </c>
      <c r="I33" s="474" t="e">
        <f>SUM(D33:H33)</f>
        <v>#REF!</v>
      </c>
      <c r="J33" s="475">
        <f>+'(AS-400 Jembatan)'!J33</f>
        <v>0</v>
      </c>
      <c r="K33" s="475" t="e">
        <f>(J33-I33)/L33</f>
        <v>#REF!</v>
      </c>
      <c r="L33" s="478">
        <f>+COUNT(D33:D33)</f>
        <v>0</v>
      </c>
      <c r="M33" s="478" t="e">
        <f>+IF(K33&lt;0,(ROUNDDOWN(K33,0)),(ROUNDUP(K33,0)))</f>
        <v>#REF!</v>
      </c>
      <c r="N33" s="478" t="e">
        <v>#DIV/0!</v>
      </c>
      <c r="O33" s="482" t="str">
        <f>+IF('(AS-400 Jembatan)'!M33=0," ",'(AS-400 Jembatan)'!M33+'(AS-400 Transfer)'!$Y33)</f>
        <v> </v>
      </c>
      <c r="P33" s="474" t="str">
        <f>+IF('(AS-400 Jembatan)'!N33=0," ",'(AS-400 Jembatan)'!N33+'(AS-400 Transfer)'!$Y33)</f>
        <v> </v>
      </c>
      <c r="Q33" s="483" t="str">
        <f>+IF('(AS-400 Jembatan)'!O33=0," ",'(AS-400 Jembatan)'!O33+'(AS-400 Transfer)'!$Y33)</f>
        <v> </v>
      </c>
      <c r="R33" s="474" t="str">
        <f>+IF('(AS-400 Jembatan)'!P33=0," ",'(AS-400 Jembatan)'!P33+'(AS-400 Transfer)'!$Y33)</f>
        <v> </v>
      </c>
      <c r="S33" s="474" t="str">
        <f>+IF('(AS-400 Jembatan)'!Q33=0," ",'(AS-400 Jembatan)'!Q33+'(AS-400 Transfer)'!$Y33)</f>
        <v> </v>
      </c>
      <c r="T33" s="474">
        <f>SUM(O33:O33)</f>
        <v>0</v>
      </c>
      <c r="U33" s="474">
        <f>+'(AS-400 Jembatan)'!S33</f>
        <v/>
      </c>
      <c r="V33" s="474" t="e">
        <f>(U33-T33)/W33</f>
        <v>#DIV/0!</v>
      </c>
      <c r="W33" s="478">
        <f>+COUNT(O33:O33)</f>
        <v>0</v>
      </c>
      <c r="X33" s="478" t="e">
        <f>+IF(V33&lt;0,(ROUNDDOWN(V33,0)),(ROUNDUP(V33,0)))</f>
        <v>#DIV/0!</v>
      </c>
      <c r="Y33" s="488" t="e">
        <v>#DIV/0!</v>
      </c>
      <c r="Z33" s="482" t="str">
        <f>+IF('(AS-400 Jembatan)'!V33=0," ",'(AS-400 Jembatan)'!V33+'(AS-400 Transfer)'!$AJ33)</f>
        <v> </v>
      </c>
      <c r="AA33" s="494" t="str">
        <f>+IF('(AS-400 Jembatan)'!W33=0," ",'(AS-400 Jembatan)'!W33+'(AS-400 Transfer)'!$AJ33)</f>
        <v> </v>
      </c>
      <c r="AB33" s="483" t="str">
        <f>+IF('(AS-400 Jembatan)'!X33=0," ",'(AS-400 Jembatan)'!X33+'(AS-400 Transfer)'!$AJ33)</f>
        <v> </v>
      </c>
      <c r="AC33" s="474" t="str">
        <f>+IF('(AS-400 Jembatan)'!Y33=0," ",'(AS-400 Jembatan)'!Y33+'(AS-400 Transfer)'!$AJ33)</f>
        <v> </v>
      </c>
      <c r="AD33" s="474" t="str">
        <f>+IF('(AS-400 Jembatan)'!Z33=0," ",'(AS-400 Jembatan)'!Z33+'(AS-400 Transfer)'!$AJ33)</f>
        <v> </v>
      </c>
      <c r="AE33" s="474">
        <f>SUM(Z33:Z33)</f>
        <v>0</v>
      </c>
      <c r="AF33" s="474">
        <f>+'(AS-400 Jembatan)'!AB33</f>
        <v/>
      </c>
      <c r="AG33" s="474" t="e">
        <f>(AF33-AE33)/AH33</f>
        <v>#DIV/0!</v>
      </c>
      <c r="AH33" s="478">
        <f>+COUNT(Z33:Z33)</f>
        <v>0</v>
      </c>
      <c r="AI33" s="475" t="e">
        <f>+IF(AG33&lt;0,(ROUNDDOWN(AG33,0)),(ROUNDUP(AG33,0)))</f>
        <v>#DIV/0!</v>
      </c>
      <c r="AJ33" s="481" t="e">
        <v>#DIV/0!</v>
      </c>
      <c r="AK33" s="482" t="str">
        <f>+IF('(AS-400 Jembatan)'!AE33=0," ",'(AS-400 Jembatan)'!AE33+'(AS-400 Transfer)'!$AU33)</f>
        <v> </v>
      </c>
      <c r="AL33" s="474" t="str">
        <f>+IF('(AS-400 Jembatan)'!AF33=0," ",'(AS-400 Jembatan)'!AF33+'(AS-400 Transfer)'!$AU33)</f>
        <v> </v>
      </c>
      <c r="AM33" s="483" t="str">
        <f>+IF('(AS-400 Jembatan)'!AG33=0," ",'(AS-400 Jembatan)'!AG33+'(AS-400 Transfer)'!$AU33)</f>
        <v> </v>
      </c>
      <c r="AN33" s="474" t="str">
        <f>+IF('(AS-400 Jembatan)'!AH33=0," ",'(AS-400 Jembatan)'!AH33+'(AS-400 Transfer)'!$AU33)</f>
        <v> </v>
      </c>
      <c r="AO33" s="474" t="str">
        <f>+IF('(AS-400 Jembatan)'!AI33=0," ",'(AS-400 Jembatan)'!AI33+'(AS-400 Transfer)'!$AU33)</f>
        <v> </v>
      </c>
      <c r="AP33" s="474">
        <f>SUM(AK33:AK33)</f>
        <v>0</v>
      </c>
      <c r="AQ33" s="474">
        <f>+'(AS-400 Jembatan)'!AK33</f>
        <v/>
      </c>
      <c r="AR33" s="474" t="e">
        <f>(AQ33-AP33)/AS33</f>
        <v>#DIV/0!</v>
      </c>
      <c r="AS33" s="478">
        <f>+COUNT(AK33:AK33)</f>
        <v>0</v>
      </c>
      <c r="AT33" s="478" t="e">
        <f>+IF(AR33&lt;0,(ROUNDDOWN(AR33,0)),(ROUNDUP(AR33,0)))</f>
        <v>#DIV/0!</v>
      </c>
      <c r="AU33" s="478" t="e">
        <v>#DIV/0!</v>
      </c>
      <c r="AV33" s="482" t="str">
        <f>+IF('(AS-400 Jembatan)'!AN33=0," ",'(AS-400 Jembatan)'!AN33+'(AS-400 Transfer)'!$BF33)</f>
        <v> </v>
      </c>
      <c r="AW33" s="474" t="str">
        <f>+IF('(AS-400 Jembatan)'!AO33=0," ",'(AS-400 Jembatan)'!AO33+'(AS-400 Transfer)'!$BF33)</f>
        <v> </v>
      </c>
      <c r="AX33" s="483" t="str">
        <f>+IF('(AS-400 Jembatan)'!AP33=0," ",'(AS-400 Jembatan)'!AP33+'(AS-400 Transfer)'!$BF33)</f>
        <v> </v>
      </c>
      <c r="AY33" s="474" t="str">
        <f>+IF('(AS-400 Jembatan)'!AQ33=0," ",'(AS-400 Jembatan)'!AQ33+'(AS-400 Transfer)'!$BF33)</f>
        <v> </v>
      </c>
      <c r="AZ33" s="474" t="str">
        <f>+IF('(AS-400 Jembatan)'!AR33=0," ",'(AS-400 Jembatan)'!AR33+'(AS-400 Transfer)'!$BF33)</f>
        <v> </v>
      </c>
      <c r="BA33" s="474">
        <f>SUM(AV33:AV33)</f>
        <v>0</v>
      </c>
      <c r="BB33" s="474">
        <f>+GUM!Z39</f>
        <v>0</v>
      </c>
      <c r="BC33" s="474" t="e">
        <f>(BB33-BA33)/BD33</f>
        <v>#DIV/0!</v>
      </c>
      <c r="BD33" s="478">
        <f>+COUNT(AV33:AV33)</f>
        <v>0</v>
      </c>
      <c r="BE33" s="478" t="e">
        <f>+IF(BC33&lt;0,(ROUNDDOWN(BC33,0)),(ROUNDUP(BC33,0)))</f>
        <v>#DIV/0!</v>
      </c>
      <c r="BF33" s="488" t="e">
        <v>#DIV/0!</v>
      </c>
      <c r="BG33" s="482" t="str">
        <f>+IF('(AS-400 Jembatan)'!AW33=0," ",'(AS-400 Jembatan)'!AW33+'(AS-400 Transfer)'!$BQ33)</f>
        <v> </v>
      </c>
      <c r="BH33" s="474" t="str">
        <f>+IF('(AS-400 Jembatan)'!AX33=0," ",'(AS-400 Jembatan)'!AX33+'(AS-400 Transfer)'!$BQ33)</f>
        <v> </v>
      </c>
      <c r="BI33" s="483" t="str">
        <f>+IF('(AS-400 Jembatan)'!AY33=0," ",'(AS-400 Jembatan)'!AY33+'(AS-400 Transfer)'!$BQ33)</f>
        <v> </v>
      </c>
      <c r="BJ33" s="474" t="str">
        <f>+IF('(AS-400 Jembatan)'!AZ33=0," ",'(AS-400 Jembatan)'!AZ33+'(AS-400 Transfer)'!$BQ33)</f>
        <v> </v>
      </c>
      <c r="BK33" s="474" t="str">
        <f>+IF('(AS-400 Jembatan)'!BA33=0," ",'(AS-400 Jembatan)'!BA33+'(AS-400 Transfer)'!$BQ33)</f>
        <v> </v>
      </c>
      <c r="BL33" s="474">
        <f>SUM(BG33:BG33)</f>
        <v>0</v>
      </c>
      <c r="BM33" s="474">
        <f>+'(AS-400 Jembatan)'!BC33</f>
        <v/>
      </c>
      <c r="BN33" s="474" t="e">
        <f>(BM33-BL33)/BO33</f>
        <v>#DIV/0!</v>
      </c>
      <c r="BO33" s="478">
        <f>+COUNT(BG33:BG33)</f>
        <v>0</v>
      </c>
      <c r="BP33" s="478" t="e">
        <f>+IF(BN33&lt;0,(ROUNDDOWN(BN33,0)),(ROUNDUP(BN33,0)))</f>
        <v>#DIV/0!</v>
      </c>
      <c r="BQ33" s="488" t="e">
        <v>#DIV/0!</v>
      </c>
    </row>
    <row r="34" spans="1:142" customHeight="1" ht="15" hidden="true" s="473" customFormat="1">
      <c r="A34" s="1300"/>
      <c r="B34" s="896" t="str">
        <f>+GUM!C40</f>
        <v>82115-0EA50 G</v>
      </c>
      <c r="C34" s="496" t="str">
        <f>'(AS-400 Jembatan)'!C33</f>
        <v>G 1001</v>
      </c>
      <c r="D34" s="505" t="e">
        <f>+IF('(AS-400 Jembatan)'!D33=0," ",'(AS-400 Jembatan)'!D$12+'(AS-400 Transfer)'!$N34)</f>
        <v>#REF!</v>
      </c>
      <c r="E34" s="474" t="e">
        <f>+IF('(AS-400 Jembatan)'!E33=0," ",'(AS-400 Jembatan)'!E$12+'(AS-400 Transfer)'!$N34)</f>
        <v>#REF!</v>
      </c>
      <c r="F34" s="474" t="e">
        <f>+IF('(AS-400 Jembatan)'!F33=0," ",'(AS-400 Jembatan)'!F$12+'(AS-400 Transfer)'!$N34)</f>
        <v>#REF!</v>
      </c>
      <c r="G34" s="474" t="e">
        <f>+IF('(AS-400 Jembatan)'!G33=0," ",'(AS-400 Jembatan)'!G$12+'(AS-400 Transfer)'!$N34)</f>
        <v>#REF!</v>
      </c>
      <c r="H34" s="474" t="str">
        <f>+IF('(AS-400 Jembatan)'!H33=0," ",'(AS-400 Jembatan)'!H$12+'(AS-400 Transfer)'!$N34)</f>
        <v> </v>
      </c>
      <c r="I34" s="474" t="e">
        <f>SUM(D34:H34)</f>
        <v>#REF!</v>
      </c>
      <c r="J34" s="475">
        <f>+'(AS-400 Jembatan)'!J33</f>
        <v>0</v>
      </c>
      <c r="K34" s="475" t="e">
        <f>(J34-I34)/L34</f>
        <v>#REF!</v>
      </c>
      <c r="L34" s="478">
        <f>+COUNT(D34:D34)</f>
        <v>0</v>
      </c>
      <c r="M34" s="478" t="e">
        <f>+IF(K34&lt;0,(ROUNDDOWN(K34,0)),(ROUNDUP(K34,0)))</f>
        <v>#REF!</v>
      </c>
      <c r="N34" s="478">
        <v>0.0</v>
      </c>
      <c r="O34" s="482" t="str">
        <f>+IF('(AS-400 Jembatan)'!M34=0," ",'(AS-400 Jembatan)'!M34+'(AS-400 Transfer)'!$Y34)</f>
        <v> </v>
      </c>
      <c r="P34" s="474" t="str">
        <f>+IF('(AS-400 Jembatan)'!N34=0," ",'(AS-400 Jembatan)'!N34+'(AS-400 Transfer)'!$Y34)</f>
        <v> </v>
      </c>
      <c r="Q34" s="483" t="str">
        <f>+IF('(AS-400 Jembatan)'!O34=0," ",'(AS-400 Jembatan)'!O34+'(AS-400 Transfer)'!$Y34)</f>
        <v> </v>
      </c>
      <c r="R34" s="474" t="str">
        <f>+IF('(AS-400 Jembatan)'!P34=0," ",'(AS-400 Jembatan)'!P34+'(AS-400 Transfer)'!$Y34)</f>
        <v> </v>
      </c>
      <c r="S34" s="474" t="str">
        <f>+IF('(AS-400 Jembatan)'!Q34=0," ",'(AS-400 Jembatan)'!Q34+'(AS-400 Transfer)'!$Y34)</f>
        <v> </v>
      </c>
      <c r="T34" s="474">
        <f>SUM(O34:O34)</f>
        <v>0</v>
      </c>
      <c r="U34" s="474">
        <f>+'(AS-400 Jembatan)'!S34</f>
        <v/>
      </c>
      <c r="V34" s="493" t="e">
        <f>(U34-T34)/W34</f>
        <v>#DIV/0!</v>
      </c>
      <c r="W34" s="478">
        <f>+COUNT(O34:O34)</f>
        <v>0</v>
      </c>
      <c r="X34" s="478" t="e">
        <f>+IF(V34&lt;0,(ROUNDDOWN(V34,0)),(ROUNDUP(V34,0)))</f>
        <v>#DIV/0!</v>
      </c>
      <c r="Y34" s="488" t="e">
        <v>#DIV/0!</v>
      </c>
      <c r="Z34" s="482" t="str">
        <f>+IF('(AS-400 Jembatan)'!V34=0," ",'(AS-400 Jembatan)'!V34+'(AS-400 Transfer)'!$AJ34)</f>
        <v> </v>
      </c>
      <c r="AA34" s="494" t="str">
        <f>+IF('(AS-400 Jembatan)'!W34=0," ",'(AS-400 Jembatan)'!W34+'(AS-400 Transfer)'!$AJ34)</f>
        <v> </v>
      </c>
      <c r="AB34" s="483" t="str">
        <f>+IF('(AS-400 Jembatan)'!X34=0," ",'(AS-400 Jembatan)'!X34+'(AS-400 Transfer)'!$AJ34)</f>
        <v> </v>
      </c>
      <c r="AC34" s="474" t="str">
        <f>+IF('(AS-400 Jembatan)'!Y34=0," ",'(AS-400 Jembatan)'!Y34+'(AS-400 Transfer)'!$AJ34)</f>
        <v> </v>
      </c>
      <c r="AD34" s="474" t="str">
        <f>+IF('(AS-400 Jembatan)'!Z34=0," ",'(AS-400 Jembatan)'!Z34+'(AS-400 Transfer)'!$AJ34)</f>
        <v> </v>
      </c>
      <c r="AE34" s="474">
        <f>SUM(Z34:Z34)</f>
        <v>0</v>
      </c>
      <c r="AF34" s="474">
        <f>+'(AS-400 Jembatan)'!AB34</f>
        <v/>
      </c>
      <c r="AG34" s="474" t="e">
        <f>(AF34-AE34)/AH34</f>
        <v>#DIV/0!</v>
      </c>
      <c r="AH34" s="478">
        <f>+COUNT(Z34:Z34)</f>
        <v>0</v>
      </c>
      <c r="AI34" s="475" t="e">
        <f>+IF(AG34&lt;0,(ROUNDDOWN(AG34,0)),(ROUNDUP(AG34,0)))</f>
        <v>#DIV/0!</v>
      </c>
      <c r="AJ34" s="481" t="e">
        <v>#DIV/0!</v>
      </c>
      <c r="AK34" s="482" t="str">
        <f>+IF('(AS-400 Jembatan)'!AE34=0," ",'(AS-400 Jembatan)'!AE34+'(AS-400 Transfer)'!$AU34)</f>
        <v> </v>
      </c>
      <c r="AL34" s="474" t="str">
        <f>+IF('(AS-400 Jembatan)'!AF34=0," ",'(AS-400 Jembatan)'!AF34+'(AS-400 Transfer)'!$AU34)</f>
        <v> </v>
      </c>
      <c r="AM34" s="483" t="str">
        <f>+IF('(AS-400 Jembatan)'!AG34=0," ",'(AS-400 Jembatan)'!AG34+'(AS-400 Transfer)'!$AU34)</f>
        <v> </v>
      </c>
      <c r="AN34" s="474" t="str">
        <f>+IF('(AS-400 Jembatan)'!AH34=0," ",'(AS-400 Jembatan)'!AH34+'(AS-400 Transfer)'!$AU34)</f>
        <v> </v>
      </c>
      <c r="AO34" s="474" t="str">
        <f>+IF('(AS-400 Jembatan)'!AI34=0," ",'(AS-400 Jembatan)'!AI34+'(AS-400 Transfer)'!$AU34)</f>
        <v> </v>
      </c>
      <c r="AP34" s="474">
        <f>SUM(AK34:AK34)</f>
        <v>0</v>
      </c>
      <c r="AQ34" s="474">
        <f>+'(AS-400 Jembatan)'!AK34</f>
        <v/>
      </c>
      <c r="AR34" s="474" t="e">
        <f>(AQ34-AP34)/AS34</f>
        <v>#DIV/0!</v>
      </c>
      <c r="AS34" s="478">
        <f>+COUNT(AK34:AK34)</f>
        <v>0</v>
      </c>
      <c r="AT34" s="478" t="e">
        <f>+IF(AR34&lt;0,(ROUNDDOWN(AR34,0)),(ROUNDUP(AR34,0)))</f>
        <v>#DIV/0!</v>
      </c>
      <c r="AU34" s="478" t="e">
        <v>#DIV/0!</v>
      </c>
      <c r="AV34" s="482" t="str">
        <f>+IF('(AS-400 Jembatan)'!AN34=0," ",'(AS-400 Jembatan)'!AN34+'(AS-400 Transfer)'!$BF34)</f>
        <v> </v>
      </c>
      <c r="AW34" s="474" t="str">
        <f>+IF('(AS-400 Jembatan)'!AO34=0," ",'(AS-400 Jembatan)'!AO34+'(AS-400 Transfer)'!$BF34)</f>
        <v> </v>
      </c>
      <c r="AX34" s="483" t="str">
        <f>+IF('(AS-400 Jembatan)'!AP34=0," ",'(AS-400 Jembatan)'!AP34+'(AS-400 Transfer)'!$BF34)</f>
        <v> </v>
      </c>
      <c r="AY34" s="474" t="str">
        <f>+IF('(AS-400 Jembatan)'!AQ34=0," ",'(AS-400 Jembatan)'!AQ34+'(AS-400 Transfer)'!$BF34)</f>
        <v> </v>
      </c>
      <c r="AZ34" s="474" t="str">
        <f>+IF('(AS-400 Jembatan)'!AR34=0," ",'(AS-400 Jembatan)'!AR34+'(AS-400 Transfer)'!$BF34)</f>
        <v> </v>
      </c>
      <c r="BA34" s="474">
        <f>SUM(AV34:AV34)</f>
        <v>0</v>
      </c>
      <c r="BB34" s="474">
        <f>+GUM!Z40</f>
        <v>0</v>
      </c>
      <c r="BC34" s="474" t="e">
        <f>(BB34-BA34)/BD34</f>
        <v>#DIV/0!</v>
      </c>
      <c r="BD34" s="478">
        <f>+COUNT(AV34:AV34)</f>
        <v>0</v>
      </c>
      <c r="BE34" s="478" t="e">
        <f>+IF(BC34&lt;0,(ROUNDDOWN(BC34,0)),(ROUNDUP(BC34,0)))</f>
        <v>#DIV/0!</v>
      </c>
      <c r="BF34" s="488" t="e">
        <v>#DIV/0!</v>
      </c>
      <c r="BG34" s="482" t="str">
        <f>+IF('(AS-400 Jembatan)'!AW34=0," ",'(AS-400 Jembatan)'!AW34+'(AS-400 Transfer)'!$BQ34)</f>
        <v> </v>
      </c>
      <c r="BH34" s="474" t="str">
        <f>+IF('(AS-400 Jembatan)'!AX34=0," ",'(AS-400 Jembatan)'!AX34+'(AS-400 Transfer)'!$BQ34)</f>
        <v> </v>
      </c>
      <c r="BI34" s="483" t="str">
        <f>+IF('(AS-400 Jembatan)'!AY34=0," ",'(AS-400 Jembatan)'!AY34+'(AS-400 Transfer)'!$BQ34)</f>
        <v> </v>
      </c>
      <c r="BJ34" s="474" t="str">
        <f>+IF('(AS-400 Jembatan)'!AZ34=0," ",'(AS-400 Jembatan)'!AZ34+'(AS-400 Transfer)'!$BQ34)</f>
        <v> </v>
      </c>
      <c r="BK34" s="474" t="str">
        <f>+IF('(AS-400 Jembatan)'!BA34=0," ",'(AS-400 Jembatan)'!BA34+'(AS-400 Transfer)'!$BQ34)</f>
        <v> </v>
      </c>
      <c r="BL34" s="474">
        <f>SUM(BG34:BG34)</f>
        <v>0</v>
      </c>
      <c r="BM34" s="474">
        <f>+'(AS-400 Jembatan)'!BC34</f>
        <v/>
      </c>
      <c r="BN34" s="474" t="e">
        <f>(BM34-BL34)/BO34</f>
        <v>#DIV/0!</v>
      </c>
      <c r="BO34" s="478">
        <f>+COUNT(BG34:BG34)</f>
        <v>0</v>
      </c>
      <c r="BP34" s="478" t="e">
        <f>+IF(BN34&lt;0,(ROUNDDOWN(BN34,0)),(ROUNDUP(BN34,0)))</f>
        <v>#DIV/0!</v>
      </c>
      <c r="BQ34" s="488" t="e">
        <v>#DIV/0!</v>
      </c>
    </row>
    <row r="35" spans="1:142" customHeight="1" ht="15" hidden="true" s="473" customFormat="1">
      <c r="A35" s="1300"/>
      <c r="B35" s="896" t="str">
        <f>+GUM!C41</f>
        <v>82115-0EA60 G</v>
      </c>
      <c r="C35" s="496" t="str">
        <f>'(AS-400 Jembatan)'!C34</f>
        <v>G 1001</v>
      </c>
      <c r="D35" s="505" t="str">
        <f>+IF('(AS-400 Jembatan)'!D34=0," ",'(AS-400 Jembatan)'!D$13+'(AS-400 Transfer)'!$N35)</f>
        <v> </v>
      </c>
      <c r="E35" s="474" t="str">
        <f>+IF('(AS-400 Jembatan)'!E34=0," ",'(AS-400 Jembatan)'!E$13+'(AS-400 Transfer)'!$N35)</f>
        <v> </v>
      </c>
      <c r="F35" s="474" t="str">
        <f>+IF('(AS-400 Jembatan)'!F34=0," ",'(AS-400 Jembatan)'!F$13+'(AS-400 Transfer)'!$N35)</f>
        <v> </v>
      </c>
      <c r="G35" s="474" t="str">
        <f>+IF('(AS-400 Jembatan)'!G34=0," ",'(AS-400 Jembatan)'!G$13+'(AS-400 Transfer)'!$N35)</f>
        <v> </v>
      </c>
      <c r="H35" s="474" t="str">
        <f>+IF('(AS-400 Jembatan)'!H34=0," ",'(AS-400 Jembatan)'!H$9+'(AS-400 Transfer)'!$N35)</f>
        <v> </v>
      </c>
      <c r="I35" s="474">
        <f>SUM(D35:H35)</f>
        <v>0</v>
      </c>
      <c r="J35" s="475">
        <f>+'(AS-400 Jembatan)'!J34</f>
        <v/>
      </c>
      <c r="K35" s="475" t="e">
        <f>(J35-I35)/L35</f>
        <v>#DIV/0!</v>
      </c>
      <c r="L35" s="478">
        <f>+COUNT(D35:D35)</f>
        <v>0</v>
      </c>
      <c r="M35" s="478" t="e">
        <f>+IF(K35&lt;0,(ROUNDDOWN(K35,0)),(ROUNDUP(K35,0)))</f>
        <v>#DIV/0!</v>
      </c>
      <c r="N35" s="478" t="e">
        <v>#DIV/0!</v>
      </c>
      <c r="O35" s="482" t="str">
        <f>+IF('(AS-400 Jembatan)'!M35=0," ",'(AS-400 Jembatan)'!M35+'(AS-400 Transfer)'!$Y35)</f>
        <v> </v>
      </c>
      <c r="P35" s="474" t="str">
        <f>+IF('(AS-400 Jembatan)'!N35=0," ",'(AS-400 Jembatan)'!N35+'(AS-400 Transfer)'!$Y35)</f>
        <v> </v>
      </c>
      <c r="Q35" s="483" t="str">
        <f>+IF('(AS-400 Jembatan)'!O35=0," ",'(AS-400 Jembatan)'!O35+'(AS-400 Transfer)'!$Y35)</f>
        <v> </v>
      </c>
      <c r="R35" s="474" t="str">
        <f>+IF('(AS-400 Jembatan)'!P35=0," ",'(AS-400 Jembatan)'!P35+'(AS-400 Transfer)'!$Y35)</f>
        <v> </v>
      </c>
      <c r="S35" s="474" t="str">
        <f>+IF('(AS-400 Jembatan)'!Q35=0," ",'(AS-400 Jembatan)'!Q35+'(AS-400 Transfer)'!$Y35)</f>
        <v> </v>
      </c>
      <c r="T35" s="474">
        <f>SUM(O35:O35)</f>
        <v>0</v>
      </c>
      <c r="U35" s="474">
        <f>+'(AS-400 Jembatan)'!S35</f>
        <v/>
      </c>
      <c r="V35" s="474" t="e">
        <f>(U35-T35)/W35</f>
        <v>#DIV/0!</v>
      </c>
      <c r="W35" s="478">
        <f>+COUNT(O35:O35)</f>
        <v>0</v>
      </c>
      <c r="X35" s="478" t="e">
        <f>+IF(V35&lt;0,(ROUNDDOWN(V35,0)),(ROUNDUP(V35,0)))</f>
        <v>#DIV/0!</v>
      </c>
      <c r="Y35" s="488" t="e">
        <v>#DIV/0!</v>
      </c>
      <c r="Z35" s="482" t="str">
        <f>+IF('(AS-400 Jembatan)'!V35=0," ",'(AS-400 Jembatan)'!V35+'(AS-400 Transfer)'!$AJ35)</f>
        <v> </v>
      </c>
      <c r="AA35" s="494" t="str">
        <f>+IF('(AS-400 Jembatan)'!W35=0," ",'(AS-400 Jembatan)'!W35+'(AS-400 Transfer)'!$AJ35)</f>
        <v> </v>
      </c>
      <c r="AB35" s="483" t="str">
        <f>+IF('(AS-400 Jembatan)'!X35=0," ",'(AS-400 Jembatan)'!X35+'(AS-400 Transfer)'!$AJ35)</f>
        <v> </v>
      </c>
      <c r="AC35" s="474" t="str">
        <f>+IF('(AS-400 Jembatan)'!Y35=0," ",'(AS-400 Jembatan)'!Y35+'(AS-400 Transfer)'!$AJ35)</f>
        <v> </v>
      </c>
      <c r="AD35" s="474" t="str">
        <f>+IF('(AS-400 Jembatan)'!Z35=0," ",'(AS-400 Jembatan)'!Z35+'(AS-400 Transfer)'!$AJ35)</f>
        <v> </v>
      </c>
      <c r="AE35" s="474">
        <f>SUM(Z35:Z35)</f>
        <v>0</v>
      </c>
      <c r="AF35" s="474">
        <f>+'(AS-400 Jembatan)'!AB35</f>
        <v/>
      </c>
      <c r="AG35" s="474" t="e">
        <f>(AF35-AE35)/AH35</f>
        <v>#DIV/0!</v>
      </c>
      <c r="AH35" s="478">
        <f>+COUNT(Z35:Z35)</f>
        <v>0</v>
      </c>
      <c r="AI35" s="475" t="e">
        <f>+IF(AG35&lt;0,(ROUNDDOWN(AG35,0)),(ROUNDUP(AG35,0)))</f>
        <v>#DIV/0!</v>
      </c>
      <c r="AJ35" s="481" t="e">
        <v>#DIV/0!</v>
      </c>
      <c r="AK35" s="482" t="str">
        <f>+IF('(AS-400 Jembatan)'!AE35=0," ",'(AS-400 Jembatan)'!AE35+'(AS-400 Transfer)'!$AU35)</f>
        <v> </v>
      </c>
      <c r="AL35" s="474" t="str">
        <f>+IF('(AS-400 Jembatan)'!AF35=0," ",'(AS-400 Jembatan)'!AF35+'(AS-400 Transfer)'!$AU35)</f>
        <v> </v>
      </c>
      <c r="AM35" s="483" t="str">
        <f>+IF('(AS-400 Jembatan)'!AG35=0," ",'(AS-400 Jembatan)'!AG35+'(AS-400 Transfer)'!$AU35)</f>
        <v> </v>
      </c>
      <c r="AN35" s="474" t="str">
        <f>+IF('(AS-400 Jembatan)'!AH35=0," ",'(AS-400 Jembatan)'!AH35+'(AS-400 Transfer)'!$AU35)</f>
        <v> </v>
      </c>
      <c r="AO35" s="474" t="str">
        <f>+IF('(AS-400 Jembatan)'!AI35=0," ",'(AS-400 Jembatan)'!AI35+'(AS-400 Transfer)'!$AU35)</f>
        <v> </v>
      </c>
      <c r="AP35" s="474">
        <f>SUM(AK35:AK35)</f>
        <v>0</v>
      </c>
      <c r="AQ35" s="474">
        <f>+'(AS-400 Jembatan)'!AK35</f>
        <v/>
      </c>
      <c r="AR35" s="474" t="e">
        <f>(AQ35-AP35)/AS35</f>
        <v>#DIV/0!</v>
      </c>
      <c r="AS35" s="478">
        <f>+COUNT(AK35:AK35)</f>
        <v>0</v>
      </c>
      <c r="AT35" s="478" t="e">
        <f>+IF(AR35&lt;0,(ROUNDDOWN(AR35,0)),(ROUNDUP(AR35,0)))</f>
        <v>#DIV/0!</v>
      </c>
      <c r="AU35" s="478" t="e">
        <v>#DIV/0!</v>
      </c>
      <c r="AV35" s="482" t="str">
        <f>+IF('(AS-400 Jembatan)'!AN35=0," ",'(AS-400 Jembatan)'!AN35+'(AS-400 Transfer)'!$BF35)</f>
        <v> </v>
      </c>
      <c r="AW35" s="474" t="str">
        <f>+IF('(AS-400 Jembatan)'!AO35=0," ",'(AS-400 Jembatan)'!AO35+'(AS-400 Transfer)'!$BF35)</f>
        <v> </v>
      </c>
      <c r="AX35" s="483" t="str">
        <f>+IF('(AS-400 Jembatan)'!AP35=0," ",'(AS-400 Jembatan)'!AP35+'(AS-400 Transfer)'!$BF35)</f>
        <v> </v>
      </c>
      <c r="AY35" s="474" t="str">
        <f>+IF('(AS-400 Jembatan)'!AQ35=0," ",'(AS-400 Jembatan)'!AQ35+'(AS-400 Transfer)'!$BF35)</f>
        <v> </v>
      </c>
      <c r="AZ35" s="474" t="str">
        <f>+IF('(AS-400 Jembatan)'!AR35=0," ",'(AS-400 Jembatan)'!AR35+'(AS-400 Transfer)'!$BF35)</f>
        <v> </v>
      </c>
      <c r="BA35" s="474">
        <f>SUM(AV35:AV35)</f>
        <v>0</v>
      </c>
      <c r="BB35" s="474">
        <f>+GUM!Z41</f>
        <v>0</v>
      </c>
      <c r="BC35" s="474" t="e">
        <f>(BB35-BA35)/BD35</f>
        <v>#DIV/0!</v>
      </c>
      <c r="BD35" s="478">
        <f>+COUNT(AV35:AV35)</f>
        <v>0</v>
      </c>
      <c r="BE35" s="478" t="e">
        <f>+IF(BC35&lt;0,(ROUNDDOWN(BC35,0)),(ROUNDUP(BC35,0)))</f>
        <v>#DIV/0!</v>
      </c>
      <c r="BF35" s="488" t="e">
        <v>#DIV/0!</v>
      </c>
      <c r="BG35" s="482" t="str">
        <f>+IF('(AS-400 Jembatan)'!AW35=0," ",'(AS-400 Jembatan)'!AW35+'(AS-400 Transfer)'!$BQ35)</f>
        <v> </v>
      </c>
      <c r="BH35" s="474" t="str">
        <f>+IF('(AS-400 Jembatan)'!AX35=0," ",'(AS-400 Jembatan)'!AX35+'(AS-400 Transfer)'!$BQ35)</f>
        <v> </v>
      </c>
      <c r="BI35" s="483" t="str">
        <f>+IF('(AS-400 Jembatan)'!AY35=0," ",'(AS-400 Jembatan)'!AY35+'(AS-400 Transfer)'!$BQ35)</f>
        <v> </v>
      </c>
      <c r="BJ35" s="474" t="str">
        <f>+IF('(AS-400 Jembatan)'!AZ35=0," ",'(AS-400 Jembatan)'!AZ35+'(AS-400 Transfer)'!$BQ35)</f>
        <v> </v>
      </c>
      <c r="BK35" s="474" t="str">
        <f>+IF('(AS-400 Jembatan)'!BA35=0," ",'(AS-400 Jembatan)'!BA35+'(AS-400 Transfer)'!$BQ35)</f>
        <v> </v>
      </c>
      <c r="BL35" s="474">
        <f>SUM(BG35:BG35)</f>
        <v>0</v>
      </c>
      <c r="BM35" s="474">
        <f>+'(AS-400 Jembatan)'!BC35</f>
        <v/>
      </c>
      <c r="BN35" s="474" t="e">
        <f>(BM35-BL35)/BO35</f>
        <v>#DIV/0!</v>
      </c>
      <c r="BO35" s="478">
        <f>+COUNT(BG35:BG35)</f>
        <v>0</v>
      </c>
      <c r="BP35" s="478" t="e">
        <f>+IF(BN35&lt;0,(ROUNDDOWN(BN35,0)),(ROUNDUP(BN35,0)))</f>
        <v>#DIV/0!</v>
      </c>
      <c r="BQ35" s="488" t="e">
        <v>#DIV/0!</v>
      </c>
    </row>
    <row r="36" spans="1:142" customHeight="1" ht="15" hidden="true" s="473" customFormat="1">
      <c r="A36" s="1300"/>
      <c r="B36" s="896" t="str">
        <f>+GUM!C42</f>
        <v>82115-0EA70 G</v>
      </c>
      <c r="C36" s="496" t="str">
        <f>'(AS-400 Jembatan)'!C35</f>
        <v>G 1001</v>
      </c>
      <c r="D36" s="505" t="str">
        <f>+IF('(AS-400 Jembatan)'!D35=0," ",'(AS-400 Jembatan)'!D$14+'(AS-400 Transfer)'!$N36)</f>
        <v> </v>
      </c>
      <c r="E36" s="474" t="str">
        <f>+IF('(AS-400 Jembatan)'!E35=0," ",'(AS-400 Jembatan)'!E$14+'(AS-400 Transfer)'!$N36)</f>
        <v> </v>
      </c>
      <c r="F36" s="474" t="str">
        <f>+IF('(AS-400 Jembatan)'!F35=0," ",'(AS-400 Jembatan)'!F$14+'(AS-400 Transfer)'!$N36)</f>
        <v> </v>
      </c>
      <c r="G36" s="474" t="str">
        <f>+IF('(AS-400 Jembatan)'!G35=0," ",'(AS-400 Jembatan)'!G$14+'(AS-400 Transfer)'!$N36)</f>
        <v> </v>
      </c>
      <c r="H36" s="474" t="str">
        <f>+IF('(AS-400 Jembatan)'!H35=0," ",'(AS-400 Jembatan)'!H$14+'(AS-400 Transfer)'!$N36)</f>
        <v> </v>
      </c>
      <c r="I36" s="474">
        <f>SUM(D36:H36)</f>
        <v>0</v>
      </c>
      <c r="J36" s="475">
        <f>+'(AS-400 Jembatan)'!J35</f>
        <v/>
      </c>
      <c r="K36" s="475" t="e">
        <f>(J36-I36)/L36</f>
        <v>#DIV/0!</v>
      </c>
      <c r="L36" s="478">
        <f>+COUNT(D36:D36)</f>
        <v>0</v>
      </c>
      <c r="M36" s="478" t="e">
        <f>+IF(K36&lt;0,(ROUNDDOWN(K36,0)),(ROUNDUP(K36,0)))</f>
        <v>#DIV/0!</v>
      </c>
      <c r="N36" s="478">
        <v>0.0</v>
      </c>
      <c r="O36" s="482" t="str">
        <f>+IF('(AS-400 Jembatan)'!M36=0," ",'(AS-400 Jembatan)'!M36+'(AS-400 Transfer)'!$Y36)</f>
        <v> </v>
      </c>
      <c r="P36" s="474" t="str">
        <f>+IF('(AS-400 Jembatan)'!N36=0," ",'(AS-400 Jembatan)'!N36+'(AS-400 Transfer)'!$Y36)</f>
        <v> </v>
      </c>
      <c r="Q36" s="483" t="str">
        <f>+IF('(AS-400 Jembatan)'!O36=0," ",'(AS-400 Jembatan)'!O36+'(AS-400 Transfer)'!$Y36)</f>
        <v> </v>
      </c>
      <c r="R36" s="474" t="str">
        <f>+IF('(AS-400 Jembatan)'!P36=0," ",'(AS-400 Jembatan)'!P36+'(AS-400 Transfer)'!$Y36)</f>
        <v> </v>
      </c>
      <c r="S36" s="474" t="str">
        <f>+IF('(AS-400 Jembatan)'!Q36=0," ",'(AS-400 Jembatan)'!Q36+'(AS-400 Transfer)'!$Y36)</f>
        <v> </v>
      </c>
      <c r="T36" s="474">
        <f>SUM(O36:O36)</f>
        <v>0</v>
      </c>
      <c r="U36" s="474">
        <f>+'(AS-400 Jembatan)'!S36</f>
        <v/>
      </c>
      <c r="V36" s="474" t="e">
        <f>(U36-T36)/W36</f>
        <v>#DIV/0!</v>
      </c>
      <c r="W36" s="478">
        <f>+COUNT(O36:O36)</f>
        <v>0</v>
      </c>
      <c r="X36" s="478" t="e">
        <f>+IF(V36&lt;0,(ROUNDDOWN(V36,0)),(ROUNDUP(V36,0)))</f>
        <v>#DIV/0!</v>
      </c>
      <c r="Y36" s="488" t="e">
        <v>#DIV/0!</v>
      </c>
      <c r="Z36" s="482" t="str">
        <f>+IF('(AS-400 Jembatan)'!V36=0," ",'(AS-400 Jembatan)'!V36+'(AS-400 Transfer)'!$AJ36)</f>
        <v> </v>
      </c>
      <c r="AA36" s="494" t="str">
        <f>+IF('(AS-400 Jembatan)'!W36=0," ",'(AS-400 Jembatan)'!W36+'(AS-400 Transfer)'!$AJ36)</f>
        <v> </v>
      </c>
      <c r="AB36" s="483" t="str">
        <f>+IF('(AS-400 Jembatan)'!X36=0," ",'(AS-400 Jembatan)'!X36+'(AS-400 Transfer)'!$AJ36)</f>
        <v> </v>
      </c>
      <c r="AC36" s="474" t="str">
        <f>+IF('(AS-400 Jembatan)'!Y36=0," ",'(AS-400 Jembatan)'!Y36+'(AS-400 Transfer)'!$AJ36)</f>
        <v> </v>
      </c>
      <c r="AD36" s="474" t="str">
        <f>+IF('(AS-400 Jembatan)'!Z36=0," ",'(AS-400 Jembatan)'!Z36+'(AS-400 Transfer)'!$AJ36)</f>
        <v> </v>
      </c>
      <c r="AE36" s="474">
        <f>SUM(Z36:Z36)</f>
        <v>0</v>
      </c>
      <c r="AF36" s="474">
        <f>+'(AS-400 Jembatan)'!AB36</f>
        <v/>
      </c>
      <c r="AG36" s="474" t="e">
        <f>(AF36-AE36)/AH36</f>
        <v>#DIV/0!</v>
      </c>
      <c r="AH36" s="478">
        <f>+COUNT(Z36:Z36)</f>
        <v>0</v>
      </c>
      <c r="AI36" s="475" t="e">
        <f>+IF(AG36&lt;0,(ROUNDDOWN(AG36,0)),(ROUNDUP(AG36,0)))</f>
        <v>#DIV/0!</v>
      </c>
      <c r="AJ36" s="481" t="e">
        <v>#DIV/0!</v>
      </c>
      <c r="AK36" s="482" t="str">
        <f>+IF('(AS-400 Jembatan)'!AE36=0," ",'(AS-400 Jembatan)'!AE36+'(AS-400 Transfer)'!$AU36)</f>
        <v> </v>
      </c>
      <c r="AL36" s="474" t="str">
        <f>+IF('(AS-400 Jembatan)'!AF36=0," ",'(AS-400 Jembatan)'!AF36+'(AS-400 Transfer)'!$AU36)</f>
        <v> </v>
      </c>
      <c r="AM36" s="483" t="str">
        <f>+IF('(AS-400 Jembatan)'!AG36=0," ",'(AS-400 Jembatan)'!AG36+'(AS-400 Transfer)'!$AU36)</f>
        <v> </v>
      </c>
      <c r="AN36" s="474" t="str">
        <f>+IF('(AS-400 Jembatan)'!AH36=0," ",'(AS-400 Jembatan)'!AH36+'(AS-400 Transfer)'!$AU36)</f>
        <v> </v>
      </c>
      <c r="AO36" s="474" t="str">
        <f>+IF('(AS-400 Jembatan)'!AI36=0," ",'(AS-400 Jembatan)'!AI36+'(AS-400 Transfer)'!$AU36)</f>
        <v> </v>
      </c>
      <c r="AP36" s="474">
        <f>SUM(AK36:AK36)</f>
        <v>0</v>
      </c>
      <c r="AQ36" s="474">
        <f>+'(AS-400 Jembatan)'!AK36</f>
        <v/>
      </c>
      <c r="AR36" s="474" t="e">
        <f>(AQ36-AP36)/AS36</f>
        <v>#DIV/0!</v>
      </c>
      <c r="AS36" s="478">
        <f>+COUNT(AK36:AK36)</f>
        <v>0</v>
      </c>
      <c r="AT36" s="478" t="e">
        <f>+IF(AR36&lt;0,(ROUNDDOWN(AR36,0)),(ROUNDUP(AR36,0)))</f>
        <v>#DIV/0!</v>
      </c>
      <c r="AU36" s="478" t="e">
        <v>#DIV/0!</v>
      </c>
      <c r="AV36" s="482" t="str">
        <f>+IF('(AS-400 Jembatan)'!AN36=0," ",'(AS-400 Jembatan)'!AN36+'(AS-400 Transfer)'!$BF36)</f>
        <v> </v>
      </c>
      <c r="AW36" s="474" t="str">
        <f>+IF('(AS-400 Jembatan)'!AO36=0," ",'(AS-400 Jembatan)'!AO36+'(AS-400 Transfer)'!$BF36)</f>
        <v> </v>
      </c>
      <c r="AX36" s="483" t="str">
        <f>+IF('(AS-400 Jembatan)'!AP36=0," ",'(AS-400 Jembatan)'!AP36+'(AS-400 Transfer)'!$BF36)</f>
        <v> </v>
      </c>
      <c r="AY36" s="474" t="str">
        <f>+IF('(AS-400 Jembatan)'!AQ36=0," ",'(AS-400 Jembatan)'!AQ36+'(AS-400 Transfer)'!$BF36)</f>
        <v> </v>
      </c>
      <c r="AZ36" s="474" t="str">
        <f>+IF('(AS-400 Jembatan)'!AR36=0," ",'(AS-400 Jembatan)'!AR36+'(AS-400 Transfer)'!$BF36)</f>
        <v> </v>
      </c>
      <c r="BA36" s="474">
        <f>SUM(AV36:AV36)</f>
        <v>0</v>
      </c>
      <c r="BB36" s="474">
        <f>+GUM!Z42</f>
        <v>0</v>
      </c>
      <c r="BC36" s="474" t="e">
        <f>(BB36-BA36)/BD36</f>
        <v>#DIV/0!</v>
      </c>
      <c r="BD36" s="478">
        <f>+COUNT(AV36:AV36)</f>
        <v>0</v>
      </c>
      <c r="BE36" s="478" t="e">
        <f>+IF(BC36&lt;0,(ROUNDDOWN(BC36,0)),(ROUNDUP(BC36,0)))</f>
        <v>#DIV/0!</v>
      </c>
      <c r="BF36" s="488" t="e">
        <v>#DIV/0!</v>
      </c>
      <c r="BG36" s="482" t="str">
        <f>+IF('(AS-400 Jembatan)'!AW36=0," ",'(AS-400 Jembatan)'!AW36+'(AS-400 Transfer)'!$BQ36)</f>
        <v> </v>
      </c>
      <c r="BH36" s="474" t="str">
        <f>+IF('(AS-400 Jembatan)'!AX36=0," ",'(AS-400 Jembatan)'!AX36+'(AS-400 Transfer)'!$BQ36)</f>
        <v> </v>
      </c>
      <c r="BI36" s="483" t="str">
        <f>+IF('(AS-400 Jembatan)'!AY36=0," ",'(AS-400 Jembatan)'!AY36+'(AS-400 Transfer)'!$BQ36)</f>
        <v> </v>
      </c>
      <c r="BJ36" s="474" t="str">
        <f>+IF('(AS-400 Jembatan)'!AZ36=0," ",'(AS-400 Jembatan)'!AZ36+'(AS-400 Transfer)'!$BQ36)</f>
        <v> </v>
      </c>
      <c r="BK36" s="474" t="str">
        <f>+IF('(AS-400 Jembatan)'!BA36=0," ",'(AS-400 Jembatan)'!BA36+'(AS-400 Transfer)'!$BQ36)</f>
        <v> </v>
      </c>
      <c r="BL36" s="474">
        <f>SUM(BG36:BG36)</f>
        <v>0</v>
      </c>
      <c r="BM36" s="474">
        <f>+'(AS-400 Jembatan)'!BC36</f>
        <v/>
      </c>
      <c r="BN36" s="474" t="e">
        <f>(BM36-BL36)/BO36</f>
        <v>#DIV/0!</v>
      </c>
      <c r="BO36" s="478">
        <f>+COUNT(BG36:BG36)</f>
        <v>0</v>
      </c>
      <c r="BP36" s="478" t="e">
        <f>+IF(BN36&lt;0,(ROUNDDOWN(BN36,0)),(ROUNDUP(BN36,0)))</f>
        <v>#DIV/0!</v>
      </c>
      <c r="BQ36" s="488" t="e">
        <v>#DIV/0!</v>
      </c>
    </row>
    <row r="37" spans="1:142" customHeight="1" ht="15.75" hidden="true" s="473" customFormat="1">
      <c r="A37" s="1301"/>
      <c r="B37" s="897" t="str">
        <f>+GUM!C43</f>
        <v>82115-0EG40 G</v>
      </c>
      <c r="C37" s="726" t="str">
        <f>'(AS-400 Jembatan)'!C37</f>
        <v>G 1001</v>
      </c>
      <c r="D37" s="693" t="str">
        <f>+IF('(AS-400 Jembatan)'!D37=0," ",'(AS-400 Jembatan)'!D$14+'(AS-400 Transfer)'!$N37)</f>
        <v> </v>
      </c>
      <c r="E37" s="694" t="str">
        <f>+IF('(AS-400 Jembatan)'!E37=0," ",'(AS-400 Jembatan)'!E$14+'(AS-400 Transfer)'!$N37)</f>
        <v> </v>
      </c>
      <c r="F37" s="694" t="str">
        <f>+IF('(AS-400 Jembatan)'!F37=0," ",'(AS-400 Jembatan)'!F$14+'(AS-400 Transfer)'!$N37)</f>
        <v> </v>
      </c>
      <c r="G37" s="694" t="str">
        <f>+IF('(AS-400 Jembatan)'!G37=0," ",'(AS-400 Jembatan)'!G$14+'(AS-400 Transfer)'!$N37)</f>
        <v> </v>
      </c>
      <c r="H37" s="694" t="str">
        <f>+IF('(AS-400 Jembatan)'!H37=0," ",'(AS-400 Jembatan)'!H$14+'(AS-400 Transfer)'!$N37)</f>
        <v> </v>
      </c>
      <c r="I37" s="694">
        <f>SUM(D37:H37)</f>
        <v>0</v>
      </c>
      <c r="J37" s="695">
        <f>+'(AS-400 Jembatan)'!J37</f>
        <v/>
      </c>
      <c r="K37" s="695" t="e">
        <f>(J37-I37)/L37</f>
        <v>#DIV/0!</v>
      </c>
      <c r="L37" s="555">
        <f>+COUNT(D37:D37)</f>
        <v>0</v>
      </c>
      <c r="M37" s="555" t="e">
        <f>+IF(K37&lt;0,(ROUNDDOWN(K37,0)),(ROUNDUP(K37,0)))</f>
        <v>#DIV/0!</v>
      </c>
      <c r="N37" s="555">
        <v>0.0</v>
      </c>
      <c r="O37" s="696" t="str">
        <f>+IF('(AS-400 Jembatan)'!M37=0," ",'(AS-400 Jembatan)'!M37+'(AS-400 Transfer)'!$Y37)</f>
        <v> </v>
      </c>
      <c r="P37" s="694" t="str">
        <f>+IF('(AS-400 Jembatan)'!N37=0," ",'(AS-400 Jembatan)'!N37+'(AS-400 Transfer)'!$Y37)</f>
        <v> </v>
      </c>
      <c r="Q37" s="697" t="str">
        <f>+IF('(AS-400 Jembatan)'!O37=0," ",'(AS-400 Jembatan)'!O37+'(AS-400 Transfer)'!$Y37)</f>
        <v> </v>
      </c>
      <c r="R37" s="694" t="str">
        <f>+IF('(AS-400 Jembatan)'!P37=0," ",'(AS-400 Jembatan)'!P37+'(AS-400 Transfer)'!$Y37)</f>
        <v> </v>
      </c>
      <c r="S37" s="694" t="str">
        <f>+IF('(AS-400 Jembatan)'!Q37=0," ",'(AS-400 Jembatan)'!Q37+'(AS-400 Transfer)'!$Y37)</f>
        <v> </v>
      </c>
      <c r="T37" s="694">
        <f>SUM(O37:O37)</f>
        <v>0</v>
      </c>
      <c r="U37" s="694">
        <f>+'(AS-400 Jembatan)'!S37</f>
        <v/>
      </c>
      <c r="V37" s="694" t="e">
        <f>(U37-T37)/W37</f>
        <v>#DIV/0!</v>
      </c>
      <c r="W37" s="555">
        <f>+COUNT(O37:O37)</f>
        <v>0</v>
      </c>
      <c r="X37" s="555" t="e">
        <f>+IF(V37&lt;0,(ROUNDDOWN(V37,0)),(ROUNDUP(V37,0)))</f>
        <v>#DIV/0!</v>
      </c>
      <c r="Y37" s="698" t="e">
        <v>#DIV/0!</v>
      </c>
      <c r="Z37" s="696" t="str">
        <f>+IF('(AS-400 Jembatan)'!V37=0," ",'(AS-400 Jembatan)'!V37+'(AS-400 Transfer)'!$AJ37)</f>
        <v> </v>
      </c>
      <c r="AA37" s="700" t="str">
        <f>+IF('(AS-400 Jembatan)'!W37=0," ",'(AS-400 Jembatan)'!W37+'(AS-400 Transfer)'!$AJ37)</f>
        <v> </v>
      </c>
      <c r="AB37" s="697" t="str">
        <f>+IF('(AS-400 Jembatan)'!X37=0," ",'(AS-400 Jembatan)'!X37+'(AS-400 Transfer)'!$AJ37)</f>
        <v> </v>
      </c>
      <c r="AC37" s="694" t="str">
        <f>+IF('(AS-400 Jembatan)'!Y37=0," ",'(AS-400 Jembatan)'!Y37+'(AS-400 Transfer)'!$AJ37)</f>
        <v> </v>
      </c>
      <c r="AD37" s="694" t="str">
        <f>+IF('(AS-400 Jembatan)'!Z37=0," ",'(AS-400 Jembatan)'!Z37+'(AS-400 Transfer)'!$AJ37)</f>
        <v> </v>
      </c>
      <c r="AE37" s="694">
        <f>SUM(Z37:Z37)</f>
        <v>0</v>
      </c>
      <c r="AF37" s="694">
        <f>+'(AS-400 Jembatan)'!AB37</f>
        <v/>
      </c>
      <c r="AG37" s="694" t="e">
        <f>(AF37-AE37)/AH37</f>
        <v>#DIV/0!</v>
      </c>
      <c r="AH37" s="555">
        <f>+COUNT(Z37:Z37)</f>
        <v>0</v>
      </c>
      <c r="AI37" s="695" t="e">
        <f>+IF(AG37&lt;0,(ROUNDDOWN(AG37,0)),(ROUNDUP(AG37,0)))</f>
        <v>#DIV/0!</v>
      </c>
      <c r="AJ37" s="701" t="e">
        <v>#DIV/0!</v>
      </c>
      <c r="AK37" s="696" t="str">
        <f>+IF('(AS-400 Jembatan)'!AE37=0," ",'(AS-400 Jembatan)'!AE37+'(AS-400 Transfer)'!$AU37)</f>
        <v> </v>
      </c>
      <c r="AL37" s="694" t="str">
        <f>+IF('(AS-400 Jembatan)'!AF37=0," ",'(AS-400 Jembatan)'!AF37+'(AS-400 Transfer)'!$AU37)</f>
        <v> </v>
      </c>
      <c r="AM37" s="697" t="str">
        <f>+IF('(AS-400 Jembatan)'!AG37=0," ",'(AS-400 Jembatan)'!AG37+'(AS-400 Transfer)'!$AU37)</f>
        <v> </v>
      </c>
      <c r="AN37" s="694" t="str">
        <f>+IF('(AS-400 Jembatan)'!AH37=0," ",'(AS-400 Jembatan)'!AH37+'(AS-400 Transfer)'!$AU37)</f>
        <v> </v>
      </c>
      <c r="AO37" s="694" t="str">
        <f>+IF('(AS-400 Jembatan)'!AI37=0," ",'(AS-400 Jembatan)'!AI37+'(AS-400 Transfer)'!$AU37)</f>
        <v> </v>
      </c>
      <c r="AP37" s="694">
        <f>SUM(AK37:AK37)</f>
        <v>0</v>
      </c>
      <c r="AQ37" s="694">
        <f>+'(AS-400 Jembatan)'!AK37</f>
        <v/>
      </c>
      <c r="AR37" s="694" t="e">
        <f>(AQ37-AP37)/AS37</f>
        <v>#DIV/0!</v>
      </c>
      <c r="AS37" s="555">
        <f>+COUNT(AK37:AK37)</f>
        <v>0</v>
      </c>
      <c r="AT37" s="555" t="e">
        <f>+IF(AR37&lt;0,(ROUNDDOWN(AR37,0)),(ROUNDUP(AR37,0)))</f>
        <v>#DIV/0!</v>
      </c>
      <c r="AU37" s="555" t="e">
        <v>#DIV/0!</v>
      </c>
      <c r="AV37" s="696" t="str">
        <f>+IF('(AS-400 Jembatan)'!AN37=0," ",'(AS-400 Jembatan)'!AN37+'(AS-400 Transfer)'!$BF37)</f>
        <v> </v>
      </c>
      <c r="AW37" s="694" t="str">
        <f>+IF('(AS-400 Jembatan)'!AO37=0," ",'(AS-400 Jembatan)'!AO37+'(AS-400 Transfer)'!$BF37)</f>
        <v> </v>
      </c>
      <c r="AX37" s="697" t="str">
        <f>+IF('(AS-400 Jembatan)'!AP37=0," ",'(AS-400 Jembatan)'!AP37+'(AS-400 Transfer)'!$BF37)</f>
        <v> </v>
      </c>
      <c r="AY37" s="694" t="str">
        <f>+IF('(AS-400 Jembatan)'!AQ37=0," ",'(AS-400 Jembatan)'!AQ37+'(AS-400 Transfer)'!$BF37)</f>
        <v> </v>
      </c>
      <c r="AZ37" s="694" t="str">
        <f>+IF('(AS-400 Jembatan)'!AR37=0," ",'(AS-400 Jembatan)'!AR37+'(AS-400 Transfer)'!$BF37)</f>
        <v> </v>
      </c>
      <c r="BA37" s="694">
        <f>SUM(AV37:AV37)</f>
        <v>0</v>
      </c>
      <c r="BB37" s="694">
        <f>+GUM!Z43</f>
        <v>0</v>
      </c>
      <c r="BC37" s="694" t="e">
        <f>(BB37-BA37)/BD37</f>
        <v>#DIV/0!</v>
      </c>
      <c r="BD37" s="555">
        <f>+COUNT(AV37:AV37)</f>
        <v>0</v>
      </c>
      <c r="BE37" s="555" t="e">
        <f>+IF(BC37&lt;0,(ROUNDDOWN(BC37,0)),(ROUNDUP(BC37,0)))</f>
        <v>#DIV/0!</v>
      </c>
      <c r="BF37" s="698" t="e">
        <v>#DIV/0!</v>
      </c>
      <c r="BG37" s="696" t="str">
        <f>+IF('(AS-400 Jembatan)'!AW37=0," ",'(AS-400 Jembatan)'!AW37+'(AS-400 Transfer)'!$BQ37)</f>
        <v> </v>
      </c>
      <c r="BH37" s="694" t="str">
        <f>+IF('(AS-400 Jembatan)'!AX37=0," ",'(AS-400 Jembatan)'!AX37+'(AS-400 Transfer)'!$BQ37)</f>
        <v> </v>
      </c>
      <c r="BI37" s="697" t="str">
        <f>+IF('(AS-400 Jembatan)'!AY37=0," ",'(AS-400 Jembatan)'!AY37+'(AS-400 Transfer)'!$BQ37)</f>
        <v> </v>
      </c>
      <c r="BJ37" s="694" t="str">
        <f>+IF('(AS-400 Jembatan)'!AZ37=0," ",'(AS-400 Jembatan)'!AZ37+'(AS-400 Transfer)'!$BQ37)</f>
        <v> </v>
      </c>
      <c r="BK37" s="694" t="str">
        <f>+IF('(AS-400 Jembatan)'!BA37=0," ",'(AS-400 Jembatan)'!BA37+'(AS-400 Transfer)'!$BQ37)</f>
        <v> </v>
      </c>
      <c r="BL37" s="694">
        <f>SUM(BG37:BG37)</f>
        <v>0</v>
      </c>
      <c r="BM37" s="694">
        <f>+'(AS-400 Jembatan)'!BC37</f>
        <v/>
      </c>
      <c r="BN37" s="694" t="e">
        <f>(BM37-BL37)/BO37</f>
        <v>#DIV/0!</v>
      </c>
      <c r="BO37" s="555">
        <f>+COUNT(BG37:BG37)</f>
        <v>0</v>
      </c>
      <c r="BP37" s="555" t="e">
        <f>+IF(BN37&lt;0,(ROUNDDOWN(BN37,0)),(ROUNDUP(BN37,0)))</f>
        <v>#DIV/0!</v>
      </c>
      <c r="BQ37" s="698" t="e">
        <v>#DIV/0!</v>
      </c>
    </row>
    <row r="38" spans="1:142" customHeight="1" ht="15.75" hidden="true" s="473" customFormat="1">
      <c r="A38" s="1293" t="str">
        <f>'(AS-400 Jembatan)'!A38:A43</f>
        <v>LHD GAS</v>
      </c>
      <c r="B38" s="990" t="str">
        <f>+GUM!C44</f>
        <v>82115-0E440 H</v>
      </c>
      <c r="C38" s="733" t="str">
        <f>'(AS-400 Jembatan)'!C38</f>
        <v>H 0001</v>
      </c>
      <c r="D38" s="557"/>
      <c r="E38" s="511"/>
      <c r="F38" s="511"/>
      <c r="G38" s="511"/>
      <c r="H38" s="511"/>
      <c r="I38" s="511"/>
      <c r="J38" s="558"/>
      <c r="K38" s="558"/>
      <c r="L38" s="554"/>
      <c r="M38" s="554"/>
      <c r="N38" s="554"/>
      <c r="O38" s="559" t="str">
        <f>+IF('(AS-400 Jembatan)'!M38=0," ",'(AS-400 Jembatan)'!M38+'(AS-400 Transfer)'!$Y38)</f>
        <v> </v>
      </c>
      <c r="P38" s="511" t="str">
        <f>+IF('(AS-400 Jembatan)'!N38=0," ",'(AS-400 Jembatan)'!N38+'(AS-400 Transfer)'!$Y38)</f>
        <v> </v>
      </c>
      <c r="Q38" s="560" t="str">
        <f>+IF('(AS-400 Jembatan)'!O38=0," ",'(AS-400 Jembatan)'!O38+'(AS-400 Transfer)'!$Y38)</f>
        <v> </v>
      </c>
      <c r="R38" s="511" t="str">
        <f>+IF('(AS-400 Jembatan)'!P38=0," ",'(AS-400 Jembatan)'!P38+'(AS-400 Transfer)'!$Y38)</f>
        <v> </v>
      </c>
      <c r="S38" s="511" t="str">
        <f>+IF('(AS-400 Jembatan)'!Q38=0," ",'(AS-400 Jembatan)'!Q38+'(AS-400 Transfer)'!$Y38)</f>
        <v> </v>
      </c>
      <c r="T38" s="511">
        <f>SUM(O38:O38)</f>
        <v>0</v>
      </c>
      <c r="U38" s="511">
        <f>+'(AS-400 Jembatan)'!S38</f>
        <v>0</v>
      </c>
      <c r="V38" s="511" t="e">
        <f>(U38-T38)/W38</f>
        <v>#DIV/0!</v>
      </c>
      <c r="W38" s="554">
        <f>+COUNT(O38:O38)</f>
        <v>0</v>
      </c>
      <c r="X38" s="554" t="e">
        <f>+IF(V38&lt;0,(ROUNDDOWN(V38,0)),(ROUNDUP(V38,0)))</f>
        <v>#DIV/0!</v>
      </c>
      <c r="Y38" s="556" t="e">
        <v>#DIV/0!</v>
      </c>
      <c r="Z38" s="559" t="str">
        <f>+IF('(AS-400 Jembatan)'!V38=0," ",'(AS-400 Jembatan)'!V38+'(AS-400 Transfer)'!$AJ38)</f>
        <v> </v>
      </c>
      <c r="AA38" s="699" t="str">
        <f>+IF('(AS-400 Jembatan)'!W38=0," ",'(AS-400 Jembatan)'!W38+'(AS-400 Transfer)'!$AJ38)</f>
        <v> </v>
      </c>
      <c r="AB38" s="560" t="str">
        <f>+IF('(AS-400 Jembatan)'!X38=0," ",'(AS-400 Jembatan)'!X38+'(AS-400 Transfer)'!$AJ38)</f>
        <v> </v>
      </c>
      <c r="AC38" s="511" t="str">
        <f>+IF('(AS-400 Jembatan)'!Y38=0," ",'(AS-400 Jembatan)'!Y38+'(AS-400 Transfer)'!$AJ38)</f>
        <v> </v>
      </c>
      <c r="AD38" s="511" t="str">
        <f>+IF('(AS-400 Jembatan)'!Z38=0," ",'(AS-400 Jembatan)'!Z38+'(AS-400 Transfer)'!$AJ38)</f>
        <v> </v>
      </c>
      <c r="AE38" s="511">
        <f>SUM(Z38:Z38)</f>
        <v>0</v>
      </c>
      <c r="AF38" s="511">
        <f>+'(AS-400 Jembatan)'!AB38</f>
        <v>0</v>
      </c>
      <c r="AG38" s="817" t="e">
        <f>(AF38-AE38)/AH38</f>
        <v>#DIV/0!</v>
      </c>
      <c r="AH38" s="554">
        <f>+COUNT(Z38:Z38)</f>
        <v>0</v>
      </c>
      <c r="AI38" s="558" t="e">
        <f>+IF(AG38&lt;0,(ROUNDDOWN(AG38,0)),(ROUNDUP(AG38,0)))</f>
        <v>#DIV/0!</v>
      </c>
      <c r="AJ38" s="741" t="e">
        <v>#DIV/0!</v>
      </c>
      <c r="AK38" s="559" t="str">
        <f>+IF('(AS-400 Jembatan)'!AE38=0," ",'(AS-400 Jembatan)'!AE38+'(AS-400 Transfer)'!$AU38)</f>
        <v> </v>
      </c>
      <c r="AL38" s="511" t="str">
        <f>+IF('(AS-400 Jembatan)'!AF38=0," ",'(AS-400 Jembatan)'!AF38+'(AS-400 Transfer)'!$AU38)</f>
        <v> </v>
      </c>
      <c r="AM38" s="560" t="str">
        <f>+IF('(AS-400 Jembatan)'!AG38=0," ",'(AS-400 Jembatan)'!AG38+'(AS-400 Transfer)'!$AU38)</f>
        <v> </v>
      </c>
      <c r="AN38" s="511" t="str">
        <f>+IF('(AS-400 Jembatan)'!AH38=0," ",'(AS-400 Jembatan)'!AH38+'(AS-400 Transfer)'!$AU38)</f>
        <v> </v>
      </c>
      <c r="AO38" s="511" t="str">
        <f>+IF('(AS-400 Jembatan)'!AI38=0," ",'(AS-400 Jembatan)'!AI38+'(AS-400 Transfer)'!$AU38)</f>
        <v> </v>
      </c>
      <c r="AP38" s="511">
        <f>SUM(AK38:AK38)</f>
        <v>0</v>
      </c>
      <c r="AQ38" s="511">
        <f>+'(AS-400 Jembatan)'!AK38</f>
        <v>0</v>
      </c>
      <c r="AR38" s="817" t="e">
        <f>(AQ38-AP38)/AS38</f>
        <v>#DIV/0!</v>
      </c>
      <c r="AS38" s="554">
        <f>+COUNT(AK38:AK38)</f>
        <v>0</v>
      </c>
      <c r="AT38" s="554" t="e">
        <f>+IF(AR38&lt;0,(ROUNDDOWN(AR38,0)),(ROUNDUP(AR38,0)))</f>
        <v>#DIV/0!</v>
      </c>
      <c r="AU38" s="554" t="e">
        <v>#DIV/0!</v>
      </c>
      <c r="AV38" s="559" t="str">
        <f>+IF('(AS-400 Jembatan)'!AN38=0," ",'(AS-400 Jembatan)'!AN38+'(AS-400 Transfer)'!$BF38)</f>
        <v> </v>
      </c>
      <c r="AW38" s="511" t="str">
        <f>+IF('(AS-400 Jembatan)'!AO38=0," ",'(AS-400 Jembatan)'!AO38+'(AS-400 Transfer)'!$BF38)</f>
        <v> </v>
      </c>
      <c r="AX38" s="560" t="str">
        <f>+IF('(AS-400 Jembatan)'!AP38=0," ",'(AS-400 Jembatan)'!AP38+'(AS-400 Transfer)'!$BF38)</f>
        <v> </v>
      </c>
      <c r="AY38" s="511" t="str">
        <f>+IF('(AS-400 Jembatan)'!AQ38=0," ",'(AS-400 Jembatan)'!AQ38+'(AS-400 Transfer)'!$BF38)</f>
        <v> </v>
      </c>
      <c r="AZ38" s="511" t="str">
        <f>+IF('(AS-400 Jembatan)'!AR38=0," ",'(AS-400 Jembatan)'!AR38+'(AS-400 Transfer)'!$BF38)</f>
        <v> </v>
      </c>
      <c r="BA38" s="511">
        <f>SUM(AV38:AV38)</f>
        <v>0</v>
      </c>
      <c r="BB38" s="511">
        <f>+GUM!Z44</f>
        <v>0</v>
      </c>
      <c r="BC38" s="511" t="e">
        <f>(BB38-BA38)/BD38</f>
        <v>#DIV/0!</v>
      </c>
      <c r="BD38" s="554">
        <f>+COUNT(AV38:AV38)</f>
        <v>0</v>
      </c>
      <c r="BE38" s="554" t="e">
        <f>+IF(BC38&lt;0,(ROUNDDOWN(BC38,0)),(ROUNDUP(BC38,0)))</f>
        <v>#DIV/0!</v>
      </c>
      <c r="BF38" s="556" t="e">
        <v>#DIV/0!</v>
      </c>
      <c r="BG38" s="559" t="str">
        <f>+IF('(AS-400 Jembatan)'!AW38=0," ",'(AS-400 Jembatan)'!AW38+'(AS-400 Transfer)'!$BQ38)</f>
        <v> </v>
      </c>
      <c r="BH38" s="511" t="str">
        <f>+IF('(AS-400 Jembatan)'!AX38=0," ",'(AS-400 Jembatan)'!AX38+'(AS-400 Transfer)'!$BQ38)</f>
        <v> </v>
      </c>
      <c r="BI38" s="560" t="str">
        <f>+IF('(AS-400 Jembatan)'!AY38=0," ",'(AS-400 Jembatan)'!AY38+'(AS-400 Transfer)'!$BQ38)</f>
        <v> </v>
      </c>
      <c r="BJ38" s="511" t="str">
        <f>+IF('(AS-400 Jembatan)'!AZ38=0," ",'(AS-400 Jembatan)'!AZ38+'(AS-400 Transfer)'!$BQ38)</f>
        <v> </v>
      </c>
      <c r="BK38" s="511" t="str">
        <f>+IF('(AS-400 Jembatan)'!BA38=0," ",'(AS-400 Jembatan)'!BA38+'(AS-400 Transfer)'!$BQ38)</f>
        <v> </v>
      </c>
      <c r="BL38" s="511">
        <f>SUM(BG38:BG38)</f>
        <v>0</v>
      </c>
      <c r="BM38" s="511">
        <f>+'(AS-400 Jembatan)'!BC38</f>
        <v>0</v>
      </c>
      <c r="BN38" s="511" t="e">
        <f>(BM38-BL38)/BO38</f>
        <v>#DIV/0!</v>
      </c>
      <c r="BO38" s="554">
        <f>+COUNT(BG38:BG38)</f>
        <v>0</v>
      </c>
      <c r="BP38" s="554" t="e">
        <f>+IF(BN38&lt;0,(ROUNDDOWN(BN38,0)),(ROUNDUP(BN38,0)))</f>
        <v>#DIV/0!</v>
      </c>
      <c r="BQ38" s="556" t="e">
        <v>#DIV/0!</v>
      </c>
    </row>
    <row r="39" spans="1:142" customHeight="1" ht="15.75" hidden="true" s="473" customFormat="1">
      <c r="A39" s="1294"/>
      <c r="B39" s="969" t="str">
        <f>+GUM!C45</f>
        <v>82115-0E450 H</v>
      </c>
      <c r="C39" s="496" t="str">
        <f>'(AS-400 Jembatan)'!C39</f>
        <v>H 0001</v>
      </c>
      <c r="D39" s="505"/>
      <c r="E39" s="474"/>
      <c r="F39" s="474"/>
      <c r="G39" s="474"/>
      <c r="H39" s="474"/>
      <c r="I39" s="474"/>
      <c r="J39" s="475"/>
      <c r="K39" s="475"/>
      <c r="L39" s="478"/>
      <c r="M39" s="478"/>
      <c r="N39" s="478"/>
      <c r="O39" s="482" t="str">
        <f>+IF('(AS-400 Jembatan)'!M39=0," ",'(AS-400 Jembatan)'!M39+'(AS-400 Transfer)'!$Y39)</f>
        <v> </v>
      </c>
      <c r="P39" s="474" t="str">
        <f>+IF('(AS-400 Jembatan)'!N39=0," ",'(AS-400 Jembatan)'!N39+'(AS-400 Transfer)'!$Y39)</f>
        <v> </v>
      </c>
      <c r="Q39" s="483" t="str">
        <f>+IF('(AS-400 Jembatan)'!O39=0," ",'(AS-400 Jembatan)'!O39+'(AS-400 Transfer)'!$Y39)</f>
        <v> </v>
      </c>
      <c r="R39" s="474" t="str">
        <f>+IF('(AS-400 Jembatan)'!P39=0," ",'(AS-400 Jembatan)'!P39+'(AS-400 Transfer)'!$Y39)</f>
        <v> </v>
      </c>
      <c r="S39" s="474" t="str">
        <f>+IF('(AS-400 Jembatan)'!Q39=0," ",'(AS-400 Jembatan)'!Q39+'(AS-400 Transfer)'!$Y39)</f>
        <v> </v>
      </c>
      <c r="T39" s="474">
        <f>SUM(O39:O39)</f>
        <v>0</v>
      </c>
      <c r="U39" s="474">
        <f>+'(AS-400 Jembatan)'!S39</f>
        <v>0</v>
      </c>
      <c r="V39" s="474" t="e">
        <f>(U39-T39)/W39</f>
        <v>#DIV/0!</v>
      </c>
      <c r="W39" s="478">
        <f>+COUNT(O39:O39)</f>
        <v>0</v>
      </c>
      <c r="X39" s="478" t="e">
        <f>+IF(V39&lt;0,(ROUNDDOWN(V39,0)),(ROUNDUP(V39,0)))</f>
        <v>#DIV/0!</v>
      </c>
      <c r="Y39" s="488" t="e">
        <v>#DIV/0!</v>
      </c>
      <c r="Z39" s="482" t="str">
        <f>+IF('(AS-400 Jembatan)'!V39=0," ",'(AS-400 Jembatan)'!V39+'(AS-400 Transfer)'!$AJ39)</f>
        <v> </v>
      </c>
      <c r="AA39" s="494" t="str">
        <f>+IF('(AS-400 Jembatan)'!W39=0," ",'(AS-400 Jembatan)'!W39+'(AS-400 Transfer)'!$AJ39)</f>
        <v> </v>
      </c>
      <c r="AB39" s="483" t="str">
        <f>+IF('(AS-400 Jembatan)'!X39=0," ",'(AS-400 Jembatan)'!X39+'(AS-400 Transfer)'!$AJ39)</f>
        <v> </v>
      </c>
      <c r="AC39" s="474" t="str">
        <f>+IF('(AS-400 Jembatan)'!Y39=0," ",'(AS-400 Jembatan)'!Y39+'(AS-400 Transfer)'!$AJ39)</f>
        <v> </v>
      </c>
      <c r="AD39" s="474" t="str">
        <f>+IF('(AS-400 Jembatan)'!Z39=0," ",'(AS-400 Jembatan)'!Z39+'(AS-400 Transfer)'!$AJ39)</f>
        <v> </v>
      </c>
      <c r="AE39" s="474">
        <f>SUM(Z39:Z39)</f>
        <v>0</v>
      </c>
      <c r="AF39" s="474">
        <f>+'(AS-400 Jembatan)'!AB39</f>
        <v>0</v>
      </c>
      <c r="AG39" s="474" t="e">
        <f>(AF39-AE39)/AH39</f>
        <v>#DIV/0!</v>
      </c>
      <c r="AH39" s="478">
        <f>+COUNT(Z39:Z39)</f>
        <v>0</v>
      </c>
      <c r="AI39" s="475" t="e">
        <f>+IF(AG39&lt;0,(ROUNDDOWN(AG39,0)),(ROUNDUP(AG39,0)))</f>
        <v>#DIV/0!</v>
      </c>
      <c r="AJ39" s="481" t="e">
        <v>#DIV/0!</v>
      </c>
      <c r="AK39" s="482" t="str">
        <f>+IF('(AS-400 Jembatan)'!AE39=0," ",'(AS-400 Jembatan)'!AE39+'(AS-400 Transfer)'!$AU39)</f>
        <v> </v>
      </c>
      <c r="AL39" s="474" t="str">
        <f>+IF('(AS-400 Jembatan)'!AF39=0," ",'(AS-400 Jembatan)'!AF39+'(AS-400 Transfer)'!$AU39)</f>
        <v> </v>
      </c>
      <c r="AM39" s="483" t="str">
        <f>+IF('(AS-400 Jembatan)'!AG39=0," ",'(AS-400 Jembatan)'!AG39+'(AS-400 Transfer)'!$AU39)</f>
        <v> </v>
      </c>
      <c r="AN39" s="474" t="str">
        <f>+IF('(AS-400 Jembatan)'!AH39=0," ",'(AS-400 Jembatan)'!AH39+'(AS-400 Transfer)'!$AU39)</f>
        <v> </v>
      </c>
      <c r="AO39" s="474" t="str">
        <f>+IF('(AS-400 Jembatan)'!AI39=0," ",'(AS-400 Jembatan)'!AI39+'(AS-400 Transfer)'!$AU39)</f>
        <v> </v>
      </c>
      <c r="AP39" s="474">
        <f>SUM(AK39:AK39)</f>
        <v>0</v>
      </c>
      <c r="AQ39" s="474">
        <f>+'(AS-400 Jembatan)'!AK39</f>
        <v>0</v>
      </c>
      <c r="AR39" s="474" t="e">
        <f>(AQ39-AP39)/AS39</f>
        <v>#DIV/0!</v>
      </c>
      <c r="AS39" s="478">
        <f>+COUNT(AK39:AK39)</f>
        <v>0</v>
      </c>
      <c r="AT39" s="478" t="e">
        <f>+IF(AR39&lt;0,(ROUNDDOWN(AR39,0)),(ROUNDUP(AR39,0)))</f>
        <v>#DIV/0!</v>
      </c>
      <c r="AU39" s="478" t="e">
        <v>#DIV/0!</v>
      </c>
      <c r="AV39" s="482" t="str">
        <f>+IF('(AS-400 Jembatan)'!AN39=0," ",'(AS-400 Jembatan)'!AN39+'(AS-400 Transfer)'!$BF39)</f>
        <v> </v>
      </c>
      <c r="AW39" s="474" t="str">
        <f>+IF('(AS-400 Jembatan)'!AO39=0," ",'(AS-400 Jembatan)'!AO39+'(AS-400 Transfer)'!$BF39)</f>
        <v> </v>
      </c>
      <c r="AX39" s="483" t="str">
        <f>+IF('(AS-400 Jembatan)'!AP39=0," ",'(AS-400 Jembatan)'!AP39+'(AS-400 Transfer)'!$BF39)</f>
        <v> </v>
      </c>
      <c r="AY39" s="474" t="str">
        <f>+IF('(AS-400 Jembatan)'!AQ39=0," ",'(AS-400 Jembatan)'!AQ39+'(AS-400 Transfer)'!$BF39)</f>
        <v> </v>
      </c>
      <c r="AZ39" s="474" t="str">
        <f>+IF('(AS-400 Jembatan)'!AR39=0," ",'(AS-400 Jembatan)'!AR39+'(AS-400 Transfer)'!$BF39)</f>
        <v> </v>
      </c>
      <c r="BA39" s="474">
        <f>SUM(AV39:AV39)</f>
        <v>0</v>
      </c>
      <c r="BB39" s="474">
        <f>+GUM!Z45</f>
        <v>0</v>
      </c>
      <c r="BC39" s="474" t="e">
        <f>(BB39-BA39)/BD39</f>
        <v>#DIV/0!</v>
      </c>
      <c r="BD39" s="478">
        <f>+COUNT(AV39:AV39)</f>
        <v>0</v>
      </c>
      <c r="BE39" s="478" t="e">
        <f>+IF(BC39&lt;0,(ROUNDDOWN(BC39,0)),(ROUNDUP(BC39,0)))</f>
        <v>#DIV/0!</v>
      </c>
      <c r="BF39" s="488" t="e">
        <v>#DIV/0!</v>
      </c>
      <c r="BG39" s="482" t="str">
        <f>+IF('(AS-400 Jembatan)'!AW39=0," ",'(AS-400 Jembatan)'!AW39+'(AS-400 Transfer)'!$BQ39)</f>
        <v> </v>
      </c>
      <c r="BH39" s="474" t="str">
        <f>+IF('(AS-400 Jembatan)'!AX39=0," ",'(AS-400 Jembatan)'!AX39+'(AS-400 Transfer)'!$BQ39)</f>
        <v> </v>
      </c>
      <c r="BI39" s="483" t="str">
        <f>+IF('(AS-400 Jembatan)'!AY39=0," ",'(AS-400 Jembatan)'!AY39+'(AS-400 Transfer)'!$BQ39)</f>
        <v> </v>
      </c>
      <c r="BJ39" s="474" t="str">
        <f>+IF('(AS-400 Jembatan)'!AZ39=0," ",'(AS-400 Jembatan)'!AZ39+'(AS-400 Transfer)'!$BQ39)</f>
        <v> </v>
      </c>
      <c r="BK39" s="474" t="str">
        <f>+IF('(AS-400 Jembatan)'!BA39=0," ",'(AS-400 Jembatan)'!BA39+'(AS-400 Transfer)'!$BQ39)</f>
        <v> </v>
      </c>
      <c r="BL39" s="474">
        <f>SUM(BG39:BG39)</f>
        <v>0</v>
      </c>
      <c r="BM39" s="474">
        <f>+'(AS-400 Jembatan)'!BC39</f>
        <v>0</v>
      </c>
      <c r="BN39" s="474" t="e">
        <f>(BM39-BL39)/BO39</f>
        <v>#DIV/0!</v>
      </c>
      <c r="BO39" s="478">
        <f>+COUNT(BG39:BG39)</f>
        <v>0</v>
      </c>
      <c r="BP39" s="478" t="e">
        <f>+IF(BN39&lt;0,(ROUNDDOWN(BN39,0)),(ROUNDUP(BN39,0)))</f>
        <v>#DIV/0!</v>
      </c>
      <c r="BQ39" s="488" t="e">
        <v>#DIV/0!</v>
      </c>
    </row>
    <row r="40" spans="1:142" customHeight="1" ht="15.75" hidden="true" s="473" customFormat="1">
      <c r="A40" s="1294"/>
      <c r="B40" s="969" t="str">
        <f>+GUM!C46</f>
        <v>82115-0E460 H</v>
      </c>
      <c r="C40" s="496" t="str">
        <f>'(AS-400 Jembatan)'!C40</f>
        <v>H 0001</v>
      </c>
      <c r="D40" s="505"/>
      <c r="E40" s="474"/>
      <c r="F40" s="474"/>
      <c r="G40" s="474"/>
      <c r="H40" s="474"/>
      <c r="I40" s="474"/>
      <c r="J40" s="475"/>
      <c r="K40" s="475"/>
      <c r="L40" s="478"/>
      <c r="M40" s="478"/>
      <c r="N40" s="478"/>
      <c r="O40" s="482" t="str">
        <f>+IF('(AS-400 Jembatan)'!M40=0," ",'(AS-400 Jembatan)'!M40+'(AS-400 Transfer)'!$Y40)</f>
        <v> </v>
      </c>
      <c r="P40" s="474" t="str">
        <f>+IF('(AS-400 Jembatan)'!N40=0," ",'(AS-400 Jembatan)'!N40+'(AS-400 Transfer)'!$Y40)</f>
        <v> </v>
      </c>
      <c r="Q40" s="483" t="str">
        <f>+IF('(AS-400 Jembatan)'!O40=0," ",'(AS-400 Jembatan)'!O40+'(AS-400 Transfer)'!$Y40)</f>
        <v> </v>
      </c>
      <c r="R40" s="474" t="str">
        <f>+IF('(AS-400 Jembatan)'!P40=0," ",'(AS-400 Jembatan)'!P40+'(AS-400 Transfer)'!$Y40)</f>
        <v> </v>
      </c>
      <c r="S40" s="474" t="str">
        <f>+IF('(AS-400 Jembatan)'!Q40=0," ",'(AS-400 Jembatan)'!Q40+'(AS-400 Transfer)'!$Y40)</f>
        <v> </v>
      </c>
      <c r="T40" s="474">
        <f>SUM(O40:O40)</f>
        <v>0</v>
      </c>
      <c r="U40" s="474">
        <f>+'(AS-400 Jembatan)'!S40</f>
        <v>0</v>
      </c>
      <c r="V40" s="474" t="e">
        <f>(U40-T40)/W40</f>
        <v>#DIV/0!</v>
      </c>
      <c r="W40" s="478">
        <f>+COUNT(O40:O40)</f>
        <v>0</v>
      </c>
      <c r="X40" s="478" t="e">
        <f>+IF(V40&lt;0,(ROUNDDOWN(V40,0)),(ROUNDUP(V40,0)))</f>
        <v>#DIV/0!</v>
      </c>
      <c r="Y40" s="488" t="e">
        <v>#DIV/0!</v>
      </c>
      <c r="Z40" s="482" t="str">
        <f>+IF('(AS-400 Jembatan)'!V40=0," ",'(AS-400 Jembatan)'!V40+'(AS-400 Transfer)'!$AJ40)</f>
        <v> </v>
      </c>
      <c r="AA40" s="494" t="str">
        <f>+IF('(AS-400 Jembatan)'!W40=0," ",'(AS-400 Jembatan)'!W40+'(AS-400 Transfer)'!$AJ40)</f>
        <v> </v>
      </c>
      <c r="AB40" s="483" t="str">
        <f>+IF('(AS-400 Jembatan)'!X40=0," ",'(AS-400 Jembatan)'!X40+'(AS-400 Transfer)'!$AJ40)</f>
        <v> </v>
      </c>
      <c r="AC40" s="474" t="str">
        <f>+IF('(AS-400 Jembatan)'!Y40=0," ",'(AS-400 Jembatan)'!Y40+'(AS-400 Transfer)'!$AJ40)</f>
        <v> </v>
      </c>
      <c r="AD40" s="474" t="str">
        <f>+IF('(AS-400 Jembatan)'!Z40=0," ",'(AS-400 Jembatan)'!Z40+'(AS-400 Transfer)'!$AJ40)</f>
        <v> </v>
      </c>
      <c r="AE40" s="474">
        <f>SUM(Z40:Z40)</f>
        <v>0</v>
      </c>
      <c r="AF40" s="474">
        <f>+'(AS-400 Jembatan)'!AB40</f>
        <v>0</v>
      </c>
      <c r="AG40" s="474" t="e">
        <f>(AF40-AE40)/AH40</f>
        <v>#DIV/0!</v>
      </c>
      <c r="AH40" s="478">
        <f>+COUNT(Z40:Z40)</f>
        <v>0</v>
      </c>
      <c r="AI40" s="475" t="e">
        <f>+IF(AG40&lt;0,(ROUNDDOWN(AG40,0)),(ROUNDUP(AG40,0)))</f>
        <v>#DIV/0!</v>
      </c>
      <c r="AJ40" s="481" t="e">
        <v>#DIV/0!</v>
      </c>
      <c r="AK40" s="482" t="str">
        <f>+IF('(AS-400 Jembatan)'!AE40=0," ",'(AS-400 Jembatan)'!AE40+'(AS-400 Transfer)'!$AU40)</f>
        <v> </v>
      </c>
      <c r="AL40" s="474" t="str">
        <f>+IF('(AS-400 Jembatan)'!AF40=0," ",'(AS-400 Jembatan)'!AF40+'(AS-400 Transfer)'!$AU40)</f>
        <v> </v>
      </c>
      <c r="AM40" s="483" t="str">
        <f>+IF('(AS-400 Jembatan)'!AG40=0," ",'(AS-400 Jembatan)'!AG40+'(AS-400 Transfer)'!$AU40)</f>
        <v> </v>
      </c>
      <c r="AN40" s="474" t="str">
        <f>+IF('(AS-400 Jembatan)'!AH40=0," ",'(AS-400 Jembatan)'!AH40+'(AS-400 Transfer)'!$AU40)</f>
        <v> </v>
      </c>
      <c r="AO40" s="474" t="str">
        <f>+IF('(AS-400 Jembatan)'!AI40=0," ",'(AS-400 Jembatan)'!AI40+'(AS-400 Transfer)'!$AU40)</f>
        <v> </v>
      </c>
      <c r="AP40" s="474">
        <f>SUM(AK40:AK40)</f>
        <v>0</v>
      </c>
      <c r="AQ40" s="474">
        <f>+'(AS-400 Jembatan)'!AK40</f>
        <v>0</v>
      </c>
      <c r="AR40" s="474" t="e">
        <f>(AQ40-AP40)/AS40</f>
        <v>#DIV/0!</v>
      </c>
      <c r="AS40" s="478">
        <f>+COUNT(AK40:AK40)</f>
        <v>0</v>
      </c>
      <c r="AT40" s="478" t="e">
        <f>+IF(AR40&lt;0,(ROUNDDOWN(AR40,0)),(ROUNDUP(AR40,0)))</f>
        <v>#DIV/0!</v>
      </c>
      <c r="AU40" s="478" t="e">
        <v>#DIV/0!</v>
      </c>
      <c r="AV40" s="482" t="str">
        <f>+IF('(AS-400 Jembatan)'!AN40=0," ",'(AS-400 Jembatan)'!AN40+'(AS-400 Transfer)'!$BF40)</f>
        <v> </v>
      </c>
      <c r="AW40" s="474" t="str">
        <f>+IF('(AS-400 Jembatan)'!AO40=0," ",'(AS-400 Jembatan)'!AO40+'(AS-400 Transfer)'!$BF40)</f>
        <v> </v>
      </c>
      <c r="AX40" s="483" t="str">
        <f>+IF('(AS-400 Jembatan)'!AP40=0," ",'(AS-400 Jembatan)'!AP40+'(AS-400 Transfer)'!$BF40)</f>
        <v> </v>
      </c>
      <c r="AY40" s="474" t="str">
        <f>+IF('(AS-400 Jembatan)'!AQ40=0," ",'(AS-400 Jembatan)'!AQ40+'(AS-400 Transfer)'!$BF40)</f>
        <v> </v>
      </c>
      <c r="AZ40" s="474" t="str">
        <f>+IF('(AS-400 Jembatan)'!AR40=0," ",'(AS-400 Jembatan)'!AR40+'(AS-400 Transfer)'!$BF40)</f>
        <v> </v>
      </c>
      <c r="BA40" s="474">
        <f>SUM(AV40:AV40)</f>
        <v>0</v>
      </c>
      <c r="BB40" s="474">
        <f>+GUM!Z46</f>
        <v>0</v>
      </c>
      <c r="BC40" s="474" t="e">
        <f>(BB40-BA40)/BD40</f>
        <v>#DIV/0!</v>
      </c>
      <c r="BD40" s="478">
        <f>+COUNT(AV40:AV40)</f>
        <v>0</v>
      </c>
      <c r="BE40" s="478" t="e">
        <f>+IF(BC40&lt;0,(ROUNDDOWN(BC40,0)),(ROUNDUP(BC40,0)))</f>
        <v>#DIV/0!</v>
      </c>
      <c r="BF40" s="488" t="e">
        <v>#DIV/0!</v>
      </c>
      <c r="BG40" s="482" t="str">
        <f>+IF('(AS-400 Jembatan)'!AW40=0," ",'(AS-400 Jembatan)'!AW40+'(AS-400 Transfer)'!$BQ40)</f>
        <v> </v>
      </c>
      <c r="BH40" s="474" t="str">
        <f>+IF('(AS-400 Jembatan)'!AX40=0," ",'(AS-400 Jembatan)'!AX40+'(AS-400 Transfer)'!$BQ40)</f>
        <v> </v>
      </c>
      <c r="BI40" s="483" t="str">
        <f>+IF('(AS-400 Jembatan)'!AY40=0," ",'(AS-400 Jembatan)'!AY40+'(AS-400 Transfer)'!$BQ40)</f>
        <v> </v>
      </c>
      <c r="BJ40" s="474" t="str">
        <f>+IF('(AS-400 Jembatan)'!AZ40=0," ",'(AS-400 Jembatan)'!AZ40+'(AS-400 Transfer)'!$BQ40)</f>
        <v> </v>
      </c>
      <c r="BK40" s="474" t="str">
        <f>+IF('(AS-400 Jembatan)'!BA40=0," ",'(AS-400 Jembatan)'!BA40+'(AS-400 Transfer)'!$BQ40)</f>
        <v> </v>
      </c>
      <c r="BL40" s="474">
        <f>SUM(BG40:BG40)</f>
        <v>0</v>
      </c>
      <c r="BM40" s="474">
        <f>+'(AS-400 Jembatan)'!BC40</f>
        <v>0</v>
      </c>
      <c r="BN40" s="474" t="e">
        <f>(BM40-BL40)/BO40</f>
        <v>#DIV/0!</v>
      </c>
      <c r="BO40" s="478">
        <f>+COUNT(BG40:BG40)</f>
        <v>0</v>
      </c>
      <c r="BP40" s="478" t="e">
        <f>+IF(BN40&lt;0,(ROUNDDOWN(BN40,0)),(ROUNDUP(BN40,0)))</f>
        <v>#DIV/0!</v>
      </c>
      <c r="BQ40" s="488" t="e">
        <v>#DIV/0!</v>
      </c>
    </row>
    <row r="41" spans="1:142" customHeight="1" ht="16.5" hidden="true" s="502" customFormat="1">
      <c r="A41" s="1294"/>
      <c r="B41" s="976" t="str">
        <f>+GUM!C47</f>
        <v>82115-0EA00 H</v>
      </c>
      <c r="C41" s="807" t="str">
        <f>'(AS-400 Jembatan)'!C41</f>
        <v>H 0001</v>
      </c>
      <c r="D41" s="818"/>
      <c r="E41" s="819"/>
      <c r="F41" s="819"/>
      <c r="G41" s="819"/>
      <c r="H41" s="819"/>
      <c r="I41" s="819"/>
      <c r="J41" s="820"/>
      <c r="K41" s="820"/>
      <c r="L41" s="821"/>
      <c r="M41" s="821"/>
      <c r="N41" s="821"/>
      <c r="O41" s="822" t="str">
        <f>+IF('(AS-400 Jembatan)'!M41=0," ",'(AS-400 Jembatan)'!M41+'(AS-400 Transfer)'!$Y41)</f>
        <v> </v>
      </c>
      <c r="P41" s="819" t="str">
        <f>+IF('(AS-400 Jembatan)'!N41=0," ",'(AS-400 Jembatan)'!N41+'(AS-400 Transfer)'!$Y41)</f>
        <v> </v>
      </c>
      <c r="Q41" s="823" t="str">
        <f>+IF('(AS-400 Jembatan)'!O41=0," ",'(AS-400 Jembatan)'!O41+'(AS-400 Transfer)'!$Y41)</f>
        <v> </v>
      </c>
      <c r="R41" s="819" t="str">
        <f>+IF('(AS-400 Jembatan)'!P41=0," ",'(AS-400 Jembatan)'!P41+'(AS-400 Transfer)'!$Y41)</f>
        <v> </v>
      </c>
      <c r="S41" s="819" t="str">
        <f>+IF('(AS-400 Jembatan)'!Q41=0," ",'(AS-400 Jembatan)'!Q41+'(AS-400 Transfer)'!$Y41)</f>
        <v> </v>
      </c>
      <c r="T41" s="809">
        <f>SUM(O41:O41)</f>
        <v>0</v>
      </c>
      <c r="U41" s="809">
        <f>+'(AS-400 Jembatan)'!S41</f>
        <v>0</v>
      </c>
      <c r="V41" s="819" t="e">
        <f>(U41-T41)/W41</f>
        <v>#DIV/0!</v>
      </c>
      <c r="W41" s="821">
        <f>+COUNT(O41:O41)</f>
        <v>0</v>
      </c>
      <c r="X41" s="821" t="e">
        <f>+IF(V41&lt;0,(ROUNDDOWN(V41,0)),(ROUNDUP(V41,0)))</f>
        <v>#DIV/0!</v>
      </c>
      <c r="Y41" s="824" t="e">
        <v>#DIV/0!</v>
      </c>
      <c r="Z41" s="822" t="str">
        <f>+IF('(AS-400 Jembatan)'!V41=0," ",'(AS-400 Jembatan)'!V41+'(AS-400 Transfer)'!$AJ41)</f>
        <v> </v>
      </c>
      <c r="AA41" s="825" t="str">
        <f>+IF('(AS-400 Jembatan)'!W41=0," ",'(AS-400 Jembatan)'!W41+'(AS-400 Transfer)'!$AJ41)</f>
        <v> </v>
      </c>
      <c r="AB41" s="823" t="str">
        <f>+IF('(AS-400 Jembatan)'!X41=0," ",'(AS-400 Jembatan)'!X41+'(AS-400 Transfer)'!$AJ41)</f>
        <v> </v>
      </c>
      <c r="AC41" s="819" t="str">
        <f>+IF('(AS-400 Jembatan)'!Y41=0," ",'(AS-400 Jembatan)'!Y41+'(AS-400 Transfer)'!$AJ41)</f>
        <v> </v>
      </c>
      <c r="AD41" s="819" t="str">
        <f>+IF('(AS-400 Jembatan)'!Z41=0," ",'(AS-400 Jembatan)'!Z41+'(AS-400 Transfer)'!$AJ41)</f>
        <v> </v>
      </c>
      <c r="AE41" s="819">
        <f>SUM(Z41:Z41)</f>
        <v>0</v>
      </c>
      <c r="AF41" s="819">
        <f>+'(AS-400 Jembatan)'!AB41</f>
        <v>0</v>
      </c>
      <c r="AG41" s="819" t="e">
        <f>(AF41-AE41)/AH41</f>
        <v>#DIV/0!</v>
      </c>
      <c r="AH41" s="821">
        <f>+COUNT(Z41:Z41)</f>
        <v>0</v>
      </c>
      <c r="AI41" s="820" t="e">
        <f>+IF(AG41&lt;0,(ROUNDDOWN(AG41,0)),(ROUNDUP(AG41,0)))</f>
        <v>#DIV/0!</v>
      </c>
      <c r="AJ41" s="826" t="e">
        <v>#DIV/0!</v>
      </c>
      <c r="AK41" s="822" t="str">
        <f>+IF('(AS-400 Jembatan)'!AE41=0," ",'(AS-400 Jembatan)'!AE41+'(AS-400 Transfer)'!$AU41)</f>
        <v> </v>
      </c>
      <c r="AL41" s="819" t="str">
        <f>+IF('(AS-400 Jembatan)'!AF41=0," ",'(AS-400 Jembatan)'!AF41+'(AS-400 Transfer)'!$AU41)</f>
        <v> </v>
      </c>
      <c r="AM41" s="823" t="str">
        <f>+IF('(AS-400 Jembatan)'!AG41=0," ",'(AS-400 Jembatan)'!AG41+'(AS-400 Transfer)'!$AU41)</f>
        <v> </v>
      </c>
      <c r="AN41" s="819" t="str">
        <f>+IF('(AS-400 Jembatan)'!AH41=0," ",'(AS-400 Jembatan)'!AH41+'(AS-400 Transfer)'!$AU41)</f>
        <v> </v>
      </c>
      <c r="AO41" s="819" t="str">
        <f>+IF('(AS-400 Jembatan)'!AI41=0," ",'(AS-400 Jembatan)'!AI41+'(AS-400 Transfer)'!$AU41)</f>
        <v> </v>
      </c>
      <c r="AP41" s="819">
        <f>SUM(AK41:AK41)</f>
        <v>0</v>
      </c>
      <c r="AQ41" s="819">
        <f>+'(AS-400 Jembatan)'!AK41</f>
        <v>0</v>
      </c>
      <c r="AR41" s="819" t="e">
        <f>(AQ41-AP41)/AS41</f>
        <v>#DIV/0!</v>
      </c>
      <c r="AS41" s="811">
        <f>+COUNT(AK41:AK41)</f>
        <v>0</v>
      </c>
      <c r="AT41" s="821" t="e">
        <f>+IF(AR41&lt;0,(ROUNDDOWN(AR41,0)),(ROUNDUP(AR41,0)))</f>
        <v>#DIV/0!</v>
      </c>
      <c r="AU41" s="821" t="e">
        <v>#DIV/0!</v>
      </c>
      <c r="AV41" s="822" t="str">
        <f>+IF('(AS-400 Jembatan)'!AN41=0," ",'(AS-400 Jembatan)'!AN41+'(AS-400 Transfer)'!$BF41)</f>
        <v> </v>
      </c>
      <c r="AW41" s="819" t="str">
        <f>+IF('(AS-400 Jembatan)'!AO41=0," ",'(AS-400 Jembatan)'!AO41+'(AS-400 Transfer)'!$BF41)</f>
        <v> </v>
      </c>
      <c r="AX41" s="823" t="str">
        <f>+IF('(AS-400 Jembatan)'!AP41=0," ",'(AS-400 Jembatan)'!AP41+'(AS-400 Transfer)'!$BF41)</f>
        <v> </v>
      </c>
      <c r="AY41" s="819" t="str">
        <f>+IF('(AS-400 Jembatan)'!AQ41=0," ",'(AS-400 Jembatan)'!AQ41+'(AS-400 Transfer)'!$BF41)</f>
        <v> </v>
      </c>
      <c r="AZ41" s="819" t="str">
        <f>+IF('(AS-400 Jembatan)'!AR41=0," ",'(AS-400 Jembatan)'!AR41+'(AS-400 Transfer)'!$BF41)</f>
        <v> </v>
      </c>
      <c r="BA41" s="819">
        <f>SUM(AV41:AV41)</f>
        <v>0</v>
      </c>
      <c r="BB41" s="819">
        <f>+GUM!Z47</f>
        <v>0</v>
      </c>
      <c r="BC41" s="819" t="e">
        <f>(BB41-BA41)/BD41</f>
        <v>#DIV/0!</v>
      </c>
      <c r="BD41" s="821">
        <f>+COUNT(AV41:AV41)</f>
        <v>0</v>
      </c>
      <c r="BE41" s="821" t="e">
        <f>+IF(BC41&lt;0,(ROUNDDOWN(BC41,0)),(ROUNDUP(BC41,0)))</f>
        <v>#DIV/0!</v>
      </c>
      <c r="BF41" s="824" t="e">
        <v>#DIV/0!</v>
      </c>
      <c r="BG41" s="812" t="str">
        <f>+IF('(AS-400 Jembatan)'!AW41=0," ",'(AS-400 Jembatan)'!AW41+'(AS-400 Transfer)'!$BQ41)</f>
        <v> </v>
      </c>
      <c r="BH41" s="809" t="str">
        <f>+IF('(AS-400 Jembatan)'!AX41=0," ",'(AS-400 Jembatan)'!AX41+'(AS-400 Transfer)'!$BQ41)</f>
        <v> </v>
      </c>
      <c r="BI41" s="813" t="str">
        <f>+IF('(AS-400 Jembatan)'!AY41=0," ",'(AS-400 Jembatan)'!AY41+'(AS-400 Transfer)'!$BQ41)</f>
        <v> </v>
      </c>
      <c r="BJ41" s="819" t="str">
        <f>+IF('(AS-400 Jembatan)'!AZ41=0," ",'(AS-400 Jembatan)'!AZ41+'(AS-400 Transfer)'!$BQ41)</f>
        <v> </v>
      </c>
      <c r="BK41" s="819" t="str">
        <f>+IF('(AS-400 Jembatan)'!BA41=0," ",'(AS-400 Jembatan)'!BA41+'(AS-400 Transfer)'!$BQ41)</f>
        <v> </v>
      </c>
      <c r="BL41" s="819">
        <f>SUM(BG41:BG41)</f>
        <v>0</v>
      </c>
      <c r="BM41" s="819">
        <f>+'(AS-400 Jembatan)'!BC41</f>
        <v>0</v>
      </c>
      <c r="BN41" s="819" t="e">
        <f>(BM41-BL41)/BO41</f>
        <v>#DIV/0!</v>
      </c>
      <c r="BO41" s="821">
        <f>+COUNT(BG41:BG41)</f>
        <v>0</v>
      </c>
      <c r="BP41" s="821" t="e">
        <f>+IF(BN41&lt;0,(ROUNDDOWN(BN41,0)),(ROUNDUP(BN41,0)))</f>
        <v>#DIV/0!</v>
      </c>
      <c r="BQ41" s="824" t="e">
        <v>#DIV/0!</v>
      </c>
    </row>
    <row r="42" spans="1:142" customHeight="1" ht="15.75" hidden="true" s="473" customFormat="1">
      <c r="A42" s="1294"/>
      <c r="B42" s="983" t="str">
        <f>+GUM!C48</f>
        <v>82115-0E500</v>
      </c>
      <c r="C42" s="725" t="str">
        <f>'(AS-400 Jembatan)'!C42</f>
        <v>J 0001</v>
      </c>
      <c r="D42" s="550"/>
      <c r="E42" s="476"/>
      <c r="F42" s="476"/>
      <c r="G42" s="476"/>
      <c r="H42" s="476"/>
      <c r="I42" s="476"/>
      <c r="J42" s="477"/>
      <c r="K42" s="477"/>
      <c r="L42" s="479"/>
      <c r="M42" s="479"/>
      <c r="N42" s="479"/>
      <c r="O42" s="484" t="str">
        <f>+IF('(AS-400 Jembatan)'!M42=0," ",'(AS-400 Jembatan)'!M42+'(AS-400 Transfer)'!$Y42)</f>
        <v> </v>
      </c>
      <c r="P42" s="476" t="str">
        <f>+IF('(AS-400 Jembatan)'!N42=0," ",'(AS-400 Jembatan)'!N42+'(AS-400 Transfer)'!$Y42)</f>
        <v> </v>
      </c>
      <c r="Q42" s="504" t="str">
        <f>+IF('(AS-400 Jembatan)'!O42=0," ",'(AS-400 Jembatan)'!O42+'(AS-400 Transfer)'!$Y42)</f>
        <v> </v>
      </c>
      <c r="R42" s="476" t="str">
        <f>+IF('(AS-400 Jembatan)'!P42=0," ",'(AS-400 Jembatan)'!P42+'(AS-400 Transfer)'!$Y42)</f>
        <v> </v>
      </c>
      <c r="S42" s="476" t="str">
        <f>+IF('(AS-400 Jembatan)'!Q42=0," ",'(AS-400 Jembatan)'!Q42+'(AS-400 Transfer)'!$Y42)</f>
        <v> </v>
      </c>
      <c r="T42" s="476">
        <f>SUM(O42:O42)</f>
        <v>0</v>
      </c>
      <c r="U42" s="476">
        <f>+'(AS-400 Jembatan)'!S42</f>
        <v>0</v>
      </c>
      <c r="V42" s="476" t="e">
        <f>(U42-T42)/W42</f>
        <v>#DIV/0!</v>
      </c>
      <c r="W42" s="479">
        <f>+COUNT(O42:O42)</f>
        <v>0</v>
      </c>
      <c r="X42" s="479" t="e">
        <f>+IF(V42&lt;0,(ROUNDDOWN(V42,0)),(ROUNDUP(V42,0)))</f>
        <v>#DIV/0!</v>
      </c>
      <c r="Y42" s="480" t="e">
        <v>#DIV/0!</v>
      </c>
      <c r="Z42" s="484" t="str">
        <f>+IF('(AS-400 Jembatan)'!V42=0," ",'(AS-400 Jembatan)'!V42+'(AS-400 Transfer)'!$AJ42)</f>
        <v> </v>
      </c>
      <c r="AA42" s="500" t="str">
        <f>+IF('(AS-400 Jembatan)'!W42=0," ",'(AS-400 Jembatan)'!W42+'(AS-400 Transfer)'!$AJ42)</f>
        <v> </v>
      </c>
      <c r="AB42" s="504" t="str">
        <f>+IF('(AS-400 Jembatan)'!X42=0," ",'(AS-400 Jembatan)'!X42+'(AS-400 Transfer)'!$AJ42)</f>
        <v> </v>
      </c>
      <c r="AC42" s="829" t="str">
        <f>+IF('(AS-400 Jembatan)'!Y42=0," ",'(AS-400 Jembatan)'!Y42+'(AS-400 Transfer)'!$AJ42)</f>
        <v> </v>
      </c>
      <c r="AD42" s="829" t="str">
        <f>+IF('(AS-400 Jembatan)'!Z42=0," ",'(AS-400 Jembatan)'!Z42+'(AS-400 Transfer)'!$AJ42)</f>
        <v> </v>
      </c>
      <c r="AE42" s="476">
        <f>SUM(Z42:Z42)</f>
        <v>0</v>
      </c>
      <c r="AF42" s="476">
        <f>+'(AS-400 Jembatan)'!AB42</f>
        <v>0</v>
      </c>
      <c r="AG42" s="476" t="e">
        <f>(AF42-AE42)/AH42</f>
        <v>#DIV/0!</v>
      </c>
      <c r="AH42" s="479">
        <f>+COUNT(Z42:Z42)</f>
        <v>0</v>
      </c>
      <c r="AI42" s="477" t="e">
        <f>+IF(AG42&lt;0,(ROUNDDOWN(AG42,0)),(ROUNDUP(AG42,0)))</f>
        <v>#DIV/0!</v>
      </c>
      <c r="AJ42" s="487" t="e">
        <v>#DIV/0!</v>
      </c>
      <c r="AK42" s="484" t="str">
        <f>+IF('(AS-400 Jembatan)'!AE42=0," ",'(AS-400 Jembatan)'!AE42+'(AS-400 Transfer)'!$AU42)</f>
        <v> </v>
      </c>
      <c r="AL42" s="476" t="str">
        <f>+IF('(AS-400 Jembatan)'!AF42=0," ",'(AS-400 Jembatan)'!AF42+'(AS-400 Transfer)'!$AU42)</f>
        <v> </v>
      </c>
      <c r="AM42" s="504" t="str">
        <f>+IF('(AS-400 Jembatan)'!AG42=0," ",'(AS-400 Jembatan)'!AG42+'(AS-400 Transfer)'!$AU42)</f>
        <v> </v>
      </c>
      <c r="AN42" s="476" t="str">
        <f>+IF('(AS-400 Jembatan)'!AH42=0," ",'(AS-400 Jembatan)'!AH42+'(AS-400 Transfer)'!$AU42)</f>
        <v> </v>
      </c>
      <c r="AO42" s="476" t="str">
        <f>+IF('(AS-400 Jembatan)'!AI42=0," ",'(AS-400 Jembatan)'!AI42+'(AS-400 Transfer)'!$AU42)</f>
        <v> </v>
      </c>
      <c r="AP42" s="476">
        <f>SUM(AK42:AK42)</f>
        <v>0</v>
      </c>
      <c r="AQ42" s="476">
        <f>+'(AS-400 Jembatan)'!AK42</f>
        <v>0</v>
      </c>
      <c r="AR42" s="476" t="e">
        <f>(AQ42-AP42)/AS42</f>
        <v>#DIV/0!</v>
      </c>
      <c r="AS42" s="479">
        <f>+COUNT(AK42:AK42)</f>
        <v>0</v>
      </c>
      <c r="AT42" s="479" t="e">
        <f>+IF(AR42&lt;0,(ROUNDDOWN(AR42,0)),(ROUNDUP(AR42,0)))</f>
        <v>#DIV/0!</v>
      </c>
      <c r="AU42" s="479" t="e">
        <v>#DIV/0!</v>
      </c>
      <c r="AV42" s="484" t="str">
        <f>+IF('(AS-400 Jembatan)'!AN42=0," ",'(AS-400 Jembatan)'!AN42+'(AS-400 Transfer)'!$BF42)</f>
        <v> </v>
      </c>
      <c r="AW42" s="476" t="str">
        <f>+IF('(AS-400 Jembatan)'!AO42=0," ",'(AS-400 Jembatan)'!AO42+'(AS-400 Transfer)'!$BF42)</f>
        <v> </v>
      </c>
      <c r="AX42" s="504" t="str">
        <f>+IF('(AS-400 Jembatan)'!AP42=0," ",'(AS-400 Jembatan)'!AP42+'(AS-400 Transfer)'!$BF42)</f>
        <v> </v>
      </c>
      <c r="AY42" s="476" t="str">
        <f>+IF('(AS-400 Jembatan)'!AQ42=0," ",'(AS-400 Jembatan)'!AQ42+'(AS-400 Transfer)'!$BF42)</f>
        <v> </v>
      </c>
      <c r="AZ42" s="476" t="str">
        <f>+IF('(AS-400 Jembatan)'!AR42=0," ",'(AS-400 Jembatan)'!AR42+'(AS-400 Transfer)'!$BF42)</f>
        <v> </v>
      </c>
      <c r="BA42" s="476">
        <f>SUM(AV42:AV42)</f>
        <v>0</v>
      </c>
      <c r="BB42" s="476">
        <f>+GUM!Z48</f>
        <v>0</v>
      </c>
      <c r="BC42" s="476" t="e">
        <f>(BB42-BA42)/BD42</f>
        <v>#DIV/0!</v>
      </c>
      <c r="BD42" s="479">
        <f>+COUNT(AV42:AV42)</f>
        <v>0</v>
      </c>
      <c r="BE42" s="479" t="e">
        <f>+IF(BC42&lt;0,(ROUNDDOWN(BC42,0)),(ROUNDUP(BC42,0)))</f>
        <v>#DIV/0!</v>
      </c>
      <c r="BF42" s="480" t="e">
        <v>#DIV/0!</v>
      </c>
      <c r="BG42" s="484" t="str">
        <f>+IF('(AS-400 Jembatan)'!AW42=0," ",'(AS-400 Jembatan)'!AW42+'(AS-400 Transfer)'!$BQ42)</f>
        <v> </v>
      </c>
      <c r="BH42" s="476" t="str">
        <f>+IF('(AS-400 Jembatan)'!AX42=0," ",'(AS-400 Jembatan)'!AX42+'(AS-400 Transfer)'!$BQ42)</f>
        <v> </v>
      </c>
      <c r="BI42" s="504" t="str">
        <f>+IF('(AS-400 Jembatan)'!AY42=0," ",'(AS-400 Jembatan)'!AY42+'(AS-400 Transfer)'!$BQ42)</f>
        <v> </v>
      </c>
      <c r="BJ42" s="476" t="str">
        <f>+IF('(AS-400 Jembatan)'!AZ42=0," ",'(AS-400 Jembatan)'!AZ42+'(AS-400 Transfer)'!$BQ42)</f>
        <v> </v>
      </c>
      <c r="BK42" s="476" t="str">
        <f>+IF('(AS-400 Jembatan)'!BA42=0," ",'(AS-400 Jembatan)'!BA42+'(AS-400 Transfer)'!$BQ42)</f>
        <v> </v>
      </c>
      <c r="BL42" s="476">
        <f>SUM(BG42:BG42)</f>
        <v>0</v>
      </c>
      <c r="BM42" s="476">
        <f>+'(AS-400 Jembatan)'!BC42</f>
        <v>0</v>
      </c>
      <c r="BN42" s="476" t="e">
        <f>(BM42-BL42)/BO42</f>
        <v>#DIV/0!</v>
      </c>
      <c r="BO42" s="479">
        <f>+COUNT(BG42:BG42)</f>
        <v>0</v>
      </c>
      <c r="BP42" s="479" t="e">
        <f>+IF(BN42&lt;0,(ROUNDDOWN(BN42,0)),(ROUNDUP(BN42,0)))</f>
        <v>#DIV/0!</v>
      </c>
      <c r="BQ42" s="480" t="e">
        <v>#DIV/0!</v>
      </c>
    </row>
    <row r="43" spans="1:142" customHeight="1" ht="15.75" hidden="true" s="473" customFormat="1">
      <c r="A43" s="1294"/>
      <c r="B43" s="969" t="str">
        <f>+GUM!C49</f>
        <v>82115-0E510</v>
      </c>
      <c r="C43" s="496" t="str">
        <f>'(AS-400 Jembatan)'!C43</f>
        <v>H 0001</v>
      </c>
      <c r="D43" s="505"/>
      <c r="E43" s="474"/>
      <c r="F43" s="474"/>
      <c r="G43" s="474"/>
      <c r="H43" s="474"/>
      <c r="I43" s="474"/>
      <c r="J43" s="475"/>
      <c r="K43" s="475"/>
      <c r="L43" s="478"/>
      <c r="M43" s="478"/>
      <c r="N43" s="478"/>
      <c r="O43" s="484" t="str">
        <f>+IF('(AS-400 Jembatan)'!M43=0," ",'(AS-400 Jembatan)'!M43+'(AS-400 Transfer)'!$Y43)</f>
        <v> </v>
      </c>
      <c r="P43" s="476" t="str">
        <f>+IF('(AS-400 Jembatan)'!N43=0," ",'(AS-400 Jembatan)'!N43+'(AS-400 Transfer)'!$Y43)</f>
        <v> </v>
      </c>
      <c r="Q43" s="504" t="str">
        <f>+IF('(AS-400 Jembatan)'!O43=0," ",'(AS-400 Jembatan)'!O43+'(AS-400 Transfer)'!$Y43)</f>
        <v> </v>
      </c>
      <c r="R43" s="476" t="str">
        <f>+IF('(AS-400 Jembatan)'!P43=0," ",'(AS-400 Jembatan)'!P43+'(AS-400 Transfer)'!$Y43)</f>
        <v> </v>
      </c>
      <c r="S43" s="476" t="str">
        <f>+IF('(AS-400 Jembatan)'!Q43=0," ",'(AS-400 Jembatan)'!Q43+'(AS-400 Transfer)'!$Y43)</f>
        <v> </v>
      </c>
      <c r="T43" s="474">
        <f>SUM(O43:O43)</f>
        <v>0</v>
      </c>
      <c r="U43" s="474">
        <f>+'(AS-400 Jembatan)'!S43</f>
        <v>0</v>
      </c>
      <c r="V43" s="474" t="e">
        <f>(U43-T43)/W43</f>
        <v>#DIV/0!</v>
      </c>
      <c r="W43" s="478">
        <f>+COUNT(O43:O43)</f>
        <v>0</v>
      </c>
      <c r="X43" s="478" t="e">
        <f>+IF(V43&lt;0,(ROUNDDOWN(V43,0)),(ROUNDUP(V43,0)))</f>
        <v>#DIV/0!</v>
      </c>
      <c r="Y43" s="488" t="e">
        <v>#DIV/0!</v>
      </c>
      <c r="Z43" s="482" t="str">
        <f>+IF('(AS-400 Jembatan)'!V43=0," ",'(AS-400 Jembatan)'!V43+'(AS-400 Transfer)'!$AJ43)</f>
        <v> </v>
      </c>
      <c r="AA43" s="494" t="str">
        <f>+IF('(AS-400 Jembatan)'!W43=0," ",'(AS-400 Jembatan)'!W43+'(AS-400 Transfer)'!$AJ43)</f>
        <v> </v>
      </c>
      <c r="AB43" s="483" t="str">
        <f>+IF('(AS-400 Jembatan)'!X43=0," ",'(AS-400 Jembatan)'!X43+'(AS-400 Transfer)'!$AJ43)</f>
        <v> </v>
      </c>
      <c r="AC43" s="830" t="str">
        <f>+IF('(AS-400 Jembatan)'!Y43=0," ",'(AS-400 Jembatan)'!Y43+'(AS-400 Transfer)'!$AJ43)</f>
        <v> </v>
      </c>
      <c r="AD43" s="830" t="str">
        <f>+IF('(AS-400 Jembatan)'!Z43=0," ",'(AS-400 Jembatan)'!Z43+'(AS-400 Transfer)'!$AJ43)</f>
        <v> </v>
      </c>
      <c r="AE43" s="474">
        <f>SUM(Z43:Z43)</f>
        <v>0</v>
      </c>
      <c r="AF43" s="474">
        <f>+'(AS-400 Jembatan)'!AB43</f>
        <v>0</v>
      </c>
      <c r="AG43" s="474" t="e">
        <f>(AF43-AE43)/AH43</f>
        <v>#DIV/0!</v>
      </c>
      <c r="AH43" s="478">
        <f>+COUNT(Z43:Z43)</f>
        <v>0</v>
      </c>
      <c r="AI43" s="475" t="e">
        <f>+IF(AG43&lt;0,(ROUNDDOWN(AG43,0)),(ROUNDUP(AG43,0)))</f>
        <v>#DIV/0!</v>
      </c>
      <c r="AJ43" s="481" t="e">
        <v>#DIV/0!</v>
      </c>
      <c r="AK43" s="482" t="str">
        <f>+IF('(AS-400 Jembatan)'!AE43=0," ",'(AS-400 Jembatan)'!AE43+'(AS-400 Transfer)'!$AU43)</f>
        <v> </v>
      </c>
      <c r="AL43" s="474" t="str">
        <f>+IF('(AS-400 Jembatan)'!AF43=0," ",'(AS-400 Jembatan)'!AF43+'(AS-400 Transfer)'!$AU43)</f>
        <v> </v>
      </c>
      <c r="AM43" s="483" t="str">
        <f>+IF('(AS-400 Jembatan)'!AG43=0," ",'(AS-400 Jembatan)'!AG43+'(AS-400 Transfer)'!$AU43)</f>
        <v> </v>
      </c>
      <c r="AN43" s="474" t="str">
        <f>+IF('(AS-400 Jembatan)'!AH43=0," ",'(AS-400 Jembatan)'!AH43+'(AS-400 Transfer)'!$AU43)</f>
        <v> </v>
      </c>
      <c r="AO43" s="474" t="str">
        <f>+IF('(AS-400 Jembatan)'!AI43=0," ",'(AS-400 Jembatan)'!AI43+'(AS-400 Transfer)'!$AU43)</f>
        <v> </v>
      </c>
      <c r="AP43" s="474">
        <f>SUM(AK43:AK43)</f>
        <v>0</v>
      </c>
      <c r="AQ43" s="474">
        <f>+'(AS-400 Jembatan)'!AK43</f>
        <v>0</v>
      </c>
      <c r="AR43" s="474" t="e">
        <f>(AQ43-AP43)/AS43</f>
        <v>#DIV/0!</v>
      </c>
      <c r="AS43" s="478">
        <f>+COUNT(AK43:AK43)</f>
        <v>0</v>
      </c>
      <c r="AT43" s="478" t="e">
        <f>+IF(AR43&lt;0,(ROUNDDOWN(AR43,0)),(ROUNDUP(AR43,0)))</f>
        <v>#DIV/0!</v>
      </c>
      <c r="AU43" s="478" t="e">
        <v>#DIV/0!</v>
      </c>
      <c r="AV43" s="482" t="str">
        <f>+IF('(AS-400 Jembatan)'!AN43=0," ",'(AS-400 Jembatan)'!AN43+'(AS-400 Transfer)'!$BF43)</f>
        <v> </v>
      </c>
      <c r="AW43" s="474" t="str">
        <f>+IF('(AS-400 Jembatan)'!AO43=0," ",'(AS-400 Jembatan)'!AO43+'(AS-400 Transfer)'!$BF43)</f>
        <v> </v>
      </c>
      <c r="AX43" s="483" t="str">
        <f>+IF('(AS-400 Jembatan)'!AP43=0," ",'(AS-400 Jembatan)'!AP43+'(AS-400 Transfer)'!$BF43)</f>
        <v> </v>
      </c>
      <c r="AY43" s="474" t="str">
        <f>+IF('(AS-400 Jembatan)'!AQ43=0," ",'(AS-400 Jembatan)'!AQ43+'(AS-400 Transfer)'!$BF43)</f>
        <v> </v>
      </c>
      <c r="AZ43" s="474" t="str">
        <f>+IF('(AS-400 Jembatan)'!AR43=0," ",'(AS-400 Jembatan)'!AR43+'(AS-400 Transfer)'!$BF43)</f>
        <v> </v>
      </c>
      <c r="BA43" s="474">
        <f>SUM(AV43:AV43)</f>
        <v>0</v>
      </c>
      <c r="BB43" s="474">
        <f>+GUM!Z49</f>
        <v>0</v>
      </c>
      <c r="BC43" s="474" t="e">
        <f>(BB43-BA43)/BD43</f>
        <v>#DIV/0!</v>
      </c>
      <c r="BD43" s="478">
        <f>+COUNT(AV43:AV43)</f>
        <v>0</v>
      </c>
      <c r="BE43" s="478" t="e">
        <f>+IF(BC43&lt;0,(ROUNDDOWN(BC43,0)),(ROUNDUP(BC43,0)))</f>
        <v>#DIV/0!</v>
      </c>
      <c r="BF43" s="488" t="e">
        <v>#DIV/0!</v>
      </c>
      <c r="BG43" s="482" t="str">
        <f>+IF('(AS-400 Jembatan)'!AW43=0," ",'(AS-400 Jembatan)'!AW43+'(AS-400 Transfer)'!$BQ43)</f>
        <v> </v>
      </c>
      <c r="BH43" s="474" t="str">
        <f>+IF('(AS-400 Jembatan)'!AX43=0," ",'(AS-400 Jembatan)'!AX43+'(AS-400 Transfer)'!$BQ43)</f>
        <v> </v>
      </c>
      <c r="BI43" s="483" t="str">
        <f>+IF('(AS-400 Jembatan)'!AY43=0," ",'(AS-400 Jembatan)'!AY43+'(AS-400 Transfer)'!$BQ43)</f>
        <v> </v>
      </c>
      <c r="BJ43" s="474" t="str">
        <f>+IF('(AS-400 Jembatan)'!AZ43=0," ",'(AS-400 Jembatan)'!AZ43+'(AS-400 Transfer)'!$BQ43)</f>
        <v> </v>
      </c>
      <c r="BK43" s="474" t="str">
        <f>+IF('(AS-400 Jembatan)'!BA43=0," ",'(AS-400 Jembatan)'!BA43+'(AS-400 Transfer)'!$BQ43)</f>
        <v> </v>
      </c>
      <c r="BL43" s="474">
        <f>SUM(BG43:BG43)</f>
        <v>0</v>
      </c>
      <c r="BM43" s="474">
        <f>+'(AS-400 Jembatan)'!BC43</f>
        <v>0</v>
      </c>
      <c r="BN43" s="474" t="e">
        <f>(BM43-BL43)/BO43</f>
        <v>#DIV/0!</v>
      </c>
      <c r="BO43" s="478">
        <f>+COUNT(BG43:BG43)</f>
        <v>0</v>
      </c>
      <c r="BP43" s="478" t="e">
        <f>+IF(BN43&lt;0,(ROUNDDOWN(BN43,0)),(ROUNDUP(BN43,0)))</f>
        <v>#DIV/0!</v>
      </c>
      <c r="BQ43" s="488" t="e">
        <v>#DIV/0!</v>
      </c>
    </row>
    <row r="44" spans="1:142" customHeight="1" ht="15.75" hidden="true" s="473" customFormat="1">
      <c r="A44" s="1294"/>
      <c r="B44" s="969" t="str">
        <f>+GUM!C50</f>
        <v>82115-0E510 J</v>
      </c>
      <c r="C44" s="496" t="str">
        <f>'(AS-400 Jembatan)'!C44</f>
        <v>J 0001</v>
      </c>
      <c r="D44" s="505"/>
      <c r="E44" s="474"/>
      <c r="F44" s="474"/>
      <c r="G44" s="474"/>
      <c r="H44" s="474"/>
      <c r="I44" s="474"/>
      <c r="J44" s="475"/>
      <c r="K44" s="475"/>
      <c r="L44" s="478"/>
      <c r="M44" s="478"/>
      <c r="N44" s="478"/>
      <c r="O44" s="482" t="str">
        <f>+IF('(AS-400 Jembatan)'!M44=0," ",'(AS-400 Jembatan)'!M44+'(AS-400 Transfer)'!$Y44)</f>
        <v> </v>
      </c>
      <c r="P44" s="474" t="str">
        <f>+IF('(AS-400 Jembatan)'!N44=0," ",'(AS-400 Jembatan)'!N44+'(AS-400 Transfer)'!$Y44)</f>
        <v> </v>
      </c>
      <c r="Q44" s="483" t="str">
        <f>+IF('(AS-400 Jembatan)'!O44=0," ",'(AS-400 Jembatan)'!O44+'(AS-400 Transfer)'!$Y44)</f>
        <v> </v>
      </c>
      <c r="R44" s="474" t="str">
        <f>+IF('(AS-400 Jembatan)'!P44=0," ",'(AS-400 Jembatan)'!P44+'(AS-400 Transfer)'!$Y44)</f>
        <v> </v>
      </c>
      <c r="S44" s="474" t="str">
        <f>+IF('(AS-400 Jembatan)'!Q44=0," ",'(AS-400 Jembatan)'!Q44+'(AS-400 Transfer)'!$Y44)</f>
        <v> </v>
      </c>
      <c r="T44" s="474">
        <f>SUM(O44:O44)</f>
        <v>0</v>
      </c>
      <c r="U44" s="474">
        <f>+'(AS-400 Jembatan)'!S44</f>
        <v>0</v>
      </c>
      <c r="V44" s="474" t="e">
        <f>(U44-T44)/W44</f>
        <v>#DIV/0!</v>
      </c>
      <c r="W44" s="478">
        <f>+COUNT(O44:O44)</f>
        <v>0</v>
      </c>
      <c r="X44" s="478" t="e">
        <f>+IF(V44&lt;0,(ROUNDDOWN(V44,0)),(ROUNDUP(V44,0)))</f>
        <v>#DIV/0!</v>
      </c>
      <c r="Y44" s="488" t="e">
        <v>#DIV/0!</v>
      </c>
      <c r="Z44" s="482" t="str">
        <f>+IF('(AS-400 Jembatan)'!V44=0," ",'(AS-400 Jembatan)'!V44+'(AS-400 Transfer)'!$AJ44)</f>
        <v> </v>
      </c>
      <c r="AA44" s="494" t="str">
        <f>+IF('(AS-400 Jembatan)'!W44=0," ",'(AS-400 Jembatan)'!W44+'(AS-400 Transfer)'!$AJ44)</f>
        <v> </v>
      </c>
      <c r="AB44" s="483" t="str">
        <f>+IF('(AS-400 Jembatan)'!X44=0," ",'(AS-400 Jembatan)'!X44+'(AS-400 Transfer)'!$AJ44)</f>
        <v> </v>
      </c>
      <c r="AC44" s="830" t="str">
        <f>+IF('(AS-400 Jembatan)'!Y44=0," ",'(AS-400 Jembatan)'!Y44+'(AS-400 Transfer)'!$AJ44)</f>
        <v> </v>
      </c>
      <c r="AD44" s="830" t="str">
        <f>+IF('(AS-400 Jembatan)'!Z44=0," ",'(AS-400 Jembatan)'!Z44+'(AS-400 Transfer)'!$AJ44)</f>
        <v> </v>
      </c>
      <c r="AE44" s="474">
        <f>SUM(Z44:Z44)</f>
        <v>0</v>
      </c>
      <c r="AF44" s="474">
        <f>+'(AS-400 Jembatan)'!AB44</f>
        <v>0</v>
      </c>
      <c r="AG44" s="474" t="e">
        <f>(AF44-AE44)/AH44</f>
        <v>#DIV/0!</v>
      </c>
      <c r="AH44" s="478">
        <f>+COUNT(Z44:Z44)</f>
        <v>0</v>
      </c>
      <c r="AI44" s="475" t="e">
        <f>+IF(AG44&lt;0,(ROUNDDOWN(AG44,0)),(ROUNDUP(AG44,0)))</f>
        <v>#DIV/0!</v>
      </c>
      <c r="AJ44" s="481" t="e">
        <v>#DIV/0!</v>
      </c>
      <c r="AK44" s="482" t="str">
        <f>+IF('(AS-400 Jembatan)'!AE44=0," ",'(AS-400 Jembatan)'!AE44+'(AS-400 Transfer)'!$AU44)</f>
        <v> </v>
      </c>
      <c r="AL44" s="474" t="str">
        <f>+IF('(AS-400 Jembatan)'!AF44=0," ",'(AS-400 Jembatan)'!AF44+'(AS-400 Transfer)'!$AU44)</f>
        <v> </v>
      </c>
      <c r="AM44" s="483" t="str">
        <f>+IF('(AS-400 Jembatan)'!AG44=0," ",'(AS-400 Jembatan)'!AG44+'(AS-400 Transfer)'!$AU44)</f>
        <v> </v>
      </c>
      <c r="AN44" s="474" t="str">
        <f>+IF('(AS-400 Jembatan)'!AH44=0," ",'(AS-400 Jembatan)'!AH44+'(AS-400 Transfer)'!$AU44)</f>
        <v> </v>
      </c>
      <c r="AO44" s="474" t="str">
        <f>+IF('(AS-400 Jembatan)'!AI44=0," ",'(AS-400 Jembatan)'!AI44+'(AS-400 Transfer)'!$AU44)</f>
        <v> </v>
      </c>
      <c r="AP44" s="474">
        <f>SUM(AK44:AK44)</f>
        <v>0</v>
      </c>
      <c r="AQ44" s="474">
        <f>+'(AS-400 Jembatan)'!AK44</f>
        <v>0</v>
      </c>
      <c r="AR44" s="474" t="e">
        <f>(AQ44-AP44)/AS44</f>
        <v>#DIV/0!</v>
      </c>
      <c r="AS44" s="478">
        <f>+COUNT(AK44:AK44)</f>
        <v>0</v>
      </c>
      <c r="AT44" s="478" t="e">
        <f>+IF(AR44&lt;0,(ROUNDDOWN(AR44,0)),(ROUNDUP(AR44,0)))</f>
        <v>#DIV/0!</v>
      </c>
      <c r="AU44" s="478" t="e">
        <v>#DIV/0!</v>
      </c>
      <c r="AV44" s="482" t="str">
        <f>+IF('(AS-400 Jembatan)'!AN44=0," ",'(AS-400 Jembatan)'!AN44+'(AS-400 Transfer)'!$BF44)</f>
        <v> </v>
      </c>
      <c r="AW44" s="474" t="str">
        <f>+IF('(AS-400 Jembatan)'!AO44=0," ",'(AS-400 Jembatan)'!AO44+'(AS-400 Transfer)'!$BF44)</f>
        <v> </v>
      </c>
      <c r="AX44" s="483" t="str">
        <f>+IF('(AS-400 Jembatan)'!AP44=0," ",'(AS-400 Jembatan)'!AP44+'(AS-400 Transfer)'!$BF44)</f>
        <v> </v>
      </c>
      <c r="AY44" s="474" t="str">
        <f>+IF('(AS-400 Jembatan)'!AQ44=0," ",'(AS-400 Jembatan)'!AQ44+'(AS-400 Transfer)'!$BF44)</f>
        <v> </v>
      </c>
      <c r="AZ44" s="474" t="str">
        <f>+IF('(AS-400 Jembatan)'!AR44=0," ",'(AS-400 Jembatan)'!AR44+'(AS-400 Transfer)'!$BF44)</f>
        <v> </v>
      </c>
      <c r="BA44" s="474">
        <f>SUM(AV44:AV44)</f>
        <v>0</v>
      </c>
      <c r="BB44" s="474">
        <f>+GUM!Z50</f>
        <v>0</v>
      </c>
      <c r="BC44" s="474" t="e">
        <f>(BB44-BA44)/BD44</f>
        <v>#DIV/0!</v>
      </c>
      <c r="BD44" s="478">
        <f>+COUNT(AV44:AV44)</f>
        <v>0</v>
      </c>
      <c r="BE44" s="478" t="e">
        <f>+IF(BC44&lt;0,(ROUNDDOWN(BC44,0)),(ROUNDUP(BC44,0)))</f>
        <v>#DIV/0!</v>
      </c>
      <c r="BF44" s="488" t="e">
        <v>#DIV/0!</v>
      </c>
      <c r="BG44" s="482" t="str">
        <f>+IF('(AS-400 Jembatan)'!AW44=0," ",'(AS-400 Jembatan)'!AW44+'(AS-400 Transfer)'!$BQ44)</f>
        <v> </v>
      </c>
      <c r="BH44" s="474" t="str">
        <f>+IF('(AS-400 Jembatan)'!AX44=0," ",'(AS-400 Jembatan)'!AX44+'(AS-400 Transfer)'!$BQ44)</f>
        <v> </v>
      </c>
      <c r="BI44" s="483" t="str">
        <f>+IF('(AS-400 Jembatan)'!AY44=0," ",'(AS-400 Jembatan)'!AY44+'(AS-400 Transfer)'!$BQ44)</f>
        <v> </v>
      </c>
      <c r="BJ44" s="474" t="str">
        <f>+IF('(AS-400 Jembatan)'!AZ44=0," ",'(AS-400 Jembatan)'!AZ44+'(AS-400 Transfer)'!$BQ44)</f>
        <v> </v>
      </c>
      <c r="BK44" s="474" t="str">
        <f>+IF('(AS-400 Jembatan)'!BA44=0," ",'(AS-400 Jembatan)'!BA44+'(AS-400 Transfer)'!$BQ44)</f>
        <v> </v>
      </c>
      <c r="BL44" s="474">
        <f>SUM(BG44:BG44)</f>
        <v>0</v>
      </c>
      <c r="BM44" s="474">
        <f>+'(AS-400 Jembatan)'!BC44</f>
        <v>0</v>
      </c>
      <c r="BN44" s="474" t="e">
        <f>(BM44-BL44)/BO44</f>
        <v>#DIV/0!</v>
      </c>
      <c r="BO44" s="478">
        <f>+COUNT(BG44:BG44)</f>
        <v>0</v>
      </c>
      <c r="BP44" s="478" t="e">
        <f>+IF(BN44&lt;0,(ROUNDDOWN(BN44,0)),(ROUNDUP(BN44,0)))</f>
        <v>#DIV/0!</v>
      </c>
      <c r="BQ44" s="488" t="e">
        <v>#DIV/0!</v>
      </c>
    </row>
    <row r="45" spans="1:142" customHeight="1" ht="15.75" hidden="true" s="473" customFormat="1">
      <c r="A45" s="1294"/>
      <c r="B45" s="969" t="str">
        <f>+GUM!C51</f>
        <v>82115-0E530</v>
      </c>
      <c r="C45" s="496" t="str">
        <f>'(AS-400 Jembatan)'!C45</f>
        <v>H 0001</v>
      </c>
      <c r="D45" s="505"/>
      <c r="E45" s="474"/>
      <c r="F45" s="474"/>
      <c r="G45" s="474"/>
      <c r="H45" s="474"/>
      <c r="I45" s="474"/>
      <c r="J45" s="475"/>
      <c r="K45" s="475"/>
      <c r="L45" s="478"/>
      <c r="M45" s="478"/>
      <c r="N45" s="478"/>
      <c r="O45" s="482" t="str">
        <f>+IF('(AS-400 Jembatan)'!M45=0," ",'(AS-400 Jembatan)'!M45+'(AS-400 Transfer)'!$Y45)</f>
        <v> </v>
      </c>
      <c r="P45" s="474" t="str">
        <f>+IF('(AS-400 Jembatan)'!N45=0," ",'(AS-400 Jembatan)'!N45+'(AS-400 Transfer)'!$Y45)</f>
        <v> </v>
      </c>
      <c r="Q45" s="483" t="str">
        <f>+IF('(AS-400 Jembatan)'!O45=0," ",'(AS-400 Jembatan)'!O45+'(AS-400 Transfer)'!$Y45)</f>
        <v> </v>
      </c>
      <c r="R45" s="474" t="str">
        <f>+IF('(AS-400 Jembatan)'!P45=0," ",'(AS-400 Jembatan)'!P45+'(AS-400 Transfer)'!$Y45)</f>
        <v> </v>
      </c>
      <c r="S45" s="474" t="str">
        <f>+IF('(AS-400 Jembatan)'!Q45=0," ",'(AS-400 Jembatan)'!Q45+'(AS-400 Transfer)'!$Y45)</f>
        <v> </v>
      </c>
      <c r="T45" s="474">
        <f>SUM(O45:O45)</f>
        <v>0</v>
      </c>
      <c r="U45" s="474">
        <f>+'(AS-400 Jembatan)'!S45</f>
        <v>0</v>
      </c>
      <c r="V45" s="474" t="e">
        <f>(U45-T45)/W45</f>
        <v>#DIV/0!</v>
      </c>
      <c r="W45" s="478">
        <f>+COUNT(O45:O45)</f>
        <v>0</v>
      </c>
      <c r="X45" s="478" t="e">
        <f>+IF(V45&lt;0,(ROUNDDOWN(V45,0)),(ROUNDUP(V45,0)))</f>
        <v>#DIV/0!</v>
      </c>
      <c r="Y45" s="488" t="e">
        <v>#DIV/0!</v>
      </c>
      <c r="Z45" s="482" t="str">
        <f>+IF('(AS-400 Jembatan)'!V45=0," ",'(AS-400 Jembatan)'!V45+'(AS-400 Transfer)'!$AJ45)</f>
        <v> </v>
      </c>
      <c r="AA45" s="494" t="str">
        <f>+IF('(AS-400 Jembatan)'!W45=0," ",'(AS-400 Jembatan)'!W45+'(AS-400 Transfer)'!$AJ45)</f>
        <v> </v>
      </c>
      <c r="AB45" s="483" t="str">
        <f>+IF('(AS-400 Jembatan)'!X45=0," ",'(AS-400 Jembatan)'!X45+'(AS-400 Transfer)'!$AJ45)</f>
        <v> </v>
      </c>
      <c r="AC45" s="830" t="str">
        <f>+IF('(AS-400 Jembatan)'!Y45=0," ",'(AS-400 Jembatan)'!Y45+'(AS-400 Transfer)'!$AJ45)</f>
        <v> </v>
      </c>
      <c r="AD45" s="830" t="str">
        <f>+IF('(AS-400 Jembatan)'!Z45=0," ",'(AS-400 Jembatan)'!Z45+'(AS-400 Transfer)'!$AJ45)</f>
        <v> </v>
      </c>
      <c r="AE45" s="474">
        <f>SUM(Z45:Z45)</f>
        <v>0</v>
      </c>
      <c r="AF45" s="474">
        <f>+'(AS-400 Jembatan)'!AB45</f>
        <v>0</v>
      </c>
      <c r="AG45" s="474" t="e">
        <f>(AF45-AE45)/AH45</f>
        <v>#DIV/0!</v>
      </c>
      <c r="AH45" s="478">
        <f>+COUNT(Z45:Z45)</f>
        <v>0</v>
      </c>
      <c r="AI45" s="475" t="e">
        <f>+IF(AG45&lt;0,(ROUNDDOWN(AG45,0)),(ROUNDUP(AG45,0)))</f>
        <v>#DIV/0!</v>
      </c>
      <c r="AJ45" s="481" t="e">
        <v>#DIV/0!</v>
      </c>
      <c r="AK45" s="482" t="str">
        <f>+IF('(AS-400 Jembatan)'!AE45=0," ",'(AS-400 Jembatan)'!AE45+'(AS-400 Transfer)'!$AU45)</f>
        <v> </v>
      </c>
      <c r="AL45" s="474" t="str">
        <f>+IF('(AS-400 Jembatan)'!AF45=0," ",'(AS-400 Jembatan)'!AF45+'(AS-400 Transfer)'!$AU45)</f>
        <v> </v>
      </c>
      <c r="AM45" s="483" t="str">
        <f>+IF('(AS-400 Jembatan)'!AG45=0," ",'(AS-400 Jembatan)'!AG45+'(AS-400 Transfer)'!$AU45)</f>
        <v> </v>
      </c>
      <c r="AN45" s="474" t="str">
        <f>+IF('(AS-400 Jembatan)'!AH45=0," ",'(AS-400 Jembatan)'!AH45+'(AS-400 Transfer)'!$AU45)</f>
        <v> </v>
      </c>
      <c r="AO45" s="474" t="str">
        <f>+IF('(AS-400 Jembatan)'!AI45=0," ",'(AS-400 Jembatan)'!AI45+'(AS-400 Transfer)'!$AU45)</f>
        <v> </v>
      </c>
      <c r="AP45" s="474">
        <f>SUM(AK45:AK45)</f>
        <v>0</v>
      </c>
      <c r="AQ45" s="474">
        <f>+'(AS-400 Jembatan)'!AK45</f>
        <v>0</v>
      </c>
      <c r="AR45" s="474" t="e">
        <f>(AQ45-AP45)/AS45</f>
        <v>#DIV/0!</v>
      </c>
      <c r="AS45" s="478">
        <f>+COUNT(AK45:AK45)</f>
        <v>0</v>
      </c>
      <c r="AT45" s="478" t="e">
        <f>+IF(AR45&lt;0,(ROUNDDOWN(AR45,0)),(ROUNDUP(AR45,0)))</f>
        <v>#DIV/0!</v>
      </c>
      <c r="AU45" s="478" t="e">
        <v>#DIV/0!</v>
      </c>
      <c r="AV45" s="482" t="str">
        <f>+IF('(AS-400 Jembatan)'!AN45=0," ",'(AS-400 Jembatan)'!AN45+'(AS-400 Transfer)'!$BF45)</f>
        <v> </v>
      </c>
      <c r="AW45" s="474" t="str">
        <f>+IF('(AS-400 Jembatan)'!AO45=0," ",'(AS-400 Jembatan)'!AO45+'(AS-400 Transfer)'!$BF45)</f>
        <v> </v>
      </c>
      <c r="AX45" s="483" t="str">
        <f>+IF('(AS-400 Jembatan)'!AP45=0," ",'(AS-400 Jembatan)'!AP45+'(AS-400 Transfer)'!$BF45)</f>
        <v> </v>
      </c>
      <c r="AY45" s="474" t="str">
        <f>+IF('(AS-400 Jembatan)'!AQ45=0," ",'(AS-400 Jembatan)'!AQ45+'(AS-400 Transfer)'!$BF45)</f>
        <v> </v>
      </c>
      <c r="AZ45" s="474" t="str">
        <f>+IF('(AS-400 Jembatan)'!AR45=0," ",'(AS-400 Jembatan)'!AR45+'(AS-400 Transfer)'!$BF45)</f>
        <v> </v>
      </c>
      <c r="BA45" s="474">
        <f>SUM(AV45:AV45)</f>
        <v>0</v>
      </c>
      <c r="BB45" s="474">
        <f>+GUM!Z51</f>
        <v>0</v>
      </c>
      <c r="BC45" s="474" t="e">
        <f>(BB45-BA45)/BD45</f>
        <v>#DIV/0!</v>
      </c>
      <c r="BD45" s="478">
        <f>+COUNT(AV45:AV45)</f>
        <v>0</v>
      </c>
      <c r="BE45" s="478" t="e">
        <f>+IF(BC45&lt;0,(ROUNDDOWN(BC45,0)),(ROUNDUP(BC45,0)))</f>
        <v>#DIV/0!</v>
      </c>
      <c r="BF45" s="488" t="e">
        <v>#DIV/0!</v>
      </c>
      <c r="BG45" s="482" t="str">
        <f>+IF('(AS-400 Jembatan)'!AW45=0," ",'(AS-400 Jembatan)'!AW45+'(AS-400 Transfer)'!$BQ45)</f>
        <v> </v>
      </c>
      <c r="BH45" s="474" t="str">
        <f>+IF('(AS-400 Jembatan)'!AX45=0," ",'(AS-400 Jembatan)'!AX45+'(AS-400 Transfer)'!$BQ45)</f>
        <v> </v>
      </c>
      <c r="BI45" s="483" t="str">
        <f>+IF('(AS-400 Jembatan)'!AY45=0," ",'(AS-400 Jembatan)'!AY45+'(AS-400 Transfer)'!$BQ45)</f>
        <v> </v>
      </c>
      <c r="BJ45" s="474" t="str">
        <f>+IF('(AS-400 Jembatan)'!AZ45=0," ",'(AS-400 Jembatan)'!AZ45+'(AS-400 Transfer)'!$BQ45)</f>
        <v> </v>
      </c>
      <c r="BK45" s="474" t="str">
        <f>+IF('(AS-400 Jembatan)'!BA45=0," ",'(AS-400 Jembatan)'!BA45+'(AS-400 Transfer)'!$BQ45)</f>
        <v> </v>
      </c>
      <c r="BL45" s="474">
        <f>SUM(BG45:BG45)</f>
        <v>0</v>
      </c>
      <c r="BM45" s="474">
        <f>+'(AS-400 Jembatan)'!BC45</f>
        <v>0</v>
      </c>
      <c r="BN45" s="474" t="e">
        <f>(BM45-BL45)/BO45</f>
        <v>#DIV/0!</v>
      </c>
      <c r="BO45" s="478">
        <f>+COUNT(BG45:BG45)</f>
        <v>0</v>
      </c>
      <c r="BP45" s="478" t="e">
        <f>+IF(BN45&lt;0,(ROUNDDOWN(BN45,0)),(ROUNDUP(BN45,0)))</f>
        <v>#DIV/0!</v>
      </c>
      <c r="BQ45" s="488" t="e">
        <v>#DIV/0!</v>
      </c>
    </row>
    <row r="46" spans="1:142" customHeight="1" ht="16.5" hidden="true" s="502" customFormat="1">
      <c r="A46" s="1294"/>
      <c r="B46" s="969" t="str">
        <f>+GUM!C52</f>
        <v>82115-0E530 J</v>
      </c>
      <c r="C46" s="496" t="str">
        <f>'(AS-400 Jembatan)'!C46</f>
        <v>J 0001</v>
      </c>
      <c r="D46" s="550"/>
      <c r="E46" s="476"/>
      <c r="F46" s="476"/>
      <c r="G46" s="476"/>
      <c r="H46" s="476"/>
      <c r="I46" s="476"/>
      <c r="J46" s="477"/>
      <c r="K46" s="477"/>
      <c r="L46" s="479"/>
      <c r="M46" s="479"/>
      <c r="N46" s="479"/>
      <c r="O46" s="482" t="str">
        <f>+IF('(AS-400 Jembatan)'!M46=0," ",'(AS-400 Jembatan)'!M46+'(AS-400 Transfer)'!$Y46)</f>
        <v> </v>
      </c>
      <c r="P46" s="474" t="str">
        <f>+IF('(AS-400 Jembatan)'!N46=0," ",'(AS-400 Jembatan)'!N46+'(AS-400 Transfer)'!$Y46)</f>
        <v> </v>
      </c>
      <c r="Q46" s="504" t="str">
        <f>+IF('(AS-400 Jembatan)'!O46=0," ",'(AS-400 Jembatan)'!O46+'(AS-400 Transfer)'!$Y46)</f>
        <v> </v>
      </c>
      <c r="R46" s="476" t="str">
        <f>+IF('(AS-400 Jembatan)'!P46=0," ",'(AS-400 Jembatan)'!P46+'(AS-400 Transfer)'!$Y46)</f>
        <v> </v>
      </c>
      <c r="S46" s="476" t="str">
        <f>+IF('(AS-400 Jembatan)'!Q46=0," ",'(AS-400 Jembatan)'!Q46+'(AS-400 Transfer)'!$Y46)</f>
        <v> </v>
      </c>
      <c r="T46" s="474">
        <f>SUM(O46:O46)</f>
        <v>0</v>
      </c>
      <c r="U46" s="474">
        <f>+'(AS-400 Jembatan)'!S46</f>
        <v>0</v>
      </c>
      <c r="V46" s="476" t="e">
        <f>(U46-T46)/W46</f>
        <v>#DIV/0!</v>
      </c>
      <c r="W46" s="479">
        <f>+COUNT(O46:O46)</f>
        <v>0</v>
      </c>
      <c r="X46" s="479" t="e">
        <f>+IF(V46&lt;0,(ROUNDDOWN(V46,0)),(ROUNDUP(V46,0)))</f>
        <v>#DIV/0!</v>
      </c>
      <c r="Y46" s="480" t="e">
        <v>#DIV/0!</v>
      </c>
      <c r="Z46" s="484" t="str">
        <f>+IF('(AS-400 Jembatan)'!V46=0," ",'(AS-400 Jembatan)'!V46+'(AS-400 Transfer)'!$AJ46)</f>
        <v> </v>
      </c>
      <c r="AA46" s="500" t="str">
        <f>+IF('(AS-400 Jembatan)'!W46=0," ",'(AS-400 Jembatan)'!W46+'(AS-400 Transfer)'!$AJ46)</f>
        <v> </v>
      </c>
      <c r="AB46" s="504" t="str">
        <f>+IF('(AS-400 Jembatan)'!X46=0," ",'(AS-400 Jembatan)'!X46+'(AS-400 Transfer)'!$AJ46)</f>
        <v> </v>
      </c>
      <c r="AC46" s="829" t="str">
        <f>+IF('(AS-400 Jembatan)'!Y46=0," ",'(AS-400 Jembatan)'!Y46+'(AS-400 Transfer)'!$AJ46)</f>
        <v> </v>
      </c>
      <c r="AD46" s="829" t="str">
        <f>+IF('(AS-400 Jembatan)'!Z46=0," ",'(AS-400 Jembatan)'!Z46+'(AS-400 Transfer)'!$AJ46)</f>
        <v> </v>
      </c>
      <c r="AE46" s="476">
        <f>SUM(Z46:Z46)</f>
        <v>0</v>
      </c>
      <c r="AF46" s="476">
        <f>+'(AS-400 Jembatan)'!AB46</f>
        <v>0</v>
      </c>
      <c r="AG46" s="476" t="e">
        <f>(AF46-AE46)/AH46</f>
        <v>#DIV/0!</v>
      </c>
      <c r="AH46" s="479">
        <f>+COUNT(Z46:Z46)</f>
        <v>0</v>
      </c>
      <c r="AI46" s="477" t="e">
        <f>+IF(AG46&lt;0,(ROUNDDOWN(AG46,0)),(ROUNDUP(AG46,0)))</f>
        <v>#DIV/0!</v>
      </c>
      <c r="AJ46" s="487" t="e">
        <v>#DIV/0!</v>
      </c>
      <c r="AK46" s="484" t="str">
        <f>+IF('(AS-400 Jembatan)'!AE46=0," ",'(AS-400 Jembatan)'!AE46+'(AS-400 Transfer)'!$AU46)</f>
        <v> </v>
      </c>
      <c r="AL46" s="476" t="str">
        <f>+IF('(AS-400 Jembatan)'!AF46=0," ",'(AS-400 Jembatan)'!AF46+'(AS-400 Transfer)'!$AU46)</f>
        <v> </v>
      </c>
      <c r="AM46" s="504" t="str">
        <f>+IF('(AS-400 Jembatan)'!AG46=0," ",'(AS-400 Jembatan)'!AG46+'(AS-400 Transfer)'!$AU46)</f>
        <v> </v>
      </c>
      <c r="AN46" s="476" t="str">
        <f>+IF('(AS-400 Jembatan)'!AH46=0," ",'(AS-400 Jembatan)'!AH46+'(AS-400 Transfer)'!$AU46)</f>
        <v> </v>
      </c>
      <c r="AO46" s="476" t="str">
        <f>+IF('(AS-400 Jembatan)'!AI46=0," ",'(AS-400 Jembatan)'!AI46+'(AS-400 Transfer)'!$AU46)</f>
        <v> </v>
      </c>
      <c r="AP46" s="476">
        <f>SUM(AK46:AK46)</f>
        <v>0</v>
      </c>
      <c r="AQ46" s="476">
        <f>+'(AS-400 Jembatan)'!AK46</f>
        <v>0</v>
      </c>
      <c r="AR46" s="476" t="e">
        <f>(AQ46-AP46)/AS46</f>
        <v>#DIV/0!</v>
      </c>
      <c r="AS46" s="478">
        <f>+COUNT(AK46:AK46)</f>
        <v>0</v>
      </c>
      <c r="AT46" s="479" t="e">
        <f>+IF(AR46&lt;0,(ROUNDDOWN(AR46,0)),(ROUNDUP(AR46,0)))</f>
        <v>#DIV/0!</v>
      </c>
      <c r="AU46" s="479" t="e">
        <v>#DIV/0!</v>
      </c>
      <c r="AV46" s="484" t="str">
        <f>+IF('(AS-400 Jembatan)'!AN46=0," ",'(AS-400 Jembatan)'!AN46+'(AS-400 Transfer)'!$BF46)</f>
        <v> </v>
      </c>
      <c r="AW46" s="476" t="str">
        <f>+IF('(AS-400 Jembatan)'!AO46=0," ",'(AS-400 Jembatan)'!AO46+'(AS-400 Transfer)'!$BF46)</f>
        <v> </v>
      </c>
      <c r="AX46" s="504" t="str">
        <f>+IF('(AS-400 Jembatan)'!AP46=0," ",'(AS-400 Jembatan)'!AP46+'(AS-400 Transfer)'!$BF46)</f>
        <v> </v>
      </c>
      <c r="AY46" s="476" t="str">
        <f>+IF('(AS-400 Jembatan)'!AQ46=0," ",'(AS-400 Jembatan)'!AQ46+'(AS-400 Transfer)'!$BF46)</f>
        <v> </v>
      </c>
      <c r="AZ46" s="476" t="str">
        <f>+IF('(AS-400 Jembatan)'!AR46=0," ",'(AS-400 Jembatan)'!AR46+'(AS-400 Transfer)'!$BF46)</f>
        <v> </v>
      </c>
      <c r="BA46" s="476">
        <f>SUM(AV46:AV46)</f>
        <v>0</v>
      </c>
      <c r="BB46" s="476">
        <f>+GUM!Z52</f>
        <v>0</v>
      </c>
      <c r="BC46" s="476" t="e">
        <f>(BB46-BA46)/BD46</f>
        <v>#DIV/0!</v>
      </c>
      <c r="BD46" s="479">
        <f>+COUNT(AV46:AV46)</f>
        <v>0</v>
      </c>
      <c r="BE46" s="479" t="e">
        <f>+IF(BC46&lt;0,(ROUNDDOWN(BC46,0)),(ROUNDUP(BC46,0)))</f>
        <v>#DIV/0!</v>
      </c>
      <c r="BF46" s="480" t="e">
        <v>#DIV/0!</v>
      </c>
      <c r="BG46" s="482" t="str">
        <f>+IF('(AS-400 Jembatan)'!AW46=0," ",'(AS-400 Jembatan)'!AW46+'(AS-400 Transfer)'!$BQ46)</f>
        <v> </v>
      </c>
      <c r="BH46" s="474" t="str">
        <f>+IF('(AS-400 Jembatan)'!AX46=0," ",'(AS-400 Jembatan)'!AX46+'(AS-400 Transfer)'!$BQ46)</f>
        <v> </v>
      </c>
      <c r="BI46" s="483" t="str">
        <f>+IF('(AS-400 Jembatan)'!AY46=0," ",'(AS-400 Jembatan)'!AY46+'(AS-400 Transfer)'!$BQ46)</f>
        <v> </v>
      </c>
      <c r="BJ46" s="476" t="str">
        <f>+IF('(AS-400 Jembatan)'!AZ46=0," ",'(AS-400 Jembatan)'!AZ46+'(AS-400 Transfer)'!$BQ46)</f>
        <v> </v>
      </c>
      <c r="BK46" s="476" t="str">
        <f>+IF('(AS-400 Jembatan)'!BA46=0," ",'(AS-400 Jembatan)'!BA46+'(AS-400 Transfer)'!$BQ46)</f>
        <v> </v>
      </c>
      <c r="BL46" s="476">
        <f>SUM(BG46:BG46)</f>
        <v>0</v>
      </c>
      <c r="BM46" s="476">
        <f>+'(AS-400 Jembatan)'!BC46</f>
        <v>0</v>
      </c>
      <c r="BN46" s="476" t="e">
        <f>(BM46-BL46)/BO46</f>
        <v>#DIV/0!</v>
      </c>
      <c r="BO46" s="479">
        <f>+COUNT(BG46:BG46)</f>
        <v>0</v>
      </c>
      <c r="BP46" s="479" t="e">
        <f>+IF(BN46&lt;0,(ROUNDDOWN(BN46,0)),(ROUNDUP(BN46,0)))</f>
        <v>#DIV/0!</v>
      </c>
      <c r="BQ46" s="480" t="e">
        <v>#DIV/0!</v>
      </c>
    </row>
    <row r="47" spans="1:142" customHeight="1" ht="16.5" s="502" customFormat="1">
      <c r="A47" s="1294"/>
      <c r="B47" s="1037" t="str">
        <f>+GUM!C53</f>
        <v>82115-0E440.</v>
      </c>
      <c r="C47" s="725" t="str">
        <f>'(AS-400 Jembatan)'!C47</f>
        <v>K 0001</v>
      </c>
      <c r="D47" s="550"/>
      <c r="E47" s="476"/>
      <c r="F47" s="476"/>
      <c r="G47" s="476"/>
      <c r="H47" s="476"/>
      <c r="I47" s="476"/>
      <c r="J47" s="477"/>
      <c r="K47" s="477"/>
      <c r="L47" s="479"/>
      <c r="M47" s="479"/>
      <c r="N47" s="479"/>
      <c r="O47" s="484" t="e">
        <f>+IF('(AS-400 Jembatan)'!M47=0," ",'(AS-400 Jembatan)'!M47+'(AS-400 Transfer)'!$Y47)</f>
        <v>#REF!</v>
      </c>
      <c r="P47" s="476" t="e">
        <f>+IF('(AS-400 Jembatan)'!N47=0," ",'(AS-400 Jembatan)'!N47+'(AS-400 Transfer)'!$Y47)</f>
        <v>#REF!</v>
      </c>
      <c r="Q47" s="504" t="e">
        <f>+IF('(AS-400 Jembatan)'!O47=0," ",'(AS-400 Jembatan)'!O47+'(AS-400 Transfer)'!$Y47)</f>
        <v>#REF!</v>
      </c>
      <c r="R47" s="476" t="e">
        <f>+IF('(AS-400 Jembatan)'!P47=0," ",'(AS-400 Jembatan)'!P47+'(AS-400 Transfer)'!$Y47)</f>
        <v>#REF!</v>
      </c>
      <c r="S47" s="476" t="e">
        <f>+IF('(AS-400 Jembatan)'!Q47=0," ",'(AS-400 Jembatan)'!Q47+'(AS-400 Transfer)'!$Y47)</f>
        <v>#REF!</v>
      </c>
      <c r="T47" s="474" t="e">
        <f>SUM(O47:O47)</f>
        <v>#REF!</v>
      </c>
      <c r="U47" s="474" t="e">
        <f>+'(AS-400 Jembatan)'!S47</f>
        <v>#REF!</v>
      </c>
      <c r="V47" s="476" t="e">
        <f>(U47-T47)/W47</f>
        <v>#REF!</v>
      </c>
      <c r="W47" s="479">
        <f>+COUNT(O47:O47)</f>
        <v>0</v>
      </c>
      <c r="X47" s="479" t="e">
        <f>+IF(V47&lt;0,(ROUNDDOWN(V47,0)),(ROUNDUP(V47,0)))</f>
        <v>#REF!</v>
      </c>
      <c r="Y47" s="480" t="e">
        <v>#DIV/0!</v>
      </c>
      <c r="Z47" s="484" t="e">
        <f>+IF('(AS-400 Jembatan)'!V47=0," ",'(AS-400 Jembatan)'!V47+'(AS-400 Transfer)'!$AJ47)</f>
        <v>#REF!</v>
      </c>
      <c r="AA47" s="500" t="e">
        <f>+IF('(AS-400 Jembatan)'!W47=0," ",'(AS-400 Jembatan)'!W47+'(AS-400 Transfer)'!$AJ47)</f>
        <v>#REF!</v>
      </c>
      <c r="AB47" s="504" t="e">
        <f>+IF('(AS-400 Jembatan)'!X47=0," ",'(AS-400 Jembatan)'!X47+'(AS-400 Transfer)'!$AJ47)</f>
        <v>#REF!</v>
      </c>
      <c r="AC47" s="829" t="e">
        <f>+IF('(AS-400 Jembatan)'!Y47=0," ",'(AS-400 Jembatan)'!Y47+'(AS-400 Transfer)'!$AJ47)</f>
        <v>#REF!</v>
      </c>
      <c r="AD47" s="829" t="str">
        <f>+IF('(AS-400 Jembatan)'!Z47=0," ",'(AS-400 Jembatan)'!Z47+'(AS-400 Transfer)'!$AJ47)</f>
        <v> </v>
      </c>
      <c r="AE47" s="476" t="e">
        <f>SUM(Z47:Z47)</f>
        <v>#REF!</v>
      </c>
      <c r="AF47" s="476" t="e">
        <f>+'(AS-400 Jembatan)'!AB47</f>
        <v>#REF!</v>
      </c>
      <c r="AG47" s="476" t="e">
        <f>(AF47-AE47)/AH47</f>
        <v>#REF!</v>
      </c>
      <c r="AH47" s="479">
        <f>+COUNT(Z47:Z47)</f>
        <v>0</v>
      </c>
      <c r="AI47" s="477" t="e">
        <f>+IF(AG47&lt;0,(ROUNDDOWN(AG47,0)),(ROUNDUP(AG47,0)))</f>
        <v>#REF!</v>
      </c>
      <c r="AJ47" s="487" t="e">
        <v>#DIV/0!</v>
      </c>
      <c r="AK47" s="484" t="e">
        <f>+IF('(AS-400 Jembatan)'!AE47=0," ",'(AS-400 Jembatan)'!AE47+'(AS-400 Transfer)'!$AU47)</f>
        <v>#REF!</v>
      </c>
      <c r="AL47" s="476" t="e">
        <f>+IF('(AS-400 Jembatan)'!AF47=0," ",'(AS-400 Jembatan)'!AF47+'(AS-400 Transfer)'!$AU47)</f>
        <v>#REF!</v>
      </c>
      <c r="AM47" s="504" t="e">
        <f>+IF('(AS-400 Jembatan)'!AG47=0," ",'(AS-400 Jembatan)'!AG47+'(AS-400 Transfer)'!$AU47)</f>
        <v>#REF!</v>
      </c>
      <c r="AN47" s="476" t="e">
        <f>+IF('(AS-400 Jembatan)'!AH47=0," ",'(AS-400 Jembatan)'!AH47+'(AS-400 Transfer)'!$AU47)</f>
        <v>#REF!</v>
      </c>
      <c r="AO47" s="476" t="str">
        <f>+IF('(AS-400 Jembatan)'!AI47=0," ",'(AS-400 Jembatan)'!AI47+'(AS-400 Transfer)'!$AU47)</f>
        <v> </v>
      </c>
      <c r="AP47" s="476" t="e">
        <f>SUM(AK47:AK47)</f>
        <v>#REF!</v>
      </c>
      <c r="AQ47" s="476" t="e">
        <f>+'(AS-400 Jembatan)'!AK47</f>
        <v>#REF!</v>
      </c>
      <c r="AR47" s="476" t="e">
        <f>(AQ47-AP47)/AS47</f>
        <v>#REF!</v>
      </c>
      <c r="AS47" s="478">
        <f>+COUNT(AK47:AK47)</f>
        <v>0</v>
      </c>
      <c r="AT47" s="479" t="e">
        <f>+IF(AR47&lt;0,(ROUNDDOWN(AR47,0)),(ROUNDUP(AR47,0)))</f>
        <v>#REF!</v>
      </c>
      <c r="AU47" s="479" t="e">
        <v>#DIV/0!</v>
      </c>
      <c r="AV47" s="484" t="e">
        <f>+IF('(AS-400 Jembatan)'!AN47=0," ",'(AS-400 Jembatan)'!AN47+'(AS-400 Transfer)'!$BF47)</f>
        <v>#REF!</v>
      </c>
      <c r="AW47" s="476" t="e">
        <f>+IF('(AS-400 Jembatan)'!AO47=0," ",'(AS-400 Jembatan)'!AO47+'(AS-400 Transfer)'!$BF47)</f>
        <v>#REF!</v>
      </c>
      <c r="AX47" s="504" t="e">
        <f>+IF('(AS-400 Jembatan)'!AP47=0," ",'(AS-400 Jembatan)'!AP47+'(AS-400 Transfer)'!$BF47)</f>
        <v>#REF!</v>
      </c>
      <c r="AY47" s="476" t="e">
        <f>+IF('(AS-400 Jembatan)'!AQ47=0," ",'(AS-400 Jembatan)'!AQ47+'(AS-400 Transfer)'!$BF47)</f>
        <v>#REF!</v>
      </c>
      <c r="AZ47" s="476" t="e">
        <f>+IF('(AS-400 Jembatan)'!AR47=0," ",'(AS-400 Jembatan)'!AR47+'(AS-400 Transfer)'!$BF47)</f>
        <v>#REF!</v>
      </c>
      <c r="BA47" s="476" t="e">
        <f>SUM(AV47:AV47)</f>
        <v>#REF!</v>
      </c>
      <c r="BB47" s="476" t="e">
        <f>+GUM!Z53</f>
        <v>#REF!</v>
      </c>
      <c r="BC47" s="476" t="e">
        <f>(BB47-BA47)/BD47</f>
        <v>#REF!</v>
      </c>
      <c r="BD47" s="479">
        <f>+COUNT(AV47:AV47)</f>
        <v>0</v>
      </c>
      <c r="BE47" s="479" t="e">
        <f>+IF(BC47&lt;0,(ROUNDDOWN(BC47,0)),(ROUNDUP(BC47,0)))</f>
        <v>#REF!</v>
      </c>
      <c r="BF47" s="480" t="e">
        <v>#DIV/0!</v>
      </c>
      <c r="BG47" s="482" t="e">
        <f>+IF('(AS-400 Jembatan)'!AW47=0," ",'(AS-400 Jembatan)'!AW47+'(AS-400 Transfer)'!$BQ47)</f>
        <v>#REF!</v>
      </c>
      <c r="BH47" s="474" t="e">
        <f>+IF('(AS-400 Jembatan)'!AX47=0," ",'(AS-400 Jembatan)'!AX47+'(AS-400 Transfer)'!$BQ47)</f>
        <v>#REF!</v>
      </c>
      <c r="BI47" s="483" t="e">
        <f>+IF('(AS-400 Jembatan)'!AY47=0," ",'(AS-400 Jembatan)'!AY47+'(AS-400 Transfer)'!$BQ47)</f>
        <v>#REF!</v>
      </c>
      <c r="BJ47" s="476" t="e">
        <f>+IF('(AS-400 Jembatan)'!AZ47=0," ",'(AS-400 Jembatan)'!AZ47+'(AS-400 Transfer)'!$BQ47)</f>
        <v>#REF!</v>
      </c>
      <c r="BK47" s="476" t="str">
        <f>+IF('(AS-400 Jembatan)'!BA47=0," ",'(AS-400 Jembatan)'!BA47+'(AS-400 Transfer)'!$BQ47)</f>
        <v> </v>
      </c>
      <c r="BL47" s="476" t="e">
        <f>SUM(BG47:BG47)</f>
        <v>#REF!</v>
      </c>
      <c r="BM47" s="476" t="e">
        <f>+'(AS-400 Jembatan)'!BC47</f>
        <v>#REF!</v>
      </c>
      <c r="BN47" s="476" t="e">
        <f>(BM47-BL47)/BO47</f>
        <v>#REF!</v>
      </c>
      <c r="BO47" s="479">
        <f>+COUNT(BG47:BG47)</f>
        <v>0</v>
      </c>
      <c r="BP47" s="479" t="e">
        <f>+IF(BN47&lt;0,(ROUNDDOWN(BN47,0)),(ROUNDUP(BN47,0)))</f>
        <v>#REF!</v>
      </c>
      <c r="BQ47" s="480" t="e">
        <v>#DIV/0!</v>
      </c>
    </row>
    <row r="48" spans="1:142" customHeight="1" ht="15.75" s="473" customFormat="1">
      <c r="A48" s="1294"/>
      <c r="B48" s="1038" t="str">
        <f>+GUM!C54</f>
        <v>82115-0E450.</v>
      </c>
      <c r="C48" s="496" t="str">
        <f>'(AS-400 Jembatan)'!C47</f>
        <v>K 0001</v>
      </c>
      <c r="D48" s="505"/>
      <c r="E48" s="474"/>
      <c r="F48" s="474"/>
      <c r="G48" s="474"/>
      <c r="H48" s="474"/>
      <c r="I48" s="474"/>
      <c r="J48" s="475"/>
      <c r="K48" s="475"/>
      <c r="L48" s="478"/>
      <c r="M48" s="478"/>
      <c r="N48" s="478"/>
      <c r="O48" s="484" t="e">
        <f>+IF('(AS-400 Jembatan)'!M48=0," ",'(AS-400 Jembatan)'!M48+'(AS-400 Transfer)'!$Y48)</f>
        <v>#REF!</v>
      </c>
      <c r="P48" s="476" t="e">
        <f>+IF('(AS-400 Jembatan)'!N48=0," ",'(AS-400 Jembatan)'!N48+'(AS-400 Transfer)'!$Y48)</f>
        <v>#REF!</v>
      </c>
      <c r="Q48" s="504" t="e">
        <f>+IF('(AS-400 Jembatan)'!O48=0," ",'(AS-400 Jembatan)'!O48+'(AS-400 Transfer)'!$Y48)</f>
        <v>#REF!</v>
      </c>
      <c r="R48" s="476" t="e">
        <f>+IF('(AS-400 Jembatan)'!P48=0," ",'(AS-400 Jembatan)'!P48+'(AS-400 Transfer)'!$Y48)</f>
        <v>#REF!</v>
      </c>
      <c r="S48" s="476" t="e">
        <f>+IF('(AS-400 Jembatan)'!Q48=0," ",'(AS-400 Jembatan)'!Q48+'(AS-400 Transfer)'!$Y48)</f>
        <v>#REF!</v>
      </c>
      <c r="T48" s="474" t="e">
        <f>SUM(O48:O48)</f>
        <v>#REF!</v>
      </c>
      <c r="U48" s="474" t="e">
        <f>+'(AS-400 Jembatan)'!S48</f>
        <v>#REF!</v>
      </c>
      <c r="V48" s="474" t="e">
        <f>(U48-T48)/W48</f>
        <v>#REF!</v>
      </c>
      <c r="W48" s="478">
        <f>+COUNT(O48:O48)</f>
        <v>0</v>
      </c>
      <c r="X48" s="478" t="e">
        <f>+IF(V48&lt;0,(ROUNDDOWN(V48,0)),(ROUNDUP(V48,0)))</f>
        <v>#REF!</v>
      </c>
      <c r="Y48" s="488" t="e">
        <v>#DIV/0!</v>
      </c>
      <c r="Z48" s="482" t="e">
        <f>+IF('(AS-400 Jembatan)'!V48=0," ",'(AS-400 Jembatan)'!V48+'(AS-400 Transfer)'!$AJ48)</f>
        <v>#REF!</v>
      </c>
      <c r="AA48" s="494" t="e">
        <f>+IF('(AS-400 Jembatan)'!W48=0," ",'(AS-400 Jembatan)'!W48+'(AS-400 Transfer)'!$AJ48)</f>
        <v>#REF!</v>
      </c>
      <c r="AB48" s="483" t="e">
        <f>+IF('(AS-400 Jembatan)'!X48=0," ",'(AS-400 Jembatan)'!X48+'(AS-400 Transfer)'!$AJ48)</f>
        <v>#REF!</v>
      </c>
      <c r="AC48" s="830" t="e">
        <f>+IF('(AS-400 Jembatan)'!Y48=0," ",'(AS-400 Jembatan)'!Y48+'(AS-400 Transfer)'!$AJ48)</f>
        <v>#REF!</v>
      </c>
      <c r="AD48" s="830" t="str">
        <f>+IF('(AS-400 Jembatan)'!Z48=0," ",'(AS-400 Jembatan)'!Z48+'(AS-400 Transfer)'!$AJ48)</f>
        <v> </v>
      </c>
      <c r="AE48" s="474" t="e">
        <f>SUM(Z48:Z48)</f>
        <v>#REF!</v>
      </c>
      <c r="AF48" s="474" t="e">
        <f>+'(AS-400 Jembatan)'!AB48</f>
        <v>#REF!</v>
      </c>
      <c r="AG48" s="474" t="e">
        <f>(AF48-AE48)/AH48</f>
        <v>#REF!</v>
      </c>
      <c r="AH48" s="478">
        <f>+COUNT(Z48:Z48)</f>
        <v>0</v>
      </c>
      <c r="AI48" s="475" t="e">
        <f>+IF(AG48&lt;0,(ROUNDDOWN(AG48,0)),(ROUNDUP(AG48,0)))</f>
        <v>#REF!</v>
      </c>
      <c r="AJ48" s="481" t="e">
        <v>#DIV/0!</v>
      </c>
      <c r="AK48" s="482" t="e">
        <f>+IF('(AS-400 Jembatan)'!AE48=0," ",'(AS-400 Jembatan)'!AE48+'(AS-400 Transfer)'!$AU48)</f>
        <v>#REF!</v>
      </c>
      <c r="AL48" s="474" t="e">
        <f>+IF('(AS-400 Jembatan)'!AF48=0," ",'(AS-400 Jembatan)'!AF48+'(AS-400 Transfer)'!$AU48)</f>
        <v>#REF!</v>
      </c>
      <c r="AM48" s="483" t="e">
        <f>+IF('(AS-400 Jembatan)'!AG48=0," ",'(AS-400 Jembatan)'!AG48+'(AS-400 Transfer)'!$AU48)</f>
        <v>#REF!</v>
      </c>
      <c r="AN48" s="474" t="e">
        <f>+IF('(AS-400 Jembatan)'!AH48=0," ",'(AS-400 Jembatan)'!AH48+'(AS-400 Transfer)'!$AU48)</f>
        <v>#REF!</v>
      </c>
      <c r="AO48" s="474" t="str">
        <f>+IF('(AS-400 Jembatan)'!AI48=0," ",'(AS-400 Jembatan)'!AI48+'(AS-400 Transfer)'!$AU48)</f>
        <v> </v>
      </c>
      <c r="AP48" s="474" t="e">
        <f>SUM(AK48:AK48)</f>
        <v>#REF!</v>
      </c>
      <c r="AQ48" s="474" t="e">
        <f>+'(AS-400 Jembatan)'!AK48</f>
        <v>#REF!</v>
      </c>
      <c r="AR48" s="474" t="e">
        <f>(AQ48-AP48)/AS48</f>
        <v>#REF!</v>
      </c>
      <c r="AS48" s="478">
        <f>+COUNT(AK48:AK48)</f>
        <v>0</v>
      </c>
      <c r="AT48" s="478" t="e">
        <f>+IF(AR48&lt;0,(ROUNDDOWN(AR48,0)),(ROUNDUP(AR48,0)))</f>
        <v>#REF!</v>
      </c>
      <c r="AU48" s="478" t="e">
        <v>#DIV/0!</v>
      </c>
      <c r="AV48" s="482" t="e">
        <f>+IF('(AS-400 Jembatan)'!AN48=0," ",'(AS-400 Jembatan)'!AN48+'(AS-400 Transfer)'!$BF48)</f>
        <v>#REF!</v>
      </c>
      <c r="AW48" s="474" t="e">
        <f>+IF('(AS-400 Jembatan)'!AO48=0," ",'(AS-400 Jembatan)'!AO48+'(AS-400 Transfer)'!$BF48)</f>
        <v>#REF!</v>
      </c>
      <c r="AX48" s="483" t="e">
        <f>+IF('(AS-400 Jembatan)'!AP48=0," ",'(AS-400 Jembatan)'!AP48+'(AS-400 Transfer)'!$BF48)</f>
        <v>#REF!</v>
      </c>
      <c r="AY48" s="474" t="e">
        <f>+IF('(AS-400 Jembatan)'!AQ48=0," ",'(AS-400 Jembatan)'!AQ48+'(AS-400 Transfer)'!$BF48)</f>
        <v>#REF!</v>
      </c>
      <c r="AZ48" s="474" t="e">
        <f>+IF('(AS-400 Jembatan)'!AR48=0," ",'(AS-400 Jembatan)'!AR48+'(AS-400 Transfer)'!$BF48)</f>
        <v>#REF!</v>
      </c>
      <c r="BA48" s="474" t="e">
        <f>SUM(AV48:AV48)</f>
        <v>#REF!</v>
      </c>
      <c r="BB48" s="474" t="e">
        <f>+GUM!Z54</f>
        <v>#REF!</v>
      </c>
      <c r="BC48" s="474" t="e">
        <f>(BB48-BA48)/BD48</f>
        <v>#REF!</v>
      </c>
      <c r="BD48" s="478">
        <f>+COUNT(AV48:AV48)</f>
        <v>0</v>
      </c>
      <c r="BE48" s="478" t="e">
        <f>+IF(BC48&lt;0,(ROUNDDOWN(BC48,0)),(ROUNDUP(BC48,0)))</f>
        <v>#REF!</v>
      </c>
      <c r="BF48" s="488" t="e">
        <v>#DIV/0!</v>
      </c>
      <c r="BG48" s="482" t="e">
        <f>+IF('(AS-400 Jembatan)'!AW48=0," ",'(AS-400 Jembatan)'!AW48+'(AS-400 Transfer)'!$BQ48)</f>
        <v>#REF!</v>
      </c>
      <c r="BH48" s="474" t="e">
        <f>+IF('(AS-400 Jembatan)'!AX48=0," ",'(AS-400 Jembatan)'!AX48+'(AS-400 Transfer)'!$BQ48)</f>
        <v>#REF!</v>
      </c>
      <c r="BI48" s="483" t="e">
        <f>+IF('(AS-400 Jembatan)'!AY48=0," ",'(AS-400 Jembatan)'!AY48+'(AS-400 Transfer)'!$BQ48)</f>
        <v>#REF!</v>
      </c>
      <c r="BJ48" s="474" t="e">
        <f>+IF('(AS-400 Jembatan)'!AZ48=0," ",'(AS-400 Jembatan)'!AZ48+'(AS-400 Transfer)'!$BQ48)</f>
        <v>#REF!</v>
      </c>
      <c r="BK48" s="474" t="str">
        <f>+IF('(AS-400 Jembatan)'!BA48=0," ",'(AS-400 Jembatan)'!BA48+'(AS-400 Transfer)'!$BQ48)</f>
        <v> </v>
      </c>
      <c r="BL48" s="474" t="e">
        <f>SUM(BG48:BG48)</f>
        <v>#REF!</v>
      </c>
      <c r="BM48" s="474" t="e">
        <f>+'(AS-400 Jembatan)'!BC48</f>
        <v>#REF!</v>
      </c>
      <c r="BN48" s="474" t="e">
        <f>(BM48-BL48)/BO48</f>
        <v>#REF!</v>
      </c>
      <c r="BO48" s="478">
        <f>+COUNT(BG48:BG48)</f>
        <v>0</v>
      </c>
      <c r="BP48" s="478" t="e">
        <f>+IF(BN48&lt;0,(ROUNDDOWN(BN48,0)),(ROUNDUP(BN48,0)))</f>
        <v>#REF!</v>
      </c>
      <c r="BQ48" s="488" t="e">
        <v>#DIV/0!</v>
      </c>
    </row>
    <row r="49" spans="1:142" customHeight="1" ht="15.75" s="473" customFormat="1">
      <c r="A49" s="1294"/>
      <c r="B49" s="1038" t="str">
        <f>+GUM!C55</f>
        <v>82115-0E460.</v>
      </c>
      <c r="C49" s="496" t="str">
        <f>'(AS-400 Jembatan)'!C48</f>
        <v>K 0001</v>
      </c>
      <c r="D49" s="505"/>
      <c r="E49" s="474"/>
      <c r="F49" s="474"/>
      <c r="G49" s="474"/>
      <c r="H49" s="474"/>
      <c r="I49" s="474"/>
      <c r="J49" s="475"/>
      <c r="K49" s="475"/>
      <c r="L49" s="478"/>
      <c r="M49" s="478"/>
      <c r="N49" s="478"/>
      <c r="O49" s="484" t="e">
        <f>+IF('(AS-400 Jembatan)'!M49=0," ",'(AS-400 Jembatan)'!M49+'(AS-400 Transfer)'!$Y49)</f>
        <v>#REF!</v>
      </c>
      <c r="P49" s="476" t="e">
        <f>+IF('(AS-400 Jembatan)'!N49=0," ",'(AS-400 Jembatan)'!N49+'(AS-400 Transfer)'!$Y49)</f>
        <v>#REF!</v>
      </c>
      <c r="Q49" s="504" t="e">
        <f>+IF('(AS-400 Jembatan)'!O49=0," ",'(AS-400 Jembatan)'!O49+'(AS-400 Transfer)'!$Y49)</f>
        <v>#REF!</v>
      </c>
      <c r="R49" s="476" t="e">
        <f>+IF('(AS-400 Jembatan)'!P49=0," ",'(AS-400 Jembatan)'!P49+'(AS-400 Transfer)'!$Y49)</f>
        <v>#REF!</v>
      </c>
      <c r="S49" s="476" t="e">
        <f>+IF('(AS-400 Jembatan)'!Q49=0," ",'(AS-400 Jembatan)'!Q49+'(AS-400 Transfer)'!$Y49)</f>
        <v>#REF!</v>
      </c>
      <c r="T49" s="474" t="e">
        <f>SUM(O49:O49)</f>
        <v>#REF!</v>
      </c>
      <c r="U49" s="474" t="e">
        <f>+'(AS-400 Jembatan)'!S49</f>
        <v>#REF!</v>
      </c>
      <c r="V49" s="474" t="e">
        <f>(U49-T49)/W49</f>
        <v>#REF!</v>
      </c>
      <c r="W49" s="478">
        <f>+COUNT(O49:O49)</f>
        <v>0</v>
      </c>
      <c r="X49" s="478" t="e">
        <f>+IF(V49&lt;0,(ROUNDDOWN(V49,0)),(ROUNDUP(V49,0)))</f>
        <v>#REF!</v>
      </c>
      <c r="Y49" s="488" t="e">
        <v>#DIV/0!</v>
      </c>
      <c r="Z49" s="482" t="e">
        <f>+IF('(AS-400 Jembatan)'!V49=0," ",'(AS-400 Jembatan)'!V49+'(AS-400 Transfer)'!$AJ49)</f>
        <v>#REF!</v>
      </c>
      <c r="AA49" s="494" t="e">
        <f>+IF('(AS-400 Jembatan)'!W49=0," ",'(AS-400 Jembatan)'!W49+'(AS-400 Transfer)'!$AJ49)</f>
        <v>#REF!</v>
      </c>
      <c r="AB49" s="483" t="e">
        <f>+IF('(AS-400 Jembatan)'!X49=0," ",'(AS-400 Jembatan)'!X49+'(AS-400 Transfer)'!$AJ49)</f>
        <v>#REF!</v>
      </c>
      <c r="AC49" s="830" t="e">
        <f>+IF('(AS-400 Jembatan)'!Y49=0," ",'(AS-400 Jembatan)'!Y49+'(AS-400 Transfer)'!$AJ49)</f>
        <v>#REF!</v>
      </c>
      <c r="AD49" s="830" t="str">
        <f>+IF('(AS-400 Jembatan)'!Z49=0," ",'(AS-400 Jembatan)'!Z49+'(AS-400 Transfer)'!$AJ49)</f>
        <v> </v>
      </c>
      <c r="AE49" s="474" t="e">
        <f>SUM(Z49:Z49)</f>
        <v>#REF!</v>
      </c>
      <c r="AF49" s="474" t="e">
        <f>+'(AS-400 Jembatan)'!AB49</f>
        <v>#REF!</v>
      </c>
      <c r="AG49" s="474" t="e">
        <f>(AF49-AE49)/AH49</f>
        <v>#REF!</v>
      </c>
      <c r="AH49" s="478">
        <f>+COUNT(Z49:Z49)</f>
        <v>0</v>
      </c>
      <c r="AI49" s="475" t="e">
        <f>+IF(AG49&lt;0,(ROUNDDOWN(AG49,0)),(ROUNDUP(AG49,0)))</f>
        <v>#REF!</v>
      </c>
      <c r="AJ49" s="481" t="e">
        <v>#DIV/0!</v>
      </c>
      <c r="AK49" s="482" t="e">
        <f>+IF('(AS-400 Jembatan)'!AE49=0," ",'(AS-400 Jembatan)'!AE49+'(AS-400 Transfer)'!$AU49)</f>
        <v>#REF!</v>
      </c>
      <c r="AL49" s="474" t="e">
        <f>+IF('(AS-400 Jembatan)'!AF49=0," ",'(AS-400 Jembatan)'!AF49+'(AS-400 Transfer)'!$AU49)</f>
        <v>#REF!</v>
      </c>
      <c r="AM49" s="483" t="e">
        <f>+IF('(AS-400 Jembatan)'!AG49=0," ",'(AS-400 Jembatan)'!AG49+'(AS-400 Transfer)'!$AU49)</f>
        <v>#REF!</v>
      </c>
      <c r="AN49" s="474" t="e">
        <f>+IF('(AS-400 Jembatan)'!AH49=0," ",'(AS-400 Jembatan)'!AH49+'(AS-400 Transfer)'!$AU49)</f>
        <v>#REF!</v>
      </c>
      <c r="AO49" s="474" t="str">
        <f>+IF('(AS-400 Jembatan)'!AI49=0," ",'(AS-400 Jembatan)'!AI49+'(AS-400 Transfer)'!$AU49)</f>
        <v> </v>
      </c>
      <c r="AP49" s="474" t="e">
        <f>SUM(AK49:AK49)</f>
        <v>#REF!</v>
      </c>
      <c r="AQ49" s="474" t="e">
        <f>+'(AS-400 Jembatan)'!AK49</f>
        <v>#REF!</v>
      </c>
      <c r="AR49" s="474" t="e">
        <f>(AQ49-AP49)/AS49</f>
        <v>#REF!</v>
      </c>
      <c r="AS49" s="478">
        <f>+COUNT(AK49:AK49)</f>
        <v>0</v>
      </c>
      <c r="AT49" s="478" t="e">
        <f>+IF(AR49&lt;0,(ROUNDDOWN(AR49,0)),(ROUNDUP(AR49,0)))</f>
        <v>#REF!</v>
      </c>
      <c r="AU49" s="478" t="e">
        <v>#DIV/0!</v>
      </c>
      <c r="AV49" s="482" t="e">
        <f>+IF('(AS-400 Jembatan)'!AN49=0," ",'(AS-400 Jembatan)'!AN49+'(AS-400 Transfer)'!$BF49)</f>
        <v>#REF!</v>
      </c>
      <c r="AW49" s="474" t="e">
        <f>+IF('(AS-400 Jembatan)'!AO49=0," ",'(AS-400 Jembatan)'!AO49+'(AS-400 Transfer)'!$BF49)</f>
        <v>#REF!</v>
      </c>
      <c r="AX49" s="483" t="e">
        <f>+IF('(AS-400 Jembatan)'!AP49=0," ",'(AS-400 Jembatan)'!AP49+'(AS-400 Transfer)'!$BF49)</f>
        <v>#REF!</v>
      </c>
      <c r="AY49" s="474" t="e">
        <f>+IF('(AS-400 Jembatan)'!AQ49=0," ",'(AS-400 Jembatan)'!AQ49+'(AS-400 Transfer)'!$BF49)</f>
        <v>#REF!</v>
      </c>
      <c r="AZ49" s="474" t="e">
        <f>+IF('(AS-400 Jembatan)'!AR49=0," ",'(AS-400 Jembatan)'!AR49+'(AS-400 Transfer)'!$BF49)</f>
        <v>#REF!</v>
      </c>
      <c r="BA49" s="474" t="e">
        <f>SUM(AV49:AV49)</f>
        <v>#REF!</v>
      </c>
      <c r="BB49" s="474" t="e">
        <f>+GUM!Z55</f>
        <v>#REF!</v>
      </c>
      <c r="BC49" s="474" t="e">
        <f>(BB49-BA49)/BD49</f>
        <v>#REF!</v>
      </c>
      <c r="BD49" s="478">
        <f>+COUNT(AV49:AV49)</f>
        <v>0</v>
      </c>
      <c r="BE49" s="478" t="e">
        <f>+IF(BC49&lt;0,(ROUNDDOWN(BC49,0)),(ROUNDUP(BC49,0)))</f>
        <v>#REF!</v>
      </c>
      <c r="BF49" s="488" t="e">
        <v>#DIV/0!</v>
      </c>
      <c r="BG49" s="482" t="e">
        <f>+IF('(AS-400 Jembatan)'!AW49=0," ",'(AS-400 Jembatan)'!AW49+'(AS-400 Transfer)'!$BQ49)</f>
        <v>#REF!</v>
      </c>
      <c r="BH49" s="474" t="e">
        <f>+IF('(AS-400 Jembatan)'!AX49=0," ",'(AS-400 Jembatan)'!AX49+'(AS-400 Transfer)'!$BQ49)</f>
        <v>#REF!</v>
      </c>
      <c r="BI49" s="483" t="e">
        <f>+IF('(AS-400 Jembatan)'!AY49=0," ",'(AS-400 Jembatan)'!AY49+'(AS-400 Transfer)'!$BQ49)</f>
        <v>#REF!</v>
      </c>
      <c r="BJ49" s="474" t="e">
        <f>+IF('(AS-400 Jembatan)'!AZ49=0," ",'(AS-400 Jembatan)'!AZ49+'(AS-400 Transfer)'!$BQ49)</f>
        <v>#REF!</v>
      </c>
      <c r="BK49" s="474" t="str">
        <f>+IF('(AS-400 Jembatan)'!BA49=0," ",'(AS-400 Jembatan)'!BA49+'(AS-400 Transfer)'!$BQ49)</f>
        <v> </v>
      </c>
      <c r="BL49" s="474" t="e">
        <f>SUM(BG49:BG49)</f>
        <v>#REF!</v>
      </c>
      <c r="BM49" s="474" t="e">
        <f>+'(AS-400 Jembatan)'!BC49</f>
        <v>#REF!</v>
      </c>
      <c r="BN49" s="474" t="e">
        <f>(BM49-BL49)/BO49</f>
        <v>#REF!</v>
      </c>
      <c r="BO49" s="478">
        <f>+COUNT(BG49:BG49)</f>
        <v>0</v>
      </c>
      <c r="BP49" s="478" t="e">
        <f>+IF(BN49&lt;0,(ROUNDDOWN(BN49,0)),(ROUNDUP(BN49,0)))</f>
        <v>#REF!</v>
      </c>
      <c r="BQ49" s="488" t="e">
        <v>#DIV/0!</v>
      </c>
    </row>
    <row r="50" spans="1:142" customHeight="1" ht="15.75" s="503" customFormat="1">
      <c r="A50" s="1294"/>
      <c r="B50" s="1039" t="str">
        <f>+GUM!C56</f>
        <v>82115-0EA00.</v>
      </c>
      <c r="C50" s="807" t="str">
        <f>'(AS-400 Jembatan)'!C50</f>
        <v>K 0001</v>
      </c>
      <c r="D50" s="808"/>
      <c r="E50" s="809"/>
      <c r="F50" s="809"/>
      <c r="G50" s="809"/>
      <c r="H50" s="809"/>
      <c r="I50" s="809"/>
      <c r="J50" s="810"/>
      <c r="K50" s="810"/>
      <c r="L50" s="811"/>
      <c r="M50" s="811"/>
      <c r="N50" s="811"/>
      <c r="O50" s="812" t="e">
        <f>+IF('(AS-400 Jembatan)'!M50=0," ",'(AS-400 Jembatan)'!M50+'(AS-400 Transfer)'!$Y50)</f>
        <v>#REF!</v>
      </c>
      <c r="P50" s="809" t="e">
        <f>+IF('(AS-400 Jembatan)'!N50=0," ",'(AS-400 Jembatan)'!N50+'(AS-400 Transfer)'!$Y50)</f>
        <v>#REF!</v>
      </c>
      <c r="Q50" s="813" t="e">
        <f>+IF('(AS-400 Jembatan)'!O50=0," ",'(AS-400 Jembatan)'!O50+'(AS-400 Transfer)'!$Y50)</f>
        <v>#REF!</v>
      </c>
      <c r="R50" s="809" t="e">
        <f>+IF('(AS-400 Jembatan)'!P50=0," ",'(AS-400 Jembatan)'!P50+'(AS-400 Transfer)'!$Y50)</f>
        <v>#REF!</v>
      </c>
      <c r="S50" s="809" t="e">
        <f>+IF('(AS-400 Jembatan)'!Q50=0," ",'(AS-400 Jembatan)'!Q50+'(AS-400 Transfer)'!$Y50)</f>
        <v>#REF!</v>
      </c>
      <c r="T50" s="809" t="e">
        <f>SUM(O50:O50)</f>
        <v>#REF!</v>
      </c>
      <c r="U50" s="809" t="e">
        <f>+'(AS-400 Jembatan)'!S50</f>
        <v>#REF!</v>
      </c>
      <c r="V50" s="809" t="e">
        <f>(U50-T50)/W50</f>
        <v>#REF!</v>
      </c>
      <c r="W50" s="811">
        <f>+COUNT(O50:O50)</f>
        <v>0</v>
      </c>
      <c r="X50" s="811" t="e">
        <f>+IF(V50&lt;0,(ROUNDDOWN(V50,0)),(ROUNDUP(V50,0)))</f>
        <v>#REF!</v>
      </c>
      <c r="Y50" s="814" t="e">
        <v>#DIV/0!</v>
      </c>
      <c r="Z50" s="812" t="e">
        <f>+IF('(AS-400 Jembatan)'!V50=0," ",'(AS-400 Jembatan)'!V50+'(AS-400 Transfer)'!$AJ50)</f>
        <v>#REF!</v>
      </c>
      <c r="AA50" s="815" t="e">
        <f>+IF('(AS-400 Jembatan)'!W50=0," ",'(AS-400 Jembatan)'!W50+'(AS-400 Transfer)'!$AJ50)</f>
        <v>#REF!</v>
      </c>
      <c r="AB50" s="813" t="e">
        <f>+IF('(AS-400 Jembatan)'!X50=0," ",'(AS-400 Jembatan)'!X50+'(AS-400 Transfer)'!$AJ50)</f>
        <v>#REF!</v>
      </c>
      <c r="AC50" s="840" t="e">
        <f>+IF('(AS-400 Jembatan)'!Y50=0," ",'(AS-400 Jembatan)'!Y50+'(AS-400 Transfer)'!$AJ50)</f>
        <v>#REF!</v>
      </c>
      <c r="AD50" s="840" t="str">
        <f>+IF('(AS-400 Jembatan)'!Z50=0," ",'(AS-400 Jembatan)'!Z50+'(AS-400 Transfer)'!$AJ50)</f>
        <v> </v>
      </c>
      <c r="AE50" s="809" t="e">
        <f>SUM(Z50:Z50)</f>
        <v>#REF!</v>
      </c>
      <c r="AF50" s="809" t="e">
        <f>+'(AS-400 Jembatan)'!AB50</f>
        <v>#REF!</v>
      </c>
      <c r="AG50" s="809" t="e">
        <f>(AF50-AE50)/AH50</f>
        <v>#REF!</v>
      </c>
      <c r="AH50" s="811">
        <f>+COUNT(Z50:Z50)</f>
        <v>0</v>
      </c>
      <c r="AI50" s="810" t="e">
        <f>+IF(AG50&lt;0,(ROUNDDOWN(AG50,0)),(ROUNDUP(AG50,0)))</f>
        <v>#REF!</v>
      </c>
      <c r="AJ50" s="816" t="e">
        <v>#DIV/0!</v>
      </c>
      <c r="AK50" s="812" t="e">
        <f>+IF('(AS-400 Jembatan)'!AE50=0," ",'(AS-400 Jembatan)'!AE50+'(AS-400 Transfer)'!$AU50)</f>
        <v>#REF!</v>
      </c>
      <c r="AL50" s="809" t="e">
        <f>+IF('(AS-400 Jembatan)'!AF50=0," ",'(AS-400 Jembatan)'!AF50+'(AS-400 Transfer)'!$AU50)</f>
        <v>#REF!</v>
      </c>
      <c r="AM50" s="813" t="e">
        <f>+IF('(AS-400 Jembatan)'!AG50=0," ",'(AS-400 Jembatan)'!AG50+'(AS-400 Transfer)'!$AU50)</f>
        <v>#REF!</v>
      </c>
      <c r="AN50" s="809" t="e">
        <f>+IF('(AS-400 Jembatan)'!AH50=0," ",'(AS-400 Jembatan)'!AH50+'(AS-400 Transfer)'!$AU50)</f>
        <v>#REF!</v>
      </c>
      <c r="AO50" s="809" t="str">
        <f>+IF('(AS-400 Jembatan)'!AI50=0," ",'(AS-400 Jembatan)'!AI50+'(AS-400 Transfer)'!$AU50)</f>
        <v> </v>
      </c>
      <c r="AP50" s="809" t="e">
        <f>SUM(AK50:AK50)</f>
        <v>#REF!</v>
      </c>
      <c r="AQ50" s="809" t="e">
        <f>+'(AS-400 Jembatan)'!AK50</f>
        <v>#REF!</v>
      </c>
      <c r="AR50" s="809" t="e">
        <f>(AQ50-AP50)/AS50</f>
        <v>#REF!</v>
      </c>
      <c r="AS50" s="811">
        <f>+COUNT(AK50:AK50)</f>
        <v>0</v>
      </c>
      <c r="AT50" s="811" t="e">
        <f>+IF(AR50&lt;0,(ROUNDDOWN(AR50,0)),(ROUNDUP(AR50,0)))</f>
        <v>#REF!</v>
      </c>
      <c r="AU50" s="811" t="e">
        <v>#DIV/0!</v>
      </c>
      <c r="AV50" s="812" t="e">
        <f>+IF('(AS-400 Jembatan)'!AN50=0," ",'(AS-400 Jembatan)'!AN50+'(AS-400 Transfer)'!$BF50)</f>
        <v>#REF!</v>
      </c>
      <c r="AW50" s="809" t="e">
        <f>+IF('(AS-400 Jembatan)'!AO50=0," ",'(AS-400 Jembatan)'!AO50+'(AS-400 Transfer)'!$BF50)</f>
        <v>#REF!</v>
      </c>
      <c r="AX50" s="813" t="e">
        <f>+IF('(AS-400 Jembatan)'!AP50=0," ",'(AS-400 Jembatan)'!AP50+'(AS-400 Transfer)'!$BF50)</f>
        <v>#REF!</v>
      </c>
      <c r="AY50" s="809" t="e">
        <f>+IF('(AS-400 Jembatan)'!AQ50=0," ",'(AS-400 Jembatan)'!AQ50+'(AS-400 Transfer)'!$BF50)</f>
        <v>#REF!</v>
      </c>
      <c r="AZ50" s="809" t="e">
        <f>+IF('(AS-400 Jembatan)'!AR50=0," ",'(AS-400 Jembatan)'!AR50+'(AS-400 Transfer)'!$BF50)</f>
        <v>#REF!</v>
      </c>
      <c r="BA50" s="809" t="e">
        <f>SUM(AV50:AV50)</f>
        <v>#REF!</v>
      </c>
      <c r="BB50" s="809" t="e">
        <f>+GUM!Z56</f>
        <v>#REF!</v>
      </c>
      <c r="BC50" s="809" t="e">
        <f>(BB50-BA50)/BD50</f>
        <v>#REF!</v>
      </c>
      <c r="BD50" s="811">
        <f>+COUNT(AV50:AV50)</f>
        <v>0</v>
      </c>
      <c r="BE50" s="811" t="e">
        <f>+IF(BC50&lt;0,(ROUNDDOWN(BC50,0)),(ROUNDUP(BC50,0)))</f>
        <v>#REF!</v>
      </c>
      <c r="BF50" s="814" t="e">
        <v>#DIV/0!</v>
      </c>
      <c r="BG50" s="812" t="e">
        <f>+IF('(AS-400 Jembatan)'!AW50=0," ",'(AS-400 Jembatan)'!AW50+'(AS-400 Transfer)'!$BQ50)</f>
        <v>#REF!</v>
      </c>
      <c r="BH50" s="809" t="e">
        <f>+IF('(AS-400 Jembatan)'!AX50=0," ",'(AS-400 Jembatan)'!AX50+'(AS-400 Transfer)'!$BQ50)</f>
        <v>#REF!</v>
      </c>
      <c r="BI50" s="813" t="e">
        <f>+IF('(AS-400 Jembatan)'!AY50=0," ",'(AS-400 Jembatan)'!AY50+'(AS-400 Transfer)'!$BQ50)</f>
        <v>#REF!</v>
      </c>
      <c r="BJ50" s="809" t="e">
        <f>+IF('(AS-400 Jembatan)'!AZ50=0," ",'(AS-400 Jembatan)'!AZ50+'(AS-400 Transfer)'!$BQ50)</f>
        <v>#REF!</v>
      </c>
      <c r="BK50" s="809" t="str">
        <f>+IF('(AS-400 Jembatan)'!BA50=0," ",'(AS-400 Jembatan)'!BA50+'(AS-400 Transfer)'!$BQ50)</f>
        <v> </v>
      </c>
      <c r="BL50" s="809" t="e">
        <f>SUM(BG50:BG50)</f>
        <v>#REF!</v>
      </c>
      <c r="BM50" s="809" t="e">
        <f>+'(AS-400 Jembatan)'!BC50</f>
        <v>#REF!</v>
      </c>
      <c r="BN50" s="809" t="e">
        <f>(BM50-BL50)/BO50</f>
        <v>#REF!</v>
      </c>
      <c r="BO50" s="811">
        <f>+COUNT(BG50:BG50)</f>
        <v>0</v>
      </c>
      <c r="BP50" s="811" t="e">
        <f>+IF(BN50&lt;0,(ROUNDDOWN(BN50,0)),(ROUNDUP(BN50,0)))</f>
        <v>#REF!</v>
      </c>
      <c r="BQ50" s="814" t="e">
        <v>#DIV/0!</v>
      </c>
    </row>
    <row r="51" spans="1:142" customHeight="1" ht="15.75" s="473" customFormat="1">
      <c r="A51" s="1294"/>
      <c r="B51" s="1037" t="str">
        <f>+GUM!C57</f>
        <v>82115-0E440 L</v>
      </c>
      <c r="C51" s="725" t="str">
        <f>'(AS-400 Jembatan)'!C51</f>
        <v>L 0001</v>
      </c>
      <c r="D51" s="550"/>
      <c r="E51" s="476"/>
      <c r="F51" s="476"/>
      <c r="G51" s="476"/>
      <c r="H51" s="476"/>
      <c r="I51" s="476"/>
      <c r="J51" s="477"/>
      <c r="K51" s="477"/>
      <c r="L51" s="479"/>
      <c r="M51" s="479"/>
      <c r="N51" s="479"/>
      <c r="O51" s="484" t="e">
        <f>+IF('(AS-400 Jembatan)'!M51=0," ",'(AS-400 Jembatan)'!M51+'(AS-400 Transfer)'!$Y51)</f>
        <v>#REF!</v>
      </c>
      <c r="P51" s="476" t="e">
        <f>+IF('(AS-400 Jembatan)'!N51=0," ",'(AS-400 Jembatan)'!N51+'(AS-400 Transfer)'!$Y51)</f>
        <v>#REF!</v>
      </c>
      <c r="Q51" s="504" t="e">
        <f>+IF('(AS-400 Jembatan)'!O51=0," ",'(AS-400 Jembatan)'!O51+'(AS-400 Transfer)'!$Y51)</f>
        <v>#REF!</v>
      </c>
      <c r="R51" s="476" t="e">
        <f>+IF('(AS-400 Jembatan)'!P51=0," ",'(AS-400 Jembatan)'!P51+'(AS-400 Transfer)'!$Y51)</f>
        <v>#REF!</v>
      </c>
      <c r="S51" s="476" t="e">
        <f>+IF('(AS-400 Jembatan)'!Q51=0," ",'(AS-400 Jembatan)'!Q51+'(AS-400 Transfer)'!$Y51)</f>
        <v>#REF!</v>
      </c>
      <c r="T51" s="476" t="e">
        <f>SUM(O51:O51)</f>
        <v>#REF!</v>
      </c>
      <c r="U51" s="476" t="e">
        <f>+'(AS-400 Jembatan)'!S51</f>
        <v>#REF!</v>
      </c>
      <c r="V51" s="476" t="e">
        <f>(U51-T51)/W51</f>
        <v>#REF!</v>
      </c>
      <c r="W51" s="479">
        <f>+COUNT(O51:O51)</f>
        <v>0</v>
      </c>
      <c r="X51" s="479" t="e">
        <f>+IF(V51&lt;0,(ROUNDDOWN(V51,0)),(ROUNDUP(V51,0)))</f>
        <v>#REF!</v>
      </c>
      <c r="Y51" s="480" t="e">
        <v>#DIV/0!</v>
      </c>
      <c r="Z51" s="484" t="e">
        <f>+IF('(AS-400 Jembatan)'!V51=0," ",'(AS-400 Jembatan)'!V51+'(AS-400 Transfer)'!$AJ51)</f>
        <v>#REF!</v>
      </c>
      <c r="AA51" s="500" t="e">
        <f>+IF('(AS-400 Jembatan)'!W51=0," ",'(AS-400 Jembatan)'!W51+'(AS-400 Transfer)'!$AJ51)</f>
        <v>#REF!</v>
      </c>
      <c r="AB51" s="504" t="e">
        <f>+IF('(AS-400 Jembatan)'!X51=0," ",'(AS-400 Jembatan)'!X51+'(AS-400 Transfer)'!$AJ51)</f>
        <v>#REF!</v>
      </c>
      <c r="AC51" s="476" t="e">
        <f>+IF('(AS-400 Jembatan)'!Y51=0," ",'(AS-400 Jembatan)'!Y51+'(AS-400 Transfer)'!$AJ51)</f>
        <v>#REF!</v>
      </c>
      <c r="AD51" s="476" t="str">
        <f>+IF('(AS-400 Jembatan)'!Z51=0," ",'(AS-400 Jembatan)'!Z51+'(AS-400 Transfer)'!$AJ51)</f>
        <v> </v>
      </c>
      <c r="AE51" s="476" t="e">
        <f>SUM(Z51:Z51)</f>
        <v>#REF!</v>
      </c>
      <c r="AF51" s="476" t="e">
        <f>+'(AS-400 Jembatan)'!AB51</f>
        <v>#REF!</v>
      </c>
      <c r="AG51" s="501" t="e">
        <f>(AF51-AE51)/AH51</f>
        <v>#REF!</v>
      </c>
      <c r="AH51" s="479">
        <f>+COUNT(Z51:Z51)</f>
        <v>0</v>
      </c>
      <c r="AI51" s="477" t="e">
        <f>+IF(AG51&lt;0,(ROUNDDOWN(AG51,0)),(ROUNDUP(AG51,0)))</f>
        <v>#REF!</v>
      </c>
      <c r="AJ51" s="487" t="e">
        <v>#DIV/0!</v>
      </c>
      <c r="AK51" s="484" t="e">
        <f>+IF('(AS-400 Jembatan)'!AE51=0," ",'(AS-400 Jembatan)'!AE51+'(AS-400 Transfer)'!$AU51)</f>
        <v>#REF!</v>
      </c>
      <c r="AL51" s="476" t="e">
        <f>+IF('(AS-400 Jembatan)'!AF51=0," ",'(AS-400 Jembatan)'!AF51+'(AS-400 Transfer)'!$AU51)</f>
        <v>#REF!</v>
      </c>
      <c r="AM51" s="504" t="e">
        <f>+IF('(AS-400 Jembatan)'!AG51=0," ",'(AS-400 Jembatan)'!AG51+'(AS-400 Transfer)'!$AU51)</f>
        <v>#REF!</v>
      </c>
      <c r="AN51" s="476" t="e">
        <f>+IF('(AS-400 Jembatan)'!AH51=0," ",'(AS-400 Jembatan)'!AH51+'(AS-400 Transfer)'!$AU51)</f>
        <v>#REF!</v>
      </c>
      <c r="AO51" s="476" t="str">
        <f>+IF('(AS-400 Jembatan)'!AI51=0," ",'(AS-400 Jembatan)'!AI51+'(AS-400 Transfer)'!$AU51)</f>
        <v> </v>
      </c>
      <c r="AP51" s="476" t="e">
        <f>SUM(AK51:AK51)</f>
        <v>#REF!</v>
      </c>
      <c r="AQ51" s="476" t="e">
        <f>+'(AS-400 Jembatan)'!AK51</f>
        <v>#REF!</v>
      </c>
      <c r="AR51" s="501" t="e">
        <f>(AQ51-AP51)/AS51</f>
        <v>#REF!</v>
      </c>
      <c r="AS51" s="479">
        <f>+COUNT(AK51:AK51)</f>
        <v>0</v>
      </c>
      <c r="AT51" s="479" t="e">
        <f>+IF(AR51&lt;0,(ROUNDDOWN(AR51,0)),(ROUNDUP(AR51,0)))</f>
        <v>#REF!</v>
      </c>
      <c r="AU51" s="479" t="e">
        <v>#DIV/0!</v>
      </c>
      <c r="AV51" s="484" t="e">
        <f>+IF('(AS-400 Jembatan)'!AN51=0," ",'(AS-400 Jembatan)'!AN51+'(AS-400 Transfer)'!$BF51)</f>
        <v>#REF!</v>
      </c>
      <c r="AW51" s="476" t="e">
        <f>+IF('(AS-400 Jembatan)'!AO51=0," ",'(AS-400 Jembatan)'!AO51+'(AS-400 Transfer)'!$BF51)</f>
        <v>#REF!</v>
      </c>
      <c r="AX51" s="504" t="e">
        <f>+IF('(AS-400 Jembatan)'!AP51=0," ",'(AS-400 Jembatan)'!AP51+'(AS-400 Transfer)'!$BF51)</f>
        <v>#REF!</v>
      </c>
      <c r="AY51" s="476" t="e">
        <f>+IF('(AS-400 Jembatan)'!AQ51=0," ",'(AS-400 Jembatan)'!AQ51+'(AS-400 Transfer)'!$BF51)</f>
        <v>#REF!</v>
      </c>
      <c r="AZ51" s="476" t="e">
        <f>+IF('(AS-400 Jembatan)'!AR51=0," ",'(AS-400 Jembatan)'!AR51+'(AS-400 Transfer)'!$BF51)</f>
        <v>#REF!</v>
      </c>
      <c r="BA51" s="476" t="e">
        <f>SUM(AV51:AV51)</f>
        <v>#REF!</v>
      </c>
      <c r="BB51" s="476" t="e">
        <f>+GUM!Z57</f>
        <v>#REF!</v>
      </c>
      <c r="BC51" s="476" t="e">
        <f>(BB51-BA51)/BD51</f>
        <v>#REF!</v>
      </c>
      <c r="BD51" s="479">
        <f>+COUNT(AV51:AV51)</f>
        <v>0</v>
      </c>
      <c r="BE51" s="479" t="e">
        <f>+IF(BC51&lt;0,(ROUNDDOWN(BC51,0)),(ROUNDUP(BC51,0)))</f>
        <v>#REF!</v>
      </c>
      <c r="BF51" s="480" t="e">
        <v>#DIV/0!</v>
      </c>
      <c r="BG51" s="484" t="e">
        <f>+IF('(AS-400 Jembatan)'!AW51=0," ",'(AS-400 Jembatan)'!AW51+'(AS-400 Transfer)'!$BQ51)</f>
        <v>#REF!</v>
      </c>
      <c r="BH51" s="476" t="e">
        <f>+IF('(AS-400 Jembatan)'!AX51=0," ",'(AS-400 Jembatan)'!AX51+'(AS-400 Transfer)'!$BQ51)</f>
        <v>#REF!</v>
      </c>
      <c r="BI51" s="504" t="e">
        <f>+IF('(AS-400 Jembatan)'!AY51=0," ",'(AS-400 Jembatan)'!AY51+'(AS-400 Transfer)'!$BQ51)</f>
        <v>#REF!</v>
      </c>
      <c r="BJ51" s="476" t="e">
        <f>+IF('(AS-400 Jembatan)'!AZ51=0," ",'(AS-400 Jembatan)'!AZ51+'(AS-400 Transfer)'!$BQ51)</f>
        <v>#REF!</v>
      </c>
      <c r="BK51" s="476" t="str">
        <f>+IF('(AS-400 Jembatan)'!BA51=0," ",'(AS-400 Jembatan)'!BA51+'(AS-400 Transfer)'!$BQ51)</f>
        <v> </v>
      </c>
      <c r="BL51" s="476" t="e">
        <f>SUM(BG51:BG51)</f>
        <v>#REF!</v>
      </c>
      <c r="BM51" s="476" t="e">
        <f>+'(AS-400 Jembatan)'!BC51</f>
        <v>#REF!</v>
      </c>
      <c r="BN51" s="476" t="e">
        <f>(BM51-BL51)/BO51</f>
        <v>#REF!</v>
      </c>
      <c r="BO51" s="479">
        <f>+COUNT(BG51:BG51)</f>
        <v>0</v>
      </c>
      <c r="BP51" s="479" t="e">
        <f>+IF(BN51&lt;0,(ROUNDDOWN(BN51,0)),(ROUNDUP(BN51,0)))</f>
        <v>#REF!</v>
      </c>
      <c r="BQ51" s="480" t="e">
        <v>#DIV/0!</v>
      </c>
    </row>
    <row r="52" spans="1:142" customHeight="1" ht="15.75" s="473" customFormat="1">
      <c r="A52" s="1294"/>
      <c r="B52" s="1038" t="str">
        <f>+GUM!C58</f>
        <v>82115-0E450 L</v>
      </c>
      <c r="C52" s="496" t="str">
        <f>'(AS-400 Jembatan)'!C52</f>
        <v>L 0001</v>
      </c>
      <c r="D52" s="505"/>
      <c r="E52" s="474"/>
      <c r="F52" s="474"/>
      <c r="G52" s="474"/>
      <c r="H52" s="474"/>
      <c r="I52" s="474"/>
      <c r="J52" s="475"/>
      <c r="K52" s="475"/>
      <c r="L52" s="478"/>
      <c r="M52" s="478"/>
      <c r="N52" s="478"/>
      <c r="O52" s="482" t="e">
        <f>+IF('(AS-400 Jembatan)'!M52=0," ",'(AS-400 Jembatan)'!M52+'(AS-400 Transfer)'!$Y52)</f>
        <v>#REF!</v>
      </c>
      <c r="P52" s="474" t="e">
        <f>+IF('(AS-400 Jembatan)'!N52=0," ",'(AS-400 Jembatan)'!N52+'(AS-400 Transfer)'!$Y52)</f>
        <v>#REF!</v>
      </c>
      <c r="Q52" s="483" t="e">
        <f>+IF('(AS-400 Jembatan)'!O52=0," ",'(AS-400 Jembatan)'!O52+'(AS-400 Transfer)'!$Y52)</f>
        <v>#REF!</v>
      </c>
      <c r="R52" s="474" t="e">
        <f>+IF('(AS-400 Jembatan)'!P52=0," ",'(AS-400 Jembatan)'!P52+'(AS-400 Transfer)'!$Y52)</f>
        <v>#REF!</v>
      </c>
      <c r="S52" s="474" t="e">
        <f>+IF('(AS-400 Jembatan)'!Q52=0," ",'(AS-400 Jembatan)'!Q52+'(AS-400 Transfer)'!$Y52)</f>
        <v>#REF!</v>
      </c>
      <c r="T52" s="474" t="e">
        <f>SUM(O52:O52)</f>
        <v>#REF!</v>
      </c>
      <c r="U52" s="474" t="e">
        <f>+'(AS-400 Jembatan)'!S52</f>
        <v>#REF!</v>
      </c>
      <c r="V52" s="474" t="e">
        <f>(U52-T52)/W52</f>
        <v>#REF!</v>
      </c>
      <c r="W52" s="478">
        <f>+COUNT(O52:O52)</f>
        <v>0</v>
      </c>
      <c r="X52" s="478" t="e">
        <f>+IF(V52&lt;0,(ROUNDDOWN(V52,0)),(ROUNDUP(V52,0)))</f>
        <v>#REF!</v>
      </c>
      <c r="Y52" s="488" t="e">
        <v>#DIV/0!</v>
      </c>
      <c r="Z52" s="482" t="e">
        <f>+IF('(AS-400 Jembatan)'!V52=0," ",'(AS-400 Jembatan)'!V52+'(AS-400 Transfer)'!$AJ52)</f>
        <v>#REF!</v>
      </c>
      <c r="AA52" s="494" t="e">
        <f>+IF('(AS-400 Jembatan)'!W52=0," ",'(AS-400 Jembatan)'!W52+'(AS-400 Transfer)'!$AJ52)</f>
        <v>#REF!</v>
      </c>
      <c r="AB52" s="483" t="e">
        <f>+IF('(AS-400 Jembatan)'!X52=0," ",'(AS-400 Jembatan)'!X52+'(AS-400 Transfer)'!$AJ52)</f>
        <v>#REF!</v>
      </c>
      <c r="AC52" s="474" t="e">
        <f>+IF('(AS-400 Jembatan)'!Y52=0," ",'(AS-400 Jembatan)'!Y52+'(AS-400 Transfer)'!$AJ52)</f>
        <v>#REF!</v>
      </c>
      <c r="AD52" s="474" t="str">
        <f>+IF('(AS-400 Jembatan)'!Z52=0," ",'(AS-400 Jembatan)'!Z52+'(AS-400 Transfer)'!$AJ52)</f>
        <v> </v>
      </c>
      <c r="AE52" s="474" t="e">
        <f>SUM(Z52:Z52)</f>
        <v>#REF!</v>
      </c>
      <c r="AF52" s="474" t="e">
        <f>+'(AS-400 Jembatan)'!AB52</f>
        <v>#REF!</v>
      </c>
      <c r="AG52" s="474" t="e">
        <f>(AF52-AE52)/AH52</f>
        <v>#REF!</v>
      </c>
      <c r="AH52" s="478">
        <f>+COUNT(Z52:Z52)</f>
        <v>0</v>
      </c>
      <c r="AI52" s="475" t="e">
        <f>+IF(AG52&lt;0,(ROUNDDOWN(AG52,0)),(ROUNDUP(AG52,0)))</f>
        <v>#REF!</v>
      </c>
      <c r="AJ52" s="481" t="e">
        <v>#DIV/0!</v>
      </c>
      <c r="AK52" s="482" t="e">
        <f>+IF('(AS-400 Jembatan)'!AE52=0," ",'(AS-400 Jembatan)'!AE52+'(AS-400 Transfer)'!$AU52)</f>
        <v>#REF!</v>
      </c>
      <c r="AL52" s="474" t="e">
        <f>+IF('(AS-400 Jembatan)'!AF52=0," ",'(AS-400 Jembatan)'!AF52+'(AS-400 Transfer)'!$AU52)</f>
        <v>#REF!</v>
      </c>
      <c r="AM52" s="483" t="e">
        <f>+IF('(AS-400 Jembatan)'!AG52=0," ",'(AS-400 Jembatan)'!AG52+'(AS-400 Transfer)'!$AU52)</f>
        <v>#REF!</v>
      </c>
      <c r="AN52" s="474" t="e">
        <f>+IF('(AS-400 Jembatan)'!AH52=0," ",'(AS-400 Jembatan)'!AH52+'(AS-400 Transfer)'!$AU52)</f>
        <v>#REF!</v>
      </c>
      <c r="AO52" s="474" t="str">
        <f>+IF('(AS-400 Jembatan)'!AI52=0," ",'(AS-400 Jembatan)'!AI52+'(AS-400 Transfer)'!$AU52)</f>
        <v> </v>
      </c>
      <c r="AP52" s="474" t="e">
        <f>SUM(AK52:AK52)</f>
        <v>#REF!</v>
      </c>
      <c r="AQ52" s="474" t="e">
        <f>+'(AS-400 Jembatan)'!AK52</f>
        <v>#REF!</v>
      </c>
      <c r="AR52" s="474" t="e">
        <f>(AQ52-AP52)/AS52</f>
        <v>#REF!</v>
      </c>
      <c r="AS52" s="478">
        <f>+COUNT(AK52:AK52)</f>
        <v>0</v>
      </c>
      <c r="AT52" s="478" t="e">
        <f>+IF(AR52&lt;0,(ROUNDDOWN(AR52,0)),(ROUNDUP(AR52,0)))</f>
        <v>#REF!</v>
      </c>
      <c r="AU52" s="478" t="e">
        <v>#DIV/0!</v>
      </c>
      <c r="AV52" s="482" t="e">
        <f>+IF('(AS-400 Jembatan)'!AN52=0," ",'(AS-400 Jembatan)'!AN52+'(AS-400 Transfer)'!$BF52)</f>
        <v>#REF!</v>
      </c>
      <c r="AW52" s="474" t="e">
        <f>+IF('(AS-400 Jembatan)'!AO52=0," ",'(AS-400 Jembatan)'!AO52+'(AS-400 Transfer)'!$BF52)</f>
        <v>#REF!</v>
      </c>
      <c r="AX52" s="483" t="e">
        <f>+IF('(AS-400 Jembatan)'!AP52=0," ",'(AS-400 Jembatan)'!AP52+'(AS-400 Transfer)'!$BF52)</f>
        <v>#REF!</v>
      </c>
      <c r="AY52" s="474" t="e">
        <f>+IF('(AS-400 Jembatan)'!AQ52=0," ",'(AS-400 Jembatan)'!AQ52+'(AS-400 Transfer)'!$BF52)</f>
        <v>#REF!</v>
      </c>
      <c r="AZ52" s="474" t="e">
        <f>+IF('(AS-400 Jembatan)'!AR52=0," ",'(AS-400 Jembatan)'!AR52+'(AS-400 Transfer)'!$BF52)</f>
        <v>#REF!</v>
      </c>
      <c r="BA52" s="474" t="e">
        <f>SUM(AV52:AV52)</f>
        <v>#REF!</v>
      </c>
      <c r="BB52" s="474" t="e">
        <f>+GUM!Z58</f>
        <v>#REF!</v>
      </c>
      <c r="BC52" s="474" t="e">
        <f>(BB52-BA52)/BD52</f>
        <v>#REF!</v>
      </c>
      <c r="BD52" s="478">
        <f>+COUNT(AV52:AV52)</f>
        <v>0</v>
      </c>
      <c r="BE52" s="478" t="e">
        <f>+IF(BC52&lt;0,(ROUNDDOWN(BC52,0)),(ROUNDUP(BC52,0)))</f>
        <v>#REF!</v>
      </c>
      <c r="BF52" s="488" t="e">
        <v>#DIV/0!</v>
      </c>
      <c r="BG52" s="482" t="e">
        <f>+IF('(AS-400 Jembatan)'!AW52=0," ",'(AS-400 Jembatan)'!AW52+'(AS-400 Transfer)'!$BQ52)</f>
        <v>#REF!</v>
      </c>
      <c r="BH52" s="474" t="e">
        <f>+IF('(AS-400 Jembatan)'!AX52=0," ",'(AS-400 Jembatan)'!AX52+'(AS-400 Transfer)'!$BQ52)</f>
        <v>#REF!</v>
      </c>
      <c r="BI52" s="483" t="e">
        <f>+IF('(AS-400 Jembatan)'!AY52=0," ",'(AS-400 Jembatan)'!AY52+'(AS-400 Transfer)'!$BQ52)</f>
        <v>#REF!</v>
      </c>
      <c r="BJ52" s="474" t="e">
        <f>+IF('(AS-400 Jembatan)'!AZ52=0," ",'(AS-400 Jembatan)'!AZ52+'(AS-400 Transfer)'!$BQ52)</f>
        <v>#REF!</v>
      </c>
      <c r="BK52" s="474" t="str">
        <f>+IF('(AS-400 Jembatan)'!BA52=0," ",'(AS-400 Jembatan)'!BA52+'(AS-400 Transfer)'!$BQ52)</f>
        <v> </v>
      </c>
      <c r="BL52" s="474" t="e">
        <f>SUM(BG52:BG52)</f>
        <v>#REF!</v>
      </c>
      <c r="BM52" s="474" t="e">
        <f>+'(AS-400 Jembatan)'!BC52</f>
        <v>#REF!</v>
      </c>
      <c r="BN52" s="474" t="e">
        <f>(BM52-BL52)/BO52</f>
        <v>#REF!</v>
      </c>
      <c r="BO52" s="478">
        <f>+COUNT(BG52:BG52)</f>
        <v>0</v>
      </c>
      <c r="BP52" s="478" t="e">
        <f>+IF(BN52&lt;0,(ROUNDDOWN(BN52,0)),(ROUNDUP(BN52,0)))</f>
        <v>#REF!</v>
      </c>
      <c r="BQ52" s="488" t="e">
        <v>#DIV/0!</v>
      </c>
    </row>
    <row r="53" spans="1:142" customHeight="1" ht="15.75" s="473" customFormat="1">
      <c r="A53" s="1294"/>
      <c r="B53" s="1038" t="str">
        <f>+GUM!C59</f>
        <v>82115-0E460 L</v>
      </c>
      <c r="C53" s="496" t="str">
        <f>'(AS-400 Jembatan)'!C53</f>
        <v>L 0001</v>
      </c>
      <c r="D53" s="505"/>
      <c r="E53" s="474"/>
      <c r="F53" s="474"/>
      <c r="G53" s="474"/>
      <c r="H53" s="474"/>
      <c r="I53" s="474"/>
      <c r="J53" s="475"/>
      <c r="K53" s="475"/>
      <c r="L53" s="478"/>
      <c r="M53" s="478"/>
      <c r="N53" s="478"/>
      <c r="O53" s="482" t="e">
        <f>+IF('(AS-400 Jembatan)'!M53=0," ",'(AS-400 Jembatan)'!M53+'(AS-400 Transfer)'!$Y53)</f>
        <v>#REF!</v>
      </c>
      <c r="P53" s="474" t="e">
        <f>+IF('(AS-400 Jembatan)'!N53=0," ",'(AS-400 Jembatan)'!N53+'(AS-400 Transfer)'!$Y53)</f>
        <v>#REF!</v>
      </c>
      <c r="Q53" s="483" t="e">
        <f>+IF('(AS-400 Jembatan)'!O53=0," ",'(AS-400 Jembatan)'!O53+'(AS-400 Transfer)'!$Y53)</f>
        <v>#REF!</v>
      </c>
      <c r="R53" s="474" t="e">
        <f>+IF('(AS-400 Jembatan)'!P53=0," ",'(AS-400 Jembatan)'!P53+'(AS-400 Transfer)'!$Y53)</f>
        <v>#REF!</v>
      </c>
      <c r="S53" s="474" t="e">
        <f>+IF('(AS-400 Jembatan)'!Q53=0," ",'(AS-400 Jembatan)'!Q53+'(AS-400 Transfer)'!$Y53)</f>
        <v>#REF!</v>
      </c>
      <c r="T53" s="474" t="e">
        <f>SUM(O53:O53)</f>
        <v>#REF!</v>
      </c>
      <c r="U53" s="474" t="e">
        <f>+'(AS-400 Jembatan)'!S53</f>
        <v>#REF!</v>
      </c>
      <c r="V53" s="474" t="e">
        <f>(U53-T53)/W53</f>
        <v>#REF!</v>
      </c>
      <c r="W53" s="478">
        <f>+COUNT(O53:O53)</f>
        <v>0</v>
      </c>
      <c r="X53" s="478" t="e">
        <f>+IF(V53&lt;0,(ROUNDDOWN(V53,0)),(ROUNDUP(V53,0)))</f>
        <v>#REF!</v>
      </c>
      <c r="Y53" s="488" t="e">
        <v>#DIV/0!</v>
      </c>
      <c r="Z53" s="482" t="e">
        <f>+IF('(AS-400 Jembatan)'!V53=0," ",'(AS-400 Jembatan)'!V53+'(AS-400 Transfer)'!$AJ53)</f>
        <v>#REF!</v>
      </c>
      <c r="AA53" s="494" t="e">
        <f>+IF('(AS-400 Jembatan)'!W53=0," ",'(AS-400 Jembatan)'!W53+'(AS-400 Transfer)'!$AJ53)</f>
        <v>#REF!</v>
      </c>
      <c r="AB53" s="483" t="e">
        <f>+IF('(AS-400 Jembatan)'!X53=0," ",'(AS-400 Jembatan)'!X53+'(AS-400 Transfer)'!$AJ53)</f>
        <v>#REF!</v>
      </c>
      <c r="AC53" s="474" t="e">
        <f>+IF('(AS-400 Jembatan)'!Y53=0," ",'(AS-400 Jembatan)'!Y53+'(AS-400 Transfer)'!$AJ53)</f>
        <v>#REF!</v>
      </c>
      <c r="AD53" s="474" t="str">
        <f>+IF('(AS-400 Jembatan)'!Z53=0," ",'(AS-400 Jembatan)'!Z53+'(AS-400 Transfer)'!$AJ53)</f>
        <v> </v>
      </c>
      <c r="AE53" s="474" t="e">
        <f>SUM(Z53:Z53)</f>
        <v>#REF!</v>
      </c>
      <c r="AF53" s="474" t="e">
        <f>+'(AS-400 Jembatan)'!AB53</f>
        <v>#REF!</v>
      </c>
      <c r="AG53" s="474" t="e">
        <f>(AF53-AE53)/AH53</f>
        <v>#REF!</v>
      </c>
      <c r="AH53" s="478">
        <f>+COUNT(Z53:Z53)</f>
        <v>0</v>
      </c>
      <c r="AI53" s="475" t="e">
        <f>+IF(AG53&lt;0,(ROUNDDOWN(AG53,0)),(ROUNDUP(AG53,0)))</f>
        <v>#REF!</v>
      </c>
      <c r="AJ53" s="481" t="e">
        <v>#DIV/0!</v>
      </c>
      <c r="AK53" s="482" t="e">
        <f>+IF('(AS-400 Jembatan)'!AE53=0," ",'(AS-400 Jembatan)'!AE53+'(AS-400 Transfer)'!$AU53)</f>
        <v>#REF!</v>
      </c>
      <c r="AL53" s="474" t="e">
        <f>+IF('(AS-400 Jembatan)'!AF53=0," ",'(AS-400 Jembatan)'!AF53+'(AS-400 Transfer)'!$AU53)</f>
        <v>#REF!</v>
      </c>
      <c r="AM53" s="483" t="e">
        <f>+IF('(AS-400 Jembatan)'!AG53=0," ",'(AS-400 Jembatan)'!AG53+'(AS-400 Transfer)'!$AU53)</f>
        <v>#REF!</v>
      </c>
      <c r="AN53" s="474" t="e">
        <f>+IF('(AS-400 Jembatan)'!AH53=0," ",'(AS-400 Jembatan)'!AH53+'(AS-400 Transfer)'!$AU53)</f>
        <v>#REF!</v>
      </c>
      <c r="AO53" s="474" t="str">
        <f>+IF('(AS-400 Jembatan)'!AI53=0," ",'(AS-400 Jembatan)'!AI53+'(AS-400 Transfer)'!$AU53)</f>
        <v> </v>
      </c>
      <c r="AP53" s="474" t="e">
        <f>SUM(AK53:AK53)</f>
        <v>#REF!</v>
      </c>
      <c r="AQ53" s="474" t="e">
        <f>+'(AS-400 Jembatan)'!AK53</f>
        <v>#REF!</v>
      </c>
      <c r="AR53" s="474" t="e">
        <f>(AQ53-AP53)/AS53</f>
        <v>#REF!</v>
      </c>
      <c r="AS53" s="478">
        <f>+COUNT(AK53:AK53)</f>
        <v>0</v>
      </c>
      <c r="AT53" s="478" t="e">
        <f>+IF(AR53&lt;0,(ROUNDDOWN(AR53,0)),(ROUNDUP(AR53,0)))</f>
        <v>#REF!</v>
      </c>
      <c r="AU53" s="478" t="e">
        <v>#DIV/0!</v>
      </c>
      <c r="AV53" s="482" t="e">
        <f>+IF('(AS-400 Jembatan)'!AN53=0," ",'(AS-400 Jembatan)'!AN53+'(AS-400 Transfer)'!$BF53)</f>
        <v>#REF!</v>
      </c>
      <c r="AW53" s="474" t="e">
        <f>+IF('(AS-400 Jembatan)'!AO53=0," ",'(AS-400 Jembatan)'!AO53+'(AS-400 Transfer)'!$BF53)</f>
        <v>#REF!</v>
      </c>
      <c r="AX53" s="483" t="e">
        <f>+IF('(AS-400 Jembatan)'!AP53=0," ",'(AS-400 Jembatan)'!AP53+'(AS-400 Transfer)'!$BF53)</f>
        <v>#REF!</v>
      </c>
      <c r="AY53" s="474" t="e">
        <f>+IF('(AS-400 Jembatan)'!AQ53=0," ",'(AS-400 Jembatan)'!AQ53+'(AS-400 Transfer)'!$BF53)</f>
        <v>#REF!</v>
      </c>
      <c r="AZ53" s="474" t="e">
        <f>+IF('(AS-400 Jembatan)'!AR53=0," ",'(AS-400 Jembatan)'!AR53+'(AS-400 Transfer)'!$BF53)</f>
        <v>#REF!</v>
      </c>
      <c r="BA53" s="474" t="e">
        <f>SUM(AV53:AV53)</f>
        <v>#REF!</v>
      </c>
      <c r="BB53" s="474" t="e">
        <f>+GUM!Z59</f>
        <v>#REF!</v>
      </c>
      <c r="BC53" s="474" t="e">
        <f>(BB53-BA53)/BD53</f>
        <v>#REF!</v>
      </c>
      <c r="BD53" s="478">
        <f>+COUNT(AV53:AV53)</f>
        <v>0</v>
      </c>
      <c r="BE53" s="478" t="e">
        <f>+IF(BC53&lt;0,(ROUNDDOWN(BC53,0)),(ROUNDUP(BC53,0)))</f>
        <v>#REF!</v>
      </c>
      <c r="BF53" s="488" t="e">
        <v>#DIV/0!</v>
      </c>
      <c r="BG53" s="482" t="e">
        <f>+IF('(AS-400 Jembatan)'!AW53=0," ",'(AS-400 Jembatan)'!AW53+'(AS-400 Transfer)'!$BQ53)</f>
        <v>#REF!</v>
      </c>
      <c r="BH53" s="474" t="e">
        <f>+IF('(AS-400 Jembatan)'!AX53=0," ",'(AS-400 Jembatan)'!AX53+'(AS-400 Transfer)'!$BQ53)</f>
        <v>#REF!</v>
      </c>
      <c r="BI53" s="483" t="e">
        <f>+IF('(AS-400 Jembatan)'!AY53=0," ",'(AS-400 Jembatan)'!AY53+'(AS-400 Transfer)'!$BQ53)</f>
        <v>#REF!</v>
      </c>
      <c r="BJ53" s="474" t="e">
        <f>+IF('(AS-400 Jembatan)'!AZ53=0," ",'(AS-400 Jembatan)'!AZ53+'(AS-400 Transfer)'!$BQ53)</f>
        <v>#REF!</v>
      </c>
      <c r="BK53" s="474" t="str">
        <f>+IF('(AS-400 Jembatan)'!BA53=0," ",'(AS-400 Jembatan)'!BA53+'(AS-400 Transfer)'!$BQ53)</f>
        <v> </v>
      </c>
      <c r="BL53" s="474" t="e">
        <f>SUM(BG53:BG53)</f>
        <v>#REF!</v>
      </c>
      <c r="BM53" s="474" t="e">
        <f>+'(AS-400 Jembatan)'!BC53</f>
        <v>#REF!</v>
      </c>
      <c r="BN53" s="474" t="e">
        <f>(BM53-BL53)/BO53</f>
        <v>#REF!</v>
      </c>
      <c r="BO53" s="478">
        <f>+COUNT(BG53:BG53)</f>
        <v>0</v>
      </c>
      <c r="BP53" s="478" t="e">
        <f>+IF(BN53&lt;0,(ROUNDDOWN(BN53,0)),(ROUNDUP(BN53,0)))</f>
        <v>#REF!</v>
      </c>
      <c r="BQ53" s="488" t="e">
        <v>#DIV/0!</v>
      </c>
    </row>
    <row r="54" spans="1:142" customHeight="1" ht="16.5" s="938" customFormat="1">
      <c r="A54" s="1294"/>
      <c r="B54" s="1039" t="str">
        <f>+GUM!C60</f>
        <v>82115-0EA00 L</v>
      </c>
      <c r="C54" s="807" t="str">
        <f>'(AS-400 Jembatan)'!C54</f>
        <v>L 0001</v>
      </c>
      <c r="D54" s="818"/>
      <c r="E54" s="819"/>
      <c r="F54" s="819"/>
      <c r="G54" s="819"/>
      <c r="H54" s="819"/>
      <c r="I54" s="819"/>
      <c r="J54" s="820"/>
      <c r="K54" s="820"/>
      <c r="L54" s="821"/>
      <c r="M54" s="821"/>
      <c r="N54" s="821"/>
      <c r="O54" s="822" t="e">
        <f>+IF('(AS-400 Jembatan)'!M54=0," ",'(AS-400 Jembatan)'!M54+'(AS-400 Transfer)'!$Y54)</f>
        <v>#REF!</v>
      </c>
      <c r="P54" s="819" t="e">
        <f>+IF('(AS-400 Jembatan)'!N54=0," ",'(AS-400 Jembatan)'!N54+'(AS-400 Transfer)'!$Y54)</f>
        <v>#REF!</v>
      </c>
      <c r="Q54" s="823" t="e">
        <f>+IF('(AS-400 Jembatan)'!O54=0," ",'(AS-400 Jembatan)'!O54+'(AS-400 Transfer)'!$Y54)</f>
        <v>#REF!</v>
      </c>
      <c r="R54" s="819" t="e">
        <f>+IF('(AS-400 Jembatan)'!P54=0," ",'(AS-400 Jembatan)'!P54+'(AS-400 Transfer)'!$Y54)</f>
        <v>#REF!</v>
      </c>
      <c r="S54" s="819" t="e">
        <f>+IF('(AS-400 Jembatan)'!Q54=0," ",'(AS-400 Jembatan)'!Q54+'(AS-400 Transfer)'!$Y54)</f>
        <v>#REF!</v>
      </c>
      <c r="T54" s="809" t="e">
        <f>SUM(O54:O54)</f>
        <v>#REF!</v>
      </c>
      <c r="U54" s="809" t="e">
        <f>+'(AS-400 Jembatan)'!S54</f>
        <v>#REF!</v>
      </c>
      <c r="V54" s="819" t="e">
        <f>(U54-T54)/W54</f>
        <v>#REF!</v>
      </c>
      <c r="W54" s="821">
        <f>+COUNT(O54:O54)</f>
        <v>0</v>
      </c>
      <c r="X54" s="821" t="e">
        <f>+IF(V54&lt;0,(ROUNDDOWN(V54,0)),(ROUNDUP(V54,0)))</f>
        <v>#REF!</v>
      </c>
      <c r="Y54" s="824" t="e">
        <v>#DIV/0!</v>
      </c>
      <c r="Z54" s="822" t="e">
        <f>+IF('(AS-400 Jembatan)'!V54=0," ",'(AS-400 Jembatan)'!V54+'(AS-400 Transfer)'!$AJ54)</f>
        <v>#REF!</v>
      </c>
      <c r="AA54" s="825" t="e">
        <f>+IF('(AS-400 Jembatan)'!W54=0," ",'(AS-400 Jembatan)'!W54+'(AS-400 Transfer)'!$AJ54)</f>
        <v>#REF!</v>
      </c>
      <c r="AB54" s="823" t="e">
        <f>+IF('(AS-400 Jembatan)'!X54=0," ",'(AS-400 Jembatan)'!X54+'(AS-400 Transfer)'!$AJ54)</f>
        <v>#REF!</v>
      </c>
      <c r="AC54" s="819" t="e">
        <f>+IF('(AS-400 Jembatan)'!Y54=0," ",'(AS-400 Jembatan)'!Y54+'(AS-400 Transfer)'!$AJ54)</f>
        <v>#REF!</v>
      </c>
      <c r="AD54" s="819" t="str">
        <f>+IF('(AS-400 Jembatan)'!Z54=0," ",'(AS-400 Jembatan)'!Z54+'(AS-400 Transfer)'!$AJ54)</f>
        <v> </v>
      </c>
      <c r="AE54" s="819" t="e">
        <f>SUM(Z54:Z54)</f>
        <v>#REF!</v>
      </c>
      <c r="AF54" s="819" t="e">
        <f>+'(AS-400 Jembatan)'!AB54</f>
        <v>#REF!</v>
      </c>
      <c r="AG54" s="819" t="e">
        <f>(AF54-AE54)/AH54</f>
        <v>#REF!</v>
      </c>
      <c r="AH54" s="821">
        <f>+COUNT(Z54:Z54)</f>
        <v>0</v>
      </c>
      <c r="AI54" s="820" t="e">
        <f>+IF(AG54&lt;0,(ROUNDDOWN(AG54,0)),(ROUNDUP(AG54,0)))</f>
        <v>#REF!</v>
      </c>
      <c r="AJ54" s="826" t="e">
        <v>#DIV/0!</v>
      </c>
      <c r="AK54" s="822" t="e">
        <f>+IF('(AS-400 Jembatan)'!AE54=0," ",'(AS-400 Jembatan)'!AE54+'(AS-400 Transfer)'!$AU54)</f>
        <v>#REF!</v>
      </c>
      <c r="AL54" s="819" t="e">
        <f>+IF('(AS-400 Jembatan)'!AF54=0," ",'(AS-400 Jembatan)'!AF54+'(AS-400 Transfer)'!$AU54)</f>
        <v>#REF!</v>
      </c>
      <c r="AM54" s="823" t="e">
        <f>+IF('(AS-400 Jembatan)'!AG54=0," ",'(AS-400 Jembatan)'!AG54+'(AS-400 Transfer)'!$AU54)</f>
        <v>#REF!</v>
      </c>
      <c r="AN54" s="819" t="e">
        <f>+IF('(AS-400 Jembatan)'!AH54=0," ",'(AS-400 Jembatan)'!AH54+'(AS-400 Transfer)'!$AU54)</f>
        <v>#REF!</v>
      </c>
      <c r="AO54" s="819" t="str">
        <f>+IF('(AS-400 Jembatan)'!AI54=0," ",'(AS-400 Jembatan)'!AI54+'(AS-400 Transfer)'!$AU54)</f>
        <v> </v>
      </c>
      <c r="AP54" s="819" t="e">
        <f>SUM(AK54:AK54)</f>
        <v>#REF!</v>
      </c>
      <c r="AQ54" s="819" t="e">
        <f>+'(AS-400 Jembatan)'!AK54</f>
        <v>#REF!</v>
      </c>
      <c r="AR54" s="819" t="e">
        <f>(AQ54-AP54)/AS54</f>
        <v>#REF!</v>
      </c>
      <c r="AS54" s="811">
        <f>+COUNT(AK54:AK54)</f>
        <v>0</v>
      </c>
      <c r="AT54" s="821" t="e">
        <f>+IF(AR54&lt;0,(ROUNDDOWN(AR54,0)),(ROUNDUP(AR54,0)))</f>
        <v>#REF!</v>
      </c>
      <c r="AU54" s="821" t="e">
        <v>#DIV/0!</v>
      </c>
      <c r="AV54" s="822" t="e">
        <f>+IF('(AS-400 Jembatan)'!AN54=0," ",'(AS-400 Jembatan)'!AN54+'(AS-400 Transfer)'!$BF54)</f>
        <v>#REF!</v>
      </c>
      <c r="AW54" s="819" t="e">
        <f>+IF('(AS-400 Jembatan)'!AO54=0," ",'(AS-400 Jembatan)'!AO54+'(AS-400 Transfer)'!$BF54)</f>
        <v>#REF!</v>
      </c>
      <c r="AX54" s="823" t="e">
        <f>+IF('(AS-400 Jembatan)'!AP54=0," ",'(AS-400 Jembatan)'!AP54+'(AS-400 Transfer)'!$BF54)</f>
        <v>#REF!</v>
      </c>
      <c r="AY54" s="819" t="e">
        <f>+IF('(AS-400 Jembatan)'!AQ54=0," ",'(AS-400 Jembatan)'!AQ54+'(AS-400 Transfer)'!$BF54)</f>
        <v>#REF!</v>
      </c>
      <c r="AZ54" s="819" t="e">
        <f>+IF('(AS-400 Jembatan)'!AR54=0," ",'(AS-400 Jembatan)'!AR54+'(AS-400 Transfer)'!$BF54)</f>
        <v>#REF!</v>
      </c>
      <c r="BA54" s="819" t="e">
        <f>SUM(AV54:AV54)</f>
        <v>#REF!</v>
      </c>
      <c r="BB54" s="819" t="e">
        <f>+GUM!Z60</f>
        <v>#REF!</v>
      </c>
      <c r="BC54" s="819" t="e">
        <f>(BB54-BA54)/BD54</f>
        <v>#REF!</v>
      </c>
      <c r="BD54" s="821">
        <f>+COUNT(AV54:AV54)</f>
        <v>0</v>
      </c>
      <c r="BE54" s="821" t="e">
        <f>+IF(BC54&lt;0,(ROUNDDOWN(BC54,0)),(ROUNDUP(BC54,0)))</f>
        <v>#REF!</v>
      </c>
      <c r="BF54" s="824" t="e">
        <v>#DIV/0!</v>
      </c>
      <c r="BG54" s="812" t="e">
        <f>+IF('(AS-400 Jembatan)'!AW54=0," ",'(AS-400 Jembatan)'!AW54+'(AS-400 Transfer)'!$BQ54)</f>
        <v>#REF!</v>
      </c>
      <c r="BH54" s="809" t="e">
        <f>+IF('(AS-400 Jembatan)'!AX54=0," ",'(AS-400 Jembatan)'!AX54+'(AS-400 Transfer)'!$BQ54)</f>
        <v>#REF!</v>
      </c>
      <c r="BI54" s="813" t="e">
        <f>+IF('(AS-400 Jembatan)'!AY54=0," ",'(AS-400 Jembatan)'!AY54+'(AS-400 Transfer)'!$BQ54)</f>
        <v>#REF!</v>
      </c>
      <c r="BJ54" s="819" t="e">
        <f>+IF('(AS-400 Jembatan)'!AZ54=0," ",'(AS-400 Jembatan)'!AZ54+'(AS-400 Transfer)'!$BQ54)</f>
        <v>#REF!</v>
      </c>
      <c r="BK54" s="819" t="str">
        <f>+IF('(AS-400 Jembatan)'!BA54=0," ",'(AS-400 Jembatan)'!BA54+'(AS-400 Transfer)'!$BQ54)</f>
        <v> </v>
      </c>
      <c r="BL54" s="819" t="e">
        <f>SUM(BG54:BG54)</f>
        <v>#REF!</v>
      </c>
      <c r="BM54" s="819" t="e">
        <f>+'(AS-400 Jembatan)'!BC54</f>
        <v>#REF!</v>
      </c>
      <c r="BN54" s="819" t="e">
        <f>(BM54-BL54)/BO54</f>
        <v>#REF!</v>
      </c>
      <c r="BO54" s="821">
        <f>+COUNT(BG54:BG54)</f>
        <v>0</v>
      </c>
      <c r="BP54" s="821" t="e">
        <f>+IF(BN54&lt;0,(ROUNDDOWN(BN54,0)),(ROUNDUP(BN54,0)))</f>
        <v>#REF!</v>
      </c>
      <c r="BQ54" s="824" t="e">
        <v>#DIV/0!</v>
      </c>
    </row>
    <row r="55" spans="1:142" customHeight="1" ht="15.75" s="473" customFormat="1">
      <c r="A55" s="1294"/>
      <c r="B55" s="1037" t="str">
        <f>+'(AS-400 Jembatan)'!B55</f>
        <v>82115-0E440 M</v>
      </c>
      <c r="C55" s="725" t="str">
        <f>'(AS-400 Jembatan)'!C55</f>
        <v>M 0001</v>
      </c>
      <c r="D55" s="550"/>
      <c r="E55" s="476"/>
      <c r="F55" s="476"/>
      <c r="G55" s="476"/>
      <c r="H55" s="476"/>
      <c r="I55" s="476"/>
      <c r="J55" s="477"/>
      <c r="K55" s="477"/>
      <c r="L55" s="479"/>
      <c r="M55" s="479"/>
      <c r="N55" s="479"/>
      <c r="O55" s="484" t="e">
        <f>+IF('(AS-400 Jembatan)'!M55=0," ",'(AS-400 Jembatan)'!M55+'(AS-400 Transfer)'!$Y55)</f>
        <v>#REF!</v>
      </c>
      <c r="P55" s="476" t="e">
        <f>+IF('(AS-400 Jembatan)'!N55=0," ",'(AS-400 Jembatan)'!N55+'(AS-400 Transfer)'!$Y55)</f>
        <v>#REF!</v>
      </c>
      <c r="Q55" s="504" t="e">
        <f>+IF('(AS-400 Jembatan)'!O55=0," ",'(AS-400 Jembatan)'!O55+'(AS-400 Transfer)'!$Y55)</f>
        <v>#REF!</v>
      </c>
      <c r="R55" s="476" t="e">
        <f>+IF('(AS-400 Jembatan)'!P55=0," ",'(AS-400 Jembatan)'!P55+'(AS-400 Transfer)'!$Y55)</f>
        <v>#REF!</v>
      </c>
      <c r="S55" s="476" t="e">
        <f>+IF('(AS-400 Jembatan)'!Q55=0," ",'(AS-400 Jembatan)'!Q55+'(AS-400 Transfer)'!$Y55)</f>
        <v>#REF!</v>
      </c>
      <c r="T55" s="476" t="e">
        <f>SUM(O55:O55)</f>
        <v>#REF!</v>
      </c>
      <c r="U55" s="476" t="e">
        <f>+'(AS-400 Jembatan)'!S55</f>
        <v>#REF!</v>
      </c>
      <c r="V55" s="476" t="e">
        <f>(U55-T55)/W55</f>
        <v>#REF!</v>
      </c>
      <c r="W55" s="479">
        <f>+COUNT(O55:O55)</f>
        <v>0</v>
      </c>
      <c r="X55" s="479" t="e">
        <f>+IF(V55&lt;0,(ROUNDDOWN(V55,0)),(ROUNDUP(V55,0)))</f>
        <v>#REF!</v>
      </c>
      <c r="Y55" s="480">
        <v>-23</v>
      </c>
      <c r="Z55" s="484" t="e">
        <f>+IF('(AS-400 Jembatan)'!V55=0," ",'(AS-400 Jembatan)'!V55+'(AS-400 Transfer)'!$AJ55)</f>
        <v>#REF!</v>
      </c>
      <c r="AA55" s="500" t="e">
        <f>+IF('(AS-400 Jembatan)'!W55=0," ",'(AS-400 Jembatan)'!W55+'(AS-400 Transfer)'!$AJ55)</f>
        <v>#REF!</v>
      </c>
      <c r="AB55" s="504" t="e">
        <f>+IF('(AS-400 Jembatan)'!X55=0," ",'(AS-400 Jembatan)'!X55+'(AS-400 Transfer)'!$AJ55)</f>
        <v>#REF!</v>
      </c>
      <c r="AC55" s="829" t="e">
        <f>+IF('(AS-400 Jembatan)'!Y55=0," ",'(AS-400 Jembatan)'!Y55+'(AS-400 Transfer)'!$AJ55)</f>
        <v>#REF!</v>
      </c>
      <c r="AD55" s="829" t="str">
        <f>+IF('(AS-400 Jembatan)'!Z55=0," ",'(AS-400 Jembatan)'!Z55+'(AS-400 Transfer)'!$AJ55)</f>
        <v> </v>
      </c>
      <c r="AE55" s="476" t="e">
        <f>SUM(Z55:Z55)</f>
        <v>#REF!</v>
      </c>
      <c r="AF55" s="476" t="e">
        <f>+'(AS-400 Jembatan)'!AB55</f>
        <v>#REF!</v>
      </c>
      <c r="AG55" s="476" t="e">
        <f>(AF55-AE55)/AH55</f>
        <v>#REF!</v>
      </c>
      <c r="AH55" s="479">
        <f>+COUNT(Z55:Z55)</f>
        <v>0</v>
      </c>
      <c r="AI55" s="477" t="e">
        <f>+IF(AG55&lt;0,(ROUNDDOWN(AG55,0)),(ROUNDUP(AG55,0)))</f>
        <v>#REF!</v>
      </c>
      <c r="AJ55" s="487">
        <v>-22</v>
      </c>
      <c r="AK55" s="484" t="e">
        <f>+IF('(AS-400 Jembatan)'!AE55=0," ",'(AS-400 Jembatan)'!AE55+'(AS-400 Transfer)'!$AU55)</f>
        <v>#REF!</v>
      </c>
      <c r="AL55" s="476" t="e">
        <f>+IF('(AS-400 Jembatan)'!AF55=0," ",'(AS-400 Jembatan)'!AF55+'(AS-400 Transfer)'!$AU55)</f>
        <v>#REF!</v>
      </c>
      <c r="AM55" s="504" t="e">
        <f>+IF('(AS-400 Jembatan)'!AG55=0," ",'(AS-400 Jembatan)'!AG55+'(AS-400 Transfer)'!$AU55)</f>
        <v>#REF!</v>
      </c>
      <c r="AN55" s="476" t="e">
        <f>+IF('(AS-400 Jembatan)'!AH55=0," ",'(AS-400 Jembatan)'!AH55+'(AS-400 Transfer)'!$AU55)</f>
        <v>#REF!</v>
      </c>
      <c r="AO55" s="476" t="str">
        <f>+IF('(AS-400 Jembatan)'!AI55=0," ",'(AS-400 Jembatan)'!AI55+'(AS-400 Transfer)'!$AU55)</f>
        <v> </v>
      </c>
      <c r="AP55" s="476" t="e">
        <f>SUM(AK55:AK55)</f>
        <v>#REF!</v>
      </c>
      <c r="AQ55" s="476" t="e">
        <f>+'(AS-400 Jembatan)'!AK55</f>
        <v>#REF!</v>
      </c>
      <c r="AR55" s="476" t="e">
        <f>(AQ55-AP55)/AS55</f>
        <v>#REF!</v>
      </c>
      <c r="AS55" s="479">
        <f>+COUNT(AK55:AK55)</f>
        <v>0</v>
      </c>
      <c r="AT55" s="479" t="e">
        <f>+IF(AR55&lt;0,(ROUNDDOWN(AR55,0)),(ROUNDUP(AR55,0)))</f>
        <v>#REF!</v>
      </c>
      <c r="AU55" s="479">
        <v>52</v>
      </c>
      <c r="AV55" s="484" t="e">
        <f>+IF('(AS-400 Jembatan)'!AN55=0," ",'(AS-400 Jembatan)'!AN55+'(AS-400 Transfer)'!$BF55)</f>
        <v>#REF!</v>
      </c>
      <c r="AW55" s="476" t="e">
        <f>+IF('(AS-400 Jembatan)'!AO55=0," ",'(AS-400 Jembatan)'!AO55+'(AS-400 Transfer)'!$BF55)</f>
        <v>#REF!</v>
      </c>
      <c r="AX55" s="504" t="e">
        <f>+IF('(AS-400 Jembatan)'!AP55=0," ",'(AS-400 Jembatan)'!AP55+'(AS-400 Transfer)'!$BF55)</f>
        <v>#REF!</v>
      </c>
      <c r="AY55" s="476" t="e">
        <f>+IF('(AS-400 Jembatan)'!AQ55=0," ",'(AS-400 Jembatan)'!AQ55+'(AS-400 Transfer)'!$BF55)</f>
        <v>#REF!</v>
      </c>
      <c r="AZ55" s="476" t="e">
        <f>+IF('(AS-400 Jembatan)'!AR55=0," ",'(AS-400 Jembatan)'!AR55+'(AS-400 Transfer)'!$BF55)</f>
        <v>#REF!</v>
      </c>
      <c r="BA55" s="476" t="e">
        <f>SUM(AV55:AV55)</f>
        <v>#REF!</v>
      </c>
      <c r="BB55" s="476" t="e">
        <f>+GUM!Z61</f>
        <v>#REF!</v>
      </c>
      <c r="BC55" s="476" t="e">
        <f>(BB55-BA55)/BD55</f>
        <v>#REF!</v>
      </c>
      <c r="BD55" s="479">
        <f>+COUNT(AV55:AV55)</f>
        <v>0</v>
      </c>
      <c r="BE55" s="479" t="e">
        <f>+IF(BC55&lt;0,(ROUNDDOWN(BC55,0)),(ROUNDUP(BC55,0)))</f>
        <v>#REF!</v>
      </c>
      <c r="BF55" s="480">
        <v>-28</v>
      </c>
      <c r="BG55" s="484" t="e">
        <f>+IF('(AS-400 Jembatan)'!AW55=0," ",'(AS-400 Jembatan)'!AW55+'(AS-400 Transfer)'!$BQ55)</f>
        <v>#REF!</v>
      </c>
      <c r="BH55" s="476" t="e">
        <f>+IF('(AS-400 Jembatan)'!AX55=0," ",'(AS-400 Jembatan)'!AX55+'(AS-400 Transfer)'!$BQ55)</f>
        <v>#REF!</v>
      </c>
      <c r="BI55" s="504" t="e">
        <f>+IF('(AS-400 Jembatan)'!AY55=0," ",'(AS-400 Jembatan)'!AY55+'(AS-400 Transfer)'!$BQ55)</f>
        <v>#REF!</v>
      </c>
      <c r="BJ55" s="476" t="e">
        <f>+IF('(AS-400 Jembatan)'!AZ55=0," ",'(AS-400 Jembatan)'!AZ55+'(AS-400 Transfer)'!$BQ55)</f>
        <v>#REF!</v>
      </c>
      <c r="BK55" s="476" t="str">
        <f>+IF('(AS-400 Jembatan)'!BA55=0," ",'(AS-400 Jembatan)'!BA55+'(AS-400 Transfer)'!$BQ55)</f>
        <v> </v>
      </c>
      <c r="BL55" s="476" t="e">
        <f>SUM(BG55:BG55)</f>
        <v>#REF!</v>
      </c>
      <c r="BM55" s="476" t="e">
        <f>+'(AS-400 Jembatan)'!BC55</f>
        <v>#REF!</v>
      </c>
      <c r="BN55" s="476" t="e">
        <f>(BM55-BL55)/BO55</f>
        <v>#REF!</v>
      </c>
      <c r="BO55" s="479">
        <f>+COUNT(BG55:BG55)</f>
        <v>0</v>
      </c>
      <c r="BP55" s="479" t="e">
        <f>+IF(BN55&lt;0,(ROUNDDOWN(BN55,0)),(ROUNDUP(BN55,0)))</f>
        <v>#REF!</v>
      </c>
      <c r="BQ55" s="480">
        <v>-45</v>
      </c>
      <c r="BR55" s="473" t="str">
        <f>+GUM!C61</f>
        <v>82115-0E440 M</v>
      </c>
    </row>
    <row r="56" spans="1:142" customHeight="1" ht="15.75" s="473" customFormat="1">
      <c r="A56" s="1294"/>
      <c r="B56" s="1038" t="str">
        <f>+'(AS-400 Jembatan)'!B56</f>
        <v>82115-0E450 M</v>
      </c>
      <c r="C56" s="496" t="str">
        <f>'(AS-400 Jembatan)'!C56</f>
        <v>M 0001</v>
      </c>
      <c r="D56" s="505"/>
      <c r="E56" s="474"/>
      <c r="F56" s="474"/>
      <c r="G56" s="474"/>
      <c r="H56" s="474"/>
      <c r="I56" s="474"/>
      <c r="J56" s="475"/>
      <c r="K56" s="475"/>
      <c r="L56" s="478"/>
      <c r="M56" s="478"/>
      <c r="N56" s="478"/>
      <c r="O56" s="482" t="e">
        <f>+IF('(AS-400 Jembatan)'!M56=0," ",'(AS-400 Jembatan)'!M56+'(AS-400 Transfer)'!$Y56)</f>
        <v>#REF!</v>
      </c>
      <c r="P56" s="474" t="e">
        <f>+IF('(AS-400 Jembatan)'!N56=0," ",'(AS-400 Jembatan)'!N56+'(AS-400 Transfer)'!$Y56)</f>
        <v>#REF!</v>
      </c>
      <c r="Q56" s="483" t="e">
        <f>+IF('(AS-400 Jembatan)'!O56=0," ",'(AS-400 Jembatan)'!O56+'(AS-400 Transfer)'!$Y56)</f>
        <v>#REF!</v>
      </c>
      <c r="R56" s="474" t="e">
        <f>+IF('(AS-400 Jembatan)'!P56=0," ",'(AS-400 Jembatan)'!P56+'(AS-400 Transfer)'!$Y56)</f>
        <v>#REF!</v>
      </c>
      <c r="S56" s="474" t="e">
        <f>+IF('(AS-400 Jembatan)'!Q56=0," ",'(AS-400 Jembatan)'!Q56+'(AS-400 Transfer)'!$Y56)</f>
        <v>#REF!</v>
      </c>
      <c r="T56" s="474" t="e">
        <f>SUM(O56:O56)</f>
        <v>#REF!</v>
      </c>
      <c r="U56" s="474" t="e">
        <f>+'(AS-400 Jembatan)'!S56</f>
        <v>#REF!</v>
      </c>
      <c r="V56" s="474" t="e">
        <f>(U56-T56)/W56</f>
        <v>#REF!</v>
      </c>
      <c r="W56" s="478">
        <f>+COUNT(O56:O56)</f>
        <v>0</v>
      </c>
      <c r="X56" s="478" t="e">
        <f>+IF(V56&lt;0,(ROUNDDOWN(V56,0)),(ROUNDUP(V56,0)))</f>
        <v>#REF!</v>
      </c>
      <c r="Y56" s="488">
        <v>-25</v>
      </c>
      <c r="Z56" s="837" t="e">
        <f>+IF('(AS-400 Jembatan)'!V56=0," ",'(AS-400 Jembatan)'!V56+'(AS-400 Transfer)'!$AJ56)</f>
        <v>#REF!</v>
      </c>
      <c r="AA56" s="838" t="e">
        <f>+IF('(AS-400 Jembatan)'!W56=0," ",'(AS-400 Jembatan)'!W56+'(AS-400 Transfer)'!$AJ56)</f>
        <v>#REF!</v>
      </c>
      <c r="AB56" s="839" t="e">
        <f>+IF('(AS-400 Jembatan)'!X56=0," ",'(AS-400 Jembatan)'!X56+'(AS-400 Transfer)'!$AJ56)</f>
        <v>#REF!</v>
      </c>
      <c r="AC56" s="830" t="e">
        <f>+IF('(AS-400 Jembatan)'!Y56=0," ",'(AS-400 Jembatan)'!Y56+'(AS-400 Transfer)'!$AJ56)</f>
        <v>#REF!</v>
      </c>
      <c r="AD56" s="830" t="str">
        <f>+IF('(AS-400 Jembatan)'!Z56=0," ",'(AS-400 Jembatan)'!Z56+'(AS-400 Transfer)'!$AJ56)</f>
        <v> </v>
      </c>
      <c r="AE56" s="474" t="e">
        <f>SUM(Z56:Z56)</f>
        <v>#REF!</v>
      </c>
      <c r="AF56" s="474" t="e">
        <f>+'(AS-400 Jembatan)'!AB56</f>
        <v>#REF!</v>
      </c>
      <c r="AG56" s="474" t="e">
        <f>(AF56-AE56)/AH56</f>
        <v>#REF!</v>
      </c>
      <c r="AH56" s="478">
        <f>+COUNT(Z56:Z56)</f>
        <v>0</v>
      </c>
      <c r="AI56" s="475" t="e">
        <f>+IF(AG56&lt;0,(ROUNDDOWN(AG56,0)),(ROUNDUP(AG56,0)))</f>
        <v>#REF!</v>
      </c>
      <c r="AJ56" s="481">
        <v>0.0</v>
      </c>
      <c r="AK56" s="482" t="e">
        <f>+IF('(AS-400 Jembatan)'!AE56=0," ",'(AS-400 Jembatan)'!AE56+'(AS-400 Transfer)'!$AU56)</f>
        <v>#REF!</v>
      </c>
      <c r="AL56" s="474" t="e">
        <f>+IF('(AS-400 Jembatan)'!AF56=0," ",'(AS-400 Jembatan)'!AF56+'(AS-400 Transfer)'!$AU56)</f>
        <v>#REF!</v>
      </c>
      <c r="AM56" s="483" t="e">
        <f>+IF('(AS-400 Jembatan)'!AG56=0," ",'(AS-400 Jembatan)'!AG56+'(AS-400 Transfer)'!$AU56)</f>
        <v>#REF!</v>
      </c>
      <c r="AN56" s="474" t="e">
        <f>+IF('(AS-400 Jembatan)'!AH56=0," ",'(AS-400 Jembatan)'!AH56+'(AS-400 Transfer)'!$AU56)</f>
        <v>#REF!</v>
      </c>
      <c r="AO56" s="474" t="str">
        <f>+IF('(AS-400 Jembatan)'!AI56=0," ",'(AS-400 Jembatan)'!AI56+'(AS-400 Transfer)'!$AU56)</f>
        <v> </v>
      </c>
      <c r="AP56" s="474" t="e">
        <f>SUM(AK56:AK56)</f>
        <v>#REF!</v>
      </c>
      <c r="AQ56" s="474" t="e">
        <f>+'(AS-400 Jembatan)'!AK56</f>
        <v>#REF!</v>
      </c>
      <c r="AR56" s="474" t="e">
        <f>(AQ56-AP56)/AS56</f>
        <v>#REF!</v>
      </c>
      <c r="AS56" s="478">
        <f>+COUNT(AK56:AK56)</f>
        <v>0</v>
      </c>
      <c r="AT56" s="478" t="e">
        <f>+IF(AR56&lt;0,(ROUNDDOWN(AR56,0)),(ROUNDUP(AR56,0)))</f>
        <v>#REF!</v>
      </c>
      <c r="AU56" s="478">
        <v>0.0</v>
      </c>
      <c r="AV56" s="482" t="e">
        <f>+IF('(AS-400 Jembatan)'!AN56=0," ",'(AS-400 Jembatan)'!AN56+'(AS-400 Transfer)'!$BF56)</f>
        <v>#REF!</v>
      </c>
      <c r="AW56" s="474" t="e">
        <f>+IF('(AS-400 Jembatan)'!AO56=0," ",'(AS-400 Jembatan)'!AO56+'(AS-400 Transfer)'!$BF56)</f>
        <v>#REF!</v>
      </c>
      <c r="AX56" s="483" t="e">
        <f>+IF('(AS-400 Jembatan)'!AP56=0," ",'(AS-400 Jembatan)'!AP56+'(AS-400 Transfer)'!$BF56)</f>
        <v>#REF!</v>
      </c>
      <c r="AY56" s="474" t="e">
        <f>+IF('(AS-400 Jembatan)'!AQ56=0," ",'(AS-400 Jembatan)'!AQ56+'(AS-400 Transfer)'!$BF56)</f>
        <v>#REF!</v>
      </c>
      <c r="AZ56" s="474" t="e">
        <f>+IF('(AS-400 Jembatan)'!AR56=0," ",'(AS-400 Jembatan)'!AR56+'(AS-400 Transfer)'!$BF56)</f>
        <v>#REF!</v>
      </c>
      <c r="BA56" s="474" t="e">
        <f>SUM(AV56:AV56)</f>
        <v>#REF!</v>
      </c>
      <c r="BB56" s="474" t="e">
        <f>+GUM!Z62</f>
        <v>#REF!</v>
      </c>
      <c r="BC56" s="474" t="e">
        <f>(BB56-BA56)/BD56</f>
        <v>#REF!</v>
      </c>
      <c r="BD56" s="478">
        <f>+COUNT(AV56:AV56)</f>
        <v>0</v>
      </c>
      <c r="BE56" s="478" t="e">
        <f>+IF(BC56&lt;0,(ROUNDDOWN(BC56,0)),(ROUNDUP(BC56,0)))</f>
        <v>#REF!</v>
      </c>
      <c r="BF56" s="488">
        <v>0.0</v>
      </c>
      <c r="BG56" s="482" t="e">
        <f>+IF('(AS-400 Jembatan)'!AW56=0," ",'(AS-400 Jembatan)'!AW56+'(AS-400 Transfer)'!$BQ56)</f>
        <v>#REF!</v>
      </c>
      <c r="BH56" s="474" t="e">
        <f>+IF('(AS-400 Jembatan)'!AX56=0," ",'(AS-400 Jembatan)'!AX56+'(AS-400 Transfer)'!$BQ56)</f>
        <v>#REF!</v>
      </c>
      <c r="BI56" s="483" t="e">
        <f>+IF('(AS-400 Jembatan)'!AY56=0," ",'(AS-400 Jembatan)'!AY56+'(AS-400 Transfer)'!$BQ56)</f>
        <v>#REF!</v>
      </c>
      <c r="BJ56" s="474" t="e">
        <f>+IF('(AS-400 Jembatan)'!AZ56=0," ",'(AS-400 Jembatan)'!AZ56+'(AS-400 Transfer)'!$BQ56)</f>
        <v>#REF!</v>
      </c>
      <c r="BK56" s="474" t="str">
        <f>+IF('(AS-400 Jembatan)'!BA56=0," ",'(AS-400 Jembatan)'!BA56+'(AS-400 Transfer)'!$BQ56)</f>
        <v> </v>
      </c>
      <c r="BL56" s="474" t="e">
        <f>SUM(BG56:BG56)</f>
        <v>#REF!</v>
      </c>
      <c r="BM56" s="474" t="e">
        <f>+'(AS-400 Jembatan)'!BC56</f>
        <v>#REF!</v>
      </c>
      <c r="BN56" s="474" t="e">
        <f>(BM56-BL56)/BO56</f>
        <v>#REF!</v>
      </c>
      <c r="BO56" s="478">
        <f>+COUNT(BG56:BG56)</f>
        <v>0</v>
      </c>
      <c r="BP56" s="478" t="e">
        <f>+IF(BN56&lt;0,(ROUNDDOWN(BN56,0)),(ROUNDUP(BN56,0)))</f>
        <v>#REF!</v>
      </c>
      <c r="BQ56" s="488">
        <v>0.0</v>
      </c>
      <c r="BR56" s="473" t="str">
        <f>+GUM!C62</f>
        <v>82115-0E450 M</v>
      </c>
    </row>
    <row r="57" spans="1:142" customHeight="1" ht="15.75" s="473" customFormat="1">
      <c r="A57" s="1294"/>
      <c r="B57" s="1038" t="str">
        <f>+'(AS-400 Jembatan)'!B57</f>
        <v>82115-0E460 M</v>
      </c>
      <c r="C57" s="496" t="str">
        <f>'(AS-400 Jembatan)'!C57</f>
        <v>M 0001</v>
      </c>
      <c r="D57" s="505"/>
      <c r="E57" s="474"/>
      <c r="F57" s="474"/>
      <c r="G57" s="474"/>
      <c r="H57" s="474"/>
      <c r="I57" s="474"/>
      <c r="J57" s="475"/>
      <c r="K57" s="475"/>
      <c r="L57" s="478"/>
      <c r="M57" s="478"/>
      <c r="N57" s="478"/>
      <c r="O57" s="482" t="e">
        <f>+IF('(AS-400 Jembatan)'!M57=0," ",'(AS-400 Jembatan)'!M57+'(AS-400 Transfer)'!$Y57)</f>
        <v>#REF!</v>
      </c>
      <c r="P57" s="474" t="e">
        <f>+IF('(AS-400 Jembatan)'!N57=0," ",'(AS-400 Jembatan)'!N57+'(AS-400 Transfer)'!$Y57)</f>
        <v>#REF!</v>
      </c>
      <c r="Q57" s="483" t="e">
        <f>+IF('(AS-400 Jembatan)'!O57=0," ",'(AS-400 Jembatan)'!O57+'(AS-400 Transfer)'!$Y57)</f>
        <v>#REF!</v>
      </c>
      <c r="R57" s="474" t="e">
        <f>+IF('(AS-400 Jembatan)'!P57=0," ",'(AS-400 Jembatan)'!P57+'(AS-400 Transfer)'!$Y57)</f>
        <v>#REF!</v>
      </c>
      <c r="S57" s="474" t="e">
        <f>+IF('(AS-400 Jembatan)'!Q57=0," ",'(AS-400 Jembatan)'!Q57+'(AS-400 Transfer)'!$Y57)</f>
        <v>#REF!</v>
      </c>
      <c r="T57" s="474" t="e">
        <f>SUM(O57:O57)</f>
        <v>#REF!</v>
      </c>
      <c r="U57" s="474" t="e">
        <f>+'(AS-400 Jembatan)'!S57</f>
        <v>#REF!</v>
      </c>
      <c r="V57" s="474" t="e">
        <f>(U57-T57)/W57</f>
        <v>#REF!</v>
      </c>
      <c r="W57" s="478">
        <f>+COUNT(O57:O57)</f>
        <v>0</v>
      </c>
      <c r="X57" s="478" t="e">
        <f>+IF(V57&lt;0,(ROUNDDOWN(V57,0)),(ROUNDUP(V57,0)))</f>
        <v>#REF!</v>
      </c>
      <c r="Y57" s="488">
        <v>-68</v>
      </c>
      <c r="Z57" s="482" t="e">
        <f>+IF('(AS-400 Jembatan)'!V57=0," ",'(AS-400 Jembatan)'!V57+'(AS-400 Transfer)'!$AJ57)</f>
        <v>#REF!</v>
      </c>
      <c r="AA57" s="494" t="e">
        <f>+IF('(AS-400 Jembatan)'!W57=0," ",'(AS-400 Jembatan)'!W57+'(AS-400 Transfer)'!$AJ57)</f>
        <v>#REF!</v>
      </c>
      <c r="AB57" s="483" t="e">
        <f>+IF('(AS-400 Jembatan)'!X57=0," ",'(AS-400 Jembatan)'!X57+'(AS-400 Transfer)'!$AJ57)</f>
        <v>#REF!</v>
      </c>
      <c r="AC57" s="830" t="e">
        <f>+IF('(AS-400 Jembatan)'!Y57=0," ",'(AS-400 Jembatan)'!Y57+'(AS-400 Transfer)'!$AJ57)</f>
        <v>#REF!</v>
      </c>
      <c r="AD57" s="830" t="str">
        <f>+IF('(AS-400 Jembatan)'!Z57=0," ",'(AS-400 Jembatan)'!Z57+'(AS-400 Transfer)'!$AJ57)</f>
        <v> </v>
      </c>
      <c r="AE57" s="474" t="e">
        <f>SUM(Z57:Z57)</f>
        <v>#REF!</v>
      </c>
      <c r="AF57" s="474" t="e">
        <f>+'(AS-400 Jembatan)'!AB57</f>
        <v>#REF!</v>
      </c>
      <c r="AG57" s="474" t="e">
        <f>(AF57-AE57)/AH57</f>
        <v>#REF!</v>
      </c>
      <c r="AH57" s="478">
        <f>+COUNT(Z57:Z57)</f>
        <v>0</v>
      </c>
      <c r="AI57" s="475" t="e">
        <f>+IF(AG57&lt;0,(ROUNDDOWN(AG57,0)),(ROUNDUP(AG57,0)))</f>
        <v>#REF!</v>
      </c>
      <c r="AJ57" s="481">
        <v>-3</v>
      </c>
      <c r="AK57" s="482" t="e">
        <f>+IF('(AS-400 Jembatan)'!AE57=0," ",'(AS-400 Jembatan)'!AE57+'(AS-400 Transfer)'!$AU57)</f>
        <v>#REF!</v>
      </c>
      <c r="AL57" s="474" t="e">
        <f>+IF('(AS-400 Jembatan)'!AF57=0," ",'(AS-400 Jembatan)'!AF57+'(AS-400 Transfer)'!$AU57)</f>
        <v>#REF!</v>
      </c>
      <c r="AM57" s="483" t="e">
        <f>+IF('(AS-400 Jembatan)'!AG57=0," ",'(AS-400 Jembatan)'!AG57+'(AS-400 Transfer)'!$AU57)</f>
        <v>#REF!</v>
      </c>
      <c r="AN57" s="474" t="e">
        <f>+IF('(AS-400 Jembatan)'!AH57=0," ",'(AS-400 Jembatan)'!AH57+'(AS-400 Transfer)'!$AU57)</f>
        <v>#REF!</v>
      </c>
      <c r="AO57" s="474" t="str">
        <f>+IF('(AS-400 Jembatan)'!AI57=0," ",'(AS-400 Jembatan)'!AI57+'(AS-400 Transfer)'!$AU57)</f>
        <v> </v>
      </c>
      <c r="AP57" s="474" t="e">
        <f>SUM(AK57:AK57)</f>
        <v>#REF!</v>
      </c>
      <c r="AQ57" s="474" t="e">
        <f>+'(AS-400 Jembatan)'!AK57</f>
        <v>#REF!</v>
      </c>
      <c r="AR57" s="474" t="e">
        <f>(AQ57-AP57)/AS57</f>
        <v>#REF!</v>
      </c>
      <c r="AS57" s="478">
        <f>+COUNT(AK57:AK57)</f>
        <v>0</v>
      </c>
      <c r="AT57" s="478" t="e">
        <f>+IF(AR57&lt;0,(ROUNDDOWN(AR57,0)),(ROUNDUP(AR57,0)))</f>
        <v>#REF!</v>
      </c>
      <c r="AU57" s="478">
        <v>53</v>
      </c>
      <c r="AV57" s="482" t="e">
        <f>+IF('(AS-400 Jembatan)'!AN57=0," ",'(AS-400 Jembatan)'!AN57+'(AS-400 Transfer)'!$BF57)</f>
        <v>#REF!</v>
      </c>
      <c r="AW57" s="474" t="e">
        <f>+IF('(AS-400 Jembatan)'!AO57=0," ",'(AS-400 Jembatan)'!AO57+'(AS-400 Transfer)'!$BF57)</f>
        <v>#REF!</v>
      </c>
      <c r="AX57" s="483" t="e">
        <f>+IF('(AS-400 Jembatan)'!AP57=0," ",'(AS-400 Jembatan)'!AP57+'(AS-400 Transfer)'!$BF57)</f>
        <v>#REF!</v>
      </c>
      <c r="AY57" s="474" t="e">
        <f>+IF('(AS-400 Jembatan)'!AQ57=0," ",'(AS-400 Jembatan)'!AQ57+'(AS-400 Transfer)'!$BF57)</f>
        <v>#REF!</v>
      </c>
      <c r="AZ57" s="474" t="e">
        <f>+IF('(AS-400 Jembatan)'!AR57=0," ",'(AS-400 Jembatan)'!AR57+'(AS-400 Transfer)'!$BF57)</f>
        <v>#REF!</v>
      </c>
      <c r="BA57" s="474" t="e">
        <f>SUM(AV57:AV57)</f>
        <v>#REF!</v>
      </c>
      <c r="BB57" s="474" t="e">
        <f>+GUM!Z63</f>
        <v>#REF!</v>
      </c>
      <c r="BC57" s="474" t="e">
        <f>(BB57-BA57)/BD57</f>
        <v>#REF!</v>
      </c>
      <c r="BD57" s="478">
        <f>+COUNT(AV57:AV57)</f>
        <v>0</v>
      </c>
      <c r="BE57" s="478" t="e">
        <f>+IF(BC57&lt;0,(ROUNDDOWN(BC57,0)),(ROUNDUP(BC57,0)))</f>
        <v>#REF!</v>
      </c>
      <c r="BF57" s="488">
        <v>-60</v>
      </c>
      <c r="BG57" s="482" t="e">
        <f>+IF('(AS-400 Jembatan)'!AW57=0," ",'(AS-400 Jembatan)'!AW57+'(AS-400 Transfer)'!$BQ57)</f>
        <v>#REF!</v>
      </c>
      <c r="BH57" s="474" t="e">
        <f>+IF('(AS-400 Jembatan)'!AX57=0," ",'(AS-400 Jembatan)'!AX57+'(AS-400 Transfer)'!$BQ57)</f>
        <v>#REF!</v>
      </c>
      <c r="BI57" s="483" t="e">
        <f>+IF('(AS-400 Jembatan)'!AY57=0," ",'(AS-400 Jembatan)'!AY57+'(AS-400 Transfer)'!$BQ57)</f>
        <v>#REF!</v>
      </c>
      <c r="BJ57" s="474" t="e">
        <f>+IF('(AS-400 Jembatan)'!AZ57=0," ",'(AS-400 Jembatan)'!AZ57+'(AS-400 Transfer)'!$BQ57)</f>
        <v>#REF!</v>
      </c>
      <c r="BK57" s="474" t="str">
        <f>+IF('(AS-400 Jembatan)'!BA57=0," ",'(AS-400 Jembatan)'!BA57+'(AS-400 Transfer)'!$BQ57)</f>
        <v> </v>
      </c>
      <c r="BL57" s="474" t="e">
        <f>SUM(BG57:BG57)</f>
        <v>#REF!</v>
      </c>
      <c r="BM57" s="474" t="e">
        <f>+'(AS-400 Jembatan)'!BC57</f>
        <v>#REF!</v>
      </c>
      <c r="BN57" s="474" t="e">
        <f>(BM57-BL57)/BO57</f>
        <v>#REF!</v>
      </c>
      <c r="BO57" s="478">
        <f>+COUNT(BG57:BG57)</f>
        <v>0</v>
      </c>
      <c r="BP57" s="478" t="e">
        <f>+IF(BN57&lt;0,(ROUNDDOWN(BN57,0)),(ROUNDUP(BN57,0)))</f>
        <v>#REF!</v>
      </c>
      <c r="BQ57" s="488">
        <v>0.0</v>
      </c>
      <c r="BR57" s="473" t="str">
        <f>+GUM!C63</f>
        <v>82115-0E460 M</v>
      </c>
    </row>
    <row r="58" spans="1:142" customHeight="1" ht="15.75" s="881" customFormat="1">
      <c r="A58" s="1295"/>
      <c r="B58" s="1040" t="str">
        <f>+'(AS-400 Jembatan)'!B58</f>
        <v>82115-0EA00 M</v>
      </c>
      <c r="C58" s="726" t="str">
        <f>'(AS-400 Jembatan)'!C58</f>
        <v>M 0001</v>
      </c>
      <c r="D58" s="869"/>
      <c r="E58" s="870"/>
      <c r="F58" s="870"/>
      <c r="G58" s="870"/>
      <c r="H58" s="870"/>
      <c r="I58" s="870"/>
      <c r="J58" s="871"/>
      <c r="K58" s="871"/>
      <c r="L58" s="872"/>
      <c r="M58" s="872"/>
      <c r="N58" s="872"/>
      <c r="O58" s="879" t="e">
        <f>+IF('(AS-400 Jembatan)'!M58=0," ",'(AS-400 Jembatan)'!M58+'(AS-400 Transfer)'!$Y58)</f>
        <v>#REF!</v>
      </c>
      <c r="P58" s="870" t="e">
        <f>+IF('(AS-400 Jembatan)'!N58=0," ",'(AS-400 Jembatan)'!N58+'(AS-400 Transfer)'!$Y58)</f>
        <v>#REF!</v>
      </c>
      <c r="Q58" s="880" t="e">
        <f>+IF('(AS-400 Jembatan)'!O58=0," ",'(AS-400 Jembatan)'!O58+'(AS-400 Transfer)'!$Y58)</f>
        <v>#REF!</v>
      </c>
      <c r="R58" s="870" t="e">
        <f>+IF('(AS-400 Jembatan)'!P58=0," ",'(AS-400 Jembatan)'!P58+'(AS-400 Transfer)'!$Y58)</f>
        <v>#REF!</v>
      </c>
      <c r="S58" s="870" t="e">
        <f>+IF('(AS-400 Jembatan)'!Q58=0," ",'(AS-400 Jembatan)'!Q58+'(AS-400 Transfer)'!$Y58)</f>
        <v>#REF!</v>
      </c>
      <c r="T58" s="870" t="e">
        <f>SUM(O58:O58)</f>
        <v>#REF!</v>
      </c>
      <c r="U58" s="870" t="e">
        <f>+'(AS-400 Jembatan)'!S58</f>
        <v>#REF!</v>
      </c>
      <c r="V58" s="870" t="e">
        <f>(U58-T58)/W58</f>
        <v>#REF!</v>
      </c>
      <c r="W58" s="872">
        <f>+COUNT(O58:O58)</f>
        <v>0</v>
      </c>
      <c r="X58" s="872" t="e">
        <f>+IF(V58&lt;0,(ROUNDDOWN(V58,0)),(ROUNDUP(V58,0)))</f>
        <v>#REF!</v>
      </c>
      <c r="Y58" s="876">
        <v>-7</v>
      </c>
      <c r="Z58" s="879" t="e">
        <f>+IF('(AS-400 Jembatan)'!V58=0," ",'(AS-400 Jembatan)'!V58+'(AS-400 Transfer)'!$AJ58)</f>
        <v>#REF!</v>
      </c>
      <c r="AA58" s="937" t="e">
        <f>+IF('(AS-400 Jembatan)'!W58=0," ",'(AS-400 Jembatan)'!W58+'(AS-400 Transfer)'!$AJ58)</f>
        <v>#REF!</v>
      </c>
      <c r="AB58" s="880" t="e">
        <f>+IF('(AS-400 Jembatan)'!X58=0," ",'(AS-400 Jembatan)'!X58+'(AS-400 Transfer)'!$AJ58)</f>
        <v>#REF!</v>
      </c>
      <c r="AC58" s="874" t="e">
        <f>+IF('(AS-400 Jembatan)'!Y58=0," ",'(AS-400 Jembatan)'!Y58+'(AS-400 Transfer)'!$AJ58)</f>
        <v>#REF!</v>
      </c>
      <c r="AD58" s="874" t="str">
        <f>+IF('(AS-400 Jembatan)'!Z58=0," ",'(AS-400 Jembatan)'!Z58+'(AS-400 Transfer)'!$AJ58)</f>
        <v> </v>
      </c>
      <c r="AE58" s="870" t="e">
        <f>SUM(Z58:Z58)</f>
        <v>#REF!</v>
      </c>
      <c r="AF58" s="870" t="e">
        <f>+'(AS-400 Jembatan)'!AB58</f>
        <v>#REF!</v>
      </c>
      <c r="AG58" s="870" t="e">
        <f>(AF58-AE58)/AH58</f>
        <v>#REF!</v>
      </c>
      <c r="AH58" s="872">
        <f>+COUNT(Z58:Z58)</f>
        <v>0</v>
      </c>
      <c r="AI58" s="871" t="e">
        <f>+IF(AG58&lt;0,(ROUNDDOWN(AG58,0)),(ROUNDUP(AG58,0)))</f>
        <v>#REF!</v>
      </c>
      <c r="AJ58" s="878">
        <v>-35</v>
      </c>
      <c r="AK58" s="879" t="e">
        <f>+IF('(AS-400 Jembatan)'!AE58=0," ",'(AS-400 Jembatan)'!AE58+'(AS-400 Transfer)'!$AU58)</f>
        <v>#REF!</v>
      </c>
      <c r="AL58" s="870" t="e">
        <f>+IF('(AS-400 Jembatan)'!AF58=0," ",'(AS-400 Jembatan)'!AF58+'(AS-400 Transfer)'!$AU58)</f>
        <v>#REF!</v>
      </c>
      <c r="AM58" s="880" t="e">
        <f>+IF('(AS-400 Jembatan)'!AG58=0," ",'(AS-400 Jembatan)'!AG58+'(AS-400 Transfer)'!$AU58)</f>
        <v>#REF!</v>
      </c>
      <c r="AN58" s="870" t="e">
        <f>+IF('(AS-400 Jembatan)'!AH58=0," ",'(AS-400 Jembatan)'!AH58+'(AS-400 Transfer)'!$AU58)</f>
        <v>#REF!</v>
      </c>
      <c r="AO58" s="870" t="str">
        <f>+IF('(AS-400 Jembatan)'!AI58=0," ",'(AS-400 Jembatan)'!AI58+'(AS-400 Transfer)'!$AU58)</f>
        <v> </v>
      </c>
      <c r="AP58" s="870" t="e">
        <f>SUM(AK58:AK58)</f>
        <v>#REF!</v>
      </c>
      <c r="AQ58" s="870" t="e">
        <f>+'(AS-400 Jembatan)'!AK58</f>
        <v>#REF!</v>
      </c>
      <c r="AR58" s="870" t="e">
        <f>(AQ58-AP58)/AS58</f>
        <v>#REF!</v>
      </c>
      <c r="AS58" s="872">
        <f>+COUNT(AK58:AK58)</f>
        <v>0</v>
      </c>
      <c r="AT58" s="872" t="e">
        <f>+IF(AR58&lt;0,(ROUNDDOWN(AR58,0)),(ROUNDUP(AR58,0)))</f>
        <v>#REF!</v>
      </c>
      <c r="AU58" s="872">
        <v>47</v>
      </c>
      <c r="AV58" s="879" t="e">
        <f>+IF('(AS-400 Jembatan)'!AN58=0," ",'(AS-400 Jembatan)'!AN58+'(AS-400 Transfer)'!$BF58)</f>
        <v>#REF!</v>
      </c>
      <c r="AW58" s="870" t="e">
        <f>+IF('(AS-400 Jembatan)'!AO58=0," ",'(AS-400 Jembatan)'!AO58+'(AS-400 Transfer)'!$BF58)</f>
        <v>#REF!</v>
      </c>
      <c r="AX58" s="880" t="e">
        <f>+IF('(AS-400 Jembatan)'!AP58=0," ",'(AS-400 Jembatan)'!AP58+'(AS-400 Transfer)'!$BF58)</f>
        <v>#REF!</v>
      </c>
      <c r="AY58" s="870" t="e">
        <f>+IF('(AS-400 Jembatan)'!AQ58=0," ",'(AS-400 Jembatan)'!AQ58+'(AS-400 Transfer)'!$BF58)</f>
        <v>#REF!</v>
      </c>
      <c r="AZ58" s="870" t="e">
        <f>+IF('(AS-400 Jembatan)'!AR58=0," ",'(AS-400 Jembatan)'!AR58+'(AS-400 Transfer)'!$BF58)</f>
        <v>#REF!</v>
      </c>
      <c r="BA58" s="870" t="e">
        <f>SUM(AV58:AV58)</f>
        <v>#REF!</v>
      </c>
      <c r="BB58" s="870" t="e">
        <f>+GUM!Z64</f>
        <v>#REF!</v>
      </c>
      <c r="BC58" s="870" t="e">
        <f>(BB58-BA58)/BD58</f>
        <v>#REF!</v>
      </c>
      <c r="BD58" s="872">
        <f>+COUNT(AV58:AV58)</f>
        <v>0</v>
      </c>
      <c r="BE58" s="872" t="e">
        <f>+IF(BC58&lt;0,(ROUNDDOWN(BC58,0)),(ROUNDUP(BC58,0)))</f>
        <v>#REF!</v>
      </c>
      <c r="BF58" s="876">
        <v>-60</v>
      </c>
      <c r="BG58" s="879" t="e">
        <f>+IF('(AS-400 Jembatan)'!AW58=0," ",'(AS-400 Jembatan)'!AW58+'(AS-400 Transfer)'!$BQ58)</f>
        <v>#REF!</v>
      </c>
      <c r="BH58" s="870" t="e">
        <f>+IF('(AS-400 Jembatan)'!AX58=0," ",'(AS-400 Jembatan)'!AX58+'(AS-400 Transfer)'!$BQ58)</f>
        <v>#REF!</v>
      </c>
      <c r="BI58" s="880" t="e">
        <f>+IF('(AS-400 Jembatan)'!AY58=0," ",'(AS-400 Jembatan)'!AY58+'(AS-400 Transfer)'!$BQ58)</f>
        <v>#REF!</v>
      </c>
      <c r="BJ58" s="870" t="e">
        <f>+IF('(AS-400 Jembatan)'!AZ58=0," ",'(AS-400 Jembatan)'!AZ58+'(AS-400 Transfer)'!$BQ58)</f>
        <v>#REF!</v>
      </c>
      <c r="BK58" s="870" t="str">
        <f>+IF('(AS-400 Jembatan)'!BA58=0," ",'(AS-400 Jembatan)'!BA58+'(AS-400 Transfer)'!$BQ58)</f>
        <v> </v>
      </c>
      <c r="BL58" s="870" t="e">
        <f>SUM(BG58:BG58)</f>
        <v>#REF!</v>
      </c>
      <c r="BM58" s="870" t="e">
        <f>+'(AS-400 Jembatan)'!BC58</f>
        <v>#REF!</v>
      </c>
      <c r="BN58" s="870" t="e">
        <f>(BM58-BL58)/BO58</f>
        <v>#REF!</v>
      </c>
      <c r="BO58" s="872">
        <f>+COUNT(BG58:BG58)</f>
        <v>0</v>
      </c>
      <c r="BP58" s="872" t="e">
        <f>+IF(BN58&lt;0,(ROUNDDOWN(BN58,0)),(ROUNDUP(BN58,0)))</f>
        <v>#REF!</v>
      </c>
      <c r="BQ58" s="876">
        <v>0.0</v>
      </c>
      <c r="BR58" s="881" t="str">
        <f>+GUM!C64</f>
        <v>82115-0EA00 M</v>
      </c>
    </row>
    <row r="59" spans="1:142" customHeight="1" ht="16.5" s="473" customFormat="1">
      <c r="A59" s="1296" t="s">
        <v>99</v>
      </c>
      <c r="B59" s="842" t="str">
        <f>+GUM!C65</f>
        <v>82115-0E501</v>
      </c>
      <c r="C59" s="940" t="str">
        <f>'(AS-400 Jembatan)'!C59</f>
        <v>A 0401</v>
      </c>
      <c r="D59" s="550"/>
      <c r="E59" s="476"/>
      <c r="F59" s="476"/>
      <c r="G59" s="476"/>
      <c r="H59" s="476"/>
      <c r="I59" s="476"/>
      <c r="J59" s="477"/>
      <c r="K59" s="477"/>
      <c r="L59" s="479"/>
      <c r="M59" s="479"/>
      <c r="N59" s="479"/>
      <c r="O59" s="484" t="e">
        <f>+IF('(AS-400 Jembatan)'!M59=0," ",'(AS-400 Jembatan)'!M59+'(AS-400 Transfer)'!$Y59)</f>
        <v>#REF!</v>
      </c>
      <c r="P59" s="476" t="e">
        <f>+IF('(AS-400 Jembatan)'!N59=0," ",'(AS-400 Jembatan)'!N59+'(AS-400 Transfer)'!$Y59)</f>
        <v>#REF!</v>
      </c>
      <c r="Q59" s="504" t="e">
        <f>+IF('(AS-400 Jembatan)'!O59=0," ",'(AS-400 Jembatan)'!O59+'(AS-400 Transfer)'!$Y59)</f>
        <v>#REF!</v>
      </c>
      <c r="R59" s="476" t="e">
        <f>+IF('(AS-400 Jembatan)'!P59=0," ",'(AS-400 Jembatan)'!P59+'(AS-400 Transfer)'!$Y59)</f>
        <v>#REF!</v>
      </c>
      <c r="S59" s="476" t="e">
        <f>+IF('(AS-400 Jembatan)'!Q59=0," ",'(AS-400 Jembatan)'!Q59+'(AS-400 Transfer)'!$Y59)</f>
        <v>#REF!</v>
      </c>
      <c r="T59" s="476" t="e">
        <f>SUM(O59:O59)</f>
        <v>#REF!</v>
      </c>
      <c r="U59" s="476" t="e">
        <f>+'(AS-400 Jembatan)'!S59</f>
        <v>#REF!</v>
      </c>
      <c r="V59" s="476" t="e">
        <f>(U59-T59)/W59</f>
        <v>#REF!</v>
      </c>
      <c r="W59" s="479">
        <f>+COUNT(O59:O59)</f>
        <v>0</v>
      </c>
      <c r="X59" s="479" t="e">
        <f>+IF(V59&lt;0,(ROUNDDOWN(V59,0)),(ROUNDUP(V59,0)))</f>
        <v>#REF!</v>
      </c>
      <c r="Y59" s="480" t="e">
        <v>#DIV/0!</v>
      </c>
      <c r="Z59" s="484" t="e">
        <f>+IF('(AS-400 Jembatan)'!V59=0," ",'(AS-400 Jembatan)'!V59+'(AS-400 Transfer)'!$AJ59)</f>
        <v>#REF!</v>
      </c>
      <c r="AA59" s="500" t="e">
        <f>+IF('(AS-400 Jembatan)'!W59=0," ",'(AS-400 Jembatan)'!W59+'(AS-400 Transfer)'!$AJ59)</f>
        <v>#REF!</v>
      </c>
      <c r="AB59" s="504" t="e">
        <f>+IF('(AS-400 Jembatan)'!X59=0," ",'(AS-400 Jembatan)'!X59+'(AS-400 Transfer)'!$AJ59)</f>
        <v>#REF!</v>
      </c>
      <c r="AC59" s="829" t="e">
        <f>+IF('(AS-400 Jembatan)'!Y59=0," ",'(AS-400 Jembatan)'!Y59+'(AS-400 Transfer)'!$AJ59)</f>
        <v>#REF!</v>
      </c>
      <c r="AD59" s="829" t="str">
        <f>+IF('(AS-400 Jembatan)'!Z59=0," ",'(AS-400 Jembatan)'!Z59+'(AS-400 Transfer)'!$AJ59)</f>
        <v> </v>
      </c>
      <c r="AE59" s="476" t="e">
        <f>SUM(Z59:Z59)</f>
        <v>#REF!</v>
      </c>
      <c r="AF59" s="476" t="e">
        <f>+'(AS-400 Jembatan)'!AB59</f>
        <v>#REF!</v>
      </c>
      <c r="AG59" s="476" t="e">
        <f>(AF59-AE59)/AH59</f>
        <v>#REF!</v>
      </c>
      <c r="AH59" s="479">
        <f>+COUNT(Z59:Z59)</f>
        <v>0</v>
      </c>
      <c r="AI59" s="477" t="e">
        <f>+IF(AG59&lt;0,(ROUNDDOWN(AG59,0)),(ROUNDUP(AG59,0)))</f>
        <v>#REF!</v>
      </c>
      <c r="AJ59" s="487" t="e">
        <v>#DIV/0!</v>
      </c>
      <c r="AK59" s="484" t="e">
        <f>+IF('(AS-400 Jembatan)'!AE59=0," ",'(AS-400 Jembatan)'!AE59+'(AS-400 Transfer)'!$AU59)</f>
        <v>#REF!</v>
      </c>
      <c r="AL59" s="476" t="e">
        <f>+IF('(AS-400 Jembatan)'!AF59=0," ",'(AS-400 Jembatan)'!AF59+'(AS-400 Transfer)'!$AU59)</f>
        <v>#REF!</v>
      </c>
      <c r="AM59" s="504" t="e">
        <f>+IF('(AS-400 Jembatan)'!AG59=0," ",'(AS-400 Jembatan)'!AG59+'(AS-400 Transfer)'!$AU59)</f>
        <v>#REF!</v>
      </c>
      <c r="AN59" s="476" t="e">
        <f>+IF('(AS-400 Jembatan)'!AH59=0," ",'(AS-400 Jembatan)'!AH59+'(AS-400 Transfer)'!$AU59)</f>
        <v>#REF!</v>
      </c>
      <c r="AO59" s="476" t="str">
        <f>+IF('(AS-400 Jembatan)'!AI59=0," ",'(AS-400 Jembatan)'!AI59+'(AS-400 Transfer)'!$AU59)</f>
        <v> </v>
      </c>
      <c r="AP59" s="476" t="e">
        <f>SUM(AK59:AK59)</f>
        <v>#REF!</v>
      </c>
      <c r="AQ59" s="476" t="e">
        <f>+'(AS-400 Jembatan)'!AK59</f>
        <v>#REF!</v>
      </c>
      <c r="AR59" s="476" t="e">
        <f>(AQ59-AP59)/AS59</f>
        <v>#REF!</v>
      </c>
      <c r="AS59" s="479">
        <f>+COUNT(AK59:AK59)</f>
        <v>0</v>
      </c>
      <c r="AT59" s="479" t="e">
        <f>+IF(AR59&lt;0,(ROUNDDOWN(AR59,0)),(ROUNDUP(AR59,0)))</f>
        <v>#REF!</v>
      </c>
      <c r="AU59" s="479" t="e">
        <v>#DIV/0!</v>
      </c>
      <c r="AV59" s="484" t="e">
        <f>+IF('(AS-400 Jembatan)'!AN59=0," ",'(AS-400 Jembatan)'!AN59+'(AS-400 Transfer)'!$BF59)</f>
        <v>#REF!</v>
      </c>
      <c r="AW59" s="476" t="e">
        <f>+IF('(AS-400 Jembatan)'!AO59=0," ",'(AS-400 Jembatan)'!AO59+'(AS-400 Transfer)'!$BF59)</f>
        <v>#REF!</v>
      </c>
      <c r="AX59" s="504" t="e">
        <f>+IF('(AS-400 Jembatan)'!AP59=0," ",'(AS-400 Jembatan)'!AP59+'(AS-400 Transfer)'!$BF59)</f>
        <v>#REF!</v>
      </c>
      <c r="AY59" s="476" t="e">
        <f>+IF('(AS-400 Jembatan)'!AQ59=0," ",'(AS-400 Jembatan)'!AQ59+'(AS-400 Transfer)'!$BF59)</f>
        <v>#REF!</v>
      </c>
      <c r="AZ59" s="476" t="e">
        <f>+IF('(AS-400 Jembatan)'!AR59=0," ",'(AS-400 Jembatan)'!AR59+'(AS-400 Transfer)'!$BF59)</f>
        <v>#REF!</v>
      </c>
      <c r="BA59" s="476" t="e">
        <f>SUM(AV59:AV59)</f>
        <v>#REF!</v>
      </c>
      <c r="BB59" s="476" t="e">
        <f>+GUM!Z65</f>
        <v>#REF!</v>
      </c>
      <c r="BC59" s="476" t="e">
        <f>(BB59-BA59)/BD59</f>
        <v>#REF!</v>
      </c>
      <c r="BD59" s="479">
        <f>+COUNT(AV59:AV59)</f>
        <v>0</v>
      </c>
      <c r="BE59" s="479" t="e">
        <f>+IF(BC59&lt;0,(ROUNDDOWN(BC59,0)),(ROUNDUP(BC59,0)))</f>
        <v>#REF!</v>
      </c>
      <c r="BF59" s="480" t="e">
        <v>#DIV/0!</v>
      </c>
      <c r="BG59" s="484" t="e">
        <f>+IF('(AS-400 Jembatan)'!AW59=0," ",'(AS-400 Jembatan)'!AW59+'(AS-400 Transfer)'!$BQ59)</f>
        <v>#REF!</v>
      </c>
      <c r="BH59" s="476" t="e">
        <f>+IF('(AS-400 Jembatan)'!AX59=0," ",'(AS-400 Jembatan)'!AX59+'(AS-400 Transfer)'!$BQ59)</f>
        <v>#REF!</v>
      </c>
      <c r="BI59" s="504" t="e">
        <f>+IF('(AS-400 Jembatan)'!AY59=0," ",'(AS-400 Jembatan)'!AY59+'(AS-400 Transfer)'!$BQ59)</f>
        <v>#REF!</v>
      </c>
      <c r="BJ59" s="476" t="e">
        <f>+IF('(AS-400 Jembatan)'!AZ59=0," ",'(AS-400 Jembatan)'!AZ59+'(AS-400 Transfer)'!$BQ59)</f>
        <v>#REF!</v>
      </c>
      <c r="BK59" s="476" t="str">
        <f>+IF('(AS-400 Jembatan)'!BA59=0," ",'(AS-400 Jembatan)'!BA59+'(AS-400 Transfer)'!$BQ59)</f>
        <v> </v>
      </c>
      <c r="BL59" s="476" t="e">
        <f>SUM(BG59:BG59)</f>
        <v>#REF!</v>
      </c>
      <c r="BM59" s="476" t="e">
        <f>+'(AS-400 Jembatan)'!BC59</f>
        <v>#REF!</v>
      </c>
      <c r="BN59" s="476" t="e">
        <f>(BM59-BL59)/BO59</f>
        <v>#REF!</v>
      </c>
      <c r="BO59" s="479">
        <f>+COUNT(BG59:BG59)</f>
        <v>0</v>
      </c>
      <c r="BP59" s="479" t="e">
        <f>+IF(BN59&lt;0,(ROUNDDOWN(BN59,0)),(ROUNDUP(BN59,0)))</f>
        <v>#REF!</v>
      </c>
      <c r="BQ59" s="480" t="e">
        <v>#DIV/0!</v>
      </c>
    </row>
    <row r="60" spans="1:142" customHeight="1" ht="16.5" s="502" customFormat="1">
      <c r="A60" s="1297"/>
      <c r="B60" s="969" t="str">
        <f>+GUM!C66</f>
        <v>82115-0E511</v>
      </c>
      <c r="C60" s="939" t="str">
        <f>'(AS-400 Jembatan)'!C60</f>
        <v>A 0401</v>
      </c>
      <c r="D60" s="550"/>
      <c r="E60" s="476"/>
      <c r="F60" s="476"/>
      <c r="G60" s="476"/>
      <c r="H60" s="476"/>
      <c r="I60" s="476"/>
      <c r="J60" s="477"/>
      <c r="K60" s="477"/>
      <c r="L60" s="479"/>
      <c r="M60" s="479"/>
      <c r="N60" s="479"/>
      <c r="O60" s="484" t="str">
        <f>+IF('(AS-400 Jembatan)'!M60=0," ",'(AS-400 Jembatan)'!M60+'(AS-400 Transfer)'!$Y60)</f>
        <v> </v>
      </c>
      <c r="P60" s="476" t="str">
        <f>+IF('(AS-400 Jembatan)'!N60=0," ",'(AS-400 Jembatan)'!N60+'(AS-400 Transfer)'!$Y60)</f>
        <v> </v>
      </c>
      <c r="Q60" s="504" t="str">
        <f>+IF('(AS-400 Jembatan)'!O60=0," ",'(AS-400 Jembatan)'!O60+'(AS-400 Transfer)'!$Y60)</f>
        <v> </v>
      </c>
      <c r="R60" s="476" t="str">
        <f>+IF('(AS-400 Jembatan)'!P60=0," ",'(AS-400 Jembatan)'!P60+'(AS-400 Transfer)'!$Y60)</f>
        <v> </v>
      </c>
      <c r="S60" s="476" t="str">
        <f>+IF('(AS-400 Jembatan)'!Q60=0," ",'(AS-400 Jembatan)'!Q60+'(AS-400 Transfer)'!$Y60)</f>
        <v> </v>
      </c>
      <c r="T60" s="474">
        <f>SUM(O60:O60)</f>
        <v>0</v>
      </c>
      <c r="U60" s="474">
        <f>+'(AS-400 Jembatan)'!S60</f>
        <v/>
      </c>
      <c r="V60" s="476" t="e">
        <f>(U60-T60)/W60</f>
        <v>#DIV/0!</v>
      </c>
      <c r="W60" s="479">
        <f>+COUNT(O60:O60)</f>
        <v>0</v>
      </c>
      <c r="X60" s="479" t="e">
        <f>+IF(V60&lt;0,(ROUNDDOWN(V60,0)),(ROUNDUP(V60,0)))</f>
        <v>#DIV/0!</v>
      </c>
      <c r="Y60" s="480" t="e">
        <v>#DIV/0!</v>
      </c>
      <c r="Z60" s="484" t="str">
        <f>+IF('(AS-400 Jembatan)'!V60=0," ",'(AS-400 Jembatan)'!V60+'(AS-400 Transfer)'!$AJ60)</f>
        <v> </v>
      </c>
      <c r="AA60" s="500" t="str">
        <f>+IF('(AS-400 Jembatan)'!W60=0," ",'(AS-400 Jembatan)'!W60+'(AS-400 Transfer)'!$AJ60)</f>
        <v> </v>
      </c>
      <c r="AB60" s="504" t="str">
        <f>+IF('(AS-400 Jembatan)'!X60=0," ",'(AS-400 Jembatan)'!X60+'(AS-400 Transfer)'!$AJ60)</f>
        <v> </v>
      </c>
      <c r="AC60" s="829" t="str">
        <f>+IF('(AS-400 Jembatan)'!Y60=0," ",'(AS-400 Jembatan)'!Y60+'(AS-400 Transfer)'!$AJ60)</f>
        <v> </v>
      </c>
      <c r="AD60" s="829" t="str">
        <f>+IF('(AS-400 Jembatan)'!Z60=0," ",'(AS-400 Jembatan)'!Z60+'(AS-400 Transfer)'!$AJ60)</f>
        <v> </v>
      </c>
      <c r="AE60" s="476">
        <f>SUM(Z60:Z60)</f>
        <v>0</v>
      </c>
      <c r="AF60" s="476">
        <f>+'(AS-400 Jembatan)'!AB60</f>
        <v/>
      </c>
      <c r="AG60" s="476" t="e">
        <f>(AF60-AE60)/AH60</f>
        <v>#DIV/0!</v>
      </c>
      <c r="AH60" s="479">
        <f>+COUNT(Z60:Z60)</f>
        <v>0</v>
      </c>
      <c r="AI60" s="477" t="e">
        <f>+IF(AG60&lt;0,(ROUNDDOWN(AG60,0)),(ROUNDUP(AG60,0)))</f>
        <v>#DIV/0!</v>
      </c>
      <c r="AJ60" s="487" t="e">
        <v>#DIV/0!</v>
      </c>
      <c r="AK60" s="484" t="str">
        <f>+IF('(AS-400 Jembatan)'!AE60=0," ",'(AS-400 Jembatan)'!AE60+'(AS-400 Transfer)'!$AU60)</f>
        <v> </v>
      </c>
      <c r="AL60" s="476" t="str">
        <f>+IF('(AS-400 Jembatan)'!AF60=0," ",'(AS-400 Jembatan)'!AF60+'(AS-400 Transfer)'!$AU60)</f>
        <v> </v>
      </c>
      <c r="AM60" s="504" t="str">
        <f>+IF('(AS-400 Jembatan)'!AG60=0," ",'(AS-400 Jembatan)'!AG60+'(AS-400 Transfer)'!$AU60)</f>
        <v> </v>
      </c>
      <c r="AN60" s="476" t="str">
        <f>+IF('(AS-400 Jembatan)'!AH60=0," ",'(AS-400 Jembatan)'!AH60+'(AS-400 Transfer)'!$AU60)</f>
        <v> </v>
      </c>
      <c r="AO60" s="476" t="str">
        <f>+IF('(AS-400 Jembatan)'!AI60=0," ",'(AS-400 Jembatan)'!AI60+'(AS-400 Transfer)'!$AU60)</f>
        <v> </v>
      </c>
      <c r="AP60" s="476">
        <f>SUM(AK60:AK60)</f>
        <v>0</v>
      </c>
      <c r="AQ60" s="476">
        <f>+'(AS-400 Jembatan)'!AK60</f>
        <v/>
      </c>
      <c r="AR60" s="476" t="e">
        <f>(AQ60-AP60)/AS60</f>
        <v>#DIV/0!</v>
      </c>
      <c r="AS60" s="478">
        <f>+COUNT(AK60:AK60)</f>
        <v>0</v>
      </c>
      <c r="AT60" s="479" t="e">
        <f>+IF(AR60&lt;0,(ROUNDDOWN(AR60,0)),(ROUNDUP(AR60,0)))</f>
        <v>#DIV/0!</v>
      </c>
      <c r="AU60" s="479" t="e">
        <v>#DIV/0!</v>
      </c>
      <c r="AV60" s="484" t="str">
        <f>+IF('(AS-400 Jembatan)'!AN60=0," ",'(AS-400 Jembatan)'!AN60+'(AS-400 Transfer)'!$BF60)</f>
        <v> </v>
      </c>
      <c r="AW60" s="476" t="str">
        <f>+IF('(AS-400 Jembatan)'!AO60=0," ",'(AS-400 Jembatan)'!AO60+'(AS-400 Transfer)'!$BF60)</f>
        <v> </v>
      </c>
      <c r="AX60" s="504" t="str">
        <f>+IF('(AS-400 Jembatan)'!AP60=0," ",'(AS-400 Jembatan)'!AP60+'(AS-400 Transfer)'!$BF60)</f>
        <v> </v>
      </c>
      <c r="AY60" s="476" t="str">
        <f>+IF('(AS-400 Jembatan)'!AQ60=0," ",'(AS-400 Jembatan)'!AQ60+'(AS-400 Transfer)'!$BF60)</f>
        <v> </v>
      </c>
      <c r="AZ60" s="476" t="str">
        <f>+IF('(AS-400 Jembatan)'!AR60=0," ",'(AS-400 Jembatan)'!AR60+'(AS-400 Transfer)'!$BF60)</f>
        <v> </v>
      </c>
      <c r="BA60" s="476">
        <f>SUM(AV60:AV60)</f>
        <v>0</v>
      </c>
      <c r="BB60" s="476">
        <f>+GUM!Z66</f>
        <v/>
      </c>
      <c r="BC60" s="476" t="e">
        <f>(BB60-BA60)/BD60</f>
        <v>#DIV/0!</v>
      </c>
      <c r="BD60" s="479">
        <f>+COUNT(AV60:AV60)</f>
        <v>0</v>
      </c>
      <c r="BE60" s="479" t="e">
        <f>+IF(BC60&lt;0,(ROUNDDOWN(BC60,0)),(ROUNDUP(BC60,0)))</f>
        <v>#DIV/0!</v>
      </c>
      <c r="BF60" s="480" t="e">
        <v>#DIV/0!</v>
      </c>
      <c r="BG60" s="482" t="str">
        <f>+IF('(AS-400 Jembatan)'!AW60=0," ",'(AS-400 Jembatan)'!AW60+'(AS-400 Transfer)'!$BQ60)</f>
        <v> </v>
      </c>
      <c r="BH60" s="474" t="str">
        <f>+IF('(AS-400 Jembatan)'!AX60=0," ",'(AS-400 Jembatan)'!AX60+'(AS-400 Transfer)'!$BQ60)</f>
        <v> </v>
      </c>
      <c r="BI60" s="483" t="str">
        <f>+IF('(AS-400 Jembatan)'!AY60=0," ",'(AS-400 Jembatan)'!AY60+'(AS-400 Transfer)'!$BQ60)</f>
        <v> </v>
      </c>
      <c r="BJ60" s="476" t="str">
        <f>+IF('(AS-400 Jembatan)'!AZ60=0," ",'(AS-400 Jembatan)'!AZ60+'(AS-400 Transfer)'!$BQ60)</f>
        <v> </v>
      </c>
      <c r="BK60" s="476" t="str">
        <f>+IF('(AS-400 Jembatan)'!BA60=0," ",'(AS-400 Jembatan)'!BA60+'(AS-400 Transfer)'!$BQ60)</f>
        <v> </v>
      </c>
      <c r="BL60" s="476">
        <f>SUM(BG60:BG60)</f>
        <v>0</v>
      </c>
      <c r="BM60" s="476">
        <f>+'(AS-400 Jembatan)'!BC60</f>
        <v/>
      </c>
      <c r="BN60" s="476" t="e">
        <f>(BM60-BL60)/BO60</f>
        <v>#DIV/0!</v>
      </c>
      <c r="BO60" s="479">
        <f>+COUNT(BG60:BG60)</f>
        <v>0</v>
      </c>
      <c r="BP60" s="479" t="e">
        <f>+IF(BN60&lt;0,(ROUNDDOWN(BN60,0)),(ROUNDUP(BN60,0)))</f>
        <v>#DIV/0!</v>
      </c>
      <c r="BQ60" s="480" t="e">
        <v>#DIV/0!</v>
      </c>
    </row>
    <row r="61" spans="1:142" customHeight="1" ht="15.75" s="473" customFormat="1">
      <c r="A61" s="1297"/>
      <c r="B61" s="969" t="str">
        <f>+GUM!C67</f>
        <v>82115-0E521</v>
      </c>
      <c r="C61" s="939" t="str">
        <f>'(AS-400 Jembatan)'!C60</f>
        <v>A 0401</v>
      </c>
      <c r="D61" s="505"/>
      <c r="E61" s="474"/>
      <c r="F61" s="474"/>
      <c r="G61" s="474"/>
      <c r="H61" s="474"/>
      <c r="I61" s="474"/>
      <c r="J61" s="475"/>
      <c r="K61" s="475"/>
      <c r="L61" s="478"/>
      <c r="M61" s="478"/>
      <c r="N61" s="478"/>
      <c r="O61" s="484" t="str">
        <f>+IF('(AS-400 Jembatan)'!M61=0," ",'(AS-400 Jembatan)'!M61+'(AS-400 Transfer)'!$Y61)</f>
        <v> </v>
      </c>
      <c r="P61" s="476" t="str">
        <f>+IF('(AS-400 Jembatan)'!N61=0," ",'(AS-400 Jembatan)'!N61+'(AS-400 Transfer)'!$Y61)</f>
        <v> </v>
      </c>
      <c r="Q61" s="504" t="str">
        <f>+IF('(AS-400 Jembatan)'!O61=0," ",'(AS-400 Jembatan)'!O61+'(AS-400 Transfer)'!$Y61)</f>
        <v> </v>
      </c>
      <c r="R61" s="476" t="str">
        <f>+IF('(AS-400 Jembatan)'!P61=0," ",'(AS-400 Jembatan)'!P61+'(AS-400 Transfer)'!$Y61)</f>
        <v> </v>
      </c>
      <c r="S61" s="476" t="str">
        <f>+IF('(AS-400 Jembatan)'!Q61=0," ",'(AS-400 Jembatan)'!Q61+'(AS-400 Transfer)'!$Y61)</f>
        <v> </v>
      </c>
      <c r="T61" s="474">
        <f>SUM(O61:O61)</f>
        <v>0</v>
      </c>
      <c r="U61" s="474">
        <f>+'(AS-400 Jembatan)'!S61</f>
        <v/>
      </c>
      <c r="V61" s="474" t="e">
        <f>(U61-T61)/W61</f>
        <v>#DIV/0!</v>
      </c>
      <c r="W61" s="478">
        <f>+COUNT(O61:O61)</f>
        <v>0</v>
      </c>
      <c r="X61" s="478" t="e">
        <f>+IF(V61&lt;0,(ROUNDDOWN(V61,0)),(ROUNDUP(V61,0)))</f>
        <v>#DIV/0!</v>
      </c>
      <c r="Y61" s="488" t="e">
        <v>#DIV/0!</v>
      </c>
      <c r="Z61" s="482" t="str">
        <f>+IF('(AS-400 Jembatan)'!V61=0," ",'(AS-400 Jembatan)'!V61+'(AS-400 Transfer)'!$AJ61)</f>
        <v> </v>
      </c>
      <c r="AA61" s="494" t="str">
        <f>+IF('(AS-400 Jembatan)'!W61=0," ",'(AS-400 Jembatan)'!W61+'(AS-400 Transfer)'!$AJ61)</f>
        <v> </v>
      </c>
      <c r="AB61" s="483" t="str">
        <f>+IF('(AS-400 Jembatan)'!X61=0," ",'(AS-400 Jembatan)'!X61+'(AS-400 Transfer)'!$AJ61)</f>
        <v> </v>
      </c>
      <c r="AC61" s="830" t="str">
        <f>+IF('(AS-400 Jembatan)'!Y61=0," ",'(AS-400 Jembatan)'!Y61+'(AS-400 Transfer)'!$AJ61)</f>
        <v> </v>
      </c>
      <c r="AD61" s="830" t="str">
        <f>+IF('(AS-400 Jembatan)'!Z61=0," ",'(AS-400 Jembatan)'!Z61+'(AS-400 Transfer)'!$AJ61)</f>
        <v> </v>
      </c>
      <c r="AE61" s="474">
        <f>SUM(Z61:Z61)</f>
        <v>0</v>
      </c>
      <c r="AF61" s="474">
        <f>+'(AS-400 Jembatan)'!AB61</f>
        <v/>
      </c>
      <c r="AG61" s="474" t="e">
        <f>(AF61-AE61)/AH61</f>
        <v>#DIV/0!</v>
      </c>
      <c r="AH61" s="478">
        <f>+COUNT(Z61:Z61)</f>
        <v>0</v>
      </c>
      <c r="AI61" s="475" t="e">
        <f>+IF(AG61&lt;0,(ROUNDDOWN(AG61,0)),(ROUNDUP(AG61,0)))</f>
        <v>#DIV/0!</v>
      </c>
      <c r="AJ61" s="481" t="e">
        <v>#DIV/0!</v>
      </c>
      <c r="AK61" s="482" t="str">
        <f>+IF('(AS-400 Jembatan)'!AE61=0," ",'(AS-400 Jembatan)'!AE61+'(AS-400 Transfer)'!$AU61)</f>
        <v> </v>
      </c>
      <c r="AL61" s="474" t="str">
        <f>+IF('(AS-400 Jembatan)'!AF61=0," ",'(AS-400 Jembatan)'!AF61+'(AS-400 Transfer)'!$AU61)</f>
        <v> </v>
      </c>
      <c r="AM61" s="483" t="str">
        <f>+IF('(AS-400 Jembatan)'!AG61=0," ",'(AS-400 Jembatan)'!AG61+'(AS-400 Transfer)'!$AU61)</f>
        <v> </v>
      </c>
      <c r="AN61" s="474" t="str">
        <f>+IF('(AS-400 Jembatan)'!AH61=0," ",'(AS-400 Jembatan)'!AH61+'(AS-400 Transfer)'!$AU61)</f>
        <v> </v>
      </c>
      <c r="AO61" s="474" t="str">
        <f>+IF('(AS-400 Jembatan)'!AI61=0," ",'(AS-400 Jembatan)'!AI61+'(AS-400 Transfer)'!$AU61)</f>
        <v> </v>
      </c>
      <c r="AP61" s="474">
        <f>SUM(AK61:AK61)</f>
        <v>0</v>
      </c>
      <c r="AQ61" s="474">
        <f>+'(AS-400 Jembatan)'!AK61</f>
        <v/>
      </c>
      <c r="AR61" s="474" t="e">
        <f>(AQ61-AP61)/AS61</f>
        <v>#DIV/0!</v>
      </c>
      <c r="AS61" s="478">
        <f>+COUNT(AK61:AK61)</f>
        <v>0</v>
      </c>
      <c r="AT61" s="478" t="e">
        <f>+IF(AR61&lt;0,(ROUNDDOWN(AR61,0)),(ROUNDUP(AR61,0)))</f>
        <v>#DIV/0!</v>
      </c>
      <c r="AU61" s="478" t="e">
        <v>#DIV/0!</v>
      </c>
      <c r="AV61" s="482" t="str">
        <f>+IF('(AS-400 Jembatan)'!AN61=0," ",'(AS-400 Jembatan)'!AN61+'(AS-400 Transfer)'!$BF61)</f>
        <v> </v>
      </c>
      <c r="AW61" s="474" t="str">
        <f>+IF('(AS-400 Jembatan)'!AO61=0," ",'(AS-400 Jembatan)'!AO61+'(AS-400 Transfer)'!$BF61)</f>
        <v> </v>
      </c>
      <c r="AX61" s="483" t="str">
        <f>+IF('(AS-400 Jembatan)'!AP61=0," ",'(AS-400 Jembatan)'!AP61+'(AS-400 Transfer)'!$BF61)</f>
        <v> </v>
      </c>
      <c r="AY61" s="474" t="str">
        <f>+IF('(AS-400 Jembatan)'!AQ61=0," ",'(AS-400 Jembatan)'!AQ61+'(AS-400 Transfer)'!$BF61)</f>
        <v> </v>
      </c>
      <c r="AZ61" s="474" t="str">
        <f>+IF('(AS-400 Jembatan)'!AR61=0," ",'(AS-400 Jembatan)'!AR61+'(AS-400 Transfer)'!$BF61)</f>
        <v> </v>
      </c>
      <c r="BA61" s="474">
        <f>SUM(AV61:AV61)</f>
        <v>0</v>
      </c>
      <c r="BB61" s="474">
        <f>+GUM!Z67</f>
        <v/>
      </c>
      <c r="BC61" s="474" t="e">
        <f>(BB61-BA61)/BD61</f>
        <v>#DIV/0!</v>
      </c>
      <c r="BD61" s="478">
        <f>+COUNT(AV61:AV61)</f>
        <v>0</v>
      </c>
      <c r="BE61" s="478" t="e">
        <f>+IF(BC61&lt;0,(ROUNDDOWN(BC61,0)),(ROUNDUP(BC61,0)))</f>
        <v>#DIV/0!</v>
      </c>
      <c r="BF61" s="488" t="e">
        <v>#DIV/0!</v>
      </c>
      <c r="BG61" s="482" t="str">
        <f>+IF('(AS-400 Jembatan)'!AW61=0," ",'(AS-400 Jembatan)'!AW61+'(AS-400 Transfer)'!$BQ61)</f>
        <v> </v>
      </c>
      <c r="BH61" s="474" t="str">
        <f>+IF('(AS-400 Jembatan)'!AX61=0," ",'(AS-400 Jembatan)'!AX61+'(AS-400 Transfer)'!$BQ61)</f>
        <v> </v>
      </c>
      <c r="BI61" s="483" t="str">
        <f>+IF('(AS-400 Jembatan)'!AY61=0," ",'(AS-400 Jembatan)'!AY61+'(AS-400 Transfer)'!$BQ61)</f>
        <v> </v>
      </c>
      <c r="BJ61" s="474" t="str">
        <f>+IF('(AS-400 Jembatan)'!AZ61=0," ",'(AS-400 Jembatan)'!AZ61+'(AS-400 Transfer)'!$BQ61)</f>
        <v> </v>
      </c>
      <c r="BK61" s="474" t="str">
        <f>+IF('(AS-400 Jembatan)'!BA61=0," ",'(AS-400 Jembatan)'!BA61+'(AS-400 Transfer)'!$BQ61)</f>
        <v> </v>
      </c>
      <c r="BL61" s="474">
        <f>SUM(BG61:BG61)</f>
        <v>0</v>
      </c>
      <c r="BM61" s="474">
        <f>+'(AS-400 Jembatan)'!BC61</f>
        <v/>
      </c>
      <c r="BN61" s="474" t="e">
        <f>(BM61-BL61)/BO61</f>
        <v>#DIV/0!</v>
      </c>
      <c r="BO61" s="478">
        <f>+COUNT(BG61:BG61)</f>
        <v>0</v>
      </c>
      <c r="BP61" s="478" t="e">
        <f>+IF(BN61&lt;0,(ROUNDDOWN(BN61,0)),(ROUNDUP(BN61,0)))</f>
        <v>#DIV/0!</v>
      </c>
      <c r="BQ61" s="488" t="e">
        <v>#DIV/0!</v>
      </c>
    </row>
    <row r="62" spans="1:142" customHeight="1" ht="15.75" s="473" customFormat="1">
      <c r="A62" s="1297"/>
      <c r="B62" s="969" t="str">
        <f>+GUM!C68</f>
        <v>82115-0E531</v>
      </c>
      <c r="C62" s="939" t="str">
        <f>'(AS-400 Jembatan)'!C61</f>
        <v>A 0401</v>
      </c>
      <c r="D62" s="505"/>
      <c r="E62" s="474"/>
      <c r="F62" s="474"/>
      <c r="G62" s="474"/>
      <c r="H62" s="474"/>
      <c r="I62" s="474"/>
      <c r="J62" s="475"/>
      <c r="K62" s="475"/>
      <c r="L62" s="478"/>
      <c r="M62" s="478"/>
      <c r="N62" s="478"/>
      <c r="O62" s="484" t="str">
        <f>+IF('(AS-400 Jembatan)'!M62=0," ",'(AS-400 Jembatan)'!M62+'(AS-400 Transfer)'!$Y62)</f>
        <v> </v>
      </c>
      <c r="P62" s="476" t="str">
        <f>+IF('(AS-400 Jembatan)'!N62=0," ",'(AS-400 Jembatan)'!N62+'(AS-400 Transfer)'!$Y62)</f>
        <v> </v>
      </c>
      <c r="Q62" s="504" t="str">
        <f>+IF('(AS-400 Jembatan)'!O62=0," ",'(AS-400 Jembatan)'!O62+'(AS-400 Transfer)'!$Y62)</f>
        <v> </v>
      </c>
      <c r="R62" s="476" t="str">
        <f>+IF('(AS-400 Jembatan)'!P62=0," ",'(AS-400 Jembatan)'!P62+'(AS-400 Transfer)'!$Y62)</f>
        <v> </v>
      </c>
      <c r="S62" s="476" t="str">
        <f>+IF('(AS-400 Jembatan)'!Q62=0," ",'(AS-400 Jembatan)'!Q62+'(AS-400 Transfer)'!$Y62)</f>
        <v> </v>
      </c>
      <c r="T62" s="474">
        <f>SUM(O62:O62)</f>
        <v>0</v>
      </c>
      <c r="U62" s="474">
        <f>+'(AS-400 Jembatan)'!S62</f>
        <v/>
      </c>
      <c r="V62" s="474" t="e">
        <f>(U62-T62)/W62</f>
        <v>#DIV/0!</v>
      </c>
      <c r="W62" s="478">
        <f>+COUNT(O62:O62)</f>
        <v>0</v>
      </c>
      <c r="X62" s="478" t="e">
        <f>+IF(V62&lt;0,(ROUNDDOWN(V62,0)),(ROUNDUP(V62,0)))</f>
        <v>#DIV/0!</v>
      </c>
      <c r="Y62" s="488" t="e">
        <v>#DIV/0!</v>
      </c>
      <c r="Z62" s="482" t="str">
        <f>+IF('(AS-400 Jembatan)'!V62=0," ",'(AS-400 Jembatan)'!V62+'(AS-400 Transfer)'!$AJ62)</f>
        <v> </v>
      </c>
      <c r="AA62" s="494" t="str">
        <f>+IF('(AS-400 Jembatan)'!W62=0," ",'(AS-400 Jembatan)'!W62+'(AS-400 Transfer)'!$AJ62)</f>
        <v> </v>
      </c>
      <c r="AB62" s="483" t="str">
        <f>+IF('(AS-400 Jembatan)'!X62=0," ",'(AS-400 Jembatan)'!X62+'(AS-400 Transfer)'!$AJ62)</f>
        <v> </v>
      </c>
      <c r="AC62" s="830" t="str">
        <f>+IF('(AS-400 Jembatan)'!Y62=0," ",'(AS-400 Jembatan)'!Y62+'(AS-400 Transfer)'!$AJ62)</f>
        <v> </v>
      </c>
      <c r="AD62" s="830" t="str">
        <f>+IF('(AS-400 Jembatan)'!Z62=0," ",'(AS-400 Jembatan)'!Z62+'(AS-400 Transfer)'!$AJ62)</f>
        <v> </v>
      </c>
      <c r="AE62" s="474">
        <f>SUM(Z62:Z62)</f>
        <v>0</v>
      </c>
      <c r="AF62" s="474">
        <f>+'(AS-400 Jembatan)'!AB62</f>
        <v/>
      </c>
      <c r="AG62" s="474" t="e">
        <f>(AF62-AE62)/AH62</f>
        <v>#DIV/0!</v>
      </c>
      <c r="AH62" s="478">
        <f>+COUNT(Z62:Z62)</f>
        <v>0</v>
      </c>
      <c r="AI62" s="475" t="e">
        <f>+IF(AG62&lt;0,(ROUNDDOWN(AG62,0)),(ROUNDUP(AG62,0)))</f>
        <v>#DIV/0!</v>
      </c>
      <c r="AJ62" s="481" t="e">
        <v>#DIV/0!</v>
      </c>
      <c r="AK62" s="482" t="str">
        <f>+IF('(AS-400 Jembatan)'!AE62=0," ",'(AS-400 Jembatan)'!AE62+'(AS-400 Transfer)'!$AU62)</f>
        <v> </v>
      </c>
      <c r="AL62" s="474" t="str">
        <f>+IF('(AS-400 Jembatan)'!AF62=0," ",'(AS-400 Jembatan)'!AF62+'(AS-400 Transfer)'!$AU62)</f>
        <v> </v>
      </c>
      <c r="AM62" s="483" t="str">
        <f>+IF('(AS-400 Jembatan)'!AG62=0," ",'(AS-400 Jembatan)'!AG62+'(AS-400 Transfer)'!$AU62)</f>
        <v> </v>
      </c>
      <c r="AN62" s="474" t="str">
        <f>+IF('(AS-400 Jembatan)'!AH62=0," ",'(AS-400 Jembatan)'!AH62+'(AS-400 Transfer)'!$AU62)</f>
        <v> </v>
      </c>
      <c r="AO62" s="474" t="str">
        <f>+IF('(AS-400 Jembatan)'!AI62=0," ",'(AS-400 Jembatan)'!AI62+'(AS-400 Transfer)'!$AU62)</f>
        <v> </v>
      </c>
      <c r="AP62" s="474">
        <f>SUM(AK62:AK62)</f>
        <v>0</v>
      </c>
      <c r="AQ62" s="474">
        <f>+'(AS-400 Jembatan)'!AK62</f>
        <v/>
      </c>
      <c r="AR62" s="474" t="e">
        <f>(AQ62-AP62)/AS62</f>
        <v>#DIV/0!</v>
      </c>
      <c r="AS62" s="478">
        <f>+COUNT(AK62:AK62)</f>
        <v>0</v>
      </c>
      <c r="AT62" s="478" t="e">
        <f>+IF(AR62&lt;0,(ROUNDDOWN(AR62,0)),(ROUNDUP(AR62,0)))</f>
        <v>#DIV/0!</v>
      </c>
      <c r="AU62" s="478" t="e">
        <v>#DIV/0!</v>
      </c>
      <c r="AV62" s="482" t="str">
        <f>+IF('(AS-400 Jembatan)'!AN62=0," ",'(AS-400 Jembatan)'!AN62+'(AS-400 Transfer)'!$BF62)</f>
        <v> </v>
      </c>
      <c r="AW62" s="474" t="str">
        <f>+IF('(AS-400 Jembatan)'!AO62=0," ",'(AS-400 Jembatan)'!AO62+'(AS-400 Transfer)'!$BF62)</f>
        <v> </v>
      </c>
      <c r="AX62" s="483" t="str">
        <f>+IF('(AS-400 Jembatan)'!AP62=0," ",'(AS-400 Jembatan)'!AP62+'(AS-400 Transfer)'!$BF62)</f>
        <v> </v>
      </c>
      <c r="AY62" s="474" t="str">
        <f>+IF('(AS-400 Jembatan)'!AQ62=0," ",'(AS-400 Jembatan)'!AQ62+'(AS-400 Transfer)'!$BF62)</f>
        <v> </v>
      </c>
      <c r="AZ62" s="474" t="str">
        <f>+IF('(AS-400 Jembatan)'!AR62=0," ",'(AS-400 Jembatan)'!AR62+'(AS-400 Transfer)'!$BF62)</f>
        <v> </v>
      </c>
      <c r="BA62" s="474">
        <f>SUM(AV62:AV62)</f>
        <v>0</v>
      </c>
      <c r="BB62" s="474">
        <f>+GUM!Z68</f>
        <v/>
      </c>
      <c r="BC62" s="474" t="e">
        <f>(BB62-BA62)/BD62</f>
        <v>#DIV/0!</v>
      </c>
      <c r="BD62" s="478">
        <f>+COUNT(AV62:AV62)</f>
        <v>0</v>
      </c>
      <c r="BE62" s="478" t="e">
        <f>+IF(BC62&lt;0,(ROUNDDOWN(BC62,0)),(ROUNDUP(BC62,0)))</f>
        <v>#DIV/0!</v>
      </c>
      <c r="BF62" s="488" t="e">
        <v>#DIV/0!</v>
      </c>
      <c r="BG62" s="482" t="str">
        <f>+IF('(AS-400 Jembatan)'!AW62=0," ",'(AS-400 Jembatan)'!AW62+'(AS-400 Transfer)'!$BQ62)</f>
        <v> </v>
      </c>
      <c r="BH62" s="474" t="str">
        <f>+IF('(AS-400 Jembatan)'!AX62=0," ",'(AS-400 Jembatan)'!AX62+'(AS-400 Transfer)'!$BQ62)</f>
        <v> </v>
      </c>
      <c r="BI62" s="483" t="str">
        <f>+IF('(AS-400 Jembatan)'!AY62=0," ",'(AS-400 Jembatan)'!AY62+'(AS-400 Transfer)'!$BQ62)</f>
        <v> </v>
      </c>
      <c r="BJ62" s="474" t="str">
        <f>+IF('(AS-400 Jembatan)'!AZ62=0," ",'(AS-400 Jembatan)'!AZ62+'(AS-400 Transfer)'!$BQ62)</f>
        <v> </v>
      </c>
      <c r="BK62" s="474" t="str">
        <f>+IF('(AS-400 Jembatan)'!BA62=0," ",'(AS-400 Jembatan)'!BA62+'(AS-400 Transfer)'!$BQ62)</f>
        <v> </v>
      </c>
      <c r="BL62" s="474">
        <f>SUM(BG62:BG62)</f>
        <v>0</v>
      </c>
      <c r="BM62" s="474">
        <f>+'(AS-400 Jembatan)'!BC62</f>
        <v/>
      </c>
      <c r="BN62" s="474" t="e">
        <f>(BM62-BL62)/BO62</f>
        <v>#DIV/0!</v>
      </c>
      <c r="BO62" s="478">
        <f>+COUNT(BG62:BG62)</f>
        <v>0</v>
      </c>
      <c r="BP62" s="478" t="e">
        <f>+IF(BN62&lt;0,(ROUNDDOWN(BN62,0)),(ROUNDUP(BN62,0)))</f>
        <v>#DIV/0!</v>
      </c>
      <c r="BQ62" s="488" t="e">
        <v>#DIV/0!</v>
      </c>
    </row>
    <row r="63" spans="1:142" customHeight="1" ht="15.75" s="868" customFormat="1">
      <c r="A63" s="1297"/>
      <c r="B63" s="841" t="str">
        <f>+GUM!C69</f>
        <v>82115-0E541</v>
      </c>
      <c r="C63" s="939" t="str">
        <f>'(AS-400 Jembatan)'!C63</f>
        <v>A 0401</v>
      </c>
      <c r="D63" s="505"/>
      <c r="E63" s="474"/>
      <c r="F63" s="474"/>
      <c r="G63" s="474"/>
      <c r="H63" s="474"/>
      <c r="I63" s="474"/>
      <c r="J63" s="475"/>
      <c r="K63" s="475"/>
      <c r="L63" s="478"/>
      <c r="M63" s="478"/>
      <c r="N63" s="478"/>
      <c r="O63" s="482" t="e">
        <f>+IF('(AS-400 Jembatan)'!M63=0," ",'(AS-400 Jembatan)'!M63+'(AS-400 Transfer)'!$Y63)</f>
        <v>#REF!</v>
      </c>
      <c r="P63" s="474" t="e">
        <f>+IF('(AS-400 Jembatan)'!N63=0," ",'(AS-400 Jembatan)'!N63+'(AS-400 Transfer)'!$Y63)</f>
        <v>#REF!</v>
      </c>
      <c r="Q63" s="483" t="e">
        <f>+IF('(AS-400 Jembatan)'!O63=0," ",'(AS-400 Jembatan)'!O63+'(AS-400 Transfer)'!$Y63)</f>
        <v>#REF!</v>
      </c>
      <c r="R63" s="474" t="e">
        <f>+IF('(AS-400 Jembatan)'!P63=0," ",'(AS-400 Jembatan)'!P63+'(AS-400 Transfer)'!$Y63)</f>
        <v>#REF!</v>
      </c>
      <c r="S63" s="474" t="e">
        <f>+IF('(AS-400 Jembatan)'!Q63=0," ",'(AS-400 Jembatan)'!Q63+'(AS-400 Transfer)'!$Y63)</f>
        <v>#REF!</v>
      </c>
      <c r="T63" s="474" t="e">
        <f>SUM(O63:O63)</f>
        <v>#REF!</v>
      </c>
      <c r="U63" s="474" t="e">
        <f>+'(AS-400 Jembatan)'!S63</f>
        <v>#REF!</v>
      </c>
      <c r="V63" s="474" t="e">
        <f>(U63-T63)/W63</f>
        <v>#REF!</v>
      </c>
      <c r="W63" s="478">
        <f>+COUNT(O63:O63)</f>
        <v>0</v>
      </c>
      <c r="X63" s="478" t="e">
        <f>+IF(V63&lt;0,(ROUNDDOWN(V63,0)),(ROUNDUP(V63,0)))</f>
        <v>#REF!</v>
      </c>
      <c r="Y63" s="488" t="e">
        <v>#DIV/0!</v>
      </c>
      <c r="Z63" s="482" t="e">
        <f>+IF('(AS-400 Jembatan)'!V63=0," ",'(AS-400 Jembatan)'!V63+'(AS-400 Transfer)'!$AJ63)</f>
        <v>#REF!</v>
      </c>
      <c r="AA63" s="494" t="e">
        <f>+IF('(AS-400 Jembatan)'!W63=0," ",'(AS-400 Jembatan)'!W63+'(AS-400 Transfer)'!$AJ63)</f>
        <v>#REF!</v>
      </c>
      <c r="AB63" s="483" t="e">
        <f>+IF('(AS-400 Jembatan)'!X63=0," ",'(AS-400 Jembatan)'!X63+'(AS-400 Transfer)'!$AJ63)</f>
        <v>#REF!</v>
      </c>
      <c r="AC63" s="830" t="e">
        <f>+IF('(AS-400 Jembatan)'!Y63=0," ",'(AS-400 Jembatan)'!Y63+'(AS-400 Transfer)'!$AJ63)</f>
        <v>#REF!</v>
      </c>
      <c r="AD63" s="830" t="str">
        <f>+IF('(AS-400 Jembatan)'!Z63=0," ",'(AS-400 Jembatan)'!Z63+'(AS-400 Transfer)'!$AJ63)</f>
        <v> </v>
      </c>
      <c r="AE63" s="474" t="e">
        <f>SUM(Z63:Z63)</f>
        <v>#REF!</v>
      </c>
      <c r="AF63" s="474" t="e">
        <f>+'(AS-400 Jembatan)'!AB63</f>
        <v>#REF!</v>
      </c>
      <c r="AG63" s="474" t="e">
        <f>(AF63-AE63)/AH63</f>
        <v>#REF!</v>
      </c>
      <c r="AH63" s="478">
        <f>+COUNT(Z63:Z63)</f>
        <v>0</v>
      </c>
      <c r="AI63" s="475" t="e">
        <f>+IF(AG63&lt;0,(ROUNDDOWN(AG63,0)),(ROUNDUP(AG63,0)))</f>
        <v>#REF!</v>
      </c>
      <c r="AJ63" s="481" t="e">
        <v>#DIV/0!</v>
      </c>
      <c r="AK63" s="482" t="e">
        <f>+IF('(AS-400 Jembatan)'!AE63=0," ",'(AS-400 Jembatan)'!AE63+'(AS-400 Transfer)'!$AU63)</f>
        <v>#REF!</v>
      </c>
      <c r="AL63" s="474" t="e">
        <f>+IF('(AS-400 Jembatan)'!AF63=0," ",'(AS-400 Jembatan)'!AF63+'(AS-400 Transfer)'!$AU63)</f>
        <v>#REF!</v>
      </c>
      <c r="AM63" s="483" t="e">
        <f>+IF('(AS-400 Jembatan)'!AG63=0," ",'(AS-400 Jembatan)'!AG63+'(AS-400 Transfer)'!$AU63)</f>
        <v>#REF!</v>
      </c>
      <c r="AN63" s="474" t="e">
        <f>+IF('(AS-400 Jembatan)'!AH63=0," ",'(AS-400 Jembatan)'!AH63+'(AS-400 Transfer)'!$AU63)</f>
        <v>#REF!</v>
      </c>
      <c r="AO63" s="474" t="str">
        <f>+IF('(AS-400 Jembatan)'!AI63=0," ",'(AS-400 Jembatan)'!AI63+'(AS-400 Transfer)'!$AU63)</f>
        <v> </v>
      </c>
      <c r="AP63" s="474" t="e">
        <f>SUM(AK63:AK63)</f>
        <v>#REF!</v>
      </c>
      <c r="AQ63" s="474" t="e">
        <f>+'(AS-400 Jembatan)'!AK63</f>
        <v>#REF!</v>
      </c>
      <c r="AR63" s="474" t="e">
        <f>(AQ63-AP63)/AS63</f>
        <v>#REF!</v>
      </c>
      <c r="AS63" s="478">
        <f>+COUNT(AK63:AK63)</f>
        <v>0</v>
      </c>
      <c r="AT63" s="478" t="e">
        <f>+IF(AR63&lt;0,(ROUNDDOWN(AR63,0)),(ROUNDUP(AR63,0)))</f>
        <v>#REF!</v>
      </c>
      <c r="AU63" s="478" t="e">
        <v>#DIV/0!</v>
      </c>
      <c r="AV63" s="482" t="e">
        <f>+IF('(AS-400 Jembatan)'!AN63=0," ",'(AS-400 Jembatan)'!AN63+'(AS-400 Transfer)'!$BF63)</f>
        <v>#REF!</v>
      </c>
      <c r="AW63" s="474" t="e">
        <f>+IF('(AS-400 Jembatan)'!AO63=0," ",'(AS-400 Jembatan)'!AO63+'(AS-400 Transfer)'!$BF63)</f>
        <v>#REF!</v>
      </c>
      <c r="AX63" s="483" t="e">
        <f>+IF('(AS-400 Jembatan)'!AP63=0," ",'(AS-400 Jembatan)'!AP63+'(AS-400 Transfer)'!$BF63)</f>
        <v>#REF!</v>
      </c>
      <c r="AY63" s="474" t="e">
        <f>+IF('(AS-400 Jembatan)'!AQ63=0," ",'(AS-400 Jembatan)'!AQ63+'(AS-400 Transfer)'!$BF63)</f>
        <v>#REF!</v>
      </c>
      <c r="AZ63" s="474" t="e">
        <f>+IF('(AS-400 Jembatan)'!AR63=0," ",'(AS-400 Jembatan)'!AR63+'(AS-400 Transfer)'!$BF63)</f>
        <v>#REF!</v>
      </c>
      <c r="BA63" s="474" t="e">
        <f>SUM(AV63:AV63)</f>
        <v>#REF!</v>
      </c>
      <c r="BB63" s="474" t="e">
        <f>+GUM!Z69</f>
        <v>#REF!</v>
      </c>
      <c r="BC63" s="474" t="e">
        <f>(BB63-BA63)/BD63</f>
        <v>#REF!</v>
      </c>
      <c r="BD63" s="478">
        <f>+COUNT(AV63:AV63)</f>
        <v>0</v>
      </c>
      <c r="BE63" s="478" t="e">
        <f>+IF(BC63&lt;0,(ROUNDDOWN(BC63,0)),(ROUNDUP(BC63,0)))</f>
        <v>#REF!</v>
      </c>
      <c r="BF63" s="488" t="e">
        <v>#DIV/0!</v>
      </c>
      <c r="BG63" s="482" t="e">
        <f>+IF('(AS-400 Jembatan)'!AW63=0," ",'(AS-400 Jembatan)'!AW63+'(AS-400 Transfer)'!$BQ63)</f>
        <v>#REF!</v>
      </c>
      <c r="BH63" s="474" t="e">
        <f>+IF('(AS-400 Jembatan)'!AX63=0," ",'(AS-400 Jembatan)'!AX63+'(AS-400 Transfer)'!$BQ63)</f>
        <v>#REF!</v>
      </c>
      <c r="BI63" s="483" t="e">
        <f>+IF('(AS-400 Jembatan)'!AY63=0," ",'(AS-400 Jembatan)'!AY63+'(AS-400 Transfer)'!$BQ63)</f>
        <v>#REF!</v>
      </c>
      <c r="BJ63" s="474" t="e">
        <f>+IF('(AS-400 Jembatan)'!AZ63=0," ",'(AS-400 Jembatan)'!AZ63+'(AS-400 Transfer)'!$BQ63)</f>
        <v>#REF!</v>
      </c>
      <c r="BK63" s="474" t="str">
        <f>+IF('(AS-400 Jembatan)'!BA63=0," ",'(AS-400 Jembatan)'!BA63+'(AS-400 Transfer)'!$BQ63)</f>
        <v> </v>
      </c>
      <c r="BL63" s="474" t="e">
        <f>SUM(BG63:BG63)</f>
        <v>#REF!</v>
      </c>
      <c r="BM63" s="474" t="e">
        <f>+'(AS-400 Jembatan)'!BC63</f>
        <v>#REF!</v>
      </c>
      <c r="BN63" s="474" t="e">
        <f>(BM63-BL63)/BO63</f>
        <v>#REF!</v>
      </c>
      <c r="BO63" s="478">
        <f>+COUNT(BG63:BG63)</f>
        <v>0</v>
      </c>
      <c r="BP63" s="478" t="e">
        <f>+IF(BN63&lt;0,(ROUNDDOWN(BN63,0)),(ROUNDUP(BN63,0)))</f>
        <v>#REF!</v>
      </c>
      <c r="BQ63" s="488" t="e">
        <v>#DIV/0!</v>
      </c>
    </row>
    <row r="64" spans="1:142" customHeight="1" ht="15.75" s="473" customFormat="1">
      <c r="A64" s="1297"/>
      <c r="B64" s="842" t="str">
        <f>+GUM!C70</f>
        <v>82115-0E551</v>
      </c>
      <c r="C64" s="940" t="str">
        <f>'(AS-400 Jembatan)'!C64</f>
        <v>A 0401</v>
      </c>
      <c r="D64" s="550"/>
      <c r="E64" s="476"/>
      <c r="F64" s="476"/>
      <c r="G64" s="476"/>
      <c r="H64" s="476"/>
      <c r="I64" s="476"/>
      <c r="J64" s="477"/>
      <c r="K64" s="477"/>
      <c r="L64" s="479"/>
      <c r="M64" s="479"/>
      <c r="N64" s="479"/>
      <c r="O64" s="484" t="e">
        <f>+IF('(AS-400 Jembatan)'!M64=0," ",'(AS-400 Jembatan)'!M64+'(AS-400 Transfer)'!$Y64)</f>
        <v>#REF!</v>
      </c>
      <c r="P64" s="476" t="e">
        <f>+IF('(AS-400 Jembatan)'!N64=0," ",'(AS-400 Jembatan)'!N64+'(AS-400 Transfer)'!$Y64)</f>
        <v>#REF!</v>
      </c>
      <c r="Q64" s="504" t="e">
        <f>+IF('(AS-400 Jembatan)'!O64=0," ",'(AS-400 Jembatan)'!O64+'(AS-400 Transfer)'!$Y64)</f>
        <v>#REF!</v>
      </c>
      <c r="R64" s="476" t="e">
        <f>+IF('(AS-400 Jembatan)'!P64=0," ",'(AS-400 Jembatan)'!P64+'(AS-400 Transfer)'!$Y64)</f>
        <v>#REF!</v>
      </c>
      <c r="S64" s="476" t="e">
        <f>+IF('(AS-400 Jembatan)'!Q64=0," ",'(AS-400 Jembatan)'!Q64+'(AS-400 Transfer)'!$Y64)</f>
        <v>#REF!</v>
      </c>
      <c r="T64" s="476" t="e">
        <f>SUM(O64:O64)</f>
        <v>#REF!</v>
      </c>
      <c r="U64" s="476" t="e">
        <f>+'(AS-400 Jembatan)'!S64</f>
        <v>#REF!</v>
      </c>
      <c r="V64" s="476" t="e">
        <f>(U64-T64)/W64</f>
        <v>#REF!</v>
      </c>
      <c r="W64" s="479">
        <f>+COUNT(O64:O64)</f>
        <v>0</v>
      </c>
      <c r="X64" s="479" t="e">
        <f>+IF(V64&lt;0,(ROUNDDOWN(V64,0)),(ROUNDUP(V64,0)))</f>
        <v>#REF!</v>
      </c>
      <c r="Y64" s="480" t="e">
        <v>#DIV/0!</v>
      </c>
      <c r="Z64" s="484" t="e">
        <f>+IF('(AS-400 Jembatan)'!V64=0," ",'(AS-400 Jembatan)'!V64+'(AS-400 Transfer)'!$AJ64)</f>
        <v>#REF!</v>
      </c>
      <c r="AA64" s="500" t="e">
        <f>+IF('(AS-400 Jembatan)'!W64=0," ",'(AS-400 Jembatan)'!W64+'(AS-400 Transfer)'!$AJ64)</f>
        <v>#REF!</v>
      </c>
      <c r="AB64" s="504" t="e">
        <f>+IF('(AS-400 Jembatan)'!X64=0," ",'(AS-400 Jembatan)'!X64+'(AS-400 Transfer)'!$AJ64)</f>
        <v>#REF!</v>
      </c>
      <c r="AC64" s="476" t="e">
        <f>+IF('(AS-400 Jembatan)'!Y64=0," ",'(AS-400 Jembatan)'!Y64+'(AS-400 Transfer)'!$AJ64)</f>
        <v>#REF!</v>
      </c>
      <c r="AD64" s="476" t="str">
        <f>+IF('(AS-400 Jembatan)'!Z64=0," ",'(AS-400 Jembatan)'!Z64+'(AS-400 Transfer)'!$AJ64)</f>
        <v> </v>
      </c>
      <c r="AE64" s="476" t="e">
        <f>SUM(Z64:Z64)</f>
        <v>#REF!</v>
      </c>
      <c r="AF64" s="476" t="e">
        <f>+'(AS-400 Jembatan)'!AB64</f>
        <v>#REF!</v>
      </c>
      <c r="AG64" s="501" t="e">
        <f>(AF64-AE64)/AH64</f>
        <v>#REF!</v>
      </c>
      <c r="AH64" s="479">
        <f>+COUNT(Z64:Z64)</f>
        <v>0</v>
      </c>
      <c r="AI64" s="477" t="e">
        <f>+IF(AG64&lt;0,(ROUNDDOWN(AG64,0)),(ROUNDUP(AG64,0)))</f>
        <v>#REF!</v>
      </c>
      <c r="AJ64" s="487" t="e">
        <v>#DIV/0!</v>
      </c>
      <c r="AK64" s="484" t="e">
        <f>+IF('(AS-400 Jembatan)'!AE64=0," ",'(AS-400 Jembatan)'!AE64+'(AS-400 Transfer)'!$AU64)</f>
        <v>#REF!</v>
      </c>
      <c r="AL64" s="476" t="e">
        <f>+IF('(AS-400 Jembatan)'!AF64=0," ",'(AS-400 Jembatan)'!AF64+'(AS-400 Transfer)'!$AU64)</f>
        <v>#REF!</v>
      </c>
      <c r="AM64" s="504" t="e">
        <f>+IF('(AS-400 Jembatan)'!AG64=0," ",'(AS-400 Jembatan)'!AG64+'(AS-400 Transfer)'!$AU64)</f>
        <v>#REF!</v>
      </c>
      <c r="AN64" s="476" t="e">
        <f>+IF('(AS-400 Jembatan)'!AH64=0," ",'(AS-400 Jembatan)'!AH64+'(AS-400 Transfer)'!$AU64)</f>
        <v>#REF!</v>
      </c>
      <c r="AO64" s="476" t="str">
        <f>+IF('(AS-400 Jembatan)'!AI64=0," ",'(AS-400 Jembatan)'!AI64+'(AS-400 Transfer)'!$AU64)</f>
        <v> </v>
      </c>
      <c r="AP64" s="476" t="e">
        <f>SUM(AK64:AK64)</f>
        <v>#REF!</v>
      </c>
      <c r="AQ64" s="476" t="e">
        <f>+'(AS-400 Jembatan)'!AK64</f>
        <v>#REF!</v>
      </c>
      <c r="AR64" s="501" t="e">
        <f>(AQ64-AP64)/AS64</f>
        <v>#REF!</v>
      </c>
      <c r="AS64" s="479">
        <f>+COUNT(AK64:AK64)</f>
        <v>0</v>
      </c>
      <c r="AT64" s="479" t="e">
        <f>+IF(AR64&lt;0,(ROUNDDOWN(AR64,0)),(ROUNDUP(AR64,0)))</f>
        <v>#REF!</v>
      </c>
      <c r="AU64" s="479" t="e">
        <v>#DIV/0!</v>
      </c>
      <c r="AV64" s="484" t="e">
        <f>+IF('(AS-400 Jembatan)'!AN64=0," ",'(AS-400 Jembatan)'!AN64+'(AS-400 Transfer)'!$BF64)</f>
        <v>#REF!</v>
      </c>
      <c r="AW64" s="476" t="e">
        <f>+IF('(AS-400 Jembatan)'!AO64=0," ",'(AS-400 Jembatan)'!AO64+'(AS-400 Transfer)'!$BF64)</f>
        <v>#REF!</v>
      </c>
      <c r="AX64" s="504" t="e">
        <f>+IF('(AS-400 Jembatan)'!AP64=0," ",'(AS-400 Jembatan)'!AP64+'(AS-400 Transfer)'!$BF64)</f>
        <v>#REF!</v>
      </c>
      <c r="AY64" s="476" t="e">
        <f>+IF('(AS-400 Jembatan)'!AQ64=0," ",'(AS-400 Jembatan)'!AQ64+'(AS-400 Transfer)'!$BF64)</f>
        <v>#REF!</v>
      </c>
      <c r="AZ64" s="476" t="e">
        <f>+IF('(AS-400 Jembatan)'!AR64=0," ",'(AS-400 Jembatan)'!AR64+'(AS-400 Transfer)'!$BF64)</f>
        <v>#REF!</v>
      </c>
      <c r="BA64" s="476" t="e">
        <f>SUM(AV64:AV64)</f>
        <v>#REF!</v>
      </c>
      <c r="BB64" s="476" t="e">
        <f>+GUM!Z70</f>
        <v>#REF!</v>
      </c>
      <c r="BC64" s="476" t="e">
        <f>(BB64-BA64)/BD64</f>
        <v>#REF!</v>
      </c>
      <c r="BD64" s="479">
        <f>+COUNT(AV64:AV64)</f>
        <v>0</v>
      </c>
      <c r="BE64" s="479" t="e">
        <f>+IF(BC64&lt;0,(ROUNDDOWN(BC64,0)),(ROUNDUP(BC64,0)))</f>
        <v>#REF!</v>
      </c>
      <c r="BF64" s="480" t="e">
        <v>#DIV/0!</v>
      </c>
      <c r="BG64" s="484" t="e">
        <f>+IF('(AS-400 Jembatan)'!AW64=0," ",'(AS-400 Jembatan)'!AW64+'(AS-400 Transfer)'!$BQ64)</f>
        <v>#REF!</v>
      </c>
      <c r="BH64" s="476" t="e">
        <f>+IF('(AS-400 Jembatan)'!AX64=0," ",'(AS-400 Jembatan)'!AX64+'(AS-400 Transfer)'!$BQ64)</f>
        <v>#REF!</v>
      </c>
      <c r="BI64" s="504" t="e">
        <f>+IF('(AS-400 Jembatan)'!AY64=0," ",'(AS-400 Jembatan)'!AY64+'(AS-400 Transfer)'!$BQ64)</f>
        <v>#REF!</v>
      </c>
      <c r="BJ64" s="476" t="e">
        <f>+IF('(AS-400 Jembatan)'!AZ64=0," ",'(AS-400 Jembatan)'!AZ64+'(AS-400 Transfer)'!$BQ64)</f>
        <v>#REF!</v>
      </c>
      <c r="BK64" s="476" t="str">
        <f>+IF('(AS-400 Jembatan)'!BA64=0," ",'(AS-400 Jembatan)'!BA64+'(AS-400 Transfer)'!$BQ64)</f>
        <v> </v>
      </c>
      <c r="BL64" s="476" t="e">
        <f>SUM(BG64:BG64)</f>
        <v>#REF!</v>
      </c>
      <c r="BM64" s="476" t="e">
        <f>+'(AS-400 Jembatan)'!BC64</f>
        <v>#REF!</v>
      </c>
      <c r="BN64" s="476" t="e">
        <f>(BM64-BL64)/BO64</f>
        <v>#REF!</v>
      </c>
      <c r="BO64" s="479">
        <f>+COUNT(BG64:BG64)</f>
        <v>0</v>
      </c>
      <c r="BP64" s="479" t="e">
        <f>+IF(BN64&lt;0,(ROUNDDOWN(BN64,0)),(ROUNDUP(BN64,0)))</f>
        <v>#REF!</v>
      </c>
      <c r="BQ64" s="480" t="e">
        <v>#DIV/0!</v>
      </c>
    </row>
    <row r="65" spans="1:142" customHeight="1" ht="15.75" s="473" customFormat="1">
      <c r="A65" s="1297"/>
      <c r="B65" s="969" t="str">
        <f>+GUM!C71</f>
        <v>82115-0E561</v>
      </c>
      <c r="C65" s="939" t="str">
        <f>'(AS-400 Jembatan)'!C65</f>
        <v>A 0501</v>
      </c>
      <c r="D65" s="505"/>
      <c r="E65" s="474"/>
      <c r="F65" s="474"/>
      <c r="G65" s="474"/>
      <c r="H65" s="474"/>
      <c r="I65" s="474"/>
      <c r="J65" s="475"/>
      <c r="K65" s="475"/>
      <c r="L65" s="478"/>
      <c r="M65" s="478"/>
      <c r="N65" s="478"/>
      <c r="O65" s="482" t="str">
        <f>+IF('(AS-400 Jembatan)'!M65=0," ",'(AS-400 Jembatan)'!M65+'(AS-400 Transfer)'!$Y65)</f>
        <v> </v>
      </c>
      <c r="P65" s="474" t="str">
        <f>+IF('(AS-400 Jembatan)'!N65=0," ",'(AS-400 Jembatan)'!N65+'(AS-400 Transfer)'!$Y65)</f>
        <v> </v>
      </c>
      <c r="Q65" s="483" t="str">
        <f>+IF('(AS-400 Jembatan)'!O65=0," ",'(AS-400 Jembatan)'!O65+'(AS-400 Transfer)'!$Y65)</f>
        <v> </v>
      </c>
      <c r="R65" s="474" t="str">
        <f>+IF('(AS-400 Jembatan)'!P65=0," ",'(AS-400 Jembatan)'!P65+'(AS-400 Transfer)'!$Y65)</f>
        <v> </v>
      </c>
      <c r="S65" s="474" t="str">
        <f>+IF('(AS-400 Jembatan)'!Q65=0," ",'(AS-400 Jembatan)'!Q65+'(AS-400 Transfer)'!$Y65)</f>
        <v> </v>
      </c>
      <c r="T65" s="474">
        <f>SUM(O65:O65)</f>
        <v>0</v>
      </c>
      <c r="U65" s="474">
        <f>+'(AS-400 Jembatan)'!S65</f>
        <v/>
      </c>
      <c r="V65" s="474" t="e">
        <f>(U65-T65)/W65</f>
        <v>#DIV/0!</v>
      </c>
      <c r="W65" s="478">
        <f>+COUNT(O65:O65)</f>
        <v>0</v>
      </c>
      <c r="X65" s="478" t="e">
        <f>+IF(V65&lt;0,(ROUNDDOWN(V65,0)),(ROUNDUP(V65,0)))</f>
        <v>#DIV/0!</v>
      </c>
      <c r="Y65" s="488" t="e">
        <v>#DIV/0!</v>
      </c>
      <c r="Z65" s="482" t="str">
        <f>+IF('(AS-400 Jembatan)'!V65=0," ",'(AS-400 Jembatan)'!V65+'(AS-400 Transfer)'!$AJ65)</f>
        <v> </v>
      </c>
      <c r="AA65" s="494" t="str">
        <f>+IF('(AS-400 Jembatan)'!W65=0," ",'(AS-400 Jembatan)'!W65+'(AS-400 Transfer)'!$AJ65)</f>
        <v> </v>
      </c>
      <c r="AB65" s="483" t="str">
        <f>+IF('(AS-400 Jembatan)'!X65=0," ",'(AS-400 Jembatan)'!X65+'(AS-400 Transfer)'!$AJ65)</f>
        <v> </v>
      </c>
      <c r="AC65" s="474" t="str">
        <f>+IF('(AS-400 Jembatan)'!Y65=0," ",'(AS-400 Jembatan)'!Y65+'(AS-400 Transfer)'!$AJ65)</f>
        <v> </v>
      </c>
      <c r="AD65" s="474" t="str">
        <f>+IF('(AS-400 Jembatan)'!Z65=0," ",'(AS-400 Jembatan)'!Z65+'(AS-400 Transfer)'!$AJ65)</f>
        <v> </v>
      </c>
      <c r="AE65" s="474">
        <f>SUM(Z65:Z65)</f>
        <v>0</v>
      </c>
      <c r="AF65" s="474">
        <f>+'(AS-400 Jembatan)'!AB65</f>
        <v/>
      </c>
      <c r="AG65" s="474" t="e">
        <f>(AF65-AE65)/AH65</f>
        <v>#DIV/0!</v>
      </c>
      <c r="AH65" s="478">
        <f>+COUNT(Z65:Z65)</f>
        <v>0</v>
      </c>
      <c r="AI65" s="475" t="e">
        <f>+IF(AG65&lt;0,(ROUNDDOWN(AG65,0)),(ROUNDUP(AG65,0)))</f>
        <v>#DIV/0!</v>
      </c>
      <c r="AJ65" s="481" t="e">
        <v>#DIV/0!</v>
      </c>
      <c r="AK65" s="482" t="str">
        <f>+IF('(AS-400 Jembatan)'!AE65=0," ",'(AS-400 Jembatan)'!AE65+'(AS-400 Transfer)'!$AU65)</f>
        <v> </v>
      </c>
      <c r="AL65" s="474" t="str">
        <f>+IF('(AS-400 Jembatan)'!AF65=0," ",'(AS-400 Jembatan)'!AF65+'(AS-400 Transfer)'!$AU65)</f>
        <v> </v>
      </c>
      <c r="AM65" s="483" t="str">
        <f>+IF('(AS-400 Jembatan)'!AG65=0," ",'(AS-400 Jembatan)'!AG65+'(AS-400 Transfer)'!$AU65)</f>
        <v> </v>
      </c>
      <c r="AN65" s="474" t="str">
        <f>+IF('(AS-400 Jembatan)'!AH65=0," ",'(AS-400 Jembatan)'!AH65+'(AS-400 Transfer)'!$AU65)</f>
        <v> </v>
      </c>
      <c r="AO65" s="474" t="str">
        <f>+IF('(AS-400 Jembatan)'!AI65=0," ",'(AS-400 Jembatan)'!AI65+'(AS-400 Transfer)'!$AU65)</f>
        <v> </v>
      </c>
      <c r="AP65" s="474">
        <f>SUM(AK65:AK65)</f>
        <v>0</v>
      </c>
      <c r="AQ65" s="474">
        <f>+'(AS-400 Jembatan)'!AK65</f>
        <v/>
      </c>
      <c r="AR65" s="474" t="e">
        <f>(AQ65-AP65)/AS65</f>
        <v>#DIV/0!</v>
      </c>
      <c r="AS65" s="478">
        <f>+COUNT(AK65:AK65)</f>
        <v>0</v>
      </c>
      <c r="AT65" s="478" t="e">
        <f>+IF(AR65&lt;0,(ROUNDDOWN(AR65,0)),(ROUNDUP(AR65,0)))</f>
        <v>#DIV/0!</v>
      </c>
      <c r="AU65" s="478" t="e">
        <v>#DIV/0!</v>
      </c>
      <c r="AV65" s="482" t="str">
        <f>+IF('(AS-400 Jembatan)'!AN65=0," ",'(AS-400 Jembatan)'!AN65+'(AS-400 Transfer)'!$BF65)</f>
        <v> </v>
      </c>
      <c r="AW65" s="474" t="str">
        <f>+IF('(AS-400 Jembatan)'!AO65=0," ",'(AS-400 Jembatan)'!AO65+'(AS-400 Transfer)'!$BF65)</f>
        <v> </v>
      </c>
      <c r="AX65" s="483" t="str">
        <f>+IF('(AS-400 Jembatan)'!AP65=0," ",'(AS-400 Jembatan)'!AP65+'(AS-400 Transfer)'!$BF65)</f>
        <v> </v>
      </c>
      <c r="AY65" s="474" t="str">
        <f>+IF('(AS-400 Jembatan)'!AQ65=0," ",'(AS-400 Jembatan)'!AQ65+'(AS-400 Transfer)'!$BF65)</f>
        <v> </v>
      </c>
      <c r="AZ65" s="474" t="str">
        <f>+IF('(AS-400 Jembatan)'!AR65=0," ",'(AS-400 Jembatan)'!AR65+'(AS-400 Transfer)'!$BF65)</f>
        <v> </v>
      </c>
      <c r="BA65" s="474">
        <f>SUM(AV65:AV65)</f>
        <v>0</v>
      </c>
      <c r="BB65" s="474">
        <f>+GUM!Z71</f>
        <v/>
      </c>
      <c r="BC65" s="474" t="e">
        <f>(BB65-BA65)/BD65</f>
        <v>#DIV/0!</v>
      </c>
      <c r="BD65" s="478">
        <f>+COUNT(AV65:AV65)</f>
        <v>0</v>
      </c>
      <c r="BE65" s="478" t="e">
        <f>+IF(BC65&lt;0,(ROUNDDOWN(BC65,0)),(ROUNDUP(BC65,0)))</f>
        <v>#DIV/0!</v>
      </c>
      <c r="BF65" s="488" t="e">
        <v>#DIV/0!</v>
      </c>
      <c r="BG65" s="482" t="str">
        <f>+IF('(AS-400 Jembatan)'!AW65=0," ",'(AS-400 Jembatan)'!AW65+'(AS-400 Transfer)'!$BQ65)</f>
        <v> </v>
      </c>
      <c r="BH65" s="474" t="str">
        <f>+IF('(AS-400 Jembatan)'!AX65=0," ",'(AS-400 Jembatan)'!AX65+'(AS-400 Transfer)'!$BQ65)</f>
        <v> </v>
      </c>
      <c r="BI65" s="483" t="str">
        <f>+IF('(AS-400 Jembatan)'!AY65=0," ",'(AS-400 Jembatan)'!AY65+'(AS-400 Transfer)'!$BQ65)</f>
        <v> </v>
      </c>
      <c r="BJ65" s="474" t="str">
        <f>+IF('(AS-400 Jembatan)'!AZ65=0," ",'(AS-400 Jembatan)'!AZ65+'(AS-400 Transfer)'!$BQ65)</f>
        <v> </v>
      </c>
      <c r="BK65" s="474" t="str">
        <f>+IF('(AS-400 Jembatan)'!BA65=0," ",'(AS-400 Jembatan)'!BA65+'(AS-400 Transfer)'!$BQ65)</f>
        <v> </v>
      </c>
      <c r="BL65" s="474">
        <f>SUM(BG65:BG65)</f>
        <v>0</v>
      </c>
      <c r="BM65" s="474">
        <f>+'(AS-400 Jembatan)'!BC65</f>
        <v/>
      </c>
      <c r="BN65" s="474" t="e">
        <f>(BM65-BL65)/BO65</f>
        <v>#DIV/0!</v>
      </c>
      <c r="BO65" s="478">
        <f>+COUNT(BG65:BG65)</f>
        <v>0</v>
      </c>
      <c r="BP65" s="478" t="e">
        <f>+IF(BN65&lt;0,(ROUNDDOWN(BN65,0)),(ROUNDUP(BN65,0)))</f>
        <v>#DIV/0!</v>
      </c>
      <c r="BQ65" s="488" t="e">
        <v>#DIV/0!</v>
      </c>
    </row>
    <row r="66" spans="1:142" customHeight="1" ht="15.75" s="473" customFormat="1">
      <c r="A66" s="1297"/>
      <c r="B66" s="842" t="str">
        <f>+GUM!C72</f>
        <v>82115-0EA21</v>
      </c>
      <c r="C66" s="939" t="str">
        <f>'(AS-400 Jembatan)'!C66</f>
        <v>A 0501</v>
      </c>
      <c r="D66" s="505"/>
      <c r="E66" s="474"/>
      <c r="F66" s="474"/>
      <c r="G66" s="474"/>
      <c r="H66" s="474"/>
      <c r="I66" s="474"/>
      <c r="J66" s="475"/>
      <c r="K66" s="475"/>
      <c r="L66" s="478"/>
      <c r="M66" s="478"/>
      <c r="N66" s="478"/>
      <c r="O66" s="482" t="e">
        <f>+IF('(AS-400 Jembatan)'!M66=0," ",'(AS-400 Jembatan)'!M66+'(AS-400 Transfer)'!$Y66)</f>
        <v>#REF!</v>
      </c>
      <c r="P66" s="474" t="e">
        <f>+IF('(AS-400 Jembatan)'!N66=0," ",'(AS-400 Jembatan)'!N66+'(AS-400 Transfer)'!$Y66)</f>
        <v>#REF!</v>
      </c>
      <c r="Q66" s="483" t="e">
        <f>+IF('(AS-400 Jembatan)'!O66=0," ",'(AS-400 Jembatan)'!O66+'(AS-400 Transfer)'!$Y66)</f>
        <v>#REF!</v>
      </c>
      <c r="R66" s="474" t="e">
        <f>+IF('(AS-400 Jembatan)'!P66=0," ",'(AS-400 Jembatan)'!P66+'(AS-400 Transfer)'!$Y66)</f>
        <v>#REF!</v>
      </c>
      <c r="S66" s="474" t="e">
        <f>+IF('(AS-400 Jembatan)'!Q66=0," ",'(AS-400 Jembatan)'!Q66+'(AS-400 Transfer)'!$Y66)</f>
        <v>#REF!</v>
      </c>
      <c r="T66" s="474" t="e">
        <f>SUM(O66:O66)</f>
        <v>#REF!</v>
      </c>
      <c r="U66" s="474" t="e">
        <f>+'(AS-400 Jembatan)'!S66</f>
        <v>#REF!</v>
      </c>
      <c r="V66" s="474" t="e">
        <f>(U66-T66)/W66</f>
        <v>#REF!</v>
      </c>
      <c r="W66" s="478">
        <f>+COUNT(O66:O66)</f>
        <v>0</v>
      </c>
      <c r="X66" s="478" t="e">
        <f>+IF(V66&lt;0,(ROUNDDOWN(V66,0)),(ROUNDUP(V66,0)))</f>
        <v>#REF!</v>
      </c>
      <c r="Y66" s="488" t="e">
        <v>#DIV/0!</v>
      </c>
      <c r="Z66" s="482" t="e">
        <f>+IF('(AS-400 Jembatan)'!V66=0," ",'(AS-400 Jembatan)'!V66+'(AS-400 Transfer)'!$AJ66)</f>
        <v>#REF!</v>
      </c>
      <c r="AA66" s="494" t="e">
        <f>+IF('(AS-400 Jembatan)'!W66=0," ",'(AS-400 Jembatan)'!W66+'(AS-400 Transfer)'!$AJ66)</f>
        <v>#REF!</v>
      </c>
      <c r="AB66" s="483" t="e">
        <f>+IF('(AS-400 Jembatan)'!X66=0," ",'(AS-400 Jembatan)'!X66+'(AS-400 Transfer)'!$AJ66)</f>
        <v>#REF!</v>
      </c>
      <c r="AC66" s="474" t="e">
        <f>+IF('(AS-400 Jembatan)'!Y66=0," ",'(AS-400 Jembatan)'!Y66+'(AS-400 Transfer)'!$AJ66)</f>
        <v>#REF!</v>
      </c>
      <c r="AD66" s="474" t="str">
        <f>+IF('(AS-400 Jembatan)'!Z66=0," ",'(AS-400 Jembatan)'!Z66+'(AS-400 Transfer)'!$AJ66)</f>
        <v> </v>
      </c>
      <c r="AE66" s="474" t="e">
        <f>SUM(Z66:Z66)</f>
        <v>#REF!</v>
      </c>
      <c r="AF66" s="474" t="e">
        <f>+'(AS-400 Jembatan)'!AB66</f>
        <v>#REF!</v>
      </c>
      <c r="AG66" s="474" t="e">
        <f>(AF66-AE66)/AH66</f>
        <v>#REF!</v>
      </c>
      <c r="AH66" s="478">
        <f>+COUNT(Z66:Z66)</f>
        <v>0</v>
      </c>
      <c r="AI66" s="475" t="e">
        <f>+IF(AG66&lt;0,(ROUNDDOWN(AG66,0)),(ROUNDUP(AG66,0)))</f>
        <v>#REF!</v>
      </c>
      <c r="AJ66" s="481" t="e">
        <v>#DIV/0!</v>
      </c>
      <c r="AK66" s="482" t="e">
        <f>+IF('(AS-400 Jembatan)'!AE66=0," ",'(AS-400 Jembatan)'!AE66+'(AS-400 Transfer)'!$AU66)</f>
        <v>#REF!</v>
      </c>
      <c r="AL66" s="474" t="e">
        <f>+IF('(AS-400 Jembatan)'!AF66=0," ",'(AS-400 Jembatan)'!AF66+'(AS-400 Transfer)'!$AU66)</f>
        <v>#REF!</v>
      </c>
      <c r="AM66" s="483" t="e">
        <f>+IF('(AS-400 Jembatan)'!AG66=0," ",'(AS-400 Jembatan)'!AG66+'(AS-400 Transfer)'!$AU66)</f>
        <v>#REF!</v>
      </c>
      <c r="AN66" s="474" t="e">
        <f>+IF('(AS-400 Jembatan)'!AH66=0," ",'(AS-400 Jembatan)'!AH66+'(AS-400 Transfer)'!$AU66)</f>
        <v>#REF!</v>
      </c>
      <c r="AO66" s="474" t="str">
        <f>+IF('(AS-400 Jembatan)'!AI66=0," ",'(AS-400 Jembatan)'!AI66+'(AS-400 Transfer)'!$AU66)</f>
        <v> </v>
      </c>
      <c r="AP66" s="474" t="e">
        <f>SUM(AK66:AK66)</f>
        <v>#REF!</v>
      </c>
      <c r="AQ66" s="474" t="e">
        <f>+'(AS-400 Jembatan)'!AK66</f>
        <v>#REF!</v>
      </c>
      <c r="AR66" s="474" t="e">
        <f>(AQ66-AP66)/AS66</f>
        <v>#REF!</v>
      </c>
      <c r="AS66" s="478">
        <f>+COUNT(AK66:AK66)</f>
        <v>0</v>
      </c>
      <c r="AT66" s="478" t="e">
        <f>+IF(AR66&lt;0,(ROUNDDOWN(AR66,0)),(ROUNDUP(AR66,0)))</f>
        <v>#REF!</v>
      </c>
      <c r="AU66" s="478" t="e">
        <v>#DIV/0!</v>
      </c>
      <c r="AV66" s="482" t="e">
        <f>+IF('(AS-400 Jembatan)'!AN66=0," ",'(AS-400 Jembatan)'!AN66+'(AS-400 Transfer)'!$BF66)</f>
        <v>#REF!</v>
      </c>
      <c r="AW66" s="474" t="e">
        <f>+IF('(AS-400 Jembatan)'!AO66=0," ",'(AS-400 Jembatan)'!AO66+'(AS-400 Transfer)'!$BF66)</f>
        <v>#REF!</v>
      </c>
      <c r="AX66" s="483" t="e">
        <f>+IF('(AS-400 Jembatan)'!AP66=0," ",'(AS-400 Jembatan)'!AP66+'(AS-400 Transfer)'!$BF66)</f>
        <v>#REF!</v>
      </c>
      <c r="AY66" s="474" t="e">
        <f>+IF('(AS-400 Jembatan)'!AQ66=0," ",'(AS-400 Jembatan)'!AQ66+'(AS-400 Transfer)'!$BF66)</f>
        <v>#REF!</v>
      </c>
      <c r="AZ66" s="474" t="e">
        <f>+IF('(AS-400 Jembatan)'!AR66=0," ",'(AS-400 Jembatan)'!AR66+'(AS-400 Transfer)'!$BF66)</f>
        <v>#REF!</v>
      </c>
      <c r="BA66" s="474" t="e">
        <f>SUM(AV66:AV66)</f>
        <v>#REF!</v>
      </c>
      <c r="BB66" s="474" t="e">
        <f>+GUM!Z72</f>
        <v>#REF!</v>
      </c>
      <c r="BC66" s="474" t="e">
        <f>(BB66-BA66)/BD66</f>
        <v>#REF!</v>
      </c>
      <c r="BD66" s="478">
        <f>+COUNT(AV66:AV66)</f>
        <v>0</v>
      </c>
      <c r="BE66" s="478" t="e">
        <f>+IF(BC66&lt;0,(ROUNDDOWN(BC66,0)),(ROUNDUP(BC66,0)))</f>
        <v>#REF!</v>
      </c>
      <c r="BF66" s="488" t="e">
        <v>#DIV/0!</v>
      </c>
      <c r="BG66" s="482" t="e">
        <f>+IF('(AS-400 Jembatan)'!AW66=0," ",'(AS-400 Jembatan)'!AW66+'(AS-400 Transfer)'!$BQ66)</f>
        <v>#REF!</v>
      </c>
      <c r="BH66" s="474" t="e">
        <f>+IF('(AS-400 Jembatan)'!AX66=0," ",'(AS-400 Jembatan)'!AX66+'(AS-400 Transfer)'!$BQ66)</f>
        <v>#REF!</v>
      </c>
      <c r="BI66" s="483" t="e">
        <f>+IF('(AS-400 Jembatan)'!AY66=0," ",'(AS-400 Jembatan)'!AY66+'(AS-400 Transfer)'!$BQ66)</f>
        <v>#REF!</v>
      </c>
      <c r="BJ66" s="474" t="e">
        <f>+IF('(AS-400 Jembatan)'!AZ66=0," ",'(AS-400 Jembatan)'!AZ66+'(AS-400 Transfer)'!$BQ66)</f>
        <v>#REF!</v>
      </c>
      <c r="BK66" s="474" t="str">
        <f>+IF('(AS-400 Jembatan)'!BA66=0," ",'(AS-400 Jembatan)'!BA66+'(AS-400 Transfer)'!$BQ66)</f>
        <v> </v>
      </c>
      <c r="BL66" s="474" t="e">
        <f>SUM(BG66:BG66)</f>
        <v>#REF!</v>
      </c>
      <c r="BM66" s="474" t="e">
        <f>+'(AS-400 Jembatan)'!BC66</f>
        <v>#REF!</v>
      </c>
      <c r="BN66" s="474" t="e">
        <f>(BM66-BL66)/BO66</f>
        <v>#REF!</v>
      </c>
      <c r="BO66" s="478">
        <f>+COUNT(BG66:BG66)</f>
        <v>0</v>
      </c>
      <c r="BP66" s="478" t="e">
        <f>+IF(BN66&lt;0,(ROUNDDOWN(BN66,0)),(ROUNDUP(BN66,0)))</f>
        <v>#REF!</v>
      </c>
      <c r="BQ66" s="488" t="e">
        <v>#DIV/0!</v>
      </c>
    </row>
    <row r="67" spans="1:142" customHeight="1" ht="16.5" s="865" customFormat="1">
      <c r="A67" s="1297"/>
      <c r="B67" s="841" t="str">
        <f>+GUM!C73</f>
        <v>82115-0EA31</v>
      </c>
      <c r="C67" s="939" t="str">
        <f>'(AS-400 Jembatan)'!C67</f>
        <v>A 0501</v>
      </c>
      <c r="D67" s="550"/>
      <c r="E67" s="476"/>
      <c r="F67" s="476"/>
      <c r="G67" s="476"/>
      <c r="H67" s="476"/>
      <c r="I67" s="476"/>
      <c r="J67" s="477"/>
      <c r="K67" s="477"/>
      <c r="L67" s="479"/>
      <c r="M67" s="479"/>
      <c r="N67" s="479"/>
      <c r="O67" s="482" t="e">
        <f>+IF('(AS-400 Jembatan)'!M67=0," ",'(AS-400 Jembatan)'!M67+'(AS-400 Transfer)'!$Y67)</f>
        <v>#REF!</v>
      </c>
      <c r="P67" s="474" t="e">
        <f>+IF('(AS-400 Jembatan)'!N67=0," ",'(AS-400 Jembatan)'!N67+'(AS-400 Transfer)'!$Y67)</f>
        <v>#REF!</v>
      </c>
      <c r="Q67" s="483" t="e">
        <f>+IF('(AS-400 Jembatan)'!O67=0," ",'(AS-400 Jembatan)'!O67+'(AS-400 Transfer)'!$Y67)</f>
        <v>#REF!</v>
      </c>
      <c r="R67" s="474" t="e">
        <f>+IF('(AS-400 Jembatan)'!P67=0," ",'(AS-400 Jembatan)'!P67+'(AS-400 Transfer)'!$Y67)</f>
        <v>#REF!</v>
      </c>
      <c r="S67" s="474" t="e">
        <f>+IF('(AS-400 Jembatan)'!Q67=0," ",'(AS-400 Jembatan)'!Q67+'(AS-400 Transfer)'!$Y67)</f>
        <v>#REF!</v>
      </c>
      <c r="T67" s="474" t="e">
        <f>SUM(O67:O67)</f>
        <v>#REF!</v>
      </c>
      <c r="U67" s="474" t="e">
        <f>+'(AS-400 Jembatan)'!S67</f>
        <v>#REF!</v>
      </c>
      <c r="V67" s="476" t="e">
        <f>(U67-T67)/W67</f>
        <v>#REF!</v>
      </c>
      <c r="W67" s="479">
        <f>+COUNT(O67:O67)</f>
        <v>0</v>
      </c>
      <c r="X67" s="479" t="e">
        <f>+IF(V67&lt;0,(ROUNDDOWN(V67,0)),(ROUNDUP(V67,0)))</f>
        <v>#REF!</v>
      </c>
      <c r="Y67" s="480" t="e">
        <v>#DIV/0!</v>
      </c>
      <c r="Z67" s="484" t="e">
        <f>+IF('(AS-400 Jembatan)'!V67=0," ",'(AS-400 Jembatan)'!V67+'(AS-400 Transfer)'!$AJ67)</f>
        <v>#REF!</v>
      </c>
      <c r="AA67" s="500" t="e">
        <f>+IF('(AS-400 Jembatan)'!W67=0," ",'(AS-400 Jembatan)'!W67+'(AS-400 Transfer)'!$AJ67)</f>
        <v>#REF!</v>
      </c>
      <c r="AB67" s="504" t="e">
        <f>+IF('(AS-400 Jembatan)'!X67=0," ",'(AS-400 Jembatan)'!X67+'(AS-400 Transfer)'!$AJ67)</f>
        <v>#REF!</v>
      </c>
      <c r="AC67" s="476" t="e">
        <f>+IF('(AS-400 Jembatan)'!Y67=0," ",'(AS-400 Jembatan)'!Y67+'(AS-400 Transfer)'!$AJ67)</f>
        <v>#REF!</v>
      </c>
      <c r="AD67" s="476" t="str">
        <f>+IF('(AS-400 Jembatan)'!Z67=0," ",'(AS-400 Jembatan)'!Z67+'(AS-400 Transfer)'!$AJ67)</f>
        <v> </v>
      </c>
      <c r="AE67" s="476" t="e">
        <f>SUM(Z67:Z67)</f>
        <v>#REF!</v>
      </c>
      <c r="AF67" s="476" t="e">
        <f>+'(AS-400 Jembatan)'!AB67</f>
        <v>#REF!</v>
      </c>
      <c r="AG67" s="476" t="e">
        <f>(AF67-AE67)/AH67</f>
        <v>#REF!</v>
      </c>
      <c r="AH67" s="479">
        <f>+COUNT(Z67:Z67)</f>
        <v>0</v>
      </c>
      <c r="AI67" s="477" t="e">
        <f>+IF(AG67&lt;0,(ROUNDDOWN(AG67,0)),(ROUNDUP(AG67,0)))</f>
        <v>#REF!</v>
      </c>
      <c r="AJ67" s="487" t="e">
        <v>#DIV/0!</v>
      </c>
      <c r="AK67" s="484" t="e">
        <f>+IF('(AS-400 Jembatan)'!AE67=0," ",'(AS-400 Jembatan)'!AE67+'(AS-400 Transfer)'!$AU67)</f>
        <v>#REF!</v>
      </c>
      <c r="AL67" s="476" t="e">
        <f>+IF('(AS-400 Jembatan)'!AF67=0," ",'(AS-400 Jembatan)'!AF67+'(AS-400 Transfer)'!$AU67)</f>
        <v>#REF!</v>
      </c>
      <c r="AM67" s="504" t="e">
        <f>+IF('(AS-400 Jembatan)'!AG67=0," ",'(AS-400 Jembatan)'!AG67+'(AS-400 Transfer)'!$AU67)</f>
        <v>#REF!</v>
      </c>
      <c r="AN67" s="476" t="e">
        <f>+IF('(AS-400 Jembatan)'!AH67=0," ",'(AS-400 Jembatan)'!AH67+'(AS-400 Transfer)'!$AU67)</f>
        <v>#REF!</v>
      </c>
      <c r="AO67" s="476" t="str">
        <f>+IF('(AS-400 Jembatan)'!AI67=0," ",'(AS-400 Jembatan)'!AI67+'(AS-400 Transfer)'!$AU67)</f>
        <v> </v>
      </c>
      <c r="AP67" s="476" t="e">
        <f>SUM(AK67:AK67)</f>
        <v>#REF!</v>
      </c>
      <c r="AQ67" s="476" t="e">
        <f>+'(AS-400 Jembatan)'!AK67</f>
        <v>#REF!</v>
      </c>
      <c r="AR67" s="476" t="e">
        <f>(AQ67-AP67)/AS67</f>
        <v>#REF!</v>
      </c>
      <c r="AS67" s="478">
        <f>+COUNT(AK67:AK67)</f>
        <v>0</v>
      </c>
      <c r="AT67" s="479" t="e">
        <f>+IF(AR67&lt;0,(ROUNDDOWN(AR67,0)),(ROUNDUP(AR67,0)))</f>
        <v>#REF!</v>
      </c>
      <c r="AU67" s="479" t="e">
        <v>#DIV/0!</v>
      </c>
      <c r="AV67" s="484" t="e">
        <f>+IF('(AS-400 Jembatan)'!AN67=0," ",'(AS-400 Jembatan)'!AN67+'(AS-400 Transfer)'!$BF67)</f>
        <v>#REF!</v>
      </c>
      <c r="AW67" s="476" t="e">
        <f>+IF('(AS-400 Jembatan)'!AO67=0," ",'(AS-400 Jembatan)'!AO67+'(AS-400 Transfer)'!$BF67)</f>
        <v>#REF!</v>
      </c>
      <c r="AX67" s="504" t="e">
        <f>+IF('(AS-400 Jembatan)'!AP67=0," ",'(AS-400 Jembatan)'!AP67+'(AS-400 Transfer)'!$BF67)</f>
        <v>#REF!</v>
      </c>
      <c r="AY67" s="476" t="e">
        <f>+IF('(AS-400 Jembatan)'!AQ67=0," ",'(AS-400 Jembatan)'!AQ67+'(AS-400 Transfer)'!$BF67)</f>
        <v>#REF!</v>
      </c>
      <c r="AZ67" s="476" t="e">
        <f>+IF('(AS-400 Jembatan)'!AR67=0," ",'(AS-400 Jembatan)'!AR67+'(AS-400 Transfer)'!$BF67)</f>
        <v>#REF!</v>
      </c>
      <c r="BA67" s="476" t="e">
        <f>SUM(AV67:AV67)</f>
        <v>#REF!</v>
      </c>
      <c r="BB67" s="476" t="e">
        <f>+GUM!Z73</f>
        <v>#REF!</v>
      </c>
      <c r="BC67" s="476" t="e">
        <f>(BB67-BA67)/BD67</f>
        <v>#REF!</v>
      </c>
      <c r="BD67" s="479">
        <f>+COUNT(AV67:AV67)</f>
        <v>0</v>
      </c>
      <c r="BE67" s="479" t="e">
        <f>+IF(BC67&lt;0,(ROUNDDOWN(BC67,0)),(ROUNDUP(BC67,0)))</f>
        <v>#REF!</v>
      </c>
      <c r="BF67" s="480" t="e">
        <v>#DIV/0!</v>
      </c>
      <c r="BG67" s="482" t="e">
        <f>+IF('(AS-400 Jembatan)'!AW67=0," ",'(AS-400 Jembatan)'!AW67+'(AS-400 Transfer)'!$BQ67)</f>
        <v>#REF!</v>
      </c>
      <c r="BH67" s="474" t="e">
        <f>+IF('(AS-400 Jembatan)'!AX67=0," ",'(AS-400 Jembatan)'!AX67+'(AS-400 Transfer)'!$BQ67)</f>
        <v>#REF!</v>
      </c>
      <c r="BI67" s="483" t="e">
        <f>+IF('(AS-400 Jembatan)'!AY67=0," ",'(AS-400 Jembatan)'!AY67+'(AS-400 Transfer)'!$BQ67)</f>
        <v>#REF!</v>
      </c>
      <c r="BJ67" s="476" t="e">
        <f>+IF('(AS-400 Jembatan)'!AZ67=0," ",'(AS-400 Jembatan)'!AZ67+'(AS-400 Transfer)'!$BQ67)</f>
        <v>#REF!</v>
      </c>
      <c r="BK67" s="476" t="str">
        <f>+IF('(AS-400 Jembatan)'!BA67=0," ",'(AS-400 Jembatan)'!BA67+'(AS-400 Transfer)'!$BQ67)</f>
        <v> </v>
      </c>
      <c r="BL67" s="476" t="e">
        <f>SUM(BG67:BG67)</f>
        <v>#REF!</v>
      </c>
      <c r="BM67" s="476" t="e">
        <f>+'(AS-400 Jembatan)'!BC67</f>
        <v>#REF!</v>
      </c>
      <c r="BN67" s="476" t="e">
        <f>(BM67-BL67)/BO67</f>
        <v>#REF!</v>
      </c>
      <c r="BO67" s="479">
        <f>+COUNT(BG67:BG67)</f>
        <v>0</v>
      </c>
      <c r="BP67" s="479" t="e">
        <f>+IF(BN67&lt;0,(ROUNDDOWN(BN67,0)),(ROUNDUP(BN67,0)))</f>
        <v>#REF!</v>
      </c>
      <c r="BQ67" s="480" t="e">
        <v>#DIV/0!</v>
      </c>
    </row>
    <row r="68" spans="1:142" customHeight="1" ht="15.75" s="473" customFormat="1">
      <c r="A68" s="1297"/>
      <c r="B68" s="934" t="str">
        <f>+GUM!C74</f>
        <v>82115-0E310 B</v>
      </c>
      <c r="C68" s="940" t="str">
        <f>'(AS-400 Jembatan)'!C68</f>
        <v>B 1001</v>
      </c>
      <c r="D68" s="550"/>
      <c r="E68" s="476"/>
      <c r="F68" s="476"/>
      <c r="G68" s="476"/>
      <c r="H68" s="476"/>
      <c r="I68" s="476"/>
      <c r="J68" s="477"/>
      <c r="K68" s="477"/>
      <c r="L68" s="479"/>
      <c r="M68" s="479"/>
      <c r="N68" s="479"/>
      <c r="O68" s="482" t="e">
        <f>+IF('(AS-400 Jembatan)'!M68=0," ",'(AS-400 Jembatan)'!M68+'(AS-400 Transfer)'!$Y68)</f>
        <v>#REF!</v>
      </c>
      <c r="P68" s="474" t="e">
        <f>+IF('(AS-400 Jembatan)'!N68=0," ",'(AS-400 Jembatan)'!N68+'(AS-400 Transfer)'!$Y68)</f>
        <v>#REF!</v>
      </c>
      <c r="Q68" s="483" t="e">
        <f>+IF('(AS-400 Jembatan)'!O68=0," ",'(AS-400 Jembatan)'!O68+'(AS-400 Transfer)'!$Y68)</f>
        <v>#REF!</v>
      </c>
      <c r="R68" s="474" t="e">
        <f>+IF('(AS-400 Jembatan)'!P68=0," ",'(AS-400 Jembatan)'!P68+'(AS-400 Transfer)'!$Y68)</f>
        <v>#REF!</v>
      </c>
      <c r="S68" s="474" t="e">
        <f>+IF('(AS-400 Jembatan)'!Q68=0," ",'(AS-400 Jembatan)'!Q68+'(AS-400 Transfer)'!$Y68)</f>
        <v>#REF!</v>
      </c>
      <c r="T68" s="476" t="e">
        <f>SUM(O68:O68)</f>
        <v>#REF!</v>
      </c>
      <c r="U68" s="476" t="e">
        <f>+'(AS-400 Jembatan)'!S68</f>
        <v>#REF!</v>
      </c>
      <c r="V68" s="476" t="e">
        <f>(U68-T68)/W68</f>
        <v>#REF!</v>
      </c>
      <c r="W68" s="479">
        <f>+COUNT(O68:O68)</f>
        <v>0</v>
      </c>
      <c r="X68" s="479" t="e">
        <f>+IF(V68&lt;0,(ROUNDDOWN(V68,0)),(ROUNDUP(V68,0)))</f>
        <v>#REF!</v>
      </c>
      <c r="Y68" s="480" t="e">
        <v>#DIV/0!</v>
      </c>
      <c r="Z68" s="484" t="e">
        <f>+IF('(AS-400 Jembatan)'!V68=0," ",'(AS-400 Jembatan)'!V68+'(AS-400 Transfer)'!$AJ68)</f>
        <v>#REF!</v>
      </c>
      <c r="AA68" s="500" t="e">
        <f>+IF('(AS-400 Jembatan)'!W68=0," ",'(AS-400 Jembatan)'!W68+'(AS-400 Transfer)'!$AJ68)</f>
        <v>#REF!</v>
      </c>
      <c r="AB68" s="504" t="e">
        <f>+IF('(AS-400 Jembatan)'!X68=0," ",'(AS-400 Jembatan)'!X68+'(AS-400 Transfer)'!$AJ68)</f>
        <v>#REF!</v>
      </c>
      <c r="AC68" s="829" t="e">
        <f>+IF('(AS-400 Jembatan)'!Y68=0," ",'(AS-400 Jembatan)'!Y68+'(AS-400 Transfer)'!$AJ68)</f>
        <v>#REF!</v>
      </c>
      <c r="AD68" s="829" t="str">
        <f>+IF('(AS-400 Jembatan)'!Z68=0," ",'(AS-400 Jembatan)'!Z68+'(AS-400 Transfer)'!$AJ68)</f>
        <v> </v>
      </c>
      <c r="AE68" s="476" t="e">
        <f>SUM(Z68:Z68)</f>
        <v>#REF!</v>
      </c>
      <c r="AF68" s="476" t="e">
        <f>+'(AS-400 Jembatan)'!AB68</f>
        <v>#REF!</v>
      </c>
      <c r="AG68" s="476" t="e">
        <f>(AF68-AE68)/AH68</f>
        <v>#REF!</v>
      </c>
      <c r="AH68" s="479">
        <f>+COUNT(Z68:Z68)</f>
        <v>0</v>
      </c>
      <c r="AI68" s="477" t="e">
        <f>+IF(AG68&lt;0,(ROUNDDOWN(AG68,0)),(ROUNDUP(AG68,0)))</f>
        <v>#REF!</v>
      </c>
      <c r="AJ68" s="487" t="e">
        <v>#DIV/0!</v>
      </c>
      <c r="AK68" s="484" t="e">
        <f>+IF('(AS-400 Jembatan)'!AE68=0," ",'(AS-400 Jembatan)'!AE68+'(AS-400 Transfer)'!$AU68)</f>
        <v>#REF!</v>
      </c>
      <c r="AL68" s="476" t="e">
        <f>+IF('(AS-400 Jembatan)'!AF68=0," ",'(AS-400 Jembatan)'!AF68+'(AS-400 Transfer)'!$AU68)</f>
        <v>#REF!</v>
      </c>
      <c r="AM68" s="504" t="e">
        <f>+IF('(AS-400 Jembatan)'!AG68=0," ",'(AS-400 Jembatan)'!AG68+'(AS-400 Transfer)'!$AU68)</f>
        <v>#REF!</v>
      </c>
      <c r="AN68" s="476" t="e">
        <f>+IF('(AS-400 Jembatan)'!AH68=0," ",'(AS-400 Jembatan)'!AH68+'(AS-400 Transfer)'!$AU68)</f>
        <v>#REF!</v>
      </c>
      <c r="AO68" s="476" t="str">
        <f>+IF('(AS-400 Jembatan)'!AI68=0," ",'(AS-400 Jembatan)'!AI68+'(AS-400 Transfer)'!$AU68)</f>
        <v> </v>
      </c>
      <c r="AP68" s="476" t="e">
        <f>SUM(AK68:AK68)</f>
        <v>#REF!</v>
      </c>
      <c r="AQ68" s="476" t="e">
        <f>+'(AS-400 Jembatan)'!AK68</f>
        <v>#REF!</v>
      </c>
      <c r="AR68" s="476" t="e">
        <f>(AQ68-AP68)/AS68</f>
        <v>#REF!</v>
      </c>
      <c r="AS68" s="479">
        <f>+COUNT(AK68:AK68)</f>
        <v>0</v>
      </c>
      <c r="AT68" s="479" t="e">
        <f>+IF(AR68&lt;0,(ROUNDDOWN(AR68,0)),(ROUNDUP(AR68,0)))</f>
        <v>#REF!</v>
      </c>
      <c r="AU68" s="479" t="e">
        <v>#DIV/0!</v>
      </c>
      <c r="AV68" s="484" t="e">
        <f>+IF('(AS-400 Jembatan)'!AN68=0," ",'(AS-400 Jembatan)'!AN68+'(AS-400 Transfer)'!$BF68)</f>
        <v>#REF!</v>
      </c>
      <c r="AW68" s="476" t="e">
        <f>+IF('(AS-400 Jembatan)'!AO68=0," ",'(AS-400 Jembatan)'!AO68+'(AS-400 Transfer)'!$BF68)</f>
        <v>#REF!</v>
      </c>
      <c r="AX68" s="504" t="e">
        <f>+IF('(AS-400 Jembatan)'!AP68=0," ",'(AS-400 Jembatan)'!AP68+'(AS-400 Transfer)'!$BF68)</f>
        <v>#REF!</v>
      </c>
      <c r="AY68" s="476" t="e">
        <f>+IF('(AS-400 Jembatan)'!AQ68=0," ",'(AS-400 Jembatan)'!AQ68+'(AS-400 Transfer)'!$BF68)</f>
        <v>#REF!</v>
      </c>
      <c r="AZ68" s="476" t="e">
        <f>+IF('(AS-400 Jembatan)'!AR68=0," ",'(AS-400 Jembatan)'!AR68+'(AS-400 Transfer)'!$BF68)</f>
        <v>#REF!</v>
      </c>
      <c r="BA68" s="476" t="e">
        <f>SUM(AV68:AV68)</f>
        <v>#REF!</v>
      </c>
      <c r="BB68" s="476" t="e">
        <f>+GUM!Z74</f>
        <v>#REF!</v>
      </c>
      <c r="BC68" s="476" t="e">
        <f>(BB68-BA68)/BD68</f>
        <v>#REF!</v>
      </c>
      <c r="BD68" s="479">
        <f>+COUNT(AV68:AV68)</f>
        <v>0</v>
      </c>
      <c r="BE68" s="479" t="e">
        <f>+IF(BC68&lt;0,(ROUNDDOWN(BC68,0)),(ROUNDUP(BC68,0)))</f>
        <v>#REF!</v>
      </c>
      <c r="BF68" s="480" t="e">
        <v>#DIV/0!</v>
      </c>
      <c r="BG68" s="484" t="e">
        <f>+IF('(AS-400 Jembatan)'!AW68=0," ",'(AS-400 Jembatan)'!AW68+'(AS-400 Transfer)'!$BQ68)</f>
        <v>#REF!</v>
      </c>
      <c r="BH68" s="476" t="e">
        <f>+IF('(AS-400 Jembatan)'!AX68=0," ",'(AS-400 Jembatan)'!AX68+'(AS-400 Transfer)'!$BQ68)</f>
        <v>#REF!</v>
      </c>
      <c r="BI68" s="504" t="e">
        <f>+IF('(AS-400 Jembatan)'!AY68=0," ",'(AS-400 Jembatan)'!AY68+'(AS-400 Transfer)'!$BQ68)</f>
        <v>#REF!</v>
      </c>
      <c r="BJ68" s="476" t="e">
        <f>+IF('(AS-400 Jembatan)'!AZ68=0," ",'(AS-400 Jembatan)'!AZ68+'(AS-400 Transfer)'!$BQ68)</f>
        <v>#REF!</v>
      </c>
      <c r="BK68" s="476" t="str">
        <f>+IF('(AS-400 Jembatan)'!BA68=0," ",'(AS-400 Jembatan)'!BA68+'(AS-400 Transfer)'!$BQ68)</f>
        <v> </v>
      </c>
      <c r="BL68" s="476" t="e">
        <f>SUM(BG68:BG68)</f>
        <v>#REF!</v>
      </c>
      <c r="BM68" s="476" t="e">
        <f>+'(AS-400 Jembatan)'!BC68</f>
        <v>#REF!</v>
      </c>
      <c r="BN68" s="476" t="e">
        <f>(BM68-BL68)/BO68</f>
        <v>#REF!</v>
      </c>
      <c r="BO68" s="479">
        <f>+COUNT(BG68:BG68)</f>
        <v>0</v>
      </c>
      <c r="BP68" s="479" t="e">
        <f>+IF(BN68&lt;0,(ROUNDDOWN(BN68,0)),(ROUNDUP(BN68,0)))</f>
        <v>#REF!</v>
      </c>
      <c r="BQ68" s="480" t="e">
        <v>#DIV/0!</v>
      </c>
    </row>
    <row r="69" spans="1:142" customHeight="1" ht="15.75" s="473" customFormat="1">
      <c r="A69" s="1297"/>
      <c r="B69" s="841" t="str">
        <f>+GUM!C75</f>
        <v>82115-0EZ30</v>
      </c>
      <c r="C69" s="939" t="str">
        <f>'(AS-400 Jembatan)'!C69</f>
        <v>A 0501</v>
      </c>
      <c r="D69" s="505"/>
      <c r="E69" s="474"/>
      <c r="F69" s="474"/>
      <c r="G69" s="474"/>
      <c r="H69" s="474"/>
      <c r="I69" s="474"/>
      <c r="J69" s="475"/>
      <c r="K69" s="475"/>
      <c r="L69" s="478"/>
      <c r="M69" s="478"/>
      <c r="N69" s="478"/>
      <c r="O69" s="482" t="e">
        <f>+IF('(AS-400 Jembatan)'!M69=0," ",'(AS-400 Jembatan)'!M69+'(AS-400 Transfer)'!$Y69)</f>
        <v>#REF!</v>
      </c>
      <c r="P69" s="474" t="e">
        <f>+IF('(AS-400 Jembatan)'!N69=0," ",'(AS-400 Jembatan)'!N69+'(AS-400 Transfer)'!$Y69)</f>
        <v>#REF!</v>
      </c>
      <c r="Q69" s="483" t="e">
        <f>+IF('(AS-400 Jembatan)'!O69=0," ",'(AS-400 Jembatan)'!O69+'(AS-400 Transfer)'!$Y69)</f>
        <v>#REF!</v>
      </c>
      <c r="R69" s="474" t="e">
        <f>+IF('(AS-400 Jembatan)'!P69=0," ",'(AS-400 Jembatan)'!P69+'(AS-400 Transfer)'!$Y69)</f>
        <v>#REF!</v>
      </c>
      <c r="S69" s="474" t="e">
        <f>+IF('(AS-400 Jembatan)'!Q69=0," ",'(AS-400 Jembatan)'!Q69+'(AS-400 Transfer)'!$Y69)</f>
        <v>#REF!</v>
      </c>
      <c r="T69" s="474" t="e">
        <f>SUM(O69:O69)</f>
        <v>#REF!</v>
      </c>
      <c r="U69" s="474" t="e">
        <f>+'(AS-400 Jembatan)'!S69</f>
        <v>#REF!</v>
      </c>
      <c r="V69" s="474" t="e">
        <f>(U69-T69)/W69</f>
        <v>#REF!</v>
      </c>
      <c r="W69" s="478">
        <f>+COUNT(O69:O69)</f>
        <v>0</v>
      </c>
      <c r="X69" s="478" t="e">
        <f>+IF(V69&lt;0,(ROUNDDOWN(V69,0)),(ROUNDUP(V69,0)))</f>
        <v>#REF!</v>
      </c>
      <c r="Y69" s="488" t="e">
        <v>#DIV/0!</v>
      </c>
      <c r="Z69" s="837" t="e">
        <f>+IF('(AS-400 Jembatan)'!V69=0," ",'(AS-400 Jembatan)'!V69+'(AS-400 Transfer)'!$AJ69)</f>
        <v>#REF!</v>
      </c>
      <c r="AA69" s="838" t="e">
        <f>+IF('(AS-400 Jembatan)'!W69=0," ",'(AS-400 Jembatan)'!W69+'(AS-400 Transfer)'!$AJ69)</f>
        <v>#REF!</v>
      </c>
      <c r="AB69" s="839" t="e">
        <f>+IF('(AS-400 Jembatan)'!X69=0," ",'(AS-400 Jembatan)'!X69+'(AS-400 Transfer)'!$AJ69)</f>
        <v>#REF!</v>
      </c>
      <c r="AC69" s="830" t="e">
        <f>+IF('(AS-400 Jembatan)'!Y69=0," ",'(AS-400 Jembatan)'!Y69+'(AS-400 Transfer)'!$AJ69)</f>
        <v>#REF!</v>
      </c>
      <c r="AD69" s="830" t="str">
        <f>+IF('(AS-400 Jembatan)'!Z69=0," ",'(AS-400 Jembatan)'!Z69+'(AS-400 Transfer)'!$AJ69)</f>
        <v> </v>
      </c>
      <c r="AE69" s="474" t="e">
        <f>SUM(Z69:Z69)</f>
        <v>#REF!</v>
      </c>
      <c r="AF69" s="474" t="e">
        <f>+'(AS-400 Jembatan)'!AB69</f>
        <v>#REF!</v>
      </c>
      <c r="AG69" s="474" t="e">
        <f>(AF69-AE69)/AH69</f>
        <v>#REF!</v>
      </c>
      <c r="AH69" s="478">
        <f>+COUNT(Z69:Z69)</f>
        <v>0</v>
      </c>
      <c r="AI69" s="475" t="e">
        <f>+IF(AG69&lt;0,(ROUNDDOWN(AG69,0)),(ROUNDUP(AG69,0)))</f>
        <v>#REF!</v>
      </c>
      <c r="AJ69" s="481" t="e">
        <v>#DIV/0!</v>
      </c>
      <c r="AK69" s="482" t="e">
        <f>+IF('(AS-400 Jembatan)'!AE69=0," ",'(AS-400 Jembatan)'!AE69+'(AS-400 Transfer)'!$AU69)</f>
        <v>#REF!</v>
      </c>
      <c r="AL69" s="474" t="e">
        <f>+IF('(AS-400 Jembatan)'!AF69=0," ",'(AS-400 Jembatan)'!AF69+'(AS-400 Transfer)'!$AU69)</f>
        <v>#REF!</v>
      </c>
      <c r="AM69" s="483" t="e">
        <f>+IF('(AS-400 Jembatan)'!AG69=0," ",'(AS-400 Jembatan)'!AG69+'(AS-400 Transfer)'!$AU69)</f>
        <v>#REF!</v>
      </c>
      <c r="AN69" s="474" t="e">
        <f>+IF('(AS-400 Jembatan)'!AH69=0," ",'(AS-400 Jembatan)'!AH69+'(AS-400 Transfer)'!$AU69)</f>
        <v>#REF!</v>
      </c>
      <c r="AO69" s="474" t="str">
        <f>+IF('(AS-400 Jembatan)'!AI69=0," ",'(AS-400 Jembatan)'!AI69+'(AS-400 Transfer)'!$AU69)</f>
        <v> </v>
      </c>
      <c r="AP69" s="474" t="e">
        <f>SUM(AK69:AK69)</f>
        <v>#REF!</v>
      </c>
      <c r="AQ69" s="474" t="e">
        <f>+'(AS-400 Jembatan)'!AK69</f>
        <v>#REF!</v>
      </c>
      <c r="AR69" s="474" t="e">
        <f>(AQ69-AP69)/AS69</f>
        <v>#REF!</v>
      </c>
      <c r="AS69" s="478">
        <f>+COUNT(AK69:AK69)</f>
        <v>0</v>
      </c>
      <c r="AT69" s="478" t="e">
        <f>+IF(AR69&lt;0,(ROUNDDOWN(AR69,0)),(ROUNDUP(AR69,0)))</f>
        <v>#REF!</v>
      </c>
      <c r="AU69" s="478" t="e">
        <v>#DIV/0!</v>
      </c>
      <c r="AV69" s="482" t="e">
        <f>+IF('(AS-400 Jembatan)'!AN69=0," ",'(AS-400 Jembatan)'!AN69+'(AS-400 Transfer)'!$BF69)</f>
        <v>#REF!</v>
      </c>
      <c r="AW69" s="474" t="e">
        <f>+IF('(AS-400 Jembatan)'!AO69=0," ",'(AS-400 Jembatan)'!AO69+'(AS-400 Transfer)'!$BF69)</f>
        <v>#REF!</v>
      </c>
      <c r="AX69" s="483" t="e">
        <f>+IF('(AS-400 Jembatan)'!AP69=0," ",'(AS-400 Jembatan)'!AP69+'(AS-400 Transfer)'!$BF69)</f>
        <v>#REF!</v>
      </c>
      <c r="AY69" s="474" t="e">
        <f>+IF('(AS-400 Jembatan)'!AQ69=0," ",'(AS-400 Jembatan)'!AQ69+'(AS-400 Transfer)'!$BF69)</f>
        <v>#REF!</v>
      </c>
      <c r="AZ69" s="474" t="e">
        <f>+IF('(AS-400 Jembatan)'!AR69=0," ",'(AS-400 Jembatan)'!AR69+'(AS-400 Transfer)'!$BF69)</f>
        <v>#REF!</v>
      </c>
      <c r="BA69" s="474" t="e">
        <f>SUM(AV69:AV69)</f>
        <v>#REF!</v>
      </c>
      <c r="BB69" s="474" t="e">
        <f>+GUM!Z75</f>
        <v>#REF!</v>
      </c>
      <c r="BC69" s="474" t="e">
        <f>(BB69-BA69)/BD69</f>
        <v>#REF!</v>
      </c>
      <c r="BD69" s="478">
        <f>+COUNT(AV69:AV69)</f>
        <v>0</v>
      </c>
      <c r="BE69" s="478" t="e">
        <f>+IF(BC69&lt;0,(ROUNDDOWN(BC69,0)),(ROUNDUP(BC69,0)))</f>
        <v>#REF!</v>
      </c>
      <c r="BF69" s="488" t="e">
        <v>#DIV/0!</v>
      </c>
      <c r="BG69" s="482" t="e">
        <f>+IF('(AS-400 Jembatan)'!AW69=0," ",'(AS-400 Jembatan)'!AW69+'(AS-400 Transfer)'!$BQ69)</f>
        <v>#REF!</v>
      </c>
      <c r="BH69" s="474" t="e">
        <f>+IF('(AS-400 Jembatan)'!AX69=0," ",'(AS-400 Jembatan)'!AX69+'(AS-400 Transfer)'!$BQ69)</f>
        <v>#REF!</v>
      </c>
      <c r="BI69" s="483" t="e">
        <f>+IF('(AS-400 Jembatan)'!AY69=0," ",'(AS-400 Jembatan)'!AY69+'(AS-400 Transfer)'!$BQ69)</f>
        <v>#REF!</v>
      </c>
      <c r="BJ69" s="474" t="e">
        <f>+IF('(AS-400 Jembatan)'!AZ69=0," ",'(AS-400 Jembatan)'!AZ69+'(AS-400 Transfer)'!$BQ69)</f>
        <v>#REF!</v>
      </c>
      <c r="BK69" s="474" t="str">
        <f>+IF('(AS-400 Jembatan)'!BA69=0," ",'(AS-400 Jembatan)'!BA69+'(AS-400 Transfer)'!$BQ69)</f>
        <v> </v>
      </c>
      <c r="BL69" s="474" t="e">
        <f>SUM(BG69:BG69)</f>
        <v>#REF!</v>
      </c>
      <c r="BM69" s="474" t="e">
        <f>+'(AS-400 Jembatan)'!BC69</f>
        <v>#REF!</v>
      </c>
      <c r="BN69" s="474" t="e">
        <f>(BM69-BL69)/BO69</f>
        <v>#REF!</v>
      </c>
      <c r="BO69" s="478">
        <f>+COUNT(BG69:BG69)</f>
        <v>0</v>
      </c>
      <c r="BP69" s="478" t="e">
        <f>+IF(BN69&lt;0,(ROUNDDOWN(BN69,0)),(ROUNDUP(BN69,0)))</f>
        <v>#REF!</v>
      </c>
      <c r="BQ69" s="488" t="e">
        <v>#DIV/0!</v>
      </c>
    </row>
    <row r="70" spans="1:142" customHeight="1" ht="15.75" s="473" customFormat="1">
      <c r="A70" s="1297"/>
      <c r="B70" s="983" t="str">
        <f>+GUM!C76</f>
        <v>82115-0EZ40</v>
      </c>
      <c r="C70" s="939" t="str">
        <f>'(AS-400 Jembatan)'!C70</f>
        <v>A 0501</v>
      </c>
      <c r="D70" s="505"/>
      <c r="E70" s="474"/>
      <c r="F70" s="474"/>
      <c r="G70" s="474"/>
      <c r="H70" s="474"/>
      <c r="I70" s="474"/>
      <c r="J70" s="475"/>
      <c r="K70" s="475"/>
      <c r="L70" s="478"/>
      <c r="M70" s="478"/>
      <c r="N70" s="478"/>
      <c r="O70" s="482" t="str">
        <f>+IF('(AS-400 Jembatan)'!M70=0," ",'(AS-400 Jembatan)'!M70+'(AS-400 Transfer)'!$Y70)</f>
        <v> </v>
      </c>
      <c r="P70" s="474" t="str">
        <f>+IF('(AS-400 Jembatan)'!N70=0," ",'(AS-400 Jembatan)'!N70+'(AS-400 Transfer)'!$Y70)</f>
        <v> </v>
      </c>
      <c r="Q70" s="483" t="str">
        <f>+IF('(AS-400 Jembatan)'!O70=0," ",'(AS-400 Jembatan)'!O70+'(AS-400 Transfer)'!$Y70)</f>
        <v> </v>
      </c>
      <c r="R70" s="474" t="str">
        <f>+IF('(AS-400 Jembatan)'!P70=0," ",'(AS-400 Jembatan)'!P70+'(AS-400 Transfer)'!$Y70)</f>
        <v> </v>
      </c>
      <c r="S70" s="474" t="str">
        <f>+IF('(AS-400 Jembatan)'!Q70=0," ",'(AS-400 Jembatan)'!Q70+'(AS-400 Transfer)'!$Y70)</f>
        <v> </v>
      </c>
      <c r="T70" s="474">
        <f>SUM(O70:O70)</f>
        <v>0</v>
      </c>
      <c r="U70" s="474">
        <f>+'(AS-400 Jembatan)'!S70</f>
        <v/>
      </c>
      <c r="V70" s="474" t="e">
        <f>(U70-T70)/W70</f>
        <v>#DIV/0!</v>
      </c>
      <c r="W70" s="478">
        <f>+COUNT(O70:O70)</f>
        <v>0</v>
      </c>
      <c r="X70" s="478" t="e">
        <f>+IF(V70&lt;0,(ROUNDDOWN(V70,0)),(ROUNDUP(V70,0)))</f>
        <v>#DIV/0!</v>
      </c>
      <c r="Y70" s="488" t="e">
        <v>#DIV/0!</v>
      </c>
      <c r="Z70" s="482" t="str">
        <f>+IF('(AS-400 Jembatan)'!V70=0," ",'(AS-400 Jembatan)'!V70+'(AS-400 Transfer)'!$AJ70)</f>
        <v> </v>
      </c>
      <c r="AA70" s="494" t="str">
        <f>+IF('(AS-400 Jembatan)'!W70=0," ",'(AS-400 Jembatan)'!W70+'(AS-400 Transfer)'!$AJ70)</f>
        <v> </v>
      </c>
      <c r="AB70" s="483" t="str">
        <f>+IF('(AS-400 Jembatan)'!X70=0," ",'(AS-400 Jembatan)'!X70+'(AS-400 Transfer)'!$AJ70)</f>
        <v> </v>
      </c>
      <c r="AC70" s="830" t="str">
        <f>+IF('(AS-400 Jembatan)'!Y70=0," ",'(AS-400 Jembatan)'!Y70+'(AS-400 Transfer)'!$AJ70)</f>
        <v> </v>
      </c>
      <c r="AD70" s="830" t="str">
        <f>+IF('(AS-400 Jembatan)'!Z70=0," ",'(AS-400 Jembatan)'!Z70+'(AS-400 Transfer)'!$AJ70)</f>
        <v> </v>
      </c>
      <c r="AE70" s="474">
        <f>SUM(Z70:Z70)</f>
        <v>0</v>
      </c>
      <c r="AF70" s="474">
        <f>+'(AS-400 Jembatan)'!AB70</f>
        <v/>
      </c>
      <c r="AG70" s="474" t="e">
        <f>(AF70-AE70)/AH70</f>
        <v>#DIV/0!</v>
      </c>
      <c r="AH70" s="478">
        <f>+COUNT(Z70:Z70)</f>
        <v>0</v>
      </c>
      <c r="AI70" s="475" t="e">
        <f>+IF(AG70&lt;0,(ROUNDDOWN(AG70,0)),(ROUNDUP(AG70,0)))</f>
        <v>#DIV/0!</v>
      </c>
      <c r="AJ70" s="481" t="e">
        <v>#DIV/0!</v>
      </c>
      <c r="AK70" s="482" t="str">
        <f>+IF('(AS-400 Jembatan)'!AE70=0," ",'(AS-400 Jembatan)'!AE70+'(AS-400 Transfer)'!$AU70)</f>
        <v> </v>
      </c>
      <c r="AL70" s="474" t="str">
        <f>+IF('(AS-400 Jembatan)'!AF70=0," ",'(AS-400 Jembatan)'!AF70+'(AS-400 Transfer)'!$AU70)</f>
        <v> </v>
      </c>
      <c r="AM70" s="483" t="str">
        <f>+IF('(AS-400 Jembatan)'!AG70=0," ",'(AS-400 Jembatan)'!AG70+'(AS-400 Transfer)'!$AU70)</f>
        <v> </v>
      </c>
      <c r="AN70" s="474" t="str">
        <f>+IF('(AS-400 Jembatan)'!AH70=0," ",'(AS-400 Jembatan)'!AH70+'(AS-400 Transfer)'!$AU70)</f>
        <v> </v>
      </c>
      <c r="AO70" s="474" t="str">
        <f>+IF('(AS-400 Jembatan)'!AI70=0," ",'(AS-400 Jembatan)'!AI70+'(AS-400 Transfer)'!$AU70)</f>
        <v> </v>
      </c>
      <c r="AP70" s="474">
        <f>SUM(AK70:AK70)</f>
        <v>0</v>
      </c>
      <c r="AQ70" s="474">
        <f>+'(AS-400 Jembatan)'!AK70</f>
        <v/>
      </c>
      <c r="AR70" s="474" t="e">
        <f>(AQ70-AP70)/AS70</f>
        <v>#DIV/0!</v>
      </c>
      <c r="AS70" s="478">
        <f>+COUNT(AK70:AK70)</f>
        <v>0</v>
      </c>
      <c r="AT70" s="478" t="e">
        <f>+IF(AR70&lt;0,(ROUNDDOWN(AR70,0)),(ROUNDUP(AR70,0)))</f>
        <v>#DIV/0!</v>
      </c>
      <c r="AU70" s="478" t="e">
        <v>#DIV/0!</v>
      </c>
      <c r="AV70" s="482" t="str">
        <f>+IF('(AS-400 Jembatan)'!AN70=0," ",'(AS-400 Jembatan)'!AN70+'(AS-400 Transfer)'!$BF70)</f>
        <v> </v>
      </c>
      <c r="AW70" s="474" t="str">
        <f>+IF('(AS-400 Jembatan)'!AO70=0," ",'(AS-400 Jembatan)'!AO70+'(AS-400 Transfer)'!$BF70)</f>
        <v> </v>
      </c>
      <c r="AX70" s="483" t="str">
        <f>+IF('(AS-400 Jembatan)'!AP70=0," ",'(AS-400 Jembatan)'!AP70+'(AS-400 Transfer)'!$BF70)</f>
        <v> </v>
      </c>
      <c r="AY70" s="474" t="str">
        <f>+IF('(AS-400 Jembatan)'!AQ70=0," ",'(AS-400 Jembatan)'!AQ70+'(AS-400 Transfer)'!$BF70)</f>
        <v> </v>
      </c>
      <c r="AZ70" s="474" t="str">
        <f>+IF('(AS-400 Jembatan)'!AR70=0," ",'(AS-400 Jembatan)'!AR70+'(AS-400 Transfer)'!$BF70)</f>
        <v> </v>
      </c>
      <c r="BA70" s="474">
        <f>SUM(AV70:AV70)</f>
        <v>0</v>
      </c>
      <c r="BB70" s="474">
        <f>+GUM!Z76</f>
        <v/>
      </c>
      <c r="BC70" s="474" t="e">
        <f>(BB70-BA70)/BD70</f>
        <v>#DIV/0!</v>
      </c>
      <c r="BD70" s="478">
        <f>+COUNT(AV70:AV70)</f>
        <v>0</v>
      </c>
      <c r="BE70" s="478" t="e">
        <f>+IF(BC70&lt;0,(ROUNDDOWN(BC70,0)),(ROUNDUP(BC70,0)))</f>
        <v>#DIV/0!</v>
      </c>
      <c r="BF70" s="488" t="e">
        <v>#DIV/0!</v>
      </c>
      <c r="BG70" s="482" t="str">
        <f>+IF('(AS-400 Jembatan)'!AW70=0," ",'(AS-400 Jembatan)'!AW70+'(AS-400 Transfer)'!$BQ70)</f>
        <v> </v>
      </c>
      <c r="BH70" s="474" t="str">
        <f>+IF('(AS-400 Jembatan)'!AX70=0," ",'(AS-400 Jembatan)'!AX70+'(AS-400 Transfer)'!$BQ70)</f>
        <v> </v>
      </c>
      <c r="BI70" s="483" t="str">
        <f>+IF('(AS-400 Jembatan)'!AY70=0," ",'(AS-400 Jembatan)'!AY70+'(AS-400 Transfer)'!$BQ70)</f>
        <v> </v>
      </c>
      <c r="BJ70" s="474" t="str">
        <f>+IF('(AS-400 Jembatan)'!AZ70=0," ",'(AS-400 Jembatan)'!AZ70+'(AS-400 Transfer)'!$BQ70)</f>
        <v> </v>
      </c>
      <c r="BK70" s="474" t="str">
        <f>+IF('(AS-400 Jembatan)'!BA70=0," ",'(AS-400 Jembatan)'!BA70+'(AS-400 Transfer)'!$BQ70)</f>
        <v> </v>
      </c>
      <c r="BL70" s="474">
        <f>SUM(BG70:BG70)</f>
        <v>0</v>
      </c>
      <c r="BM70" s="474">
        <f>+'(AS-400 Jembatan)'!BC70</f>
        <v/>
      </c>
      <c r="BN70" s="474" t="e">
        <f>(BM70-BL70)/BO70</f>
        <v>#DIV/0!</v>
      </c>
      <c r="BO70" s="478">
        <f>+COUNT(BG70:BG70)</f>
        <v>0</v>
      </c>
      <c r="BP70" s="478" t="e">
        <f>+IF(BN70&lt;0,(ROUNDDOWN(BN70,0)),(ROUNDUP(BN70,0)))</f>
        <v>#DIV/0!</v>
      </c>
      <c r="BQ70" s="488" t="e">
        <v>#DIV/0!</v>
      </c>
    </row>
    <row r="71" spans="1:142" customHeight="1" ht="15.75" s="473" customFormat="1">
      <c r="A71" s="1297"/>
      <c r="B71" s="969" t="str">
        <f>+GUM!C77</f>
        <v>82115-0EZ50</v>
      </c>
      <c r="C71" s="939" t="str">
        <f>'(AS-400 Jembatan)'!C71</f>
        <v>A 0501</v>
      </c>
      <c r="D71" s="505"/>
      <c r="E71" s="474"/>
      <c r="F71" s="474"/>
      <c r="G71" s="474"/>
      <c r="H71" s="474"/>
      <c r="I71" s="474"/>
      <c r="J71" s="475"/>
      <c r="K71" s="475"/>
      <c r="L71" s="478"/>
      <c r="M71" s="478"/>
      <c r="N71" s="478"/>
      <c r="O71" s="482" t="str">
        <f>+IF('(AS-400 Jembatan)'!M71=0," ",'(AS-400 Jembatan)'!M71+'(AS-400 Transfer)'!$Y71)</f>
        <v> </v>
      </c>
      <c r="P71" s="474" t="str">
        <f>+IF('(AS-400 Jembatan)'!N71=0," ",'(AS-400 Jembatan)'!N71+'(AS-400 Transfer)'!$Y71)</f>
        <v> </v>
      </c>
      <c r="Q71" s="483" t="str">
        <f>+IF('(AS-400 Jembatan)'!O71=0," ",'(AS-400 Jembatan)'!O71+'(AS-400 Transfer)'!$Y71)</f>
        <v> </v>
      </c>
      <c r="R71" s="474" t="str">
        <f>+IF('(AS-400 Jembatan)'!P71=0," ",'(AS-400 Jembatan)'!P71+'(AS-400 Transfer)'!$Y71)</f>
        <v> </v>
      </c>
      <c r="S71" s="474" t="str">
        <f>+IF('(AS-400 Jembatan)'!Q71=0," ",'(AS-400 Jembatan)'!Q71+'(AS-400 Transfer)'!$Y71)</f>
        <v> </v>
      </c>
      <c r="T71" s="474">
        <f>SUM(O71:O71)</f>
        <v>0</v>
      </c>
      <c r="U71" s="474">
        <f>+'(AS-400 Jembatan)'!S71</f>
        <v/>
      </c>
      <c r="V71" s="474" t="e">
        <f>(U71-T71)/W71</f>
        <v>#DIV/0!</v>
      </c>
      <c r="W71" s="478">
        <f>+COUNT(O71:O71)</f>
        <v>0</v>
      </c>
      <c r="X71" s="478" t="e">
        <f>+IF(V71&lt;0,(ROUNDDOWN(V71,0)),(ROUNDUP(V71,0)))</f>
        <v>#DIV/0!</v>
      </c>
      <c r="Y71" s="488" t="e">
        <v>#DIV/0!</v>
      </c>
      <c r="Z71" s="482" t="str">
        <f>+IF('(AS-400 Jembatan)'!V71=0," ",'(AS-400 Jembatan)'!V71+'(AS-400 Transfer)'!$AJ71)</f>
        <v> </v>
      </c>
      <c r="AA71" s="494" t="str">
        <f>+IF('(AS-400 Jembatan)'!W71=0," ",'(AS-400 Jembatan)'!W71+'(AS-400 Transfer)'!$AJ71)</f>
        <v> </v>
      </c>
      <c r="AB71" s="483" t="str">
        <f>+IF('(AS-400 Jembatan)'!X71=0," ",'(AS-400 Jembatan)'!X71+'(AS-400 Transfer)'!$AJ71)</f>
        <v> </v>
      </c>
      <c r="AC71" s="830" t="str">
        <f>+IF('(AS-400 Jembatan)'!Y71=0," ",'(AS-400 Jembatan)'!Y71+'(AS-400 Transfer)'!$AJ71)</f>
        <v> </v>
      </c>
      <c r="AD71" s="830" t="str">
        <f>+IF('(AS-400 Jembatan)'!Z71=0," ",'(AS-400 Jembatan)'!Z71+'(AS-400 Transfer)'!$AJ71)</f>
        <v> </v>
      </c>
      <c r="AE71" s="474">
        <f>SUM(Z71:Z71)</f>
        <v>0</v>
      </c>
      <c r="AF71" s="474">
        <f>+'(AS-400 Jembatan)'!AB71</f>
        <v/>
      </c>
      <c r="AG71" s="474" t="e">
        <f>(AF71-AE71)/AH71</f>
        <v>#DIV/0!</v>
      </c>
      <c r="AH71" s="478">
        <f>+COUNT(Z71:Z71)</f>
        <v>0</v>
      </c>
      <c r="AI71" s="475" t="e">
        <f>+IF(AG71&lt;0,(ROUNDDOWN(AG71,0)),(ROUNDUP(AG71,0)))</f>
        <v>#DIV/0!</v>
      </c>
      <c r="AJ71" s="481" t="e">
        <v>#DIV/0!</v>
      </c>
      <c r="AK71" s="482" t="str">
        <f>+IF('(AS-400 Jembatan)'!AE71=0," ",'(AS-400 Jembatan)'!AE71+'(AS-400 Transfer)'!$AU71)</f>
        <v> </v>
      </c>
      <c r="AL71" s="474" t="str">
        <f>+IF('(AS-400 Jembatan)'!AF71=0," ",'(AS-400 Jembatan)'!AF71+'(AS-400 Transfer)'!$AU71)</f>
        <v> </v>
      </c>
      <c r="AM71" s="483" t="str">
        <f>+IF('(AS-400 Jembatan)'!AG71=0," ",'(AS-400 Jembatan)'!AG71+'(AS-400 Transfer)'!$AU71)</f>
        <v> </v>
      </c>
      <c r="AN71" s="474" t="str">
        <f>+IF('(AS-400 Jembatan)'!AH71=0," ",'(AS-400 Jembatan)'!AH71+'(AS-400 Transfer)'!$AU71)</f>
        <v> </v>
      </c>
      <c r="AO71" s="474" t="str">
        <f>+IF('(AS-400 Jembatan)'!AI71=0," ",'(AS-400 Jembatan)'!AI71+'(AS-400 Transfer)'!$AU71)</f>
        <v> </v>
      </c>
      <c r="AP71" s="474">
        <f>SUM(AK71:AK71)</f>
        <v>0</v>
      </c>
      <c r="AQ71" s="474">
        <f>+'(AS-400 Jembatan)'!AK71</f>
        <v/>
      </c>
      <c r="AR71" s="474" t="e">
        <f>(AQ71-AP71)/AS71</f>
        <v>#DIV/0!</v>
      </c>
      <c r="AS71" s="478">
        <f>+COUNT(AK71:AK71)</f>
        <v>0</v>
      </c>
      <c r="AT71" s="478" t="e">
        <f>+IF(AR71&lt;0,(ROUNDDOWN(AR71,0)),(ROUNDUP(AR71,0)))</f>
        <v>#DIV/0!</v>
      </c>
      <c r="AU71" s="478" t="e">
        <v>#DIV/0!</v>
      </c>
      <c r="AV71" s="482" t="str">
        <f>+IF('(AS-400 Jembatan)'!AN71=0," ",'(AS-400 Jembatan)'!AN71+'(AS-400 Transfer)'!$BF71)</f>
        <v> </v>
      </c>
      <c r="AW71" s="474" t="str">
        <f>+IF('(AS-400 Jembatan)'!AO71=0," ",'(AS-400 Jembatan)'!AO71+'(AS-400 Transfer)'!$BF71)</f>
        <v> </v>
      </c>
      <c r="AX71" s="483" t="str">
        <f>+IF('(AS-400 Jembatan)'!AP71=0," ",'(AS-400 Jembatan)'!AP71+'(AS-400 Transfer)'!$BF71)</f>
        <v> </v>
      </c>
      <c r="AY71" s="474" t="str">
        <f>+IF('(AS-400 Jembatan)'!AQ71=0," ",'(AS-400 Jembatan)'!AQ71+'(AS-400 Transfer)'!$BF71)</f>
        <v> </v>
      </c>
      <c r="AZ71" s="474" t="str">
        <f>+IF('(AS-400 Jembatan)'!AR71=0," ",'(AS-400 Jembatan)'!AR71+'(AS-400 Transfer)'!$BF71)</f>
        <v> </v>
      </c>
      <c r="BA71" s="474">
        <f>SUM(AV71:AV71)</f>
        <v>0</v>
      </c>
      <c r="BB71" s="474">
        <f>+GUM!Z77</f>
        <v/>
      </c>
      <c r="BC71" s="474" t="e">
        <f>(BB71-BA71)/BD71</f>
        <v>#DIV/0!</v>
      </c>
      <c r="BD71" s="478">
        <f>+COUNT(AV71:AV71)</f>
        <v>0</v>
      </c>
      <c r="BE71" s="478" t="e">
        <f>+IF(BC71&lt;0,(ROUNDDOWN(BC71,0)),(ROUNDUP(BC71,0)))</f>
        <v>#DIV/0!</v>
      </c>
      <c r="BF71" s="488" t="e">
        <v>#DIV/0!</v>
      </c>
      <c r="BG71" s="482" t="str">
        <f>+IF('(AS-400 Jembatan)'!AW71=0," ",'(AS-400 Jembatan)'!AW71+'(AS-400 Transfer)'!$BQ71)</f>
        <v> </v>
      </c>
      <c r="BH71" s="474" t="str">
        <f>+IF('(AS-400 Jembatan)'!AX71=0," ",'(AS-400 Jembatan)'!AX71+'(AS-400 Transfer)'!$BQ71)</f>
        <v> </v>
      </c>
      <c r="BI71" s="483" t="str">
        <f>+IF('(AS-400 Jembatan)'!AY71=0," ",'(AS-400 Jembatan)'!AY71+'(AS-400 Transfer)'!$BQ71)</f>
        <v> </v>
      </c>
      <c r="BJ71" s="474" t="str">
        <f>+IF('(AS-400 Jembatan)'!AZ71=0," ",'(AS-400 Jembatan)'!AZ71+'(AS-400 Transfer)'!$BQ71)</f>
        <v> </v>
      </c>
      <c r="BK71" s="474" t="str">
        <f>+IF('(AS-400 Jembatan)'!BA71=0," ",'(AS-400 Jembatan)'!BA71+'(AS-400 Transfer)'!$BQ71)</f>
        <v> </v>
      </c>
      <c r="BL71" s="474">
        <f>SUM(BG71:BG71)</f>
        <v>0</v>
      </c>
      <c r="BM71" s="474">
        <f>+'(AS-400 Jembatan)'!BC71</f>
        <v/>
      </c>
      <c r="BN71" s="474" t="e">
        <f>(BM71-BL71)/BO71</f>
        <v>#DIV/0!</v>
      </c>
      <c r="BO71" s="478">
        <f>+COUNT(BG71:BG71)</f>
        <v>0</v>
      </c>
      <c r="BP71" s="478" t="e">
        <f>+IF(BN71&lt;0,(ROUNDDOWN(BN71,0)),(ROUNDUP(BN71,0)))</f>
        <v>#DIV/0!</v>
      </c>
      <c r="BQ71" s="488" t="e">
        <v>#DIV/0!</v>
      </c>
    </row>
    <row r="72" spans="1:142" customHeight="1" ht="16.5" s="502" customFormat="1">
      <c r="A72" s="1297"/>
      <c r="B72" s="969" t="str">
        <f>+GUM!C78</f>
        <v>82115-0EZ60</v>
      </c>
      <c r="C72" s="939" t="str">
        <f>'(AS-400 Jembatan)'!C72</f>
        <v>A 0501</v>
      </c>
      <c r="D72" s="550"/>
      <c r="E72" s="476"/>
      <c r="F72" s="476"/>
      <c r="G72" s="476"/>
      <c r="H72" s="476"/>
      <c r="I72" s="476"/>
      <c r="J72" s="477"/>
      <c r="K72" s="477"/>
      <c r="L72" s="479"/>
      <c r="M72" s="479"/>
      <c r="N72" s="479"/>
      <c r="O72" s="482" t="str">
        <f>+IF('(AS-400 Jembatan)'!M72=0," ",'(AS-400 Jembatan)'!M72+'(AS-400 Transfer)'!$Y72)</f>
        <v> </v>
      </c>
      <c r="P72" s="474" t="str">
        <f>+IF('(AS-400 Jembatan)'!N72=0," ",'(AS-400 Jembatan)'!N72+'(AS-400 Transfer)'!$Y72)</f>
        <v> </v>
      </c>
      <c r="Q72" s="483" t="str">
        <f>+IF('(AS-400 Jembatan)'!O72=0," ",'(AS-400 Jembatan)'!O72+'(AS-400 Transfer)'!$Y72)</f>
        <v> </v>
      </c>
      <c r="R72" s="474" t="str">
        <f>+IF('(AS-400 Jembatan)'!P72=0," ",'(AS-400 Jembatan)'!P72+'(AS-400 Transfer)'!$Y72)</f>
        <v> </v>
      </c>
      <c r="S72" s="474" t="str">
        <f>+IF('(AS-400 Jembatan)'!Q72=0," ",'(AS-400 Jembatan)'!Q72+'(AS-400 Transfer)'!$Y72)</f>
        <v> </v>
      </c>
      <c r="T72" s="474">
        <f>SUM(O72:O72)</f>
        <v>0</v>
      </c>
      <c r="U72" s="474">
        <f>+'(AS-400 Jembatan)'!S72</f>
        <v/>
      </c>
      <c r="V72" s="476" t="e">
        <f>(U72-T72)/W72</f>
        <v>#DIV/0!</v>
      </c>
      <c r="W72" s="479">
        <f>+COUNT(O72:O72)</f>
        <v>0</v>
      </c>
      <c r="X72" s="479" t="e">
        <f>+IF(V72&lt;0,(ROUNDDOWN(V72,0)),(ROUNDUP(V72,0)))</f>
        <v>#DIV/0!</v>
      </c>
      <c r="Y72" s="480" t="e">
        <v>#DIV/0!</v>
      </c>
      <c r="Z72" s="484" t="str">
        <f>+IF('(AS-400 Jembatan)'!V72=0," ",'(AS-400 Jembatan)'!V72+'(AS-400 Transfer)'!$AJ72)</f>
        <v> </v>
      </c>
      <c r="AA72" s="500" t="str">
        <f>+IF('(AS-400 Jembatan)'!W72=0," ",'(AS-400 Jembatan)'!W72+'(AS-400 Transfer)'!$AJ72)</f>
        <v> </v>
      </c>
      <c r="AB72" s="504" t="str">
        <f>+IF('(AS-400 Jembatan)'!X72=0," ",'(AS-400 Jembatan)'!X72+'(AS-400 Transfer)'!$AJ72)</f>
        <v> </v>
      </c>
      <c r="AC72" s="829" t="str">
        <f>+IF('(AS-400 Jembatan)'!Y72=0," ",'(AS-400 Jembatan)'!Y72+'(AS-400 Transfer)'!$AJ72)</f>
        <v> </v>
      </c>
      <c r="AD72" s="829" t="str">
        <f>+IF('(AS-400 Jembatan)'!Z72=0," ",'(AS-400 Jembatan)'!Z72+'(AS-400 Transfer)'!$AJ72)</f>
        <v> </v>
      </c>
      <c r="AE72" s="476">
        <f>SUM(Z72:Z72)</f>
        <v>0</v>
      </c>
      <c r="AF72" s="476">
        <f>+'(AS-400 Jembatan)'!AB72</f>
        <v/>
      </c>
      <c r="AG72" s="476" t="e">
        <f>(AF72-AE72)/AH72</f>
        <v>#DIV/0!</v>
      </c>
      <c r="AH72" s="479">
        <f>+COUNT(Z72:Z72)</f>
        <v>0</v>
      </c>
      <c r="AI72" s="477" t="e">
        <f>+IF(AG72&lt;0,(ROUNDDOWN(AG72,0)),(ROUNDUP(AG72,0)))</f>
        <v>#DIV/0!</v>
      </c>
      <c r="AJ72" s="487" t="e">
        <v>#DIV/0!</v>
      </c>
      <c r="AK72" s="484" t="str">
        <f>+IF('(AS-400 Jembatan)'!AE72=0," ",'(AS-400 Jembatan)'!AE72+'(AS-400 Transfer)'!$AU72)</f>
        <v> </v>
      </c>
      <c r="AL72" s="476" t="str">
        <f>+IF('(AS-400 Jembatan)'!AF72=0," ",'(AS-400 Jembatan)'!AF72+'(AS-400 Transfer)'!$AU72)</f>
        <v> </v>
      </c>
      <c r="AM72" s="504" t="str">
        <f>+IF('(AS-400 Jembatan)'!AG72=0," ",'(AS-400 Jembatan)'!AG72+'(AS-400 Transfer)'!$AU72)</f>
        <v> </v>
      </c>
      <c r="AN72" s="476" t="str">
        <f>+IF('(AS-400 Jembatan)'!AH72=0," ",'(AS-400 Jembatan)'!AH72+'(AS-400 Transfer)'!$AU72)</f>
        <v> </v>
      </c>
      <c r="AO72" s="476" t="str">
        <f>+IF('(AS-400 Jembatan)'!AI72=0," ",'(AS-400 Jembatan)'!AI72+'(AS-400 Transfer)'!$AU72)</f>
        <v> </v>
      </c>
      <c r="AP72" s="476">
        <f>SUM(AK72:AK72)</f>
        <v>0</v>
      </c>
      <c r="AQ72" s="476">
        <f>+'(AS-400 Jembatan)'!AK72</f>
        <v/>
      </c>
      <c r="AR72" s="476" t="e">
        <f>(AQ72-AP72)/AS72</f>
        <v>#DIV/0!</v>
      </c>
      <c r="AS72" s="478">
        <f>+COUNT(AK72:AK72)</f>
        <v>0</v>
      </c>
      <c r="AT72" s="479" t="e">
        <f>+IF(AR72&lt;0,(ROUNDDOWN(AR72,0)),(ROUNDUP(AR72,0)))</f>
        <v>#DIV/0!</v>
      </c>
      <c r="AU72" s="479" t="e">
        <v>#DIV/0!</v>
      </c>
      <c r="AV72" s="484" t="str">
        <f>+IF('(AS-400 Jembatan)'!AN72=0," ",'(AS-400 Jembatan)'!AN72+'(AS-400 Transfer)'!$BF72)</f>
        <v> </v>
      </c>
      <c r="AW72" s="476" t="str">
        <f>+IF('(AS-400 Jembatan)'!AO72=0," ",'(AS-400 Jembatan)'!AO72+'(AS-400 Transfer)'!$BF72)</f>
        <v> </v>
      </c>
      <c r="AX72" s="504" t="str">
        <f>+IF('(AS-400 Jembatan)'!AP72=0," ",'(AS-400 Jembatan)'!AP72+'(AS-400 Transfer)'!$BF72)</f>
        <v> </v>
      </c>
      <c r="AY72" s="476" t="str">
        <f>+IF('(AS-400 Jembatan)'!AQ72=0," ",'(AS-400 Jembatan)'!AQ72+'(AS-400 Transfer)'!$BF72)</f>
        <v> </v>
      </c>
      <c r="AZ72" s="476" t="str">
        <f>+IF('(AS-400 Jembatan)'!AR72=0," ",'(AS-400 Jembatan)'!AR72+'(AS-400 Transfer)'!$BF72)</f>
        <v> </v>
      </c>
      <c r="BA72" s="476">
        <f>SUM(AV72:AV72)</f>
        <v>0</v>
      </c>
      <c r="BB72" s="476">
        <f>+GUM!Z78</f>
        <v/>
      </c>
      <c r="BC72" s="476" t="e">
        <f>(BB72-BA72)/BD72</f>
        <v>#DIV/0!</v>
      </c>
      <c r="BD72" s="479">
        <f>+COUNT(AV72:AV72)</f>
        <v>0</v>
      </c>
      <c r="BE72" s="479" t="e">
        <f>+IF(BC72&lt;0,(ROUNDDOWN(BC72,0)),(ROUNDUP(BC72,0)))</f>
        <v>#DIV/0!</v>
      </c>
      <c r="BF72" s="480" t="e">
        <v>#DIV/0!</v>
      </c>
      <c r="BG72" s="482" t="str">
        <f>+IF('(AS-400 Jembatan)'!AW72=0," ",'(AS-400 Jembatan)'!AW72+'(AS-400 Transfer)'!$BQ72)</f>
        <v> </v>
      </c>
      <c r="BH72" s="474" t="str">
        <f>+IF('(AS-400 Jembatan)'!AX72=0," ",'(AS-400 Jembatan)'!AX72+'(AS-400 Transfer)'!$BQ72)</f>
        <v> </v>
      </c>
      <c r="BI72" s="483" t="str">
        <f>+IF('(AS-400 Jembatan)'!AY72=0," ",'(AS-400 Jembatan)'!AY72+'(AS-400 Transfer)'!$BQ72)</f>
        <v> </v>
      </c>
      <c r="BJ72" s="476" t="str">
        <f>+IF('(AS-400 Jembatan)'!AZ72=0," ",'(AS-400 Jembatan)'!AZ72+'(AS-400 Transfer)'!$BQ72)</f>
        <v> </v>
      </c>
      <c r="BK72" s="476" t="str">
        <f>+IF('(AS-400 Jembatan)'!BA72=0," ",'(AS-400 Jembatan)'!BA72+'(AS-400 Transfer)'!$BQ72)</f>
        <v> </v>
      </c>
      <c r="BL72" s="476">
        <f>SUM(BG72:BG72)</f>
        <v>0</v>
      </c>
      <c r="BM72" s="476">
        <f>+'(AS-400 Jembatan)'!BC72</f>
        <v/>
      </c>
      <c r="BN72" s="476" t="e">
        <f>(BM72-BL72)/BO72</f>
        <v>#DIV/0!</v>
      </c>
      <c r="BO72" s="479">
        <f>+COUNT(BG72:BG72)</f>
        <v>0</v>
      </c>
      <c r="BP72" s="479" t="e">
        <f>+IF(BN72&lt;0,(ROUNDDOWN(BN72,0)),(ROUNDUP(BN72,0)))</f>
        <v>#DIV/0!</v>
      </c>
      <c r="BQ72" s="480" t="e">
        <v>#DIV/0!</v>
      </c>
    </row>
    <row r="73" spans="1:142" customHeight="1" ht="16.5" s="502" customFormat="1">
      <c r="A73" s="1297"/>
      <c r="B73" s="841" t="str">
        <f>+GUM!C79</f>
        <v>82115-0EZ70</v>
      </c>
      <c r="C73" s="939" t="str">
        <f>'(AS-400 Jembatan)'!C73</f>
        <v>A 0501</v>
      </c>
      <c r="D73" s="550"/>
      <c r="E73" s="476"/>
      <c r="F73" s="476"/>
      <c r="G73" s="476"/>
      <c r="H73" s="476"/>
      <c r="I73" s="476"/>
      <c r="J73" s="477"/>
      <c r="K73" s="477"/>
      <c r="L73" s="479"/>
      <c r="M73" s="479"/>
      <c r="N73" s="479"/>
      <c r="O73" s="484" t="e">
        <f>+IF('(AS-400 Jembatan)'!M73=0," ",'(AS-400 Jembatan)'!M73+'(AS-400 Transfer)'!$Y73)</f>
        <v>#REF!</v>
      </c>
      <c r="P73" s="476" t="e">
        <f>+IF('(AS-400 Jembatan)'!N73=0," ",'(AS-400 Jembatan)'!N73+'(AS-400 Transfer)'!$Y73)</f>
        <v>#REF!</v>
      </c>
      <c r="Q73" s="504" t="e">
        <f>+IF('(AS-400 Jembatan)'!O73=0," ",'(AS-400 Jembatan)'!O73+'(AS-400 Transfer)'!$Y73)</f>
        <v>#REF!</v>
      </c>
      <c r="R73" s="476" t="e">
        <f>+IF('(AS-400 Jembatan)'!P73=0," ",'(AS-400 Jembatan)'!P73+'(AS-400 Transfer)'!$Y73)</f>
        <v>#REF!</v>
      </c>
      <c r="S73" s="476" t="e">
        <f>+IF('(AS-400 Jembatan)'!Q73=0," ",'(AS-400 Jembatan)'!Q73+'(AS-400 Transfer)'!$Y73)</f>
        <v>#REF!</v>
      </c>
      <c r="T73" s="474" t="e">
        <f>SUM(O73:O73)</f>
        <v>#REF!</v>
      </c>
      <c r="U73" s="474" t="e">
        <f>+'(AS-400 Jembatan)'!S73</f>
        <v>#REF!</v>
      </c>
      <c r="V73" s="476" t="e">
        <f>(U73-T73)/W73</f>
        <v>#REF!</v>
      </c>
      <c r="W73" s="479">
        <f>+COUNT(O73:O73)</f>
        <v>0</v>
      </c>
      <c r="X73" s="479" t="e">
        <f>+IF(V73&lt;0,(ROUNDDOWN(V73,0)),(ROUNDUP(V73,0)))</f>
        <v>#REF!</v>
      </c>
      <c r="Y73" s="480" t="e">
        <v>#DIV/0!</v>
      </c>
      <c r="Z73" s="484" t="e">
        <f>+IF('(AS-400 Jembatan)'!V73=0," ",'(AS-400 Jembatan)'!V73+'(AS-400 Transfer)'!$AJ73)</f>
        <v>#REF!</v>
      </c>
      <c r="AA73" s="500" t="e">
        <f>+IF('(AS-400 Jembatan)'!W73=0," ",'(AS-400 Jembatan)'!W73+'(AS-400 Transfer)'!$AJ73)</f>
        <v>#REF!</v>
      </c>
      <c r="AB73" s="504" t="e">
        <f>+IF('(AS-400 Jembatan)'!X73=0," ",'(AS-400 Jembatan)'!X73+'(AS-400 Transfer)'!$AJ73)</f>
        <v>#REF!</v>
      </c>
      <c r="AC73" s="829" t="e">
        <f>+IF('(AS-400 Jembatan)'!Y73=0," ",'(AS-400 Jembatan)'!Y73+'(AS-400 Transfer)'!$AJ73)</f>
        <v>#REF!</v>
      </c>
      <c r="AD73" s="829" t="str">
        <f>+IF('(AS-400 Jembatan)'!Z73=0," ",'(AS-400 Jembatan)'!Z73+'(AS-400 Transfer)'!$AJ73)</f>
        <v> </v>
      </c>
      <c r="AE73" s="476" t="e">
        <f>SUM(Z73:Z73)</f>
        <v>#REF!</v>
      </c>
      <c r="AF73" s="476" t="e">
        <f>+'(AS-400 Jembatan)'!AB73</f>
        <v>#REF!</v>
      </c>
      <c r="AG73" s="476" t="e">
        <f>(AF73-AE73)/AH73</f>
        <v>#REF!</v>
      </c>
      <c r="AH73" s="479">
        <f>+COUNT(Z73:Z73)</f>
        <v>0</v>
      </c>
      <c r="AI73" s="477" t="e">
        <f>+IF(AG73&lt;0,(ROUNDDOWN(AG73,0)),(ROUNDUP(AG73,0)))</f>
        <v>#REF!</v>
      </c>
      <c r="AJ73" s="487" t="e">
        <v>#DIV/0!</v>
      </c>
      <c r="AK73" s="484" t="e">
        <f>+IF('(AS-400 Jembatan)'!AE73=0," ",'(AS-400 Jembatan)'!AE73+'(AS-400 Transfer)'!$AU73)</f>
        <v>#REF!</v>
      </c>
      <c r="AL73" s="476" t="e">
        <f>+IF('(AS-400 Jembatan)'!AF73=0," ",'(AS-400 Jembatan)'!AF73+'(AS-400 Transfer)'!$AU73)</f>
        <v>#REF!</v>
      </c>
      <c r="AM73" s="504" t="e">
        <f>+IF('(AS-400 Jembatan)'!AG73=0," ",'(AS-400 Jembatan)'!AG73+'(AS-400 Transfer)'!$AU73)</f>
        <v>#REF!</v>
      </c>
      <c r="AN73" s="476" t="e">
        <f>+IF('(AS-400 Jembatan)'!AH73=0," ",'(AS-400 Jembatan)'!AH73+'(AS-400 Transfer)'!$AU73)</f>
        <v>#REF!</v>
      </c>
      <c r="AO73" s="476" t="str">
        <f>+IF('(AS-400 Jembatan)'!AI73=0," ",'(AS-400 Jembatan)'!AI73+'(AS-400 Transfer)'!$AU73)</f>
        <v> </v>
      </c>
      <c r="AP73" s="476" t="e">
        <f>SUM(AK73:AK73)</f>
        <v>#REF!</v>
      </c>
      <c r="AQ73" s="476" t="e">
        <f>+'(AS-400 Jembatan)'!AK73</f>
        <v>#REF!</v>
      </c>
      <c r="AR73" s="476" t="e">
        <f>(AQ73-AP73)/AS73</f>
        <v>#REF!</v>
      </c>
      <c r="AS73" s="478">
        <f>+COUNT(AK73:AK73)</f>
        <v>0</v>
      </c>
      <c r="AT73" s="479" t="e">
        <f>+IF(AR73&lt;0,(ROUNDDOWN(AR73,0)),(ROUNDUP(AR73,0)))</f>
        <v>#REF!</v>
      </c>
      <c r="AU73" s="479" t="e">
        <v>#DIV/0!</v>
      </c>
      <c r="AV73" s="484" t="e">
        <f>+IF('(AS-400 Jembatan)'!AN73=0," ",'(AS-400 Jembatan)'!AN73+'(AS-400 Transfer)'!$BF73)</f>
        <v>#REF!</v>
      </c>
      <c r="AW73" s="476" t="e">
        <f>+IF('(AS-400 Jembatan)'!AO73=0," ",'(AS-400 Jembatan)'!AO73+'(AS-400 Transfer)'!$BF73)</f>
        <v>#REF!</v>
      </c>
      <c r="AX73" s="504" t="e">
        <f>+IF('(AS-400 Jembatan)'!AP73=0," ",'(AS-400 Jembatan)'!AP73+'(AS-400 Transfer)'!$BF73)</f>
        <v>#REF!</v>
      </c>
      <c r="AY73" s="476" t="e">
        <f>+IF('(AS-400 Jembatan)'!AQ73=0," ",'(AS-400 Jembatan)'!AQ73+'(AS-400 Transfer)'!$BF73)</f>
        <v>#REF!</v>
      </c>
      <c r="AZ73" s="476" t="e">
        <f>+IF('(AS-400 Jembatan)'!AR73=0," ",'(AS-400 Jembatan)'!AR73+'(AS-400 Transfer)'!$BF73)</f>
        <v>#REF!</v>
      </c>
      <c r="BA73" s="476" t="e">
        <f>SUM(AV73:AV73)</f>
        <v>#REF!</v>
      </c>
      <c r="BB73" s="476" t="e">
        <f>+GUM!Z79</f>
        <v>#REF!</v>
      </c>
      <c r="BC73" s="476" t="e">
        <f>(BB73-BA73)/BD73</f>
        <v>#REF!</v>
      </c>
      <c r="BD73" s="479">
        <f>+COUNT(AV73:AV73)</f>
        <v>0</v>
      </c>
      <c r="BE73" s="479" t="e">
        <f>+IF(BC73&lt;0,(ROUNDDOWN(BC73,0)),(ROUNDUP(BC73,0)))</f>
        <v>#REF!</v>
      </c>
      <c r="BF73" s="480" t="e">
        <v>#DIV/0!</v>
      </c>
      <c r="BG73" s="482" t="e">
        <f>+IF('(AS-400 Jembatan)'!AW73=0," ",'(AS-400 Jembatan)'!AW73+'(AS-400 Transfer)'!$BQ73)</f>
        <v>#REF!</v>
      </c>
      <c r="BH73" s="474" t="e">
        <f>+IF('(AS-400 Jembatan)'!AX73=0," ",'(AS-400 Jembatan)'!AX73+'(AS-400 Transfer)'!$BQ73)</f>
        <v>#REF!</v>
      </c>
      <c r="BI73" s="483" t="e">
        <f>+IF('(AS-400 Jembatan)'!AY73=0," ",'(AS-400 Jembatan)'!AY73+'(AS-400 Transfer)'!$BQ73)</f>
        <v>#REF!</v>
      </c>
      <c r="BJ73" s="476" t="e">
        <f>+IF('(AS-400 Jembatan)'!AZ73=0," ",'(AS-400 Jembatan)'!AZ73+'(AS-400 Transfer)'!$BQ73)</f>
        <v>#REF!</v>
      </c>
      <c r="BK73" s="476" t="str">
        <f>+IF('(AS-400 Jembatan)'!BA73=0," ",'(AS-400 Jembatan)'!BA73+'(AS-400 Transfer)'!$BQ73)</f>
        <v> </v>
      </c>
      <c r="BL73" s="476" t="e">
        <f>SUM(BG73:BG73)</f>
        <v>#REF!</v>
      </c>
      <c r="BM73" s="476" t="e">
        <f>+'(AS-400 Jembatan)'!BC73</f>
        <v>#REF!</v>
      </c>
      <c r="BN73" s="476" t="e">
        <f>(BM73-BL73)/BO73</f>
        <v>#REF!</v>
      </c>
      <c r="BO73" s="479">
        <f>+COUNT(BG73:BG73)</f>
        <v>0</v>
      </c>
      <c r="BP73" s="479" t="e">
        <f>+IF(BN73&lt;0,(ROUNDDOWN(BN73,0)),(ROUNDUP(BN73,0)))</f>
        <v>#REF!</v>
      </c>
      <c r="BQ73" s="480" t="e">
        <v>#DIV/0!</v>
      </c>
    </row>
    <row r="74" spans="1:142" customHeight="1" ht="15.75" s="473" customFormat="1">
      <c r="A74" s="1297"/>
      <c r="B74" s="841" t="str">
        <f>+GUM!C80</f>
        <v>82115-0EZ80</v>
      </c>
      <c r="C74" s="939" t="str">
        <f>'(AS-400 Jembatan)'!C73</f>
        <v>A 0501</v>
      </c>
      <c r="D74" s="505"/>
      <c r="E74" s="474"/>
      <c r="F74" s="474"/>
      <c r="G74" s="474"/>
      <c r="H74" s="474"/>
      <c r="I74" s="474"/>
      <c r="J74" s="475"/>
      <c r="K74" s="475"/>
      <c r="L74" s="478"/>
      <c r="M74" s="478"/>
      <c r="N74" s="478"/>
      <c r="O74" s="484" t="e">
        <f>+IF('(AS-400 Jembatan)'!M74=0," ",'(AS-400 Jembatan)'!M74+'(AS-400 Transfer)'!$Y74)</f>
        <v>#REF!</v>
      </c>
      <c r="P74" s="476" t="e">
        <f>+IF('(AS-400 Jembatan)'!N74=0," ",'(AS-400 Jembatan)'!N74+'(AS-400 Transfer)'!$Y74)</f>
        <v>#REF!</v>
      </c>
      <c r="Q74" s="504" t="e">
        <f>+IF('(AS-400 Jembatan)'!O74=0," ",'(AS-400 Jembatan)'!O74+'(AS-400 Transfer)'!$Y74)</f>
        <v>#REF!</v>
      </c>
      <c r="R74" s="476" t="e">
        <f>+IF('(AS-400 Jembatan)'!P74=0," ",'(AS-400 Jembatan)'!P74+'(AS-400 Transfer)'!$Y74)</f>
        <v>#REF!</v>
      </c>
      <c r="S74" s="476" t="e">
        <f>+IF('(AS-400 Jembatan)'!Q74=0," ",'(AS-400 Jembatan)'!Q74+'(AS-400 Transfer)'!$Y74)</f>
        <v>#REF!</v>
      </c>
      <c r="T74" s="474" t="e">
        <f>SUM(O74:O74)</f>
        <v>#REF!</v>
      </c>
      <c r="U74" s="474" t="e">
        <f>+'(AS-400 Jembatan)'!S74</f>
        <v>#REF!</v>
      </c>
      <c r="V74" s="474" t="e">
        <f>(U74-T74)/W74</f>
        <v>#REF!</v>
      </c>
      <c r="W74" s="478">
        <f>+COUNT(O74:O74)</f>
        <v>0</v>
      </c>
      <c r="X74" s="478" t="e">
        <f>+IF(V74&lt;0,(ROUNDDOWN(V74,0)),(ROUNDUP(V74,0)))</f>
        <v>#REF!</v>
      </c>
      <c r="Y74" s="488" t="e">
        <v>#DIV/0!</v>
      </c>
      <c r="Z74" s="482" t="e">
        <f>+IF('(AS-400 Jembatan)'!V74=0," ",'(AS-400 Jembatan)'!V74+'(AS-400 Transfer)'!$AJ74)</f>
        <v>#REF!</v>
      </c>
      <c r="AA74" s="494" t="e">
        <f>+IF('(AS-400 Jembatan)'!W74=0," ",'(AS-400 Jembatan)'!W74+'(AS-400 Transfer)'!$AJ74)</f>
        <v>#REF!</v>
      </c>
      <c r="AB74" s="483" t="e">
        <f>+IF('(AS-400 Jembatan)'!X74=0," ",'(AS-400 Jembatan)'!X74+'(AS-400 Transfer)'!$AJ74)</f>
        <v>#REF!</v>
      </c>
      <c r="AC74" s="830" t="e">
        <f>+IF('(AS-400 Jembatan)'!Y74=0," ",'(AS-400 Jembatan)'!Y74+'(AS-400 Transfer)'!$AJ74)</f>
        <v>#REF!</v>
      </c>
      <c r="AD74" s="830" t="str">
        <f>+IF('(AS-400 Jembatan)'!Z74=0," ",'(AS-400 Jembatan)'!Z74+'(AS-400 Transfer)'!$AJ74)</f>
        <v> </v>
      </c>
      <c r="AE74" s="474" t="e">
        <f>SUM(Z74:Z74)</f>
        <v>#REF!</v>
      </c>
      <c r="AF74" s="474" t="e">
        <f>+'(AS-400 Jembatan)'!AB74</f>
        <v>#REF!</v>
      </c>
      <c r="AG74" s="474" t="e">
        <f>(AF74-AE74)/AH74</f>
        <v>#REF!</v>
      </c>
      <c r="AH74" s="478">
        <f>+COUNT(Z74:Z74)</f>
        <v>0</v>
      </c>
      <c r="AI74" s="475" t="e">
        <f>+IF(AG74&lt;0,(ROUNDDOWN(AG74,0)),(ROUNDUP(AG74,0)))</f>
        <v>#REF!</v>
      </c>
      <c r="AJ74" s="481" t="e">
        <v>#DIV/0!</v>
      </c>
      <c r="AK74" s="482" t="e">
        <f>+IF('(AS-400 Jembatan)'!AE74=0," ",'(AS-400 Jembatan)'!AE74+'(AS-400 Transfer)'!$AU74)</f>
        <v>#REF!</v>
      </c>
      <c r="AL74" s="474" t="e">
        <f>+IF('(AS-400 Jembatan)'!AF74=0," ",'(AS-400 Jembatan)'!AF74+'(AS-400 Transfer)'!$AU74)</f>
        <v>#REF!</v>
      </c>
      <c r="AM74" s="483" t="e">
        <f>+IF('(AS-400 Jembatan)'!AG74=0," ",'(AS-400 Jembatan)'!AG74+'(AS-400 Transfer)'!$AU74)</f>
        <v>#REF!</v>
      </c>
      <c r="AN74" s="474" t="e">
        <f>+IF('(AS-400 Jembatan)'!AH74=0," ",'(AS-400 Jembatan)'!AH74+'(AS-400 Transfer)'!$AU74)</f>
        <v>#REF!</v>
      </c>
      <c r="AO74" s="474" t="str">
        <f>+IF('(AS-400 Jembatan)'!AI74=0," ",'(AS-400 Jembatan)'!AI74+'(AS-400 Transfer)'!$AU74)</f>
        <v> </v>
      </c>
      <c r="AP74" s="474" t="e">
        <f>SUM(AK74:AK74)</f>
        <v>#REF!</v>
      </c>
      <c r="AQ74" s="474" t="e">
        <f>+'(AS-400 Jembatan)'!AK74</f>
        <v>#REF!</v>
      </c>
      <c r="AR74" s="474" t="e">
        <f>(AQ74-AP74)/AS74</f>
        <v>#REF!</v>
      </c>
      <c r="AS74" s="478">
        <f>+COUNT(AK74:AK74)</f>
        <v>0</v>
      </c>
      <c r="AT74" s="478" t="e">
        <f>+IF(AR74&lt;0,(ROUNDDOWN(AR74,0)),(ROUNDUP(AR74,0)))</f>
        <v>#REF!</v>
      </c>
      <c r="AU74" s="478" t="e">
        <v>#DIV/0!</v>
      </c>
      <c r="AV74" s="482" t="e">
        <f>+IF('(AS-400 Jembatan)'!AN74=0," ",'(AS-400 Jembatan)'!AN74+'(AS-400 Transfer)'!$BF74)</f>
        <v>#REF!</v>
      </c>
      <c r="AW74" s="474" t="e">
        <f>+IF('(AS-400 Jembatan)'!AO74=0," ",'(AS-400 Jembatan)'!AO74+'(AS-400 Transfer)'!$BF74)</f>
        <v>#REF!</v>
      </c>
      <c r="AX74" s="483" t="e">
        <f>+IF('(AS-400 Jembatan)'!AP74=0," ",'(AS-400 Jembatan)'!AP74+'(AS-400 Transfer)'!$BF74)</f>
        <v>#REF!</v>
      </c>
      <c r="AY74" s="474" t="e">
        <f>+IF('(AS-400 Jembatan)'!AQ74=0," ",'(AS-400 Jembatan)'!AQ74+'(AS-400 Transfer)'!$BF74)</f>
        <v>#REF!</v>
      </c>
      <c r="AZ74" s="474" t="e">
        <f>+IF('(AS-400 Jembatan)'!AR74=0," ",'(AS-400 Jembatan)'!AR74+'(AS-400 Transfer)'!$BF74)</f>
        <v>#REF!</v>
      </c>
      <c r="BA74" s="474" t="e">
        <f>SUM(AV74:AV74)</f>
        <v>#REF!</v>
      </c>
      <c r="BB74" s="474" t="e">
        <f>+GUM!Z80</f>
        <v>#REF!</v>
      </c>
      <c r="BC74" s="474" t="e">
        <f>(BB74-BA74)/BD74</f>
        <v>#REF!</v>
      </c>
      <c r="BD74" s="478">
        <f>+COUNT(AV74:AV74)</f>
        <v>0</v>
      </c>
      <c r="BE74" s="478" t="e">
        <f>+IF(BC74&lt;0,(ROUNDDOWN(BC74,0)),(ROUNDUP(BC74,0)))</f>
        <v>#REF!</v>
      </c>
      <c r="BF74" s="488" t="e">
        <v>#DIV/0!</v>
      </c>
      <c r="BG74" s="482" t="e">
        <f>+IF('(AS-400 Jembatan)'!AW74=0," ",'(AS-400 Jembatan)'!AW74+'(AS-400 Transfer)'!$BQ74)</f>
        <v>#REF!</v>
      </c>
      <c r="BH74" s="474" t="e">
        <f>+IF('(AS-400 Jembatan)'!AX74=0," ",'(AS-400 Jembatan)'!AX74+'(AS-400 Transfer)'!$BQ74)</f>
        <v>#REF!</v>
      </c>
      <c r="BI74" s="483" t="e">
        <f>+IF('(AS-400 Jembatan)'!AY74=0," ",'(AS-400 Jembatan)'!AY74+'(AS-400 Transfer)'!$BQ74)</f>
        <v>#REF!</v>
      </c>
      <c r="BJ74" s="474" t="e">
        <f>+IF('(AS-400 Jembatan)'!AZ74=0," ",'(AS-400 Jembatan)'!AZ74+'(AS-400 Transfer)'!$BQ74)</f>
        <v>#REF!</v>
      </c>
      <c r="BK74" s="474" t="str">
        <f>+IF('(AS-400 Jembatan)'!BA74=0," ",'(AS-400 Jembatan)'!BA74+'(AS-400 Transfer)'!$BQ74)</f>
        <v> </v>
      </c>
      <c r="BL74" s="474" t="e">
        <f>SUM(BG74:BG74)</f>
        <v>#REF!</v>
      </c>
      <c r="BM74" s="474" t="e">
        <f>+'(AS-400 Jembatan)'!BC74</f>
        <v>#REF!</v>
      </c>
      <c r="BN74" s="474" t="e">
        <f>(BM74-BL74)/BO74</f>
        <v>#REF!</v>
      </c>
      <c r="BO74" s="478">
        <f>+COUNT(BG74:BG74)</f>
        <v>0</v>
      </c>
      <c r="BP74" s="478" t="e">
        <f>+IF(BN74&lt;0,(ROUNDDOWN(BN74,0)),(ROUNDUP(BN74,0)))</f>
        <v>#REF!</v>
      </c>
      <c r="BQ74" s="488" t="e">
        <v>#DIV/0!</v>
      </c>
    </row>
    <row r="75" spans="1:142" customHeight="1" ht="15.75" s="503" customFormat="1">
      <c r="A75" s="1297"/>
      <c r="B75" s="976" t="str">
        <f>+GUM!C81</f>
        <v>82115-0EZ90</v>
      </c>
      <c r="C75" s="942" t="str">
        <f>'(AS-400 Jembatan)'!C74</f>
        <v>A 0501</v>
      </c>
      <c r="D75" s="808"/>
      <c r="E75" s="809"/>
      <c r="F75" s="809"/>
      <c r="G75" s="809"/>
      <c r="H75" s="809"/>
      <c r="I75" s="809"/>
      <c r="J75" s="810"/>
      <c r="K75" s="810"/>
      <c r="L75" s="811"/>
      <c r="M75" s="811"/>
      <c r="N75" s="811"/>
      <c r="O75" s="822" t="str">
        <f>+IF('(AS-400 Jembatan)'!M75=0," ",'(AS-400 Jembatan)'!M75+'(AS-400 Transfer)'!$Y75)</f>
        <v> </v>
      </c>
      <c r="P75" s="819" t="str">
        <f>+IF('(AS-400 Jembatan)'!N75=0," ",'(AS-400 Jembatan)'!N75+'(AS-400 Transfer)'!$Y75)</f>
        <v> </v>
      </c>
      <c r="Q75" s="823" t="str">
        <f>+IF('(AS-400 Jembatan)'!O75=0," ",'(AS-400 Jembatan)'!O75+'(AS-400 Transfer)'!$Y75)</f>
        <v> </v>
      </c>
      <c r="R75" s="819" t="str">
        <f>+IF('(AS-400 Jembatan)'!P75=0," ",'(AS-400 Jembatan)'!P75+'(AS-400 Transfer)'!$Y75)</f>
        <v> </v>
      </c>
      <c r="S75" s="819" t="str">
        <f>+IF('(AS-400 Jembatan)'!Q75=0," ",'(AS-400 Jembatan)'!Q75+'(AS-400 Transfer)'!$Y75)</f>
        <v> </v>
      </c>
      <c r="T75" s="809">
        <f>SUM(O75:O75)</f>
        <v>0</v>
      </c>
      <c r="U75" s="809">
        <f>+'(AS-400 Jembatan)'!S75</f>
        <v/>
      </c>
      <c r="V75" s="809" t="e">
        <f>(U75-T75)/W75</f>
        <v>#DIV/0!</v>
      </c>
      <c r="W75" s="811">
        <f>+COUNT(O75:O75)</f>
        <v>0</v>
      </c>
      <c r="X75" s="811" t="e">
        <f>+IF(V75&lt;0,(ROUNDDOWN(V75,0)),(ROUNDUP(V75,0)))</f>
        <v>#DIV/0!</v>
      </c>
      <c r="Y75" s="814" t="e">
        <v>#DIV/0!</v>
      </c>
      <c r="Z75" s="812" t="str">
        <f>+IF('(AS-400 Jembatan)'!V75=0," ",'(AS-400 Jembatan)'!V75+'(AS-400 Transfer)'!$AJ75)</f>
        <v> </v>
      </c>
      <c r="AA75" s="815" t="str">
        <f>+IF('(AS-400 Jembatan)'!W75=0," ",'(AS-400 Jembatan)'!W75+'(AS-400 Transfer)'!$AJ75)</f>
        <v> </v>
      </c>
      <c r="AB75" s="813" t="str">
        <f>+IF('(AS-400 Jembatan)'!X75=0," ",'(AS-400 Jembatan)'!X75+'(AS-400 Transfer)'!$AJ75)</f>
        <v> </v>
      </c>
      <c r="AC75" s="840" t="str">
        <f>+IF('(AS-400 Jembatan)'!Y75=0," ",'(AS-400 Jembatan)'!Y75+'(AS-400 Transfer)'!$AJ75)</f>
        <v> </v>
      </c>
      <c r="AD75" s="840" t="str">
        <f>+IF('(AS-400 Jembatan)'!Z75=0," ",'(AS-400 Jembatan)'!Z75+'(AS-400 Transfer)'!$AJ75)</f>
        <v> </v>
      </c>
      <c r="AE75" s="809">
        <f>SUM(Z75:Z75)</f>
        <v>0</v>
      </c>
      <c r="AF75" s="809">
        <f>+'(AS-400 Jembatan)'!AB75</f>
        <v/>
      </c>
      <c r="AG75" s="809" t="e">
        <f>(AF75-AE75)/AH75</f>
        <v>#DIV/0!</v>
      </c>
      <c r="AH75" s="811">
        <f>+COUNT(Z75:Z75)</f>
        <v>0</v>
      </c>
      <c r="AI75" s="810" t="e">
        <f>+IF(AG75&lt;0,(ROUNDDOWN(AG75,0)),(ROUNDUP(AG75,0)))</f>
        <v>#DIV/0!</v>
      </c>
      <c r="AJ75" s="816" t="e">
        <v>#DIV/0!</v>
      </c>
      <c r="AK75" s="812" t="str">
        <f>+IF('(AS-400 Jembatan)'!AE75=0," ",'(AS-400 Jembatan)'!AE75+'(AS-400 Transfer)'!$AU75)</f>
        <v> </v>
      </c>
      <c r="AL75" s="809" t="str">
        <f>+IF('(AS-400 Jembatan)'!AF75=0," ",'(AS-400 Jembatan)'!AF75+'(AS-400 Transfer)'!$AU75)</f>
        <v> </v>
      </c>
      <c r="AM75" s="813" t="str">
        <f>+IF('(AS-400 Jembatan)'!AG75=0," ",'(AS-400 Jembatan)'!AG75+'(AS-400 Transfer)'!$AU75)</f>
        <v> </v>
      </c>
      <c r="AN75" s="809" t="str">
        <f>+IF('(AS-400 Jembatan)'!AH75=0," ",'(AS-400 Jembatan)'!AH75+'(AS-400 Transfer)'!$AU75)</f>
        <v> </v>
      </c>
      <c r="AO75" s="809" t="str">
        <f>+IF('(AS-400 Jembatan)'!AI75=0," ",'(AS-400 Jembatan)'!AI75+'(AS-400 Transfer)'!$AU75)</f>
        <v> </v>
      </c>
      <c r="AP75" s="809">
        <f>SUM(AK75:AK75)</f>
        <v>0</v>
      </c>
      <c r="AQ75" s="809">
        <f>+'(AS-400 Jembatan)'!AK75</f>
        <v/>
      </c>
      <c r="AR75" s="809" t="e">
        <f>(AQ75-AP75)/AS75</f>
        <v>#DIV/0!</v>
      </c>
      <c r="AS75" s="811">
        <f>+COUNT(AK75:AK75)</f>
        <v>0</v>
      </c>
      <c r="AT75" s="811" t="e">
        <f>+IF(AR75&lt;0,(ROUNDDOWN(AR75,0)),(ROUNDUP(AR75,0)))</f>
        <v>#DIV/0!</v>
      </c>
      <c r="AU75" s="811" t="e">
        <v>#DIV/0!</v>
      </c>
      <c r="AV75" s="812" t="str">
        <f>+IF('(AS-400 Jembatan)'!AN75=0," ",'(AS-400 Jembatan)'!AN75+'(AS-400 Transfer)'!$BF75)</f>
        <v> </v>
      </c>
      <c r="AW75" s="809" t="str">
        <f>+IF('(AS-400 Jembatan)'!AO75=0," ",'(AS-400 Jembatan)'!AO75+'(AS-400 Transfer)'!$BF75)</f>
        <v> </v>
      </c>
      <c r="AX75" s="813" t="str">
        <f>+IF('(AS-400 Jembatan)'!AP75=0," ",'(AS-400 Jembatan)'!AP75+'(AS-400 Transfer)'!$BF75)</f>
        <v> </v>
      </c>
      <c r="AY75" s="809" t="str">
        <f>+IF('(AS-400 Jembatan)'!AQ75=0," ",'(AS-400 Jembatan)'!AQ75+'(AS-400 Transfer)'!$BF75)</f>
        <v> </v>
      </c>
      <c r="AZ75" s="809" t="str">
        <f>+IF('(AS-400 Jembatan)'!AR75=0," ",'(AS-400 Jembatan)'!AR75+'(AS-400 Transfer)'!$BF75)</f>
        <v> </v>
      </c>
      <c r="BA75" s="809">
        <f>SUM(AV75:AV75)</f>
        <v>0</v>
      </c>
      <c r="BB75" s="809">
        <f>+GUM!Z81</f>
        <v/>
      </c>
      <c r="BC75" s="809" t="e">
        <f>(BB75-BA75)/BD75</f>
        <v>#DIV/0!</v>
      </c>
      <c r="BD75" s="811">
        <f>+COUNT(AV75:AV75)</f>
        <v>0</v>
      </c>
      <c r="BE75" s="811" t="e">
        <f>+IF(BC75&lt;0,(ROUNDDOWN(BC75,0)),(ROUNDUP(BC75,0)))</f>
        <v>#DIV/0!</v>
      </c>
      <c r="BF75" s="814" t="e">
        <v>#DIV/0!</v>
      </c>
      <c r="BG75" s="812" t="str">
        <f>+IF('(AS-400 Jembatan)'!AW75=0," ",'(AS-400 Jembatan)'!AW75+'(AS-400 Transfer)'!$BQ75)</f>
        <v> </v>
      </c>
      <c r="BH75" s="809" t="str">
        <f>+IF('(AS-400 Jembatan)'!AX75=0," ",'(AS-400 Jembatan)'!AX75+'(AS-400 Transfer)'!$BQ75)</f>
        <v> </v>
      </c>
      <c r="BI75" s="813" t="str">
        <f>+IF('(AS-400 Jembatan)'!AY75=0," ",'(AS-400 Jembatan)'!AY75+'(AS-400 Transfer)'!$BQ75)</f>
        <v> </v>
      </c>
      <c r="BJ75" s="809" t="str">
        <f>+IF('(AS-400 Jembatan)'!AZ75=0," ",'(AS-400 Jembatan)'!AZ75+'(AS-400 Transfer)'!$BQ75)</f>
        <v> </v>
      </c>
      <c r="BK75" s="809" t="str">
        <f>+IF('(AS-400 Jembatan)'!BA75=0," ",'(AS-400 Jembatan)'!BA75+'(AS-400 Transfer)'!$BQ75)</f>
        <v> </v>
      </c>
      <c r="BL75" s="809">
        <f>SUM(BG75:BG75)</f>
        <v>0</v>
      </c>
      <c r="BM75" s="809">
        <f>+'(AS-400 Jembatan)'!BC75</f>
        <v/>
      </c>
      <c r="BN75" s="809" t="e">
        <f>(BM75-BL75)/BO75</f>
        <v>#DIV/0!</v>
      </c>
      <c r="BO75" s="811">
        <f>+COUNT(BG75:BG75)</f>
        <v>0</v>
      </c>
      <c r="BP75" s="811" t="e">
        <f>+IF(BN75&lt;0,(ROUNDDOWN(BN75,0)),(ROUNDUP(BN75,0)))</f>
        <v>#DIV/0!</v>
      </c>
      <c r="BQ75" s="814" t="e">
        <v>#DIV/0!</v>
      </c>
    </row>
    <row r="76" spans="1:142" customHeight="1" ht="15.75" s="868" customFormat="1">
      <c r="A76" s="1297"/>
      <c r="B76" s="935" t="str">
        <f>+GUM!C82</f>
        <v>82115-0E501 B</v>
      </c>
      <c r="C76" s="940" t="str">
        <f>'(AS-400 Jembatan)'!C76</f>
        <v>B 1001</v>
      </c>
      <c r="D76" s="550"/>
      <c r="E76" s="476"/>
      <c r="F76" s="476"/>
      <c r="G76" s="476"/>
      <c r="H76" s="476"/>
      <c r="I76" s="476"/>
      <c r="J76" s="477"/>
      <c r="K76" s="477"/>
      <c r="L76" s="479"/>
      <c r="M76" s="479"/>
      <c r="N76" s="479"/>
      <c r="O76" s="484" t="e">
        <f>+IF('(AS-400 Jembatan)'!M76=0," ",'(AS-400 Jembatan)'!M76+'(AS-400 Transfer)'!$Y76)</f>
        <v>#REF!</v>
      </c>
      <c r="P76" s="476" t="e">
        <f>+IF('(AS-400 Jembatan)'!N76=0," ",'(AS-400 Jembatan)'!N76+'(AS-400 Transfer)'!$Y76)</f>
        <v>#REF!</v>
      </c>
      <c r="Q76" s="504" t="e">
        <f>+IF('(AS-400 Jembatan)'!O76=0," ",'(AS-400 Jembatan)'!O76+'(AS-400 Transfer)'!$Y76)</f>
        <v>#REF!</v>
      </c>
      <c r="R76" s="476" t="e">
        <f>+IF('(AS-400 Jembatan)'!P76=0," ",'(AS-400 Jembatan)'!P76+'(AS-400 Transfer)'!$Y76)</f>
        <v>#REF!</v>
      </c>
      <c r="S76" s="476" t="e">
        <f>+IF('(AS-400 Jembatan)'!Q76=0," ",'(AS-400 Jembatan)'!Q76+'(AS-400 Transfer)'!$Y76)</f>
        <v>#REF!</v>
      </c>
      <c r="T76" s="476" t="e">
        <f>SUM(O76:O76)</f>
        <v>#REF!</v>
      </c>
      <c r="U76" s="476" t="e">
        <f>+'(AS-400 Jembatan)'!S76</f>
        <v>#REF!</v>
      </c>
      <c r="V76" s="476" t="e">
        <f>(U76-T76)/W76</f>
        <v>#REF!</v>
      </c>
      <c r="W76" s="479">
        <f>+COUNT(O76:O76)</f>
        <v>0</v>
      </c>
      <c r="X76" s="479" t="e">
        <f>+IF(V76&lt;0,(ROUNDDOWN(V76,0)),(ROUNDUP(V76,0)))</f>
        <v>#REF!</v>
      </c>
      <c r="Y76" s="480" t="e">
        <v>#DIV/0!</v>
      </c>
      <c r="Z76" s="484" t="e">
        <f>+IF('(AS-400 Jembatan)'!V76=0," ",'(AS-400 Jembatan)'!V76+'(AS-400 Transfer)'!$AJ76)</f>
        <v>#REF!</v>
      </c>
      <c r="AA76" s="500" t="e">
        <f>+IF('(AS-400 Jembatan)'!W76=0," ",'(AS-400 Jembatan)'!W76+'(AS-400 Transfer)'!$AJ76)</f>
        <v>#REF!</v>
      </c>
      <c r="AB76" s="504" t="e">
        <f>+IF('(AS-400 Jembatan)'!X76=0," ",'(AS-400 Jembatan)'!X76+'(AS-400 Transfer)'!$AJ76)</f>
        <v>#REF!</v>
      </c>
      <c r="AC76" s="829" t="e">
        <f>+IF('(AS-400 Jembatan)'!Y76=0," ",'(AS-400 Jembatan)'!Y76+'(AS-400 Transfer)'!$AJ76)</f>
        <v>#REF!</v>
      </c>
      <c r="AD76" s="829" t="str">
        <f>+IF('(AS-400 Jembatan)'!Z76=0," ",'(AS-400 Jembatan)'!Z76+'(AS-400 Transfer)'!$AJ76)</f>
        <v> </v>
      </c>
      <c r="AE76" s="476" t="e">
        <f>SUM(Z76:Z76)</f>
        <v>#REF!</v>
      </c>
      <c r="AF76" s="476" t="e">
        <f>+'(AS-400 Jembatan)'!AB76</f>
        <v>#REF!</v>
      </c>
      <c r="AG76" s="476" t="e">
        <f>(AF76-AE76)/AH76</f>
        <v>#REF!</v>
      </c>
      <c r="AH76" s="479">
        <f>+COUNT(Z76:Z76)</f>
        <v>0</v>
      </c>
      <c r="AI76" s="477" t="e">
        <f>+IF(AG76&lt;0,(ROUNDDOWN(AG76,0)),(ROUNDUP(AG76,0)))</f>
        <v>#REF!</v>
      </c>
      <c r="AJ76" s="487" t="e">
        <v>#DIV/0!</v>
      </c>
      <c r="AK76" s="484" t="e">
        <f>+IF('(AS-400 Jembatan)'!AE76=0," ",'(AS-400 Jembatan)'!AE76+'(AS-400 Transfer)'!$AU76)</f>
        <v>#REF!</v>
      </c>
      <c r="AL76" s="476" t="e">
        <f>+IF('(AS-400 Jembatan)'!AF76=0," ",'(AS-400 Jembatan)'!AF76+'(AS-400 Transfer)'!$AU76)</f>
        <v>#REF!</v>
      </c>
      <c r="AM76" s="504" t="e">
        <f>+IF('(AS-400 Jembatan)'!AG76=0," ",'(AS-400 Jembatan)'!AG76+'(AS-400 Transfer)'!$AU76)</f>
        <v>#REF!</v>
      </c>
      <c r="AN76" s="476" t="e">
        <f>+IF('(AS-400 Jembatan)'!AH76=0," ",'(AS-400 Jembatan)'!AH76+'(AS-400 Transfer)'!$AU76)</f>
        <v>#REF!</v>
      </c>
      <c r="AO76" s="476" t="str">
        <f>+IF('(AS-400 Jembatan)'!AI76=0," ",'(AS-400 Jembatan)'!AI76+'(AS-400 Transfer)'!$AU76)</f>
        <v> </v>
      </c>
      <c r="AP76" s="476" t="e">
        <f>SUM(AK76:AK76)</f>
        <v>#REF!</v>
      </c>
      <c r="AQ76" s="476" t="e">
        <f>+'(AS-400 Jembatan)'!AK76</f>
        <v>#REF!</v>
      </c>
      <c r="AR76" s="476" t="e">
        <f>(AQ76-AP76)/AS76</f>
        <v>#REF!</v>
      </c>
      <c r="AS76" s="479">
        <f>+COUNT(AK76:AK76)</f>
        <v>0</v>
      </c>
      <c r="AT76" s="479" t="e">
        <f>+IF(AR76&lt;0,(ROUNDDOWN(AR76,0)),(ROUNDUP(AR76,0)))</f>
        <v>#REF!</v>
      </c>
      <c r="AU76" s="479" t="e">
        <v>#DIV/0!</v>
      </c>
      <c r="AV76" s="484" t="e">
        <f>+IF('(AS-400 Jembatan)'!AN76=0," ",'(AS-400 Jembatan)'!AN76+'(AS-400 Transfer)'!$BF76)</f>
        <v>#REF!</v>
      </c>
      <c r="AW76" s="476" t="e">
        <f>+IF('(AS-400 Jembatan)'!AO76=0," ",'(AS-400 Jembatan)'!AO76+'(AS-400 Transfer)'!$BF76)</f>
        <v>#REF!</v>
      </c>
      <c r="AX76" s="504" t="e">
        <f>+IF('(AS-400 Jembatan)'!AP76=0," ",'(AS-400 Jembatan)'!AP76+'(AS-400 Transfer)'!$BF76)</f>
        <v>#REF!</v>
      </c>
      <c r="AY76" s="476" t="e">
        <f>+IF('(AS-400 Jembatan)'!AQ76=0," ",'(AS-400 Jembatan)'!AQ76+'(AS-400 Transfer)'!$BF76)</f>
        <v>#REF!</v>
      </c>
      <c r="AZ76" s="476" t="e">
        <f>+IF('(AS-400 Jembatan)'!AR76=0," ",'(AS-400 Jembatan)'!AR76+'(AS-400 Transfer)'!$BF76)</f>
        <v>#REF!</v>
      </c>
      <c r="BA76" s="476" t="e">
        <f>SUM(AV76:AV76)</f>
        <v>#REF!</v>
      </c>
      <c r="BB76" s="476" t="e">
        <f>+GUM!Z82</f>
        <v>#REF!</v>
      </c>
      <c r="BC76" s="476" t="e">
        <f>(BB76-BA76)/BD76</f>
        <v>#REF!</v>
      </c>
      <c r="BD76" s="479">
        <f>+COUNT(AV76:AV76)</f>
        <v>0</v>
      </c>
      <c r="BE76" s="479" t="e">
        <f>+IF(BC76&lt;0,(ROUNDDOWN(BC76,0)),(ROUNDUP(BC76,0)))</f>
        <v>#REF!</v>
      </c>
      <c r="BF76" s="480" t="e">
        <v>#DIV/0!</v>
      </c>
      <c r="BG76" s="484" t="e">
        <f>+IF('(AS-400 Jembatan)'!AW76=0," ",'(AS-400 Jembatan)'!AW76+'(AS-400 Transfer)'!$BQ76)</f>
        <v>#REF!</v>
      </c>
      <c r="BH76" s="476" t="e">
        <f>+IF('(AS-400 Jembatan)'!AX76=0," ",'(AS-400 Jembatan)'!AX76+'(AS-400 Transfer)'!$BQ76)</f>
        <v>#REF!</v>
      </c>
      <c r="BI76" s="504" t="e">
        <f>+IF('(AS-400 Jembatan)'!AY76=0," ",'(AS-400 Jembatan)'!AY76+'(AS-400 Transfer)'!$BQ76)</f>
        <v>#REF!</v>
      </c>
      <c r="BJ76" s="476" t="e">
        <f>+IF('(AS-400 Jembatan)'!AZ76=0," ",'(AS-400 Jembatan)'!AZ76+'(AS-400 Transfer)'!$BQ76)</f>
        <v>#REF!</v>
      </c>
      <c r="BK76" s="476" t="str">
        <f>+IF('(AS-400 Jembatan)'!BA76=0," ",'(AS-400 Jembatan)'!BA76+'(AS-400 Transfer)'!$BQ76)</f>
        <v> </v>
      </c>
      <c r="BL76" s="476" t="e">
        <f>SUM(BG76:BG76)</f>
        <v>#REF!</v>
      </c>
      <c r="BM76" s="476" t="e">
        <f>+'(AS-400 Jembatan)'!BC76</f>
        <v>#REF!</v>
      </c>
      <c r="BN76" s="476" t="e">
        <f>(BM76-BL76)/BO76</f>
        <v>#REF!</v>
      </c>
      <c r="BO76" s="479">
        <f>+COUNT(BG76:BG76)</f>
        <v>0</v>
      </c>
      <c r="BP76" s="479" t="e">
        <f>+IF(BN76&lt;0,(ROUNDDOWN(BN76,0)),(ROUNDUP(BN76,0)))</f>
        <v>#REF!</v>
      </c>
      <c r="BQ76" s="480" t="e">
        <v>#DIV/0!</v>
      </c>
    </row>
    <row r="77" spans="1:142" customHeight="1" ht="15" s="473" customFormat="1">
      <c r="A77" s="1297"/>
      <c r="B77" s="934" t="str">
        <f>+GUM!C83</f>
        <v>82115-0E511 B</v>
      </c>
      <c r="C77" s="940" t="str">
        <f>'(AS-400 Jembatan)'!C77</f>
        <v>B 1001</v>
      </c>
      <c r="D77" s="550" t="s">
        <v>343</v>
      </c>
      <c r="E77" s="476" t="s">
        <v>343</v>
      </c>
      <c r="F77" s="476" t="s">
        <v>343</v>
      </c>
      <c r="G77" s="476" t="s">
        <v>343</v>
      </c>
      <c r="H77" s="476" t="s">
        <v>343</v>
      </c>
      <c r="I77" s="476">
        <f>SUM(D77:D77)</f>
        <v>0</v>
      </c>
      <c r="J77" s="477">
        <f>+'(AS-400 Jembatan)'!J77</f>
        <v/>
      </c>
      <c r="K77" s="866" t="e">
        <f>(J77-I77)/L77</f>
        <v>#DIV/0!</v>
      </c>
      <c r="L77" s="479"/>
      <c r="M77" s="479"/>
      <c r="N77" s="479"/>
      <c r="O77" s="484" t="e">
        <f>+IF('(AS-400 Jembatan)'!M77=0," ",'(AS-400 Jembatan)'!M77+'(AS-400 Transfer)'!$Y77)</f>
        <v>#REF!</v>
      </c>
      <c r="P77" s="476" t="e">
        <f>+IF('(AS-400 Jembatan)'!N77=0," ",'(AS-400 Jembatan)'!N77+'(AS-400 Transfer)'!$Y77)</f>
        <v>#REF!</v>
      </c>
      <c r="Q77" s="504" t="e">
        <f>+IF('(AS-400 Jembatan)'!O77=0," ",'(AS-400 Jembatan)'!O77+'(AS-400 Transfer)'!$Y77)</f>
        <v>#REF!</v>
      </c>
      <c r="R77" s="476" t="e">
        <f>+IF('(AS-400 Jembatan)'!P77=0," ",'(AS-400 Jembatan)'!P77+'(AS-400 Transfer)'!$Y77)</f>
        <v>#REF!</v>
      </c>
      <c r="S77" s="476" t="e">
        <f>+IF('(AS-400 Jembatan)'!Q77=0," ",'(AS-400 Jembatan)'!Q77+'(AS-400 Transfer)'!$Y77)</f>
        <v>#REF!</v>
      </c>
      <c r="T77" s="476" t="e">
        <f>SUM(O77:O77)</f>
        <v>#REF!</v>
      </c>
      <c r="U77" s="476" t="e">
        <f>+'(AS-400 Jembatan)'!S77</f>
        <v>#REF!</v>
      </c>
      <c r="V77" s="867" t="e">
        <f>(U77-T77)/W77</f>
        <v>#REF!</v>
      </c>
      <c r="W77" s="479">
        <f>+COUNT(O77:O77)</f>
        <v>0</v>
      </c>
      <c r="X77" s="479" t="e">
        <f>+IF(V77&lt;0,(ROUNDDOWN(V77,0)),(ROUNDUP(V77,0)))</f>
        <v>#REF!</v>
      </c>
      <c r="Y77" s="480">
        <v>0.0</v>
      </c>
      <c r="Z77" s="484" t="e">
        <f>+IF('(AS-400 Jembatan)'!V77=0," ",'(AS-400 Jembatan)'!V77+'(AS-400 Transfer)'!$AJ77)</f>
        <v>#REF!</v>
      </c>
      <c r="AA77" s="500" t="e">
        <f>+IF('(AS-400 Jembatan)'!W77=0," ",'(AS-400 Jembatan)'!W77+'(AS-400 Transfer)'!$AJ77)</f>
        <v>#REF!</v>
      </c>
      <c r="AB77" s="504" t="e">
        <f>+IF('(AS-400 Jembatan)'!X77=0," ",'(AS-400 Jembatan)'!X77+'(AS-400 Transfer)'!$AJ77)</f>
        <v>#REF!</v>
      </c>
      <c r="AC77" s="476" t="e">
        <f>+IF('(AS-400 Jembatan)'!Y77=0," ",'(AS-400 Jembatan)'!Y77+'(AS-400 Transfer)'!$AJ77)</f>
        <v>#REF!</v>
      </c>
      <c r="AD77" s="476" t="str">
        <f>+IF('(AS-400 Jembatan)'!Z77=0," ",'(AS-400 Jembatan)'!Z77+'(AS-400 Transfer)'!$AJ77)</f>
        <v> </v>
      </c>
      <c r="AE77" s="476" t="e">
        <f>SUM(Z77:Z77)</f>
        <v>#REF!</v>
      </c>
      <c r="AF77" s="476" t="e">
        <f>+'(AS-400 Jembatan)'!AB77</f>
        <v>#REF!</v>
      </c>
      <c r="AG77" s="476" t="e">
        <f>(AF77-AE77)/AH77</f>
        <v>#REF!</v>
      </c>
      <c r="AH77" s="479">
        <f>+COUNT(Z77:Z77)</f>
        <v>0</v>
      </c>
      <c r="AI77" s="479" t="e">
        <f>+IF(AG77&lt;0,(ROUNDDOWN(AG77,0)),(ROUNDUP(AG77,0)))</f>
        <v>#REF!</v>
      </c>
      <c r="AJ77" s="487">
        <v>0.0</v>
      </c>
      <c r="AK77" s="484" t="e">
        <f>+IF('(AS-400 Jembatan)'!AE77=0," ",'(AS-400 Jembatan)'!AE77+'(AS-400 Transfer)'!$AU77)</f>
        <v>#REF!</v>
      </c>
      <c r="AL77" s="476" t="e">
        <f>+IF('(AS-400 Jembatan)'!AF77=0," ",'(AS-400 Jembatan)'!AF77+'(AS-400 Transfer)'!$AU77)</f>
        <v>#REF!</v>
      </c>
      <c r="AM77" s="504" t="e">
        <f>+IF('(AS-400 Jembatan)'!AG77=0," ",'(AS-400 Jembatan)'!AG77+'(AS-400 Transfer)'!$AU77)</f>
        <v>#REF!</v>
      </c>
      <c r="AN77" s="476" t="e">
        <f>+IF('(AS-400 Jembatan)'!AH77=0," ",'(AS-400 Jembatan)'!AH77+'(AS-400 Transfer)'!$AU77)</f>
        <v>#REF!</v>
      </c>
      <c r="AO77" s="476" t="str">
        <f>+IF('(AS-400 Jembatan)'!AI77=0," ",'(AS-400 Jembatan)'!AI77+'(AS-400 Transfer)'!$AU77)</f>
        <v> </v>
      </c>
      <c r="AP77" s="476" t="e">
        <f>SUM(AK77:AK77)</f>
        <v>#REF!</v>
      </c>
      <c r="AQ77" s="476" t="e">
        <f>+'(AS-400 Jembatan)'!AK77</f>
        <v>#REF!</v>
      </c>
      <c r="AR77" s="476" t="e">
        <f>(AQ77-AP77)/AS77</f>
        <v>#REF!</v>
      </c>
      <c r="AS77" s="479">
        <f>+COUNT(AK77:AK77)</f>
        <v>0</v>
      </c>
      <c r="AT77" s="479" t="e">
        <f>+IF(AR77&lt;0,(ROUNDDOWN(AR77,0)),(ROUNDUP(AR77,0)))</f>
        <v>#REF!</v>
      </c>
      <c r="AU77" s="479">
        <v>0.0</v>
      </c>
      <c r="AV77" s="484" t="e">
        <f>+IF('(AS-400 Jembatan)'!AN77=0," ",'(AS-400 Jembatan)'!AN77+'(AS-400 Transfer)'!$BF77)</f>
        <v>#REF!</v>
      </c>
      <c r="AW77" s="476" t="e">
        <f>+IF('(AS-400 Jembatan)'!AO77=0," ",'(AS-400 Jembatan)'!AO77+'(AS-400 Transfer)'!$BF77)</f>
        <v>#REF!</v>
      </c>
      <c r="AX77" s="504" t="e">
        <f>+IF('(AS-400 Jembatan)'!AP77=0," ",'(AS-400 Jembatan)'!AP77+'(AS-400 Transfer)'!$BF77)</f>
        <v>#REF!</v>
      </c>
      <c r="AY77" s="476" t="e">
        <f>+IF('(AS-400 Jembatan)'!AQ77=0," ",'(AS-400 Jembatan)'!AQ77+'(AS-400 Transfer)'!$BF77)</f>
        <v>#REF!</v>
      </c>
      <c r="AZ77" s="476" t="e">
        <f>+IF('(AS-400 Jembatan)'!AR77=0," ",'(AS-400 Jembatan)'!AR77+'(AS-400 Transfer)'!$BF77)</f>
        <v>#REF!</v>
      </c>
      <c r="BA77" s="476" t="e">
        <f>SUM(AV77:AV77)</f>
        <v>#REF!</v>
      </c>
      <c r="BB77" s="476" t="e">
        <f>+GUM!Z83</f>
        <v>#REF!</v>
      </c>
      <c r="BC77" s="476" t="e">
        <f>(BB77-BA77)/BD77</f>
        <v>#REF!</v>
      </c>
      <c r="BD77" s="479">
        <f>+COUNT(AV77:AV77)</f>
        <v>0</v>
      </c>
      <c r="BE77" s="479" t="e">
        <f>+IF(BC77&lt;0,(ROUNDDOWN(BC77,0)),(ROUNDUP(BC77,0)))</f>
        <v>#REF!</v>
      </c>
      <c r="BF77" s="480">
        <v>0.0</v>
      </c>
      <c r="BG77" s="484" t="e">
        <f>+IF('(AS-400 Jembatan)'!AW77=0," ",'(AS-400 Jembatan)'!AW77+'(AS-400 Transfer)'!$BQ77)</f>
        <v>#REF!</v>
      </c>
      <c r="BH77" s="476" t="e">
        <f>+IF('(AS-400 Jembatan)'!AX77=0," ",'(AS-400 Jembatan)'!AX77+'(AS-400 Transfer)'!$BQ77)</f>
        <v>#REF!</v>
      </c>
      <c r="BI77" s="504" t="e">
        <f>+IF('(AS-400 Jembatan)'!AY77=0," ",'(AS-400 Jembatan)'!AY77+'(AS-400 Transfer)'!$BQ77)</f>
        <v>#REF!</v>
      </c>
      <c r="BJ77" s="476" t="e">
        <f>+IF('(AS-400 Jembatan)'!AZ77=0," ",'(AS-400 Jembatan)'!AZ77+'(AS-400 Transfer)'!$BQ77)</f>
        <v>#REF!</v>
      </c>
      <c r="BK77" s="476" t="str">
        <f>+IF('(AS-400 Jembatan)'!BA77=0," ",'(AS-400 Jembatan)'!BA77+'(AS-400 Transfer)'!$BQ77)</f>
        <v> </v>
      </c>
      <c r="BL77" s="476" t="e">
        <f>SUM(BG77:BG77)</f>
        <v>#REF!</v>
      </c>
      <c r="BM77" s="476" t="e">
        <f>+'(AS-400 Jembatan)'!BC77</f>
        <v>#REF!</v>
      </c>
      <c r="BN77" s="476" t="e">
        <f>(BM77-BL77)/BO77</f>
        <v>#REF!</v>
      </c>
      <c r="BO77" s="479">
        <f>+COUNT(BG77:BG77)</f>
        <v>0</v>
      </c>
      <c r="BP77" s="479" t="e">
        <f>+IF(BN77&lt;0,(ROUNDDOWN(BN77,0)),(ROUNDUP(BN77,0)))</f>
        <v>#REF!</v>
      </c>
      <c r="BQ77" s="480">
        <v>0.0</v>
      </c>
    </row>
    <row r="78" spans="1:142" customHeight="1" ht="15" s="473" customFormat="1">
      <c r="A78" s="1297"/>
      <c r="B78" s="934" t="str">
        <f>+GUM!C84</f>
        <v>82115-0E521 B</v>
      </c>
      <c r="C78" s="940" t="str">
        <f>'(AS-400 Jembatan)'!C78</f>
        <v>B 1001</v>
      </c>
      <c r="D78" s="550" t="str">
        <f>+IF('(AS-400 Jembatan)'!D78=0," ",'(AS-400 Jembatan)'!D$9+'(AS-400 Transfer)'!$N78)</f>
        <v> </v>
      </c>
      <c r="E78" s="476" t="str">
        <f>+IF('(AS-400 Jembatan)'!E78=0," ",'(AS-400 Jembatan)'!E$9+'(AS-400 Transfer)'!$N78)</f>
        <v> </v>
      </c>
      <c r="F78" s="476" t="str">
        <f>+IF('(AS-400 Jembatan)'!F78=0," ",'(AS-400 Jembatan)'!F$9+'(AS-400 Transfer)'!$N78)</f>
        <v> </v>
      </c>
      <c r="G78" s="476" t="str">
        <f>+IF('(AS-400 Jembatan)'!G78=0," ",'(AS-400 Jembatan)'!G$9+'(AS-400 Transfer)'!$N78)</f>
        <v> </v>
      </c>
      <c r="H78" s="476" t="str">
        <f>+IF('(AS-400 Jembatan)'!H78=0," ",'(AS-400 Jembatan)'!H$9+'(AS-400 Transfer)'!$N78)</f>
        <v> </v>
      </c>
      <c r="I78" s="476">
        <f>SUM(D78:D78)</f>
        <v>0</v>
      </c>
      <c r="J78" s="477">
        <f>+'(AS-400 Jembatan)'!J78</f>
        <v/>
      </c>
      <c r="K78" s="477" t="e">
        <f>(J78-I78)/L78</f>
        <v>#DIV/0!</v>
      </c>
      <c r="L78" s="479">
        <f>+COUNT(D78:H78)</f>
        <v>0</v>
      </c>
      <c r="M78" s="479" t="e">
        <f>+IF(K78&lt;0,(ROUNDDOWN(K78,0)),(ROUNDUP(K78,0)))</f>
        <v>#DIV/0!</v>
      </c>
      <c r="N78" s="479">
        <v>0.0</v>
      </c>
      <c r="O78" s="482" t="e">
        <f>+IF('(AS-400 Jembatan)'!M78=0," ",'(AS-400 Jembatan)'!M78+'(AS-400 Transfer)'!$Y78)</f>
        <v>#REF!</v>
      </c>
      <c r="P78" s="474" t="e">
        <f>+IF('(AS-400 Jembatan)'!N78=0," ",'(AS-400 Jembatan)'!N78+'(AS-400 Transfer)'!$Y78)</f>
        <v>#REF!</v>
      </c>
      <c r="Q78" s="483" t="e">
        <f>+IF('(AS-400 Jembatan)'!O78=0," ",'(AS-400 Jembatan)'!O78+'(AS-400 Transfer)'!$Y78)</f>
        <v>#REF!</v>
      </c>
      <c r="R78" s="474" t="e">
        <f>+IF('(AS-400 Jembatan)'!P78=0," ",'(AS-400 Jembatan)'!P78+'(AS-400 Transfer)'!$Y78)</f>
        <v>#REF!</v>
      </c>
      <c r="S78" s="474" t="e">
        <f>+IF('(AS-400 Jembatan)'!Q78=0," ",'(AS-400 Jembatan)'!Q78+'(AS-400 Transfer)'!$Y78)</f>
        <v>#REF!</v>
      </c>
      <c r="T78" s="476" t="e">
        <f>SUM(O78:O78)</f>
        <v>#REF!</v>
      </c>
      <c r="U78" s="476" t="e">
        <f>+'(AS-400 Jembatan)'!S78</f>
        <v>#REF!</v>
      </c>
      <c r="V78" s="476" t="e">
        <f>(U78-T78)/W78</f>
        <v>#REF!</v>
      </c>
      <c r="W78" s="479">
        <f>+COUNT(O78:O78)</f>
        <v>0</v>
      </c>
      <c r="X78" s="479" t="e">
        <f>+IF(V78&lt;0,(ROUNDDOWN(V78,0)),(ROUNDUP(V78,0)))</f>
        <v>#REF!</v>
      </c>
      <c r="Y78" s="480">
        <v>-8</v>
      </c>
      <c r="Z78" s="484" t="e">
        <f>+IF('(AS-400 Jembatan)'!V78=0," ",'(AS-400 Jembatan)'!V78+'(AS-400 Transfer)'!$AJ78)</f>
        <v>#REF!</v>
      </c>
      <c r="AA78" s="500" t="e">
        <f>+IF('(AS-400 Jembatan)'!W78=0," ",'(AS-400 Jembatan)'!W78+'(AS-400 Transfer)'!$AJ78)</f>
        <v>#REF!</v>
      </c>
      <c r="AB78" s="504" t="e">
        <f>+IF('(AS-400 Jembatan)'!X78=0," ",'(AS-400 Jembatan)'!X78+'(AS-400 Transfer)'!$AJ78)</f>
        <v>#REF!</v>
      </c>
      <c r="AC78" s="476" t="e">
        <f>+IF('(AS-400 Jembatan)'!Y78=0," ",'(AS-400 Jembatan)'!Y78+'(AS-400 Transfer)'!$AJ78)</f>
        <v>#REF!</v>
      </c>
      <c r="AD78" s="476" t="str">
        <f>+IF('(AS-400 Jembatan)'!Z78=0," ",'(AS-400 Jembatan)'!Z78+'(AS-400 Transfer)'!$AJ78)</f>
        <v> </v>
      </c>
      <c r="AE78" s="476" t="e">
        <f>SUM(Z78:Z78)</f>
        <v>#REF!</v>
      </c>
      <c r="AF78" s="476" t="e">
        <f>+'(AS-400 Jembatan)'!AB78</f>
        <v>#REF!</v>
      </c>
      <c r="AG78" s="476" t="e">
        <f>(AF78-AE78)/AH78</f>
        <v>#REF!</v>
      </c>
      <c r="AH78" s="479">
        <f>+COUNT(Z78:Z78)</f>
        <v>0</v>
      </c>
      <c r="AI78" s="477" t="e">
        <f>+IF(AG78&lt;0,(ROUNDDOWN(AG78,0)),(ROUNDUP(AG78,0)))</f>
        <v>#REF!</v>
      </c>
      <c r="AJ78" s="487">
        <v>0.0</v>
      </c>
      <c r="AK78" s="484" t="e">
        <f>+IF('(AS-400 Jembatan)'!AE78=0," ",'(AS-400 Jembatan)'!AE78+'(AS-400 Transfer)'!$AU78)</f>
        <v>#REF!</v>
      </c>
      <c r="AL78" s="476" t="e">
        <f>+IF('(AS-400 Jembatan)'!AF78=0," ",'(AS-400 Jembatan)'!AF78+'(AS-400 Transfer)'!$AU78)</f>
        <v>#REF!</v>
      </c>
      <c r="AM78" s="504" t="e">
        <f>+IF('(AS-400 Jembatan)'!AG78=0," ",'(AS-400 Jembatan)'!AG78+'(AS-400 Transfer)'!$AU78)</f>
        <v>#REF!</v>
      </c>
      <c r="AN78" s="476" t="e">
        <f>+IF('(AS-400 Jembatan)'!AH78=0," ",'(AS-400 Jembatan)'!AH78+'(AS-400 Transfer)'!$AU78)</f>
        <v>#REF!</v>
      </c>
      <c r="AO78" s="476" t="str">
        <f>+IF('(AS-400 Jembatan)'!AI78=0," ",'(AS-400 Jembatan)'!AI78+'(AS-400 Transfer)'!$AU78)</f>
        <v> </v>
      </c>
      <c r="AP78" s="476" t="e">
        <f>SUM(AK78:AK78)</f>
        <v>#REF!</v>
      </c>
      <c r="AQ78" s="476" t="e">
        <f>+'(AS-400 Jembatan)'!AK78</f>
        <v>#REF!</v>
      </c>
      <c r="AR78" s="476" t="e">
        <f>(AQ78-AP78)/AS78</f>
        <v>#REF!</v>
      </c>
      <c r="AS78" s="479">
        <f>+COUNT(AK78:AK78)</f>
        <v>0</v>
      </c>
      <c r="AT78" s="479" t="e">
        <f>+IF(AR78&lt;0,(ROUNDDOWN(AR78,0)),(ROUNDUP(AR78,0)))</f>
        <v>#REF!</v>
      </c>
      <c r="AU78" s="479">
        <v>0.0</v>
      </c>
      <c r="AV78" s="484" t="e">
        <f>+IF('(AS-400 Jembatan)'!AN78=0," ",'(AS-400 Jembatan)'!AN78+'(AS-400 Transfer)'!$BF78)</f>
        <v>#REF!</v>
      </c>
      <c r="AW78" s="476" t="e">
        <f>+IF('(AS-400 Jembatan)'!AO78=0," ",'(AS-400 Jembatan)'!AO78+'(AS-400 Transfer)'!$BF78)</f>
        <v>#REF!</v>
      </c>
      <c r="AX78" s="504" t="e">
        <f>+IF('(AS-400 Jembatan)'!AP78=0," ",'(AS-400 Jembatan)'!AP78+'(AS-400 Transfer)'!$BF78)</f>
        <v>#REF!</v>
      </c>
      <c r="AY78" s="476" t="e">
        <f>+IF('(AS-400 Jembatan)'!AQ78=0," ",'(AS-400 Jembatan)'!AQ78+'(AS-400 Transfer)'!$BF78)</f>
        <v>#REF!</v>
      </c>
      <c r="AZ78" s="476" t="e">
        <f>+IF('(AS-400 Jembatan)'!AR78=0," ",'(AS-400 Jembatan)'!AR78+'(AS-400 Transfer)'!$BF78)</f>
        <v>#REF!</v>
      </c>
      <c r="BA78" s="476" t="e">
        <f>SUM(AV78:AV78)</f>
        <v>#REF!</v>
      </c>
      <c r="BB78" s="476" t="e">
        <f>+GUM!Z84</f>
        <v>#REF!</v>
      </c>
      <c r="BC78" s="476" t="e">
        <f>(BB78-BA78)/BD78</f>
        <v>#REF!</v>
      </c>
      <c r="BD78" s="479">
        <f>+COUNT(AV78:AV78)</f>
        <v>0</v>
      </c>
      <c r="BE78" s="479" t="e">
        <f>+IF(BC78&lt;0,(ROUNDDOWN(BC78,0)),(ROUNDUP(BC78,0)))</f>
        <v>#REF!</v>
      </c>
      <c r="BF78" s="480">
        <v>0.0</v>
      </c>
      <c r="BG78" s="484" t="e">
        <f>+IF('(AS-400 Jembatan)'!AW78=0," ",'(AS-400 Jembatan)'!AW78+'(AS-400 Transfer)'!$BQ78)</f>
        <v>#REF!</v>
      </c>
      <c r="BH78" s="476" t="e">
        <f>+IF('(AS-400 Jembatan)'!AX78=0," ",'(AS-400 Jembatan)'!AX78+'(AS-400 Transfer)'!$BQ78)</f>
        <v>#REF!</v>
      </c>
      <c r="BI78" s="504" t="e">
        <f>+IF('(AS-400 Jembatan)'!AY78=0," ",'(AS-400 Jembatan)'!AY78+'(AS-400 Transfer)'!$BQ78)</f>
        <v>#REF!</v>
      </c>
      <c r="BJ78" s="476" t="e">
        <f>+IF('(AS-400 Jembatan)'!AZ78=0," ",'(AS-400 Jembatan)'!AZ78+'(AS-400 Transfer)'!$BQ78)</f>
        <v>#REF!</v>
      </c>
      <c r="BK78" s="476" t="str">
        <f>+IF('(AS-400 Jembatan)'!BA78=0," ",'(AS-400 Jembatan)'!BA78+'(AS-400 Transfer)'!$BQ78)</f>
        <v> </v>
      </c>
      <c r="BL78" s="476" t="e">
        <f>SUM(BG78:BG78)</f>
        <v>#REF!</v>
      </c>
      <c r="BM78" s="476" t="e">
        <f>+'(AS-400 Jembatan)'!BC78</f>
        <v>#REF!</v>
      </c>
      <c r="BN78" s="476" t="e">
        <f>(BM78-BL78)/BO78</f>
        <v>#REF!</v>
      </c>
      <c r="BO78" s="479">
        <f>+COUNT(BG78:BG78)</f>
        <v>0</v>
      </c>
      <c r="BP78" s="479" t="e">
        <f>+IF(BN78&lt;0,(ROUNDDOWN(BN78,0)),(ROUNDUP(BN78,0)))</f>
        <v>#REF!</v>
      </c>
      <c r="BQ78" s="480">
        <v>0.0</v>
      </c>
    </row>
    <row r="79" spans="1:142" customHeight="1" ht="15" s="473" customFormat="1">
      <c r="A79" s="1297"/>
      <c r="B79" s="935" t="str">
        <f>+GUM!C85</f>
        <v>82115-0E531 B</v>
      </c>
      <c r="C79" s="939" t="str">
        <f>'(AS-400 Jembatan)'!C79</f>
        <v>B 1001</v>
      </c>
      <c r="D79" s="505" t="str">
        <f>+IF('(AS-400 Jembatan)'!D79=0," ",'(AS-400 Jembatan)'!D$10+'(AS-400 Transfer)'!$N79)</f>
        <v> </v>
      </c>
      <c r="E79" s="474" t="str">
        <f>+IF('(AS-400 Jembatan)'!E79=0," ",'(AS-400 Jembatan)'!E$10+'(AS-400 Transfer)'!$N79)</f>
        <v> </v>
      </c>
      <c r="F79" s="474" t="str">
        <f>+IF('(AS-400 Jembatan)'!F79=0," ",'(AS-400 Jembatan)'!F$10+'(AS-400 Transfer)'!$N79)</f>
        <v> </v>
      </c>
      <c r="G79" s="474" t="str">
        <f>+IF('(AS-400 Jembatan)'!G79=0," ",'(AS-400 Jembatan)'!G$10+'(AS-400 Transfer)'!$N79)</f>
        <v> </v>
      </c>
      <c r="H79" s="474" t="str">
        <f>+IF('(AS-400 Jembatan)'!H79=0," ",'(AS-400 Jembatan)'!H$9+'(AS-400 Transfer)'!$N79)</f>
        <v> </v>
      </c>
      <c r="I79" s="474">
        <f>SUM(D79:D79)</f>
        <v>0</v>
      </c>
      <c r="J79" s="475">
        <f>+'(AS-400 Jembatan)'!J79</f>
        <v/>
      </c>
      <c r="K79" s="475" t="e">
        <f>(J79-I79)/L79</f>
        <v>#DIV/0!</v>
      </c>
      <c r="L79" s="478">
        <f>+COUNT(D79:H79)</f>
        <v>0</v>
      </c>
      <c r="M79" s="478" t="e">
        <f>+IF(K79&lt;0,(ROUNDDOWN(K79,0)),(ROUNDUP(K79,0)))</f>
        <v>#DIV/0!</v>
      </c>
      <c r="N79" s="478" t="e">
        <v>#DIV/0!</v>
      </c>
      <c r="O79" s="482" t="e">
        <f>+IF('(AS-400 Jembatan)'!M79=0," ",'(AS-400 Jembatan)'!M79+'(AS-400 Transfer)'!$Y79)</f>
        <v>#REF!</v>
      </c>
      <c r="P79" s="474" t="e">
        <f>+IF('(AS-400 Jembatan)'!N79=0," ",'(AS-400 Jembatan)'!N79+'(AS-400 Transfer)'!$Y79)</f>
        <v>#REF!</v>
      </c>
      <c r="Q79" s="483" t="e">
        <f>+IF('(AS-400 Jembatan)'!O79=0," ",'(AS-400 Jembatan)'!O79+'(AS-400 Transfer)'!$Y79)</f>
        <v>#REF!</v>
      </c>
      <c r="R79" s="474" t="e">
        <f>+IF('(AS-400 Jembatan)'!P79=0," ",'(AS-400 Jembatan)'!P79+'(AS-400 Transfer)'!$Y79)</f>
        <v>#REF!</v>
      </c>
      <c r="S79" s="474" t="e">
        <f>+IF('(AS-400 Jembatan)'!Q79=0," ",'(AS-400 Jembatan)'!Q79+'(AS-400 Transfer)'!$Y79)</f>
        <v>#REF!</v>
      </c>
      <c r="T79" s="474" t="e">
        <f>SUM(O79:O79)</f>
        <v>#REF!</v>
      </c>
      <c r="U79" s="474" t="e">
        <f>+'(AS-400 Jembatan)'!S79</f>
        <v>#REF!</v>
      </c>
      <c r="V79" s="474" t="e">
        <f>(U79-T79)/W79</f>
        <v>#REF!</v>
      </c>
      <c r="W79" s="478">
        <f>+COUNT(O79:O79)</f>
        <v>0</v>
      </c>
      <c r="X79" s="478" t="e">
        <f>+IF(V79&lt;0,(ROUNDDOWN(V79,0)),(ROUNDUP(V79,0)))</f>
        <v>#REF!</v>
      </c>
      <c r="Y79" s="488">
        <v>75</v>
      </c>
      <c r="Z79" s="482" t="e">
        <f>+IF('(AS-400 Jembatan)'!V79=0," ",'(AS-400 Jembatan)'!V79+'(AS-400 Transfer)'!$AJ79)</f>
        <v>#REF!</v>
      </c>
      <c r="AA79" s="494" t="e">
        <f>+IF('(AS-400 Jembatan)'!W79=0," ",'(AS-400 Jembatan)'!W79+'(AS-400 Transfer)'!$AJ79)</f>
        <v>#REF!</v>
      </c>
      <c r="AB79" s="483" t="e">
        <f>+IF('(AS-400 Jembatan)'!X79=0," ",'(AS-400 Jembatan)'!X79+'(AS-400 Transfer)'!$AJ79)</f>
        <v>#REF!</v>
      </c>
      <c r="AC79" s="474" t="e">
        <f>+IF('(AS-400 Jembatan)'!Y79=0," ",'(AS-400 Jembatan)'!Y79+'(AS-400 Transfer)'!$AJ79)</f>
        <v>#REF!</v>
      </c>
      <c r="AD79" s="474" t="str">
        <f>+IF('(AS-400 Jembatan)'!Z79=0," ",'(AS-400 Jembatan)'!Z79+'(AS-400 Transfer)'!$AJ79)</f>
        <v> </v>
      </c>
      <c r="AE79" s="474" t="e">
        <f>SUM(Z79:Z79)</f>
        <v>#REF!</v>
      </c>
      <c r="AF79" s="474" t="e">
        <f>+'(AS-400 Jembatan)'!AB79</f>
        <v>#REF!</v>
      </c>
      <c r="AG79" s="474" t="e">
        <f>(AF79-AE79)/AH79</f>
        <v>#REF!</v>
      </c>
      <c r="AH79" s="478">
        <f>+COUNT(Z79:Z79)</f>
        <v>0</v>
      </c>
      <c r="AI79" s="475" t="e">
        <f>+IF(AG79&lt;0,(ROUNDDOWN(AG79,0)),(ROUNDUP(AG79,0)))</f>
        <v>#REF!</v>
      </c>
      <c r="AJ79" s="481">
        <v>-57</v>
      </c>
      <c r="AK79" s="482" t="e">
        <f>+IF('(AS-400 Jembatan)'!AE79=0," ",'(AS-400 Jembatan)'!AE79+'(AS-400 Transfer)'!$AU79)</f>
        <v>#REF!</v>
      </c>
      <c r="AL79" s="474" t="e">
        <f>+IF('(AS-400 Jembatan)'!AF79=0," ",'(AS-400 Jembatan)'!AF79+'(AS-400 Transfer)'!$AU79)</f>
        <v>#REF!</v>
      </c>
      <c r="AM79" s="483" t="e">
        <f>+IF('(AS-400 Jembatan)'!AG79=0," ",'(AS-400 Jembatan)'!AG79+'(AS-400 Transfer)'!$AU79)</f>
        <v>#REF!</v>
      </c>
      <c r="AN79" s="474" t="e">
        <f>+IF('(AS-400 Jembatan)'!AH79=0," ",'(AS-400 Jembatan)'!AH79+'(AS-400 Transfer)'!$AU79)</f>
        <v>#REF!</v>
      </c>
      <c r="AO79" s="474" t="str">
        <f>+IF('(AS-400 Jembatan)'!AI79=0," ",'(AS-400 Jembatan)'!AI79+'(AS-400 Transfer)'!$AU79)</f>
        <v> </v>
      </c>
      <c r="AP79" s="474" t="e">
        <f>SUM(AK79:AK79)</f>
        <v>#REF!</v>
      </c>
      <c r="AQ79" s="474" t="e">
        <f>+'(AS-400 Jembatan)'!AK79</f>
        <v>#REF!</v>
      </c>
      <c r="AR79" s="474" t="e">
        <f>(AQ79-AP79)/AS79</f>
        <v>#REF!</v>
      </c>
      <c r="AS79" s="478">
        <f>+COUNT(AK79:AK79)</f>
        <v>0</v>
      </c>
      <c r="AT79" s="478" t="e">
        <f>+IF(AR79&lt;0,(ROUNDDOWN(AR79,0)),(ROUNDUP(AR79,0)))</f>
        <v>#REF!</v>
      </c>
      <c r="AU79" s="478">
        <v>8</v>
      </c>
      <c r="AV79" s="482" t="e">
        <f>+IF('(AS-400 Jembatan)'!AN79=0," ",'(AS-400 Jembatan)'!AN79+'(AS-400 Transfer)'!$BF79)</f>
        <v>#REF!</v>
      </c>
      <c r="AW79" s="474" t="e">
        <f>+IF('(AS-400 Jembatan)'!AO79=0," ",'(AS-400 Jembatan)'!AO79+'(AS-400 Transfer)'!$BF79)</f>
        <v>#REF!</v>
      </c>
      <c r="AX79" s="483" t="e">
        <f>+IF('(AS-400 Jembatan)'!AP79=0," ",'(AS-400 Jembatan)'!AP79+'(AS-400 Transfer)'!$BF79)</f>
        <v>#REF!</v>
      </c>
      <c r="AY79" s="474" t="e">
        <f>+IF('(AS-400 Jembatan)'!AQ79=0," ",'(AS-400 Jembatan)'!AQ79+'(AS-400 Transfer)'!$BF79)</f>
        <v>#REF!</v>
      </c>
      <c r="AZ79" s="474" t="e">
        <f>+IF('(AS-400 Jembatan)'!AR79=0," ",'(AS-400 Jembatan)'!AR79+'(AS-400 Transfer)'!$BF79)</f>
        <v>#REF!</v>
      </c>
      <c r="BA79" s="474" t="e">
        <f>SUM(AV79:AV79)</f>
        <v>#REF!</v>
      </c>
      <c r="BB79" s="474" t="e">
        <f>+GUM!Z85</f>
        <v>#REF!</v>
      </c>
      <c r="BC79" s="474" t="e">
        <f>(BB79-BA79)/BD79</f>
        <v>#REF!</v>
      </c>
      <c r="BD79" s="478">
        <f>+COUNT(AV79:AV79)</f>
        <v>0</v>
      </c>
      <c r="BE79" s="478" t="e">
        <f>+IF(BC79&lt;0,(ROUNDDOWN(BC79,0)),(ROUNDUP(BC79,0)))</f>
        <v>#REF!</v>
      </c>
      <c r="BF79" s="488">
        <v>-57</v>
      </c>
      <c r="BG79" s="482" t="e">
        <f>+IF('(AS-400 Jembatan)'!AW79=0," ",'(AS-400 Jembatan)'!AW79+'(AS-400 Transfer)'!$BQ79)</f>
        <v>#REF!</v>
      </c>
      <c r="BH79" s="474" t="e">
        <f>+IF('(AS-400 Jembatan)'!AX79=0," ",'(AS-400 Jembatan)'!AX79+'(AS-400 Transfer)'!$BQ79)</f>
        <v>#REF!</v>
      </c>
      <c r="BI79" s="483" t="e">
        <f>+IF('(AS-400 Jembatan)'!AY79=0," ",'(AS-400 Jembatan)'!AY79+'(AS-400 Transfer)'!$BQ79)</f>
        <v>#REF!</v>
      </c>
      <c r="BJ79" s="474" t="e">
        <f>+IF('(AS-400 Jembatan)'!AZ79=0," ",'(AS-400 Jembatan)'!AZ79+'(AS-400 Transfer)'!$BQ79)</f>
        <v>#REF!</v>
      </c>
      <c r="BK79" s="474" t="str">
        <f>+IF('(AS-400 Jembatan)'!BA79=0," ",'(AS-400 Jembatan)'!BA79+'(AS-400 Transfer)'!$BQ79)</f>
        <v> </v>
      </c>
      <c r="BL79" s="474" t="e">
        <f>SUM(BG79:BG79)</f>
        <v>#REF!</v>
      </c>
      <c r="BM79" s="474" t="e">
        <f>+'(AS-400 Jembatan)'!BC79</f>
        <v>#REF!</v>
      </c>
      <c r="BN79" s="474" t="e">
        <f>(BM79-BL79)/BO79</f>
        <v>#REF!</v>
      </c>
      <c r="BO79" s="478">
        <f>+COUNT(BG79:BG79)</f>
        <v>0</v>
      </c>
      <c r="BP79" s="478" t="e">
        <f>+IF(BN79&lt;0,(ROUNDDOWN(BN79,0)),(ROUNDUP(BN79,0)))</f>
        <v>#REF!</v>
      </c>
      <c r="BQ79" s="488">
        <v>-75</v>
      </c>
    </row>
    <row r="80" spans="1:142" customHeight="1" ht="15.75" s="868" customFormat="1">
      <c r="A80" s="1297"/>
      <c r="B80" s="934" t="str">
        <f>+GUM!C86</f>
        <v>82115-0E541 B</v>
      </c>
      <c r="C80" s="939" t="str">
        <f>'(AS-400 Jembatan)'!C80</f>
        <v>B 1001</v>
      </c>
      <c r="D80" s="505" t="str">
        <f>+IF('(AS-400 Jembatan)'!D80=0," ",'(AS-400 Jembatan)'!D$10+'(AS-400 Transfer)'!$N80)</f>
        <v> </v>
      </c>
      <c r="E80" s="474" t="str">
        <f>+IF('(AS-400 Jembatan)'!E80=0," ",'(AS-400 Jembatan)'!E$10+'(AS-400 Transfer)'!$N80)</f>
        <v> </v>
      </c>
      <c r="F80" s="474" t="str">
        <f>+IF('(AS-400 Jembatan)'!F80=0," ",'(AS-400 Jembatan)'!F$10+'(AS-400 Transfer)'!$N80)</f>
        <v> </v>
      </c>
      <c r="G80" s="474" t="str">
        <f>+IF('(AS-400 Jembatan)'!G80=0," ",'(AS-400 Jembatan)'!G$10+'(AS-400 Transfer)'!$N80)</f>
        <v> </v>
      </c>
      <c r="H80" s="474" t="str">
        <f>+IF('(AS-400 Jembatan)'!H80=0," ",'(AS-400 Jembatan)'!H$9+'(AS-400 Transfer)'!$N80)</f>
        <v> </v>
      </c>
      <c r="I80" s="474">
        <f>SUM(D80:D80)</f>
        <v>0</v>
      </c>
      <c r="J80" s="475">
        <f>+'(AS-400 Jembatan)'!J80</f>
        <v/>
      </c>
      <c r="K80" s="475" t="e">
        <f>(J80-I80)/L80</f>
        <v>#DIV/0!</v>
      </c>
      <c r="L80" s="478">
        <f>+COUNT(D80:H80)</f>
        <v>0</v>
      </c>
      <c r="M80" s="478" t="e">
        <f>+IF(K80&lt;0,(ROUNDDOWN(K80,0)),(ROUNDUP(K80,0)))</f>
        <v>#DIV/0!</v>
      </c>
      <c r="N80" s="478" t="e">
        <v>#DIV/0!</v>
      </c>
      <c r="O80" s="837" t="e">
        <f>+IF('(AS-400 Jembatan)'!M80=0," ",'(AS-400 Jembatan)'!M80+'(AS-400 Transfer)'!$Y80)</f>
        <v>#REF!</v>
      </c>
      <c r="P80" s="830" t="e">
        <f>+IF('(AS-400 Jembatan)'!N80=0," ",'(AS-400 Jembatan)'!N80+'(AS-400 Transfer)'!$Y80)</f>
        <v>#REF!</v>
      </c>
      <c r="Q80" s="839" t="e">
        <f>+IF('(AS-400 Jembatan)'!O80=0," ",'(AS-400 Jembatan)'!O80+'(AS-400 Transfer)'!$Y80)</f>
        <v>#REF!</v>
      </c>
      <c r="R80" s="830" t="e">
        <f>+IF('(AS-400 Jembatan)'!P80=0," ",'(AS-400 Jembatan)'!P80+'(AS-400 Transfer)'!$Y80)</f>
        <v>#REF!</v>
      </c>
      <c r="S80" s="830" t="e">
        <f>+IF('(AS-400 Jembatan)'!Q80=0," ",'(AS-400 Jembatan)'!Q80+'(AS-400 Transfer)'!$Y80)</f>
        <v>#REF!</v>
      </c>
      <c r="T80" s="474" t="e">
        <f>SUM(O80:O80)</f>
        <v>#REF!</v>
      </c>
      <c r="U80" s="474" t="e">
        <f>+'(AS-400 Jembatan)'!S80</f>
        <v>#REF!</v>
      </c>
      <c r="V80" s="474" t="e">
        <f>(U80-T80)/W80</f>
        <v>#REF!</v>
      </c>
      <c r="W80" s="478">
        <f>+COUNT(O80:O80)</f>
        <v>0</v>
      </c>
      <c r="X80" s="478" t="e">
        <f>+IF(V80&lt;0,(ROUNDDOWN(V80,0)),(ROUNDUP(V80,0)))</f>
        <v>#REF!</v>
      </c>
      <c r="Y80" s="488" t="e">
        <v>#DIV/0!</v>
      </c>
      <c r="Z80" s="837" t="e">
        <f>+IF('(AS-400 Jembatan)'!V80=0," ",'(AS-400 Jembatan)'!V80+'(AS-400 Transfer)'!$AJ80)</f>
        <v>#REF!</v>
      </c>
      <c r="AA80" s="838" t="e">
        <f>+IF('(AS-400 Jembatan)'!W80=0," ",'(AS-400 Jembatan)'!W80+'(AS-400 Transfer)'!$AJ80)</f>
        <v>#REF!</v>
      </c>
      <c r="AB80" s="839" t="e">
        <f>+IF('(AS-400 Jembatan)'!X80=0," ",'(AS-400 Jembatan)'!X80+'(AS-400 Transfer)'!$AJ80)</f>
        <v>#REF!</v>
      </c>
      <c r="AC80" s="830" t="e">
        <f>+IF('(AS-400 Jembatan)'!Y80=0," ",'(AS-400 Jembatan)'!Y80+'(AS-400 Transfer)'!$AJ80)</f>
        <v>#REF!</v>
      </c>
      <c r="AD80" s="830" t="str">
        <f>+IF('(AS-400 Jembatan)'!Z80=0," ",'(AS-400 Jembatan)'!Z80+'(AS-400 Transfer)'!$AJ80)</f>
        <v> </v>
      </c>
      <c r="AE80" s="474" t="e">
        <f>SUM(Z80:Z80)</f>
        <v>#REF!</v>
      </c>
      <c r="AF80" s="474" t="e">
        <f>+'(AS-400 Jembatan)'!AB80</f>
        <v>#REF!</v>
      </c>
      <c r="AG80" s="474" t="e">
        <f>(AF80-AE80)/AH80</f>
        <v>#REF!</v>
      </c>
      <c r="AH80" s="478">
        <f>+COUNT(Z80:Z80)</f>
        <v>0</v>
      </c>
      <c r="AI80" s="475" t="e">
        <f>+IF(AG80&lt;0,(ROUNDDOWN(AG80,0)),(ROUNDUP(AG80,0)))</f>
        <v>#REF!</v>
      </c>
      <c r="AJ80" s="481" t="e">
        <v>#DIV/0!</v>
      </c>
      <c r="AK80" s="482" t="e">
        <f>+IF('(AS-400 Jembatan)'!AE80=0," ",'(AS-400 Jembatan)'!AE80+'(AS-400 Transfer)'!$AU80)</f>
        <v>#REF!</v>
      </c>
      <c r="AL80" s="474" t="e">
        <f>+IF('(AS-400 Jembatan)'!AF80=0," ",'(AS-400 Jembatan)'!AF80+'(AS-400 Transfer)'!$AU80)</f>
        <v>#REF!</v>
      </c>
      <c r="AM80" s="483" t="e">
        <f>+IF('(AS-400 Jembatan)'!AG80=0," ",'(AS-400 Jembatan)'!AG80+'(AS-400 Transfer)'!$AU80)</f>
        <v>#REF!</v>
      </c>
      <c r="AN80" s="474" t="e">
        <f>+IF('(AS-400 Jembatan)'!AH80=0," ",'(AS-400 Jembatan)'!AH80+'(AS-400 Transfer)'!$AU80)</f>
        <v>#REF!</v>
      </c>
      <c r="AO80" s="474" t="str">
        <f>+IF('(AS-400 Jembatan)'!AI80=0," ",'(AS-400 Jembatan)'!AI80+'(AS-400 Transfer)'!$AU80)</f>
        <v> </v>
      </c>
      <c r="AP80" s="474" t="e">
        <f>SUM(AK80:AK80)</f>
        <v>#REF!</v>
      </c>
      <c r="AQ80" s="474" t="e">
        <f>+'(AS-400 Jembatan)'!AK80</f>
        <v>#REF!</v>
      </c>
      <c r="AR80" s="474" t="e">
        <f>(AQ80-AP80)/AS80</f>
        <v>#REF!</v>
      </c>
      <c r="AS80" s="478">
        <f>+COUNT(AK80:AK80)</f>
        <v>0</v>
      </c>
      <c r="AT80" s="478" t="e">
        <f>+IF(AR80&lt;0,(ROUNDDOWN(AR80,0)),(ROUNDUP(AR80,0)))</f>
        <v>#REF!</v>
      </c>
      <c r="AU80" s="478" t="e">
        <v>#DIV/0!</v>
      </c>
      <c r="AV80" s="482" t="e">
        <f>+IF('(AS-400 Jembatan)'!AN80=0," ",'(AS-400 Jembatan)'!AN80+'(AS-400 Transfer)'!$BF80)</f>
        <v>#REF!</v>
      </c>
      <c r="AW80" s="474" t="e">
        <f>+IF('(AS-400 Jembatan)'!AO80=0," ",'(AS-400 Jembatan)'!AO80+'(AS-400 Transfer)'!$BF80)</f>
        <v>#REF!</v>
      </c>
      <c r="AX80" s="483" t="e">
        <f>+IF('(AS-400 Jembatan)'!AP80=0," ",'(AS-400 Jembatan)'!AP80+'(AS-400 Transfer)'!$BF80)</f>
        <v>#REF!</v>
      </c>
      <c r="AY80" s="474" t="e">
        <f>+IF('(AS-400 Jembatan)'!AQ80=0," ",'(AS-400 Jembatan)'!AQ80+'(AS-400 Transfer)'!$BF80)</f>
        <v>#REF!</v>
      </c>
      <c r="AZ80" s="474" t="e">
        <f>+IF('(AS-400 Jembatan)'!AR80=0," ",'(AS-400 Jembatan)'!AR80+'(AS-400 Transfer)'!$BF80)</f>
        <v>#REF!</v>
      </c>
      <c r="BA80" s="474" t="e">
        <f>SUM(AV80:AV80)</f>
        <v>#REF!</v>
      </c>
      <c r="BB80" s="474" t="e">
        <f>+GUM!Z86</f>
        <v>#REF!</v>
      </c>
      <c r="BC80" s="474" t="e">
        <f>(BB80-BA80)/BD80</f>
        <v>#REF!</v>
      </c>
      <c r="BD80" s="478">
        <f>+COUNT(AV80:AV80)</f>
        <v>0</v>
      </c>
      <c r="BE80" s="478" t="e">
        <f>+IF(BC80&lt;0,(ROUNDDOWN(BC80,0)),(ROUNDUP(BC80,0)))</f>
        <v>#REF!</v>
      </c>
      <c r="BF80" s="488" t="e">
        <v>#DIV/0!</v>
      </c>
      <c r="BG80" s="482" t="e">
        <f>+IF('(AS-400 Jembatan)'!AW80=0," ",'(AS-400 Jembatan)'!AW80+'(AS-400 Transfer)'!$BQ80)</f>
        <v>#REF!</v>
      </c>
      <c r="BH80" s="474" t="e">
        <f>+IF('(AS-400 Jembatan)'!AX80=0," ",'(AS-400 Jembatan)'!AX80+'(AS-400 Transfer)'!$BQ80)</f>
        <v>#REF!</v>
      </c>
      <c r="BI80" s="483" t="e">
        <f>+IF('(AS-400 Jembatan)'!AY80=0," ",'(AS-400 Jembatan)'!AY80+'(AS-400 Transfer)'!$BQ80)</f>
        <v>#REF!</v>
      </c>
      <c r="BJ80" s="474" t="e">
        <f>+IF('(AS-400 Jembatan)'!AZ80=0," ",'(AS-400 Jembatan)'!AZ80+'(AS-400 Transfer)'!$BQ80)</f>
        <v>#REF!</v>
      </c>
      <c r="BK80" s="474" t="str">
        <f>+IF('(AS-400 Jembatan)'!BA80=0," ",'(AS-400 Jembatan)'!BA80+'(AS-400 Transfer)'!$BQ80)</f>
        <v> </v>
      </c>
      <c r="BL80" s="474" t="e">
        <f>SUM(BG80:BG80)</f>
        <v>#REF!</v>
      </c>
      <c r="BM80" s="474" t="e">
        <f>+'(AS-400 Jembatan)'!BC80</f>
        <v>#REF!</v>
      </c>
      <c r="BN80" s="474" t="e">
        <f>(BM80-BL80)/BO80</f>
        <v>#REF!</v>
      </c>
      <c r="BO80" s="478">
        <f>+COUNT(BG80:BG80)</f>
        <v>0</v>
      </c>
      <c r="BP80" s="478" t="e">
        <f>+IF(BN80&lt;0,(ROUNDDOWN(BN80,0)),(ROUNDUP(BN80,0)))</f>
        <v>#REF!</v>
      </c>
      <c r="BQ80" s="488" t="e">
        <v>#DIV/0!</v>
      </c>
    </row>
    <row r="81" spans="1:142" customHeight="1" ht="15.75" s="473" customFormat="1">
      <c r="A81" s="1297"/>
      <c r="B81" s="935" t="str">
        <f>+GUM!C87</f>
        <v>82115-0E551 B</v>
      </c>
      <c r="C81" s="940" t="str">
        <f>'(AS-400 Jembatan)'!C81</f>
        <v>B 1001</v>
      </c>
      <c r="D81" s="550" t="str">
        <f>+IF('(AS-400 Jembatan)'!D81=0," ",'(AS-400 Jembatan)'!D$12+'(AS-400 Transfer)'!$N81)</f>
        <v> </v>
      </c>
      <c r="E81" s="476" t="str">
        <f>+IF('(AS-400 Jembatan)'!E81=0," ",'(AS-400 Jembatan)'!E$12+'(AS-400 Transfer)'!$N81)</f>
        <v> </v>
      </c>
      <c r="F81" s="476" t="str">
        <f>+IF('(AS-400 Jembatan)'!F81=0," ",'(AS-400 Jembatan)'!F$12+'(AS-400 Transfer)'!$N81)</f>
        <v> </v>
      </c>
      <c r="G81" s="476" t="str">
        <f>+IF('(AS-400 Jembatan)'!G81=0," ",'(AS-400 Jembatan)'!G$12+'(AS-400 Transfer)'!$N81)</f>
        <v> </v>
      </c>
      <c r="H81" s="476" t="str">
        <f>+IF('(AS-400 Jembatan)'!H81=0," ",'(AS-400 Jembatan)'!H$12+'(AS-400 Transfer)'!$N81)</f>
        <v> </v>
      </c>
      <c r="I81" s="476">
        <f>SUM(D81:D81)</f>
        <v>0</v>
      </c>
      <c r="J81" s="477">
        <f>+'(AS-400 Jembatan)'!J81</f>
        <v/>
      </c>
      <c r="K81" s="477" t="e">
        <f>(J81-I81)/L81</f>
        <v>#DIV/0!</v>
      </c>
      <c r="L81" s="479">
        <f>+COUNT(D81:D81)</f>
        <v>0</v>
      </c>
      <c r="M81" s="479" t="e">
        <f>+IF(K81&lt;0,(ROUNDDOWN(K81,0)),(ROUNDUP(K81,0)))</f>
        <v>#DIV/0!</v>
      </c>
      <c r="N81" s="479">
        <v>0.0</v>
      </c>
      <c r="O81" s="484" t="e">
        <f>+IF('(AS-400 Jembatan)'!M81=0," ",'(AS-400 Jembatan)'!M81+'(AS-400 Transfer)'!$Y81)</f>
        <v>#REF!</v>
      </c>
      <c r="P81" s="476" t="e">
        <f>+IF('(AS-400 Jembatan)'!N81=0," ",'(AS-400 Jembatan)'!N81+'(AS-400 Transfer)'!$Y81)</f>
        <v>#REF!</v>
      </c>
      <c r="Q81" s="504" t="e">
        <f>+IF('(AS-400 Jembatan)'!O81=0," ",'(AS-400 Jembatan)'!O81+'(AS-400 Transfer)'!$Y81)</f>
        <v>#REF!</v>
      </c>
      <c r="R81" s="476" t="e">
        <f>+IF('(AS-400 Jembatan)'!P81=0," ",'(AS-400 Jembatan)'!P81+'(AS-400 Transfer)'!$Y81)</f>
        <v>#REF!</v>
      </c>
      <c r="S81" s="476" t="e">
        <f>+IF('(AS-400 Jembatan)'!Q81=0," ",'(AS-400 Jembatan)'!Q81+'(AS-400 Transfer)'!$Y81)</f>
        <v>#REF!</v>
      </c>
      <c r="T81" s="476" t="e">
        <f>SUM(O81:O81)</f>
        <v>#REF!</v>
      </c>
      <c r="U81" s="476" t="e">
        <f>+'(AS-400 Jembatan)'!S81</f>
        <v>#REF!</v>
      </c>
      <c r="V81" s="501" t="e">
        <f>(U81-T81)/W81</f>
        <v>#REF!</v>
      </c>
      <c r="W81" s="479">
        <f>+COUNT(O81:O81)</f>
        <v>0</v>
      </c>
      <c r="X81" s="479" t="e">
        <f>+IF(V81&lt;0,(ROUNDDOWN(V81,0)),(ROUNDUP(V81,0)))</f>
        <v>#REF!</v>
      </c>
      <c r="Y81" s="480" t="e">
        <v>#DIV/0!</v>
      </c>
      <c r="Z81" s="484" t="e">
        <f>+IF('(AS-400 Jembatan)'!V81=0," ",'(AS-400 Jembatan)'!V81+'(AS-400 Transfer)'!$AJ81)</f>
        <v>#REF!</v>
      </c>
      <c r="AA81" s="500" t="e">
        <f>+IF('(AS-400 Jembatan)'!W81=0," ",'(AS-400 Jembatan)'!W81+'(AS-400 Transfer)'!$AJ81)</f>
        <v>#REF!</v>
      </c>
      <c r="AB81" s="504" t="e">
        <f>+IF('(AS-400 Jembatan)'!X81=0," ",'(AS-400 Jembatan)'!X81+'(AS-400 Transfer)'!$AJ81)</f>
        <v>#REF!</v>
      </c>
      <c r="AC81" s="476" t="e">
        <f>+IF('(AS-400 Jembatan)'!Y81=0," ",'(AS-400 Jembatan)'!Y81+'(AS-400 Transfer)'!$AJ81)</f>
        <v>#REF!</v>
      </c>
      <c r="AD81" s="476" t="str">
        <f>+IF('(AS-400 Jembatan)'!Z81=0," ",'(AS-400 Jembatan)'!Z81+'(AS-400 Transfer)'!$AJ81)</f>
        <v> </v>
      </c>
      <c r="AE81" s="476" t="e">
        <f>SUM(Z81:Z81)</f>
        <v>#REF!</v>
      </c>
      <c r="AF81" s="476" t="e">
        <f>+'(AS-400 Jembatan)'!AB81</f>
        <v>#REF!</v>
      </c>
      <c r="AG81" s="476" t="e">
        <f>(AF81-AE81)/AH81</f>
        <v>#REF!</v>
      </c>
      <c r="AH81" s="479">
        <f>+COUNT(Z81:Z81)</f>
        <v>0</v>
      </c>
      <c r="AI81" s="477" t="e">
        <f>+IF(AG81&lt;0,(ROUNDDOWN(AG81,0)),(ROUNDUP(AG81,0)))</f>
        <v>#REF!</v>
      </c>
      <c r="AJ81" s="487" t="e">
        <v>#DIV/0!</v>
      </c>
      <c r="AK81" s="484" t="e">
        <f>+IF('(AS-400 Jembatan)'!AE81=0," ",'(AS-400 Jembatan)'!AE81+'(AS-400 Transfer)'!$AU81)</f>
        <v>#REF!</v>
      </c>
      <c r="AL81" s="476" t="e">
        <f>+IF('(AS-400 Jembatan)'!AF81=0," ",'(AS-400 Jembatan)'!AF81+'(AS-400 Transfer)'!$AU81)</f>
        <v>#REF!</v>
      </c>
      <c r="AM81" s="504" t="e">
        <f>+IF('(AS-400 Jembatan)'!AG81=0," ",'(AS-400 Jembatan)'!AG81+'(AS-400 Transfer)'!$AU81)</f>
        <v>#REF!</v>
      </c>
      <c r="AN81" s="476" t="e">
        <f>+IF('(AS-400 Jembatan)'!AH81=0," ",'(AS-400 Jembatan)'!AH81+'(AS-400 Transfer)'!$AU81)</f>
        <v>#REF!</v>
      </c>
      <c r="AO81" s="476" t="str">
        <f>+IF('(AS-400 Jembatan)'!AI81=0," ",'(AS-400 Jembatan)'!AI81+'(AS-400 Transfer)'!$AU81)</f>
        <v> </v>
      </c>
      <c r="AP81" s="476" t="e">
        <f>SUM(AK81:AK81)</f>
        <v>#REF!</v>
      </c>
      <c r="AQ81" s="476" t="e">
        <f>+'(AS-400 Jembatan)'!AK81</f>
        <v>#REF!</v>
      </c>
      <c r="AR81" s="476" t="e">
        <f>(AQ81-AP81)/AS81</f>
        <v>#REF!</v>
      </c>
      <c r="AS81" s="479">
        <f>+COUNT(AK81:AK81)</f>
        <v>0</v>
      </c>
      <c r="AT81" s="479" t="e">
        <f>+IF(AR81&lt;0,(ROUNDDOWN(AR81,0)),(ROUNDUP(AR81,0)))</f>
        <v>#REF!</v>
      </c>
      <c r="AU81" s="479" t="e">
        <v>#DIV/0!</v>
      </c>
      <c r="AV81" s="484" t="e">
        <f>+IF('(AS-400 Jembatan)'!AN81=0," ",'(AS-400 Jembatan)'!AN81+'(AS-400 Transfer)'!$BF81)</f>
        <v>#REF!</v>
      </c>
      <c r="AW81" s="476" t="e">
        <f>+IF('(AS-400 Jembatan)'!AO81=0," ",'(AS-400 Jembatan)'!AO81+'(AS-400 Transfer)'!$BF81)</f>
        <v>#REF!</v>
      </c>
      <c r="AX81" s="504" t="e">
        <f>+IF('(AS-400 Jembatan)'!AP81=0," ",'(AS-400 Jembatan)'!AP81+'(AS-400 Transfer)'!$BF81)</f>
        <v>#REF!</v>
      </c>
      <c r="AY81" s="476" t="e">
        <f>+IF('(AS-400 Jembatan)'!AQ81=0," ",'(AS-400 Jembatan)'!AQ81+'(AS-400 Transfer)'!$BF81)</f>
        <v>#REF!</v>
      </c>
      <c r="AZ81" s="476" t="e">
        <f>+IF('(AS-400 Jembatan)'!AR81=0," ",'(AS-400 Jembatan)'!AR81+'(AS-400 Transfer)'!$BF81)</f>
        <v>#REF!</v>
      </c>
      <c r="BA81" s="476" t="e">
        <f>SUM(AV81:AV81)</f>
        <v>#REF!</v>
      </c>
      <c r="BB81" s="476" t="e">
        <f>+GUM!Z87</f>
        <v>#REF!</v>
      </c>
      <c r="BC81" s="476" t="e">
        <f>(BB81-BA81)/BD81</f>
        <v>#REF!</v>
      </c>
      <c r="BD81" s="479">
        <f>+COUNT(AV81:AV81)</f>
        <v>0</v>
      </c>
      <c r="BE81" s="479" t="e">
        <f>+IF(BC81&lt;0,(ROUNDDOWN(BC81,0)),(ROUNDUP(BC81,0)))</f>
        <v>#REF!</v>
      </c>
      <c r="BF81" s="480" t="e">
        <v>#DIV/0!</v>
      </c>
      <c r="BG81" s="484" t="e">
        <f>+IF('(AS-400 Jembatan)'!AW81=0," ",'(AS-400 Jembatan)'!AW81+'(AS-400 Transfer)'!$BQ81)</f>
        <v>#REF!</v>
      </c>
      <c r="BH81" s="476" t="e">
        <f>+IF('(AS-400 Jembatan)'!AX81=0," ",'(AS-400 Jembatan)'!AX81+'(AS-400 Transfer)'!$BQ81)</f>
        <v>#REF!</v>
      </c>
      <c r="BI81" s="504" t="e">
        <f>+IF('(AS-400 Jembatan)'!AY81=0," ",'(AS-400 Jembatan)'!AY81+'(AS-400 Transfer)'!$BQ81)</f>
        <v>#REF!</v>
      </c>
      <c r="BJ81" s="476" t="e">
        <f>+IF('(AS-400 Jembatan)'!AZ81=0," ",'(AS-400 Jembatan)'!AZ81+'(AS-400 Transfer)'!$BQ81)</f>
        <v>#REF!</v>
      </c>
      <c r="BK81" s="476" t="str">
        <f>+IF('(AS-400 Jembatan)'!BA81=0," ",'(AS-400 Jembatan)'!BA81+'(AS-400 Transfer)'!$BQ81)</f>
        <v> </v>
      </c>
      <c r="BL81" s="476" t="e">
        <f>SUM(BG81:BG81)</f>
        <v>#REF!</v>
      </c>
      <c r="BM81" s="476" t="e">
        <f>+'(AS-400 Jembatan)'!BC81</f>
        <v>#REF!</v>
      </c>
      <c r="BN81" s="476" t="e">
        <f>(BM81-BL81)/BO81</f>
        <v>#REF!</v>
      </c>
      <c r="BO81" s="479">
        <f>+COUNT(BG81:BG81)</f>
        <v>0</v>
      </c>
      <c r="BP81" s="479" t="e">
        <f>+IF(BN81&lt;0,(ROUNDDOWN(BN81,0)),(ROUNDUP(BN81,0)))</f>
        <v>#REF!</v>
      </c>
      <c r="BQ81" s="480" t="e">
        <v>#DIV/0!</v>
      </c>
    </row>
    <row r="82" spans="1:142" customHeight="1" ht="15" s="473" customFormat="1">
      <c r="A82" s="1297"/>
      <c r="B82" s="934" t="str">
        <f>+GUM!C88</f>
        <v>82115-0E561 B</v>
      </c>
      <c r="C82" s="939" t="str">
        <f>'(AS-400 Jembatan)'!C82</f>
        <v>B 1001</v>
      </c>
      <c r="D82" s="505" t="str">
        <f>+IF('(AS-400 Jembatan)'!D82=0," ",'(AS-400 Jembatan)'!D$13+'(AS-400 Transfer)'!$N82)</f>
        <v> </v>
      </c>
      <c r="E82" s="474" t="str">
        <f>+IF('(AS-400 Jembatan)'!E82=0," ",'(AS-400 Jembatan)'!E$13+'(AS-400 Transfer)'!$N82)</f>
        <v> </v>
      </c>
      <c r="F82" s="474" t="str">
        <f>+IF('(AS-400 Jembatan)'!F82=0," ",'(AS-400 Jembatan)'!F$13+'(AS-400 Transfer)'!$N82)</f>
        <v> </v>
      </c>
      <c r="G82" s="474" t="str">
        <f>+IF('(AS-400 Jembatan)'!G82=0," ",'(AS-400 Jembatan)'!G$13+'(AS-400 Transfer)'!$N82)</f>
        <v> </v>
      </c>
      <c r="H82" s="474" t="str">
        <f>+IF('(AS-400 Jembatan)'!H82=0," ",'(AS-400 Jembatan)'!H$9+'(AS-400 Transfer)'!$N82)</f>
        <v> </v>
      </c>
      <c r="I82" s="474">
        <f>SUM(D82:D82)</f>
        <v>0</v>
      </c>
      <c r="J82" s="475">
        <f>+'(AS-400 Jembatan)'!J82</f>
        <v/>
      </c>
      <c r="K82" s="475" t="e">
        <f>(J82-I82)/L82</f>
        <v>#DIV/0!</v>
      </c>
      <c r="L82" s="478">
        <f>+COUNT(D82:D82)</f>
        <v>0</v>
      </c>
      <c r="M82" s="478" t="e">
        <f>+IF(K82&lt;0,(ROUNDDOWN(K82,0)),(ROUNDUP(K82,0)))</f>
        <v>#DIV/0!</v>
      </c>
      <c r="N82" s="478" t="e">
        <v>#DIV/0!</v>
      </c>
      <c r="O82" s="482" t="e">
        <f>+IF('(AS-400 Jembatan)'!M82=0," ",'(AS-400 Jembatan)'!M82+'(AS-400 Transfer)'!$Y82)</f>
        <v>#REF!</v>
      </c>
      <c r="P82" s="474" t="e">
        <f>+IF('(AS-400 Jembatan)'!N82=0," ",'(AS-400 Jembatan)'!N82+'(AS-400 Transfer)'!$Y82)</f>
        <v>#REF!</v>
      </c>
      <c r="Q82" s="483" t="e">
        <f>+IF('(AS-400 Jembatan)'!O82=0," ",'(AS-400 Jembatan)'!O82+'(AS-400 Transfer)'!$Y82)</f>
        <v>#REF!</v>
      </c>
      <c r="R82" s="474" t="e">
        <f>+IF('(AS-400 Jembatan)'!P82=0," ",'(AS-400 Jembatan)'!P82+'(AS-400 Transfer)'!$Y82)</f>
        <v>#REF!</v>
      </c>
      <c r="S82" s="474" t="e">
        <f>+IF('(AS-400 Jembatan)'!Q82=0," ",'(AS-400 Jembatan)'!Q82+'(AS-400 Transfer)'!$Y82)</f>
        <v>#REF!</v>
      </c>
      <c r="T82" s="474" t="e">
        <f>SUM(O82:O82)</f>
        <v>#REF!</v>
      </c>
      <c r="U82" s="474" t="e">
        <f>+'(AS-400 Jembatan)'!S82</f>
        <v>#REF!</v>
      </c>
      <c r="V82" s="474" t="e">
        <f>(U82-T82)/W82</f>
        <v>#REF!</v>
      </c>
      <c r="W82" s="478">
        <f>+COUNT(O82:O82)</f>
        <v>0</v>
      </c>
      <c r="X82" s="478" t="e">
        <f>+IF(V82&lt;0,(ROUNDDOWN(V82,0)),(ROUNDUP(V82,0)))</f>
        <v>#REF!</v>
      </c>
      <c r="Y82" s="488">
        <v>4</v>
      </c>
      <c r="Z82" s="482" t="e">
        <f>+IF('(AS-400 Jembatan)'!V82=0," ",'(AS-400 Jembatan)'!V82+'(AS-400 Transfer)'!$AJ82)</f>
        <v>#REF!</v>
      </c>
      <c r="AA82" s="494" t="e">
        <f>+IF('(AS-400 Jembatan)'!W82=0," ",'(AS-400 Jembatan)'!W82+'(AS-400 Transfer)'!$AJ82)</f>
        <v>#REF!</v>
      </c>
      <c r="AB82" s="483" t="e">
        <f>+IF('(AS-400 Jembatan)'!X82=0," ",'(AS-400 Jembatan)'!X82+'(AS-400 Transfer)'!$AJ82)</f>
        <v>#REF!</v>
      </c>
      <c r="AC82" s="474" t="e">
        <f>+IF('(AS-400 Jembatan)'!Y82=0," ",'(AS-400 Jembatan)'!Y82+'(AS-400 Transfer)'!$AJ82)</f>
        <v>#REF!</v>
      </c>
      <c r="AD82" s="474" t="str">
        <f>+IF('(AS-400 Jembatan)'!Z82=0," ",'(AS-400 Jembatan)'!Z82+'(AS-400 Transfer)'!$AJ82)</f>
        <v> </v>
      </c>
      <c r="AE82" s="474" t="e">
        <f>SUM(Z82:Z82)</f>
        <v>#REF!</v>
      </c>
      <c r="AF82" s="474" t="e">
        <f>+'(AS-400 Jembatan)'!AB82</f>
        <v>#REF!</v>
      </c>
      <c r="AG82" s="474" t="e">
        <f>(AF82-AE82)/AH82</f>
        <v>#REF!</v>
      </c>
      <c r="AH82" s="478">
        <f>+COUNT(Z82:Z82)</f>
        <v>0</v>
      </c>
      <c r="AI82" s="475" t="e">
        <f>+IF(AG82&lt;0,(ROUNDDOWN(AG82,0)),(ROUNDUP(AG82,0)))</f>
        <v>#REF!</v>
      </c>
      <c r="AJ82" s="481">
        <v>-40</v>
      </c>
      <c r="AK82" s="482" t="e">
        <f>+IF('(AS-400 Jembatan)'!AE82=0," ",'(AS-400 Jembatan)'!AE82+'(AS-400 Transfer)'!$AU82)</f>
        <v>#REF!</v>
      </c>
      <c r="AL82" s="474" t="e">
        <f>+IF('(AS-400 Jembatan)'!AF82=0," ",'(AS-400 Jembatan)'!AF82+'(AS-400 Transfer)'!$AU82)</f>
        <v>#REF!</v>
      </c>
      <c r="AM82" s="483" t="e">
        <f>+IF('(AS-400 Jembatan)'!AG82=0," ",'(AS-400 Jembatan)'!AG82+'(AS-400 Transfer)'!$AU82)</f>
        <v>#REF!</v>
      </c>
      <c r="AN82" s="474" t="e">
        <f>+IF('(AS-400 Jembatan)'!AH82=0," ",'(AS-400 Jembatan)'!AH82+'(AS-400 Transfer)'!$AU82)</f>
        <v>#REF!</v>
      </c>
      <c r="AO82" s="474" t="str">
        <f>+IF('(AS-400 Jembatan)'!AI82=0," ",'(AS-400 Jembatan)'!AI82+'(AS-400 Transfer)'!$AU82)</f>
        <v> </v>
      </c>
      <c r="AP82" s="474" t="e">
        <f>SUM(AK82:AK82)</f>
        <v>#REF!</v>
      </c>
      <c r="AQ82" s="474" t="e">
        <f>+'(AS-400 Jembatan)'!AK82</f>
        <v>#REF!</v>
      </c>
      <c r="AR82" s="474" t="e">
        <f>(AQ82-AP82)/AS82</f>
        <v>#REF!</v>
      </c>
      <c r="AS82" s="478">
        <f>+COUNT(AK82:AK82)</f>
        <v>0</v>
      </c>
      <c r="AT82" s="478" t="e">
        <f>+IF(AR82&lt;0,(ROUNDDOWN(AR82,0)),(ROUNDUP(AR82,0)))</f>
        <v>#REF!</v>
      </c>
      <c r="AU82" s="478">
        <v>0.0</v>
      </c>
      <c r="AV82" s="482" t="e">
        <f>+IF('(AS-400 Jembatan)'!AN82=0," ",'(AS-400 Jembatan)'!AN82+'(AS-400 Transfer)'!$BF82)</f>
        <v>#REF!</v>
      </c>
      <c r="AW82" s="474" t="e">
        <f>+IF('(AS-400 Jembatan)'!AO82=0," ",'(AS-400 Jembatan)'!AO82+'(AS-400 Transfer)'!$BF82)</f>
        <v>#REF!</v>
      </c>
      <c r="AX82" s="483" t="e">
        <f>+IF('(AS-400 Jembatan)'!AP82=0," ",'(AS-400 Jembatan)'!AP82+'(AS-400 Transfer)'!$BF82)</f>
        <v>#REF!</v>
      </c>
      <c r="AY82" s="474" t="e">
        <f>+IF('(AS-400 Jembatan)'!AQ82=0," ",'(AS-400 Jembatan)'!AQ82+'(AS-400 Transfer)'!$BF82)</f>
        <v>#REF!</v>
      </c>
      <c r="AZ82" s="474" t="e">
        <f>+IF('(AS-400 Jembatan)'!AR82=0," ",'(AS-400 Jembatan)'!AR82+'(AS-400 Transfer)'!$BF82)</f>
        <v>#REF!</v>
      </c>
      <c r="BA82" s="474" t="e">
        <f>SUM(AV82:AV82)</f>
        <v>#REF!</v>
      </c>
      <c r="BB82" s="474" t="e">
        <f>+GUM!Z88</f>
        <v>#REF!</v>
      </c>
      <c r="BC82" s="474" t="e">
        <f>(BB82-BA82)/BD82</f>
        <v>#REF!</v>
      </c>
      <c r="BD82" s="478">
        <f>+COUNT(AV82:AV82)</f>
        <v>0</v>
      </c>
      <c r="BE82" s="478" t="e">
        <f>+IF(BC82&lt;0,(ROUNDDOWN(BC82,0)),(ROUNDUP(BC82,0)))</f>
        <v>#REF!</v>
      </c>
      <c r="BF82" s="488">
        <v>0.0</v>
      </c>
      <c r="BG82" s="482" t="e">
        <f>+IF('(AS-400 Jembatan)'!AW82=0," ",'(AS-400 Jembatan)'!AW82+'(AS-400 Transfer)'!$BQ82)</f>
        <v>#REF!</v>
      </c>
      <c r="BH82" s="474" t="e">
        <f>+IF('(AS-400 Jembatan)'!AX82=0," ",'(AS-400 Jembatan)'!AX82+'(AS-400 Transfer)'!$BQ82)</f>
        <v>#REF!</v>
      </c>
      <c r="BI82" s="483" t="e">
        <f>+IF('(AS-400 Jembatan)'!AY82=0," ",'(AS-400 Jembatan)'!AY82+'(AS-400 Transfer)'!$BQ82)</f>
        <v>#REF!</v>
      </c>
      <c r="BJ82" s="474" t="e">
        <f>+IF('(AS-400 Jembatan)'!AZ82=0," ",'(AS-400 Jembatan)'!AZ82+'(AS-400 Transfer)'!$BQ82)</f>
        <v>#REF!</v>
      </c>
      <c r="BK82" s="474" t="str">
        <f>+IF('(AS-400 Jembatan)'!BA82=0," ",'(AS-400 Jembatan)'!BA82+'(AS-400 Transfer)'!$BQ82)</f>
        <v> </v>
      </c>
      <c r="BL82" s="474" t="e">
        <f>SUM(BG82:BG82)</f>
        <v>#REF!</v>
      </c>
      <c r="BM82" s="474" t="e">
        <f>+'(AS-400 Jembatan)'!BC82</f>
        <v>#REF!</v>
      </c>
      <c r="BN82" s="474" t="e">
        <f>(BM82-BL82)/BO82</f>
        <v>#REF!</v>
      </c>
      <c r="BO82" s="478">
        <f>+COUNT(BG82:BG82)</f>
        <v>0</v>
      </c>
      <c r="BP82" s="478" t="e">
        <f>+IF(BN82&lt;0,(ROUNDDOWN(BN82,0)),(ROUNDUP(BN82,0)))</f>
        <v>#REF!</v>
      </c>
      <c r="BQ82" s="488">
        <v>0.0</v>
      </c>
    </row>
    <row r="83" spans="1:142" customHeight="1" ht="15" s="473" customFormat="1">
      <c r="A83" s="1297"/>
      <c r="B83" s="935" t="str">
        <f>+GUM!C89</f>
        <v>82115-0EA21 B</v>
      </c>
      <c r="C83" s="939" t="str">
        <f>'(AS-400 Jembatan)'!C83</f>
        <v>B 1001</v>
      </c>
      <c r="D83" s="505" t="str">
        <f>+IF('(AS-400 Jembatan)'!D83=0," ",'(AS-400 Jembatan)'!D$14+'(AS-400 Transfer)'!$N83)</f>
        <v> </v>
      </c>
      <c r="E83" s="474" t="str">
        <f>+IF('(AS-400 Jembatan)'!E83=0," ",'(AS-400 Jembatan)'!E$14+'(AS-400 Transfer)'!$N83)</f>
        <v> </v>
      </c>
      <c r="F83" s="474" t="str">
        <f>+IF('(AS-400 Jembatan)'!F83=0," ",'(AS-400 Jembatan)'!F$14+'(AS-400 Transfer)'!$N83)</f>
        <v> </v>
      </c>
      <c r="G83" s="474" t="str">
        <f>+IF('(AS-400 Jembatan)'!G83=0," ",'(AS-400 Jembatan)'!G$14+'(AS-400 Transfer)'!$N83)</f>
        <v> </v>
      </c>
      <c r="H83" s="474" t="str">
        <f>+IF('(AS-400 Jembatan)'!H83=0," ",'(AS-400 Jembatan)'!H$14+'(AS-400 Transfer)'!$N83)</f>
        <v> </v>
      </c>
      <c r="I83" s="474">
        <f>SUM(D83:D83)</f>
        <v>0</v>
      </c>
      <c r="J83" s="475">
        <f>+'(AS-400 Jembatan)'!J83</f>
        <v/>
      </c>
      <c r="K83" s="475" t="e">
        <f>(J83-I83)/L83</f>
        <v>#DIV/0!</v>
      </c>
      <c r="L83" s="478">
        <f>+COUNT(D83:D83)</f>
        <v>0</v>
      </c>
      <c r="M83" s="478" t="e">
        <f>+IF(K83&lt;0,(ROUNDDOWN(K83,0)),(ROUNDUP(K83,0)))</f>
        <v>#DIV/0!</v>
      </c>
      <c r="N83" s="478">
        <v>0.0</v>
      </c>
      <c r="O83" s="482" t="e">
        <f>+IF('(AS-400 Jembatan)'!M83=0," ",'(AS-400 Jembatan)'!M83+'(AS-400 Transfer)'!$Y83)</f>
        <v>#REF!</v>
      </c>
      <c r="P83" s="474" t="e">
        <f>+IF('(AS-400 Jembatan)'!N83=0," ",'(AS-400 Jembatan)'!N83+'(AS-400 Transfer)'!$Y83)</f>
        <v>#REF!</v>
      </c>
      <c r="Q83" s="483" t="e">
        <f>+IF('(AS-400 Jembatan)'!O83=0," ",'(AS-400 Jembatan)'!O83+'(AS-400 Transfer)'!$Y83)</f>
        <v>#REF!</v>
      </c>
      <c r="R83" s="474" t="e">
        <f>+IF('(AS-400 Jembatan)'!P83=0," ",'(AS-400 Jembatan)'!P83+'(AS-400 Transfer)'!$Y83)</f>
        <v>#REF!</v>
      </c>
      <c r="S83" s="474" t="e">
        <f>+IF('(AS-400 Jembatan)'!Q83=0," ",'(AS-400 Jembatan)'!Q83+'(AS-400 Transfer)'!$Y83)</f>
        <v>#REF!</v>
      </c>
      <c r="T83" s="474" t="e">
        <f>SUM(O83:O83)</f>
        <v>#REF!</v>
      </c>
      <c r="U83" s="474" t="e">
        <f>+'(AS-400 Jembatan)'!S83</f>
        <v>#REF!</v>
      </c>
      <c r="V83" s="474" t="e">
        <f>(U83-T83)/W83</f>
        <v>#REF!</v>
      </c>
      <c r="W83" s="478">
        <f>+COUNT(O83:O83)</f>
        <v>0</v>
      </c>
      <c r="X83" s="478" t="e">
        <f>+IF(V83&lt;0,(ROUNDDOWN(V83,0)),(ROUNDUP(V83,0)))</f>
        <v>#REF!</v>
      </c>
      <c r="Y83" s="488" t="e">
        <v>#DIV/0!</v>
      </c>
      <c r="Z83" s="482" t="e">
        <f>+IF('(AS-400 Jembatan)'!V83=0," ",'(AS-400 Jembatan)'!V83+'(AS-400 Transfer)'!$AJ83)</f>
        <v>#REF!</v>
      </c>
      <c r="AA83" s="494" t="e">
        <f>+IF('(AS-400 Jembatan)'!W83=0," ",'(AS-400 Jembatan)'!W83+'(AS-400 Transfer)'!$AJ83)</f>
        <v>#REF!</v>
      </c>
      <c r="AB83" s="483" t="e">
        <f>+IF('(AS-400 Jembatan)'!X83=0," ",'(AS-400 Jembatan)'!X83+'(AS-400 Transfer)'!$AJ83)</f>
        <v>#REF!</v>
      </c>
      <c r="AC83" s="474" t="e">
        <f>+IF('(AS-400 Jembatan)'!Y83=0," ",'(AS-400 Jembatan)'!Y83+'(AS-400 Transfer)'!$AJ83)</f>
        <v>#REF!</v>
      </c>
      <c r="AD83" s="474" t="str">
        <f>+IF('(AS-400 Jembatan)'!Z83=0," ",'(AS-400 Jembatan)'!Z83+'(AS-400 Transfer)'!$AJ83)</f>
        <v> </v>
      </c>
      <c r="AE83" s="474" t="e">
        <f>SUM(Z83:Z83)</f>
        <v>#REF!</v>
      </c>
      <c r="AF83" s="474" t="e">
        <f>+'(AS-400 Jembatan)'!AB83</f>
        <v>#REF!</v>
      </c>
      <c r="AG83" s="474" t="e">
        <f>(AF83-AE83)/AH83</f>
        <v>#REF!</v>
      </c>
      <c r="AH83" s="478">
        <f>+COUNT(Z83:Z83)</f>
        <v>0</v>
      </c>
      <c r="AI83" s="475" t="e">
        <f>+IF(AG83&lt;0,(ROUNDDOWN(AG83,0)),(ROUNDUP(AG83,0)))</f>
        <v>#REF!</v>
      </c>
      <c r="AJ83" s="481" t="e">
        <v>#DIV/0!</v>
      </c>
      <c r="AK83" s="482" t="e">
        <f>+IF('(AS-400 Jembatan)'!AE83=0," ",'(AS-400 Jembatan)'!AE83+'(AS-400 Transfer)'!$AU83)</f>
        <v>#REF!</v>
      </c>
      <c r="AL83" s="474" t="e">
        <f>+IF('(AS-400 Jembatan)'!AF83=0," ",'(AS-400 Jembatan)'!AF83+'(AS-400 Transfer)'!$AU83)</f>
        <v>#REF!</v>
      </c>
      <c r="AM83" s="483" t="e">
        <f>+IF('(AS-400 Jembatan)'!AG83=0," ",'(AS-400 Jembatan)'!AG83+'(AS-400 Transfer)'!$AU83)</f>
        <v>#REF!</v>
      </c>
      <c r="AN83" s="474" t="e">
        <f>+IF('(AS-400 Jembatan)'!AH83=0," ",'(AS-400 Jembatan)'!AH83+'(AS-400 Transfer)'!$AU83)</f>
        <v>#REF!</v>
      </c>
      <c r="AO83" s="474" t="str">
        <f>+IF('(AS-400 Jembatan)'!AI83=0," ",'(AS-400 Jembatan)'!AI83+'(AS-400 Transfer)'!$AU83)</f>
        <v> </v>
      </c>
      <c r="AP83" s="474" t="e">
        <f>SUM(AK83:AK83)</f>
        <v>#REF!</v>
      </c>
      <c r="AQ83" s="474" t="e">
        <f>+'(AS-400 Jembatan)'!AK83</f>
        <v>#REF!</v>
      </c>
      <c r="AR83" s="474" t="e">
        <f>(AQ83-AP83)/AS83</f>
        <v>#REF!</v>
      </c>
      <c r="AS83" s="478">
        <f>+COUNT(AK83:AK83)</f>
        <v>0</v>
      </c>
      <c r="AT83" s="478" t="e">
        <f>+IF(AR83&lt;0,(ROUNDDOWN(AR83,0)),(ROUNDUP(AR83,0)))</f>
        <v>#REF!</v>
      </c>
      <c r="AU83" s="478" t="e">
        <v>#DIV/0!</v>
      </c>
      <c r="AV83" s="482" t="e">
        <f>+IF('(AS-400 Jembatan)'!AN83=0," ",'(AS-400 Jembatan)'!AN83+'(AS-400 Transfer)'!$BF83)</f>
        <v>#REF!</v>
      </c>
      <c r="AW83" s="474" t="e">
        <f>+IF('(AS-400 Jembatan)'!AO83=0," ",'(AS-400 Jembatan)'!AO83+'(AS-400 Transfer)'!$BF83)</f>
        <v>#REF!</v>
      </c>
      <c r="AX83" s="483" t="e">
        <f>+IF('(AS-400 Jembatan)'!AP83=0," ",'(AS-400 Jembatan)'!AP83+'(AS-400 Transfer)'!$BF83)</f>
        <v>#REF!</v>
      </c>
      <c r="AY83" s="474" t="e">
        <f>+IF('(AS-400 Jembatan)'!AQ83=0," ",'(AS-400 Jembatan)'!AQ83+'(AS-400 Transfer)'!$BF83)</f>
        <v>#REF!</v>
      </c>
      <c r="AZ83" s="474" t="e">
        <f>+IF('(AS-400 Jembatan)'!AR83=0," ",'(AS-400 Jembatan)'!AR83+'(AS-400 Transfer)'!$BF83)</f>
        <v>#REF!</v>
      </c>
      <c r="BA83" s="474" t="e">
        <f>SUM(AV83:AV83)</f>
        <v>#REF!</v>
      </c>
      <c r="BB83" s="474" t="e">
        <f>+GUM!Z89</f>
        <v>#REF!</v>
      </c>
      <c r="BC83" s="474" t="e">
        <f>(BB83-BA83)/BD83</f>
        <v>#REF!</v>
      </c>
      <c r="BD83" s="478">
        <f>+COUNT(AV83:AV83)</f>
        <v>0</v>
      </c>
      <c r="BE83" s="478" t="e">
        <f>+IF(BC83&lt;0,(ROUNDDOWN(BC83,0)),(ROUNDUP(BC83,0)))</f>
        <v>#REF!</v>
      </c>
      <c r="BF83" s="488" t="e">
        <v>#DIV/0!</v>
      </c>
      <c r="BG83" s="482" t="e">
        <f>+IF('(AS-400 Jembatan)'!AW83=0," ",'(AS-400 Jembatan)'!AW83+'(AS-400 Transfer)'!$BQ83)</f>
        <v>#REF!</v>
      </c>
      <c r="BH83" s="474" t="e">
        <f>+IF('(AS-400 Jembatan)'!AX83=0," ",'(AS-400 Jembatan)'!AX83+'(AS-400 Transfer)'!$BQ83)</f>
        <v>#REF!</v>
      </c>
      <c r="BI83" s="483" t="e">
        <f>+IF('(AS-400 Jembatan)'!AY83=0," ",'(AS-400 Jembatan)'!AY83+'(AS-400 Transfer)'!$BQ83)</f>
        <v>#REF!</v>
      </c>
      <c r="BJ83" s="474" t="e">
        <f>+IF('(AS-400 Jembatan)'!AZ83=0," ",'(AS-400 Jembatan)'!AZ83+'(AS-400 Transfer)'!$BQ83)</f>
        <v>#REF!</v>
      </c>
      <c r="BK83" s="474" t="str">
        <f>+IF('(AS-400 Jembatan)'!BA83=0," ",'(AS-400 Jembatan)'!BA83+'(AS-400 Transfer)'!$BQ83)</f>
        <v> </v>
      </c>
      <c r="BL83" s="474" t="e">
        <f>SUM(BG83:BG83)</f>
        <v>#REF!</v>
      </c>
      <c r="BM83" s="474" t="e">
        <f>+'(AS-400 Jembatan)'!BC83</f>
        <v>#REF!</v>
      </c>
      <c r="BN83" s="474" t="e">
        <f>(BM83-BL83)/BO83</f>
        <v>#REF!</v>
      </c>
      <c r="BO83" s="478">
        <f>+COUNT(BG83:BG83)</f>
        <v>0</v>
      </c>
      <c r="BP83" s="478" t="e">
        <f>+IF(BN83&lt;0,(ROUNDDOWN(BN83,0)),(ROUNDUP(BN83,0)))</f>
        <v>#REF!</v>
      </c>
      <c r="BQ83" s="488" t="e">
        <v>#DIV/0!</v>
      </c>
    </row>
    <row r="84" spans="1:142" customHeight="1" ht="15" s="473" customFormat="1">
      <c r="A84" s="1297"/>
      <c r="B84" s="934" t="str">
        <f>+GUM!C90</f>
        <v>82115-0EA31 B</v>
      </c>
      <c r="C84" s="940" t="str">
        <f>'(AS-400 Jembatan)'!C84</f>
        <v>B 1001</v>
      </c>
      <c r="D84" s="550" t="str">
        <f>+IF('(AS-400 Jembatan)'!D84=0," ",'(AS-400 Jembatan)'!D$9+'(AS-400 Transfer)'!$N84)</f>
        <v> </v>
      </c>
      <c r="E84" s="476" t="str">
        <f>+IF('(AS-400 Jembatan)'!E84=0," ",'(AS-400 Jembatan)'!E$9+'(AS-400 Transfer)'!$N84)</f>
        <v> </v>
      </c>
      <c r="F84" s="476" t="str">
        <f>+IF('(AS-400 Jembatan)'!F84=0," ",'(AS-400 Jembatan)'!F$9+'(AS-400 Transfer)'!$N84)</f>
        <v> </v>
      </c>
      <c r="G84" s="476" t="str">
        <f>+IF('(AS-400 Jembatan)'!G84=0," ",'(AS-400 Jembatan)'!G$9+'(AS-400 Transfer)'!$N84)</f>
        <v> </v>
      </c>
      <c r="H84" s="476" t="str">
        <f>+IF('(AS-400 Jembatan)'!H84=0," ",'(AS-400 Jembatan)'!H$9+'(AS-400 Transfer)'!$N84)</f>
        <v> </v>
      </c>
      <c r="I84" s="476">
        <f>SUM(D84:D84)</f>
        <v>0</v>
      </c>
      <c r="J84" s="477">
        <f>+'(AS-400 Jembatan)'!J84</f>
        <v/>
      </c>
      <c r="K84" s="477" t="e">
        <f>(J84-I84)/L84</f>
        <v>#DIV/0!</v>
      </c>
      <c r="L84" s="479">
        <f>+COUNT(D84:D84)</f>
        <v>0</v>
      </c>
      <c r="M84" s="479" t="e">
        <f>+IF(K84&lt;0,(ROUNDDOWN(K84,0)),(ROUNDUP(K84,0)))</f>
        <v>#DIV/0!</v>
      </c>
      <c r="N84" s="479">
        <v>0.0</v>
      </c>
      <c r="O84" s="484" t="e">
        <f>+IF('(AS-400 Jembatan)'!M84=0," ",'(AS-400 Jembatan)'!M84+'(AS-400 Transfer)'!$Y84)</f>
        <v>#REF!</v>
      </c>
      <c r="P84" s="476" t="e">
        <f>+IF('(AS-400 Jembatan)'!N84=0," ",'(AS-400 Jembatan)'!N84+'(AS-400 Transfer)'!$Y84)</f>
        <v>#REF!</v>
      </c>
      <c r="Q84" s="504" t="e">
        <f>+IF('(AS-400 Jembatan)'!O84=0," ",'(AS-400 Jembatan)'!O84+'(AS-400 Transfer)'!$Y84)</f>
        <v>#REF!</v>
      </c>
      <c r="R84" s="476" t="e">
        <f>+IF('(AS-400 Jembatan)'!P84=0," ",'(AS-400 Jembatan)'!P84+'(AS-400 Transfer)'!$Y84)</f>
        <v>#REF!</v>
      </c>
      <c r="S84" s="476" t="e">
        <f>+IF('(AS-400 Jembatan)'!Q84=0," ",'(AS-400 Jembatan)'!Q84+'(AS-400 Transfer)'!$Y84)</f>
        <v>#REF!</v>
      </c>
      <c r="T84" s="476" t="e">
        <f>SUM(O84:O84)</f>
        <v>#REF!</v>
      </c>
      <c r="U84" s="476" t="e">
        <f>+'(AS-400 Jembatan)'!S84</f>
        <v>#REF!</v>
      </c>
      <c r="V84" s="476" t="e">
        <f>(U84-T84)/W84</f>
        <v>#REF!</v>
      </c>
      <c r="W84" s="479">
        <f>+COUNT(O84:O84)</f>
        <v>0</v>
      </c>
      <c r="X84" s="479" t="e">
        <f>+IF(V84&lt;0,(ROUNDDOWN(V84,0)),(ROUNDUP(V84,0)))</f>
        <v>#REF!</v>
      </c>
      <c r="Y84" s="480" t="e">
        <v>#DIV/0!</v>
      </c>
      <c r="Z84" s="484" t="e">
        <f>+IF('(AS-400 Jembatan)'!V84=0," ",'(AS-400 Jembatan)'!V84+'(AS-400 Transfer)'!$AJ84)</f>
        <v>#REF!</v>
      </c>
      <c r="AA84" s="500" t="e">
        <f>+IF('(AS-400 Jembatan)'!W84=0," ",'(AS-400 Jembatan)'!W84+'(AS-400 Transfer)'!$AJ84)</f>
        <v>#REF!</v>
      </c>
      <c r="AB84" s="504" t="e">
        <f>+IF('(AS-400 Jembatan)'!X84=0," ",'(AS-400 Jembatan)'!X84+'(AS-400 Transfer)'!$AJ84)</f>
        <v>#REF!</v>
      </c>
      <c r="AC84" s="476" t="e">
        <f>+IF('(AS-400 Jembatan)'!Y84=0," ",'(AS-400 Jembatan)'!Y84+'(AS-400 Transfer)'!$AJ84)</f>
        <v>#REF!</v>
      </c>
      <c r="AD84" s="476" t="str">
        <f>+IF('(AS-400 Jembatan)'!Z84=0," ",'(AS-400 Jembatan)'!Z84+'(AS-400 Transfer)'!$AJ84)</f>
        <v> </v>
      </c>
      <c r="AE84" s="476" t="e">
        <f>SUM(Z84:Z84)</f>
        <v>#REF!</v>
      </c>
      <c r="AF84" s="476" t="e">
        <f>+'(AS-400 Jembatan)'!AB84</f>
        <v>#REF!</v>
      </c>
      <c r="AG84" s="476" t="e">
        <f>(AF84-AE84)/AH84</f>
        <v>#REF!</v>
      </c>
      <c r="AH84" s="479">
        <f>+COUNT(Z84:Z84)</f>
        <v>0</v>
      </c>
      <c r="AI84" s="477" t="e">
        <f>+IF(AG84&lt;0,(ROUNDDOWN(AG84,0)),(ROUNDUP(AG84,0)))</f>
        <v>#REF!</v>
      </c>
      <c r="AJ84" s="487" t="e">
        <v>#DIV/0!</v>
      </c>
      <c r="AK84" s="484" t="e">
        <f>+IF('(AS-400 Jembatan)'!AE84=0," ",'(AS-400 Jembatan)'!AE84+'(AS-400 Transfer)'!$AU84)</f>
        <v>#REF!</v>
      </c>
      <c r="AL84" s="476" t="e">
        <f>+IF('(AS-400 Jembatan)'!AF84=0," ",'(AS-400 Jembatan)'!AF84+'(AS-400 Transfer)'!$AU84)</f>
        <v>#REF!</v>
      </c>
      <c r="AM84" s="504" t="e">
        <f>+IF('(AS-400 Jembatan)'!AG84=0," ",'(AS-400 Jembatan)'!AG84+'(AS-400 Transfer)'!$AU84)</f>
        <v>#REF!</v>
      </c>
      <c r="AN84" s="476" t="e">
        <f>+IF('(AS-400 Jembatan)'!AH84=0," ",'(AS-400 Jembatan)'!AH84+'(AS-400 Transfer)'!$AU84)</f>
        <v>#REF!</v>
      </c>
      <c r="AO84" s="476" t="str">
        <f>+IF('(AS-400 Jembatan)'!AI84=0," ",'(AS-400 Jembatan)'!AI84+'(AS-400 Transfer)'!$AU84)</f>
        <v> </v>
      </c>
      <c r="AP84" s="476" t="e">
        <f>SUM(AK84:AK84)</f>
        <v>#REF!</v>
      </c>
      <c r="AQ84" s="476" t="e">
        <f>+'(AS-400 Jembatan)'!AK84</f>
        <v>#REF!</v>
      </c>
      <c r="AR84" s="476" t="e">
        <f>(AQ84-AP84)/AS84</f>
        <v>#REF!</v>
      </c>
      <c r="AS84" s="479">
        <f>+COUNT(AK84:AK84)</f>
        <v>0</v>
      </c>
      <c r="AT84" s="479" t="e">
        <f>+IF(AR84&lt;0,(ROUNDDOWN(AR84,0)),(ROUNDUP(AR84,0)))</f>
        <v>#REF!</v>
      </c>
      <c r="AU84" s="479" t="e">
        <v>#DIV/0!</v>
      </c>
      <c r="AV84" s="484" t="e">
        <f>+IF('(AS-400 Jembatan)'!AN84=0," ",'(AS-400 Jembatan)'!AN84+'(AS-400 Transfer)'!$BF84)</f>
        <v>#REF!</v>
      </c>
      <c r="AW84" s="476" t="e">
        <f>+IF('(AS-400 Jembatan)'!AO84=0," ",'(AS-400 Jembatan)'!AO84+'(AS-400 Transfer)'!$BF84)</f>
        <v>#REF!</v>
      </c>
      <c r="AX84" s="504" t="e">
        <f>+IF('(AS-400 Jembatan)'!AP84=0," ",'(AS-400 Jembatan)'!AP84+'(AS-400 Transfer)'!$BF84)</f>
        <v>#REF!</v>
      </c>
      <c r="AY84" s="476" t="e">
        <f>+IF('(AS-400 Jembatan)'!AQ84=0," ",'(AS-400 Jembatan)'!AQ84+'(AS-400 Transfer)'!$BF84)</f>
        <v>#REF!</v>
      </c>
      <c r="AZ84" s="476" t="e">
        <f>+IF('(AS-400 Jembatan)'!AR84=0," ",'(AS-400 Jembatan)'!AR84+'(AS-400 Transfer)'!$BF84)</f>
        <v>#REF!</v>
      </c>
      <c r="BA84" s="476" t="e">
        <f>SUM(AV84:AV84)</f>
        <v>#REF!</v>
      </c>
      <c r="BB84" s="476" t="e">
        <f>+GUM!Z90</f>
        <v>#REF!</v>
      </c>
      <c r="BC84" s="476" t="e">
        <f>(BB84-BA84)/BD84</f>
        <v>#REF!</v>
      </c>
      <c r="BD84" s="479">
        <f>+COUNT(AV84:AV84)</f>
        <v>0</v>
      </c>
      <c r="BE84" s="479" t="e">
        <f>+IF(BC84&lt;0,(ROUNDDOWN(BC84,0)),(ROUNDUP(BC84,0)))</f>
        <v>#REF!</v>
      </c>
      <c r="BF84" s="480" t="e">
        <v>#DIV/0!</v>
      </c>
      <c r="BG84" s="484" t="e">
        <f>+IF('(AS-400 Jembatan)'!AW84=0," ",'(AS-400 Jembatan)'!AW84+'(AS-400 Transfer)'!$BQ84)</f>
        <v>#REF!</v>
      </c>
      <c r="BH84" s="476" t="e">
        <f>+IF('(AS-400 Jembatan)'!AX84=0," ",'(AS-400 Jembatan)'!AX84+'(AS-400 Transfer)'!$BQ84)</f>
        <v>#REF!</v>
      </c>
      <c r="BI84" s="504" t="e">
        <f>+IF('(AS-400 Jembatan)'!AY84=0," ",'(AS-400 Jembatan)'!AY84+'(AS-400 Transfer)'!$BQ84)</f>
        <v>#REF!</v>
      </c>
      <c r="BJ84" s="476" t="e">
        <f>+IF('(AS-400 Jembatan)'!AZ84=0," ",'(AS-400 Jembatan)'!AZ84+'(AS-400 Transfer)'!$BQ84)</f>
        <v>#REF!</v>
      </c>
      <c r="BK84" s="476" t="str">
        <f>+IF('(AS-400 Jembatan)'!BA84=0," ",'(AS-400 Jembatan)'!BA84+'(AS-400 Transfer)'!$BQ84)</f>
        <v> </v>
      </c>
      <c r="BL84" s="476" t="e">
        <f>SUM(BG84:BG84)</f>
        <v>#REF!</v>
      </c>
      <c r="BM84" s="476" t="e">
        <f>+'(AS-400 Jembatan)'!BC84</f>
        <v>#REF!</v>
      </c>
      <c r="BN84" s="476" t="e">
        <f>(BM84-BL84)/BO84</f>
        <v>#REF!</v>
      </c>
      <c r="BO84" s="479">
        <f>+COUNT(BG84:BG84)</f>
        <v>0</v>
      </c>
      <c r="BP84" s="479" t="e">
        <f>+IF(BN84&lt;0,(ROUNDDOWN(BN84,0)),(ROUNDUP(BN84,0)))</f>
        <v>#REF!</v>
      </c>
      <c r="BQ84" s="480" t="e">
        <v>#DIV/0!</v>
      </c>
    </row>
    <row r="85" spans="1:142" customHeight="1" ht="15" s="473" customFormat="1">
      <c r="A85" s="1297"/>
      <c r="B85" s="934" t="str">
        <f>+GUM!C91</f>
        <v>82115-0EZ30 B</v>
      </c>
      <c r="C85" s="939" t="str">
        <f>'(AS-400 Jembatan)'!C85</f>
        <v>B 1001</v>
      </c>
      <c r="D85" s="505" t="str">
        <f>+IF('(AS-400 Jembatan)'!D85=0," ",'(AS-400 Jembatan)'!D$10+'(AS-400 Transfer)'!$N85)</f>
        <v> </v>
      </c>
      <c r="E85" s="474" t="str">
        <f>+IF('(AS-400 Jembatan)'!E85=0," ",'(AS-400 Jembatan)'!E$10+'(AS-400 Transfer)'!$N85)</f>
        <v> </v>
      </c>
      <c r="F85" s="474" t="str">
        <f>+IF('(AS-400 Jembatan)'!F85=0," ",'(AS-400 Jembatan)'!F$10+'(AS-400 Transfer)'!$N85)</f>
        <v> </v>
      </c>
      <c r="G85" s="474" t="str">
        <f>+IF('(AS-400 Jembatan)'!G85=0," ",'(AS-400 Jembatan)'!G$10+'(AS-400 Transfer)'!$N85)</f>
        <v> </v>
      </c>
      <c r="H85" s="474" t="str">
        <f>+IF('(AS-400 Jembatan)'!H85=0," ",'(AS-400 Jembatan)'!H$9+'(AS-400 Transfer)'!$N85)</f>
        <v> </v>
      </c>
      <c r="I85" s="474">
        <f>SUM(D85:D85)</f>
        <v>0</v>
      </c>
      <c r="J85" s="475">
        <f>+'(AS-400 Jembatan)'!J85</f>
        <v/>
      </c>
      <c r="K85" s="475" t="e">
        <f>(J85-I85)/L85</f>
        <v>#DIV/0!</v>
      </c>
      <c r="L85" s="478">
        <f>+COUNT(D85:D85)</f>
        <v>0</v>
      </c>
      <c r="M85" s="478" t="e">
        <f>+IF(K85&lt;0,(ROUNDDOWN(K85,0)),(ROUNDUP(K85,0)))</f>
        <v>#DIV/0!</v>
      </c>
      <c r="N85" s="478" t="e">
        <v>#DIV/0!</v>
      </c>
      <c r="O85" s="482" t="e">
        <f>+IF('(AS-400 Jembatan)'!M85=0," ",'(AS-400 Jembatan)'!M85+'(AS-400 Transfer)'!$Y85)</f>
        <v>#REF!</v>
      </c>
      <c r="P85" s="474" t="e">
        <f>+IF('(AS-400 Jembatan)'!N85=0," ",'(AS-400 Jembatan)'!N85+'(AS-400 Transfer)'!$Y85)</f>
        <v>#REF!</v>
      </c>
      <c r="Q85" s="483" t="e">
        <f>+IF('(AS-400 Jembatan)'!O85=0," ",'(AS-400 Jembatan)'!O85+'(AS-400 Transfer)'!$Y85)</f>
        <v>#REF!</v>
      </c>
      <c r="R85" s="474" t="e">
        <f>+IF('(AS-400 Jembatan)'!P85=0," ",'(AS-400 Jembatan)'!P85+'(AS-400 Transfer)'!$Y85)</f>
        <v>#REF!</v>
      </c>
      <c r="S85" s="474" t="e">
        <f>+IF('(AS-400 Jembatan)'!Q85=0," ",'(AS-400 Jembatan)'!Q85+'(AS-400 Transfer)'!$Y85)</f>
        <v>#REF!</v>
      </c>
      <c r="T85" s="474" t="e">
        <f>SUM(O85:O85)</f>
        <v>#REF!</v>
      </c>
      <c r="U85" s="474" t="e">
        <f>+'(AS-400 Jembatan)'!S85</f>
        <v>#REF!</v>
      </c>
      <c r="V85" s="474" t="e">
        <f>(U85-T85)/W85</f>
        <v>#REF!</v>
      </c>
      <c r="W85" s="478">
        <f>+COUNT(O85:O85)</f>
        <v>0</v>
      </c>
      <c r="X85" s="478" t="e">
        <f>+IF(V85&lt;0,(ROUNDDOWN(V85,0)),(ROUNDUP(V85,0)))</f>
        <v>#REF!</v>
      </c>
      <c r="Y85" s="488" t="e">
        <v>#DIV/0!</v>
      </c>
      <c r="Z85" s="482" t="e">
        <f>+IF('(AS-400 Jembatan)'!V85=0," ",'(AS-400 Jembatan)'!V85+'(AS-400 Transfer)'!$AJ85)</f>
        <v>#REF!</v>
      </c>
      <c r="AA85" s="494" t="e">
        <f>+IF('(AS-400 Jembatan)'!W85=0," ",'(AS-400 Jembatan)'!W85+'(AS-400 Transfer)'!$AJ85)</f>
        <v>#REF!</v>
      </c>
      <c r="AB85" s="483" t="e">
        <f>+IF('(AS-400 Jembatan)'!X85=0," ",'(AS-400 Jembatan)'!X85+'(AS-400 Transfer)'!$AJ85)</f>
        <v>#REF!</v>
      </c>
      <c r="AC85" s="474" t="e">
        <f>+IF('(AS-400 Jembatan)'!Y85=0," ",'(AS-400 Jembatan)'!Y85+'(AS-400 Transfer)'!$AJ85)</f>
        <v>#REF!</v>
      </c>
      <c r="AD85" s="474" t="str">
        <f>+IF('(AS-400 Jembatan)'!Z85=0," ",'(AS-400 Jembatan)'!Z85+'(AS-400 Transfer)'!$AJ85)</f>
        <v> </v>
      </c>
      <c r="AE85" s="474" t="e">
        <f>SUM(Z85:Z85)</f>
        <v>#REF!</v>
      </c>
      <c r="AF85" s="474" t="e">
        <f>+'(AS-400 Jembatan)'!AB85</f>
        <v>#REF!</v>
      </c>
      <c r="AG85" s="474" t="e">
        <f>(AF85-AE85)/AH85</f>
        <v>#REF!</v>
      </c>
      <c r="AH85" s="478">
        <f>+COUNT(Z85:Z85)</f>
        <v>0</v>
      </c>
      <c r="AI85" s="475" t="e">
        <f>+IF(AG85&lt;0,(ROUNDDOWN(AG85,0)),(ROUNDUP(AG85,0)))</f>
        <v>#REF!</v>
      </c>
      <c r="AJ85" s="481" t="e">
        <v>#DIV/0!</v>
      </c>
      <c r="AK85" s="482" t="e">
        <f>+IF('(AS-400 Jembatan)'!AE85=0," ",'(AS-400 Jembatan)'!AE85+'(AS-400 Transfer)'!$AU85)</f>
        <v>#REF!</v>
      </c>
      <c r="AL85" s="474" t="e">
        <f>+IF('(AS-400 Jembatan)'!AF85=0," ",'(AS-400 Jembatan)'!AF85+'(AS-400 Transfer)'!$AU85)</f>
        <v>#REF!</v>
      </c>
      <c r="AM85" s="483" t="e">
        <f>+IF('(AS-400 Jembatan)'!AG85=0," ",'(AS-400 Jembatan)'!AG85+'(AS-400 Transfer)'!$AU85)</f>
        <v>#REF!</v>
      </c>
      <c r="AN85" s="474" t="e">
        <f>+IF('(AS-400 Jembatan)'!AH85=0," ",'(AS-400 Jembatan)'!AH85+'(AS-400 Transfer)'!$AU85)</f>
        <v>#REF!</v>
      </c>
      <c r="AO85" s="474" t="str">
        <f>+IF('(AS-400 Jembatan)'!AI85=0," ",'(AS-400 Jembatan)'!AI85+'(AS-400 Transfer)'!$AU85)</f>
        <v> </v>
      </c>
      <c r="AP85" s="474" t="e">
        <f>SUM(AK85:AK85)</f>
        <v>#REF!</v>
      </c>
      <c r="AQ85" s="474" t="e">
        <f>+'(AS-400 Jembatan)'!AK85</f>
        <v>#REF!</v>
      </c>
      <c r="AR85" s="474" t="e">
        <f>(AQ85-AP85)/AS85</f>
        <v>#REF!</v>
      </c>
      <c r="AS85" s="478">
        <f>+COUNT(AK85:AK85)</f>
        <v>0</v>
      </c>
      <c r="AT85" s="478" t="e">
        <f>+IF(AR85&lt;0,(ROUNDDOWN(AR85,0)),(ROUNDUP(AR85,0)))</f>
        <v>#REF!</v>
      </c>
      <c r="AU85" s="478" t="e">
        <v>#DIV/0!</v>
      </c>
      <c r="AV85" s="482" t="e">
        <f>+IF('(AS-400 Jembatan)'!AN85=0," ",'(AS-400 Jembatan)'!AN85+'(AS-400 Transfer)'!$BF85)</f>
        <v>#REF!</v>
      </c>
      <c r="AW85" s="474" t="e">
        <f>+IF('(AS-400 Jembatan)'!AO85=0," ",'(AS-400 Jembatan)'!AO85+'(AS-400 Transfer)'!$BF85)</f>
        <v>#REF!</v>
      </c>
      <c r="AX85" s="483" t="e">
        <f>+IF('(AS-400 Jembatan)'!AP85=0," ",'(AS-400 Jembatan)'!AP85+'(AS-400 Transfer)'!$BF85)</f>
        <v>#REF!</v>
      </c>
      <c r="AY85" s="474" t="e">
        <f>+IF('(AS-400 Jembatan)'!AQ85=0," ",'(AS-400 Jembatan)'!AQ85+'(AS-400 Transfer)'!$BF85)</f>
        <v>#REF!</v>
      </c>
      <c r="AZ85" s="474" t="e">
        <f>+IF('(AS-400 Jembatan)'!AR85=0," ",'(AS-400 Jembatan)'!AR85+'(AS-400 Transfer)'!$BF85)</f>
        <v>#REF!</v>
      </c>
      <c r="BA85" s="474" t="e">
        <f>SUM(AV85:AV85)</f>
        <v>#REF!</v>
      </c>
      <c r="BB85" s="474" t="e">
        <f>+GUM!Z91</f>
        <v>#REF!</v>
      </c>
      <c r="BC85" s="474" t="e">
        <f>(BB85-BA85)/BD85</f>
        <v>#REF!</v>
      </c>
      <c r="BD85" s="478">
        <f>+COUNT(AV85:AV85)</f>
        <v>0</v>
      </c>
      <c r="BE85" s="478" t="e">
        <f>+IF(BC85&lt;0,(ROUNDDOWN(BC85,0)),(ROUNDUP(BC85,0)))</f>
        <v>#REF!</v>
      </c>
      <c r="BF85" s="488" t="e">
        <v>#DIV/0!</v>
      </c>
      <c r="BG85" s="482" t="e">
        <f>+IF('(AS-400 Jembatan)'!AW85=0," ",'(AS-400 Jembatan)'!AW85+'(AS-400 Transfer)'!$BQ85)</f>
        <v>#REF!</v>
      </c>
      <c r="BH85" s="474" t="e">
        <f>+IF('(AS-400 Jembatan)'!AX85=0," ",'(AS-400 Jembatan)'!AX85+'(AS-400 Transfer)'!$BQ85)</f>
        <v>#REF!</v>
      </c>
      <c r="BI85" s="483" t="e">
        <f>+IF('(AS-400 Jembatan)'!AY85=0," ",'(AS-400 Jembatan)'!AY85+'(AS-400 Transfer)'!$BQ85)</f>
        <v>#REF!</v>
      </c>
      <c r="BJ85" s="474" t="e">
        <f>+IF('(AS-400 Jembatan)'!AZ85=0," ",'(AS-400 Jembatan)'!AZ85+'(AS-400 Transfer)'!$BQ85)</f>
        <v>#REF!</v>
      </c>
      <c r="BK85" s="474" t="str">
        <f>+IF('(AS-400 Jembatan)'!BA85=0," ",'(AS-400 Jembatan)'!BA85+'(AS-400 Transfer)'!$BQ85)</f>
        <v> </v>
      </c>
      <c r="BL85" s="474" t="e">
        <f>SUM(BG85:BG85)</f>
        <v>#REF!</v>
      </c>
      <c r="BM85" s="474" t="e">
        <f>+'(AS-400 Jembatan)'!BC85</f>
        <v>#REF!</v>
      </c>
      <c r="BN85" s="474" t="e">
        <f>(BM85-BL85)/BO85</f>
        <v>#REF!</v>
      </c>
      <c r="BO85" s="478">
        <f>+COUNT(BG85:BG85)</f>
        <v>0</v>
      </c>
      <c r="BP85" s="478" t="e">
        <f>+IF(BN85&lt;0,(ROUNDDOWN(BN85,0)),(ROUNDUP(BN85,0)))</f>
        <v>#REF!</v>
      </c>
      <c r="BQ85" s="488" t="e">
        <v>#DIV/0!</v>
      </c>
    </row>
    <row r="86" spans="1:142" customHeight="1" ht="15" s="473" customFormat="1">
      <c r="A86" s="1297"/>
      <c r="B86" s="934" t="str">
        <f>+GUM!C92</f>
        <v>82115-0EZ40 B</v>
      </c>
      <c r="C86" s="939" t="str">
        <f>'(AS-400 Jembatan)'!C86</f>
        <v>B 1001</v>
      </c>
      <c r="D86" s="505" t="str">
        <f>+IF('(AS-400 Jembatan)'!D86=0," ",'(AS-400 Jembatan)'!D$10+'(AS-400 Transfer)'!$N86)</f>
        <v> </v>
      </c>
      <c r="E86" s="474" t="str">
        <f>+IF('(AS-400 Jembatan)'!E86=0," ",'(AS-400 Jembatan)'!E$10+'(AS-400 Transfer)'!$N86)</f>
        <v> </v>
      </c>
      <c r="F86" s="474" t="str">
        <f>+IF('(AS-400 Jembatan)'!F86=0," ",'(AS-400 Jembatan)'!F$10+'(AS-400 Transfer)'!$N86)</f>
        <v> </v>
      </c>
      <c r="G86" s="474" t="str">
        <f>+IF('(AS-400 Jembatan)'!G86=0," ",'(AS-400 Jembatan)'!G$10+'(AS-400 Transfer)'!$N86)</f>
        <v> </v>
      </c>
      <c r="H86" s="474" t="str">
        <f>+IF('(AS-400 Jembatan)'!H86=0," ",'(AS-400 Jembatan)'!H$9+'(AS-400 Transfer)'!$N86)</f>
        <v> </v>
      </c>
      <c r="I86" s="474">
        <f>SUM(D86:D86)</f>
        <v>0</v>
      </c>
      <c r="J86" s="475">
        <f>+'(AS-400 Jembatan)'!J86</f>
        <v/>
      </c>
      <c r="K86" s="475" t="e">
        <f>(J86-I86)/L86</f>
        <v>#DIV/0!</v>
      </c>
      <c r="L86" s="478">
        <f>+COUNT(D86:D86)</f>
        <v>0</v>
      </c>
      <c r="M86" s="478" t="e">
        <f>+IF(K86&lt;0,(ROUNDDOWN(K86,0)),(ROUNDUP(K86,0)))</f>
        <v>#DIV/0!</v>
      </c>
      <c r="N86" s="478" t="e">
        <v>#DIV/0!</v>
      </c>
      <c r="O86" s="482" t="e">
        <f>+IF('(AS-400 Jembatan)'!M86=0," ",'(AS-400 Jembatan)'!M86+'(AS-400 Transfer)'!$Y86)</f>
        <v>#REF!</v>
      </c>
      <c r="P86" s="474" t="e">
        <f>+IF('(AS-400 Jembatan)'!N86=0," ",'(AS-400 Jembatan)'!N86+'(AS-400 Transfer)'!$Y86)</f>
        <v>#REF!</v>
      </c>
      <c r="Q86" s="483" t="e">
        <f>+IF('(AS-400 Jembatan)'!O86=0," ",'(AS-400 Jembatan)'!O86+'(AS-400 Transfer)'!$Y86)</f>
        <v>#REF!</v>
      </c>
      <c r="R86" s="474" t="e">
        <f>+IF('(AS-400 Jembatan)'!P86=0," ",'(AS-400 Jembatan)'!P86+'(AS-400 Transfer)'!$Y86)</f>
        <v>#REF!</v>
      </c>
      <c r="S86" s="474" t="e">
        <f>+IF('(AS-400 Jembatan)'!Q86=0," ",'(AS-400 Jembatan)'!Q86+'(AS-400 Transfer)'!$Y86)</f>
        <v>#REF!</v>
      </c>
      <c r="T86" s="474" t="e">
        <f>SUM(O86:O86)</f>
        <v>#REF!</v>
      </c>
      <c r="U86" s="474" t="e">
        <f>+'(AS-400 Jembatan)'!S86</f>
        <v>#REF!</v>
      </c>
      <c r="V86" s="474" t="e">
        <f>(U86-T86)/W86</f>
        <v>#REF!</v>
      </c>
      <c r="W86" s="478">
        <f>+COUNT(O86:O86)</f>
        <v>0</v>
      </c>
      <c r="X86" s="478" t="e">
        <f>+IF(V86&lt;0,(ROUNDDOWN(V86,0)),(ROUNDUP(V86,0)))</f>
        <v>#REF!</v>
      </c>
      <c r="Y86" s="488" t="e">
        <v>#DIV/0!</v>
      </c>
      <c r="Z86" s="482" t="e">
        <f>+IF('(AS-400 Jembatan)'!V86=0," ",'(AS-400 Jembatan)'!V86+'(AS-400 Transfer)'!$AJ86)</f>
        <v>#REF!</v>
      </c>
      <c r="AA86" s="494" t="e">
        <f>+IF('(AS-400 Jembatan)'!W86=0," ",'(AS-400 Jembatan)'!W86+'(AS-400 Transfer)'!$AJ86)</f>
        <v>#REF!</v>
      </c>
      <c r="AB86" s="483" t="e">
        <f>+IF('(AS-400 Jembatan)'!X86=0," ",'(AS-400 Jembatan)'!X86+'(AS-400 Transfer)'!$AJ86)</f>
        <v>#REF!</v>
      </c>
      <c r="AC86" s="474" t="e">
        <f>+IF('(AS-400 Jembatan)'!Y86=0," ",'(AS-400 Jembatan)'!Y86+'(AS-400 Transfer)'!$AJ86)</f>
        <v>#REF!</v>
      </c>
      <c r="AD86" s="474" t="str">
        <f>+IF('(AS-400 Jembatan)'!Z86=0," ",'(AS-400 Jembatan)'!Z86+'(AS-400 Transfer)'!$AJ86)</f>
        <v> </v>
      </c>
      <c r="AE86" s="474" t="e">
        <f>SUM(Z86:Z86)</f>
        <v>#REF!</v>
      </c>
      <c r="AF86" s="474" t="e">
        <f>+'(AS-400 Jembatan)'!AB86</f>
        <v>#REF!</v>
      </c>
      <c r="AG86" s="474" t="e">
        <f>(AF86-AE86)/AH86</f>
        <v>#REF!</v>
      </c>
      <c r="AH86" s="478">
        <f>+COUNT(Z86:Z86)</f>
        <v>0</v>
      </c>
      <c r="AI86" s="475" t="e">
        <f>+IF(AG86&lt;0,(ROUNDDOWN(AG86,0)),(ROUNDUP(AG86,0)))</f>
        <v>#REF!</v>
      </c>
      <c r="AJ86" s="481" t="e">
        <v>#DIV/0!</v>
      </c>
      <c r="AK86" s="482" t="e">
        <f>+IF('(AS-400 Jembatan)'!AE86=0," ",'(AS-400 Jembatan)'!AE86+'(AS-400 Transfer)'!$AU86)</f>
        <v>#REF!</v>
      </c>
      <c r="AL86" s="474" t="e">
        <f>+IF('(AS-400 Jembatan)'!AF86=0," ",'(AS-400 Jembatan)'!AF86+'(AS-400 Transfer)'!$AU86)</f>
        <v>#REF!</v>
      </c>
      <c r="AM86" s="483" t="e">
        <f>+IF('(AS-400 Jembatan)'!AG86=0," ",'(AS-400 Jembatan)'!AG86+'(AS-400 Transfer)'!$AU86)</f>
        <v>#REF!</v>
      </c>
      <c r="AN86" s="474" t="e">
        <f>+IF('(AS-400 Jembatan)'!AH86=0," ",'(AS-400 Jembatan)'!AH86+'(AS-400 Transfer)'!$AU86)</f>
        <v>#REF!</v>
      </c>
      <c r="AO86" s="474" t="str">
        <f>+IF('(AS-400 Jembatan)'!AI86=0," ",'(AS-400 Jembatan)'!AI86+'(AS-400 Transfer)'!$AU86)</f>
        <v> </v>
      </c>
      <c r="AP86" s="474" t="e">
        <f>SUM(AK86:AK86)</f>
        <v>#REF!</v>
      </c>
      <c r="AQ86" s="474" t="e">
        <f>+'(AS-400 Jembatan)'!AK86</f>
        <v>#REF!</v>
      </c>
      <c r="AR86" s="474" t="e">
        <f>(AQ86-AP86)/AS86</f>
        <v>#REF!</v>
      </c>
      <c r="AS86" s="478">
        <f>+COUNT(AK86:AK86)</f>
        <v>0</v>
      </c>
      <c r="AT86" s="478" t="e">
        <f>+IF(AR86&lt;0,(ROUNDDOWN(AR86,0)),(ROUNDUP(AR86,0)))</f>
        <v>#REF!</v>
      </c>
      <c r="AU86" s="478" t="e">
        <v>#DIV/0!</v>
      </c>
      <c r="AV86" s="482" t="e">
        <f>+IF('(AS-400 Jembatan)'!AN86=0," ",'(AS-400 Jembatan)'!AN86+'(AS-400 Transfer)'!$BF86)</f>
        <v>#REF!</v>
      </c>
      <c r="AW86" s="474" t="e">
        <f>+IF('(AS-400 Jembatan)'!AO86=0," ",'(AS-400 Jembatan)'!AO86+'(AS-400 Transfer)'!$BF86)</f>
        <v>#REF!</v>
      </c>
      <c r="AX86" s="483" t="e">
        <f>+IF('(AS-400 Jembatan)'!AP86=0," ",'(AS-400 Jembatan)'!AP86+'(AS-400 Transfer)'!$BF86)</f>
        <v>#REF!</v>
      </c>
      <c r="AY86" s="474" t="e">
        <f>+IF('(AS-400 Jembatan)'!AQ86=0," ",'(AS-400 Jembatan)'!AQ86+'(AS-400 Transfer)'!$BF86)</f>
        <v>#REF!</v>
      </c>
      <c r="AZ86" s="474" t="e">
        <f>+IF('(AS-400 Jembatan)'!AR86=0," ",'(AS-400 Jembatan)'!AR86+'(AS-400 Transfer)'!$BF86)</f>
        <v>#REF!</v>
      </c>
      <c r="BA86" s="474" t="e">
        <f>SUM(AV86:AV86)</f>
        <v>#REF!</v>
      </c>
      <c r="BB86" s="474" t="e">
        <f>+GUM!Z92</f>
        <v>#REF!</v>
      </c>
      <c r="BC86" s="474" t="e">
        <f>(BB86-BA86)/BD86</f>
        <v>#REF!</v>
      </c>
      <c r="BD86" s="478">
        <f>+COUNT(AV86:AV86)</f>
        <v>0</v>
      </c>
      <c r="BE86" s="478" t="e">
        <f>+IF(BC86&lt;0,(ROUNDDOWN(BC86,0)),(ROUNDUP(BC86,0)))</f>
        <v>#REF!</v>
      </c>
      <c r="BF86" s="488" t="e">
        <v>#DIV/0!</v>
      </c>
      <c r="BG86" s="482" t="e">
        <f>+IF('(AS-400 Jembatan)'!AW86=0," ",'(AS-400 Jembatan)'!AW86+'(AS-400 Transfer)'!$BQ86)</f>
        <v>#REF!</v>
      </c>
      <c r="BH86" s="474" t="e">
        <f>+IF('(AS-400 Jembatan)'!AX86=0," ",'(AS-400 Jembatan)'!AX86+'(AS-400 Transfer)'!$BQ86)</f>
        <v>#REF!</v>
      </c>
      <c r="BI86" s="483" t="e">
        <f>+IF('(AS-400 Jembatan)'!AY86=0," ",'(AS-400 Jembatan)'!AY86+'(AS-400 Transfer)'!$BQ86)</f>
        <v>#REF!</v>
      </c>
      <c r="BJ86" s="474" t="e">
        <f>+IF('(AS-400 Jembatan)'!AZ86=0," ",'(AS-400 Jembatan)'!AZ86+'(AS-400 Transfer)'!$BQ86)</f>
        <v>#REF!</v>
      </c>
      <c r="BK86" s="474" t="str">
        <f>+IF('(AS-400 Jembatan)'!BA86=0," ",'(AS-400 Jembatan)'!BA86+'(AS-400 Transfer)'!$BQ86)</f>
        <v> </v>
      </c>
      <c r="BL86" s="474" t="e">
        <f>SUM(BG86:BG86)</f>
        <v>#REF!</v>
      </c>
      <c r="BM86" s="474" t="e">
        <f>+'(AS-400 Jembatan)'!BC86</f>
        <v>#REF!</v>
      </c>
      <c r="BN86" s="474" t="e">
        <f>(BM86-BL86)/BO86</f>
        <v>#REF!</v>
      </c>
      <c r="BO86" s="478">
        <f>+COUNT(BG86:BG86)</f>
        <v>0</v>
      </c>
      <c r="BP86" s="478" t="e">
        <f>+IF(BN86&lt;0,(ROUNDDOWN(BN86,0)),(ROUNDUP(BN86,0)))</f>
        <v>#REF!</v>
      </c>
      <c r="BQ86" s="488" t="e">
        <v>#DIV/0!</v>
      </c>
    </row>
    <row r="87" spans="1:142" customHeight="1" ht="15" s="473" customFormat="1">
      <c r="A87" s="1297"/>
      <c r="B87" s="934" t="str">
        <f>+GUM!C93</f>
        <v>82115-0EZ50 B</v>
      </c>
      <c r="C87" s="939" t="str">
        <f>'(AS-400 Jembatan)'!C87</f>
        <v>B 1001</v>
      </c>
      <c r="D87" s="505" t="str">
        <f>+IF('(AS-400 Jembatan)'!D87=0," ",'(AS-400 Jembatan)'!D$10+'(AS-400 Transfer)'!$N87)</f>
        <v> </v>
      </c>
      <c r="E87" s="474" t="str">
        <f>+IF('(AS-400 Jembatan)'!E87=0," ",'(AS-400 Jembatan)'!E$10+'(AS-400 Transfer)'!$N87)</f>
        <v> </v>
      </c>
      <c r="F87" s="474" t="str">
        <f>+IF('(AS-400 Jembatan)'!F87=0," ",'(AS-400 Jembatan)'!F$10+'(AS-400 Transfer)'!$N87)</f>
        <v> </v>
      </c>
      <c r="G87" s="474" t="str">
        <f>+IF('(AS-400 Jembatan)'!G87=0," ",'(AS-400 Jembatan)'!G$10+'(AS-400 Transfer)'!$N87)</f>
        <v> </v>
      </c>
      <c r="H87" s="474" t="str">
        <f>+IF('(AS-400 Jembatan)'!H87=0," ",'(AS-400 Jembatan)'!H$9+'(AS-400 Transfer)'!$N87)</f>
        <v> </v>
      </c>
      <c r="I87" s="474">
        <f>SUM(D87:H87)</f>
        <v>0</v>
      </c>
      <c r="J87" s="475">
        <f>+'(AS-400 Jembatan)'!J87</f>
        <v/>
      </c>
      <c r="K87" s="475" t="e">
        <f>(J87-I87)/L87</f>
        <v>#DIV/0!</v>
      </c>
      <c r="L87" s="478">
        <f>+COUNT(D87:D87)</f>
        <v>0</v>
      </c>
      <c r="M87" s="478" t="e">
        <f>+IF(K87&lt;0,(ROUNDDOWN(K87,0)),(ROUNDUP(K87,0)))</f>
        <v>#DIV/0!</v>
      </c>
      <c r="N87" s="478" t="e">
        <v>#DIV/0!</v>
      </c>
      <c r="O87" s="482" t="e">
        <f>+IF('(AS-400 Jembatan)'!M87=0," ",'(AS-400 Jembatan)'!M87+'(AS-400 Transfer)'!$Y87)</f>
        <v>#REF!</v>
      </c>
      <c r="P87" s="474" t="e">
        <f>+IF('(AS-400 Jembatan)'!N87=0," ",'(AS-400 Jembatan)'!N87+'(AS-400 Transfer)'!$Y87)</f>
        <v>#REF!</v>
      </c>
      <c r="Q87" s="483" t="e">
        <f>+IF('(AS-400 Jembatan)'!O87=0," ",'(AS-400 Jembatan)'!O87+'(AS-400 Transfer)'!$Y87)</f>
        <v>#REF!</v>
      </c>
      <c r="R87" s="474" t="e">
        <f>+IF('(AS-400 Jembatan)'!P87=0," ",'(AS-400 Jembatan)'!P87+'(AS-400 Transfer)'!$Y87)</f>
        <v>#REF!</v>
      </c>
      <c r="S87" s="474" t="e">
        <f>+IF('(AS-400 Jembatan)'!Q87=0," ",'(AS-400 Jembatan)'!Q87+'(AS-400 Transfer)'!$Y87)</f>
        <v>#REF!</v>
      </c>
      <c r="T87" s="474" t="e">
        <f>SUM(O87:O87)</f>
        <v>#REF!</v>
      </c>
      <c r="U87" s="474" t="e">
        <f>+'(AS-400 Jembatan)'!S87</f>
        <v>#REF!</v>
      </c>
      <c r="V87" s="474" t="e">
        <f>(U87-T87)/W87</f>
        <v>#REF!</v>
      </c>
      <c r="W87" s="478">
        <f>+COUNT(O87:O87)</f>
        <v>0</v>
      </c>
      <c r="X87" s="478" t="e">
        <f>+IF(V87&lt;0,(ROUNDDOWN(V87,0)),(ROUNDUP(V87,0)))</f>
        <v>#REF!</v>
      </c>
      <c r="Y87" s="488" t="e">
        <v>#DIV/0!</v>
      </c>
      <c r="Z87" s="482" t="e">
        <f>+IF('(AS-400 Jembatan)'!V87=0," ",'(AS-400 Jembatan)'!V87+'(AS-400 Transfer)'!$AJ87)</f>
        <v>#REF!</v>
      </c>
      <c r="AA87" s="494" t="e">
        <f>+IF('(AS-400 Jembatan)'!W87=0," ",'(AS-400 Jembatan)'!W87+'(AS-400 Transfer)'!$AJ87)</f>
        <v>#REF!</v>
      </c>
      <c r="AB87" s="483" t="e">
        <f>+IF('(AS-400 Jembatan)'!X87=0," ",'(AS-400 Jembatan)'!X87+'(AS-400 Transfer)'!$AJ87)</f>
        <v>#REF!</v>
      </c>
      <c r="AC87" s="474" t="e">
        <f>+IF('(AS-400 Jembatan)'!Y87=0," ",'(AS-400 Jembatan)'!Y87+'(AS-400 Transfer)'!$AJ87)</f>
        <v>#REF!</v>
      </c>
      <c r="AD87" s="474" t="str">
        <f>+IF('(AS-400 Jembatan)'!Z87=0," ",'(AS-400 Jembatan)'!Z87+'(AS-400 Transfer)'!$AJ87)</f>
        <v> </v>
      </c>
      <c r="AE87" s="474" t="e">
        <f>SUM(Z87:Z87)</f>
        <v>#REF!</v>
      </c>
      <c r="AF87" s="474" t="e">
        <f>+'(AS-400 Jembatan)'!AB87</f>
        <v>#REF!</v>
      </c>
      <c r="AG87" s="474" t="e">
        <f>(AF87-AE87)/AH87</f>
        <v>#REF!</v>
      </c>
      <c r="AH87" s="478">
        <f>+COUNT(Z87:Z87)</f>
        <v>0</v>
      </c>
      <c r="AI87" s="475" t="e">
        <f>+IF(AG87&lt;0,(ROUNDDOWN(AG87,0)),(ROUNDUP(AG87,0)))</f>
        <v>#REF!</v>
      </c>
      <c r="AJ87" s="481" t="e">
        <v>#DIV/0!</v>
      </c>
      <c r="AK87" s="482" t="e">
        <f>+IF('(AS-400 Jembatan)'!AE87=0," ",'(AS-400 Jembatan)'!AE87+'(AS-400 Transfer)'!$AU87)</f>
        <v>#REF!</v>
      </c>
      <c r="AL87" s="474" t="e">
        <f>+IF('(AS-400 Jembatan)'!AF87=0," ",'(AS-400 Jembatan)'!AF87+'(AS-400 Transfer)'!$AU87)</f>
        <v>#REF!</v>
      </c>
      <c r="AM87" s="483" t="e">
        <f>+IF('(AS-400 Jembatan)'!AG87=0," ",'(AS-400 Jembatan)'!AG87+'(AS-400 Transfer)'!$AU87)</f>
        <v>#REF!</v>
      </c>
      <c r="AN87" s="474" t="e">
        <f>+IF('(AS-400 Jembatan)'!AH87=0," ",'(AS-400 Jembatan)'!AH87+'(AS-400 Transfer)'!$AU87)</f>
        <v>#REF!</v>
      </c>
      <c r="AO87" s="474" t="str">
        <f>+IF('(AS-400 Jembatan)'!AI87=0," ",'(AS-400 Jembatan)'!AI87+'(AS-400 Transfer)'!$AU87)</f>
        <v> </v>
      </c>
      <c r="AP87" s="474" t="e">
        <f>SUM(AK87:AK87)</f>
        <v>#REF!</v>
      </c>
      <c r="AQ87" s="474" t="e">
        <f>+'(AS-400 Jembatan)'!AK87</f>
        <v>#REF!</v>
      </c>
      <c r="AR87" s="474" t="e">
        <f>(AQ87-AP87)/AS87</f>
        <v>#REF!</v>
      </c>
      <c r="AS87" s="478">
        <f>+COUNT(AK87:AK87)</f>
        <v>0</v>
      </c>
      <c r="AT87" s="478" t="e">
        <f>+IF(AR87&lt;0,(ROUNDDOWN(AR87,0)),(ROUNDUP(AR87,0)))</f>
        <v>#REF!</v>
      </c>
      <c r="AU87" s="478" t="e">
        <v>#DIV/0!</v>
      </c>
      <c r="AV87" s="482" t="e">
        <f>+IF('(AS-400 Jembatan)'!AN87=0," ",'(AS-400 Jembatan)'!AN87+'(AS-400 Transfer)'!$BF87)</f>
        <v>#REF!</v>
      </c>
      <c r="AW87" s="474" t="e">
        <f>+IF('(AS-400 Jembatan)'!AO87=0," ",'(AS-400 Jembatan)'!AO87+'(AS-400 Transfer)'!$BF87)</f>
        <v>#REF!</v>
      </c>
      <c r="AX87" s="483" t="e">
        <f>+IF('(AS-400 Jembatan)'!AP87=0," ",'(AS-400 Jembatan)'!AP87+'(AS-400 Transfer)'!$BF87)</f>
        <v>#REF!</v>
      </c>
      <c r="AY87" s="474" t="e">
        <f>+IF('(AS-400 Jembatan)'!AQ87=0," ",'(AS-400 Jembatan)'!AQ87+'(AS-400 Transfer)'!$BF87)</f>
        <v>#REF!</v>
      </c>
      <c r="AZ87" s="474" t="e">
        <f>+IF('(AS-400 Jembatan)'!AR87=0," ",'(AS-400 Jembatan)'!AR87+'(AS-400 Transfer)'!$BF87)</f>
        <v>#REF!</v>
      </c>
      <c r="BA87" s="474" t="e">
        <f>SUM(AV87:AV87)</f>
        <v>#REF!</v>
      </c>
      <c r="BB87" s="474" t="e">
        <f>+GUM!Z93</f>
        <v>#REF!</v>
      </c>
      <c r="BC87" s="474" t="e">
        <f>(BB87-BA87)/BD87</f>
        <v>#REF!</v>
      </c>
      <c r="BD87" s="478">
        <f>+COUNT(AV87:AV87)</f>
        <v>0</v>
      </c>
      <c r="BE87" s="478" t="e">
        <f>+IF(BC87&lt;0,(ROUNDDOWN(BC87,0)),(ROUNDUP(BC87,0)))</f>
        <v>#REF!</v>
      </c>
      <c r="BF87" s="488" t="e">
        <v>#DIV/0!</v>
      </c>
      <c r="BG87" s="482" t="e">
        <f>+IF('(AS-400 Jembatan)'!AW87=0," ",'(AS-400 Jembatan)'!AW87+'(AS-400 Transfer)'!$BQ87)</f>
        <v>#REF!</v>
      </c>
      <c r="BH87" s="474" t="e">
        <f>+IF('(AS-400 Jembatan)'!AX87=0," ",'(AS-400 Jembatan)'!AX87+'(AS-400 Transfer)'!$BQ87)</f>
        <v>#REF!</v>
      </c>
      <c r="BI87" s="483" t="e">
        <f>+IF('(AS-400 Jembatan)'!AY87=0," ",'(AS-400 Jembatan)'!AY87+'(AS-400 Transfer)'!$BQ87)</f>
        <v>#REF!</v>
      </c>
      <c r="BJ87" s="474" t="e">
        <f>+IF('(AS-400 Jembatan)'!AZ87=0," ",'(AS-400 Jembatan)'!AZ87+'(AS-400 Transfer)'!$BQ87)</f>
        <v>#REF!</v>
      </c>
      <c r="BK87" s="474" t="str">
        <f>+IF('(AS-400 Jembatan)'!BA87=0," ",'(AS-400 Jembatan)'!BA87+'(AS-400 Transfer)'!$BQ87)</f>
        <v> </v>
      </c>
      <c r="BL87" s="474" t="e">
        <f>SUM(BG87:BG87)</f>
        <v>#REF!</v>
      </c>
      <c r="BM87" s="474" t="e">
        <f>+'(AS-400 Jembatan)'!BC87</f>
        <v>#REF!</v>
      </c>
      <c r="BN87" s="474" t="e">
        <f>(BM87-BL87)/BO87</f>
        <v>#REF!</v>
      </c>
      <c r="BO87" s="478">
        <f>+COUNT(BG87:BG87)</f>
        <v>0</v>
      </c>
      <c r="BP87" s="478" t="e">
        <f>+IF(BN87&lt;0,(ROUNDDOWN(BN87,0)),(ROUNDUP(BN87,0)))</f>
        <v>#REF!</v>
      </c>
      <c r="BQ87" s="488" t="e">
        <v>#DIV/0!</v>
      </c>
    </row>
    <row r="88" spans="1:142" customHeight="1" ht="15" s="473" customFormat="1">
      <c r="A88" s="1297"/>
      <c r="B88" s="934" t="str">
        <f>+GUM!C94</f>
        <v>82115-0EZ60 B</v>
      </c>
      <c r="C88" s="939" t="str">
        <f>'(AS-400 Jembatan)'!C87</f>
        <v>B 1001</v>
      </c>
      <c r="D88" s="505" t="str">
        <f>+IF('(AS-400 Jembatan)'!D87=0," ",'(AS-400 Jembatan)'!D$12+'(AS-400 Transfer)'!$N88)</f>
        <v> </v>
      </c>
      <c r="E88" s="474" t="str">
        <f>+IF('(AS-400 Jembatan)'!E87=0," ",'(AS-400 Jembatan)'!E$12+'(AS-400 Transfer)'!$N88)</f>
        <v> </v>
      </c>
      <c r="F88" s="474" t="str">
        <f>+IF('(AS-400 Jembatan)'!F87=0," ",'(AS-400 Jembatan)'!F$12+'(AS-400 Transfer)'!$N88)</f>
        <v> </v>
      </c>
      <c r="G88" s="474" t="str">
        <f>+IF('(AS-400 Jembatan)'!G87=0," ",'(AS-400 Jembatan)'!G$12+'(AS-400 Transfer)'!$N88)</f>
        <v> </v>
      </c>
      <c r="H88" s="474" t="str">
        <f>+IF('(AS-400 Jembatan)'!H87=0," ",'(AS-400 Jembatan)'!H$12+'(AS-400 Transfer)'!$N88)</f>
        <v> </v>
      </c>
      <c r="I88" s="474">
        <f>SUM(D88:H88)</f>
        <v>0</v>
      </c>
      <c r="J88" s="475">
        <f>+'(AS-400 Jembatan)'!J87</f>
        <v/>
      </c>
      <c r="K88" s="475" t="e">
        <f>(J88-I88)/L88</f>
        <v>#DIV/0!</v>
      </c>
      <c r="L88" s="478">
        <f>+COUNT(D88:D88)</f>
        <v>0</v>
      </c>
      <c r="M88" s="478" t="e">
        <f>+IF(K88&lt;0,(ROUNDDOWN(K88,0)),(ROUNDUP(K88,0)))</f>
        <v>#DIV/0!</v>
      </c>
      <c r="N88" s="478">
        <v>0.0</v>
      </c>
      <c r="O88" s="482" t="e">
        <f>+IF('(AS-400 Jembatan)'!M88=0," ",'(AS-400 Jembatan)'!M88+'(AS-400 Transfer)'!$Y88)</f>
        <v>#REF!</v>
      </c>
      <c r="P88" s="474" t="e">
        <f>+IF('(AS-400 Jembatan)'!N88=0," ",'(AS-400 Jembatan)'!N88+'(AS-400 Transfer)'!$Y88)</f>
        <v>#REF!</v>
      </c>
      <c r="Q88" s="483" t="e">
        <f>+IF('(AS-400 Jembatan)'!O88=0," ",'(AS-400 Jembatan)'!O88+'(AS-400 Transfer)'!$Y88)</f>
        <v>#REF!</v>
      </c>
      <c r="R88" s="474" t="e">
        <f>+IF('(AS-400 Jembatan)'!P88=0," ",'(AS-400 Jembatan)'!P88+'(AS-400 Transfer)'!$Y88)</f>
        <v>#REF!</v>
      </c>
      <c r="S88" s="474" t="e">
        <f>+IF('(AS-400 Jembatan)'!Q88=0," ",'(AS-400 Jembatan)'!Q88+'(AS-400 Transfer)'!$Y88)</f>
        <v>#REF!</v>
      </c>
      <c r="T88" s="474" t="e">
        <f>SUM(O88:O88)</f>
        <v>#REF!</v>
      </c>
      <c r="U88" s="474" t="e">
        <f>+'(AS-400 Jembatan)'!S88</f>
        <v>#REF!</v>
      </c>
      <c r="V88" s="493" t="e">
        <f>(U88-T88)/W88</f>
        <v>#REF!</v>
      </c>
      <c r="W88" s="478">
        <f>+COUNT(O88:O88)</f>
        <v>0</v>
      </c>
      <c r="X88" s="478" t="e">
        <f>+IF(V88&lt;0,(ROUNDDOWN(V88,0)),(ROUNDUP(V88,0)))</f>
        <v>#REF!</v>
      </c>
      <c r="Y88" s="488" t="e">
        <v>#DIV/0!</v>
      </c>
      <c r="Z88" s="482" t="e">
        <f>+IF('(AS-400 Jembatan)'!V88=0," ",'(AS-400 Jembatan)'!V88+'(AS-400 Transfer)'!$AJ88)</f>
        <v>#REF!</v>
      </c>
      <c r="AA88" s="494" t="e">
        <f>+IF('(AS-400 Jembatan)'!W88=0," ",'(AS-400 Jembatan)'!W88+'(AS-400 Transfer)'!$AJ88)</f>
        <v>#REF!</v>
      </c>
      <c r="AB88" s="483" t="e">
        <f>+IF('(AS-400 Jembatan)'!X88=0," ",'(AS-400 Jembatan)'!X88+'(AS-400 Transfer)'!$AJ88)</f>
        <v>#REF!</v>
      </c>
      <c r="AC88" s="474" t="e">
        <f>+IF('(AS-400 Jembatan)'!Y88=0," ",'(AS-400 Jembatan)'!Y88+'(AS-400 Transfer)'!$AJ88)</f>
        <v>#REF!</v>
      </c>
      <c r="AD88" s="474" t="str">
        <f>+IF('(AS-400 Jembatan)'!Z88=0," ",'(AS-400 Jembatan)'!Z88+'(AS-400 Transfer)'!$AJ88)</f>
        <v> </v>
      </c>
      <c r="AE88" s="474" t="e">
        <f>SUM(Z88:Z88)</f>
        <v>#REF!</v>
      </c>
      <c r="AF88" s="474" t="e">
        <f>+'(AS-400 Jembatan)'!AB88</f>
        <v>#REF!</v>
      </c>
      <c r="AG88" s="474" t="e">
        <f>(AF88-AE88)/AH88</f>
        <v>#REF!</v>
      </c>
      <c r="AH88" s="478">
        <f>+COUNT(Z88:Z88)</f>
        <v>0</v>
      </c>
      <c r="AI88" s="475" t="e">
        <f>+IF(AG88&lt;0,(ROUNDDOWN(AG88,0)),(ROUNDUP(AG88,0)))</f>
        <v>#REF!</v>
      </c>
      <c r="AJ88" s="481" t="e">
        <v>#DIV/0!</v>
      </c>
      <c r="AK88" s="482" t="e">
        <f>+IF('(AS-400 Jembatan)'!AE88=0," ",'(AS-400 Jembatan)'!AE88+'(AS-400 Transfer)'!$AU88)</f>
        <v>#REF!</v>
      </c>
      <c r="AL88" s="474" t="e">
        <f>+IF('(AS-400 Jembatan)'!AF88=0," ",'(AS-400 Jembatan)'!AF88+'(AS-400 Transfer)'!$AU88)</f>
        <v>#REF!</v>
      </c>
      <c r="AM88" s="483" t="e">
        <f>+IF('(AS-400 Jembatan)'!AG88=0," ",'(AS-400 Jembatan)'!AG88+'(AS-400 Transfer)'!$AU88)</f>
        <v>#REF!</v>
      </c>
      <c r="AN88" s="474" t="e">
        <f>+IF('(AS-400 Jembatan)'!AH88=0," ",'(AS-400 Jembatan)'!AH88+'(AS-400 Transfer)'!$AU88)</f>
        <v>#REF!</v>
      </c>
      <c r="AO88" s="474" t="str">
        <f>+IF('(AS-400 Jembatan)'!AI88=0," ",'(AS-400 Jembatan)'!AI88+'(AS-400 Transfer)'!$AU88)</f>
        <v> </v>
      </c>
      <c r="AP88" s="474" t="e">
        <f>SUM(AK88:AK88)</f>
        <v>#REF!</v>
      </c>
      <c r="AQ88" s="474" t="e">
        <f>+'(AS-400 Jembatan)'!AK88</f>
        <v>#REF!</v>
      </c>
      <c r="AR88" s="474" t="e">
        <f>(AQ88-AP88)/AS88</f>
        <v>#REF!</v>
      </c>
      <c r="AS88" s="478">
        <f>+COUNT(AK88:AK88)</f>
        <v>0</v>
      </c>
      <c r="AT88" s="478" t="e">
        <f>+IF(AR88&lt;0,(ROUNDDOWN(AR88,0)),(ROUNDUP(AR88,0)))</f>
        <v>#REF!</v>
      </c>
      <c r="AU88" s="478" t="e">
        <v>#DIV/0!</v>
      </c>
      <c r="AV88" s="482" t="e">
        <f>+IF('(AS-400 Jembatan)'!AN88=0," ",'(AS-400 Jembatan)'!AN88+'(AS-400 Transfer)'!$BF88)</f>
        <v>#REF!</v>
      </c>
      <c r="AW88" s="474" t="e">
        <f>+IF('(AS-400 Jembatan)'!AO88=0," ",'(AS-400 Jembatan)'!AO88+'(AS-400 Transfer)'!$BF88)</f>
        <v>#REF!</v>
      </c>
      <c r="AX88" s="483" t="e">
        <f>+IF('(AS-400 Jembatan)'!AP88=0," ",'(AS-400 Jembatan)'!AP88+'(AS-400 Transfer)'!$BF88)</f>
        <v>#REF!</v>
      </c>
      <c r="AY88" s="474" t="e">
        <f>+IF('(AS-400 Jembatan)'!AQ88=0," ",'(AS-400 Jembatan)'!AQ88+'(AS-400 Transfer)'!$BF88)</f>
        <v>#REF!</v>
      </c>
      <c r="AZ88" s="474" t="e">
        <f>+IF('(AS-400 Jembatan)'!AR88=0," ",'(AS-400 Jembatan)'!AR88+'(AS-400 Transfer)'!$BF88)</f>
        <v>#REF!</v>
      </c>
      <c r="BA88" s="474" t="e">
        <f>SUM(AV88:AV88)</f>
        <v>#REF!</v>
      </c>
      <c r="BB88" s="474" t="e">
        <f>+GUM!Z94</f>
        <v>#REF!</v>
      </c>
      <c r="BC88" s="474" t="e">
        <f>(BB88-BA88)/BD88</f>
        <v>#REF!</v>
      </c>
      <c r="BD88" s="478">
        <f>+COUNT(AV88:AV88)</f>
        <v>0</v>
      </c>
      <c r="BE88" s="478" t="e">
        <f>+IF(BC88&lt;0,(ROUNDDOWN(BC88,0)),(ROUNDUP(BC88,0)))</f>
        <v>#REF!</v>
      </c>
      <c r="BF88" s="488" t="e">
        <v>#DIV/0!</v>
      </c>
      <c r="BG88" s="482" t="e">
        <f>+IF('(AS-400 Jembatan)'!AW88=0," ",'(AS-400 Jembatan)'!AW88+'(AS-400 Transfer)'!$BQ88)</f>
        <v>#REF!</v>
      </c>
      <c r="BH88" s="474" t="e">
        <f>+IF('(AS-400 Jembatan)'!AX88=0," ",'(AS-400 Jembatan)'!AX88+'(AS-400 Transfer)'!$BQ88)</f>
        <v>#REF!</v>
      </c>
      <c r="BI88" s="483" t="e">
        <f>+IF('(AS-400 Jembatan)'!AY88=0," ",'(AS-400 Jembatan)'!AY88+'(AS-400 Transfer)'!$BQ88)</f>
        <v>#REF!</v>
      </c>
      <c r="BJ88" s="474" t="e">
        <f>+IF('(AS-400 Jembatan)'!AZ88=0," ",'(AS-400 Jembatan)'!AZ88+'(AS-400 Transfer)'!$BQ88)</f>
        <v>#REF!</v>
      </c>
      <c r="BK88" s="474" t="str">
        <f>+IF('(AS-400 Jembatan)'!BA88=0," ",'(AS-400 Jembatan)'!BA88+'(AS-400 Transfer)'!$BQ88)</f>
        <v> </v>
      </c>
      <c r="BL88" s="474" t="e">
        <f>SUM(BG88:BG88)</f>
        <v>#REF!</v>
      </c>
      <c r="BM88" s="474" t="e">
        <f>+'(AS-400 Jembatan)'!BC88</f>
        <v>#REF!</v>
      </c>
      <c r="BN88" s="474" t="e">
        <f>(BM88-BL88)/BO88</f>
        <v>#REF!</v>
      </c>
      <c r="BO88" s="478">
        <f>+COUNT(BG88:BG88)</f>
        <v>0</v>
      </c>
      <c r="BP88" s="478" t="e">
        <f>+IF(BN88&lt;0,(ROUNDDOWN(BN88,0)),(ROUNDUP(BN88,0)))</f>
        <v>#REF!</v>
      </c>
      <c r="BQ88" s="488" t="e">
        <v>#DIV/0!</v>
      </c>
    </row>
    <row r="89" spans="1:142" customHeight="1" ht="15" s="473" customFormat="1">
      <c r="A89" s="1297"/>
      <c r="B89" s="934" t="str">
        <f>+GUM!C95</f>
        <v>82115-0EZ70 B</v>
      </c>
      <c r="C89" s="939" t="str">
        <f>'(AS-400 Jembatan)'!C88</f>
        <v>B 1001</v>
      </c>
      <c r="D89" s="505" t="str">
        <f>+IF('(AS-400 Jembatan)'!D88=0," ",'(AS-400 Jembatan)'!D$13+'(AS-400 Transfer)'!$N89)</f>
        <v> </v>
      </c>
      <c r="E89" s="474" t="str">
        <f>+IF('(AS-400 Jembatan)'!E88=0," ",'(AS-400 Jembatan)'!E$13+'(AS-400 Transfer)'!$N89)</f>
        <v> </v>
      </c>
      <c r="F89" s="474" t="str">
        <f>+IF('(AS-400 Jembatan)'!F88=0," ",'(AS-400 Jembatan)'!F$13+'(AS-400 Transfer)'!$N89)</f>
        <v> </v>
      </c>
      <c r="G89" s="474" t="str">
        <f>+IF('(AS-400 Jembatan)'!G88=0," ",'(AS-400 Jembatan)'!G$13+'(AS-400 Transfer)'!$N89)</f>
        <v> </v>
      </c>
      <c r="H89" s="474" t="str">
        <f>+IF('(AS-400 Jembatan)'!H88=0," ",'(AS-400 Jembatan)'!H$9+'(AS-400 Transfer)'!$N89)</f>
        <v> </v>
      </c>
      <c r="I89" s="474">
        <f>SUM(D89:H89)</f>
        <v>0</v>
      </c>
      <c r="J89" s="475">
        <f>+'(AS-400 Jembatan)'!J88</f>
        <v/>
      </c>
      <c r="K89" s="475" t="e">
        <f>(J89-I89)/L89</f>
        <v>#DIV/0!</v>
      </c>
      <c r="L89" s="478">
        <f>+COUNT(D89:D89)</f>
        <v>0</v>
      </c>
      <c r="M89" s="478" t="e">
        <f>+IF(K89&lt;0,(ROUNDDOWN(K89,0)),(ROUNDUP(K89,0)))</f>
        <v>#DIV/0!</v>
      </c>
      <c r="N89" s="478" t="e">
        <v>#DIV/0!</v>
      </c>
      <c r="O89" s="482" t="e">
        <f>+IF('(AS-400 Jembatan)'!M89=0," ",'(AS-400 Jembatan)'!M89+'(AS-400 Transfer)'!$Y89)</f>
        <v>#REF!</v>
      </c>
      <c r="P89" s="474" t="e">
        <f>+IF('(AS-400 Jembatan)'!N89=0," ",'(AS-400 Jembatan)'!N89+'(AS-400 Transfer)'!$Y89)</f>
        <v>#REF!</v>
      </c>
      <c r="Q89" s="483" t="e">
        <f>+IF('(AS-400 Jembatan)'!O89=0," ",'(AS-400 Jembatan)'!O89+'(AS-400 Transfer)'!$Y89)</f>
        <v>#REF!</v>
      </c>
      <c r="R89" s="474" t="e">
        <f>+IF('(AS-400 Jembatan)'!P89=0," ",'(AS-400 Jembatan)'!P89+'(AS-400 Transfer)'!$Y89)</f>
        <v>#REF!</v>
      </c>
      <c r="S89" s="474" t="e">
        <f>+IF('(AS-400 Jembatan)'!Q89=0," ",'(AS-400 Jembatan)'!Q89+'(AS-400 Transfer)'!$Y89)</f>
        <v>#REF!</v>
      </c>
      <c r="T89" s="474" t="e">
        <f>SUM(O89:S89)</f>
        <v>#REF!</v>
      </c>
      <c r="U89" s="474" t="e">
        <f>+'(AS-400 Jembatan)'!S89</f>
        <v>#REF!</v>
      </c>
      <c r="V89" s="474" t="e">
        <f>(U89-T89)/W89</f>
        <v>#REF!</v>
      </c>
      <c r="W89" s="478">
        <f>+COUNT(O89:S89)</f>
        <v>0</v>
      </c>
      <c r="X89" s="478" t="e">
        <f>+IF(V89&lt;0,(ROUNDDOWN(V89,0)),(ROUNDUP(V89,0)))</f>
        <v>#REF!</v>
      </c>
      <c r="Y89" s="488" t="e">
        <v>#DIV/0!</v>
      </c>
      <c r="Z89" s="482" t="e">
        <f>+IF('(AS-400 Jembatan)'!V89=0," ",'(AS-400 Jembatan)'!V89+'(AS-400 Transfer)'!$AJ89)</f>
        <v>#REF!</v>
      </c>
      <c r="AA89" s="494" t="e">
        <f>+IF('(AS-400 Jembatan)'!W89=0," ",'(AS-400 Jembatan)'!W89+'(AS-400 Transfer)'!$AJ89)</f>
        <v>#REF!</v>
      </c>
      <c r="AB89" s="483" t="e">
        <f>+IF('(AS-400 Jembatan)'!X89=0," ",'(AS-400 Jembatan)'!X89+'(AS-400 Transfer)'!$AJ89)</f>
        <v>#REF!</v>
      </c>
      <c r="AC89" s="474" t="e">
        <f>+IF('(AS-400 Jembatan)'!Y89=0," ",'(AS-400 Jembatan)'!Y89+'(AS-400 Transfer)'!$AJ89)</f>
        <v>#REF!</v>
      </c>
      <c r="AD89" s="474" t="str">
        <f>+IF('(AS-400 Jembatan)'!Z89=0," ",'(AS-400 Jembatan)'!Z89+'(AS-400 Transfer)'!$AJ89)</f>
        <v> </v>
      </c>
      <c r="AE89" s="474" t="e">
        <f>SUM(Z89:AD89)</f>
        <v>#REF!</v>
      </c>
      <c r="AF89" s="474" t="e">
        <f>+'(AS-400 Jembatan)'!AB89</f>
        <v>#REF!</v>
      </c>
      <c r="AG89" s="474" t="e">
        <f>(AF89-AE89)/AH89</f>
        <v>#REF!</v>
      </c>
      <c r="AH89" s="478">
        <f>+COUNT(Z89:AD89)</f>
        <v>0</v>
      </c>
      <c r="AI89" s="475" t="e">
        <f>+IF(AG89&lt;0,(ROUNDDOWN(AG89,0)),(ROUNDUP(AG89,0)))</f>
        <v>#REF!</v>
      </c>
      <c r="AJ89" s="481" t="e">
        <v>#DIV/0!</v>
      </c>
      <c r="AK89" s="482" t="e">
        <f>+IF('(AS-400 Jembatan)'!AE89=0," ",'(AS-400 Jembatan)'!AE89+'(AS-400 Transfer)'!$AU89)</f>
        <v>#REF!</v>
      </c>
      <c r="AL89" s="474" t="e">
        <f>+IF('(AS-400 Jembatan)'!AF89=0," ",'(AS-400 Jembatan)'!AF89+'(AS-400 Transfer)'!$AU89)</f>
        <v>#REF!</v>
      </c>
      <c r="AM89" s="483" t="e">
        <f>+IF('(AS-400 Jembatan)'!AG89=0," ",'(AS-400 Jembatan)'!AG89+'(AS-400 Transfer)'!$AU89)</f>
        <v>#REF!</v>
      </c>
      <c r="AN89" s="474" t="e">
        <f>+IF('(AS-400 Jembatan)'!AH89=0," ",'(AS-400 Jembatan)'!AH89+'(AS-400 Transfer)'!$AU89)</f>
        <v>#REF!</v>
      </c>
      <c r="AO89" s="474" t="str">
        <f>+IF('(AS-400 Jembatan)'!AI89=0," ",'(AS-400 Jembatan)'!AI89+'(AS-400 Transfer)'!$AU89)</f>
        <v> </v>
      </c>
      <c r="AP89" s="474" t="e">
        <f>SUM(AK89:AO89)</f>
        <v>#REF!</v>
      </c>
      <c r="AQ89" s="474" t="e">
        <f>+'(AS-400 Jembatan)'!AK89</f>
        <v>#REF!</v>
      </c>
      <c r="AR89" s="474" t="e">
        <f>(AQ89-AP89)/AS89</f>
        <v>#REF!</v>
      </c>
      <c r="AS89" s="478">
        <f>+COUNT(AK89:AO89)</f>
        <v>0</v>
      </c>
      <c r="AT89" s="478" t="e">
        <f>+IF(AR89&lt;0,(ROUNDDOWN(AR89,0)),(ROUNDUP(AR89,0)))</f>
        <v>#REF!</v>
      </c>
      <c r="AU89" s="478" t="e">
        <v>#DIV/0!</v>
      </c>
      <c r="AV89" s="482" t="e">
        <f>+IF('(AS-400 Jembatan)'!AN89=0," ",'(AS-400 Jembatan)'!AN89+'(AS-400 Transfer)'!$BF89)</f>
        <v>#REF!</v>
      </c>
      <c r="AW89" s="474" t="e">
        <f>+IF('(AS-400 Jembatan)'!AO89=0," ",'(AS-400 Jembatan)'!AO89+'(AS-400 Transfer)'!$BF89)</f>
        <v>#REF!</v>
      </c>
      <c r="AX89" s="483" t="e">
        <f>+IF('(AS-400 Jembatan)'!AP89=0," ",'(AS-400 Jembatan)'!AP89+'(AS-400 Transfer)'!$BF89)</f>
        <v>#REF!</v>
      </c>
      <c r="AY89" s="474" t="e">
        <f>+IF('(AS-400 Jembatan)'!AQ89=0," ",'(AS-400 Jembatan)'!AQ89+'(AS-400 Transfer)'!$BF89)</f>
        <v>#REF!</v>
      </c>
      <c r="AZ89" s="474" t="e">
        <f>+IF('(AS-400 Jembatan)'!AR89=0," ",'(AS-400 Jembatan)'!AR89+'(AS-400 Transfer)'!$BF89)</f>
        <v>#REF!</v>
      </c>
      <c r="BA89" s="474" t="e">
        <f>SUM(AV89:AZ89)</f>
        <v>#REF!</v>
      </c>
      <c r="BB89" s="474" t="e">
        <f>+GUM!Z95</f>
        <v>#REF!</v>
      </c>
      <c r="BC89" s="474" t="e">
        <f>(BB89-BA89)/BD89</f>
        <v>#REF!</v>
      </c>
      <c r="BD89" s="478">
        <f>+COUNT(AV89:AZ89)</f>
        <v>0</v>
      </c>
      <c r="BE89" s="478" t="e">
        <f>+IF(BC89&lt;0,(ROUNDDOWN(BC89,0)),(ROUNDUP(BC89,0)))</f>
        <v>#REF!</v>
      </c>
      <c r="BF89" s="488" t="e">
        <v>#DIV/0!</v>
      </c>
      <c r="BG89" s="482" t="e">
        <f>+IF('(AS-400 Jembatan)'!AW89=0," ",'(AS-400 Jembatan)'!AW89+'(AS-400 Transfer)'!$BQ89)</f>
        <v>#REF!</v>
      </c>
      <c r="BH89" s="474" t="e">
        <f>+IF('(AS-400 Jembatan)'!AX89=0," ",'(AS-400 Jembatan)'!AX89+'(AS-400 Transfer)'!$BQ89)</f>
        <v>#REF!</v>
      </c>
      <c r="BI89" s="483" t="e">
        <f>+IF('(AS-400 Jembatan)'!AY89=0," ",'(AS-400 Jembatan)'!AY89+'(AS-400 Transfer)'!$BQ89)</f>
        <v>#REF!</v>
      </c>
      <c r="BJ89" s="474" t="e">
        <f>+IF('(AS-400 Jembatan)'!AZ89=0," ",'(AS-400 Jembatan)'!AZ89+'(AS-400 Transfer)'!$BQ89)</f>
        <v>#REF!</v>
      </c>
      <c r="BK89" s="474" t="str">
        <f>+IF('(AS-400 Jembatan)'!BA89=0," ",'(AS-400 Jembatan)'!BA89+'(AS-400 Transfer)'!$BQ89)</f>
        <v> </v>
      </c>
      <c r="BL89" s="474" t="e">
        <f>SUM(BG89:BK89)</f>
        <v>#REF!</v>
      </c>
      <c r="BM89" s="474" t="e">
        <f>+'(AS-400 Jembatan)'!BC89</f>
        <v>#REF!</v>
      </c>
      <c r="BN89" s="474" t="e">
        <f>(BM89-BL89)/BO89</f>
        <v>#REF!</v>
      </c>
      <c r="BO89" s="478">
        <f>+COUNT(BG89:BK89)</f>
        <v>0</v>
      </c>
      <c r="BP89" s="478" t="e">
        <f>+IF(BN89&lt;0,(ROUNDDOWN(BN89,0)),(ROUNDUP(BN89,0)))</f>
        <v>#REF!</v>
      </c>
      <c r="BQ89" s="488" t="e">
        <v>#DIV/0!</v>
      </c>
    </row>
    <row r="90" spans="1:142" customHeight="1" ht="15" s="473" customFormat="1">
      <c r="A90" s="1297"/>
      <c r="B90" s="934" t="str">
        <f>+GUM!C96</f>
        <v>82115-0EZ80 B</v>
      </c>
      <c r="C90" s="939" t="str">
        <f>'(AS-400 Jembatan)'!C89</f>
        <v>B 1001</v>
      </c>
      <c r="D90" s="505" t="str">
        <f>+IF('(AS-400 Jembatan)'!D89=0," ",'(AS-400 Jembatan)'!D$14+'(AS-400 Transfer)'!$N90)</f>
        <v> </v>
      </c>
      <c r="E90" s="474" t="str">
        <f>+IF('(AS-400 Jembatan)'!E89=0," ",'(AS-400 Jembatan)'!E$14+'(AS-400 Transfer)'!$N90)</f>
        <v> </v>
      </c>
      <c r="F90" s="474" t="str">
        <f>+IF('(AS-400 Jembatan)'!F89=0," ",'(AS-400 Jembatan)'!F$14+'(AS-400 Transfer)'!$N90)</f>
        <v> </v>
      </c>
      <c r="G90" s="474" t="str">
        <f>+IF('(AS-400 Jembatan)'!G89=0," ",'(AS-400 Jembatan)'!G$14+'(AS-400 Transfer)'!$N90)</f>
        <v> </v>
      </c>
      <c r="H90" s="474" t="str">
        <f>+IF('(AS-400 Jembatan)'!H89=0," ",'(AS-400 Jembatan)'!H$14+'(AS-400 Transfer)'!$N90)</f>
        <v> </v>
      </c>
      <c r="I90" s="474">
        <f>SUM(D90:H90)</f>
        <v>0</v>
      </c>
      <c r="J90" s="475">
        <f>+'(AS-400 Jembatan)'!J89</f>
        <v/>
      </c>
      <c r="K90" s="475" t="e">
        <f>(J90-I90)/L90</f>
        <v>#DIV/0!</v>
      </c>
      <c r="L90" s="478">
        <f>+COUNT(D90:D90)</f>
        <v>0</v>
      </c>
      <c r="M90" s="478" t="e">
        <f>+IF(K90&lt;0,(ROUNDDOWN(K90,0)),(ROUNDUP(K90,0)))</f>
        <v>#DIV/0!</v>
      </c>
      <c r="N90" s="478">
        <v>0.0</v>
      </c>
      <c r="O90" s="482" t="e">
        <f>+IF('(AS-400 Jembatan)'!M90=0," ",'(AS-400 Jembatan)'!M90+'(AS-400 Transfer)'!$Y90)</f>
        <v>#REF!</v>
      </c>
      <c r="P90" s="474" t="e">
        <f>+IF('(AS-400 Jembatan)'!N90=0," ",'(AS-400 Jembatan)'!N90+'(AS-400 Transfer)'!$Y90)</f>
        <v>#REF!</v>
      </c>
      <c r="Q90" s="483" t="e">
        <f>+IF('(AS-400 Jembatan)'!O90=0," ",'(AS-400 Jembatan)'!O90+'(AS-400 Transfer)'!$Y90)</f>
        <v>#REF!</v>
      </c>
      <c r="R90" s="474" t="e">
        <f>+IF('(AS-400 Jembatan)'!P90=0," ",'(AS-400 Jembatan)'!P90+'(AS-400 Transfer)'!$Y90)</f>
        <v>#REF!</v>
      </c>
      <c r="S90" s="474" t="e">
        <f>+IF('(AS-400 Jembatan)'!Q90=0," ",'(AS-400 Jembatan)'!Q90+'(AS-400 Transfer)'!$Y90)</f>
        <v>#REF!</v>
      </c>
      <c r="T90" s="474" t="e">
        <f>SUM(O90:S90)</f>
        <v>#REF!</v>
      </c>
      <c r="U90" s="474" t="e">
        <f>+'(AS-400 Jembatan)'!S90</f>
        <v>#REF!</v>
      </c>
      <c r="V90" s="474" t="e">
        <f>(U90-T90)/W90</f>
        <v>#REF!</v>
      </c>
      <c r="W90" s="478">
        <f>+COUNT(O90:S90)</f>
        <v>0</v>
      </c>
      <c r="X90" s="478" t="e">
        <f>+IF(V90&lt;0,(ROUNDDOWN(V90,0)),(ROUNDUP(V90,0)))</f>
        <v>#REF!</v>
      </c>
      <c r="Y90" s="488" t="e">
        <v>#DIV/0!</v>
      </c>
      <c r="Z90" s="482" t="e">
        <f>+IF('(AS-400 Jembatan)'!V90=0," ",'(AS-400 Jembatan)'!V90+'(AS-400 Transfer)'!$AJ90)</f>
        <v>#REF!</v>
      </c>
      <c r="AA90" s="494" t="e">
        <f>+IF('(AS-400 Jembatan)'!W90=0," ",'(AS-400 Jembatan)'!W90+'(AS-400 Transfer)'!$AJ90)</f>
        <v>#REF!</v>
      </c>
      <c r="AB90" s="483" t="e">
        <f>+IF('(AS-400 Jembatan)'!X90=0," ",'(AS-400 Jembatan)'!X90+'(AS-400 Transfer)'!$AJ90)</f>
        <v>#REF!</v>
      </c>
      <c r="AC90" s="474" t="e">
        <f>+IF('(AS-400 Jembatan)'!Y90=0," ",'(AS-400 Jembatan)'!Y90+'(AS-400 Transfer)'!$AJ90)</f>
        <v>#REF!</v>
      </c>
      <c r="AD90" s="474" t="str">
        <f>+IF('(AS-400 Jembatan)'!Z90=0," ",'(AS-400 Jembatan)'!Z90+'(AS-400 Transfer)'!$AJ90)</f>
        <v> </v>
      </c>
      <c r="AE90" s="474" t="e">
        <f>SUM(Z90:AD90)</f>
        <v>#REF!</v>
      </c>
      <c r="AF90" s="474" t="e">
        <f>+'(AS-400 Jembatan)'!AB90</f>
        <v>#REF!</v>
      </c>
      <c r="AG90" s="474" t="e">
        <f>(AF90-AE90)/AH90</f>
        <v>#REF!</v>
      </c>
      <c r="AH90" s="478">
        <f>+COUNT(Z90:AD90)</f>
        <v>0</v>
      </c>
      <c r="AI90" s="475" t="e">
        <f>+IF(AG90&lt;0,(ROUNDDOWN(AG90,0)),(ROUNDUP(AG90,0)))</f>
        <v>#REF!</v>
      </c>
      <c r="AJ90" s="481" t="e">
        <v>#DIV/0!</v>
      </c>
      <c r="AK90" s="482" t="e">
        <f>+IF('(AS-400 Jembatan)'!AE90=0," ",'(AS-400 Jembatan)'!AE90+'(AS-400 Transfer)'!$AU90)</f>
        <v>#REF!</v>
      </c>
      <c r="AL90" s="474" t="e">
        <f>+IF('(AS-400 Jembatan)'!AF90=0," ",'(AS-400 Jembatan)'!AF90+'(AS-400 Transfer)'!$AU90)</f>
        <v>#REF!</v>
      </c>
      <c r="AM90" s="483" t="e">
        <f>+IF('(AS-400 Jembatan)'!AG90=0," ",'(AS-400 Jembatan)'!AG90+'(AS-400 Transfer)'!$AU90)</f>
        <v>#REF!</v>
      </c>
      <c r="AN90" s="474" t="e">
        <f>+IF('(AS-400 Jembatan)'!AH90=0," ",'(AS-400 Jembatan)'!AH90+'(AS-400 Transfer)'!$AU90)</f>
        <v>#REF!</v>
      </c>
      <c r="AO90" s="474" t="str">
        <f>+IF('(AS-400 Jembatan)'!AI90=0," ",'(AS-400 Jembatan)'!AI90+'(AS-400 Transfer)'!$AU90)</f>
        <v> </v>
      </c>
      <c r="AP90" s="474" t="e">
        <f>SUM(AK90:AO90)</f>
        <v>#REF!</v>
      </c>
      <c r="AQ90" s="474" t="e">
        <f>+'(AS-400 Jembatan)'!AK90</f>
        <v>#REF!</v>
      </c>
      <c r="AR90" s="474" t="e">
        <f>(AQ90-AP90)/AS90</f>
        <v>#REF!</v>
      </c>
      <c r="AS90" s="478">
        <f>+COUNT(AK90:AO90)</f>
        <v>0</v>
      </c>
      <c r="AT90" s="478" t="e">
        <f>+IF(AR90&lt;0,(ROUNDDOWN(AR90,0)),(ROUNDUP(AR90,0)))</f>
        <v>#REF!</v>
      </c>
      <c r="AU90" s="478" t="e">
        <v>#DIV/0!</v>
      </c>
      <c r="AV90" s="482" t="e">
        <f>+IF('(AS-400 Jembatan)'!AN90=0," ",'(AS-400 Jembatan)'!AN90+'(AS-400 Transfer)'!$BF90)</f>
        <v>#REF!</v>
      </c>
      <c r="AW90" s="474" t="e">
        <f>+IF('(AS-400 Jembatan)'!AO90=0," ",'(AS-400 Jembatan)'!AO90+'(AS-400 Transfer)'!$BF90)</f>
        <v>#REF!</v>
      </c>
      <c r="AX90" s="483" t="e">
        <f>+IF('(AS-400 Jembatan)'!AP90=0," ",'(AS-400 Jembatan)'!AP90+'(AS-400 Transfer)'!$BF90)</f>
        <v>#REF!</v>
      </c>
      <c r="AY90" s="474" t="e">
        <f>+IF('(AS-400 Jembatan)'!AQ90=0," ",'(AS-400 Jembatan)'!AQ90+'(AS-400 Transfer)'!$BF90)</f>
        <v>#REF!</v>
      </c>
      <c r="AZ90" s="474" t="e">
        <f>+IF('(AS-400 Jembatan)'!AR90=0," ",'(AS-400 Jembatan)'!AR90+'(AS-400 Transfer)'!$BF90)</f>
        <v>#REF!</v>
      </c>
      <c r="BA90" s="474" t="e">
        <f>SUM(AV90:AZ90)</f>
        <v>#REF!</v>
      </c>
      <c r="BB90" s="474" t="e">
        <f>+GUM!Z96</f>
        <v>#REF!</v>
      </c>
      <c r="BC90" s="474" t="e">
        <f>(BB90-BA90)/BD90</f>
        <v>#REF!</v>
      </c>
      <c r="BD90" s="478">
        <f>+COUNT(AV90:AZ90)</f>
        <v>0</v>
      </c>
      <c r="BE90" s="478" t="e">
        <f>+IF(BC90&lt;0,(ROUNDDOWN(BC90,0)),(ROUNDUP(BC90,0)))</f>
        <v>#REF!</v>
      </c>
      <c r="BF90" s="488" t="e">
        <v>#DIV/0!</v>
      </c>
      <c r="BG90" s="482" t="e">
        <f>+IF('(AS-400 Jembatan)'!AW90=0," ",'(AS-400 Jembatan)'!AW90+'(AS-400 Transfer)'!$BQ90)</f>
        <v>#REF!</v>
      </c>
      <c r="BH90" s="474" t="e">
        <f>+IF('(AS-400 Jembatan)'!AX90=0," ",'(AS-400 Jembatan)'!AX90+'(AS-400 Transfer)'!$BQ90)</f>
        <v>#REF!</v>
      </c>
      <c r="BI90" s="483" t="e">
        <f>+IF('(AS-400 Jembatan)'!AY90=0," ",'(AS-400 Jembatan)'!AY90+'(AS-400 Transfer)'!$BQ90)</f>
        <v>#REF!</v>
      </c>
      <c r="BJ90" s="474" t="e">
        <f>+IF('(AS-400 Jembatan)'!AZ90=0," ",'(AS-400 Jembatan)'!AZ90+'(AS-400 Transfer)'!$BQ90)</f>
        <v>#REF!</v>
      </c>
      <c r="BK90" s="474" t="str">
        <f>+IF('(AS-400 Jembatan)'!BA90=0," ",'(AS-400 Jembatan)'!BA90+'(AS-400 Transfer)'!$BQ90)</f>
        <v> </v>
      </c>
      <c r="BL90" s="474" t="e">
        <f>SUM(BG90:BK90)</f>
        <v>#REF!</v>
      </c>
      <c r="BM90" s="474" t="e">
        <f>+'(AS-400 Jembatan)'!BC90</f>
        <v>#REF!</v>
      </c>
      <c r="BN90" s="474" t="e">
        <f>(BM90-BL90)/BO90</f>
        <v>#REF!</v>
      </c>
      <c r="BO90" s="478">
        <f>+COUNT(BG90:BK90)</f>
        <v>0</v>
      </c>
      <c r="BP90" s="478" t="e">
        <f>+IF(BN90&lt;0,(ROUNDDOWN(BN90,0)),(ROUNDUP(BN90,0)))</f>
        <v>#REF!</v>
      </c>
      <c r="BQ90" s="488" t="e">
        <v>#DIV/0!</v>
      </c>
    </row>
    <row r="91" spans="1:142" customHeight="1" ht="15.75" s="473" customFormat="1">
      <c r="A91" s="1298"/>
      <c r="B91" s="936" t="str">
        <f>+GUM!C97</f>
        <v>82115-0EZ90 B</v>
      </c>
      <c r="C91" s="941" t="str">
        <f>'(AS-400 Jembatan)'!C91</f>
        <v>B 1001</v>
      </c>
      <c r="D91" s="693" t="str">
        <f>+IF('(AS-400 Jembatan)'!D91=0," ",'(AS-400 Jembatan)'!D$14+'(AS-400 Transfer)'!$N91)</f>
        <v> </v>
      </c>
      <c r="E91" s="694" t="str">
        <f>+IF('(AS-400 Jembatan)'!E91=0," ",'(AS-400 Jembatan)'!E$14+'(AS-400 Transfer)'!$N91)</f>
        <v> </v>
      </c>
      <c r="F91" s="694" t="str">
        <f>+IF('(AS-400 Jembatan)'!F91=0," ",'(AS-400 Jembatan)'!F$14+'(AS-400 Transfer)'!$N91)</f>
        <v> </v>
      </c>
      <c r="G91" s="694" t="str">
        <f>+IF('(AS-400 Jembatan)'!G91=0," ",'(AS-400 Jembatan)'!G$14+'(AS-400 Transfer)'!$N91)</f>
        <v> </v>
      </c>
      <c r="H91" s="694" t="str">
        <f>+IF('(AS-400 Jembatan)'!H91=0," ",'(AS-400 Jembatan)'!H$14+'(AS-400 Transfer)'!$N91)</f>
        <v> </v>
      </c>
      <c r="I91" s="694">
        <f>SUM(D91:H91)</f>
        <v>0</v>
      </c>
      <c r="J91" s="695">
        <f>+'(AS-400 Jembatan)'!J91</f>
        <v/>
      </c>
      <c r="K91" s="695" t="e">
        <f>(J91-I91)/L91</f>
        <v>#DIV/0!</v>
      </c>
      <c r="L91" s="555">
        <f>+COUNT(D91:D91)</f>
        <v>0</v>
      </c>
      <c r="M91" s="555" t="e">
        <f>+IF(K91&lt;0,(ROUNDDOWN(K91,0)),(ROUNDUP(K91,0)))</f>
        <v>#DIV/0!</v>
      </c>
      <c r="N91" s="555">
        <v>0.0</v>
      </c>
      <c r="O91" s="696" t="e">
        <f>+IF('(AS-400 Jembatan)'!M91=0," ",'(AS-400 Jembatan)'!M91+'(AS-400 Transfer)'!$Y91)</f>
        <v>#REF!</v>
      </c>
      <c r="P91" s="694" t="e">
        <f>+IF('(AS-400 Jembatan)'!N91=0," ",'(AS-400 Jembatan)'!N91+'(AS-400 Transfer)'!$Y91)</f>
        <v>#REF!</v>
      </c>
      <c r="Q91" s="697" t="e">
        <f>+IF('(AS-400 Jembatan)'!O91=0," ",'(AS-400 Jembatan)'!O91+'(AS-400 Transfer)'!$Y91)</f>
        <v>#REF!</v>
      </c>
      <c r="R91" s="694" t="e">
        <f>+IF('(AS-400 Jembatan)'!P91=0," ",'(AS-400 Jembatan)'!P91+'(AS-400 Transfer)'!$Y91)</f>
        <v>#REF!</v>
      </c>
      <c r="S91" s="694" t="e">
        <f>+IF('(AS-400 Jembatan)'!Q91=0," ",'(AS-400 Jembatan)'!Q91+'(AS-400 Transfer)'!$Y91)</f>
        <v>#REF!</v>
      </c>
      <c r="T91" s="694" t="e">
        <f>SUM(O91:S91)</f>
        <v>#REF!</v>
      </c>
      <c r="U91" s="694" t="e">
        <f>+'(AS-400 Jembatan)'!S91</f>
        <v>#REF!</v>
      </c>
      <c r="V91" s="694" t="e">
        <f>(U91-T91)/W91</f>
        <v>#REF!</v>
      </c>
      <c r="W91" s="555">
        <f>+COUNT(O91:S91)</f>
        <v>0</v>
      </c>
      <c r="X91" s="555" t="e">
        <f>+IF(V91&lt;0,(ROUNDDOWN(V91,0)),(ROUNDUP(V91,0)))</f>
        <v>#REF!</v>
      </c>
      <c r="Y91" s="698" t="e">
        <v>#DIV/0!</v>
      </c>
      <c r="Z91" s="696" t="e">
        <f>+IF('(AS-400 Jembatan)'!V91=0," ",'(AS-400 Jembatan)'!V91+'(AS-400 Transfer)'!$AJ91)</f>
        <v>#REF!</v>
      </c>
      <c r="AA91" s="494" t="e">
        <f>+IF('(AS-400 Jembatan)'!W91=0," ",'(AS-400 Jembatan)'!W91+'(AS-400 Transfer)'!$AJ91)</f>
        <v>#REF!</v>
      </c>
      <c r="AB91" s="697" t="e">
        <f>+IF('(AS-400 Jembatan)'!X91=0," ",'(AS-400 Jembatan)'!X91+'(AS-400 Transfer)'!$AJ91)</f>
        <v>#REF!</v>
      </c>
      <c r="AC91" s="694" t="e">
        <f>+IF('(AS-400 Jembatan)'!Y91=0," ",'(AS-400 Jembatan)'!Y91+'(AS-400 Transfer)'!$AJ91)</f>
        <v>#REF!</v>
      </c>
      <c r="AD91" s="694" t="str">
        <f>+IF('(AS-400 Jembatan)'!Z91=0," ",'(AS-400 Jembatan)'!Z91+'(AS-400 Transfer)'!$AJ91)</f>
        <v> </v>
      </c>
      <c r="AE91" s="694" t="e">
        <f>SUM(Z91:AD91)</f>
        <v>#REF!</v>
      </c>
      <c r="AF91" s="694" t="e">
        <f>+'(AS-400 Jembatan)'!AB91</f>
        <v>#REF!</v>
      </c>
      <c r="AG91" s="694" t="e">
        <f>(AF91-AE91)/AH91</f>
        <v>#REF!</v>
      </c>
      <c r="AH91" s="555">
        <f>+COUNT(Z91:AD91)</f>
        <v>0</v>
      </c>
      <c r="AI91" s="695" t="e">
        <f>+IF(AG91&lt;0,(ROUNDDOWN(AG91,0)),(ROUNDUP(AG91,0)))</f>
        <v>#REF!</v>
      </c>
      <c r="AJ91" s="701" t="e">
        <v>#DIV/0!</v>
      </c>
      <c r="AK91" s="696" t="e">
        <f>+IF('(AS-400 Jembatan)'!AE91=0," ",'(AS-400 Jembatan)'!AE91+'(AS-400 Transfer)'!$AU91)</f>
        <v>#REF!</v>
      </c>
      <c r="AL91" s="694" t="e">
        <f>+IF('(AS-400 Jembatan)'!AF91=0," ",'(AS-400 Jembatan)'!AF91+'(AS-400 Transfer)'!$AU91)</f>
        <v>#REF!</v>
      </c>
      <c r="AM91" s="697" t="e">
        <f>+IF('(AS-400 Jembatan)'!AG91=0," ",'(AS-400 Jembatan)'!AG91+'(AS-400 Transfer)'!$AU91)</f>
        <v>#REF!</v>
      </c>
      <c r="AN91" s="694" t="e">
        <f>+IF('(AS-400 Jembatan)'!AH91=0," ",'(AS-400 Jembatan)'!AH91+'(AS-400 Transfer)'!$AU91)</f>
        <v>#REF!</v>
      </c>
      <c r="AO91" s="694" t="str">
        <f>+IF('(AS-400 Jembatan)'!AI91=0," ",'(AS-400 Jembatan)'!AI91+'(AS-400 Transfer)'!$AU91)</f>
        <v> </v>
      </c>
      <c r="AP91" s="694" t="e">
        <f>SUM(AK91:AO91)</f>
        <v>#REF!</v>
      </c>
      <c r="AQ91" s="694" t="e">
        <f>+'(AS-400 Jembatan)'!AK91</f>
        <v>#REF!</v>
      </c>
      <c r="AR91" s="694" t="e">
        <f>(AQ91-AP91)/AS91</f>
        <v>#REF!</v>
      </c>
      <c r="AS91" s="555">
        <f>+COUNT(AK91:AO91)</f>
        <v>0</v>
      </c>
      <c r="AT91" s="555" t="e">
        <f>+IF(AR91&lt;0,(ROUNDDOWN(AR91,0)),(ROUNDUP(AR91,0)))</f>
        <v>#REF!</v>
      </c>
      <c r="AU91" s="555" t="e">
        <v>#DIV/0!</v>
      </c>
      <c r="AV91" s="696" t="e">
        <f>+IF('(AS-400 Jembatan)'!AN91=0," ",'(AS-400 Jembatan)'!AN91+'(AS-400 Transfer)'!$BF91)</f>
        <v>#REF!</v>
      </c>
      <c r="AW91" s="694" t="e">
        <f>+IF('(AS-400 Jembatan)'!AO91=0," ",'(AS-400 Jembatan)'!AO91+'(AS-400 Transfer)'!$BF91)</f>
        <v>#REF!</v>
      </c>
      <c r="AX91" s="697" t="e">
        <f>+IF('(AS-400 Jembatan)'!AP91=0," ",'(AS-400 Jembatan)'!AP91+'(AS-400 Transfer)'!$BF91)</f>
        <v>#REF!</v>
      </c>
      <c r="AY91" s="694" t="e">
        <f>+IF('(AS-400 Jembatan)'!AQ91=0," ",'(AS-400 Jembatan)'!AQ91+'(AS-400 Transfer)'!$BF91)</f>
        <v>#REF!</v>
      </c>
      <c r="AZ91" s="694" t="e">
        <f>+IF('(AS-400 Jembatan)'!AR91=0," ",'(AS-400 Jembatan)'!AR91+'(AS-400 Transfer)'!$BF91)</f>
        <v>#REF!</v>
      </c>
      <c r="BA91" s="694" t="e">
        <f>SUM(AV91:AZ91)</f>
        <v>#REF!</v>
      </c>
      <c r="BB91" s="694" t="e">
        <f>+GUM!Z97</f>
        <v>#REF!</v>
      </c>
      <c r="BC91" s="694" t="e">
        <f>(BB91-BA91)/BD91</f>
        <v>#REF!</v>
      </c>
      <c r="BD91" s="555">
        <f>+COUNT(AV91:AZ91)</f>
        <v>0</v>
      </c>
      <c r="BE91" s="555" t="e">
        <f>+IF(BC91&lt;0,(ROUNDDOWN(BC91,0)),(ROUNDUP(BC91,0)))</f>
        <v>#REF!</v>
      </c>
      <c r="BF91" s="698" t="e">
        <v>#DIV/0!</v>
      </c>
      <c r="BG91" s="696" t="e">
        <f>+IF('(AS-400 Jembatan)'!AW91=0," ",'(AS-400 Jembatan)'!AW91+'(AS-400 Transfer)'!$BQ91)</f>
        <v>#REF!</v>
      </c>
      <c r="BH91" s="694" t="e">
        <f>+IF('(AS-400 Jembatan)'!AX91=0," ",'(AS-400 Jembatan)'!AX91+'(AS-400 Transfer)'!$BQ91)</f>
        <v>#REF!</v>
      </c>
      <c r="BI91" s="697" t="e">
        <f>+IF('(AS-400 Jembatan)'!AY91=0," ",'(AS-400 Jembatan)'!AY91+'(AS-400 Transfer)'!$BQ91)</f>
        <v>#REF!</v>
      </c>
      <c r="BJ91" s="694" t="e">
        <f>+IF('(AS-400 Jembatan)'!AZ91=0," ",'(AS-400 Jembatan)'!AZ91+'(AS-400 Transfer)'!$BQ91)</f>
        <v>#REF!</v>
      </c>
      <c r="BK91" s="694" t="str">
        <f>+IF('(AS-400 Jembatan)'!BA91=0," ",'(AS-400 Jembatan)'!BA91+'(AS-400 Transfer)'!$BQ91)</f>
        <v> </v>
      </c>
      <c r="BL91" s="694" t="e">
        <f>SUM(BG91:BK91)</f>
        <v>#REF!</v>
      </c>
      <c r="BM91" s="694" t="e">
        <f>+'(AS-400 Jembatan)'!BC91</f>
        <v>#REF!</v>
      </c>
      <c r="BN91" s="694" t="e">
        <f>(BM91-BL91)/BO91</f>
        <v>#REF!</v>
      </c>
      <c r="BO91" s="555">
        <f>+COUNT(BG91:BK91)</f>
        <v>0</v>
      </c>
      <c r="BP91" s="555" t="e">
        <f>+IF(BN91&lt;0,(ROUNDDOWN(BN91,0)),(ROUNDUP(BN91,0)))</f>
        <v>#REF!</v>
      </c>
      <c r="BQ91" s="698" t="e">
        <v>#DIV/0!</v>
      </c>
    </row>
    <row r="92" spans="1:142" customHeight="1" ht="13.15" s="83" customFormat="1">
      <c r="A92" s="471"/>
      <c r="B92" s="471" t="s">
        <v>340</v>
      </c>
      <c r="C92" s="471"/>
      <c r="D92" s="471" t="e">
        <f>SUM(D8:D50)</f>
        <v>#REF!</v>
      </c>
      <c r="E92" s="471" t="e">
        <f>SUM(E8:E50)</f>
        <v>#REF!</v>
      </c>
      <c r="F92" s="471" t="e">
        <f>SUM(F8:F50)</f>
        <v>#REF!</v>
      </c>
      <c r="G92" s="471" t="e">
        <f>SUM(G8:G50)</f>
        <v>#REF!</v>
      </c>
      <c r="H92" s="471">
        <f>SUM(H8:H50)</f>
        <v>0</v>
      </c>
      <c r="I92" s="471" t="e">
        <f>SUM(I8:I50)</f>
        <v>#REF!</v>
      </c>
      <c r="J92" s="471" t="e">
        <f>SUM(J8:J50)</f>
        <v>#REF!</v>
      </c>
      <c r="K92" s="471" t="e">
        <f>SUM(K8:K50)</f>
        <v>#DIV/0!</v>
      </c>
      <c r="L92" s="471"/>
      <c r="M92" s="471"/>
      <c r="N92" s="471" t="e">
        <f>SUM(N8:N50)</f>
        <v>#DIV/0!</v>
      </c>
      <c r="O92" s="471" t="e">
        <f>SUM(O8:O91)</f>
        <v>#REF!</v>
      </c>
      <c r="P92" s="471" t="e">
        <f>SUM(P8:P91)</f>
        <v>#REF!</v>
      </c>
      <c r="Q92" s="471" t="e">
        <f>SUM(Q8:Q91)</f>
        <v>#REF!</v>
      </c>
      <c r="R92" s="471" t="e">
        <f>SUM(R8:R91)</f>
        <v>#REF!</v>
      </c>
      <c r="S92" s="471" t="e">
        <f>SUM(S8:S91)</f>
        <v>#REF!</v>
      </c>
      <c r="T92" s="471" t="e">
        <f>SUM(T8:T91)</f>
        <v>#REF!</v>
      </c>
      <c r="U92" s="471" t="e">
        <f>SUM(U8:U91)</f>
        <v>#REF!</v>
      </c>
      <c r="V92" s="471" t="e">
        <f>SUM(V8:V91)</f>
        <v>#DIV/0!</v>
      </c>
      <c r="W92" s="471">
        <f>SUM(W8:W91)</f>
        <v>0</v>
      </c>
      <c r="X92" s="471" t="e">
        <f>SUM(X8:X91)</f>
        <v>#DIV/0!</v>
      </c>
      <c r="Y92" s="471" t="e">
        <f>SUM(Y8:Y91)</f>
        <v>#DIV/0!</v>
      </c>
      <c r="Z92" s="471" t="e">
        <f>SUM(Z8:Z91)</f>
        <v>#REF!</v>
      </c>
      <c r="AA92" s="471" t="e">
        <f>SUM(AA8:AA91)</f>
        <v>#REF!</v>
      </c>
      <c r="AB92" s="471" t="e">
        <f>SUM(AB8:AB91)</f>
        <v>#REF!</v>
      </c>
      <c r="AC92" s="471" t="e">
        <f>SUM(AC8:AC91)</f>
        <v>#REF!</v>
      </c>
      <c r="AD92" s="471">
        <f>SUM(AD8:AD91)</f>
        <v>0</v>
      </c>
      <c r="AE92" s="471" t="e">
        <f>SUM(AE8:AE91)</f>
        <v>#REF!</v>
      </c>
      <c r="AF92" s="471" t="e">
        <f>SUM(AF8:AF91)</f>
        <v>#REF!</v>
      </c>
      <c r="AG92" s="471" t="e">
        <f>SUM(AG8:AG91)</f>
        <v>#DIV/0!</v>
      </c>
      <c r="AH92" s="471">
        <f>SUM(AH8:AH91)</f>
        <v>0</v>
      </c>
      <c r="AI92" s="471" t="e">
        <f>SUM(AI8:AI91)</f>
        <v>#DIV/0!</v>
      </c>
      <c r="AJ92" s="471" t="e">
        <f>SUM(AJ8:AJ91)</f>
        <v>#DIV/0!</v>
      </c>
      <c r="AK92" s="471" t="e">
        <f>SUM(AK8:AK91)</f>
        <v>#REF!</v>
      </c>
      <c r="AL92" s="471" t="e">
        <f>SUM(AL8:AL91)</f>
        <v>#REF!</v>
      </c>
      <c r="AM92" s="471" t="e">
        <f>SUM(AM8:AM91)</f>
        <v>#REF!</v>
      </c>
      <c r="AN92" s="471" t="e">
        <f>SUM(AN8:AN91)</f>
        <v>#REF!</v>
      </c>
      <c r="AO92" s="471">
        <f>SUM(AO8:AO91)</f>
        <v>0</v>
      </c>
      <c r="AP92" s="471" t="e">
        <f>SUM(AP8:AP91)</f>
        <v>#REF!</v>
      </c>
      <c r="AQ92" s="471" t="e">
        <f>SUM(AQ8:AQ91)</f>
        <v>#REF!</v>
      </c>
      <c r="AR92" s="471" t="e">
        <f>SUM(AR8:AR91)</f>
        <v>#DIV/0!</v>
      </c>
      <c r="AS92" s="471">
        <f>SUM(AS8:AS91)</f>
        <v>0</v>
      </c>
      <c r="AT92" s="471" t="e">
        <f>SUM(AT8:AT91)</f>
        <v>#DIV/0!</v>
      </c>
      <c r="AU92" s="471" t="e">
        <f>SUM(AU8:AU91)</f>
        <v>#DIV/0!</v>
      </c>
      <c r="AV92" s="471" t="e">
        <f>SUM(AV8:AV91)</f>
        <v>#REF!</v>
      </c>
      <c r="AW92" s="471" t="e">
        <f>SUM(AW8:AW91)</f>
        <v>#REF!</v>
      </c>
      <c r="AX92" s="471" t="e">
        <f>SUM(AX8:AX91)</f>
        <v>#REF!</v>
      </c>
      <c r="AY92" s="471" t="e">
        <f>SUM(AY8:AY91)</f>
        <v>#REF!</v>
      </c>
      <c r="AZ92" s="471" t="e">
        <f>SUM(AZ8:AZ91)</f>
        <v>#REF!</v>
      </c>
      <c r="BA92" s="471" t="e">
        <f>SUM(BA8:BA91)</f>
        <v>#REF!</v>
      </c>
      <c r="BB92" s="471" t="e">
        <f>SUM(BB8:BB91)</f>
        <v>#REF!</v>
      </c>
      <c r="BC92" s="471" t="e">
        <f>SUM(BC8:BC91)</f>
        <v>#DIV/0!</v>
      </c>
      <c r="BD92" s="471">
        <f>SUM(BD8:BD91)</f>
        <v>0</v>
      </c>
      <c r="BE92" s="471" t="e">
        <f>SUM(BE8:BE91)</f>
        <v>#DIV/0!</v>
      </c>
      <c r="BF92" s="471" t="e">
        <f>SUM(BF8:BF91)</f>
        <v>#DIV/0!</v>
      </c>
      <c r="BG92" s="471" t="e">
        <f>SUM(BG8:BG91)</f>
        <v>#REF!</v>
      </c>
      <c r="BH92" s="471" t="e">
        <f>SUM(BH8:BH91)</f>
        <v>#REF!</v>
      </c>
      <c r="BI92" s="471" t="e">
        <f>SUM(BI8:BI91)</f>
        <v>#REF!</v>
      </c>
      <c r="BJ92" s="471" t="e">
        <f>SUM(BJ8:BJ91)</f>
        <v>#REF!</v>
      </c>
      <c r="BK92" s="471">
        <f>SUM(BK8:BK91)</f>
        <v>0</v>
      </c>
      <c r="BL92" s="471" t="e">
        <f>SUM(BL8:BL91)</f>
        <v>#REF!</v>
      </c>
      <c r="BM92" s="471" t="e">
        <f>SUM(BM8:BM91)</f>
        <v>#REF!</v>
      </c>
      <c r="BN92" s="471" t="e">
        <f>SUM(BN8:BN91)</f>
        <v>#DIV/0!</v>
      </c>
      <c r="BO92" s="471">
        <f>SUM(BO8:BO91)</f>
        <v>0</v>
      </c>
      <c r="BP92" s="471" t="e">
        <f>SUM(BP8:BP91)</f>
        <v>#DIV/0!</v>
      </c>
      <c r="BQ92" s="471" t="e">
        <f>SUM(BQ8:BQ91)</f>
        <v>#DIV/0!</v>
      </c>
      <c r="BR92" s="485"/>
      <c r="BS92" s="485"/>
      <c r="BT92" s="485"/>
      <c r="BU92" s="485"/>
      <c r="BV92" s="485"/>
      <c r="BW92" s="485"/>
      <c r="BX92" s="485"/>
      <c r="BY92" s="485"/>
      <c r="BZ92" s="485"/>
      <c r="CA92" s="485"/>
      <c r="CB92" s="485"/>
      <c r="CC92" s="485"/>
      <c r="CD92" s="485"/>
      <c r="CE92" s="485"/>
      <c r="CF92" s="485"/>
      <c r="CG92" s="485"/>
      <c r="CH92" s="485"/>
      <c r="CI92" s="485"/>
      <c r="CJ92" s="485"/>
      <c r="CK92" s="485"/>
      <c r="CL92" s="485"/>
      <c r="CM92" s="485"/>
      <c r="CN92" s="485"/>
      <c r="CO92" s="485"/>
      <c r="CP92" s="485"/>
      <c r="CQ92" s="485"/>
      <c r="CR92" s="485"/>
      <c r="CS92" s="485"/>
      <c r="CT92" s="485"/>
      <c r="CU92" s="485"/>
      <c r="CV92" s="485"/>
      <c r="CW92" s="485"/>
      <c r="CX92" s="485"/>
      <c r="CY92" s="485"/>
      <c r="CZ92" s="485"/>
      <c r="DA92" s="485"/>
      <c r="DB92" s="485"/>
      <c r="DC92" s="485"/>
      <c r="DD92" s="485"/>
      <c r="DE92" s="485"/>
      <c r="DF92" s="485"/>
      <c r="DG92" s="485"/>
      <c r="DH92" s="485"/>
      <c r="DI92" s="485"/>
      <c r="DJ92" s="485"/>
      <c r="DK92" s="485"/>
      <c r="DL92" s="485"/>
      <c r="DM92" s="485"/>
      <c r="DN92" s="485"/>
      <c r="DO92" s="485"/>
      <c r="DP92" s="485"/>
      <c r="DQ92" s="485"/>
      <c r="DR92" s="485"/>
      <c r="DS92" s="485"/>
      <c r="DT92" s="485"/>
      <c r="DU92" s="485"/>
      <c r="DV92" s="485"/>
      <c r="DW92" s="485"/>
      <c r="DX92" s="485"/>
      <c r="DY92" s="485"/>
      <c r="DZ92" s="485"/>
      <c r="EA92" s="485"/>
      <c r="EB92" s="485"/>
      <c r="EC92" s="485"/>
      <c r="ED92" s="485"/>
      <c r="EE92" s="485"/>
      <c r="EF92" s="485"/>
      <c r="EG92" s="485"/>
      <c r="EH92" s="485"/>
      <c r="EI92" s="485"/>
      <c r="EJ92" s="485"/>
      <c r="EK92" s="485"/>
    </row>
    <row r="93" spans="1:142" customHeight="1" ht="13.15">
      <c r="B93" s="471" t="s">
        <v>341</v>
      </c>
      <c r="D93" s="471" t="e">
        <v>#REF!</v>
      </c>
      <c r="E93" s="471" t="e">
        <v>#REF!</v>
      </c>
      <c r="F93" s="471" t="e">
        <v>#REF!</v>
      </c>
      <c r="G93" s="471" t="e">
        <v>#REF!</v>
      </c>
      <c r="H93" s="471" t="e">
        <v>#REF!</v>
      </c>
      <c r="I93" s="471" t="e">
        <v>#REF!</v>
      </c>
      <c r="J93" s="471" t="e">
        <v>#REF!</v>
      </c>
      <c r="K93" s="471" t="e">
        <v>#REF!</v>
      </c>
      <c r="L93" s="471"/>
      <c r="M93" s="471"/>
      <c r="O93" s="471"/>
      <c r="P93" s="471"/>
      <c r="Q93" s="471"/>
      <c r="R93" s="471"/>
      <c r="S93" s="471"/>
      <c r="T93" s="471"/>
      <c r="U93" s="471"/>
      <c r="V93" s="471"/>
      <c r="W93" s="471"/>
      <c r="X93" s="471"/>
      <c r="Y93" s="471"/>
      <c r="Z93" s="471"/>
      <c r="AA93" s="471"/>
      <c r="AB93" s="471"/>
      <c r="AC93" s="471"/>
      <c r="AD93" s="471"/>
      <c r="AE93" s="471"/>
      <c r="AF93" s="471"/>
      <c r="AG93" s="471"/>
      <c r="AH93" s="471"/>
      <c r="AI93" s="471"/>
      <c r="AJ93" s="471"/>
      <c r="AK93" s="471"/>
      <c r="AL93" s="471"/>
      <c r="AM93" s="471"/>
      <c r="AN93" s="471"/>
      <c r="AO93" s="471"/>
      <c r="AP93" s="471"/>
      <c r="AQ93" s="471"/>
      <c r="AR93" s="471"/>
      <c r="AS93" s="471"/>
      <c r="AT93" s="471"/>
      <c r="AU93" s="471"/>
      <c r="AV93" s="471"/>
      <c r="AW93" s="471"/>
      <c r="AX93" s="471"/>
      <c r="AY93" s="471"/>
      <c r="AZ93" s="471"/>
      <c r="BA93" s="471"/>
      <c r="BB93" s="471"/>
      <c r="BC93" s="471"/>
      <c r="BD93" s="471"/>
      <c r="BE93" s="471"/>
      <c r="BF93" s="471"/>
      <c r="BG93" s="471"/>
      <c r="BH93" s="471"/>
      <c r="BI93" s="471"/>
      <c r="BJ93" s="471"/>
      <c r="BK93" s="471"/>
      <c r="BL93" s="471"/>
      <c r="BM93" s="471"/>
      <c r="BN93" s="471"/>
      <c r="BO93" s="471"/>
      <c r="BP93" s="471"/>
      <c r="BQ93" s="471"/>
    </row>
    <row r="94" spans="1:142" customHeight="1" ht="15">
      <c r="T94" s="498"/>
      <c r="U94" s="498"/>
      <c r="AE94" s="498"/>
      <c r="AF94" s="498"/>
      <c r="AP94" s="498"/>
      <c r="AQ94" s="498"/>
      <c r="BA94" s="498"/>
      <c r="BB94" s="498"/>
      <c r="BL94" s="498"/>
      <c r="BM94" s="498"/>
    </row>
    <row r="96" spans="1:142" customHeight="1" ht="12.75">
      <c r="O96" s="492"/>
      <c r="P96" s="492"/>
      <c r="Q96" s="492"/>
      <c r="R96" s="492"/>
      <c r="S96" s="492"/>
      <c r="T96" s="492"/>
      <c r="U96" s="492"/>
      <c r="V96" s="492"/>
      <c r="W96" s="492"/>
      <c r="X96" s="492"/>
      <c r="Y96" s="492"/>
      <c r="Z96" s="492"/>
      <c r="AA96" s="492"/>
      <c r="AB96" s="492"/>
      <c r="AC96" s="492"/>
      <c r="AD96" s="492"/>
      <c r="AE96" s="492"/>
      <c r="AF96" s="492"/>
      <c r="AG96" s="492"/>
      <c r="AH96" s="492"/>
      <c r="AI96" s="492"/>
      <c r="AJ96" s="492"/>
      <c r="AK96" s="492"/>
      <c r="AL96" s="492"/>
      <c r="AM96" s="492"/>
      <c r="AN96" s="492"/>
      <c r="AO96" s="492"/>
      <c r="AP96" s="492"/>
      <c r="AQ96" s="492"/>
      <c r="AR96" s="492"/>
      <c r="AS96" s="492"/>
      <c r="AT96" s="492"/>
      <c r="AU96" s="492"/>
      <c r="AV96" s="492"/>
      <c r="AW96" s="492"/>
      <c r="AX96" s="492"/>
      <c r="AY96" s="492"/>
      <c r="AZ96" s="492"/>
      <c r="BA96" s="492"/>
      <c r="BB96" s="492"/>
      <c r="BC96" s="492"/>
      <c r="BD96" s="492"/>
      <c r="BE96" s="492"/>
      <c r="BF96" s="492"/>
      <c r="BG96" s="492"/>
      <c r="BH96" s="492"/>
      <c r="BI96" s="492"/>
      <c r="BJ96" s="492"/>
      <c r="BK96" s="492"/>
      <c r="BL96" s="492"/>
      <c r="BM96" s="492"/>
      <c r="BN96" s="492"/>
      <c r="BO96" s="492"/>
      <c r="BP96" s="492"/>
      <c r="BQ96" s="492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C5:C7"/>
    <mergeCell ref="D5:N6"/>
    <mergeCell ref="A38:A58"/>
    <mergeCell ref="A59:A91"/>
    <mergeCell ref="A8:A37"/>
    <mergeCell ref="O5:Y6"/>
    <mergeCell ref="BG5:BQ6"/>
    <mergeCell ref="AV5:BF6"/>
    <mergeCell ref="Z5:AJ6"/>
    <mergeCell ref="AK5:AU6"/>
    <mergeCell ref="A5:A7"/>
    <mergeCell ref="B5:B7"/>
  </mergeCells>
  <conditionalFormatting sqref="C22:IV22">
    <cfRule type="cellIs" dxfId="1" priority="1" operator="lessThan">
      <formula>0</formula>
    </cfRule>
    <cfRule type="cellIs" dxfId="1" priority="2" operator="lessThan">
      <formula>0</formula>
    </cfRule>
  </conditionalFormatting>
  <conditionalFormatting sqref="D50:IV50">
    <cfRule type="cellIs" dxfId="1" priority="3" operator="lessThan">
      <formula>0</formula>
    </cfRule>
    <cfRule type="cellIs" dxfId="1" priority="4" operator="lessThan">
      <formula>0</formula>
    </cfRule>
  </conditionalFormatting>
  <conditionalFormatting sqref="C38:IV43">
    <cfRule type="cellIs" dxfId="1" priority="5" operator="lessThan">
      <formula>0</formula>
    </cfRule>
    <cfRule type="cellIs" dxfId="1" priority="6" operator="lessThan">
      <formula>0</formula>
    </cfRule>
  </conditionalFormatting>
  <conditionalFormatting sqref="C8:IV14">
    <cfRule type="cellIs" dxfId="1" priority="7" operator="lessThan">
      <formula>0</formula>
    </cfRule>
  </conditionalFormatting>
  <conditionalFormatting sqref="A38">
    <cfRule type="cellIs" dxfId="1" priority="8" operator="lessThan">
      <formula>0</formula>
    </cfRule>
  </conditionalFormatting>
  <conditionalFormatting sqref="B8:R12">
    <cfRule type="cellIs" dxfId="1" priority="9" operator="lessThan">
      <formula>0</formula>
    </cfRule>
  </conditionalFormatting>
  <conditionalFormatting sqref="S8:IV14">
    <cfRule type="cellIs" dxfId="1" priority="10" operator="lessThan">
      <formula>0</formula>
    </cfRule>
    <cfRule type="cellIs" dxfId="1" priority="11" operator="lessThan">
      <formula>0</formula>
    </cfRule>
  </conditionalFormatting>
  <conditionalFormatting sqref="C13:R14">
    <cfRule type="cellIs" dxfId="1" priority="12" operator="lessThan">
      <formula>0</formula>
    </cfRule>
    <cfRule type="cellIs" dxfId="1" priority="13" operator="lessThan">
      <formula>0</formula>
    </cfRule>
  </conditionalFormatting>
  <conditionalFormatting sqref="C15:IV17">
    <cfRule type="cellIs" dxfId="1" priority="14" operator="lessThan">
      <formula>0</formula>
    </cfRule>
    <cfRule type="cellIs" dxfId="1" priority="15" operator="lessThan">
      <formula>0</formula>
    </cfRule>
  </conditionalFormatting>
  <conditionalFormatting sqref="C19:IV21">
    <cfRule type="cellIs" dxfId="1" priority="16" operator="lessThan">
      <formula>0</formula>
    </cfRule>
    <cfRule type="cellIs" dxfId="1" priority="17" operator="lessThan">
      <formula>0</formula>
    </cfRule>
  </conditionalFormatting>
  <conditionalFormatting sqref="C18:IV18">
    <cfRule type="cellIs" dxfId="1" priority="18" operator="lessThan">
      <formula>0</formula>
    </cfRule>
    <cfRule type="cellIs" dxfId="1" priority="19" operator="lessThan">
      <formula>0</formula>
    </cfRule>
  </conditionalFormatting>
  <conditionalFormatting sqref="D48:IV49">
    <cfRule type="cellIs" dxfId="1" priority="20" operator="lessThan">
      <formula>0</formula>
    </cfRule>
    <cfRule type="cellIs" dxfId="1" priority="21" operator="lessThan">
      <formula>0</formula>
    </cfRule>
  </conditionalFormatting>
  <conditionalFormatting sqref="C44:IV46">
    <cfRule type="cellIs" dxfId="1" priority="22" operator="lessThan">
      <formula>0</formula>
    </cfRule>
    <cfRule type="cellIs" dxfId="1" priority="23" operator="lessThan">
      <formula>0</formula>
    </cfRule>
  </conditionalFormatting>
  <conditionalFormatting sqref="D47:IV47">
    <cfRule type="cellIs" dxfId="1" priority="24" operator="lessThan">
      <formula>0</formula>
    </cfRule>
    <cfRule type="cellIs" dxfId="1" priority="25" operator="lessThan">
      <formula>0</formula>
    </cfRule>
  </conditionalFormatting>
  <conditionalFormatting sqref="C37:IV37">
    <cfRule type="cellIs" dxfId="1" priority="26" operator="lessThan">
      <formula>0</formula>
    </cfRule>
    <cfRule type="cellIs" dxfId="1" priority="27" operator="lessThan">
      <formula>0</formula>
    </cfRule>
  </conditionalFormatting>
  <conditionalFormatting sqref="C23:IV29">
    <cfRule type="cellIs" dxfId="1" priority="28" operator="lessThan">
      <formula>0</formula>
    </cfRule>
    <cfRule type="cellIs" dxfId="1" priority="29" operator="lessThan">
      <formula>0</formula>
    </cfRule>
  </conditionalFormatting>
  <conditionalFormatting sqref="C30:IV32">
    <cfRule type="cellIs" dxfId="1" priority="30" operator="lessThan">
      <formula>0</formula>
    </cfRule>
    <cfRule type="cellIs" dxfId="1" priority="31" operator="lessThan">
      <formula>0</formula>
    </cfRule>
  </conditionalFormatting>
  <conditionalFormatting sqref="C34:IV36">
    <cfRule type="cellIs" dxfId="1" priority="32" operator="lessThan">
      <formula>0</formula>
    </cfRule>
    <cfRule type="cellIs" dxfId="1" priority="33" operator="lessThan">
      <formula>0</formula>
    </cfRule>
  </conditionalFormatting>
  <conditionalFormatting sqref="C33:IV33">
    <cfRule type="cellIs" dxfId="1" priority="34" operator="lessThan">
      <formula>0</formula>
    </cfRule>
    <cfRule type="cellIs" dxfId="1" priority="35" operator="lessThan">
      <formula>0</formula>
    </cfRule>
  </conditionalFormatting>
  <conditionalFormatting sqref="C56:N56">
    <cfRule type="cellIs" dxfId="1" priority="36" operator="lessThan">
      <formula>0</formula>
    </cfRule>
    <cfRule type="cellIs" dxfId="1" priority="37" operator="lessThan">
      <formula>0</formula>
    </cfRule>
  </conditionalFormatting>
  <conditionalFormatting sqref="C51:S55">
    <cfRule type="cellIs" dxfId="1" priority="38" operator="lessThan">
      <formula>0</formula>
    </cfRule>
    <cfRule type="cellIs" dxfId="1" priority="39" operator="lessThan">
      <formula>0</formula>
    </cfRule>
  </conditionalFormatting>
  <conditionalFormatting sqref="T51:IV56">
    <cfRule type="cellIs" dxfId="1" priority="40" operator="lessThan">
      <formula>0</formula>
    </cfRule>
    <cfRule type="cellIs" dxfId="1" priority="41" operator="lessThan">
      <formula>0</formula>
    </cfRule>
  </conditionalFormatting>
  <conditionalFormatting sqref="C63:IV63">
    <cfRule type="cellIs" dxfId="1" priority="42" operator="lessThan">
      <formula>0</formula>
    </cfRule>
    <cfRule type="cellIs" dxfId="1" priority="43" operator="lessThan">
      <formula>0</formula>
    </cfRule>
  </conditionalFormatting>
  <conditionalFormatting sqref="O56:R56">
    <cfRule type="cellIs" dxfId="1" priority="44" operator="lessThan">
      <formula>0</formula>
    </cfRule>
    <cfRule type="cellIs" dxfId="1" priority="45" operator="lessThan">
      <formula>0</formula>
    </cfRule>
  </conditionalFormatting>
  <conditionalFormatting sqref="C57:R59">
    <cfRule type="cellIs" dxfId="1" priority="46" operator="lessThan">
      <formula>0</formula>
    </cfRule>
    <cfRule type="cellIs" dxfId="1" priority="47" operator="lessThan">
      <formula>0</formula>
    </cfRule>
  </conditionalFormatting>
  <conditionalFormatting sqref="S56:S59">
    <cfRule type="cellIs" dxfId="1" priority="48" operator="lessThan">
      <formula>0</formula>
    </cfRule>
    <cfRule type="cellIs" dxfId="1" priority="49" operator="lessThan">
      <formula>0</formula>
    </cfRule>
  </conditionalFormatting>
  <conditionalFormatting sqref="T57:IV59">
    <cfRule type="cellIs" dxfId="1" priority="50" operator="lessThan">
      <formula>0</formula>
    </cfRule>
    <cfRule type="cellIs" dxfId="1" priority="51" operator="lessThan">
      <formula>0</formula>
    </cfRule>
  </conditionalFormatting>
  <conditionalFormatting sqref="C61:IV62">
    <cfRule type="cellIs" dxfId="1" priority="52" operator="lessThan">
      <formula>0</formula>
    </cfRule>
    <cfRule type="cellIs" dxfId="1" priority="53" operator="lessThan">
      <formula>0</formula>
    </cfRule>
  </conditionalFormatting>
  <conditionalFormatting sqref="C60:IV60">
    <cfRule type="cellIs" dxfId="1" priority="54" operator="lessThan">
      <formula>0</formula>
    </cfRule>
    <cfRule type="cellIs" dxfId="1" priority="55" operator="lessThan">
      <formula>0</formula>
    </cfRule>
  </conditionalFormatting>
  <conditionalFormatting sqref="C67:N69">
    <cfRule type="cellIs" dxfId="1" priority="56" operator="lessThan">
      <formula>0</formula>
    </cfRule>
    <cfRule type="cellIs" dxfId="1" priority="57" operator="lessThan">
      <formula>0</formula>
    </cfRule>
  </conditionalFormatting>
  <conditionalFormatting sqref="C64:R66">
    <cfRule type="cellIs" dxfId="1" priority="58" operator="lessThan">
      <formula>0</formula>
    </cfRule>
    <cfRule type="cellIs" dxfId="1" priority="59" operator="lessThan">
      <formula>0</formula>
    </cfRule>
  </conditionalFormatting>
  <conditionalFormatting sqref="O67:R72">
    <cfRule type="cellIs" dxfId="1" priority="60" operator="lessThan">
      <formula>0</formula>
    </cfRule>
    <cfRule type="cellIs" dxfId="1" priority="61" operator="lessThan">
      <formula>0</formula>
    </cfRule>
  </conditionalFormatting>
  <conditionalFormatting sqref="S64:S72">
    <cfRule type="cellIs" dxfId="1" priority="62" operator="lessThan">
      <formula>0</formula>
    </cfRule>
    <cfRule type="cellIs" dxfId="1" priority="63" operator="lessThan">
      <formula>0</formula>
    </cfRule>
  </conditionalFormatting>
  <conditionalFormatting sqref="T64:IV69">
    <cfRule type="cellIs" dxfId="1" priority="64" operator="lessThan">
      <formula>0</formula>
    </cfRule>
    <cfRule type="cellIs" dxfId="1" priority="65" operator="lessThan">
      <formula>0</formula>
    </cfRule>
  </conditionalFormatting>
  <conditionalFormatting sqref="C76:IV76">
    <cfRule type="cellIs" dxfId="1" priority="66" operator="lessThan">
      <formula>0</formula>
    </cfRule>
    <cfRule type="cellIs" dxfId="1" priority="67" operator="lessThan">
      <formula>0</formula>
    </cfRule>
  </conditionalFormatting>
  <conditionalFormatting sqref="C70:N72">
    <cfRule type="cellIs" dxfId="1" priority="68" operator="lessThan">
      <formula>0</formula>
    </cfRule>
    <cfRule type="cellIs" dxfId="1" priority="69" operator="lessThan">
      <formula>0</formula>
    </cfRule>
  </conditionalFormatting>
  <conditionalFormatting sqref="T70:IV72">
    <cfRule type="cellIs" dxfId="1" priority="70" operator="lessThan">
      <formula>0</formula>
    </cfRule>
    <cfRule type="cellIs" dxfId="1" priority="71" operator="lessThan">
      <formula>0</formula>
    </cfRule>
  </conditionalFormatting>
  <conditionalFormatting sqref="C74:IV75">
    <cfRule type="cellIs" dxfId="1" priority="72" operator="lessThan">
      <formula>0</formula>
    </cfRule>
    <cfRule type="cellIs" dxfId="1" priority="73" operator="lessThan">
      <formula>0</formula>
    </cfRule>
  </conditionalFormatting>
  <conditionalFormatting sqref="C73:IV73">
    <cfRule type="cellIs" dxfId="1" priority="74" operator="lessThan">
      <formula>0</formula>
    </cfRule>
    <cfRule type="cellIs" dxfId="1" priority="75" operator="lessThan">
      <formula>0</formula>
    </cfRule>
  </conditionalFormatting>
  <conditionalFormatting sqref="C91:Z91">
    <cfRule type="cellIs" dxfId="1" priority="76" operator="lessThan">
      <formula>0</formula>
    </cfRule>
    <cfRule type="cellIs" dxfId="1" priority="77" operator="lessThan">
      <formula>0</formula>
    </cfRule>
  </conditionalFormatting>
  <conditionalFormatting sqref="AB91:IV91">
    <cfRule type="cellIs" dxfId="1" priority="78" operator="lessThan">
      <formula>0</formula>
    </cfRule>
    <cfRule type="cellIs" dxfId="1" priority="79" operator="lessThan">
      <formula>0</formula>
    </cfRule>
  </conditionalFormatting>
  <conditionalFormatting sqref="C77:IV83">
    <cfRule type="cellIs" dxfId="1" priority="80" operator="lessThan">
      <formula>0</formula>
    </cfRule>
    <cfRule type="cellIs" dxfId="1" priority="81" operator="lessThan">
      <formula>0</formula>
    </cfRule>
  </conditionalFormatting>
  <conditionalFormatting sqref="C84:IV86">
    <cfRule type="cellIs" dxfId="1" priority="82" operator="lessThan">
      <formula>0</formula>
    </cfRule>
    <cfRule type="cellIs" dxfId="1" priority="83" operator="lessThan">
      <formula>0</formula>
    </cfRule>
  </conditionalFormatting>
  <conditionalFormatting sqref="C88:IV90">
    <cfRule type="cellIs" dxfId="1" priority="84" operator="lessThan">
      <formula>0</formula>
    </cfRule>
    <cfRule type="cellIs" dxfId="1" priority="85" operator="lessThan">
      <formula>0</formula>
    </cfRule>
  </conditionalFormatting>
  <conditionalFormatting sqref="C87:IV87">
    <cfRule type="cellIs" dxfId="1" priority="86" operator="lessThan">
      <formula>0</formula>
    </cfRule>
    <cfRule type="cellIs" dxfId="1" priority="87" operator="lessThan">
      <formula>0</formula>
    </cfRule>
  </conditionalFormatting>
  <conditionalFormatting sqref="AA91">
    <cfRule type="cellIs" dxfId="1" priority="88" operator="lessThan">
      <formula>0</formula>
    </cfRule>
    <cfRule type="cellIs" dxfId="1" priority="89" operator="lessThan">
      <formula>0</formula>
    </cfRule>
  </conditionalFormatting>
  <conditionalFormatting sqref="B22">
    <cfRule type="cellIs" dxfId="1" priority="90" operator="lessThan">
      <formula>0</formula>
    </cfRule>
  </conditionalFormatting>
  <conditionalFormatting sqref="B38:B43">
    <cfRule type="cellIs" dxfId="1" priority="91" operator="lessThan">
      <formula>0</formula>
    </cfRule>
  </conditionalFormatting>
  <conditionalFormatting sqref="B15:B20">
    <cfRule type="cellIs" dxfId="1" priority="92" operator="lessThan">
      <formula>0</formula>
    </cfRule>
  </conditionalFormatting>
  <conditionalFormatting sqref="B21">
    <cfRule type="cellIs" dxfId="1" priority="93" operator="lessThan">
      <formula>0</formula>
    </cfRule>
  </conditionalFormatting>
  <conditionalFormatting sqref="B44:B46">
    <cfRule type="cellIs" dxfId="1" priority="94" operator="lessThan">
      <formula>0</formula>
    </cfRule>
  </conditionalFormatting>
  <conditionalFormatting sqref="B30:B35">
    <cfRule type="cellIs" dxfId="1" priority="95" operator="lessThan">
      <formula>0</formula>
    </cfRule>
  </conditionalFormatting>
  <conditionalFormatting sqref="B36">
    <cfRule type="cellIs" dxfId="1" priority="96" operator="lessThan">
      <formula>0</formula>
    </cfRule>
  </conditionalFormatting>
  <conditionalFormatting sqref="B37">
    <cfRule type="cellIs" dxfId="1" priority="97" operator="lessThan">
      <formula>0</formula>
    </cfRule>
  </conditionalFormatting>
  <conditionalFormatting sqref="B23:B29">
    <cfRule type="cellIs" dxfId="1" priority="98" operator="lessThan">
      <formula>0</formula>
    </cfRule>
  </conditionalFormatting>
  <conditionalFormatting sqref="B63">
    <cfRule type="cellIs" dxfId="1" priority="99" operator="lessThan">
      <formula>0</formula>
    </cfRule>
  </conditionalFormatting>
  <conditionalFormatting sqref="B51:B56">
    <cfRule type="cellIs" dxfId="1" priority="100" operator="lessThan">
      <formula>0</formula>
    </cfRule>
  </conditionalFormatting>
  <conditionalFormatting sqref="B57:B61">
    <cfRule type="cellIs" dxfId="1" priority="101" operator="lessThan">
      <formula>0</formula>
    </cfRule>
  </conditionalFormatting>
  <conditionalFormatting sqref="B62">
    <cfRule type="cellIs" dxfId="1" priority="102" operator="lessThan">
      <formula>0</formula>
    </cfRule>
  </conditionalFormatting>
  <conditionalFormatting sqref="B78">
    <cfRule type="cellIs" dxfId="1" priority="103" operator="lessThan">
      <formula>0</formula>
    </cfRule>
  </conditionalFormatting>
  <conditionalFormatting sqref="B66:B71">
    <cfRule type="cellIs" dxfId="1" priority="104" operator="lessThan">
      <formula>0</formula>
    </cfRule>
  </conditionalFormatting>
  <conditionalFormatting sqref="B72:B76">
    <cfRule type="cellIs" dxfId="1" priority="105" operator="lessThan">
      <formula>0</formula>
    </cfRule>
  </conditionalFormatting>
  <conditionalFormatting sqref="B77">
    <cfRule type="cellIs" dxfId="1" priority="106" operator="lessThan">
      <formula>0</formula>
    </cfRule>
  </conditionalFormatting>
  <conditionalFormatting sqref="B64">
    <cfRule type="cellIs" dxfId="1" priority="107" operator="lessThan">
      <formula>0</formula>
    </cfRule>
  </conditionalFormatting>
  <conditionalFormatting sqref="B65">
    <cfRule type="cellIs" dxfId="1" priority="108" operator="lessThan">
      <formula>0</formula>
    </cfRule>
  </conditionalFormatting>
  <conditionalFormatting sqref="B91">
    <cfRule type="cellIs" dxfId="1" priority="109" operator="lessThan">
      <formula>0</formula>
    </cfRule>
  </conditionalFormatting>
  <conditionalFormatting sqref="B79:B84">
    <cfRule type="cellIs" dxfId="1" priority="110" operator="lessThan">
      <formula>0</formula>
    </cfRule>
  </conditionalFormatting>
  <conditionalFormatting sqref="B85:B89">
    <cfRule type="cellIs" dxfId="1" priority="111" operator="lessThan">
      <formula>0</formula>
    </cfRule>
  </conditionalFormatting>
  <conditionalFormatting sqref="B90">
    <cfRule type="cellIs" dxfId="1" priority="112" operator="lessThan">
      <formula>0</formula>
    </cfRule>
  </conditionalFormatting>
  <conditionalFormatting sqref="B13:B14">
    <cfRule type="cellIs" dxfId="1" priority="113" operator="lessThan">
      <formula>0</formula>
    </cfRule>
  </conditionalFormatting>
  <conditionalFormatting sqref="C47:C50">
    <cfRule type="cellIs" dxfId="1" priority="114" operator="lessThan">
      <formula>0</formula>
    </cfRule>
    <cfRule type="cellIs" dxfId="1" priority="115" operator="lessThan">
      <formula>0</formula>
    </cfRule>
  </conditionalFormatting>
  <conditionalFormatting sqref="B47:B50">
    <cfRule type="cellIs" dxfId="1" priority="116" operator="lessThan">
      <formula>0</formula>
    </cfRule>
  </conditionalFormatting>
  <printOptions gridLines="false" gridLinesSet="true"/>
  <pageMargins left="0.7" right="0.7" top="0.75" bottom="0.7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6"/>
  <sheetViews>
    <sheetView tabSelected="1" workbookViewId="0" showGridLines="true" showRowColHeaders="1">
      <selection activeCell="J12" sqref="J12"/>
    </sheetView>
  </sheetViews>
  <sheetFormatPr customHeight="true" defaultRowHeight="12.75" outlineLevelRow="0" outlineLevelCol="0"/>
  <cols>
    <col min="2" max="2" width="18.73046875" customWidth="true" style="0"/>
  </cols>
  <sheetData>
    <row r="2" spans="1:6" customHeight="1" ht="12.75">
      <c r="A2" t="s">
        <v>347</v>
      </c>
      <c r="B2" t="s">
        <v>348</v>
      </c>
      <c r="C2">
        <v>2026</v>
      </c>
      <c r="D2">
        <v>4</v>
      </c>
      <c r="E2">
        <v>4</v>
      </c>
      <c r="F2">
        <v>4</v>
      </c>
    </row>
    <row r="3" spans="1:6" customHeight="1" ht="12.75">
      <c r="A3" t="s">
        <v>15</v>
      </c>
      <c r="B3" t="s">
        <v>349</v>
      </c>
      <c r="C3">
        <v>2026</v>
      </c>
      <c r="D3">
        <v>4</v>
      </c>
      <c r="E3">
        <v>4</v>
      </c>
      <c r="F3">
        <v>4</v>
      </c>
    </row>
    <row r="4" spans="1:6" customHeight="1" ht="12.75">
      <c r="A4" t="s">
        <v>16</v>
      </c>
      <c r="B4" t="s">
        <v>350</v>
      </c>
      <c r="C4">
        <v>2026</v>
      </c>
      <c r="D4">
        <v>4</v>
      </c>
      <c r="E4">
        <v>4</v>
      </c>
      <c r="F4">
        <v>4</v>
      </c>
    </row>
    <row r="5" spans="1:6" customHeight="1" ht="12.75">
      <c r="A5" t="s">
        <v>17</v>
      </c>
      <c r="B5" t="s">
        <v>351</v>
      </c>
      <c r="C5">
        <v>2026</v>
      </c>
      <c r="D5">
        <v>5</v>
      </c>
      <c r="E5">
        <v>5</v>
      </c>
      <c r="F5">
        <v>5</v>
      </c>
    </row>
    <row r="6" spans="1:6" customHeight="1" ht="12.75">
      <c r="A6" t="s">
        <v>18</v>
      </c>
      <c r="B6" t="s">
        <v>352</v>
      </c>
      <c r="C6">
        <v>2026</v>
      </c>
      <c r="D6">
        <v>4</v>
      </c>
      <c r="E6">
        <v>4</v>
      </c>
      <c r="F6">
        <v>4</v>
      </c>
    </row>
    <row r="7" spans="1:6" customHeight="1" ht="12.75">
      <c r="A7" t="s">
        <v>19</v>
      </c>
      <c r="B7" t="s">
        <v>353</v>
      </c>
      <c r="C7">
        <v>2026</v>
      </c>
      <c r="D7">
        <v>4</v>
      </c>
      <c r="E7">
        <v>4</v>
      </c>
      <c r="F7">
        <v>4</v>
      </c>
    </row>
    <row r="8" spans="1:6" customHeight="1" ht="12.75">
      <c r="A8" t="s">
        <v>20</v>
      </c>
      <c r="B8" t="s">
        <v>354</v>
      </c>
      <c r="C8">
        <v>2026</v>
      </c>
      <c r="D8">
        <v>5</v>
      </c>
      <c r="E8">
        <v>5</v>
      </c>
      <c r="F8">
        <v>5</v>
      </c>
    </row>
    <row r="9" spans="1:6" customHeight="1" ht="12.75">
      <c r="A9" t="s">
        <v>21</v>
      </c>
      <c r="B9" t="s">
        <v>355</v>
      </c>
      <c r="C9">
        <v>2026</v>
      </c>
      <c r="D9">
        <v>4</v>
      </c>
      <c r="E9">
        <v>4</v>
      </c>
      <c r="F9">
        <v>4</v>
      </c>
    </row>
    <row r="10" spans="1:6" customHeight="1" ht="12.75">
      <c r="A10" t="s">
        <v>356</v>
      </c>
      <c r="B10" t="s">
        <v>357</v>
      </c>
      <c r="C10">
        <v>2026</v>
      </c>
      <c r="D10">
        <v>5</v>
      </c>
      <c r="E10">
        <v>5</v>
      </c>
      <c r="F10">
        <v>5</v>
      </c>
    </row>
    <row r="11" spans="1:6" customHeight="1" ht="12.75">
      <c r="A11" t="s">
        <v>358</v>
      </c>
      <c r="B11" t="s">
        <v>359</v>
      </c>
      <c r="C11">
        <v>2026</v>
      </c>
      <c r="D11">
        <v>4</v>
      </c>
      <c r="E11">
        <v>4</v>
      </c>
      <c r="F11">
        <v>4</v>
      </c>
    </row>
    <row r="12" spans="1:6" customHeight="1" ht="12.75">
      <c r="A12" t="s">
        <v>360</v>
      </c>
      <c r="B12" t="s">
        <v>361</v>
      </c>
      <c r="C12">
        <v>2026</v>
      </c>
      <c r="D12">
        <v>4</v>
      </c>
      <c r="E12">
        <v>4</v>
      </c>
      <c r="F12">
        <v>4</v>
      </c>
    </row>
    <row r="13" spans="1:6" customHeight="1" ht="12.75">
      <c r="A13" t="s">
        <v>362</v>
      </c>
      <c r="B13" t="s">
        <v>363</v>
      </c>
      <c r="C13">
        <v>2026</v>
      </c>
      <c r="D13">
        <v>5</v>
      </c>
      <c r="E13">
        <v>5</v>
      </c>
      <c r="F13">
        <v>5</v>
      </c>
    </row>
    <row r="15" spans="1:6" customHeight="1" ht="12.75">
      <c r="A15" t="s">
        <v>347</v>
      </c>
      <c r="B15" t="s">
        <v>364</v>
      </c>
      <c r="C15">
        <v>2025</v>
      </c>
      <c r="D15">
        <v>4</v>
      </c>
      <c r="E15">
        <v>4</v>
      </c>
    </row>
    <row r="16" spans="1:6" customHeight="1" ht="12.75">
      <c r="A16" t="s">
        <v>15</v>
      </c>
      <c r="B16" t="s">
        <v>365</v>
      </c>
      <c r="C16">
        <v>2025</v>
      </c>
      <c r="D16">
        <v>4</v>
      </c>
    </row>
    <row r="17" spans="1:6" customHeight="1" ht="12.75">
      <c r="A17" t="s">
        <v>16</v>
      </c>
      <c r="B17" t="s">
        <v>366</v>
      </c>
      <c r="C17">
        <v>2025</v>
      </c>
      <c r="D17">
        <v>4</v>
      </c>
    </row>
    <row r="18" spans="1:6" customHeight="1" ht="12.75">
      <c r="A18" t="s">
        <v>17</v>
      </c>
      <c r="B18" t="s">
        <v>367</v>
      </c>
      <c r="C18">
        <v>2025</v>
      </c>
      <c r="D18">
        <v>4</v>
      </c>
    </row>
    <row r="19" spans="1:6" customHeight="1" ht="12.75">
      <c r="A19" t="s">
        <v>18</v>
      </c>
      <c r="B19" t="s">
        <v>368</v>
      </c>
      <c r="C19">
        <v>2025</v>
      </c>
      <c r="D19">
        <v>4</v>
      </c>
    </row>
    <row r="20" spans="1:6" customHeight="1" ht="12.75">
      <c r="A20" t="s">
        <v>19</v>
      </c>
      <c r="B20" t="s">
        <v>353</v>
      </c>
      <c r="C20">
        <v>2025</v>
      </c>
      <c r="D20">
        <v>4</v>
      </c>
    </row>
    <row r="21" spans="1:6" customHeight="1" ht="12.75">
      <c r="A21" t="s">
        <v>20</v>
      </c>
      <c r="B21" t="s">
        <v>354</v>
      </c>
      <c r="C21">
        <v>2025</v>
      </c>
      <c r="D21">
        <v>5</v>
      </c>
    </row>
    <row r="22" spans="1:6" customHeight="1" ht="12.75">
      <c r="A22" t="s">
        <v>21</v>
      </c>
      <c r="B22" t="s">
        <v>369</v>
      </c>
      <c r="C22">
        <v>2025</v>
      </c>
      <c r="D22">
        <v>4</v>
      </c>
    </row>
    <row r="23" spans="1:6" customHeight="1" ht="12.75">
      <c r="A23" t="s">
        <v>356</v>
      </c>
      <c r="B23" t="s">
        <v>370</v>
      </c>
      <c r="C23">
        <v>2025</v>
      </c>
      <c r="D23">
        <v>4</v>
      </c>
    </row>
    <row r="24" spans="1:6" customHeight="1" ht="12.75">
      <c r="A24" t="s">
        <v>358</v>
      </c>
      <c r="B24" t="s">
        <v>371</v>
      </c>
      <c r="C24">
        <v>2025</v>
      </c>
      <c r="D24">
        <v>5</v>
      </c>
    </row>
    <row r="25" spans="1:6" customHeight="1" ht="12.75">
      <c r="A25" t="s">
        <v>360</v>
      </c>
      <c r="B25" t="s">
        <v>372</v>
      </c>
      <c r="C25">
        <v>2025</v>
      </c>
      <c r="D25">
        <v>4</v>
      </c>
    </row>
    <row r="26" spans="1:6" customHeight="1" ht="12.75">
      <c r="A26" t="s">
        <v>362</v>
      </c>
      <c r="B26" t="s">
        <v>363</v>
      </c>
      <c r="C26">
        <v>2025</v>
      </c>
      <c r="D26">
        <v>5</v>
      </c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GUM</vt:lpstr>
      <vt:lpstr>down rate</vt:lpstr>
      <vt:lpstr>(AS-400 Jembatan)</vt:lpstr>
      <vt:lpstr>(AS-400 Transfer)</vt:lpstr>
      <vt:lpstr>WEEK</vt:lpstr>
    </vt:vector>
  </TitlesOfParts>
  <Company>JAI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as400</dc:creator>
  <cp:lastModifiedBy>zulhilmi luthfiah</cp:lastModifiedBy>
  <dcterms:created xsi:type="dcterms:W3CDTF">2005-12-19T04:35:45+00:00</dcterms:created>
  <dcterms:modified xsi:type="dcterms:W3CDTF">2026-05-11T09:19:12+00:00</dcterms:modified>
  <dc:title>Untitled Spreadsheet</dc:title>
  <dc:description/>
  <dc:subject/>
  <cp:keywords/>
  <cp:category/>
</cp:coreProperties>
</file>